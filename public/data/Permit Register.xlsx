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8_{41669CD1-4332-4DD2-9819-90BC65CA04CF}" xr6:coauthVersionLast="47" xr6:coauthVersionMax="47" xr10:uidLastSave="{00000000-0000-0000-0000-000000000000}"/>
  <bookViews>
    <workbookView xWindow="22932" yWindow="-108" windowWidth="23256" windowHeight="12456" xr2:uid="{CFEAABB4-A87C-4719-907F-5CD14C67E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1" l="1"/>
  <c r="I64" i="1"/>
  <c r="C64" i="1"/>
  <c r="AA63" i="1"/>
  <c r="W63" i="1"/>
  <c r="AA61" i="1"/>
  <c r="W61" i="1"/>
  <c r="M61" i="1"/>
  <c r="I61" i="1"/>
  <c r="C61" i="1"/>
  <c r="C59" i="1"/>
  <c r="AA58" i="1"/>
  <c r="W58" i="1"/>
  <c r="M58" i="1"/>
  <c r="I58" i="1"/>
  <c r="I55" i="1"/>
  <c r="AA54" i="1"/>
  <c r="M54" i="1"/>
  <c r="I54" i="1"/>
  <c r="C54" i="1"/>
  <c r="W51" i="1"/>
  <c r="I50" i="1"/>
  <c r="C50" i="1"/>
  <c r="AA49" i="1"/>
  <c r="Y49" i="1"/>
  <c r="W49" i="1"/>
  <c r="M49" i="1"/>
  <c r="AC48" i="1"/>
  <c r="AA48" i="1"/>
  <c r="W48" i="1"/>
  <c r="U48" i="1"/>
  <c r="S48" i="1"/>
  <c r="I48" i="1"/>
  <c r="U47" i="1"/>
  <c r="S47" i="1"/>
  <c r="Q47" i="1"/>
  <c r="O47" i="1"/>
  <c r="M47" i="1"/>
  <c r="C47" i="1"/>
  <c r="O46" i="1"/>
  <c r="M46" i="1"/>
  <c r="K46" i="1"/>
  <c r="I46" i="1"/>
  <c r="G46" i="1"/>
  <c r="AA45" i="1"/>
  <c r="M45" i="1"/>
  <c r="K45" i="1"/>
  <c r="I45" i="1"/>
  <c r="G45" i="1"/>
  <c r="E45" i="1"/>
  <c r="Q44" i="1"/>
  <c r="C44" i="1"/>
  <c r="AA43" i="1"/>
  <c r="W43" i="1"/>
  <c r="S43" i="1"/>
  <c r="Q43" i="1"/>
  <c r="G43" i="1"/>
  <c r="O42" i="1"/>
  <c r="M42" i="1"/>
  <c r="K42" i="1"/>
  <c r="I42" i="1"/>
  <c r="G42" i="1"/>
  <c r="O41" i="1"/>
  <c r="Y40" i="1"/>
  <c r="W40" i="1"/>
  <c r="U40" i="1"/>
  <c r="S40" i="1"/>
  <c r="Q40" i="1"/>
  <c r="G40" i="1"/>
  <c r="O39" i="1"/>
  <c r="M39" i="1"/>
  <c r="K39" i="1"/>
  <c r="I39" i="1"/>
  <c r="G39" i="1"/>
  <c r="O38" i="1"/>
  <c r="W37" i="1"/>
  <c r="O37" i="1"/>
  <c r="M37" i="1"/>
  <c r="I37" i="1"/>
  <c r="G37" i="1"/>
  <c r="Q36" i="1"/>
  <c r="C36" i="1"/>
  <c r="AA35" i="1"/>
  <c r="W35" i="1"/>
  <c r="Q35" i="1"/>
  <c r="O35" i="1"/>
  <c r="E35" i="1"/>
  <c r="M34" i="1"/>
  <c r="K34" i="1"/>
  <c r="I34" i="1"/>
  <c r="G34" i="1"/>
  <c r="E34" i="1"/>
  <c r="Q33" i="1"/>
  <c r="C33" i="1"/>
  <c r="AA32" i="1"/>
  <c r="W32" i="1"/>
  <c r="Q32" i="1"/>
  <c r="O32" i="1"/>
  <c r="C32" i="1"/>
  <c r="E31" i="1"/>
  <c r="C31" i="1"/>
  <c r="AA30" i="1"/>
  <c r="W30" i="1"/>
  <c r="S30" i="1"/>
  <c r="I30" i="1"/>
  <c r="U29" i="1"/>
  <c r="S29" i="1"/>
  <c r="Q29" i="1"/>
  <c r="O29" i="1"/>
  <c r="M29" i="1"/>
  <c r="C29" i="1"/>
  <c r="G28" i="1"/>
  <c r="C28" i="1"/>
  <c r="AA27" i="1"/>
  <c r="W27" i="1"/>
  <c r="Q27" i="1"/>
  <c r="G27" i="1"/>
  <c r="O26" i="1"/>
  <c r="M26" i="1"/>
  <c r="K26" i="1"/>
  <c r="I26" i="1"/>
  <c r="G26" i="1"/>
  <c r="S25" i="1"/>
  <c r="E25" i="1"/>
  <c r="C25" i="1"/>
  <c r="AA24" i="1"/>
  <c r="W24" i="1"/>
  <c r="Q24" i="1"/>
  <c r="G24" i="1"/>
  <c r="O23" i="1"/>
  <c r="M23" i="1"/>
  <c r="K23" i="1"/>
  <c r="I23" i="1"/>
  <c r="G23" i="1"/>
  <c r="S22" i="1"/>
  <c r="E22" i="1"/>
  <c r="C22" i="1"/>
  <c r="AA21" i="1"/>
  <c r="W21" i="1"/>
  <c r="S21" i="1"/>
  <c r="I21" i="1"/>
  <c r="O20" i="1"/>
  <c r="M20" i="1"/>
  <c r="K20" i="1"/>
  <c r="I20" i="1"/>
  <c r="G20" i="1"/>
  <c r="O19" i="1"/>
  <c r="W18" i="1"/>
  <c r="O18" i="1"/>
  <c r="M18" i="1"/>
  <c r="I18" i="1"/>
  <c r="G18" i="1"/>
  <c r="S17" i="1"/>
  <c r="E17" i="1"/>
  <c r="C17" i="1"/>
  <c r="AA16" i="1"/>
  <c r="W16" i="1"/>
  <c r="Q16" i="1"/>
  <c r="G16" i="1"/>
  <c r="O15" i="1"/>
  <c r="M15" i="1"/>
  <c r="K15" i="1"/>
  <c r="I15" i="1"/>
  <c r="G15" i="1"/>
  <c r="Q14" i="1"/>
  <c r="AA13" i="1"/>
  <c r="W13" i="1"/>
  <c r="S13" i="1"/>
  <c r="Q13" i="1"/>
  <c r="O13" i="1"/>
  <c r="E13" i="1"/>
  <c r="G12" i="1"/>
  <c r="E12" i="1"/>
  <c r="C12" i="1"/>
  <c r="AA11" i="1"/>
  <c r="M11" i="1"/>
  <c r="W10" i="1"/>
  <c r="W9" i="1"/>
  <c r="O9" i="1"/>
  <c r="M9" i="1"/>
  <c r="I9" i="1"/>
  <c r="G9" i="1"/>
  <c r="M8" i="1"/>
  <c r="M7" i="1"/>
  <c r="I7" i="1"/>
  <c r="G7" i="1"/>
  <c r="C7" i="1"/>
  <c r="AA6" i="1"/>
  <c r="G6" i="1"/>
  <c r="G5" i="1"/>
  <c r="C5" i="1"/>
  <c r="AA4" i="1"/>
  <c r="W4" i="1"/>
  <c r="S4" i="1"/>
  <c r="I4" i="1"/>
  <c r="E1" i="1"/>
  <c r="M66" i="1" s="1"/>
  <c r="O7" i="1" l="1"/>
  <c r="C14" i="1"/>
  <c r="Q20" i="1"/>
  <c r="G25" i="1"/>
  <c r="Q26" i="1"/>
  <c r="G31" i="1"/>
  <c r="O34" i="1"/>
  <c r="E36" i="1"/>
  <c r="AA40" i="1"/>
  <c r="Q42" i="1"/>
  <c r="E44" i="1"/>
  <c r="O45" i="1"/>
  <c r="Q46" i="1"/>
  <c r="W47" i="1"/>
  <c r="AE48" i="1"/>
  <c r="M50" i="1"/>
  <c r="AA55" i="1"/>
  <c r="I59" i="1"/>
  <c r="C62" i="1"/>
  <c r="W64" i="1"/>
  <c r="I5" i="1"/>
  <c r="I12" i="1"/>
  <c r="AA18" i="1"/>
  <c r="Q23" i="1"/>
  <c r="W29" i="1"/>
  <c r="AA37" i="1"/>
  <c r="W7" i="1"/>
  <c r="S15" i="1"/>
  <c r="C19" i="1"/>
  <c r="I22" i="1"/>
  <c r="I25" i="1"/>
  <c r="M28" i="1"/>
  <c r="I31" i="1"/>
  <c r="Q34" i="1"/>
  <c r="S39" i="1"/>
  <c r="S42" i="1"/>
  <c r="Q45" i="1"/>
  <c r="S46" i="1"/>
  <c r="Y47" i="1"/>
  <c r="W50" i="1"/>
  <c r="C56" i="1"/>
  <c r="M59" i="1"/>
  <c r="I62" i="1"/>
  <c r="AA64" i="1"/>
  <c r="G17" i="1"/>
  <c r="E33" i="1"/>
  <c r="M5" i="1"/>
  <c r="M12" i="1"/>
  <c r="E14" i="1"/>
  <c r="I17" i="1"/>
  <c r="W20" i="1"/>
  <c r="S23" i="1"/>
  <c r="S26" i="1"/>
  <c r="Y29" i="1"/>
  <c r="G33" i="1"/>
  <c r="G36" i="1"/>
  <c r="C38" i="1"/>
  <c r="C41" i="1"/>
  <c r="G44" i="1"/>
  <c r="C49" i="1"/>
  <c r="O5" i="1"/>
  <c r="O12" i="1"/>
  <c r="K17" i="1"/>
  <c r="AA20" i="1"/>
  <c r="K25" i="1"/>
  <c r="O28" i="1"/>
  <c r="M31" i="1"/>
  <c r="I33" i="1"/>
  <c r="S34" i="1"/>
  <c r="I36" i="1"/>
  <c r="W39" i="1"/>
  <c r="E41" i="1"/>
  <c r="W42" i="1"/>
  <c r="I44" i="1"/>
  <c r="S45" i="1"/>
  <c r="U46" i="1"/>
  <c r="AA47" i="1"/>
  <c r="E49" i="1"/>
  <c r="AA50" i="1"/>
  <c r="M56" i="1"/>
  <c r="W59" i="1"/>
  <c r="M62" i="1"/>
  <c r="AC64" i="1"/>
  <c r="AA7" i="1"/>
  <c r="G10" i="1"/>
  <c r="G14" i="1"/>
  <c r="W15" i="1"/>
  <c r="E19" i="1"/>
  <c r="K22" i="1"/>
  <c r="W23" i="1"/>
  <c r="W26" i="1"/>
  <c r="AA29" i="1"/>
  <c r="E38" i="1"/>
  <c r="C4" i="1"/>
  <c r="W5" i="1"/>
  <c r="C8" i="1"/>
  <c r="I10" i="1"/>
  <c r="W12" i="1"/>
  <c r="I14" i="1"/>
  <c r="AA15" i="1"/>
  <c r="M17" i="1"/>
  <c r="G19" i="1"/>
  <c r="C21" i="1"/>
  <c r="M22" i="1"/>
  <c r="AA23" i="1"/>
  <c r="M25" i="1"/>
  <c r="AA26" i="1"/>
  <c r="S28" i="1"/>
  <c r="C30" i="1"/>
  <c r="O31" i="1"/>
  <c r="K33" i="1"/>
  <c r="W34" i="1"/>
  <c r="K36" i="1"/>
  <c r="G38" i="1"/>
  <c r="AA39" i="1"/>
  <c r="G41" i="1"/>
  <c r="AA42" i="1"/>
  <c r="K44" i="1"/>
  <c r="U45" i="1"/>
  <c r="W46" i="1"/>
  <c r="C48" i="1"/>
  <c r="G49" i="1"/>
  <c r="C51" i="1"/>
  <c r="W56" i="1"/>
  <c r="AA59" i="1"/>
  <c r="W62" i="1"/>
  <c r="AE64" i="1"/>
  <c r="AA9" i="1"/>
  <c r="Q15" i="1"/>
  <c r="G22" i="1"/>
  <c r="I28" i="1"/>
  <c r="Q39" i="1"/>
  <c r="C10" i="1"/>
  <c r="E4" i="1"/>
  <c r="AA5" i="1"/>
  <c r="G8" i="1"/>
  <c r="M10" i="1"/>
  <c r="AA12" i="1"/>
  <c r="M14" i="1"/>
  <c r="C16" i="1"/>
  <c r="O17" i="1"/>
  <c r="I19" i="1"/>
  <c r="E21" i="1"/>
  <c r="O22" i="1"/>
  <c r="C24" i="1"/>
  <c r="O25" i="1"/>
  <c r="C27" i="1"/>
  <c r="W28" i="1"/>
  <c r="E30" i="1"/>
  <c r="W31" i="1"/>
  <c r="M33" i="1"/>
  <c r="AA34" i="1"/>
  <c r="M36" i="1"/>
  <c r="I38" i="1"/>
  <c r="C40" i="1"/>
  <c r="I41" i="1"/>
  <c r="C43" i="1"/>
  <c r="M44" i="1"/>
  <c r="W45" i="1"/>
  <c r="Y46" i="1"/>
  <c r="E48" i="1"/>
  <c r="I49" i="1"/>
  <c r="I51" i="1"/>
  <c r="AA56" i="1"/>
  <c r="C60" i="1"/>
  <c r="AA62" i="1"/>
  <c r="C65" i="1"/>
  <c r="G4" i="1"/>
  <c r="C6" i="1"/>
  <c r="I8" i="1"/>
  <c r="O10" i="1"/>
  <c r="C13" i="1"/>
  <c r="O14" i="1"/>
  <c r="E16" i="1"/>
  <c r="Q17" i="1"/>
  <c r="M19" i="1"/>
  <c r="G21" i="1"/>
  <c r="Q22" i="1"/>
  <c r="E24" i="1"/>
  <c r="Q25" i="1"/>
  <c r="E27" i="1"/>
  <c r="AA28" i="1"/>
  <c r="G30" i="1"/>
  <c r="AA31" i="1"/>
  <c r="O33" i="1"/>
  <c r="C35" i="1"/>
  <c r="O36" i="1"/>
  <c r="M38" i="1"/>
  <c r="E40" i="1"/>
  <c r="M41" i="1"/>
  <c r="E43" i="1"/>
  <c r="O44" i="1"/>
  <c r="Y45" i="1"/>
  <c r="AA46" i="1"/>
  <c r="G48" i="1"/>
  <c r="K49" i="1"/>
  <c r="M51" i="1"/>
  <c r="C57" i="1"/>
  <c r="I60" i="1"/>
  <c r="AC62" i="1"/>
  <c r="I65" i="1"/>
  <c r="I57" i="1"/>
  <c r="M60" i="1"/>
  <c r="M65" i="1"/>
  <c r="I6" i="1"/>
  <c r="O8" i="1"/>
  <c r="G13" i="1"/>
  <c r="I16" i="1"/>
  <c r="K21" i="1"/>
  <c r="W25" i="1"/>
  <c r="E29" i="1"/>
  <c r="G32" i="1"/>
  <c r="G35" i="1"/>
  <c r="W38" i="1"/>
  <c r="I40" i="1"/>
  <c r="W41" i="1"/>
  <c r="I43" i="1"/>
  <c r="S44" i="1"/>
  <c r="AC45" i="1"/>
  <c r="E47" i="1"/>
  <c r="K48" i="1"/>
  <c r="O49" i="1"/>
  <c r="AA51" i="1"/>
  <c r="M57" i="1"/>
  <c r="W60" i="1"/>
  <c r="C63" i="1"/>
  <c r="W65" i="1"/>
  <c r="M4" i="1"/>
  <c r="M6" i="1"/>
  <c r="W8" i="1"/>
  <c r="C11" i="1"/>
  <c r="I13" i="1"/>
  <c r="AA14" i="1"/>
  <c r="K16" i="1"/>
  <c r="AA17" i="1"/>
  <c r="AA19" i="1"/>
  <c r="M21" i="1"/>
  <c r="AA22" i="1"/>
  <c r="K24" i="1"/>
  <c r="AA25" i="1"/>
  <c r="K27" i="1"/>
  <c r="G29" i="1"/>
  <c r="M30" i="1"/>
  <c r="I32" i="1"/>
  <c r="W33" i="1"/>
  <c r="I35" i="1"/>
  <c r="W36" i="1"/>
  <c r="AA38" i="1"/>
  <c r="K40" i="1"/>
  <c r="AA41" i="1"/>
  <c r="K43" i="1"/>
  <c r="W44" i="1"/>
  <c r="AE45" i="1"/>
  <c r="G47" i="1"/>
  <c r="M48" i="1"/>
  <c r="Q49" i="1"/>
  <c r="AA52" i="1"/>
  <c r="W57" i="1"/>
  <c r="AA60" i="1"/>
  <c r="G63" i="1"/>
  <c r="AA65" i="1"/>
  <c r="AE62" i="1"/>
  <c r="K4" i="1"/>
  <c r="AA10" i="1"/>
  <c r="W14" i="1"/>
  <c r="W17" i="1"/>
  <c r="W19" i="1"/>
  <c r="W22" i="1"/>
  <c r="I24" i="1"/>
  <c r="I27" i="1"/>
  <c r="K30" i="1"/>
  <c r="S33" i="1"/>
  <c r="S36" i="1"/>
  <c r="O4" i="1"/>
  <c r="O6" i="1"/>
  <c r="AA8" i="1"/>
  <c r="G11" i="1"/>
  <c r="K13" i="1"/>
  <c r="C15" i="1"/>
  <c r="M16" i="1"/>
  <c r="C18" i="1"/>
  <c r="C20" i="1"/>
  <c r="O21" i="1"/>
  <c r="C23" i="1"/>
  <c r="M24" i="1"/>
  <c r="C26" i="1"/>
  <c r="M27" i="1"/>
  <c r="I29" i="1"/>
  <c r="O30" i="1"/>
  <c r="K32" i="1"/>
  <c r="AA33" i="1"/>
  <c r="K35" i="1"/>
  <c r="AA36" i="1"/>
  <c r="C39" i="1"/>
  <c r="M40" i="1"/>
  <c r="C42" i="1"/>
  <c r="M43" i="1"/>
  <c r="AA44" i="1"/>
  <c r="C46" i="1"/>
  <c r="I47" i="1"/>
  <c r="O48" i="1"/>
  <c r="S49" i="1"/>
  <c r="I53" i="1"/>
  <c r="AA57" i="1"/>
  <c r="AC60" i="1"/>
  <c r="I63" i="1"/>
  <c r="C66" i="1"/>
  <c r="Q4" i="1"/>
  <c r="W6" i="1"/>
  <c r="C9" i="1"/>
  <c r="I11" i="1"/>
  <c r="M13" i="1"/>
  <c r="E15" i="1"/>
  <c r="O16" i="1"/>
  <c r="E18" i="1"/>
  <c r="E20" i="1"/>
  <c r="Q21" i="1"/>
  <c r="E23" i="1"/>
  <c r="O24" i="1"/>
  <c r="E26" i="1"/>
  <c r="O27" i="1"/>
  <c r="K29" i="1"/>
  <c r="Q30" i="1"/>
  <c r="M32" i="1"/>
  <c r="C34" i="1"/>
  <c r="M35" i="1"/>
  <c r="C37" i="1"/>
  <c r="E39" i="1"/>
  <c r="O40" i="1"/>
  <c r="E42" i="1"/>
  <c r="O43" i="1"/>
  <c r="C45" i="1"/>
  <c r="E46" i="1"/>
  <c r="K47" i="1"/>
  <c r="Q48" i="1"/>
  <c r="U49" i="1"/>
  <c r="AA53" i="1"/>
  <c r="C58" i="1"/>
  <c r="AE60" i="1"/>
  <c r="M63" i="1"/>
</calcChain>
</file>

<file path=xl/sharedStrings.xml><?xml version="1.0" encoding="utf-8"?>
<sst xmlns="http://schemas.openxmlformats.org/spreadsheetml/2006/main" count="284" uniqueCount="86">
  <si>
    <t>PERMIT REGISTER</t>
  </si>
  <si>
    <t>FLEET NUMBER</t>
  </si>
  <si>
    <t>KZN ABNORMAL PERMIT</t>
  </si>
  <si>
    <t>DAYS LEFT ON PERMIT</t>
  </si>
  <si>
    <t>MP ABNORMAL PERMIT</t>
  </si>
  <si>
    <t>FS ABNORMAL PERMIT</t>
  </si>
  <si>
    <t>GP ABNORMAL PERMIT</t>
  </si>
  <si>
    <t>NW ABNORMAL PERMIT</t>
  </si>
  <si>
    <t>NC ABNORMAL PERMIT</t>
  </si>
  <si>
    <t>WC ABNORMAL PERMIT</t>
  </si>
  <si>
    <t>CROSS BORDER PERMIT (NAM)</t>
  </si>
  <si>
    <t>BOTS ABNORMAL PERMIT</t>
  </si>
  <si>
    <t>CROSS BORDER PERMIT (SWAZI)</t>
  </si>
  <si>
    <t>EC ABNORMAL PERMIT</t>
  </si>
  <si>
    <t>CROSS BORDER PERMIT (LES)</t>
  </si>
  <si>
    <t>TRANSNET PORT PERMIT</t>
  </si>
  <si>
    <t>CROSS BORDER</t>
  </si>
  <si>
    <t>MPUMALANGA</t>
  </si>
  <si>
    <t>AC400</t>
  </si>
  <si>
    <t>N/A</t>
  </si>
  <si>
    <t>AC405</t>
  </si>
  <si>
    <t>AC406</t>
  </si>
  <si>
    <t>AC407</t>
  </si>
  <si>
    <t>AC408</t>
  </si>
  <si>
    <t>AC409</t>
  </si>
  <si>
    <t>AC410</t>
  </si>
  <si>
    <t>AC411</t>
  </si>
  <si>
    <t>AC305</t>
  </si>
  <si>
    <t>AC306</t>
  </si>
  <si>
    <t>AC307</t>
  </si>
  <si>
    <t>AC308</t>
  </si>
  <si>
    <t>AC309</t>
  </si>
  <si>
    <t>AC310</t>
  </si>
  <si>
    <t>AC311</t>
  </si>
  <si>
    <t>AC312</t>
  </si>
  <si>
    <t>AC313</t>
  </si>
  <si>
    <t>AC314</t>
  </si>
  <si>
    <t>AC315</t>
  </si>
  <si>
    <t>AC316</t>
  </si>
  <si>
    <t>AC317</t>
  </si>
  <si>
    <t>AC318</t>
  </si>
  <si>
    <t>AC319</t>
  </si>
  <si>
    <t>AC320</t>
  </si>
  <si>
    <t>AC321</t>
  </si>
  <si>
    <t>AC322</t>
  </si>
  <si>
    <t>AC323</t>
  </si>
  <si>
    <t>AC324</t>
  </si>
  <si>
    <t>AC325</t>
  </si>
  <si>
    <t>AC326</t>
  </si>
  <si>
    <t>AC327</t>
  </si>
  <si>
    <t>AC328</t>
  </si>
  <si>
    <t>AC330</t>
  </si>
  <si>
    <t>AC334</t>
  </si>
  <si>
    <t>AC335</t>
  </si>
  <si>
    <t>AC337</t>
  </si>
  <si>
    <t>AC338</t>
  </si>
  <si>
    <t>AC341</t>
  </si>
  <si>
    <t>AC342</t>
  </si>
  <si>
    <t>AC373</t>
  </si>
  <si>
    <t>AC374</t>
  </si>
  <si>
    <t>AC363</t>
  </si>
  <si>
    <t>14/08/2028</t>
  </si>
  <si>
    <t>AC364</t>
  </si>
  <si>
    <t>AC365</t>
  </si>
  <si>
    <t>AC366</t>
  </si>
  <si>
    <t>23/04/2028</t>
  </si>
  <si>
    <t>AC367</t>
  </si>
  <si>
    <t>AC375 (F169)</t>
  </si>
  <si>
    <t>AC376 (F156)</t>
  </si>
  <si>
    <t>AC377 (F144)</t>
  </si>
  <si>
    <t>AC378 (F152)</t>
  </si>
  <si>
    <t>AC380 (F175)</t>
  </si>
  <si>
    <t>AC381 (F154)</t>
  </si>
  <si>
    <t>WAITING TRAILER</t>
  </si>
  <si>
    <t>AC383 (F140)</t>
  </si>
  <si>
    <t>AC384 (F171)</t>
  </si>
  <si>
    <t>AC395 (F155)</t>
  </si>
  <si>
    <t>AC386 (F174)</t>
  </si>
  <si>
    <t>AC387 (F157)</t>
  </si>
  <si>
    <t>YES</t>
  </si>
  <si>
    <t>AC388 (F159)</t>
  </si>
  <si>
    <t>AC389 (F162)</t>
  </si>
  <si>
    <t>AC390 (F165)</t>
  </si>
  <si>
    <t>AC391 (F166)</t>
  </si>
  <si>
    <t>AC392 (F172)</t>
  </si>
  <si>
    <t>AC394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</si>
</sst>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1C09]dd\ mmmm\ yyyy;@"/>
    <numFmt numFmtId="166" formatCode="dd\ mmmm\ yyyy"/>
    <numFmt numFmtId="167" formatCode="0;[Red]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1FBF9"/>
        <bgColor indexed="64"/>
      </patternFill>
    </fill>
    <fill>
      <patternFill patternType="solid">
        <fgColor rgb="FFD6FC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64">
    <xf numFmtId="0" fontId="0" fillId="0" borderId="0" xfId="0"/>
    <xf numFmtId="0" fontId="3" fillId="0" borderId="0" xfId="0" applyFont="1"/>
    <xf numFmtId="0" fontId="3" fillId="0" borderId="1" xfId="0" applyFont="1" applyBorder="1"/>
    <xf numFmtId="165" fontId="4" fillId="2" borderId="2" xfId="1" applyNumberFormat="1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 vertical="center"/>
    </xf>
    <xf numFmtId="0" fontId="2" fillId="0" borderId="0" xfId="0" applyFont="1"/>
    <xf numFmtId="0" fontId="5" fillId="3" borderId="5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165" fontId="4" fillId="2" borderId="5" xfId="1" applyNumberFormat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5" fontId="4" fillId="2" borderId="7" xfId="1" applyNumberFormat="1" applyFont="1" applyFill="1" applyBorder="1" applyAlignment="1">
      <alignment horizontal="center" vertical="center"/>
    </xf>
    <xf numFmtId="0" fontId="6" fillId="4" borderId="8" xfId="1" applyNumberFormat="1" applyFont="1" applyFill="1" applyBorder="1" applyAlignment="1">
      <alignment horizontal="center" vertical="center" wrapText="1"/>
    </xf>
    <xf numFmtId="165" fontId="7" fillId="5" borderId="9" xfId="1" applyNumberFormat="1" applyFont="1" applyFill="1" applyBorder="1" applyAlignment="1">
      <alignment horizontal="center" vertical="center" wrapText="1"/>
    </xf>
    <xf numFmtId="0" fontId="7" fillId="5" borderId="9" xfId="1" applyNumberFormat="1" applyFont="1" applyFill="1" applyBorder="1" applyAlignment="1">
      <alignment horizontal="center" vertical="center" wrapText="1"/>
    </xf>
    <xf numFmtId="165" fontId="7" fillId="6" borderId="9" xfId="1" applyNumberFormat="1" applyFont="1" applyFill="1" applyBorder="1" applyAlignment="1">
      <alignment horizontal="center" vertical="center" wrapText="1"/>
    </xf>
    <xf numFmtId="0" fontId="7" fillId="6" borderId="9" xfId="1" applyNumberFormat="1" applyFont="1" applyFill="1" applyBorder="1" applyAlignment="1">
      <alignment horizontal="center" vertical="center" wrapText="1"/>
    </xf>
    <xf numFmtId="165" fontId="7" fillId="7" borderId="9" xfId="1" applyNumberFormat="1" applyFont="1" applyFill="1" applyBorder="1" applyAlignment="1">
      <alignment horizontal="center" vertical="center" wrapText="1"/>
    </xf>
    <xf numFmtId="0" fontId="7" fillId="7" borderId="9" xfId="1" applyNumberFormat="1" applyFont="1" applyFill="1" applyBorder="1" applyAlignment="1">
      <alignment horizontal="center" vertical="center" wrapText="1"/>
    </xf>
    <xf numFmtId="165" fontId="7" fillId="8" borderId="9" xfId="1" applyNumberFormat="1" applyFont="1" applyFill="1" applyBorder="1" applyAlignment="1">
      <alignment horizontal="center" vertical="center" wrapText="1"/>
    </xf>
    <xf numFmtId="0" fontId="8" fillId="8" borderId="9" xfId="1" applyNumberFormat="1" applyFont="1" applyFill="1" applyBorder="1" applyAlignment="1">
      <alignment horizontal="center" vertical="center" wrapText="1"/>
    </xf>
    <xf numFmtId="165" fontId="7" fillId="9" borderId="9" xfId="1" applyNumberFormat="1" applyFont="1" applyFill="1" applyBorder="1" applyAlignment="1">
      <alignment horizontal="center" vertical="center" wrapText="1"/>
    </xf>
    <xf numFmtId="0" fontId="7" fillId="9" borderId="9" xfId="1" applyNumberFormat="1" applyFont="1" applyFill="1" applyBorder="1" applyAlignment="1">
      <alignment horizontal="center" vertical="center" wrapText="1"/>
    </xf>
    <xf numFmtId="165" fontId="7" fillId="10" borderId="9" xfId="1" applyNumberFormat="1" applyFont="1" applyFill="1" applyBorder="1" applyAlignment="1">
      <alignment horizontal="center" vertical="center" wrapText="1"/>
    </xf>
    <xf numFmtId="0" fontId="7" fillId="10" borderId="9" xfId="1" applyNumberFormat="1" applyFont="1" applyFill="1" applyBorder="1" applyAlignment="1">
      <alignment horizontal="center" vertical="center" wrapText="1"/>
    </xf>
    <xf numFmtId="165" fontId="7" fillId="11" borderId="9" xfId="1" applyNumberFormat="1" applyFont="1" applyFill="1" applyBorder="1" applyAlignment="1">
      <alignment horizontal="center" vertical="center" wrapText="1"/>
    </xf>
    <xf numFmtId="0" fontId="7" fillId="11" borderId="9" xfId="1" applyNumberFormat="1" applyFont="1" applyFill="1" applyBorder="1" applyAlignment="1">
      <alignment horizontal="center" vertical="center" wrapText="1"/>
    </xf>
    <xf numFmtId="165" fontId="7" fillId="12" borderId="9" xfId="1" applyNumberFormat="1" applyFont="1" applyFill="1" applyBorder="1" applyAlignment="1">
      <alignment horizontal="center" vertical="center" wrapText="1"/>
    </xf>
    <xf numFmtId="0" fontId="7" fillId="12" borderId="9" xfId="1" applyNumberFormat="1" applyFont="1" applyFill="1" applyBorder="1" applyAlignment="1">
      <alignment horizontal="center" vertical="center" wrapText="1"/>
    </xf>
    <xf numFmtId="165" fontId="7" fillId="13" borderId="9" xfId="1" applyNumberFormat="1" applyFont="1" applyFill="1" applyBorder="1" applyAlignment="1">
      <alignment horizontal="center" vertical="center" wrapText="1"/>
    </xf>
    <xf numFmtId="0" fontId="7" fillId="13" borderId="9" xfId="1" applyNumberFormat="1" applyFont="1" applyFill="1" applyBorder="1" applyAlignment="1">
      <alignment horizontal="center" vertical="center" wrapText="1"/>
    </xf>
    <xf numFmtId="165" fontId="7" fillId="14" borderId="9" xfId="1" applyNumberFormat="1" applyFont="1" applyFill="1" applyBorder="1" applyAlignment="1">
      <alignment horizontal="center" vertical="center" wrapText="1"/>
    </xf>
    <xf numFmtId="0" fontId="7" fillId="14" borderId="9" xfId="1" applyNumberFormat="1" applyFont="1" applyFill="1" applyBorder="1" applyAlignment="1">
      <alignment horizontal="center" vertical="center" wrapText="1"/>
    </xf>
    <xf numFmtId="165" fontId="7" fillId="15" borderId="9" xfId="1" applyNumberFormat="1" applyFont="1" applyFill="1" applyBorder="1" applyAlignment="1">
      <alignment horizontal="center" vertical="center" wrapText="1"/>
    </xf>
    <xf numFmtId="0" fontId="7" fillId="15" borderId="9" xfId="1" applyNumberFormat="1" applyFont="1" applyFill="1" applyBorder="1" applyAlignment="1">
      <alignment horizontal="center" vertical="center" wrapText="1"/>
    </xf>
    <xf numFmtId="165" fontId="7" fillId="16" borderId="9" xfId="1" applyNumberFormat="1" applyFont="1" applyFill="1" applyBorder="1" applyAlignment="1">
      <alignment horizontal="center" vertical="center" wrapText="1"/>
    </xf>
    <xf numFmtId="0" fontId="7" fillId="16" borderId="9" xfId="1" applyNumberFormat="1" applyFont="1" applyFill="1" applyBorder="1" applyAlignment="1">
      <alignment horizontal="center" vertical="center" wrapText="1"/>
    </xf>
    <xf numFmtId="165" fontId="7" fillId="17" borderId="9" xfId="1" applyNumberFormat="1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/>
    </xf>
    <xf numFmtId="165" fontId="0" fillId="18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0" fontId="0" fillId="19" borderId="9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18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8" borderId="0" xfId="0" applyFill="1"/>
    <xf numFmtId="166" fontId="0" fillId="0" borderId="9" xfId="1" applyNumberFormat="1" applyFont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165" fontId="2" fillId="18" borderId="9" xfId="0" applyNumberFormat="1" applyFont="1" applyFill="1" applyBorder="1" applyAlignment="1">
      <alignment horizontal="center" vertical="center"/>
    </xf>
    <xf numFmtId="165" fontId="0" fillId="18" borderId="9" xfId="0" applyNumberFormat="1" applyFill="1" applyBorder="1"/>
    <xf numFmtId="0" fontId="0" fillId="18" borderId="9" xfId="0" applyFill="1" applyBorder="1"/>
    <xf numFmtId="0" fontId="0" fillId="2" borderId="9" xfId="0" applyFill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9" xfId="0" applyBorder="1"/>
    <xf numFmtId="0" fontId="0" fillId="20" borderId="9" xfId="0" applyFill="1" applyBorder="1" applyAlignment="1">
      <alignment horizontal="center"/>
    </xf>
    <xf numFmtId="0" fontId="0" fillId="20" borderId="9" xfId="0" applyFill="1" applyBorder="1"/>
    <xf numFmtId="165" fontId="0" fillId="0" borderId="9" xfId="0" applyNumberFormat="1" applyBorder="1"/>
    <xf numFmtId="0" fontId="2" fillId="0" borderId="9" xfId="0" applyFont="1" applyBorder="1"/>
    <xf numFmtId="0" fontId="0" fillId="0" borderId="0" xfId="0" applyAlignment="1">
      <alignment horizontal="center" vertical="center"/>
    </xf>
    <xf numFmtId="165" fontId="0" fillId="0" borderId="0" xfId="0" applyNumberFormat="1"/>
  </cellXfs>
  <cellStyles count="2">
    <cellStyle name="Normal" xfId="0" builtinId="0"/>
    <cellStyle name="Normal 14" xfId="1" xr:uid="{02CE5825-07C0-428F-84CC-FCA08F430C42}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DAF1-7E5F-4671-B6F5-6C6008425E5A}">
  <dimension ref="A1:AI66"/>
  <sheetViews>
    <sheetView tabSelected="1" topLeftCell="A3" workbookViewId="0">
      <selection sqref="A1:XFD1048576"/>
    </sheetView>
  </sheetViews>
  <sheetFormatPr defaultColWidth="8.85546875" defaultRowHeight="15" x14ac:dyDescent="0.25"/>
  <cols>
    <col min="1" max="1" width="12.7109375" style="47" customWidth="1"/>
    <col min="2" max="2" width="17.7109375" style="62" customWidth="1"/>
    <col min="3" max="3" width="10.28515625" customWidth="1"/>
    <col min="4" max="4" width="26" style="63" hidden="1" customWidth="1"/>
    <col min="5" max="5" width="14.140625" hidden="1" customWidth="1"/>
    <col min="6" max="6" width="19.28515625" customWidth="1"/>
    <col min="7" max="7" width="13.5703125" customWidth="1"/>
    <col min="8" max="8" width="20" customWidth="1"/>
    <col min="9" max="9" width="11.28515625" style="6" customWidth="1"/>
    <col min="10" max="10" width="20.7109375" hidden="1" customWidth="1"/>
    <col min="11" max="11" width="15.42578125" hidden="1" customWidth="1"/>
    <col min="12" max="12" width="19.28515625" customWidth="1"/>
    <col min="13" max="13" width="13" customWidth="1"/>
    <col min="14" max="14" width="19" customWidth="1"/>
    <col min="15" max="15" width="10.28515625" customWidth="1"/>
    <col min="16" max="16" width="21.5703125" hidden="1" customWidth="1"/>
    <col min="17" max="17" width="14" hidden="1" customWidth="1"/>
    <col min="18" max="18" width="21.28515625" hidden="1" customWidth="1"/>
    <col min="19" max="19" width="14" hidden="1" customWidth="1"/>
    <col min="20" max="20" width="22.140625" hidden="1" customWidth="1"/>
    <col min="21" max="21" width="3.28515625" hidden="1" customWidth="1"/>
    <col min="22" max="22" width="19" customWidth="1"/>
    <col min="23" max="23" width="10.140625" customWidth="1"/>
    <col min="24" max="24" width="18.5703125" hidden="1" customWidth="1"/>
    <col min="25" max="25" width="14" hidden="1" customWidth="1"/>
    <col min="26" max="26" width="16" customWidth="1"/>
    <col min="27" max="27" width="14" customWidth="1"/>
    <col min="28" max="28" width="15.42578125" customWidth="1"/>
    <col min="29" max="29" width="11.7109375" customWidth="1"/>
    <col min="30" max="30" width="14.85546875" customWidth="1"/>
    <col min="31" max="31" width="14" customWidth="1"/>
    <col min="32" max="32" width="17.85546875" customWidth="1"/>
    <col min="33" max="33" width="14" customWidth="1"/>
    <col min="34" max="34" width="21" hidden="1" customWidth="1"/>
    <col min="35" max="35" width="20.7109375" hidden="1" customWidth="1"/>
    <col min="36" max="36" width="20.7109375" customWidth="1"/>
  </cols>
  <sheetData>
    <row r="1" spans="1:31" ht="31.5" hidden="1" x14ac:dyDescent="0.5">
      <c r="A1" s="1"/>
      <c r="B1" s="1"/>
      <c r="C1" s="1"/>
      <c r="D1" s="2"/>
      <c r="E1" s="3">
        <f ca="1">TODAY()</f>
        <v>46072</v>
      </c>
      <c r="F1" s="4"/>
      <c r="G1" s="5"/>
    </row>
    <row r="2" spans="1:31" ht="24" hidden="1" thickBot="1" x14ac:dyDescent="0.3">
      <c r="A2" s="7" t="s">
        <v>0</v>
      </c>
      <c r="B2" s="8"/>
      <c r="C2" s="8"/>
      <c r="D2" s="9"/>
      <c r="E2" s="10"/>
      <c r="F2" s="11"/>
      <c r="G2" s="12"/>
    </row>
    <row r="3" spans="1:31" ht="76.900000000000006" customHeight="1" x14ac:dyDescent="0.25">
      <c r="A3" s="13" t="s">
        <v>1</v>
      </c>
      <c r="B3" s="14" t="s">
        <v>2</v>
      </c>
      <c r="C3" s="15" t="s">
        <v>3</v>
      </c>
      <c r="D3" s="16" t="s">
        <v>4</v>
      </c>
      <c r="E3" s="17" t="s">
        <v>3</v>
      </c>
      <c r="F3" s="18" t="s">
        <v>5</v>
      </c>
      <c r="G3" s="19" t="s">
        <v>3</v>
      </c>
      <c r="H3" s="20" t="s">
        <v>6</v>
      </c>
      <c r="I3" s="21" t="s">
        <v>3</v>
      </c>
      <c r="J3" s="22" t="s">
        <v>7</v>
      </c>
      <c r="K3" s="23" t="s">
        <v>3</v>
      </c>
      <c r="L3" s="24" t="s">
        <v>8</v>
      </c>
      <c r="M3" s="25" t="s">
        <v>3</v>
      </c>
      <c r="N3" s="22" t="s">
        <v>9</v>
      </c>
      <c r="O3" s="23" t="s">
        <v>3</v>
      </c>
      <c r="P3" s="26" t="s">
        <v>10</v>
      </c>
      <c r="Q3" s="27" t="s">
        <v>3</v>
      </c>
      <c r="R3" s="28" t="s">
        <v>11</v>
      </c>
      <c r="S3" s="29" t="s">
        <v>3</v>
      </c>
      <c r="T3" s="30" t="s">
        <v>12</v>
      </c>
      <c r="U3" s="31" t="s">
        <v>3</v>
      </c>
      <c r="V3" s="32" t="s">
        <v>13</v>
      </c>
      <c r="W3" s="33" t="s">
        <v>3</v>
      </c>
      <c r="X3" s="34" t="s">
        <v>14</v>
      </c>
      <c r="Y3" s="35" t="s">
        <v>3</v>
      </c>
      <c r="Z3" s="36" t="s">
        <v>15</v>
      </c>
      <c r="AA3" s="37" t="s">
        <v>3</v>
      </c>
      <c r="AB3" s="26" t="s">
        <v>16</v>
      </c>
      <c r="AC3" s="27" t="s">
        <v>3</v>
      </c>
      <c r="AD3" s="38" t="s">
        <v>17</v>
      </c>
      <c r="AE3" s="38" t="s">
        <v>3</v>
      </c>
    </row>
    <row r="4" spans="1:31" ht="15" customHeight="1" x14ac:dyDescent="0.25">
      <c r="A4" s="39" t="s">
        <v>18</v>
      </c>
      <c r="B4" s="40">
        <v>46258</v>
      </c>
      <c r="C4" s="41">
        <f t="shared" ref="C4:C28" ca="1" si="0">B4-$E$1</f>
        <v>186</v>
      </c>
      <c r="D4" s="42"/>
      <c r="E4" s="41">
        <f t="shared" ref="E4:E27" ca="1" si="1">D4-$E$1</f>
        <v>-46072</v>
      </c>
      <c r="F4" s="42">
        <v>46230</v>
      </c>
      <c r="G4" s="41">
        <f t="shared" ref="G4:G47" ca="1" si="2">F4-$E$1</f>
        <v>158</v>
      </c>
      <c r="H4" s="42">
        <v>46431</v>
      </c>
      <c r="I4" s="43">
        <f ca="1">H4-$E$1</f>
        <v>359</v>
      </c>
      <c r="J4" s="42"/>
      <c r="K4" s="41">
        <f ca="1">J4-$E$1</f>
        <v>-46072</v>
      </c>
      <c r="L4" s="42">
        <v>46185</v>
      </c>
      <c r="M4" s="41">
        <f t="shared" ref="M4:M51" ca="1" si="3">L4-$E$1</f>
        <v>113</v>
      </c>
      <c r="N4" s="44">
        <v>46252</v>
      </c>
      <c r="O4" s="41">
        <f t="shared" ref="O4:O49" ca="1" si="4">N4-$E$1</f>
        <v>180</v>
      </c>
      <c r="P4" s="44"/>
      <c r="Q4" s="41">
        <f ca="1">P4-$E$1</f>
        <v>-46072</v>
      </c>
      <c r="R4" s="44"/>
      <c r="S4" s="41">
        <f ca="1">R4-$E$1</f>
        <v>-46072</v>
      </c>
      <c r="T4" s="44"/>
      <c r="U4" s="41"/>
      <c r="V4" s="44">
        <v>46273</v>
      </c>
      <c r="W4" s="41">
        <f ca="1">V4-$E$1</f>
        <v>201</v>
      </c>
      <c r="X4" s="44"/>
      <c r="Y4" s="41"/>
      <c r="Z4" s="45">
        <v>46112</v>
      </c>
      <c r="AA4" s="41">
        <f t="shared" ref="AA4:AA65" ca="1" si="5">Z4-$E$1</f>
        <v>40</v>
      </c>
      <c r="AB4" s="45" t="s">
        <v>19</v>
      </c>
      <c r="AC4" s="41"/>
      <c r="AD4" s="45" t="s">
        <v>19</v>
      </c>
      <c r="AE4" s="41"/>
    </row>
    <row r="5" spans="1:31" ht="15" customHeight="1" x14ac:dyDescent="0.25">
      <c r="A5" s="39" t="s">
        <v>20</v>
      </c>
      <c r="B5" s="42">
        <v>46065</v>
      </c>
      <c r="C5" s="41">
        <f t="shared" ca="1" si="0"/>
        <v>-7</v>
      </c>
      <c r="D5" s="42"/>
      <c r="E5" s="41"/>
      <c r="F5" s="40">
        <v>46274</v>
      </c>
      <c r="G5" s="41">
        <f t="shared" ca="1" si="2"/>
        <v>202</v>
      </c>
      <c r="H5" s="42">
        <v>46252</v>
      </c>
      <c r="I5" s="43">
        <f ca="1">H5-$E$1</f>
        <v>180</v>
      </c>
      <c r="J5" s="42"/>
      <c r="K5" s="41"/>
      <c r="L5" s="42">
        <v>46255</v>
      </c>
      <c r="M5" s="41">
        <f t="shared" ca="1" si="3"/>
        <v>183</v>
      </c>
      <c r="N5" s="42">
        <v>46252</v>
      </c>
      <c r="O5" s="41">
        <f t="shared" ca="1" si="4"/>
        <v>180</v>
      </c>
      <c r="P5" s="44"/>
      <c r="Q5" s="41"/>
      <c r="R5" s="44"/>
      <c r="S5" s="41"/>
      <c r="T5" s="44"/>
      <c r="U5" s="41"/>
      <c r="V5" s="44">
        <v>46273</v>
      </c>
      <c r="W5" s="41">
        <f t="shared" ref="W5:W10" ca="1" si="6">V5-$E$1</f>
        <v>201</v>
      </c>
      <c r="X5" s="44"/>
      <c r="Y5" s="41"/>
      <c r="Z5" s="45">
        <v>46112</v>
      </c>
      <c r="AA5" s="41">
        <f t="shared" ca="1" si="5"/>
        <v>40</v>
      </c>
      <c r="AB5" s="45" t="s">
        <v>19</v>
      </c>
      <c r="AC5" s="41"/>
      <c r="AD5" s="45" t="s">
        <v>19</v>
      </c>
      <c r="AE5" s="41"/>
    </row>
    <row r="6" spans="1:31" ht="15" customHeight="1" x14ac:dyDescent="0.25">
      <c r="A6" s="39" t="s">
        <v>21</v>
      </c>
      <c r="B6" s="42">
        <v>46105</v>
      </c>
      <c r="C6" s="41">
        <f t="shared" ca="1" si="0"/>
        <v>33</v>
      </c>
      <c r="D6" s="42"/>
      <c r="E6" s="41"/>
      <c r="F6" s="42">
        <v>46274</v>
      </c>
      <c r="G6" s="41">
        <f t="shared" ca="1" si="2"/>
        <v>202</v>
      </c>
      <c r="H6" s="42">
        <v>46252</v>
      </c>
      <c r="I6" s="43">
        <f t="shared" ref="I6:I47" ca="1" si="7">H6-$E$1</f>
        <v>180</v>
      </c>
      <c r="J6" s="42"/>
      <c r="K6" s="41"/>
      <c r="L6" s="42">
        <v>46255</v>
      </c>
      <c r="M6" s="41">
        <f t="shared" ca="1" si="3"/>
        <v>183</v>
      </c>
      <c r="N6" s="42">
        <v>46252</v>
      </c>
      <c r="O6" s="41">
        <f t="shared" ca="1" si="4"/>
        <v>180</v>
      </c>
      <c r="P6" s="44"/>
      <c r="Q6" s="41"/>
      <c r="R6" s="44"/>
      <c r="S6" s="41"/>
      <c r="T6" s="44"/>
      <c r="U6" s="41"/>
      <c r="V6" s="44">
        <v>46273</v>
      </c>
      <c r="W6" s="41">
        <f t="shared" ca="1" si="6"/>
        <v>201</v>
      </c>
      <c r="X6" s="44"/>
      <c r="Y6" s="41"/>
      <c r="Z6" s="45">
        <v>46112</v>
      </c>
      <c r="AA6" s="41">
        <f t="shared" ca="1" si="5"/>
        <v>40</v>
      </c>
      <c r="AB6" s="45" t="s">
        <v>19</v>
      </c>
      <c r="AC6" s="41"/>
      <c r="AD6" s="45" t="s">
        <v>19</v>
      </c>
      <c r="AE6" s="41"/>
    </row>
    <row r="7" spans="1:31" ht="15" customHeight="1" x14ac:dyDescent="0.25">
      <c r="A7" s="39" t="s">
        <v>22</v>
      </c>
      <c r="B7" s="42">
        <v>46258</v>
      </c>
      <c r="C7" s="41">
        <f t="shared" ca="1" si="0"/>
        <v>186</v>
      </c>
      <c r="D7" s="42"/>
      <c r="E7" s="41"/>
      <c r="F7" s="42">
        <v>46274</v>
      </c>
      <c r="G7" s="41">
        <f t="shared" ca="1" si="2"/>
        <v>202</v>
      </c>
      <c r="H7" s="42">
        <v>46097</v>
      </c>
      <c r="I7" s="43">
        <f t="shared" ca="1" si="7"/>
        <v>25</v>
      </c>
      <c r="J7" s="42"/>
      <c r="K7" s="41"/>
      <c r="L7" s="42">
        <v>46259</v>
      </c>
      <c r="M7" s="41">
        <f t="shared" ca="1" si="3"/>
        <v>187</v>
      </c>
      <c r="N7" s="42">
        <v>46254</v>
      </c>
      <c r="O7" s="41">
        <f t="shared" ca="1" si="4"/>
        <v>182</v>
      </c>
      <c r="P7" s="44"/>
      <c r="Q7" s="41"/>
      <c r="R7" s="44"/>
      <c r="S7" s="41"/>
      <c r="T7" s="44"/>
      <c r="U7" s="41"/>
      <c r="V7" s="44">
        <v>46273</v>
      </c>
      <c r="W7" s="41">
        <f t="shared" ca="1" si="6"/>
        <v>201</v>
      </c>
      <c r="X7" s="44"/>
      <c r="Y7" s="41"/>
      <c r="Z7" s="45">
        <v>46112</v>
      </c>
      <c r="AA7" s="41">
        <f t="shared" ca="1" si="5"/>
        <v>40</v>
      </c>
      <c r="AB7" s="45" t="s">
        <v>19</v>
      </c>
      <c r="AC7" s="41"/>
      <c r="AD7" s="45" t="s">
        <v>19</v>
      </c>
      <c r="AE7" s="41"/>
    </row>
    <row r="8" spans="1:31" ht="15" customHeight="1" x14ac:dyDescent="0.25">
      <c r="A8" s="39" t="s">
        <v>23</v>
      </c>
      <c r="B8" s="42">
        <v>46258</v>
      </c>
      <c r="C8" s="41">
        <f t="shared" ca="1" si="0"/>
        <v>186</v>
      </c>
      <c r="D8" s="42"/>
      <c r="E8" s="41"/>
      <c r="F8" s="42">
        <v>46325</v>
      </c>
      <c r="G8" s="41">
        <f t="shared" ca="1" si="2"/>
        <v>253</v>
      </c>
      <c r="H8" s="42">
        <v>46252</v>
      </c>
      <c r="I8" s="43">
        <f t="shared" ca="1" si="7"/>
        <v>180</v>
      </c>
      <c r="J8" s="42"/>
      <c r="K8" s="41"/>
      <c r="L8" s="42">
        <v>46255</v>
      </c>
      <c r="M8" s="41">
        <f t="shared" ca="1" si="3"/>
        <v>183</v>
      </c>
      <c r="N8" s="42">
        <v>46252</v>
      </c>
      <c r="O8" s="41">
        <f t="shared" ca="1" si="4"/>
        <v>180</v>
      </c>
      <c r="P8" s="44"/>
      <c r="Q8" s="41"/>
      <c r="R8" s="44"/>
      <c r="S8" s="41"/>
      <c r="T8" s="44"/>
      <c r="U8" s="41"/>
      <c r="V8" s="44">
        <v>46273</v>
      </c>
      <c r="W8" s="41">
        <f t="shared" ca="1" si="6"/>
        <v>201</v>
      </c>
      <c r="X8" s="44"/>
      <c r="Y8" s="41"/>
      <c r="Z8" s="45">
        <v>46112</v>
      </c>
      <c r="AA8" s="41">
        <f t="shared" ca="1" si="5"/>
        <v>40</v>
      </c>
      <c r="AB8" s="45" t="s">
        <v>19</v>
      </c>
      <c r="AC8" s="41"/>
      <c r="AD8" s="45" t="s">
        <v>19</v>
      </c>
      <c r="AE8" s="41"/>
    </row>
    <row r="9" spans="1:31" ht="15" customHeight="1" x14ac:dyDescent="0.25">
      <c r="A9" s="39" t="s">
        <v>24</v>
      </c>
      <c r="B9" s="42">
        <v>46258</v>
      </c>
      <c r="C9" s="41">
        <f t="shared" ca="1" si="0"/>
        <v>186</v>
      </c>
      <c r="D9" s="42"/>
      <c r="E9" s="41"/>
      <c r="F9" s="42">
        <v>46325</v>
      </c>
      <c r="G9" s="41">
        <f t="shared" ca="1" si="2"/>
        <v>253</v>
      </c>
      <c r="H9" s="42">
        <v>46252</v>
      </c>
      <c r="I9" s="43">
        <f t="shared" ca="1" si="7"/>
        <v>180</v>
      </c>
      <c r="J9" s="42"/>
      <c r="K9" s="41"/>
      <c r="L9" s="42">
        <v>46255</v>
      </c>
      <c r="M9" s="41">
        <f t="shared" ca="1" si="3"/>
        <v>183</v>
      </c>
      <c r="N9" s="42">
        <v>46252</v>
      </c>
      <c r="O9" s="41">
        <f t="shared" ca="1" si="4"/>
        <v>180</v>
      </c>
      <c r="P9" s="44"/>
      <c r="Q9" s="41"/>
      <c r="R9" s="44"/>
      <c r="S9" s="41"/>
      <c r="T9" s="44"/>
      <c r="U9" s="41"/>
      <c r="V9" s="44">
        <v>46273</v>
      </c>
      <c r="W9" s="41">
        <f t="shared" ca="1" si="6"/>
        <v>201</v>
      </c>
      <c r="X9" s="44"/>
      <c r="Y9" s="41"/>
      <c r="Z9" s="45">
        <v>46112</v>
      </c>
      <c r="AA9" s="41">
        <f t="shared" ca="1" si="5"/>
        <v>40</v>
      </c>
      <c r="AB9" s="45" t="s">
        <v>19</v>
      </c>
      <c r="AC9" s="41"/>
      <c r="AD9" s="45" t="s">
        <v>19</v>
      </c>
      <c r="AE9" s="41"/>
    </row>
    <row r="10" spans="1:31" ht="15" customHeight="1" x14ac:dyDescent="0.25">
      <c r="A10" s="39" t="s">
        <v>25</v>
      </c>
      <c r="B10" s="42">
        <v>46258</v>
      </c>
      <c r="C10" s="41">
        <f t="shared" ca="1" si="0"/>
        <v>186</v>
      </c>
      <c r="D10" s="42"/>
      <c r="E10" s="41"/>
      <c r="F10" s="42">
        <v>46294</v>
      </c>
      <c r="G10" s="41">
        <f t="shared" ca="1" si="2"/>
        <v>222</v>
      </c>
      <c r="H10" s="42">
        <v>46252</v>
      </c>
      <c r="I10" s="43">
        <f t="shared" ca="1" si="7"/>
        <v>180</v>
      </c>
      <c r="J10" s="42"/>
      <c r="K10" s="41"/>
      <c r="L10" s="42">
        <v>46255</v>
      </c>
      <c r="M10" s="41">
        <f t="shared" ca="1" si="3"/>
        <v>183</v>
      </c>
      <c r="N10" s="42">
        <v>46252</v>
      </c>
      <c r="O10" s="41">
        <f t="shared" ca="1" si="4"/>
        <v>180</v>
      </c>
      <c r="P10" s="44"/>
      <c r="Q10" s="41"/>
      <c r="R10" s="44"/>
      <c r="S10" s="41"/>
      <c r="T10" s="44"/>
      <c r="U10" s="41"/>
      <c r="V10" s="44">
        <v>46273</v>
      </c>
      <c r="W10" s="41">
        <f t="shared" ca="1" si="6"/>
        <v>201</v>
      </c>
      <c r="X10" s="44"/>
      <c r="Y10" s="41"/>
      <c r="Z10" s="45">
        <v>46112</v>
      </c>
      <c r="AA10" s="41">
        <f t="shared" ca="1" si="5"/>
        <v>40</v>
      </c>
      <c r="AB10" s="45" t="s">
        <v>19</v>
      </c>
      <c r="AC10" s="41"/>
      <c r="AD10" s="45" t="s">
        <v>19</v>
      </c>
      <c r="AE10" s="41"/>
    </row>
    <row r="11" spans="1:31" ht="15" customHeight="1" x14ac:dyDescent="0.25">
      <c r="A11" s="39" t="s">
        <v>26</v>
      </c>
      <c r="B11" s="42">
        <v>46360</v>
      </c>
      <c r="C11" s="41">
        <f t="shared" ca="1" si="0"/>
        <v>288</v>
      </c>
      <c r="D11" s="42"/>
      <c r="E11" s="41"/>
      <c r="F11" s="42">
        <v>46422</v>
      </c>
      <c r="G11" s="41">
        <f t="shared" ca="1" si="2"/>
        <v>350</v>
      </c>
      <c r="H11" s="42">
        <v>46346</v>
      </c>
      <c r="I11" s="43">
        <f t="shared" ca="1" si="7"/>
        <v>274</v>
      </c>
      <c r="J11" s="42"/>
      <c r="K11" s="41"/>
      <c r="L11" s="42">
        <v>46353</v>
      </c>
      <c r="M11" s="41">
        <f t="shared" ca="1" si="3"/>
        <v>281</v>
      </c>
      <c r="N11" s="42"/>
      <c r="O11" s="41"/>
      <c r="P11" s="44"/>
      <c r="Q11" s="41"/>
      <c r="R11" s="44"/>
      <c r="S11" s="41"/>
      <c r="T11" s="44"/>
      <c r="U11" s="41"/>
      <c r="V11" s="44"/>
      <c r="W11" s="41"/>
      <c r="X11" s="44"/>
      <c r="Y11" s="41"/>
      <c r="Z11" s="45">
        <v>46112</v>
      </c>
      <c r="AA11" s="41">
        <f t="shared" ca="1" si="5"/>
        <v>40</v>
      </c>
      <c r="AB11" s="45" t="s">
        <v>19</v>
      </c>
      <c r="AC11" s="41"/>
      <c r="AD11" s="45" t="s">
        <v>19</v>
      </c>
      <c r="AE11" s="41"/>
    </row>
    <row r="12" spans="1:31" ht="16.5" customHeight="1" x14ac:dyDescent="0.25">
      <c r="A12" s="39" t="s">
        <v>27</v>
      </c>
      <c r="B12" s="40">
        <v>46274</v>
      </c>
      <c r="C12" s="41">
        <f t="shared" ca="1" si="0"/>
        <v>202</v>
      </c>
      <c r="D12" s="42"/>
      <c r="E12" s="41">
        <f t="shared" ca="1" si="1"/>
        <v>-46072</v>
      </c>
      <c r="F12" s="42">
        <v>46092</v>
      </c>
      <c r="G12" s="41">
        <f t="shared" ca="1" si="2"/>
        <v>20</v>
      </c>
      <c r="H12" s="42">
        <v>46409</v>
      </c>
      <c r="I12" s="41">
        <f t="shared" ca="1" si="7"/>
        <v>337</v>
      </c>
      <c r="J12" s="42"/>
      <c r="K12" s="41"/>
      <c r="L12" s="42">
        <v>46135</v>
      </c>
      <c r="M12" s="41">
        <f t="shared" ca="1" si="3"/>
        <v>63</v>
      </c>
      <c r="N12" s="42">
        <v>46252</v>
      </c>
      <c r="O12" s="41">
        <f ca="1">N12-$E$1</f>
        <v>180</v>
      </c>
      <c r="P12" s="42"/>
      <c r="Q12" s="41"/>
      <c r="R12" s="44"/>
      <c r="S12" s="41"/>
      <c r="T12" s="44"/>
      <c r="U12" s="41"/>
      <c r="V12" s="44">
        <v>46328</v>
      </c>
      <c r="W12" s="41">
        <f t="shared" ref="W12:W47" ca="1" si="8">V12-$E$1</f>
        <v>256</v>
      </c>
      <c r="X12" s="44"/>
      <c r="Y12" s="41"/>
      <c r="Z12" s="45">
        <v>46112</v>
      </c>
      <c r="AA12" s="41">
        <f t="shared" ca="1" si="5"/>
        <v>40</v>
      </c>
      <c r="AB12" s="45" t="s">
        <v>19</v>
      </c>
      <c r="AC12" s="41"/>
      <c r="AD12" s="45" t="s">
        <v>19</v>
      </c>
      <c r="AE12" s="41"/>
    </row>
    <row r="13" spans="1:31" ht="15" customHeight="1" x14ac:dyDescent="0.25">
      <c r="A13" s="39" t="s">
        <v>28</v>
      </c>
      <c r="B13" s="40">
        <v>46274</v>
      </c>
      <c r="C13" s="41">
        <f t="shared" ca="1" si="0"/>
        <v>202</v>
      </c>
      <c r="D13" s="42"/>
      <c r="E13" s="41">
        <f t="shared" ca="1" si="1"/>
        <v>-46072</v>
      </c>
      <c r="F13" s="42">
        <v>46092</v>
      </c>
      <c r="G13" s="41">
        <f t="shared" ca="1" si="2"/>
        <v>20</v>
      </c>
      <c r="H13" s="42">
        <v>46409</v>
      </c>
      <c r="I13" s="41">
        <f t="shared" ca="1" si="7"/>
        <v>337</v>
      </c>
      <c r="J13" s="42"/>
      <c r="K13" s="41">
        <f ca="1">J13-$E$1</f>
        <v>-46072</v>
      </c>
      <c r="L13" s="42">
        <v>46135</v>
      </c>
      <c r="M13" s="41">
        <f t="shared" ca="1" si="3"/>
        <v>63</v>
      </c>
      <c r="N13" s="42">
        <v>46252</v>
      </c>
      <c r="O13" s="41">
        <f ca="1">N13-$E$1</f>
        <v>180</v>
      </c>
      <c r="P13" s="44"/>
      <c r="Q13" s="41">
        <f ca="1">P13-$E$1</f>
        <v>-46072</v>
      </c>
      <c r="R13" s="44"/>
      <c r="S13" s="41">
        <f ca="1">R13-$E$1</f>
        <v>-46072</v>
      </c>
      <c r="T13" s="44"/>
      <c r="U13" s="41"/>
      <c r="V13" s="44">
        <v>46329</v>
      </c>
      <c r="W13" s="41">
        <f t="shared" ca="1" si="8"/>
        <v>257</v>
      </c>
      <c r="X13" s="44"/>
      <c r="Y13" s="41"/>
      <c r="Z13" s="45">
        <v>46112</v>
      </c>
      <c r="AA13" s="41">
        <f t="shared" ca="1" si="5"/>
        <v>40</v>
      </c>
      <c r="AB13" s="45" t="s">
        <v>19</v>
      </c>
      <c r="AC13" s="41"/>
      <c r="AD13" s="45" t="s">
        <v>19</v>
      </c>
      <c r="AE13" s="41"/>
    </row>
    <row r="14" spans="1:31" ht="15" customHeight="1" x14ac:dyDescent="0.25">
      <c r="A14" s="39" t="s">
        <v>29</v>
      </c>
      <c r="B14" s="40">
        <v>46411</v>
      </c>
      <c r="C14" s="41">
        <f t="shared" ca="1" si="0"/>
        <v>339</v>
      </c>
      <c r="D14" s="42"/>
      <c r="E14" s="41">
        <f t="shared" ca="1" si="1"/>
        <v>-46072</v>
      </c>
      <c r="F14" s="42">
        <v>46092</v>
      </c>
      <c r="G14" s="41">
        <f t="shared" ca="1" si="2"/>
        <v>20</v>
      </c>
      <c r="H14" s="42">
        <v>46409</v>
      </c>
      <c r="I14" s="41">
        <f t="shared" ca="1" si="7"/>
        <v>337</v>
      </c>
      <c r="J14" s="42"/>
      <c r="K14" s="41"/>
      <c r="L14" s="42">
        <v>46135</v>
      </c>
      <c r="M14" s="41">
        <f t="shared" ca="1" si="3"/>
        <v>63</v>
      </c>
      <c r="N14" s="42">
        <v>46252</v>
      </c>
      <c r="O14" s="41">
        <f t="shared" ca="1" si="4"/>
        <v>180</v>
      </c>
      <c r="P14" s="44"/>
      <c r="Q14" s="41">
        <f ca="1">P14-$E$1</f>
        <v>-46072</v>
      </c>
      <c r="R14" s="44"/>
      <c r="S14" s="41"/>
      <c r="T14" s="44"/>
      <c r="U14" s="41"/>
      <c r="V14" s="44">
        <v>46329</v>
      </c>
      <c r="W14" s="41">
        <f t="shared" ca="1" si="8"/>
        <v>257</v>
      </c>
      <c r="X14" s="44"/>
      <c r="Y14" s="41"/>
      <c r="Z14" s="45">
        <v>46112</v>
      </c>
      <c r="AA14" s="41">
        <f t="shared" ca="1" si="5"/>
        <v>40</v>
      </c>
      <c r="AB14" s="45" t="s">
        <v>19</v>
      </c>
      <c r="AC14" s="41"/>
      <c r="AD14" s="45" t="s">
        <v>19</v>
      </c>
      <c r="AE14" s="41"/>
    </row>
    <row r="15" spans="1:31" ht="15.6" hidden="1" customHeight="1" x14ac:dyDescent="0.25">
      <c r="A15" s="39" t="s">
        <v>30</v>
      </c>
      <c r="B15" s="40">
        <v>46411</v>
      </c>
      <c r="C15" s="41">
        <f t="shared" ca="1" si="0"/>
        <v>339</v>
      </c>
      <c r="D15" s="42"/>
      <c r="E15" s="41">
        <f t="shared" ca="1" si="1"/>
        <v>-46072</v>
      </c>
      <c r="F15" s="42">
        <v>45960</v>
      </c>
      <c r="G15" s="41">
        <f t="shared" ca="1" si="2"/>
        <v>-112</v>
      </c>
      <c r="H15" s="42">
        <v>46409</v>
      </c>
      <c r="I15" s="41">
        <f t="shared" ca="1" si="7"/>
        <v>337</v>
      </c>
      <c r="J15" s="42"/>
      <c r="K15" s="41">
        <f ca="1">J15-$E$1</f>
        <v>-46072</v>
      </c>
      <c r="L15" s="42">
        <v>46135</v>
      </c>
      <c r="M15" s="41">
        <f t="shared" ca="1" si="3"/>
        <v>63</v>
      </c>
      <c r="N15" s="42">
        <v>46253</v>
      </c>
      <c r="O15" s="41">
        <f t="shared" ca="1" si="4"/>
        <v>181</v>
      </c>
      <c r="P15" s="44"/>
      <c r="Q15" s="41">
        <f ca="1">P15-$E$1</f>
        <v>-46072</v>
      </c>
      <c r="R15" s="44"/>
      <c r="S15" s="41">
        <f ca="1">R15-$E$1</f>
        <v>-46072</v>
      </c>
      <c r="T15" s="44"/>
      <c r="U15" s="41"/>
      <c r="V15" s="44">
        <v>46329</v>
      </c>
      <c r="W15" s="41">
        <f t="shared" ca="1" si="8"/>
        <v>257</v>
      </c>
      <c r="X15" s="44"/>
      <c r="Y15" s="41"/>
      <c r="Z15" s="45">
        <v>46112</v>
      </c>
      <c r="AA15" s="41">
        <f t="shared" ca="1" si="5"/>
        <v>40</v>
      </c>
      <c r="AB15" s="45" t="s">
        <v>19</v>
      </c>
      <c r="AC15" s="41"/>
      <c r="AD15" s="45" t="s">
        <v>19</v>
      </c>
      <c r="AE15" s="41"/>
    </row>
    <row r="16" spans="1:31" ht="15" customHeight="1" x14ac:dyDescent="0.25">
      <c r="A16" s="39" t="s">
        <v>31</v>
      </c>
      <c r="B16" s="40">
        <v>46411</v>
      </c>
      <c r="C16" s="41">
        <f t="shared" ca="1" si="0"/>
        <v>339</v>
      </c>
      <c r="D16" s="42"/>
      <c r="E16" s="41">
        <f t="shared" ca="1" si="1"/>
        <v>-46072</v>
      </c>
      <c r="F16" s="42">
        <v>46153</v>
      </c>
      <c r="G16" s="41">
        <f t="shared" ca="1" si="2"/>
        <v>81</v>
      </c>
      <c r="H16" s="42">
        <v>46252</v>
      </c>
      <c r="I16" s="41">
        <f t="shared" ca="1" si="7"/>
        <v>180</v>
      </c>
      <c r="J16" s="42"/>
      <c r="K16" s="41">
        <f ca="1">J16-$E$1</f>
        <v>-46072</v>
      </c>
      <c r="L16" s="42">
        <v>46155</v>
      </c>
      <c r="M16" s="41">
        <f t="shared" ca="1" si="3"/>
        <v>83</v>
      </c>
      <c r="N16" s="42">
        <v>46253</v>
      </c>
      <c r="O16" s="41">
        <f t="shared" ca="1" si="4"/>
        <v>181</v>
      </c>
      <c r="P16" s="44"/>
      <c r="Q16" s="41">
        <f ca="1">P16-$E$1</f>
        <v>-46072</v>
      </c>
      <c r="R16" s="45"/>
      <c r="S16" s="41"/>
      <c r="T16" s="44"/>
      <c r="U16" s="41"/>
      <c r="V16" s="44">
        <v>46329</v>
      </c>
      <c r="W16" s="41">
        <f t="shared" ca="1" si="8"/>
        <v>257</v>
      </c>
      <c r="X16" s="44"/>
      <c r="Y16" s="41"/>
      <c r="Z16" s="45">
        <v>46112</v>
      </c>
      <c r="AA16" s="41">
        <f t="shared" ca="1" si="5"/>
        <v>40</v>
      </c>
      <c r="AB16" s="45" t="s">
        <v>19</v>
      </c>
      <c r="AC16" s="41"/>
      <c r="AD16" s="45" t="s">
        <v>19</v>
      </c>
      <c r="AE16" s="41"/>
    </row>
    <row r="17" spans="1:31" ht="14.45" customHeight="1" x14ac:dyDescent="0.25">
      <c r="A17" s="39" t="s">
        <v>32</v>
      </c>
      <c r="B17" s="40">
        <v>46411</v>
      </c>
      <c r="C17" s="41">
        <f t="shared" ca="1" si="0"/>
        <v>339</v>
      </c>
      <c r="D17" s="42"/>
      <c r="E17" s="41">
        <f t="shared" ca="1" si="1"/>
        <v>-46072</v>
      </c>
      <c r="F17" s="42">
        <v>46153</v>
      </c>
      <c r="G17" s="41">
        <f t="shared" ca="1" si="2"/>
        <v>81</v>
      </c>
      <c r="H17" s="42">
        <v>46409</v>
      </c>
      <c r="I17" s="41">
        <f t="shared" ca="1" si="7"/>
        <v>337</v>
      </c>
      <c r="J17" s="42"/>
      <c r="K17" s="41">
        <f ca="1">J17-$E$1</f>
        <v>-46072</v>
      </c>
      <c r="L17" s="42">
        <v>46155</v>
      </c>
      <c r="M17" s="41">
        <f t="shared" ca="1" si="3"/>
        <v>83</v>
      </c>
      <c r="N17" s="42">
        <v>46253</v>
      </c>
      <c r="O17" s="41">
        <f t="shared" ca="1" si="4"/>
        <v>181</v>
      </c>
      <c r="P17" s="44"/>
      <c r="Q17" s="41">
        <f ca="1">P17-$E$1</f>
        <v>-46072</v>
      </c>
      <c r="R17" s="44"/>
      <c r="S17" s="41">
        <f ca="1">R17-$E$1</f>
        <v>-46072</v>
      </c>
      <c r="T17" s="44"/>
      <c r="U17" s="41"/>
      <c r="V17" s="44">
        <v>46329</v>
      </c>
      <c r="W17" s="41">
        <f t="shared" ca="1" si="8"/>
        <v>257</v>
      </c>
      <c r="X17" s="44"/>
      <c r="Y17" s="41"/>
      <c r="Z17" s="45">
        <v>46112</v>
      </c>
      <c r="AA17" s="41">
        <f t="shared" ca="1" si="5"/>
        <v>40</v>
      </c>
      <c r="AB17" s="45" t="s">
        <v>19</v>
      </c>
      <c r="AC17" s="41"/>
      <c r="AD17" s="45" t="s">
        <v>19</v>
      </c>
      <c r="AE17" s="41"/>
    </row>
    <row r="18" spans="1:31" s="47" customFormat="1" ht="15" customHeight="1" x14ac:dyDescent="0.25">
      <c r="A18" s="39" t="s">
        <v>33</v>
      </c>
      <c r="B18" s="40">
        <v>46411</v>
      </c>
      <c r="C18" s="41">
        <f t="shared" ca="1" si="0"/>
        <v>339</v>
      </c>
      <c r="D18" s="42"/>
      <c r="E18" s="41">
        <f t="shared" ca="1" si="1"/>
        <v>-46072</v>
      </c>
      <c r="F18" s="40">
        <v>46230</v>
      </c>
      <c r="G18" s="41">
        <f t="shared" ca="1" si="2"/>
        <v>158</v>
      </c>
      <c r="H18" s="42">
        <v>46409</v>
      </c>
      <c r="I18" s="46">
        <f t="shared" ca="1" si="7"/>
        <v>337</v>
      </c>
      <c r="J18" s="42"/>
      <c r="K18" s="41"/>
      <c r="L18" s="42">
        <v>46155</v>
      </c>
      <c r="M18" s="41">
        <f t="shared" ca="1" si="3"/>
        <v>83</v>
      </c>
      <c r="N18" s="42">
        <v>46253</v>
      </c>
      <c r="O18" s="41">
        <f t="shared" ca="1" si="4"/>
        <v>181</v>
      </c>
      <c r="P18" s="42"/>
      <c r="Q18" s="41"/>
      <c r="R18" s="44"/>
      <c r="S18" s="41"/>
      <c r="T18" s="44"/>
      <c r="U18" s="41"/>
      <c r="V18" s="44">
        <v>45961</v>
      </c>
      <c r="W18" s="41">
        <f t="shared" ca="1" si="8"/>
        <v>-111</v>
      </c>
      <c r="X18" s="42"/>
      <c r="Y18" s="41"/>
      <c r="Z18" s="45">
        <v>46112</v>
      </c>
      <c r="AA18" s="41">
        <f t="shared" ca="1" si="5"/>
        <v>40</v>
      </c>
      <c r="AB18" s="45" t="s">
        <v>19</v>
      </c>
      <c r="AC18" s="41"/>
      <c r="AD18" s="45" t="s">
        <v>19</v>
      </c>
      <c r="AE18" s="41"/>
    </row>
    <row r="19" spans="1:31" ht="15" customHeight="1" x14ac:dyDescent="0.25">
      <c r="A19" s="39" t="s">
        <v>34</v>
      </c>
      <c r="B19" s="40">
        <v>46411</v>
      </c>
      <c r="C19" s="41">
        <f t="shared" ca="1" si="0"/>
        <v>339</v>
      </c>
      <c r="D19" s="42"/>
      <c r="E19" s="41">
        <f ca="1">D19-$E$1</f>
        <v>-46072</v>
      </c>
      <c r="F19" s="42">
        <v>46092</v>
      </c>
      <c r="G19" s="41">
        <f t="shared" ca="1" si="2"/>
        <v>20</v>
      </c>
      <c r="H19" s="42">
        <v>46407</v>
      </c>
      <c r="I19" s="41">
        <f t="shared" ca="1" si="7"/>
        <v>335</v>
      </c>
      <c r="J19" s="42"/>
      <c r="K19" s="41"/>
      <c r="L19" s="42">
        <v>46155</v>
      </c>
      <c r="M19" s="41">
        <f ca="1">L19-$E$1</f>
        <v>83</v>
      </c>
      <c r="N19" s="42">
        <v>46254</v>
      </c>
      <c r="O19" s="41">
        <f t="shared" ca="1" si="4"/>
        <v>182</v>
      </c>
      <c r="P19" s="44"/>
      <c r="Q19" s="41"/>
      <c r="R19" s="42"/>
      <c r="S19" s="41"/>
      <c r="T19" s="44"/>
      <c r="U19" s="41"/>
      <c r="V19" s="44">
        <v>46329</v>
      </c>
      <c r="W19" s="41">
        <f t="shared" ca="1" si="8"/>
        <v>257</v>
      </c>
      <c r="X19" s="44"/>
      <c r="Y19" s="41"/>
      <c r="Z19" s="45">
        <v>46112</v>
      </c>
      <c r="AA19" s="41">
        <f t="shared" ca="1" si="5"/>
        <v>40</v>
      </c>
      <c r="AB19" s="45" t="s">
        <v>19</v>
      </c>
      <c r="AC19" s="41"/>
      <c r="AD19" s="45" t="s">
        <v>19</v>
      </c>
      <c r="AE19" s="41"/>
    </row>
    <row r="20" spans="1:31" ht="15" customHeight="1" x14ac:dyDescent="0.25">
      <c r="A20" s="39" t="s">
        <v>35</v>
      </c>
      <c r="B20" s="40">
        <v>46411</v>
      </c>
      <c r="C20" s="41">
        <f t="shared" ca="1" si="0"/>
        <v>339</v>
      </c>
      <c r="D20" s="42"/>
      <c r="E20" s="41">
        <f t="shared" ca="1" si="1"/>
        <v>-46072</v>
      </c>
      <c r="F20" s="42">
        <v>46326</v>
      </c>
      <c r="G20" s="41">
        <f t="shared" ca="1" si="2"/>
        <v>254</v>
      </c>
      <c r="H20" s="42">
        <v>46407</v>
      </c>
      <c r="I20" s="41">
        <f t="shared" ca="1" si="7"/>
        <v>335</v>
      </c>
      <c r="J20" s="42"/>
      <c r="K20" s="41">
        <f t="shared" ref="K20:K27" ca="1" si="9">J20-$E$1</f>
        <v>-46072</v>
      </c>
      <c r="L20" s="42">
        <v>46155</v>
      </c>
      <c r="M20" s="41">
        <f t="shared" ca="1" si="3"/>
        <v>83</v>
      </c>
      <c r="N20" s="42">
        <v>46253</v>
      </c>
      <c r="O20" s="41">
        <f t="shared" ca="1" si="4"/>
        <v>181</v>
      </c>
      <c r="P20" s="42"/>
      <c r="Q20" s="41">
        <f t="shared" ref="Q20:Q27" ca="1" si="10">P20-$E$1</f>
        <v>-46072</v>
      </c>
      <c r="R20" s="44"/>
      <c r="S20" s="41"/>
      <c r="T20" s="44"/>
      <c r="U20" s="41"/>
      <c r="V20" s="44">
        <v>46046</v>
      </c>
      <c r="W20" s="41">
        <f t="shared" ca="1" si="8"/>
        <v>-26</v>
      </c>
      <c r="X20" s="44"/>
      <c r="Y20" s="41"/>
      <c r="Z20" s="45">
        <v>46112</v>
      </c>
      <c r="AA20" s="41">
        <f t="shared" ca="1" si="5"/>
        <v>40</v>
      </c>
      <c r="AB20" s="45" t="s">
        <v>19</v>
      </c>
      <c r="AC20" s="41"/>
      <c r="AD20" s="45" t="s">
        <v>19</v>
      </c>
      <c r="AE20" s="41"/>
    </row>
    <row r="21" spans="1:31" ht="15" customHeight="1" x14ac:dyDescent="0.25">
      <c r="A21" s="39" t="s">
        <v>36</v>
      </c>
      <c r="B21" s="42">
        <v>46376</v>
      </c>
      <c r="C21" s="41">
        <f t="shared" ca="1" si="0"/>
        <v>304</v>
      </c>
      <c r="D21" s="42"/>
      <c r="E21" s="41">
        <f t="shared" ca="1" si="1"/>
        <v>-46072</v>
      </c>
      <c r="F21" s="42">
        <v>46153</v>
      </c>
      <c r="G21" s="41">
        <f t="shared" ca="1" si="2"/>
        <v>81</v>
      </c>
      <c r="H21" s="42">
        <v>46407</v>
      </c>
      <c r="I21" s="41">
        <f t="shared" ca="1" si="7"/>
        <v>335</v>
      </c>
      <c r="J21" s="42"/>
      <c r="K21" s="41">
        <f t="shared" ca="1" si="9"/>
        <v>-46072</v>
      </c>
      <c r="L21" s="42">
        <v>46155</v>
      </c>
      <c r="M21" s="41">
        <f t="shared" ca="1" si="3"/>
        <v>83</v>
      </c>
      <c r="N21" s="42">
        <v>46253</v>
      </c>
      <c r="O21" s="41">
        <f t="shared" ca="1" si="4"/>
        <v>181</v>
      </c>
      <c r="P21" s="42"/>
      <c r="Q21" s="41">
        <f t="shared" ca="1" si="10"/>
        <v>-46072</v>
      </c>
      <c r="R21" s="42"/>
      <c r="S21" s="41">
        <f ca="1">R21-$E$1</f>
        <v>-46072</v>
      </c>
      <c r="T21" s="44"/>
      <c r="U21" s="41"/>
      <c r="V21" s="44">
        <v>46329</v>
      </c>
      <c r="W21" s="41">
        <f t="shared" ca="1" si="8"/>
        <v>257</v>
      </c>
      <c r="X21" s="42"/>
      <c r="Y21" s="41"/>
      <c r="Z21" s="45">
        <v>46112</v>
      </c>
      <c r="AA21" s="41">
        <f t="shared" ca="1" si="5"/>
        <v>40</v>
      </c>
      <c r="AB21" s="45" t="s">
        <v>19</v>
      </c>
      <c r="AC21" s="41"/>
      <c r="AD21" s="45" t="s">
        <v>19</v>
      </c>
      <c r="AE21" s="41"/>
    </row>
    <row r="22" spans="1:31" ht="15" customHeight="1" x14ac:dyDescent="0.25">
      <c r="A22" s="39" t="s">
        <v>37</v>
      </c>
      <c r="B22" s="42">
        <v>46376</v>
      </c>
      <c r="C22" s="41">
        <f t="shared" ca="1" si="0"/>
        <v>304</v>
      </c>
      <c r="D22" s="42"/>
      <c r="E22" s="41">
        <f t="shared" ca="1" si="1"/>
        <v>-46072</v>
      </c>
      <c r="F22" s="42">
        <v>46092</v>
      </c>
      <c r="G22" s="41">
        <f t="shared" ca="1" si="2"/>
        <v>20</v>
      </c>
      <c r="H22" s="42">
        <v>46407</v>
      </c>
      <c r="I22" s="41">
        <f t="shared" ca="1" si="7"/>
        <v>335</v>
      </c>
      <c r="J22" s="42"/>
      <c r="K22" s="41">
        <f t="shared" ca="1" si="9"/>
        <v>-46072</v>
      </c>
      <c r="L22" s="42">
        <v>46155</v>
      </c>
      <c r="M22" s="41">
        <f t="shared" ca="1" si="3"/>
        <v>83</v>
      </c>
      <c r="N22" s="42">
        <v>46253</v>
      </c>
      <c r="O22" s="41">
        <f t="shared" ca="1" si="4"/>
        <v>181</v>
      </c>
      <c r="P22" s="44"/>
      <c r="Q22" s="41">
        <f t="shared" ca="1" si="10"/>
        <v>-46072</v>
      </c>
      <c r="R22" s="44"/>
      <c r="S22" s="41">
        <f ca="1">R22-$E$1</f>
        <v>-46072</v>
      </c>
      <c r="T22" s="44"/>
      <c r="U22" s="41"/>
      <c r="V22" s="44">
        <v>46329</v>
      </c>
      <c r="W22" s="41">
        <f t="shared" ca="1" si="8"/>
        <v>257</v>
      </c>
      <c r="X22" s="44"/>
      <c r="Y22" s="41"/>
      <c r="Z22" s="45">
        <v>46112</v>
      </c>
      <c r="AA22" s="41">
        <f t="shared" ca="1" si="5"/>
        <v>40</v>
      </c>
      <c r="AB22" s="45" t="s">
        <v>19</v>
      </c>
      <c r="AC22" s="41"/>
      <c r="AD22" s="45" t="s">
        <v>19</v>
      </c>
      <c r="AE22" s="41"/>
    </row>
    <row r="23" spans="1:31" ht="15" customHeight="1" x14ac:dyDescent="0.25">
      <c r="A23" s="39" t="s">
        <v>38</v>
      </c>
      <c r="B23" s="40">
        <v>46258</v>
      </c>
      <c r="C23" s="41">
        <f t="shared" ca="1" si="0"/>
        <v>186</v>
      </c>
      <c r="D23" s="42"/>
      <c r="E23" s="41">
        <f t="shared" ca="1" si="1"/>
        <v>-46072</v>
      </c>
      <c r="F23" s="48">
        <v>46118</v>
      </c>
      <c r="G23" s="41">
        <f t="shared" ca="1" si="2"/>
        <v>46</v>
      </c>
      <c r="H23" s="42">
        <v>46407</v>
      </c>
      <c r="I23" s="41">
        <f t="shared" ca="1" si="7"/>
        <v>335</v>
      </c>
      <c r="J23" s="42"/>
      <c r="K23" s="41">
        <f t="shared" ca="1" si="9"/>
        <v>-46072</v>
      </c>
      <c r="L23" s="42">
        <v>46155</v>
      </c>
      <c r="M23" s="41">
        <f t="shared" ca="1" si="3"/>
        <v>83</v>
      </c>
      <c r="N23" s="42">
        <v>46253</v>
      </c>
      <c r="O23" s="41">
        <f t="shared" ca="1" si="4"/>
        <v>181</v>
      </c>
      <c r="P23" s="44"/>
      <c r="Q23" s="41">
        <f t="shared" ca="1" si="10"/>
        <v>-46072</v>
      </c>
      <c r="R23" s="44"/>
      <c r="S23" s="41">
        <f ca="1">R23-$E$1</f>
        <v>-46072</v>
      </c>
      <c r="T23" s="44"/>
      <c r="U23" s="41"/>
      <c r="V23" s="44">
        <v>46329</v>
      </c>
      <c r="W23" s="41">
        <f t="shared" ca="1" si="8"/>
        <v>257</v>
      </c>
      <c r="X23" s="44"/>
      <c r="Y23" s="41"/>
      <c r="Z23" s="45">
        <v>46112</v>
      </c>
      <c r="AA23" s="41">
        <f t="shared" ca="1" si="5"/>
        <v>40</v>
      </c>
      <c r="AB23" s="45" t="s">
        <v>19</v>
      </c>
      <c r="AC23" s="41"/>
      <c r="AD23" s="45" t="s">
        <v>19</v>
      </c>
      <c r="AE23" s="41"/>
    </row>
    <row r="24" spans="1:31" ht="15" customHeight="1" x14ac:dyDescent="0.25">
      <c r="A24" s="39" t="s">
        <v>39</v>
      </c>
      <c r="B24" s="42">
        <v>46322</v>
      </c>
      <c r="C24" s="41">
        <f t="shared" ca="1" si="0"/>
        <v>250</v>
      </c>
      <c r="D24" s="42"/>
      <c r="E24" s="41">
        <f t="shared" ca="1" si="1"/>
        <v>-46072</v>
      </c>
      <c r="F24" s="42">
        <v>46118</v>
      </c>
      <c r="G24" s="41">
        <f t="shared" ca="1" si="2"/>
        <v>46</v>
      </c>
      <c r="H24" s="42">
        <v>46407</v>
      </c>
      <c r="I24" s="41">
        <f t="shared" ca="1" si="7"/>
        <v>335</v>
      </c>
      <c r="J24" s="42"/>
      <c r="K24" s="41">
        <f t="shared" ca="1" si="9"/>
        <v>-46072</v>
      </c>
      <c r="L24" s="42">
        <v>46155</v>
      </c>
      <c r="M24" s="41">
        <f t="shared" ca="1" si="3"/>
        <v>83</v>
      </c>
      <c r="N24" s="42">
        <v>46253</v>
      </c>
      <c r="O24" s="41">
        <f ca="1">N24-$E$1</f>
        <v>181</v>
      </c>
      <c r="P24" s="44"/>
      <c r="Q24" s="41">
        <f t="shared" ca="1" si="10"/>
        <v>-46072</v>
      </c>
      <c r="R24" s="44"/>
      <c r="S24" s="41"/>
      <c r="T24" s="44"/>
      <c r="U24" s="41"/>
      <c r="V24" s="44">
        <v>46329</v>
      </c>
      <c r="W24" s="41">
        <f t="shared" ca="1" si="8"/>
        <v>257</v>
      </c>
      <c r="X24" s="44"/>
      <c r="Y24" s="41"/>
      <c r="Z24" s="45">
        <v>46112</v>
      </c>
      <c r="AA24" s="41">
        <f t="shared" ca="1" si="5"/>
        <v>40</v>
      </c>
      <c r="AB24" s="45" t="s">
        <v>19</v>
      </c>
      <c r="AC24" s="41"/>
      <c r="AD24" s="45" t="s">
        <v>19</v>
      </c>
      <c r="AE24" s="41"/>
    </row>
    <row r="25" spans="1:31" ht="15" customHeight="1" x14ac:dyDescent="0.25">
      <c r="A25" s="39" t="s">
        <v>40</v>
      </c>
      <c r="B25" s="42">
        <v>46322</v>
      </c>
      <c r="C25" s="41">
        <f t="shared" ca="1" si="0"/>
        <v>250</v>
      </c>
      <c r="D25" s="42"/>
      <c r="E25" s="41">
        <f t="shared" ca="1" si="1"/>
        <v>-46072</v>
      </c>
      <c r="F25" s="44">
        <v>46325</v>
      </c>
      <c r="G25" s="41">
        <f t="shared" ca="1" si="2"/>
        <v>253</v>
      </c>
      <c r="H25" s="42">
        <v>46407</v>
      </c>
      <c r="I25" s="41">
        <f t="shared" ca="1" si="7"/>
        <v>335</v>
      </c>
      <c r="J25" s="42"/>
      <c r="K25" s="41">
        <f t="shared" ca="1" si="9"/>
        <v>-46072</v>
      </c>
      <c r="L25" s="42">
        <v>46155</v>
      </c>
      <c r="M25" s="41">
        <f t="shared" ca="1" si="3"/>
        <v>83</v>
      </c>
      <c r="N25" s="42">
        <v>46253</v>
      </c>
      <c r="O25" s="41">
        <f ca="1">N25-$E$1</f>
        <v>181</v>
      </c>
      <c r="P25" s="44"/>
      <c r="Q25" s="41">
        <f t="shared" ca="1" si="10"/>
        <v>-46072</v>
      </c>
      <c r="R25" s="44"/>
      <c r="S25" s="41">
        <f ca="1">R25-$E$1</f>
        <v>-46072</v>
      </c>
      <c r="T25" s="44"/>
      <c r="U25" s="41"/>
      <c r="V25" s="44">
        <v>46329</v>
      </c>
      <c r="W25" s="41">
        <f t="shared" ca="1" si="8"/>
        <v>257</v>
      </c>
      <c r="X25" s="44"/>
      <c r="Y25" s="41"/>
      <c r="Z25" s="45">
        <v>46112</v>
      </c>
      <c r="AA25" s="41">
        <f t="shared" ca="1" si="5"/>
        <v>40</v>
      </c>
      <c r="AB25" s="45" t="s">
        <v>19</v>
      </c>
      <c r="AC25" s="41"/>
      <c r="AD25" s="45" t="s">
        <v>19</v>
      </c>
      <c r="AE25" s="41"/>
    </row>
    <row r="26" spans="1:31" ht="15" customHeight="1" x14ac:dyDescent="0.25">
      <c r="A26" s="39" t="s">
        <v>41</v>
      </c>
      <c r="B26" s="40">
        <v>46258</v>
      </c>
      <c r="C26" s="41">
        <f t="shared" ca="1" si="0"/>
        <v>186</v>
      </c>
      <c r="D26" s="42"/>
      <c r="E26" s="41">
        <f t="shared" ca="1" si="1"/>
        <v>-46072</v>
      </c>
      <c r="F26" s="42">
        <v>46118</v>
      </c>
      <c r="G26" s="41">
        <f t="shared" ca="1" si="2"/>
        <v>46</v>
      </c>
      <c r="H26" s="42">
        <v>46407</v>
      </c>
      <c r="I26" s="41">
        <f t="shared" ca="1" si="7"/>
        <v>335</v>
      </c>
      <c r="J26" s="42"/>
      <c r="K26" s="41">
        <f t="shared" ca="1" si="9"/>
        <v>-46072</v>
      </c>
      <c r="L26" s="42">
        <v>46155</v>
      </c>
      <c r="M26" s="41">
        <f t="shared" ca="1" si="3"/>
        <v>83</v>
      </c>
      <c r="N26" s="42">
        <v>46253</v>
      </c>
      <c r="O26" s="41">
        <f t="shared" ca="1" si="4"/>
        <v>181</v>
      </c>
      <c r="P26" s="44"/>
      <c r="Q26" s="41">
        <f t="shared" ca="1" si="10"/>
        <v>-46072</v>
      </c>
      <c r="R26" s="44"/>
      <c r="S26" s="41">
        <f ca="1">R26-$E$1</f>
        <v>-46072</v>
      </c>
      <c r="T26" s="44"/>
      <c r="U26" s="41"/>
      <c r="V26" s="44">
        <v>46329</v>
      </c>
      <c r="W26" s="41">
        <f t="shared" ca="1" si="8"/>
        <v>257</v>
      </c>
      <c r="X26" s="44"/>
      <c r="Y26" s="41"/>
      <c r="Z26" s="45">
        <v>46112</v>
      </c>
      <c r="AA26" s="41">
        <f t="shared" ca="1" si="5"/>
        <v>40</v>
      </c>
      <c r="AB26" s="45" t="s">
        <v>19</v>
      </c>
      <c r="AC26" s="41"/>
      <c r="AD26" s="45" t="s">
        <v>19</v>
      </c>
      <c r="AE26" s="41"/>
    </row>
    <row r="27" spans="1:31" ht="15" customHeight="1" x14ac:dyDescent="0.25">
      <c r="A27" s="39" t="s">
        <v>42</v>
      </c>
      <c r="B27" s="40">
        <v>46411</v>
      </c>
      <c r="C27" s="41">
        <f t="shared" ca="1" si="0"/>
        <v>339</v>
      </c>
      <c r="D27" s="42"/>
      <c r="E27" s="41">
        <f t="shared" ca="1" si="1"/>
        <v>-46072</v>
      </c>
      <c r="F27" s="42">
        <v>46153</v>
      </c>
      <c r="G27" s="41">
        <f t="shared" ca="1" si="2"/>
        <v>81</v>
      </c>
      <c r="H27" s="42">
        <v>46407</v>
      </c>
      <c r="I27" s="41">
        <f t="shared" ca="1" si="7"/>
        <v>335</v>
      </c>
      <c r="J27" s="42"/>
      <c r="K27" s="41">
        <f t="shared" ca="1" si="9"/>
        <v>-46072</v>
      </c>
      <c r="L27" s="42">
        <v>46155</v>
      </c>
      <c r="M27" s="41">
        <f t="shared" ca="1" si="3"/>
        <v>83</v>
      </c>
      <c r="N27" s="42">
        <v>46253</v>
      </c>
      <c r="O27" s="41">
        <f t="shared" ca="1" si="4"/>
        <v>181</v>
      </c>
      <c r="P27" s="44"/>
      <c r="Q27" s="41">
        <f t="shared" ca="1" si="10"/>
        <v>-46072</v>
      </c>
      <c r="R27" s="44"/>
      <c r="S27" s="41"/>
      <c r="T27" s="44"/>
      <c r="U27" s="41"/>
      <c r="V27" s="44">
        <v>46329</v>
      </c>
      <c r="W27" s="41">
        <f t="shared" ca="1" si="8"/>
        <v>257</v>
      </c>
      <c r="X27" s="44"/>
      <c r="Y27" s="41"/>
      <c r="Z27" s="45">
        <v>46112</v>
      </c>
      <c r="AA27" s="41">
        <f t="shared" ca="1" si="5"/>
        <v>40</v>
      </c>
      <c r="AB27" s="45" t="s">
        <v>19</v>
      </c>
      <c r="AC27" s="41"/>
      <c r="AD27" s="45" t="s">
        <v>19</v>
      </c>
      <c r="AE27" s="41"/>
    </row>
    <row r="28" spans="1:31" ht="15" customHeight="1" x14ac:dyDescent="0.25">
      <c r="A28" s="39" t="s">
        <v>43</v>
      </c>
      <c r="B28" s="42">
        <v>46322</v>
      </c>
      <c r="C28" s="41">
        <f t="shared" ca="1" si="0"/>
        <v>250</v>
      </c>
      <c r="D28" s="42"/>
      <c r="E28" s="41"/>
      <c r="F28" s="42">
        <v>46422</v>
      </c>
      <c r="G28" s="41">
        <f t="shared" ca="1" si="2"/>
        <v>350</v>
      </c>
      <c r="H28" s="42">
        <v>46407</v>
      </c>
      <c r="I28" s="41">
        <f t="shared" ca="1" si="7"/>
        <v>335</v>
      </c>
      <c r="J28" s="42"/>
      <c r="K28" s="41"/>
      <c r="L28" s="42">
        <v>46155</v>
      </c>
      <c r="M28" s="41">
        <f t="shared" ca="1" si="3"/>
        <v>83</v>
      </c>
      <c r="N28" s="42">
        <v>46253</v>
      </c>
      <c r="O28" s="41">
        <f t="shared" ca="1" si="4"/>
        <v>181</v>
      </c>
      <c r="P28" s="42"/>
      <c r="Q28" s="41"/>
      <c r="R28" s="42"/>
      <c r="S28" s="41">
        <f ca="1">R28-$E$1</f>
        <v>-46072</v>
      </c>
      <c r="T28" s="44"/>
      <c r="U28" s="41"/>
      <c r="V28" s="44">
        <v>46329</v>
      </c>
      <c r="W28" s="41">
        <f t="shared" ca="1" si="8"/>
        <v>257</v>
      </c>
      <c r="X28" s="42"/>
      <c r="Y28" s="41"/>
      <c r="Z28" s="45">
        <v>46112</v>
      </c>
      <c r="AA28" s="41">
        <f t="shared" ca="1" si="5"/>
        <v>40</v>
      </c>
      <c r="AB28" s="45" t="s">
        <v>19</v>
      </c>
      <c r="AC28" s="41"/>
      <c r="AD28" s="45" t="s">
        <v>19</v>
      </c>
      <c r="AE28" s="41"/>
    </row>
    <row r="29" spans="1:31" ht="15" customHeight="1" x14ac:dyDescent="0.25">
      <c r="A29" s="39" t="s">
        <v>44</v>
      </c>
      <c r="B29" s="42">
        <v>46322</v>
      </c>
      <c r="C29" s="41">
        <f ca="1">B29-$E$1</f>
        <v>250</v>
      </c>
      <c r="D29" s="42"/>
      <c r="E29" s="41">
        <f ca="1">D29-$E$1</f>
        <v>-46072</v>
      </c>
      <c r="F29" s="42">
        <v>46153</v>
      </c>
      <c r="G29" s="41">
        <f t="shared" ca="1" si="2"/>
        <v>81</v>
      </c>
      <c r="H29" s="42">
        <v>46407</v>
      </c>
      <c r="I29" s="41">
        <f t="shared" ca="1" si="7"/>
        <v>335</v>
      </c>
      <c r="J29" s="42"/>
      <c r="K29" s="41">
        <f ca="1">J29-$E$1</f>
        <v>-46072</v>
      </c>
      <c r="L29" s="42">
        <v>46155</v>
      </c>
      <c r="M29" s="41">
        <f t="shared" ca="1" si="3"/>
        <v>83</v>
      </c>
      <c r="N29" s="42">
        <v>46253</v>
      </c>
      <c r="O29" s="41">
        <f t="shared" ca="1" si="4"/>
        <v>181</v>
      </c>
      <c r="P29" s="44"/>
      <c r="Q29" s="41">
        <f ca="1">P29-$E$1</f>
        <v>-46072</v>
      </c>
      <c r="R29" s="44"/>
      <c r="S29" s="41">
        <f ca="1">R29-$E$1</f>
        <v>-46072</v>
      </c>
      <c r="T29" s="42"/>
      <c r="U29" s="41">
        <f ca="1">T29-$E$1</f>
        <v>-46072</v>
      </c>
      <c r="V29" s="44">
        <v>46329</v>
      </c>
      <c r="W29" s="41">
        <f ca="1">V29-$E$1</f>
        <v>257</v>
      </c>
      <c r="X29" s="42"/>
      <c r="Y29" s="41">
        <f ca="1">X29-$E$1</f>
        <v>-46072</v>
      </c>
      <c r="Z29" s="45">
        <v>46112</v>
      </c>
      <c r="AA29" s="41">
        <f t="shared" ca="1" si="5"/>
        <v>40</v>
      </c>
      <c r="AB29" s="45" t="s">
        <v>19</v>
      </c>
      <c r="AC29" s="41"/>
      <c r="AD29" s="45" t="s">
        <v>19</v>
      </c>
      <c r="AE29" s="41"/>
    </row>
    <row r="30" spans="1:31" ht="15" customHeight="1" x14ac:dyDescent="0.25">
      <c r="A30" s="39" t="s">
        <v>45</v>
      </c>
      <c r="B30" s="42">
        <v>46322</v>
      </c>
      <c r="C30" s="41">
        <f ca="1">B30-$E$1</f>
        <v>250</v>
      </c>
      <c r="D30" s="42"/>
      <c r="E30" s="41">
        <f ca="1">D30-$E$1</f>
        <v>-46072</v>
      </c>
      <c r="F30" s="42">
        <v>46118</v>
      </c>
      <c r="G30" s="41">
        <f t="shared" ca="1" si="2"/>
        <v>46</v>
      </c>
      <c r="H30" s="42">
        <v>46407</v>
      </c>
      <c r="I30" s="41">
        <f t="shared" ca="1" si="7"/>
        <v>335</v>
      </c>
      <c r="J30" s="42"/>
      <c r="K30" s="41">
        <f ca="1">J30-$E$1</f>
        <v>-46072</v>
      </c>
      <c r="L30" s="42">
        <v>46155</v>
      </c>
      <c r="M30" s="41">
        <f t="shared" ca="1" si="3"/>
        <v>83</v>
      </c>
      <c r="N30" s="42">
        <v>46253</v>
      </c>
      <c r="O30" s="41">
        <f t="shared" ca="1" si="4"/>
        <v>181</v>
      </c>
      <c r="P30" s="44"/>
      <c r="Q30" s="41">
        <f ca="1">P30-$E$1</f>
        <v>-46072</v>
      </c>
      <c r="R30" s="44"/>
      <c r="S30" s="41">
        <f ca="1">R30-$E$1</f>
        <v>-46072</v>
      </c>
      <c r="T30" s="44"/>
      <c r="U30" s="41"/>
      <c r="V30" s="44">
        <v>46328</v>
      </c>
      <c r="W30" s="41">
        <f t="shared" ca="1" si="8"/>
        <v>256</v>
      </c>
      <c r="X30" s="44"/>
      <c r="Y30" s="41"/>
      <c r="Z30" s="45">
        <v>46112</v>
      </c>
      <c r="AA30" s="41">
        <f t="shared" ca="1" si="5"/>
        <v>40</v>
      </c>
      <c r="AB30" s="45" t="s">
        <v>19</v>
      </c>
      <c r="AC30" s="41"/>
      <c r="AD30" s="45" t="s">
        <v>19</v>
      </c>
      <c r="AE30" s="41"/>
    </row>
    <row r="31" spans="1:31" ht="15" customHeight="1" x14ac:dyDescent="0.25">
      <c r="A31" s="39" t="s">
        <v>46</v>
      </c>
      <c r="B31" s="42">
        <v>46322</v>
      </c>
      <c r="C31" s="41">
        <f ca="1">B31-$E$1</f>
        <v>250</v>
      </c>
      <c r="D31" s="42"/>
      <c r="E31" s="41">
        <f ca="1">D31-$E$1</f>
        <v>-46072</v>
      </c>
      <c r="F31" s="42">
        <v>46118</v>
      </c>
      <c r="G31" s="41">
        <f t="shared" ca="1" si="2"/>
        <v>46</v>
      </c>
      <c r="H31" s="42">
        <v>46407</v>
      </c>
      <c r="I31" s="41">
        <f t="shared" ca="1" si="7"/>
        <v>335</v>
      </c>
      <c r="J31" s="42"/>
      <c r="K31" s="41"/>
      <c r="L31" s="42">
        <v>46155</v>
      </c>
      <c r="M31" s="41">
        <f t="shared" ca="1" si="3"/>
        <v>83</v>
      </c>
      <c r="N31" s="42">
        <v>46254</v>
      </c>
      <c r="O31" s="41">
        <f t="shared" ca="1" si="4"/>
        <v>182</v>
      </c>
      <c r="P31" s="44"/>
      <c r="Q31" s="41"/>
      <c r="R31" s="42"/>
      <c r="S31" s="41"/>
      <c r="T31" s="44"/>
      <c r="U31" s="41"/>
      <c r="V31" s="44">
        <v>46328</v>
      </c>
      <c r="W31" s="41">
        <f t="shared" ca="1" si="8"/>
        <v>256</v>
      </c>
      <c r="X31" s="44"/>
      <c r="Y31" s="41"/>
      <c r="Z31" s="45">
        <v>46112</v>
      </c>
      <c r="AA31" s="41">
        <f t="shared" ca="1" si="5"/>
        <v>40</v>
      </c>
      <c r="AB31" s="45" t="s">
        <v>19</v>
      </c>
      <c r="AC31" s="41"/>
      <c r="AD31" s="45" t="s">
        <v>19</v>
      </c>
      <c r="AE31" s="41"/>
    </row>
    <row r="32" spans="1:31" ht="15" customHeight="1" x14ac:dyDescent="0.25">
      <c r="A32" s="39" t="s">
        <v>47</v>
      </c>
      <c r="B32" s="42">
        <v>46322</v>
      </c>
      <c r="C32" s="41">
        <f ca="1">B32-$E$1</f>
        <v>250</v>
      </c>
      <c r="D32" s="42"/>
      <c r="E32" s="41"/>
      <c r="F32" s="42">
        <v>46325</v>
      </c>
      <c r="G32" s="41">
        <f t="shared" ca="1" si="2"/>
        <v>253</v>
      </c>
      <c r="H32" s="42">
        <v>46407</v>
      </c>
      <c r="I32" s="41">
        <f t="shared" ca="1" si="7"/>
        <v>335</v>
      </c>
      <c r="J32" s="42"/>
      <c r="K32" s="41">
        <f ca="1">J32-$E$1</f>
        <v>-46072</v>
      </c>
      <c r="L32" s="42">
        <v>46155</v>
      </c>
      <c r="M32" s="41">
        <f t="shared" ca="1" si="3"/>
        <v>83</v>
      </c>
      <c r="N32" s="40">
        <v>46254</v>
      </c>
      <c r="O32" s="41">
        <f t="shared" ca="1" si="4"/>
        <v>182</v>
      </c>
      <c r="P32" s="44"/>
      <c r="Q32" s="41">
        <f ca="1">P32-$E$1</f>
        <v>-46072</v>
      </c>
      <c r="R32" s="42"/>
      <c r="S32" s="41"/>
      <c r="T32" s="44"/>
      <c r="U32" s="41"/>
      <c r="V32" s="44">
        <v>46328</v>
      </c>
      <c r="W32" s="41">
        <f t="shared" ca="1" si="8"/>
        <v>256</v>
      </c>
      <c r="X32" s="44"/>
      <c r="Y32" s="41"/>
      <c r="Z32" s="45">
        <v>46112</v>
      </c>
      <c r="AA32" s="41">
        <f t="shared" ca="1" si="5"/>
        <v>40</v>
      </c>
      <c r="AB32" s="45" t="s">
        <v>19</v>
      </c>
      <c r="AC32" s="41"/>
      <c r="AD32" s="45" t="s">
        <v>19</v>
      </c>
      <c r="AE32" s="41"/>
    </row>
    <row r="33" spans="1:31" ht="15" customHeight="1" x14ac:dyDescent="0.25">
      <c r="A33" s="39" t="s">
        <v>48</v>
      </c>
      <c r="B33" s="45">
        <v>46258</v>
      </c>
      <c r="C33" s="41">
        <f t="shared" ref="C33:C47" ca="1" si="11">B33-$E$1</f>
        <v>186</v>
      </c>
      <c r="D33" s="42"/>
      <c r="E33" s="41">
        <f t="shared" ref="E33:E47" ca="1" si="12">D33-$E$1</f>
        <v>-46072</v>
      </c>
      <c r="F33" s="42">
        <v>46153</v>
      </c>
      <c r="G33" s="41">
        <f t="shared" ca="1" si="2"/>
        <v>81</v>
      </c>
      <c r="H33" s="42">
        <v>46680</v>
      </c>
      <c r="I33" s="41">
        <f t="shared" ca="1" si="7"/>
        <v>608</v>
      </c>
      <c r="J33" s="42"/>
      <c r="K33" s="41">
        <f ca="1">J33-$E$1</f>
        <v>-46072</v>
      </c>
      <c r="L33" s="42">
        <v>46155</v>
      </c>
      <c r="M33" s="41">
        <f t="shared" ca="1" si="3"/>
        <v>83</v>
      </c>
      <c r="N33" s="42">
        <v>46254</v>
      </c>
      <c r="O33" s="41">
        <f t="shared" ca="1" si="4"/>
        <v>182</v>
      </c>
      <c r="P33" s="42"/>
      <c r="Q33" s="41">
        <f ca="1">P33-$E$1</f>
        <v>-46072</v>
      </c>
      <c r="R33" s="42"/>
      <c r="S33" s="41">
        <f ca="1">R33-$E$1</f>
        <v>-46072</v>
      </c>
      <c r="T33" s="44"/>
      <c r="U33" s="41"/>
      <c r="V33" s="44">
        <v>46328</v>
      </c>
      <c r="W33" s="41">
        <f t="shared" ca="1" si="8"/>
        <v>256</v>
      </c>
      <c r="X33" s="42"/>
      <c r="Y33" s="41"/>
      <c r="Z33" s="45">
        <v>46112</v>
      </c>
      <c r="AA33" s="41">
        <f t="shared" ca="1" si="5"/>
        <v>40</v>
      </c>
      <c r="AB33" s="45" t="s">
        <v>19</v>
      </c>
      <c r="AC33" s="41"/>
      <c r="AD33" s="45" t="s">
        <v>19</v>
      </c>
      <c r="AE33" s="41"/>
    </row>
    <row r="34" spans="1:31" ht="15" customHeight="1" x14ac:dyDescent="0.25">
      <c r="A34" s="39" t="s">
        <v>49</v>
      </c>
      <c r="B34" s="42">
        <v>46113</v>
      </c>
      <c r="C34" s="41">
        <f t="shared" ca="1" si="11"/>
        <v>41</v>
      </c>
      <c r="D34" s="42"/>
      <c r="E34" s="41">
        <f t="shared" ca="1" si="12"/>
        <v>-46072</v>
      </c>
      <c r="F34" s="40">
        <v>46274</v>
      </c>
      <c r="G34" s="41">
        <f t="shared" ca="1" si="2"/>
        <v>202</v>
      </c>
      <c r="H34" s="40">
        <v>46252</v>
      </c>
      <c r="I34" s="41">
        <f t="shared" ca="1" si="7"/>
        <v>180</v>
      </c>
      <c r="J34" s="42"/>
      <c r="K34" s="41">
        <f ca="1">J34-$E$1</f>
        <v>-46072</v>
      </c>
      <c r="L34" s="42">
        <v>46133</v>
      </c>
      <c r="M34" s="41">
        <f t="shared" ca="1" si="3"/>
        <v>61</v>
      </c>
      <c r="N34" s="40">
        <v>46268</v>
      </c>
      <c r="O34" s="41">
        <f t="shared" ca="1" si="4"/>
        <v>196</v>
      </c>
      <c r="P34" s="44"/>
      <c r="Q34" s="41">
        <f ca="1">P34-$E$1</f>
        <v>-46072</v>
      </c>
      <c r="R34" s="44"/>
      <c r="S34" s="41">
        <f ca="1">R34-$E$1</f>
        <v>-46072</v>
      </c>
      <c r="T34" s="44"/>
      <c r="U34" s="41"/>
      <c r="V34" s="44">
        <v>46328</v>
      </c>
      <c r="W34" s="41">
        <f t="shared" ca="1" si="8"/>
        <v>256</v>
      </c>
      <c r="X34" s="44"/>
      <c r="Y34" s="41"/>
      <c r="Z34" s="45">
        <v>46112</v>
      </c>
      <c r="AA34" s="41">
        <f t="shared" ca="1" si="5"/>
        <v>40</v>
      </c>
      <c r="AB34" s="45" t="s">
        <v>19</v>
      </c>
      <c r="AC34" s="41"/>
      <c r="AD34" s="45" t="s">
        <v>19</v>
      </c>
      <c r="AE34" s="41"/>
    </row>
    <row r="35" spans="1:31" ht="15" customHeight="1" x14ac:dyDescent="0.25">
      <c r="A35" s="39" t="s">
        <v>50</v>
      </c>
      <c r="B35" s="42">
        <v>46414</v>
      </c>
      <c r="C35" s="41">
        <f t="shared" ca="1" si="11"/>
        <v>342</v>
      </c>
      <c r="D35" s="42"/>
      <c r="E35" s="41">
        <f t="shared" ca="1" si="12"/>
        <v>-46072</v>
      </c>
      <c r="F35" s="40">
        <v>46325</v>
      </c>
      <c r="G35" s="41">
        <f t="shared" ca="1" si="2"/>
        <v>253</v>
      </c>
      <c r="H35" s="42">
        <v>46407</v>
      </c>
      <c r="I35" s="41">
        <f t="shared" ca="1" si="7"/>
        <v>335</v>
      </c>
      <c r="J35" s="42"/>
      <c r="K35" s="41">
        <f ca="1">J35-$E$1</f>
        <v>-46072</v>
      </c>
      <c r="L35" s="42">
        <v>46133</v>
      </c>
      <c r="M35" s="41">
        <f t="shared" ca="1" si="3"/>
        <v>61</v>
      </c>
      <c r="N35" s="42">
        <v>46255</v>
      </c>
      <c r="O35" s="41">
        <f t="shared" ca="1" si="4"/>
        <v>183</v>
      </c>
      <c r="P35" s="44"/>
      <c r="Q35" s="41">
        <f ca="1">P35-$E$1</f>
        <v>-46072</v>
      </c>
      <c r="R35" s="45"/>
      <c r="S35" s="41"/>
      <c r="T35" s="44"/>
      <c r="U35" s="41"/>
      <c r="V35" s="44">
        <v>46328</v>
      </c>
      <c r="W35" s="41">
        <f t="shared" ca="1" si="8"/>
        <v>256</v>
      </c>
      <c r="X35" s="44"/>
      <c r="Y35" s="41"/>
      <c r="Z35" s="45">
        <v>46112</v>
      </c>
      <c r="AA35" s="41">
        <f t="shared" ca="1" si="5"/>
        <v>40</v>
      </c>
      <c r="AB35" s="45" t="s">
        <v>19</v>
      </c>
      <c r="AC35" s="41"/>
      <c r="AD35" s="45" t="s">
        <v>19</v>
      </c>
      <c r="AE35" s="41"/>
    </row>
    <row r="36" spans="1:31" ht="15" customHeight="1" x14ac:dyDescent="0.25">
      <c r="A36" s="39" t="s">
        <v>51</v>
      </c>
      <c r="B36" s="42">
        <v>46414</v>
      </c>
      <c r="C36" s="41">
        <f t="shared" ca="1" si="11"/>
        <v>342</v>
      </c>
      <c r="D36" s="42"/>
      <c r="E36" s="41">
        <f t="shared" ca="1" si="12"/>
        <v>-46072</v>
      </c>
      <c r="F36" s="42">
        <v>46325</v>
      </c>
      <c r="G36" s="41">
        <f t="shared" ca="1" si="2"/>
        <v>253</v>
      </c>
      <c r="H36" s="42">
        <v>46407</v>
      </c>
      <c r="I36" s="41">
        <f t="shared" ca="1" si="7"/>
        <v>335</v>
      </c>
      <c r="J36" s="42"/>
      <c r="K36" s="41">
        <f ca="1">J36-$E$1</f>
        <v>-46072</v>
      </c>
      <c r="L36" s="42">
        <v>46133</v>
      </c>
      <c r="M36" s="41">
        <f t="shared" ca="1" si="3"/>
        <v>61</v>
      </c>
      <c r="N36" s="40">
        <v>46268</v>
      </c>
      <c r="O36" s="41">
        <f t="shared" ca="1" si="4"/>
        <v>196</v>
      </c>
      <c r="P36" s="44"/>
      <c r="Q36" s="41">
        <f ca="1">P36-$E$1</f>
        <v>-46072</v>
      </c>
      <c r="R36" s="44"/>
      <c r="S36" s="41">
        <f ca="1">R36-$E$1</f>
        <v>-46072</v>
      </c>
      <c r="T36" s="44"/>
      <c r="U36" s="41"/>
      <c r="V36" s="44">
        <v>46328</v>
      </c>
      <c r="W36" s="41">
        <f t="shared" ca="1" si="8"/>
        <v>256</v>
      </c>
      <c r="X36" s="44"/>
      <c r="Y36" s="41"/>
      <c r="Z36" s="45">
        <v>46112</v>
      </c>
      <c r="AA36" s="41">
        <f t="shared" ca="1" si="5"/>
        <v>40</v>
      </c>
      <c r="AB36" s="45" t="s">
        <v>19</v>
      </c>
      <c r="AC36" s="41"/>
      <c r="AD36" s="45" t="s">
        <v>19</v>
      </c>
      <c r="AE36" s="41"/>
    </row>
    <row r="37" spans="1:31" ht="15" customHeight="1" x14ac:dyDescent="0.25">
      <c r="A37" s="39" t="s">
        <v>52</v>
      </c>
      <c r="B37" s="42">
        <v>46113</v>
      </c>
      <c r="C37" s="41">
        <f t="shared" ca="1" si="11"/>
        <v>41</v>
      </c>
      <c r="D37" s="42"/>
      <c r="E37" s="41"/>
      <c r="F37" s="40">
        <v>46274</v>
      </c>
      <c r="G37" s="41">
        <f t="shared" ca="1" si="2"/>
        <v>202</v>
      </c>
      <c r="H37" s="40">
        <v>46252</v>
      </c>
      <c r="I37" s="41">
        <f t="shared" ca="1" si="7"/>
        <v>180</v>
      </c>
      <c r="J37" s="42"/>
      <c r="K37" s="41"/>
      <c r="L37" s="42">
        <v>46135</v>
      </c>
      <c r="M37" s="41">
        <f t="shared" ca="1" si="3"/>
        <v>63</v>
      </c>
      <c r="N37" s="40">
        <v>46268</v>
      </c>
      <c r="O37" s="41">
        <f ca="1">N37-$E$1</f>
        <v>196</v>
      </c>
      <c r="P37" s="42"/>
      <c r="Q37" s="41"/>
      <c r="R37" s="44"/>
      <c r="S37" s="41"/>
      <c r="T37" s="44"/>
      <c r="U37" s="41"/>
      <c r="V37" s="44">
        <v>46328</v>
      </c>
      <c r="W37" s="41">
        <f t="shared" ca="1" si="8"/>
        <v>256</v>
      </c>
      <c r="X37" s="44"/>
      <c r="Y37" s="41"/>
      <c r="Z37" s="45">
        <v>46112</v>
      </c>
      <c r="AA37" s="41">
        <f t="shared" ca="1" si="5"/>
        <v>40</v>
      </c>
      <c r="AB37" s="45" t="s">
        <v>19</v>
      </c>
      <c r="AC37" s="41"/>
      <c r="AD37" s="45" t="s">
        <v>19</v>
      </c>
      <c r="AE37" s="41"/>
    </row>
    <row r="38" spans="1:31" ht="15" customHeight="1" x14ac:dyDescent="0.25">
      <c r="A38" s="39" t="s">
        <v>53</v>
      </c>
      <c r="B38" s="40">
        <v>46258</v>
      </c>
      <c r="C38" s="41">
        <f t="shared" ca="1" si="11"/>
        <v>186</v>
      </c>
      <c r="D38" s="42"/>
      <c r="E38" s="41">
        <f t="shared" ca="1" si="12"/>
        <v>-46072</v>
      </c>
      <c r="F38" s="42">
        <v>46325</v>
      </c>
      <c r="G38" s="41">
        <f t="shared" ca="1" si="2"/>
        <v>253</v>
      </c>
      <c r="H38" s="42">
        <v>46358</v>
      </c>
      <c r="I38" s="41">
        <f t="shared" ca="1" si="7"/>
        <v>286</v>
      </c>
      <c r="J38" s="42"/>
      <c r="K38" s="41"/>
      <c r="L38" s="42">
        <v>46135</v>
      </c>
      <c r="M38" s="41">
        <f t="shared" ca="1" si="3"/>
        <v>63</v>
      </c>
      <c r="N38" s="42">
        <v>46255</v>
      </c>
      <c r="O38" s="41">
        <f t="shared" ca="1" si="4"/>
        <v>183</v>
      </c>
      <c r="P38" s="42"/>
      <c r="Q38" s="41"/>
      <c r="R38" s="44"/>
      <c r="S38" s="41"/>
      <c r="T38" s="44"/>
      <c r="U38" s="41"/>
      <c r="V38" s="44">
        <v>46044</v>
      </c>
      <c r="W38" s="41">
        <f t="shared" ca="1" si="8"/>
        <v>-28</v>
      </c>
      <c r="X38" s="42"/>
      <c r="Y38" s="41"/>
      <c r="Z38" s="45">
        <v>46112</v>
      </c>
      <c r="AA38" s="41">
        <f t="shared" ca="1" si="5"/>
        <v>40</v>
      </c>
      <c r="AB38" s="45" t="s">
        <v>19</v>
      </c>
      <c r="AC38" s="41"/>
      <c r="AD38" s="45" t="s">
        <v>19</v>
      </c>
      <c r="AE38" s="41"/>
    </row>
    <row r="39" spans="1:31" ht="15" customHeight="1" x14ac:dyDescent="0.25">
      <c r="A39" s="39" t="s">
        <v>54</v>
      </c>
      <c r="B39" s="42">
        <v>46113</v>
      </c>
      <c r="C39" s="41">
        <f t="shared" ca="1" si="11"/>
        <v>41</v>
      </c>
      <c r="D39" s="42"/>
      <c r="E39" s="41">
        <f t="shared" ca="1" si="12"/>
        <v>-46072</v>
      </c>
      <c r="F39" s="42">
        <v>46325</v>
      </c>
      <c r="G39" s="41">
        <f t="shared" ca="1" si="2"/>
        <v>253</v>
      </c>
      <c r="H39" s="42">
        <v>46407</v>
      </c>
      <c r="I39" s="41">
        <f t="shared" ca="1" si="7"/>
        <v>335</v>
      </c>
      <c r="J39" s="42"/>
      <c r="K39" s="41">
        <f ca="1">J39-$E$1</f>
        <v>-46072</v>
      </c>
      <c r="L39" s="42">
        <v>46135</v>
      </c>
      <c r="M39" s="41">
        <f t="shared" ca="1" si="3"/>
        <v>63</v>
      </c>
      <c r="N39" s="42">
        <v>46254</v>
      </c>
      <c r="O39" s="41">
        <f t="shared" ca="1" si="4"/>
        <v>182</v>
      </c>
      <c r="P39" s="44"/>
      <c r="Q39" s="41">
        <f ca="1">P39-$E$1</f>
        <v>-46072</v>
      </c>
      <c r="R39" s="44"/>
      <c r="S39" s="41">
        <f ca="1">R39-$E$1</f>
        <v>-46072</v>
      </c>
      <c r="T39" s="44"/>
      <c r="U39" s="41"/>
      <c r="V39" s="44">
        <v>46045</v>
      </c>
      <c r="W39" s="41">
        <f t="shared" ca="1" si="8"/>
        <v>-27</v>
      </c>
      <c r="X39" s="44"/>
      <c r="Y39" s="41"/>
      <c r="Z39" s="45">
        <v>46112</v>
      </c>
      <c r="AA39" s="41">
        <f t="shared" ca="1" si="5"/>
        <v>40</v>
      </c>
      <c r="AB39" s="45" t="s">
        <v>19</v>
      </c>
      <c r="AC39" s="41"/>
      <c r="AD39" s="45" t="s">
        <v>19</v>
      </c>
      <c r="AE39" s="41"/>
    </row>
    <row r="40" spans="1:31" ht="15" customHeight="1" x14ac:dyDescent="0.25">
      <c r="A40" s="39" t="s">
        <v>55</v>
      </c>
      <c r="B40" s="42">
        <v>46113</v>
      </c>
      <c r="C40" s="41">
        <f t="shared" ca="1" si="11"/>
        <v>41</v>
      </c>
      <c r="D40" s="42"/>
      <c r="E40" s="41">
        <f t="shared" ca="1" si="12"/>
        <v>-46072</v>
      </c>
      <c r="F40" s="42">
        <v>46325</v>
      </c>
      <c r="G40" s="41">
        <f t="shared" ca="1" si="2"/>
        <v>253</v>
      </c>
      <c r="H40" s="42">
        <v>46178</v>
      </c>
      <c r="I40" s="41">
        <f t="shared" ca="1" si="7"/>
        <v>106</v>
      </c>
      <c r="J40" s="42"/>
      <c r="K40" s="41">
        <f ca="1">J40-$E$1</f>
        <v>-46072</v>
      </c>
      <c r="L40" s="42">
        <v>46135</v>
      </c>
      <c r="M40" s="41">
        <f t="shared" ca="1" si="3"/>
        <v>63</v>
      </c>
      <c r="N40" s="42">
        <v>46255</v>
      </c>
      <c r="O40" s="41">
        <f t="shared" ca="1" si="4"/>
        <v>183</v>
      </c>
      <c r="P40" s="44"/>
      <c r="Q40" s="41">
        <f ca="1">P40-$E$1</f>
        <v>-46072</v>
      </c>
      <c r="R40" s="42"/>
      <c r="S40" s="41">
        <f ca="1">R40-$E$1</f>
        <v>-46072</v>
      </c>
      <c r="T40" s="42"/>
      <c r="U40" s="41">
        <f ca="1">T40-$E$1</f>
        <v>-46072</v>
      </c>
      <c r="V40" s="44">
        <v>46045</v>
      </c>
      <c r="W40" s="41">
        <f t="shared" ca="1" si="8"/>
        <v>-27</v>
      </c>
      <c r="X40" s="42"/>
      <c r="Y40" s="41">
        <f ca="1">X40-$E$1</f>
        <v>-46072</v>
      </c>
      <c r="Z40" s="45">
        <v>46112</v>
      </c>
      <c r="AA40" s="41">
        <f t="shared" ca="1" si="5"/>
        <v>40</v>
      </c>
      <c r="AB40" s="45" t="s">
        <v>19</v>
      </c>
      <c r="AC40" s="41"/>
      <c r="AD40" s="45" t="s">
        <v>19</v>
      </c>
      <c r="AE40" s="41"/>
    </row>
    <row r="41" spans="1:31" ht="15" customHeight="1" x14ac:dyDescent="0.25">
      <c r="A41" s="39" t="s">
        <v>56</v>
      </c>
      <c r="B41" s="42">
        <v>46113</v>
      </c>
      <c r="C41" s="41">
        <f t="shared" ca="1" si="11"/>
        <v>41</v>
      </c>
      <c r="D41" s="42">
        <v>44873</v>
      </c>
      <c r="E41" s="41">
        <f t="shared" ca="1" si="12"/>
        <v>-1199</v>
      </c>
      <c r="F41" s="42">
        <v>46230</v>
      </c>
      <c r="G41" s="41">
        <f t="shared" ca="1" si="2"/>
        <v>158</v>
      </c>
      <c r="H41" s="42">
        <v>46407</v>
      </c>
      <c r="I41" s="41">
        <f t="shared" ca="1" si="7"/>
        <v>335</v>
      </c>
      <c r="J41" s="42"/>
      <c r="K41" s="41"/>
      <c r="L41" s="42">
        <v>46135</v>
      </c>
      <c r="M41" s="41">
        <f t="shared" ca="1" si="3"/>
        <v>63</v>
      </c>
      <c r="N41" s="40">
        <v>46268</v>
      </c>
      <c r="O41" s="41">
        <f t="shared" ca="1" si="4"/>
        <v>196</v>
      </c>
      <c r="P41" s="42"/>
      <c r="Q41" s="41"/>
      <c r="R41" s="44"/>
      <c r="S41" s="41"/>
      <c r="T41" s="44"/>
      <c r="U41" s="41"/>
      <c r="V41" s="44">
        <v>46044</v>
      </c>
      <c r="W41" s="41">
        <f t="shared" ca="1" si="8"/>
        <v>-28</v>
      </c>
      <c r="X41" s="42"/>
      <c r="Y41" s="41"/>
      <c r="Z41" s="45">
        <v>46112</v>
      </c>
      <c r="AA41" s="41">
        <f t="shared" ca="1" si="5"/>
        <v>40</v>
      </c>
      <c r="AB41" s="45" t="s">
        <v>19</v>
      </c>
      <c r="AC41" s="41"/>
      <c r="AD41" s="45" t="s">
        <v>19</v>
      </c>
      <c r="AE41" s="41"/>
    </row>
    <row r="42" spans="1:31" ht="15" customHeight="1" x14ac:dyDescent="0.25">
      <c r="A42" s="39" t="s">
        <v>57</v>
      </c>
      <c r="B42" s="40">
        <v>46258</v>
      </c>
      <c r="C42" s="41">
        <f t="shared" ca="1" si="11"/>
        <v>186</v>
      </c>
      <c r="D42" s="42"/>
      <c r="E42" s="41">
        <f t="shared" ca="1" si="12"/>
        <v>-46072</v>
      </c>
      <c r="F42" s="40">
        <v>46274</v>
      </c>
      <c r="G42" s="41">
        <f t="shared" ca="1" si="2"/>
        <v>202</v>
      </c>
      <c r="H42" s="40">
        <v>46252</v>
      </c>
      <c r="I42" s="41">
        <f t="shared" ca="1" si="7"/>
        <v>180</v>
      </c>
      <c r="J42" s="42"/>
      <c r="K42" s="41">
        <f t="shared" ref="K42:K49" ca="1" si="13">J42-$E$1</f>
        <v>-46072</v>
      </c>
      <c r="L42" s="42">
        <v>46135</v>
      </c>
      <c r="M42" s="41">
        <f t="shared" ca="1" si="3"/>
        <v>63</v>
      </c>
      <c r="N42" s="40">
        <v>46254</v>
      </c>
      <c r="O42" s="41">
        <f t="shared" ca="1" si="4"/>
        <v>182</v>
      </c>
      <c r="P42" s="44"/>
      <c r="Q42" s="41">
        <f ca="1">P42-$E$1</f>
        <v>-46072</v>
      </c>
      <c r="R42" s="44"/>
      <c r="S42" s="41">
        <f ca="1">R42-$E$1</f>
        <v>-46072</v>
      </c>
      <c r="T42" s="44"/>
      <c r="U42" s="41"/>
      <c r="V42" s="44">
        <v>46328</v>
      </c>
      <c r="W42" s="41">
        <f t="shared" ca="1" si="8"/>
        <v>256</v>
      </c>
      <c r="X42" s="44"/>
      <c r="Y42" s="41"/>
      <c r="Z42" s="45">
        <v>46112</v>
      </c>
      <c r="AA42" s="41">
        <f t="shared" ca="1" si="5"/>
        <v>40</v>
      </c>
      <c r="AB42" s="45" t="s">
        <v>19</v>
      </c>
      <c r="AC42" s="41"/>
      <c r="AD42" s="45" t="s">
        <v>19</v>
      </c>
      <c r="AE42" s="41"/>
    </row>
    <row r="43" spans="1:31" ht="15" customHeight="1" x14ac:dyDescent="0.25">
      <c r="A43" s="39" t="s">
        <v>58</v>
      </c>
      <c r="B43" s="40">
        <v>46274</v>
      </c>
      <c r="C43" s="41">
        <f t="shared" ca="1" si="11"/>
        <v>202</v>
      </c>
      <c r="D43" s="42"/>
      <c r="E43" s="41">
        <f t="shared" ca="1" si="12"/>
        <v>-46072</v>
      </c>
      <c r="F43" s="42">
        <v>46422</v>
      </c>
      <c r="G43" s="41">
        <f t="shared" ca="1" si="2"/>
        <v>350</v>
      </c>
      <c r="H43" s="40">
        <v>46285</v>
      </c>
      <c r="I43" s="41">
        <f t="shared" ca="1" si="7"/>
        <v>213</v>
      </c>
      <c r="J43" s="42"/>
      <c r="K43" s="41">
        <f t="shared" ca="1" si="13"/>
        <v>-46072</v>
      </c>
      <c r="L43" s="42">
        <v>46135</v>
      </c>
      <c r="M43" s="41">
        <f t="shared" ca="1" si="3"/>
        <v>63</v>
      </c>
      <c r="N43" s="42">
        <v>46259</v>
      </c>
      <c r="O43" s="41">
        <f t="shared" ca="1" si="4"/>
        <v>187</v>
      </c>
      <c r="P43" s="44"/>
      <c r="Q43" s="41">
        <f ca="1">P43-$E$1</f>
        <v>-46072</v>
      </c>
      <c r="R43" s="44"/>
      <c r="S43" s="41">
        <f ca="1">R43-$E$1</f>
        <v>-46072</v>
      </c>
      <c r="T43" s="44"/>
      <c r="U43" s="41"/>
      <c r="V43" s="44">
        <v>46044</v>
      </c>
      <c r="W43" s="41">
        <f t="shared" ca="1" si="8"/>
        <v>-28</v>
      </c>
      <c r="X43" s="44"/>
      <c r="Y43" s="41"/>
      <c r="Z43" s="45">
        <v>46112</v>
      </c>
      <c r="AA43" s="41">
        <f t="shared" ca="1" si="5"/>
        <v>40</v>
      </c>
      <c r="AB43" s="45" t="s">
        <v>19</v>
      </c>
      <c r="AC43" s="41"/>
      <c r="AD43" s="45" t="s">
        <v>19</v>
      </c>
      <c r="AE43" s="41"/>
    </row>
    <row r="44" spans="1:31" ht="15" customHeight="1" x14ac:dyDescent="0.25">
      <c r="A44" s="39" t="s">
        <v>59</v>
      </c>
      <c r="B44" s="42">
        <v>46295</v>
      </c>
      <c r="C44" s="41">
        <f t="shared" ca="1" si="11"/>
        <v>223</v>
      </c>
      <c r="D44" s="42"/>
      <c r="E44" s="41">
        <f t="shared" ca="1" si="12"/>
        <v>-46072</v>
      </c>
      <c r="F44" s="42">
        <v>46294</v>
      </c>
      <c r="G44" s="41">
        <f t="shared" ca="1" si="2"/>
        <v>222</v>
      </c>
      <c r="H44" s="42">
        <v>46346</v>
      </c>
      <c r="I44" s="41">
        <f t="shared" ca="1" si="7"/>
        <v>274</v>
      </c>
      <c r="J44" s="42"/>
      <c r="K44" s="41">
        <f t="shared" ca="1" si="13"/>
        <v>-46072</v>
      </c>
      <c r="L44" s="42">
        <v>46155</v>
      </c>
      <c r="M44" s="41">
        <f t="shared" ca="1" si="3"/>
        <v>83</v>
      </c>
      <c r="N44" s="42">
        <v>46255</v>
      </c>
      <c r="O44" s="41">
        <f t="shared" ca="1" si="4"/>
        <v>183</v>
      </c>
      <c r="P44" s="44"/>
      <c r="Q44" s="41">
        <f ca="1">P44-$E$1</f>
        <v>-46072</v>
      </c>
      <c r="R44" s="44"/>
      <c r="S44" s="41">
        <f ca="1">R44-$E$1</f>
        <v>-46072</v>
      </c>
      <c r="T44" s="44"/>
      <c r="U44" s="41"/>
      <c r="V44" s="44">
        <v>46044</v>
      </c>
      <c r="W44" s="41">
        <f t="shared" ca="1" si="8"/>
        <v>-28</v>
      </c>
      <c r="X44" s="44"/>
      <c r="Y44" s="41"/>
      <c r="Z44" s="45">
        <v>46112</v>
      </c>
      <c r="AA44" s="41">
        <f t="shared" ca="1" si="5"/>
        <v>40</v>
      </c>
      <c r="AB44" s="45" t="s">
        <v>19</v>
      </c>
      <c r="AC44" s="41"/>
      <c r="AD44" s="45" t="s">
        <v>19</v>
      </c>
      <c r="AE44" s="41"/>
    </row>
    <row r="45" spans="1:31" s="47" customFormat="1" ht="15" customHeight="1" x14ac:dyDescent="0.25">
      <c r="A45" s="49" t="s">
        <v>60</v>
      </c>
      <c r="B45" s="40">
        <v>46264</v>
      </c>
      <c r="C45" s="50">
        <f ca="1">B45-$E$1</f>
        <v>192</v>
      </c>
      <c r="D45" s="40"/>
      <c r="E45" s="50">
        <f ca="1">D45-$E$1</f>
        <v>-46072</v>
      </c>
      <c r="F45" s="40">
        <v>46106</v>
      </c>
      <c r="G45" s="50">
        <f ca="1">F45-$E$1</f>
        <v>34</v>
      </c>
      <c r="H45" s="42">
        <v>46407</v>
      </c>
      <c r="I45" s="50">
        <f ca="1">H45-$E$1</f>
        <v>335</v>
      </c>
      <c r="J45" s="40"/>
      <c r="K45" s="50">
        <f t="shared" ca="1" si="13"/>
        <v>-46072</v>
      </c>
      <c r="L45" s="42">
        <v>46155</v>
      </c>
      <c r="M45" s="50">
        <f t="shared" ca="1" si="3"/>
        <v>83</v>
      </c>
      <c r="N45" s="44">
        <v>46294</v>
      </c>
      <c r="O45" s="41">
        <f t="shared" ca="1" si="4"/>
        <v>222</v>
      </c>
      <c r="P45" s="40"/>
      <c r="Q45" s="50">
        <f ca="1">P45-$E$1</f>
        <v>-46072</v>
      </c>
      <c r="R45" s="40"/>
      <c r="S45" s="50">
        <f ca="1">R45-$E$1</f>
        <v>-46072</v>
      </c>
      <c r="T45" s="40"/>
      <c r="U45" s="50">
        <f ca="1">T45-$E$1</f>
        <v>-46072</v>
      </c>
      <c r="V45" s="40">
        <v>46084</v>
      </c>
      <c r="W45" s="50">
        <f ca="1">V45-$E$1</f>
        <v>12</v>
      </c>
      <c r="X45" s="40" t="s">
        <v>61</v>
      </c>
      <c r="Y45" s="50" t="e">
        <f ca="1">X45-$E$1</f>
        <v>#VALUE!</v>
      </c>
      <c r="Z45" s="45">
        <v>46112</v>
      </c>
      <c r="AA45" s="41">
        <f t="shared" ca="1" si="5"/>
        <v>40</v>
      </c>
      <c r="AB45" s="45">
        <v>46302</v>
      </c>
      <c r="AC45" s="41">
        <f t="shared" ref="AC45:AE48" ca="1" si="14">AB45-$E$1</f>
        <v>230</v>
      </c>
      <c r="AD45" s="45">
        <v>46979</v>
      </c>
      <c r="AE45" s="41">
        <f t="shared" ca="1" si="14"/>
        <v>907</v>
      </c>
    </row>
    <row r="46" spans="1:31" s="47" customFormat="1" ht="15" customHeight="1" x14ac:dyDescent="0.25">
      <c r="A46" s="51" t="s">
        <v>62</v>
      </c>
      <c r="B46" s="40">
        <v>46414</v>
      </c>
      <c r="C46" s="50">
        <f t="shared" ca="1" si="11"/>
        <v>342</v>
      </c>
      <c r="D46" s="40"/>
      <c r="E46" s="50">
        <f t="shared" ca="1" si="12"/>
        <v>-46072</v>
      </c>
      <c r="F46" s="40">
        <v>46168</v>
      </c>
      <c r="G46" s="50">
        <f t="shared" ca="1" si="2"/>
        <v>96</v>
      </c>
      <c r="H46" s="42">
        <v>46407</v>
      </c>
      <c r="I46" s="50">
        <f t="shared" ca="1" si="7"/>
        <v>335</v>
      </c>
      <c r="J46" s="40"/>
      <c r="K46" s="50">
        <f t="shared" ca="1" si="13"/>
        <v>-46072</v>
      </c>
      <c r="L46" s="42">
        <v>46135</v>
      </c>
      <c r="M46" s="50">
        <f t="shared" ca="1" si="3"/>
        <v>63</v>
      </c>
      <c r="N46" s="44">
        <v>46294</v>
      </c>
      <c r="O46" s="41">
        <f t="shared" ca="1" si="4"/>
        <v>222</v>
      </c>
      <c r="P46" s="40"/>
      <c r="Q46" s="50">
        <f t="shared" ref="Q46:S47" ca="1" si="15">P46-$E$1</f>
        <v>-46072</v>
      </c>
      <c r="R46" s="40"/>
      <c r="S46" s="50">
        <f t="shared" ca="1" si="15"/>
        <v>-46072</v>
      </c>
      <c r="T46" s="40"/>
      <c r="U46" s="50">
        <f ca="1">T46-$E$1</f>
        <v>-46072</v>
      </c>
      <c r="V46" s="40">
        <v>46084</v>
      </c>
      <c r="W46" s="50">
        <f t="shared" ca="1" si="8"/>
        <v>12</v>
      </c>
      <c r="X46" s="40"/>
      <c r="Y46" s="50">
        <f ca="1">X46-$E$1</f>
        <v>-46072</v>
      </c>
      <c r="Z46" s="45">
        <v>46112</v>
      </c>
      <c r="AA46" s="41">
        <f t="shared" ca="1" si="5"/>
        <v>40</v>
      </c>
      <c r="AB46" s="45" t="s">
        <v>19</v>
      </c>
      <c r="AC46" s="41"/>
      <c r="AD46" s="45" t="s">
        <v>19</v>
      </c>
      <c r="AE46" s="41"/>
    </row>
    <row r="47" spans="1:31" s="47" customFormat="1" ht="15" customHeight="1" x14ac:dyDescent="0.25">
      <c r="A47" s="49" t="s">
        <v>63</v>
      </c>
      <c r="B47" s="40">
        <v>46411</v>
      </c>
      <c r="C47" s="50">
        <f t="shared" ca="1" si="11"/>
        <v>339</v>
      </c>
      <c r="D47" s="40"/>
      <c r="E47" s="50">
        <f t="shared" ca="1" si="12"/>
        <v>-46072</v>
      </c>
      <c r="F47" s="52">
        <v>46106</v>
      </c>
      <c r="G47" s="50">
        <f t="shared" ca="1" si="2"/>
        <v>34</v>
      </c>
      <c r="H47" s="42">
        <v>46407</v>
      </c>
      <c r="I47" s="50">
        <f t="shared" ca="1" si="7"/>
        <v>335</v>
      </c>
      <c r="J47" s="40"/>
      <c r="K47" s="50">
        <f t="shared" ca="1" si="13"/>
        <v>-46072</v>
      </c>
      <c r="L47" s="42">
        <v>46135</v>
      </c>
      <c r="M47" s="50">
        <f t="shared" ca="1" si="3"/>
        <v>63</v>
      </c>
      <c r="N47" s="44">
        <v>46294</v>
      </c>
      <c r="O47" s="41">
        <f t="shared" ca="1" si="4"/>
        <v>222</v>
      </c>
      <c r="P47" s="40"/>
      <c r="Q47" s="50">
        <f t="shared" ca="1" si="15"/>
        <v>-46072</v>
      </c>
      <c r="R47" s="40">
        <v>46478</v>
      </c>
      <c r="S47" s="50">
        <f t="shared" ca="1" si="15"/>
        <v>406</v>
      </c>
      <c r="T47" s="40"/>
      <c r="U47" s="50">
        <f ca="1">T47-$E$1</f>
        <v>-46072</v>
      </c>
      <c r="V47" s="40">
        <v>46084</v>
      </c>
      <c r="W47" s="50">
        <f t="shared" ca="1" si="8"/>
        <v>12</v>
      </c>
      <c r="X47" s="40"/>
      <c r="Y47" s="50">
        <f ca="1">X47-$E$1</f>
        <v>-46072</v>
      </c>
      <c r="Z47" s="45">
        <v>46112</v>
      </c>
      <c r="AA47" s="41">
        <f t="shared" ca="1" si="5"/>
        <v>40</v>
      </c>
      <c r="AB47" s="45" t="s">
        <v>19</v>
      </c>
      <c r="AC47" s="41"/>
      <c r="AD47" s="45" t="s">
        <v>19</v>
      </c>
      <c r="AE47" s="41"/>
    </row>
    <row r="48" spans="1:31" s="47" customFormat="1" ht="15" customHeight="1" x14ac:dyDescent="0.25">
      <c r="A48" s="51" t="s">
        <v>64</v>
      </c>
      <c r="B48" s="40">
        <v>46411</v>
      </c>
      <c r="C48" s="50">
        <f ca="1">B48-$E$1</f>
        <v>339</v>
      </c>
      <c r="D48" s="40"/>
      <c r="E48" s="50">
        <f ca="1">D48-$E$1</f>
        <v>-46072</v>
      </c>
      <c r="F48" s="40">
        <v>46106</v>
      </c>
      <c r="G48" s="50">
        <f ca="1">F48-$E$1</f>
        <v>34</v>
      </c>
      <c r="H48" s="42">
        <v>46407</v>
      </c>
      <c r="I48" s="50">
        <f ca="1">H48-$E$1</f>
        <v>335</v>
      </c>
      <c r="J48" s="40"/>
      <c r="K48" s="50">
        <f t="shared" ca="1" si="13"/>
        <v>-46072</v>
      </c>
      <c r="L48" s="42">
        <v>46182</v>
      </c>
      <c r="M48" s="50">
        <f t="shared" ca="1" si="3"/>
        <v>110</v>
      </c>
      <c r="N48" s="44">
        <v>46294</v>
      </c>
      <c r="O48" s="41">
        <f t="shared" ca="1" si="4"/>
        <v>222</v>
      </c>
      <c r="P48" s="40"/>
      <c r="Q48" s="50">
        <f ca="1">P48-$E$1</f>
        <v>-46072</v>
      </c>
      <c r="R48" s="40"/>
      <c r="S48" s="50">
        <f ca="1">R48-$E$1</f>
        <v>-46072</v>
      </c>
      <c r="T48" s="40"/>
      <c r="U48" s="50">
        <f ca="1">T48-$E$1</f>
        <v>-46072</v>
      </c>
      <c r="V48" s="40">
        <v>46084</v>
      </c>
      <c r="W48" s="50">
        <f ca="1">V48-$E$1</f>
        <v>12</v>
      </c>
      <c r="X48" s="40" t="s">
        <v>65</v>
      </c>
      <c r="Y48" s="50"/>
      <c r="Z48" s="45">
        <v>46112</v>
      </c>
      <c r="AA48" s="41">
        <f t="shared" ca="1" si="5"/>
        <v>40</v>
      </c>
      <c r="AB48" s="45">
        <v>46302</v>
      </c>
      <c r="AC48" s="41">
        <f t="shared" ca="1" si="14"/>
        <v>230</v>
      </c>
      <c r="AD48" s="45">
        <v>46462</v>
      </c>
      <c r="AE48" s="41">
        <f t="shared" ca="1" si="14"/>
        <v>390</v>
      </c>
    </row>
    <row r="49" spans="1:31" s="47" customFormat="1" ht="15" customHeight="1" x14ac:dyDescent="0.25">
      <c r="A49" s="51" t="s">
        <v>66</v>
      </c>
      <c r="B49" s="40">
        <v>46411</v>
      </c>
      <c r="C49" s="50">
        <f ca="1">B49-$E$1</f>
        <v>339</v>
      </c>
      <c r="D49" s="40"/>
      <c r="E49" s="50">
        <f ca="1">D49-$E$1</f>
        <v>-46072</v>
      </c>
      <c r="F49" s="40">
        <v>46106</v>
      </c>
      <c r="G49" s="50">
        <f ca="1">F49-$E$1</f>
        <v>34</v>
      </c>
      <c r="H49" s="42">
        <v>46178</v>
      </c>
      <c r="I49" s="50">
        <f ca="1">H49-$E$1</f>
        <v>106</v>
      </c>
      <c r="J49" s="40"/>
      <c r="K49" s="50">
        <f t="shared" ca="1" si="13"/>
        <v>-46072</v>
      </c>
      <c r="L49" s="42">
        <v>46185</v>
      </c>
      <c r="M49" s="50">
        <f t="shared" ca="1" si="3"/>
        <v>113</v>
      </c>
      <c r="N49" s="44">
        <v>46294</v>
      </c>
      <c r="O49" s="41">
        <f t="shared" ca="1" si="4"/>
        <v>222</v>
      </c>
      <c r="P49" s="40"/>
      <c r="Q49" s="50">
        <f ca="1">P49-$E$1</f>
        <v>-46072</v>
      </c>
      <c r="R49" s="40"/>
      <c r="S49" s="50">
        <f ca="1">R49-$E$1</f>
        <v>-46072</v>
      </c>
      <c r="T49" s="40"/>
      <c r="U49" s="50">
        <f ca="1">T49-$E$1</f>
        <v>-46072</v>
      </c>
      <c r="V49" s="40">
        <v>46084</v>
      </c>
      <c r="W49" s="50">
        <f ca="1">V49-$E$1</f>
        <v>12</v>
      </c>
      <c r="X49" s="40"/>
      <c r="Y49" s="50">
        <f ca="1">X49-$E$1</f>
        <v>-46072</v>
      </c>
      <c r="Z49" s="45">
        <v>46112</v>
      </c>
      <c r="AA49" s="41">
        <f t="shared" ca="1" si="5"/>
        <v>40</v>
      </c>
      <c r="AB49" s="45" t="s">
        <v>19</v>
      </c>
      <c r="AC49" s="41"/>
      <c r="AD49" s="45" t="s">
        <v>19</v>
      </c>
      <c r="AE49" s="41"/>
    </row>
    <row r="50" spans="1:31" s="47" customFormat="1" x14ac:dyDescent="0.25">
      <c r="A50" s="50" t="s">
        <v>67</v>
      </c>
      <c r="B50" s="53">
        <v>46295</v>
      </c>
      <c r="C50" s="50">
        <f t="shared" ref="C50:C66" ca="1" si="16">B50-$E$1</f>
        <v>223</v>
      </c>
      <c r="D50" s="54"/>
      <c r="E50" s="54"/>
      <c r="F50" s="45" t="s">
        <v>19</v>
      </c>
      <c r="G50" s="55">
        <v>0</v>
      </c>
      <c r="H50" s="45">
        <v>46209</v>
      </c>
      <c r="I50" s="50">
        <f ca="1">H50-$E$1</f>
        <v>137</v>
      </c>
      <c r="J50" s="54"/>
      <c r="K50" s="54"/>
      <c r="L50" s="42">
        <v>46231</v>
      </c>
      <c r="M50" s="50">
        <f t="shared" ca="1" si="3"/>
        <v>159</v>
      </c>
      <c r="N50" s="56" t="s">
        <v>19</v>
      </c>
      <c r="O50" s="50">
        <v>0</v>
      </c>
      <c r="P50" s="54"/>
      <c r="Q50" s="54"/>
      <c r="R50" s="54"/>
      <c r="S50" s="54"/>
      <c r="T50" s="54"/>
      <c r="U50" s="54"/>
      <c r="V50" s="40">
        <v>46315</v>
      </c>
      <c r="W50" s="50">
        <f t="shared" ref="W50:W65" ca="1" si="17">V50-$E$1</f>
        <v>243</v>
      </c>
      <c r="X50" s="54"/>
      <c r="Y50" s="54"/>
      <c r="Z50" s="45">
        <v>46112</v>
      </c>
      <c r="AA50" s="41">
        <f t="shared" ca="1" si="5"/>
        <v>40</v>
      </c>
      <c r="AB50" s="45" t="s">
        <v>19</v>
      </c>
      <c r="AC50" s="41"/>
      <c r="AD50" s="45" t="s">
        <v>19</v>
      </c>
      <c r="AE50" s="41"/>
    </row>
    <row r="51" spans="1:31" x14ac:dyDescent="0.25">
      <c r="A51" s="50" t="s">
        <v>68</v>
      </c>
      <c r="B51" s="53">
        <v>46295</v>
      </c>
      <c r="C51" s="50">
        <f t="shared" ca="1" si="16"/>
        <v>223</v>
      </c>
      <c r="D51" s="57"/>
      <c r="E51" s="57"/>
      <c r="F51" s="45" t="s">
        <v>19</v>
      </c>
      <c r="G51" s="55">
        <v>0</v>
      </c>
      <c r="H51" s="45">
        <v>46209</v>
      </c>
      <c r="I51" s="50">
        <f ca="1">H51-$E$1</f>
        <v>137</v>
      </c>
      <c r="J51" s="57"/>
      <c r="K51" s="57"/>
      <c r="L51" s="42">
        <v>46231</v>
      </c>
      <c r="M51" s="50">
        <f t="shared" ca="1" si="3"/>
        <v>159</v>
      </c>
      <c r="N51" s="56" t="s">
        <v>19</v>
      </c>
      <c r="O51" s="50">
        <v>0</v>
      </c>
      <c r="P51" s="57"/>
      <c r="Q51" s="57"/>
      <c r="R51" s="57"/>
      <c r="S51" s="57"/>
      <c r="T51" s="57"/>
      <c r="U51" s="57"/>
      <c r="V51" s="40">
        <v>46287</v>
      </c>
      <c r="W51" s="50">
        <f ca="1">V51-$E$1</f>
        <v>215</v>
      </c>
      <c r="X51" s="57"/>
      <c r="Y51" s="57"/>
      <c r="Z51" s="45">
        <v>46112</v>
      </c>
      <c r="AA51" s="41">
        <f t="shared" ca="1" si="5"/>
        <v>40</v>
      </c>
      <c r="AB51" s="45" t="s">
        <v>19</v>
      </c>
      <c r="AC51" s="41"/>
      <c r="AD51" s="45" t="s">
        <v>19</v>
      </c>
      <c r="AE51" s="41"/>
    </row>
    <row r="52" spans="1:31" s="47" customFormat="1" hidden="1" x14ac:dyDescent="0.25">
      <c r="A52" s="58" t="s">
        <v>69</v>
      </c>
      <c r="B52" s="45" t="s">
        <v>19</v>
      </c>
      <c r="C52" s="55">
        <v>0</v>
      </c>
      <c r="D52" s="59"/>
      <c r="E52" s="59"/>
      <c r="F52" s="45" t="s">
        <v>19</v>
      </c>
      <c r="G52" s="55">
        <v>0</v>
      </c>
      <c r="H52" s="45" t="s">
        <v>19</v>
      </c>
      <c r="I52" s="50">
        <v>0</v>
      </c>
      <c r="J52" s="59"/>
      <c r="K52" s="59"/>
      <c r="L52" s="42" t="s">
        <v>19</v>
      </c>
      <c r="M52" s="50">
        <v>0</v>
      </c>
      <c r="N52" s="56" t="s">
        <v>19</v>
      </c>
      <c r="O52" s="50">
        <v>0</v>
      </c>
      <c r="P52" s="59"/>
      <c r="Q52" s="59"/>
      <c r="R52" s="59"/>
      <c r="S52" s="59"/>
      <c r="T52" s="59"/>
      <c r="U52" s="59"/>
      <c r="V52" s="45" t="s">
        <v>19</v>
      </c>
      <c r="W52" s="50">
        <v>0</v>
      </c>
      <c r="X52" s="59"/>
      <c r="Y52" s="59"/>
      <c r="Z52" s="45">
        <v>46112</v>
      </c>
      <c r="AA52" s="41">
        <f t="shared" ca="1" si="5"/>
        <v>40</v>
      </c>
      <c r="AB52" s="45" t="s">
        <v>19</v>
      </c>
      <c r="AC52" s="41"/>
      <c r="AD52" s="45" t="s">
        <v>19</v>
      </c>
      <c r="AE52" s="41"/>
    </row>
    <row r="53" spans="1:31" s="47" customFormat="1" hidden="1" x14ac:dyDescent="0.25">
      <c r="A53" s="50" t="s">
        <v>70</v>
      </c>
      <c r="B53" s="45" t="s">
        <v>19</v>
      </c>
      <c r="C53" s="55">
        <v>0</v>
      </c>
      <c r="D53" s="54"/>
      <c r="E53" s="54"/>
      <c r="F53" s="45" t="s">
        <v>19</v>
      </c>
      <c r="G53" s="55">
        <v>0</v>
      </c>
      <c r="H53" s="45">
        <v>46209</v>
      </c>
      <c r="I53" s="50">
        <f t="shared" ref="I53:I65" ca="1" si="18">H53-$E$1</f>
        <v>137</v>
      </c>
      <c r="J53" s="54"/>
      <c r="K53" s="54"/>
      <c r="L53" s="42" t="s">
        <v>19</v>
      </c>
      <c r="M53" s="50">
        <v>0</v>
      </c>
      <c r="N53" s="56" t="s">
        <v>19</v>
      </c>
      <c r="O53" s="50">
        <v>0</v>
      </c>
      <c r="P53" s="54"/>
      <c r="Q53" s="54"/>
      <c r="R53" s="54"/>
      <c r="S53" s="54"/>
      <c r="T53" s="54"/>
      <c r="U53" s="54"/>
      <c r="V53" s="45" t="s">
        <v>19</v>
      </c>
      <c r="W53" s="50">
        <v>0</v>
      </c>
      <c r="X53" s="54"/>
      <c r="Y53" s="54"/>
      <c r="Z53" s="45">
        <v>46112</v>
      </c>
      <c r="AA53" s="41">
        <f t="shared" ca="1" si="5"/>
        <v>40</v>
      </c>
      <c r="AB53" s="45" t="s">
        <v>19</v>
      </c>
      <c r="AC53" s="41"/>
      <c r="AD53" s="45" t="s">
        <v>19</v>
      </c>
      <c r="AE53" s="41"/>
    </row>
    <row r="54" spans="1:31" x14ac:dyDescent="0.25">
      <c r="A54" s="50" t="s">
        <v>71</v>
      </c>
      <c r="B54" s="53">
        <v>46295</v>
      </c>
      <c r="C54" s="50">
        <f t="shared" ca="1" si="16"/>
        <v>223</v>
      </c>
      <c r="D54" s="57"/>
      <c r="E54" s="57"/>
      <c r="F54" s="45" t="s">
        <v>19</v>
      </c>
      <c r="G54" s="55">
        <v>0</v>
      </c>
      <c r="H54" s="45">
        <v>46209</v>
      </c>
      <c r="I54" s="50">
        <f t="shared" ca="1" si="18"/>
        <v>137</v>
      </c>
      <c r="J54" s="57"/>
      <c r="K54" s="57"/>
      <c r="L54" s="42">
        <v>46231</v>
      </c>
      <c r="M54" s="50">
        <f ca="1">L54-$E$1</f>
        <v>159</v>
      </c>
      <c r="N54" s="56" t="s">
        <v>19</v>
      </c>
      <c r="O54" s="50">
        <v>0</v>
      </c>
      <c r="P54" s="57"/>
      <c r="Q54" s="57"/>
      <c r="R54" s="57"/>
      <c r="S54" s="57"/>
      <c r="T54" s="57"/>
      <c r="U54" s="57"/>
      <c r="V54" s="45" t="s">
        <v>19</v>
      </c>
      <c r="W54" s="50">
        <v>0</v>
      </c>
      <c r="X54" s="57"/>
      <c r="Y54" s="57"/>
      <c r="Z54" s="45">
        <v>46112</v>
      </c>
      <c r="AA54" s="41">
        <f t="shared" ca="1" si="5"/>
        <v>40</v>
      </c>
      <c r="AB54" s="45" t="s">
        <v>19</v>
      </c>
      <c r="AC54" s="41"/>
      <c r="AD54" s="45" t="s">
        <v>19</v>
      </c>
      <c r="AE54" s="41"/>
    </row>
    <row r="55" spans="1:31" s="47" customFormat="1" x14ac:dyDescent="0.25">
      <c r="A55" s="50" t="s">
        <v>72</v>
      </c>
      <c r="B55" s="45" t="s">
        <v>19</v>
      </c>
      <c r="C55" s="50">
        <v>0</v>
      </c>
      <c r="D55" s="54" t="s">
        <v>73</v>
      </c>
      <c r="E55" s="54" t="s">
        <v>73</v>
      </c>
      <c r="F55" s="45" t="s">
        <v>19</v>
      </c>
      <c r="G55" s="55">
        <v>0</v>
      </c>
      <c r="H55" s="45">
        <v>46209</v>
      </c>
      <c r="I55" s="50">
        <f t="shared" ca="1" si="18"/>
        <v>137</v>
      </c>
      <c r="J55" s="54" t="s">
        <v>73</v>
      </c>
      <c r="K55" s="54" t="s">
        <v>73</v>
      </c>
      <c r="L55" s="42" t="s">
        <v>19</v>
      </c>
      <c r="M55" s="50">
        <v>0</v>
      </c>
      <c r="N55" s="56" t="s">
        <v>19</v>
      </c>
      <c r="O55" s="50">
        <v>0</v>
      </c>
      <c r="P55" s="54" t="s">
        <v>73</v>
      </c>
      <c r="Q55" s="54" t="s">
        <v>73</v>
      </c>
      <c r="R55" s="54" t="s">
        <v>73</v>
      </c>
      <c r="S55" s="54" t="s">
        <v>73</v>
      </c>
      <c r="T55" s="54" t="s">
        <v>73</v>
      </c>
      <c r="U55" s="54" t="s">
        <v>73</v>
      </c>
      <c r="V55" s="56" t="s">
        <v>19</v>
      </c>
      <c r="W55" s="50">
        <v>0</v>
      </c>
      <c r="X55" s="54" t="s">
        <v>73</v>
      </c>
      <c r="Y55" s="54" t="s">
        <v>73</v>
      </c>
      <c r="Z55" s="45">
        <v>46112</v>
      </c>
      <c r="AA55" s="41">
        <f t="shared" ca="1" si="5"/>
        <v>40</v>
      </c>
      <c r="AB55" s="45" t="s">
        <v>19</v>
      </c>
      <c r="AC55" s="41"/>
      <c r="AD55" s="45" t="s">
        <v>19</v>
      </c>
      <c r="AE55" s="41"/>
    </row>
    <row r="56" spans="1:31" ht="15" customHeight="1" x14ac:dyDescent="0.25">
      <c r="A56" s="50" t="s">
        <v>74</v>
      </c>
      <c r="B56" s="53">
        <v>46295</v>
      </c>
      <c r="C56" s="50">
        <f t="shared" ca="1" si="16"/>
        <v>223</v>
      </c>
      <c r="D56" s="57"/>
      <c r="E56" s="57"/>
      <c r="F56" s="45" t="s">
        <v>19</v>
      </c>
      <c r="G56" s="55">
        <v>0</v>
      </c>
      <c r="H56" s="45" t="s">
        <v>19</v>
      </c>
      <c r="I56" s="50">
        <v>0</v>
      </c>
      <c r="J56" s="57"/>
      <c r="K56" s="57"/>
      <c r="L56" s="42">
        <v>46231</v>
      </c>
      <c r="M56" s="41">
        <f ca="1">L56-$E$1</f>
        <v>159</v>
      </c>
      <c r="N56" s="56" t="s">
        <v>19</v>
      </c>
      <c r="O56" s="50">
        <v>0</v>
      </c>
      <c r="P56" s="57"/>
      <c r="Q56" s="57"/>
      <c r="R56" s="57"/>
      <c r="S56" s="57"/>
      <c r="T56" s="57"/>
      <c r="U56" s="57"/>
      <c r="V56" s="40">
        <v>46287</v>
      </c>
      <c r="W56" s="50">
        <f t="shared" ca="1" si="17"/>
        <v>215</v>
      </c>
      <c r="X56" s="57"/>
      <c r="Y56" s="57"/>
      <c r="Z56" s="45">
        <v>46112</v>
      </c>
      <c r="AA56" s="41">
        <f t="shared" ca="1" si="5"/>
        <v>40</v>
      </c>
      <c r="AB56" s="45" t="s">
        <v>19</v>
      </c>
      <c r="AC56" s="41"/>
      <c r="AD56" s="45" t="s">
        <v>19</v>
      </c>
      <c r="AE56" s="41"/>
    </row>
    <row r="57" spans="1:31" s="47" customFormat="1" x14ac:dyDescent="0.25">
      <c r="A57" s="50" t="s">
        <v>75</v>
      </c>
      <c r="B57" s="53">
        <v>46295</v>
      </c>
      <c r="C57" s="50">
        <f t="shared" ca="1" si="16"/>
        <v>223</v>
      </c>
      <c r="D57" s="54" t="s">
        <v>73</v>
      </c>
      <c r="E57" s="54" t="s">
        <v>73</v>
      </c>
      <c r="F57" s="45" t="s">
        <v>19</v>
      </c>
      <c r="G57" s="55">
        <v>0</v>
      </c>
      <c r="H57" s="45">
        <v>46209</v>
      </c>
      <c r="I57" s="50">
        <f t="shared" ca="1" si="18"/>
        <v>137</v>
      </c>
      <c r="J57" s="54" t="s">
        <v>73</v>
      </c>
      <c r="K57" s="54" t="s">
        <v>73</v>
      </c>
      <c r="L57" s="42">
        <v>46231</v>
      </c>
      <c r="M57" s="41">
        <f ca="1">L57-$E$1</f>
        <v>159</v>
      </c>
      <c r="N57" s="56" t="s">
        <v>19</v>
      </c>
      <c r="O57" s="50">
        <v>0</v>
      </c>
      <c r="P57" s="54" t="s">
        <v>73</v>
      </c>
      <c r="Q57" s="54" t="s">
        <v>73</v>
      </c>
      <c r="R57" s="54" t="s">
        <v>73</v>
      </c>
      <c r="S57" s="54" t="s">
        <v>73</v>
      </c>
      <c r="T57" s="54" t="s">
        <v>73</v>
      </c>
      <c r="U57" s="54" t="s">
        <v>73</v>
      </c>
      <c r="V57" s="53">
        <v>46287</v>
      </c>
      <c r="W57" s="50">
        <f t="shared" ca="1" si="17"/>
        <v>215</v>
      </c>
      <c r="X57" s="54" t="s">
        <v>73</v>
      </c>
      <c r="Y57" s="54" t="s">
        <v>73</v>
      </c>
      <c r="Z57" s="45">
        <v>46112</v>
      </c>
      <c r="AA57" s="41">
        <f t="shared" ca="1" si="5"/>
        <v>40</v>
      </c>
      <c r="AB57" s="45" t="s">
        <v>19</v>
      </c>
      <c r="AC57" s="41"/>
      <c r="AD57" s="45" t="s">
        <v>19</v>
      </c>
      <c r="AE57" s="41"/>
    </row>
    <row r="58" spans="1:31" x14ac:dyDescent="0.25">
      <c r="A58" s="50" t="s">
        <v>76</v>
      </c>
      <c r="B58" s="53">
        <v>46294</v>
      </c>
      <c r="C58" s="50">
        <f t="shared" ca="1" si="16"/>
        <v>222</v>
      </c>
      <c r="D58" s="57"/>
      <c r="E58" s="57"/>
      <c r="F58" s="45" t="s">
        <v>19</v>
      </c>
      <c r="G58" s="55">
        <v>0</v>
      </c>
      <c r="H58" s="45">
        <v>46209</v>
      </c>
      <c r="I58" s="50">
        <f t="shared" ca="1" si="18"/>
        <v>137</v>
      </c>
      <c r="J58" s="57"/>
      <c r="K58" s="57"/>
      <c r="L58" s="42">
        <v>46231</v>
      </c>
      <c r="M58" s="41">
        <f ca="1">L58-$E$1</f>
        <v>159</v>
      </c>
      <c r="N58" s="56" t="s">
        <v>19</v>
      </c>
      <c r="O58" s="50">
        <v>0</v>
      </c>
      <c r="P58" s="57"/>
      <c r="Q58" s="57"/>
      <c r="R58" s="57"/>
      <c r="S58" s="57"/>
      <c r="T58" s="57"/>
      <c r="U58" s="57"/>
      <c r="V58" s="44">
        <v>46315</v>
      </c>
      <c r="W58" s="50">
        <f t="shared" ca="1" si="17"/>
        <v>243</v>
      </c>
      <c r="X58" s="57"/>
      <c r="Y58" s="57"/>
      <c r="Z58" s="45">
        <v>46112</v>
      </c>
      <c r="AA58" s="41">
        <f t="shared" ca="1" si="5"/>
        <v>40</v>
      </c>
      <c r="AB58" s="45" t="s">
        <v>19</v>
      </c>
      <c r="AC58" s="41"/>
      <c r="AD58" s="45" t="s">
        <v>19</v>
      </c>
      <c r="AE58" s="41"/>
    </row>
    <row r="59" spans="1:31" x14ac:dyDescent="0.25">
      <c r="A59" s="50" t="s">
        <v>77</v>
      </c>
      <c r="B59" s="53">
        <v>46295</v>
      </c>
      <c r="C59" s="50">
        <f t="shared" ca="1" si="16"/>
        <v>223</v>
      </c>
      <c r="D59" s="57"/>
      <c r="E59" s="57"/>
      <c r="F59" s="45" t="s">
        <v>19</v>
      </c>
      <c r="G59" s="55">
        <v>0</v>
      </c>
      <c r="H59" s="45">
        <v>46209</v>
      </c>
      <c r="I59" s="50">
        <f t="shared" ca="1" si="18"/>
        <v>137</v>
      </c>
      <c r="J59" s="57"/>
      <c r="K59" s="57"/>
      <c r="L59" s="42">
        <v>46231</v>
      </c>
      <c r="M59" s="41">
        <f ca="1">L59-$E$1</f>
        <v>159</v>
      </c>
      <c r="N59" s="56" t="s">
        <v>19</v>
      </c>
      <c r="O59" s="50">
        <v>0</v>
      </c>
      <c r="P59" s="57"/>
      <c r="Q59" s="57"/>
      <c r="R59" s="57"/>
      <c r="S59" s="57"/>
      <c r="T59" s="57"/>
      <c r="U59" s="57"/>
      <c r="V59" s="40">
        <v>46287</v>
      </c>
      <c r="W59" s="50">
        <f t="shared" ca="1" si="17"/>
        <v>215</v>
      </c>
      <c r="X59" s="57"/>
      <c r="Y59" s="57"/>
      <c r="Z59" s="45">
        <v>46112</v>
      </c>
      <c r="AA59" s="41">
        <f t="shared" ca="1" si="5"/>
        <v>40</v>
      </c>
      <c r="AB59" s="45" t="s">
        <v>19</v>
      </c>
      <c r="AC59" s="41"/>
      <c r="AD59" s="45" t="s">
        <v>19</v>
      </c>
      <c r="AE59" s="41"/>
    </row>
    <row r="60" spans="1:31" x14ac:dyDescent="0.25">
      <c r="A60" s="50" t="s">
        <v>78</v>
      </c>
      <c r="B60" s="53">
        <v>46295</v>
      </c>
      <c r="C60" s="50">
        <f t="shared" ca="1" si="16"/>
        <v>223</v>
      </c>
      <c r="D60" s="57" t="s">
        <v>79</v>
      </c>
      <c r="E60" s="57" t="s">
        <v>79</v>
      </c>
      <c r="F60" s="45" t="s">
        <v>19</v>
      </c>
      <c r="G60" s="55">
        <v>0</v>
      </c>
      <c r="H60" s="45">
        <v>46209</v>
      </c>
      <c r="I60" s="50">
        <f t="shared" ca="1" si="18"/>
        <v>137</v>
      </c>
      <c r="J60" s="57" t="s">
        <v>79</v>
      </c>
      <c r="K60" s="57" t="s">
        <v>79</v>
      </c>
      <c r="L60" s="42">
        <v>46231</v>
      </c>
      <c r="M60" s="41">
        <f ca="1">L60-$E$1</f>
        <v>159</v>
      </c>
      <c r="N60" s="56" t="s">
        <v>19</v>
      </c>
      <c r="O60" s="50">
        <v>0</v>
      </c>
      <c r="P60" s="57"/>
      <c r="Q60" s="57"/>
      <c r="R60" s="57"/>
      <c r="S60" s="57"/>
      <c r="T60" s="57"/>
      <c r="U60" s="57"/>
      <c r="V60" s="44">
        <v>45903</v>
      </c>
      <c r="W60" s="50">
        <f t="shared" ca="1" si="17"/>
        <v>-169</v>
      </c>
      <c r="X60" s="57"/>
      <c r="Y60" s="57"/>
      <c r="Z60" s="45">
        <v>46112</v>
      </c>
      <c r="AA60" s="41">
        <f t="shared" ca="1" si="5"/>
        <v>40</v>
      </c>
      <c r="AB60" s="45">
        <v>46302</v>
      </c>
      <c r="AC60" s="41">
        <f t="shared" ref="AC60" ca="1" si="19">AB60-$E$1</f>
        <v>230</v>
      </c>
      <c r="AD60" s="45">
        <v>47678</v>
      </c>
      <c r="AE60" s="41">
        <f t="shared" ref="AE60" ca="1" si="20">AD60-$E$1</f>
        <v>1606</v>
      </c>
    </row>
    <row r="61" spans="1:31" x14ac:dyDescent="0.25">
      <c r="A61" s="50" t="s">
        <v>80</v>
      </c>
      <c r="B61" s="53">
        <v>46295</v>
      </c>
      <c r="C61" s="50">
        <f t="shared" ca="1" si="16"/>
        <v>223</v>
      </c>
      <c r="D61" s="57"/>
      <c r="E61" s="57"/>
      <c r="F61" s="45" t="s">
        <v>19</v>
      </c>
      <c r="G61" s="55">
        <v>0</v>
      </c>
      <c r="H61" s="45">
        <v>46209</v>
      </c>
      <c r="I61" s="50">
        <f t="shared" ca="1" si="18"/>
        <v>137</v>
      </c>
      <c r="J61" s="57"/>
      <c r="K61" s="57"/>
      <c r="L61" s="42">
        <v>46255</v>
      </c>
      <c r="M61" s="41">
        <f t="shared" ref="M61:M66" ca="1" si="21">L61-$E$1</f>
        <v>183</v>
      </c>
      <c r="N61" s="56" t="s">
        <v>19</v>
      </c>
      <c r="O61" s="50">
        <v>0</v>
      </c>
      <c r="P61" s="57"/>
      <c r="Q61" s="57"/>
      <c r="R61" s="57"/>
      <c r="S61" s="57"/>
      <c r="T61" s="57"/>
      <c r="U61" s="57"/>
      <c r="V61" s="44">
        <v>45903</v>
      </c>
      <c r="W61" s="50">
        <f t="shared" ca="1" si="17"/>
        <v>-169</v>
      </c>
      <c r="X61" s="57"/>
      <c r="Y61" s="57"/>
      <c r="Z61" s="45">
        <v>46112</v>
      </c>
      <c r="AA61" s="41">
        <f t="shared" ca="1" si="5"/>
        <v>40</v>
      </c>
      <c r="AB61" s="45" t="s">
        <v>19</v>
      </c>
      <c r="AC61" s="41"/>
      <c r="AD61" s="45" t="s">
        <v>19</v>
      </c>
      <c r="AE61" s="41"/>
    </row>
    <row r="62" spans="1:31" x14ac:dyDescent="0.25">
      <c r="A62" s="50" t="s">
        <v>81</v>
      </c>
      <c r="B62" s="45">
        <v>46224</v>
      </c>
      <c r="C62" s="50">
        <f t="shared" ca="1" si="16"/>
        <v>152</v>
      </c>
      <c r="D62" s="57"/>
      <c r="E62" s="57"/>
      <c r="F62" s="45" t="s">
        <v>19</v>
      </c>
      <c r="G62" s="55">
        <v>0</v>
      </c>
      <c r="H62" s="45">
        <v>46209</v>
      </c>
      <c r="I62" s="50">
        <f t="shared" ca="1" si="18"/>
        <v>137</v>
      </c>
      <c r="J62" s="57"/>
      <c r="K62" s="57"/>
      <c r="L62" s="42">
        <v>46231</v>
      </c>
      <c r="M62" s="41">
        <f t="shared" ca="1" si="21"/>
        <v>159</v>
      </c>
      <c r="N62" s="56" t="s">
        <v>19</v>
      </c>
      <c r="O62" s="50">
        <v>0</v>
      </c>
      <c r="P62" s="57"/>
      <c r="Q62" s="57"/>
      <c r="R62" s="57"/>
      <c r="S62" s="57"/>
      <c r="T62" s="57"/>
      <c r="U62" s="57"/>
      <c r="V62" s="44">
        <v>46315</v>
      </c>
      <c r="W62" s="50">
        <f t="shared" ca="1" si="17"/>
        <v>243</v>
      </c>
      <c r="X62" s="57"/>
      <c r="Y62" s="57"/>
      <c r="Z62" s="45">
        <v>46112</v>
      </c>
      <c r="AA62" s="41">
        <f t="shared" ca="1" si="5"/>
        <v>40</v>
      </c>
      <c r="AB62" s="45">
        <v>46302</v>
      </c>
      <c r="AC62" s="41">
        <f t="shared" ref="AC62:AC64" ca="1" si="22">AB62-$E$1</f>
        <v>230</v>
      </c>
      <c r="AD62" s="45">
        <v>47678</v>
      </c>
      <c r="AE62" s="41">
        <f t="shared" ref="AE62" ca="1" si="23">AD62-$E$1</f>
        <v>1606</v>
      </c>
    </row>
    <row r="63" spans="1:31" x14ac:dyDescent="0.25">
      <c r="A63" s="50" t="s">
        <v>82</v>
      </c>
      <c r="B63" s="53">
        <v>46295</v>
      </c>
      <c r="C63" s="50">
        <f t="shared" ca="1" si="16"/>
        <v>223</v>
      </c>
      <c r="D63" s="57"/>
      <c r="E63" s="57"/>
      <c r="F63" s="45">
        <v>46214</v>
      </c>
      <c r="G63" s="50">
        <f ca="1">F63-$E$1</f>
        <v>142</v>
      </c>
      <c r="H63" s="45">
        <v>46209</v>
      </c>
      <c r="I63" s="50">
        <f t="shared" ca="1" si="18"/>
        <v>137</v>
      </c>
      <c r="J63" s="57"/>
      <c r="K63" s="57"/>
      <c r="L63" s="42">
        <v>46231</v>
      </c>
      <c r="M63" s="41">
        <f t="shared" ca="1" si="21"/>
        <v>159</v>
      </c>
      <c r="N63" s="56" t="s">
        <v>19</v>
      </c>
      <c r="O63" s="50">
        <v>0</v>
      </c>
      <c r="P63" s="57"/>
      <c r="Q63" s="57"/>
      <c r="R63" s="57"/>
      <c r="S63" s="57"/>
      <c r="T63" s="57"/>
      <c r="U63" s="57"/>
      <c r="V63" s="40">
        <v>46287</v>
      </c>
      <c r="W63" s="50">
        <f t="shared" ca="1" si="17"/>
        <v>215</v>
      </c>
      <c r="X63" s="57"/>
      <c r="Y63" s="57"/>
      <c r="Z63" s="45">
        <v>46112</v>
      </c>
      <c r="AA63" s="41">
        <f t="shared" ca="1" si="5"/>
        <v>40</v>
      </c>
      <c r="AB63" s="45" t="s">
        <v>19</v>
      </c>
      <c r="AC63" s="41"/>
      <c r="AD63" s="45" t="s">
        <v>19</v>
      </c>
      <c r="AE63" s="41"/>
    </row>
    <row r="64" spans="1:31" x14ac:dyDescent="0.25">
      <c r="A64" s="50" t="s">
        <v>83</v>
      </c>
      <c r="B64" s="53">
        <v>46295</v>
      </c>
      <c r="C64" s="50">
        <f t="shared" ca="1" si="16"/>
        <v>223</v>
      </c>
      <c r="D64" s="57"/>
      <c r="E64" s="57"/>
      <c r="F64" s="45" t="s">
        <v>19</v>
      </c>
      <c r="G64" s="50">
        <v>0</v>
      </c>
      <c r="H64" s="45">
        <v>46209</v>
      </c>
      <c r="I64" s="50">
        <f t="shared" ca="1" si="18"/>
        <v>137</v>
      </c>
      <c r="J64" s="57"/>
      <c r="K64" s="57"/>
      <c r="L64" s="42">
        <v>46231</v>
      </c>
      <c r="M64" s="41">
        <f t="shared" ca="1" si="21"/>
        <v>159</v>
      </c>
      <c r="N64" s="56" t="s">
        <v>19</v>
      </c>
      <c r="O64" s="50">
        <v>0</v>
      </c>
      <c r="P64" s="57"/>
      <c r="Q64" s="57"/>
      <c r="R64" s="57"/>
      <c r="S64" s="57"/>
      <c r="T64" s="57"/>
      <c r="U64" s="57"/>
      <c r="V64" s="45">
        <v>46315</v>
      </c>
      <c r="W64" s="50">
        <f t="shared" ca="1" si="17"/>
        <v>243</v>
      </c>
      <c r="X64" s="57"/>
      <c r="Y64" s="57"/>
      <c r="Z64" s="45">
        <v>46112</v>
      </c>
      <c r="AA64" s="41">
        <f t="shared" ca="1" si="5"/>
        <v>40</v>
      </c>
      <c r="AB64" s="45">
        <v>46302</v>
      </c>
      <c r="AC64" s="41">
        <f t="shared" ca="1" si="22"/>
        <v>230</v>
      </c>
      <c r="AD64" s="45">
        <v>47678</v>
      </c>
      <c r="AE64" s="41">
        <f t="shared" ref="AE64" ca="1" si="24">AD64-$E$1</f>
        <v>1606</v>
      </c>
    </row>
    <row r="65" spans="1:31" x14ac:dyDescent="0.25">
      <c r="A65" s="50" t="s">
        <v>84</v>
      </c>
      <c r="B65" s="53">
        <v>46295</v>
      </c>
      <c r="C65" s="50">
        <f t="shared" ca="1" si="16"/>
        <v>223</v>
      </c>
      <c r="D65" s="57"/>
      <c r="E65" s="57"/>
      <c r="F65" s="45" t="s">
        <v>19</v>
      </c>
      <c r="G65" s="50">
        <v>0</v>
      </c>
      <c r="H65" s="45">
        <v>46209</v>
      </c>
      <c r="I65" s="50">
        <f t="shared" ca="1" si="18"/>
        <v>137</v>
      </c>
      <c r="J65" s="57"/>
      <c r="K65" s="57"/>
      <c r="L65" s="42">
        <v>46231</v>
      </c>
      <c r="M65" s="41">
        <f t="shared" ca="1" si="21"/>
        <v>159</v>
      </c>
      <c r="N65" s="56" t="s">
        <v>19</v>
      </c>
      <c r="O65" s="50">
        <v>0</v>
      </c>
      <c r="P65" s="57"/>
      <c r="Q65" s="57"/>
      <c r="R65" s="57"/>
      <c r="S65" s="57"/>
      <c r="T65" s="57"/>
      <c r="U65" s="57"/>
      <c r="V65" s="40">
        <v>46363</v>
      </c>
      <c r="W65" s="50">
        <f t="shared" ca="1" si="17"/>
        <v>291</v>
      </c>
      <c r="X65" s="57"/>
      <c r="Y65" s="57"/>
      <c r="Z65" s="45">
        <v>46112</v>
      </c>
      <c r="AA65" s="41">
        <f t="shared" ca="1" si="5"/>
        <v>40</v>
      </c>
      <c r="AB65" s="45" t="s">
        <v>19</v>
      </c>
      <c r="AC65" s="41"/>
      <c r="AD65" s="45" t="s">
        <v>19</v>
      </c>
      <c r="AE65" s="41"/>
    </row>
    <row r="66" spans="1:31" hidden="1" x14ac:dyDescent="0.25">
      <c r="A66" s="50" t="s">
        <v>85</v>
      </c>
      <c r="B66" s="42">
        <v>46295</v>
      </c>
      <c r="C66" s="50">
        <f t="shared" ca="1" si="16"/>
        <v>223</v>
      </c>
      <c r="D66" s="60"/>
      <c r="E66" s="57"/>
      <c r="F66" s="45" t="s">
        <v>19</v>
      </c>
      <c r="G66" s="50">
        <v>0</v>
      </c>
      <c r="H66" s="57"/>
      <c r="I66" s="61"/>
      <c r="J66" s="57"/>
      <c r="K66" s="57"/>
      <c r="L66" s="42">
        <v>46353</v>
      </c>
      <c r="M66" s="41">
        <f t="shared" ca="1" si="21"/>
        <v>281</v>
      </c>
      <c r="N66" s="56" t="s">
        <v>19</v>
      </c>
      <c r="O66" s="50">
        <v>0</v>
      </c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</row>
  </sheetData>
  <mergeCells count="2">
    <mergeCell ref="E1:G2"/>
    <mergeCell ref="A2:D2"/>
  </mergeCells>
  <conditionalFormatting sqref="A4:A44">
    <cfRule type="duplicateValues" dxfId="39" priority="40"/>
  </conditionalFormatting>
  <conditionalFormatting sqref="W4:W65 I4:I65 C4:C66 M4:M66 AA4:AA65 G4:G66 O4:O66">
    <cfRule type="cellIs" dxfId="38" priority="34" operator="between">
      <formula>31</formula>
      <formula>21</formula>
    </cfRule>
    <cfRule type="cellIs" dxfId="37" priority="35" operator="lessThan">
      <formula>21</formula>
    </cfRule>
    <cfRule type="cellIs" dxfId="36" priority="36" operator="greaterThan">
      <formula>31</formula>
    </cfRule>
  </conditionalFormatting>
  <conditionalFormatting sqref="E4:E49 K4:K49 Q4:Q49 S4:S49 U4:U49 Y4:Y49">
    <cfRule type="cellIs" dxfId="35" priority="37" operator="between">
      <formula>31</formula>
      <formula>21</formula>
    </cfRule>
    <cfRule type="cellIs" dxfId="34" priority="38" operator="lessThan">
      <formula>21</formula>
    </cfRule>
    <cfRule type="cellIs" dxfId="33" priority="39" operator="greaterThan">
      <formula>31</formula>
    </cfRule>
  </conditionalFormatting>
  <conditionalFormatting sqref="AC4:AC44 AE4:AE44 AC46:AC47 AE46:AE47 AC49:AC59 AE49:AE59 AC63 AE63 AC61 AE61 AC65 AE65">
    <cfRule type="cellIs" dxfId="32" priority="31" operator="between">
      <formula>31</formula>
      <formula>21</formula>
    </cfRule>
    <cfRule type="cellIs" dxfId="31" priority="32" operator="lessThan">
      <formula>21</formula>
    </cfRule>
    <cfRule type="cellIs" dxfId="30" priority="33" operator="greaterThan">
      <formula>31</formula>
    </cfRule>
  </conditionalFormatting>
  <conditionalFormatting sqref="AC45">
    <cfRule type="cellIs" dxfId="29" priority="28" operator="between">
      <formula>31</formula>
      <formula>21</formula>
    </cfRule>
    <cfRule type="cellIs" dxfId="28" priority="29" operator="lessThan">
      <formula>21</formula>
    </cfRule>
    <cfRule type="cellIs" dxfId="27" priority="30" operator="greaterThan">
      <formula>31</formula>
    </cfRule>
  </conditionalFormatting>
  <conditionalFormatting sqref="AE45">
    <cfRule type="cellIs" dxfId="26" priority="25" operator="between">
      <formula>31</formula>
      <formula>21</formula>
    </cfRule>
    <cfRule type="cellIs" dxfId="25" priority="26" operator="lessThan">
      <formula>21</formula>
    </cfRule>
    <cfRule type="cellIs" dxfId="24" priority="27" operator="greaterThan">
      <formula>31</formula>
    </cfRule>
  </conditionalFormatting>
  <conditionalFormatting sqref="AC48">
    <cfRule type="cellIs" dxfId="23" priority="22" operator="between">
      <formula>31</formula>
      <formula>21</formula>
    </cfRule>
    <cfRule type="cellIs" dxfId="22" priority="23" operator="lessThan">
      <formula>21</formula>
    </cfRule>
    <cfRule type="cellIs" dxfId="21" priority="24" operator="greaterThan">
      <formula>31</formula>
    </cfRule>
  </conditionalFormatting>
  <conditionalFormatting sqref="AE48">
    <cfRule type="cellIs" dxfId="20" priority="19" operator="between">
      <formula>31</formula>
      <formula>21</formula>
    </cfRule>
    <cfRule type="cellIs" dxfId="19" priority="20" operator="lessThan">
      <formula>21</formula>
    </cfRule>
    <cfRule type="cellIs" dxfId="18" priority="21" operator="greaterThan">
      <formula>31</formula>
    </cfRule>
  </conditionalFormatting>
  <conditionalFormatting sqref="AC62">
    <cfRule type="cellIs" dxfId="17" priority="16" operator="between">
      <formula>31</formula>
      <formula>21</formula>
    </cfRule>
    <cfRule type="cellIs" dxfId="16" priority="17" operator="lessThan">
      <formula>21</formula>
    </cfRule>
    <cfRule type="cellIs" dxfId="15" priority="18" operator="greaterThan">
      <formula>31</formula>
    </cfRule>
  </conditionalFormatting>
  <conditionalFormatting sqref="AE62">
    <cfRule type="cellIs" dxfId="14" priority="13" operator="between">
      <formula>31</formula>
      <formula>21</formula>
    </cfRule>
    <cfRule type="cellIs" dxfId="13" priority="14" operator="lessThan">
      <formula>21</formula>
    </cfRule>
    <cfRule type="cellIs" dxfId="12" priority="15" operator="greaterThan">
      <formula>31</formula>
    </cfRule>
  </conditionalFormatting>
  <conditionalFormatting sqref="AC60">
    <cfRule type="cellIs" dxfId="11" priority="10" operator="between">
      <formula>31</formula>
      <formula>21</formula>
    </cfRule>
    <cfRule type="cellIs" dxfId="10" priority="11" operator="lessThan">
      <formula>21</formula>
    </cfRule>
    <cfRule type="cellIs" dxfId="9" priority="12" operator="greaterThan">
      <formula>31</formula>
    </cfRule>
  </conditionalFormatting>
  <conditionalFormatting sqref="AE60">
    <cfRule type="cellIs" dxfId="8" priority="7" operator="between">
      <formula>31</formula>
      <formula>21</formula>
    </cfRule>
    <cfRule type="cellIs" dxfId="7" priority="8" operator="lessThan">
      <formula>21</formula>
    </cfRule>
    <cfRule type="cellIs" dxfId="6" priority="9" operator="greaterThan">
      <formula>31</formula>
    </cfRule>
  </conditionalFormatting>
  <conditionalFormatting sqref="AC64">
    <cfRule type="cellIs" dxfId="5" priority="4" operator="between">
      <formula>31</formula>
      <formula>21</formula>
    </cfRule>
    <cfRule type="cellIs" dxfId="4" priority="5" operator="lessThan">
      <formula>21</formula>
    </cfRule>
    <cfRule type="cellIs" dxfId="3" priority="6" operator="greaterThan">
      <formula>31</formula>
    </cfRule>
  </conditionalFormatting>
  <conditionalFormatting sqref="AE64">
    <cfRule type="cellIs" dxfId="2" priority="1" operator="between">
      <formula>31</formula>
      <formula>21</formula>
    </cfRule>
    <cfRule type="cellIs" dxfId="1" priority="2" operator="lessThan">
      <formula>21</formula>
    </cfRule>
    <cfRule type="cellIs" dxfId="0" priority="3" operator="greaterThan">
      <formula>31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 Gobind</dc:creator>
  <cp:lastModifiedBy>Carey Gobind</cp:lastModifiedBy>
  <dcterms:created xsi:type="dcterms:W3CDTF">2026-02-19T11:48:06Z</dcterms:created>
  <dcterms:modified xsi:type="dcterms:W3CDTF">2026-02-19T11:48:20Z</dcterms:modified>
</cp:coreProperties>
</file>