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7718\Desktop\"/>
    </mc:Choice>
  </mc:AlternateContent>
  <xr:revisionPtr revIDLastSave="0" documentId="13_ncr:1_{14A5BDF3-DE3C-42B6-98B8-98419D6EA34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Driver Medicals" sheetId="45" state="hidden" r:id="rId1"/>
    <sheet name="Driver Medical Tracker 2021" sheetId="42" state="hidden" r:id="rId2"/>
    <sheet name="Simon National Training Matrix" sheetId="34" r:id="rId3"/>
    <sheet name="Durban drivers" sheetId="50" r:id="rId4"/>
    <sheet name=" cell no" sheetId="49" r:id="rId5"/>
    <sheet name="ac" sheetId="48" r:id="rId6"/>
    <sheet name="ACdrivers" sheetId="47" r:id="rId7"/>
    <sheet name="done D " sheetId="40" state="hidden" r:id="rId8"/>
    <sheet name="Not done" sheetId="39" state="hidden" r:id="rId9"/>
    <sheet name="Rosslyn" sheetId="35" state="hidden" r:id="rId10"/>
    <sheet name="Sheet1" sheetId="36" state="hidden" r:id="rId11"/>
    <sheet name="National Training Matrix (2)" sheetId="38" state="hidden" r:id="rId12"/>
  </sheets>
  <definedNames>
    <definedName name="_xlnm._FilterDatabase" localSheetId="1" hidden="1">'Driver Medical Tracker 2021'!$A$1:$O$84</definedName>
    <definedName name="_xlnm._FilterDatabase" localSheetId="11" hidden="1">'National Training Matrix (2)'!$A$1:$AX$2</definedName>
    <definedName name="_xlnm._FilterDatabase" localSheetId="9" hidden="1">Rosslyn!$A$1:$AS$25</definedName>
    <definedName name="_xlnm._FilterDatabase" localSheetId="2" hidden="1">'Simon National Training Matrix'!$A$1:$BG$142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50" l="1"/>
  <c r="A1" i="34"/>
  <c r="O1" i="45"/>
  <c r="F50" i="45" s="1"/>
  <c r="F48" i="45" l="1"/>
  <c r="F49" i="45"/>
  <c r="F2" i="45"/>
  <c r="F47" i="45"/>
  <c r="F4" i="45"/>
  <c r="F46" i="45"/>
  <c r="F45" i="45"/>
  <c r="F44" i="45"/>
  <c r="F43" i="45"/>
  <c r="F42" i="45"/>
  <c r="F41" i="45"/>
  <c r="F40" i="45"/>
  <c r="F39" i="45"/>
  <c r="F38" i="45"/>
  <c r="F37" i="45"/>
  <c r="F36" i="45"/>
  <c r="F35" i="45"/>
  <c r="F34" i="45"/>
  <c r="F33" i="45"/>
  <c r="F32" i="45"/>
  <c r="F31" i="45"/>
  <c r="F29" i="45"/>
  <c r="F30" i="45"/>
  <c r="F28" i="45"/>
  <c r="F27" i="45"/>
  <c r="F25" i="45"/>
  <c r="F26" i="45"/>
  <c r="F24" i="45"/>
  <c r="F23" i="45"/>
  <c r="F22" i="45"/>
  <c r="F21" i="45"/>
  <c r="F20" i="45"/>
  <c r="F19" i="45"/>
  <c r="F18" i="45"/>
  <c r="F17" i="45"/>
  <c r="F16" i="45"/>
  <c r="F14" i="45"/>
  <c r="F15" i="45"/>
  <c r="F13" i="45"/>
  <c r="F12" i="45"/>
  <c r="F11" i="45"/>
  <c r="F10" i="45"/>
  <c r="F9" i="45"/>
  <c r="F8" i="45"/>
  <c r="F7" i="45"/>
  <c r="F6" i="45"/>
  <c r="F5" i="45"/>
  <c r="F3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Phumlani Nzimbomvu (Fuelogic)</author>
  </authors>
  <commentList>
    <comment ref="D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Phumlani Nzimbomvu (Fuelogic):</t>
        </r>
        <r>
          <rPr>
            <sz val="9"/>
            <color indexed="81"/>
            <rFont val="Tahoma"/>
            <family val="2"/>
          </rPr>
          <t xml:space="preserve">
Bi-Annual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johanb</author>
    <author>Johan Bambie (Grindrod Automotive)</author>
    <author>Phumlani Nzimbomvu (Fuelogic)</author>
  </authors>
  <commentList>
    <comment ref="N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TEMPORARY LISENCE</t>
        </r>
      </text>
    </comment>
    <comment ref="N9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renewed</t>
        </r>
      </text>
    </comment>
    <comment ref="G10" authorId="2" shapeId="0" xr:uid="{00000000-0006-0000-0100-000003000000}">
      <text>
        <r>
          <rPr>
            <b/>
            <sz val="9"/>
            <color indexed="81"/>
            <rFont val="Tahoma"/>
            <family val="2"/>
          </rPr>
          <t>Phumlani Nzimbomvu (Fuelogic):</t>
        </r>
        <r>
          <rPr>
            <sz val="9"/>
            <color indexed="81"/>
            <rFont val="Tahoma"/>
            <family val="2"/>
          </rPr>
          <t xml:space="preserve">
Bi-Annual
</t>
        </r>
      </text>
    </comment>
    <comment ref="N3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renewed date</t>
        </r>
      </text>
    </comment>
    <comment ref="N58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temperary licence</t>
        </r>
      </text>
    </comment>
    <comment ref="I6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AWAITING SERTIFICATE
LOADSHEDDING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Bambie (Grindrod Automotive)</author>
    <author>johanb</author>
  </authors>
  <commentList>
    <comment ref="O23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renewed</t>
        </r>
      </text>
    </comment>
    <comment ref="AT42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COLIN</t>
        </r>
      </text>
    </comment>
    <comment ref="O81" authorId="1" shapeId="0" xr:uid="{CECE23EE-390B-4408-9B72-B11D444F9763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TEMPORARY LISENCE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Bambie (Grindrod Automotive)</author>
  </authors>
  <commentList>
    <comment ref="O22" authorId="0" shapeId="0" xr:uid="{4E32ABB3-AF7A-4001-92B8-16D14858439C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renewed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Phumlani Nzimbomvu (Fuelogic)</author>
    <author>Johan Bambie (Grindrod Automotive)</author>
    <author>johanb</author>
  </authors>
  <commentList>
    <comment ref="E2" authorId="0" shapeId="0" xr:uid="{B5121054-EB0C-4944-90AA-76E92C558A43}">
      <text>
        <r>
          <rPr>
            <b/>
            <sz val="9"/>
            <color indexed="81"/>
            <rFont val="Tahoma"/>
            <family val="2"/>
          </rPr>
          <t>Phumlani Nzimbomvu (Fuelogic):</t>
        </r>
        <r>
          <rPr>
            <sz val="9"/>
            <color indexed="81"/>
            <rFont val="Tahoma"/>
            <family val="2"/>
          </rPr>
          <t xml:space="preserve">
Bi-Annual
</t>
        </r>
      </text>
    </comment>
    <comment ref="AR23" authorId="1" shapeId="0" xr:uid="{3F40D18C-213A-4A06-A005-26ECE4D46CE5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renewed</t>
        </r>
      </text>
    </comment>
    <comment ref="AR44" authorId="1" shapeId="0" xr:uid="{01611EAA-0FAF-45F9-A688-E540BCDEBCEA}">
      <text>
        <r>
          <rPr>
            <b/>
            <sz val="9"/>
            <color indexed="81"/>
            <rFont val="Tahoma"/>
            <family val="2"/>
          </rPr>
          <t>Johan Bambie (Grindrod Automotive):</t>
        </r>
        <r>
          <rPr>
            <sz val="9"/>
            <color indexed="81"/>
            <rFont val="Tahoma"/>
            <family val="2"/>
          </rPr>
          <t xml:space="preserve">
temperary licence</t>
        </r>
      </text>
    </comment>
    <comment ref="AN59" authorId="2" shapeId="0" xr:uid="{0E73955C-A979-4473-A50E-89405CDEC03E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COLIN</t>
        </r>
      </text>
    </comment>
    <comment ref="AR69" authorId="2" shapeId="0" xr:uid="{ACA6EAFA-BFE0-448F-95CF-25DB812550F7}">
      <text>
        <r>
          <rPr>
            <b/>
            <sz val="9"/>
            <color indexed="81"/>
            <rFont val="Tahoma"/>
            <family val="2"/>
          </rPr>
          <t>johanb:</t>
        </r>
        <r>
          <rPr>
            <sz val="9"/>
            <color indexed="81"/>
            <rFont val="Tahoma"/>
            <family val="2"/>
          </rPr>
          <t xml:space="preserve">
TEMPORARY LISENCE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Phumlani Nzimbomvu (Fuelogic)</author>
  </authors>
  <commentList>
    <comment ref="D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Phumlani Nzimbomvu (Fuelogic):</t>
        </r>
        <r>
          <rPr>
            <sz val="9"/>
            <color indexed="81"/>
            <rFont val="Tahoma"/>
            <family val="2"/>
          </rPr>
          <t xml:space="preserve">
Bi-Annual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Phumlani Nzimbomvu (Fuelogic)</author>
  </authors>
  <commentList>
    <comment ref="E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Phumlani Nzimbomvu (Fuelogic):</t>
        </r>
        <r>
          <rPr>
            <sz val="9"/>
            <color indexed="81"/>
            <rFont val="Tahoma"/>
            <family val="2"/>
          </rPr>
          <t xml:space="preserve">
Bi-Annual
</t>
        </r>
      </text>
    </comment>
  </commentList>
</comments>
</file>

<file path=xl/sharedStrings.xml><?xml version="1.0" encoding="utf-8"?>
<sst xmlns="http://schemas.openxmlformats.org/spreadsheetml/2006/main" count="7143" uniqueCount="2038">
  <si>
    <t>Surname</t>
  </si>
  <si>
    <t>ID</t>
  </si>
  <si>
    <t>License Exp.</t>
  </si>
  <si>
    <t>DGP Exp</t>
  </si>
  <si>
    <t>Domicle</t>
  </si>
  <si>
    <t>Annual Medical Evaluation Expiry date</t>
  </si>
  <si>
    <t>Follow up</t>
  </si>
  <si>
    <t>Name</t>
  </si>
  <si>
    <t>Title</t>
  </si>
  <si>
    <t>Gender</t>
  </si>
  <si>
    <t xml:space="preserve">Race </t>
  </si>
  <si>
    <t>AGE</t>
  </si>
  <si>
    <t>Basic Fire Fight Training - exp date</t>
  </si>
  <si>
    <t>First Aid Level 1 - exp date</t>
  </si>
  <si>
    <t>Dangerous Goods exp date</t>
  </si>
  <si>
    <t>KTT</t>
  </si>
  <si>
    <t>LOHR</t>
  </si>
  <si>
    <t>Refresher Training Date</t>
  </si>
  <si>
    <t>Semi-Lohr</t>
  </si>
  <si>
    <t>AFRIT</t>
  </si>
  <si>
    <t>UNIPOWER (old)</t>
  </si>
  <si>
    <t>UNI 9</t>
  </si>
  <si>
    <t>UNI 11</t>
  </si>
  <si>
    <t>ROLFO</t>
  </si>
  <si>
    <t>SHUTTLE-PORTER</t>
  </si>
  <si>
    <t>FLEXI-PORTER</t>
  </si>
  <si>
    <t>ANNUAL MEDICAL</t>
  </si>
  <si>
    <t>DEFENSIVE DRIVING (K53)</t>
  </si>
  <si>
    <t>Pre Trip Check (RTMS)</t>
  </si>
  <si>
    <t>HANDLING &amp; MANOUVERING ( code 8)</t>
  </si>
  <si>
    <t>NAP INSPECTIONS</t>
  </si>
  <si>
    <t>Wonderboy</t>
  </si>
  <si>
    <t>Obed</t>
  </si>
  <si>
    <t>Simphiwe</t>
  </si>
  <si>
    <t>S</t>
  </si>
  <si>
    <t>M</t>
  </si>
  <si>
    <t>Bongani</t>
  </si>
  <si>
    <t>MS</t>
  </si>
  <si>
    <t>Reggie</t>
  </si>
  <si>
    <t>David</t>
  </si>
  <si>
    <t>Johannes</t>
  </si>
  <si>
    <t>Ayanda</t>
  </si>
  <si>
    <t>Wander</t>
  </si>
  <si>
    <t>Paul</t>
  </si>
  <si>
    <t>Mandla</t>
  </si>
  <si>
    <t>W</t>
  </si>
  <si>
    <t>Sydney</t>
  </si>
  <si>
    <t>Nhlanhla</t>
  </si>
  <si>
    <t>Wiseman</t>
  </si>
  <si>
    <t>V</t>
  </si>
  <si>
    <t>P</t>
  </si>
  <si>
    <t>MP</t>
  </si>
  <si>
    <t>A</t>
  </si>
  <si>
    <t>L</t>
  </si>
  <si>
    <t>C</t>
  </si>
  <si>
    <t>CJL</t>
  </si>
  <si>
    <t>J</t>
  </si>
  <si>
    <t>GS</t>
  </si>
  <si>
    <t>Bhengu</t>
  </si>
  <si>
    <t>Bonakele</t>
  </si>
  <si>
    <t>Chamane</t>
  </si>
  <si>
    <t>Chetty</t>
  </si>
  <si>
    <t>Dladla</t>
  </si>
  <si>
    <t>Dlamini</t>
  </si>
  <si>
    <t>Dosi</t>
  </si>
  <si>
    <t>Dube</t>
  </si>
  <si>
    <t>Gabela</t>
  </si>
  <si>
    <t>Gom</t>
  </si>
  <si>
    <t>Gumbi</t>
  </si>
  <si>
    <t>Gumede</t>
  </si>
  <si>
    <t>Gwala</t>
  </si>
  <si>
    <t>Hlengwa</t>
  </si>
  <si>
    <t>Hlongwane</t>
  </si>
  <si>
    <t>Khumalo</t>
  </si>
  <si>
    <t>Lembede</t>
  </si>
  <si>
    <t>Majola</t>
  </si>
  <si>
    <t>Mbatha</t>
  </si>
  <si>
    <t>Mbele</t>
  </si>
  <si>
    <t>Mbhele</t>
  </si>
  <si>
    <t>Mbonambi</t>
  </si>
  <si>
    <t>Mbutho</t>
  </si>
  <si>
    <t>Mdakane</t>
  </si>
  <si>
    <t>Mjoli</t>
  </si>
  <si>
    <t>Mkhasibe</t>
  </si>
  <si>
    <t>Mkhize</t>
  </si>
  <si>
    <t>Mngomezulu</t>
  </si>
  <si>
    <t>Mpalala</t>
  </si>
  <si>
    <t>Mphetshwa</t>
  </si>
  <si>
    <t>Mtolo</t>
  </si>
  <si>
    <t>Mtshali</t>
  </si>
  <si>
    <t>Naicker</t>
  </si>
  <si>
    <t>Ndaba</t>
  </si>
  <si>
    <t>Ndawonde</t>
  </si>
  <si>
    <t>Ndlovu</t>
  </si>
  <si>
    <t>Nene</t>
  </si>
  <si>
    <t>Ngcamu</t>
  </si>
  <si>
    <t>Ngcobo</t>
  </si>
  <si>
    <t>Ngubane</t>
  </si>
  <si>
    <t>Nkala</t>
  </si>
  <si>
    <t>Nkhoesa</t>
  </si>
  <si>
    <t>Nkomo</t>
  </si>
  <si>
    <t>Ntuli</t>
  </si>
  <si>
    <t>Nzimande</t>
  </si>
  <si>
    <t>Peter</t>
  </si>
  <si>
    <t>Qoma</t>
  </si>
  <si>
    <t>Sem</t>
  </si>
  <si>
    <t>Shezi</t>
  </si>
  <si>
    <t>Shumba</t>
  </si>
  <si>
    <t>Sibiya</t>
  </si>
  <si>
    <t>Sikhosana</t>
  </si>
  <si>
    <t>Tenza</t>
  </si>
  <si>
    <t>Xaba</t>
  </si>
  <si>
    <t>Zithumane</t>
  </si>
  <si>
    <t>Zondo</t>
  </si>
  <si>
    <t>Zubane</t>
  </si>
  <si>
    <t>Zungu</t>
  </si>
  <si>
    <t>Cele</t>
  </si>
  <si>
    <t>Maphumulo</t>
  </si>
  <si>
    <t>Mchunu</t>
  </si>
  <si>
    <t>Mhlongo</t>
  </si>
  <si>
    <t>Mkhulise</t>
  </si>
  <si>
    <t>Msomi</t>
  </si>
  <si>
    <t>Mthethwa</t>
  </si>
  <si>
    <t>Shabalala</t>
  </si>
  <si>
    <t>Shinga</t>
  </si>
  <si>
    <t>Simamane</t>
  </si>
  <si>
    <t>Sokhela</t>
  </si>
  <si>
    <t>Cebekhulu</t>
  </si>
  <si>
    <t>Deokinandan</t>
  </si>
  <si>
    <t>Dorasamy</t>
  </si>
  <si>
    <t>Moodley</t>
  </si>
  <si>
    <t>Naidu</t>
  </si>
  <si>
    <t>Ncayiyana</t>
  </si>
  <si>
    <t>Archary</t>
  </si>
  <si>
    <t>Ngubeni</t>
  </si>
  <si>
    <t>Chawan</t>
  </si>
  <si>
    <t>Koen</t>
  </si>
  <si>
    <t>Naidoo</t>
  </si>
  <si>
    <t>Post</t>
  </si>
  <si>
    <t>Pillay</t>
  </si>
  <si>
    <t>Tshimanga</t>
  </si>
  <si>
    <t>Mahadeo</t>
  </si>
  <si>
    <t>Msizi</t>
  </si>
  <si>
    <t>Sandile N</t>
  </si>
  <si>
    <t>Edward</t>
  </si>
  <si>
    <t>Mthandeni</t>
  </si>
  <si>
    <t>Mbongeni</t>
  </si>
  <si>
    <t>David M</t>
  </si>
  <si>
    <t>Vusi M</t>
  </si>
  <si>
    <t>Brian</t>
  </si>
  <si>
    <t>Joseph</t>
  </si>
  <si>
    <t>Sonwabiso</t>
  </si>
  <si>
    <t>Freedom</t>
  </si>
  <si>
    <t>Joshua B</t>
  </si>
  <si>
    <t>Emanuel M</t>
  </si>
  <si>
    <t>John</t>
  </si>
  <si>
    <t>Seiso W</t>
  </si>
  <si>
    <t>Oscar</t>
  </si>
  <si>
    <t>Zakheni M</t>
  </si>
  <si>
    <t>Petros</t>
  </si>
  <si>
    <t>Sipho</t>
  </si>
  <si>
    <t>Elias M</t>
  </si>
  <si>
    <t>France</t>
  </si>
  <si>
    <t>Mabutho</t>
  </si>
  <si>
    <t>Situs</t>
  </si>
  <si>
    <t>Sizwe</t>
  </si>
  <si>
    <t>Stanly</t>
  </si>
  <si>
    <t>Aubrey</t>
  </si>
  <si>
    <t>Thami</t>
  </si>
  <si>
    <t>Nozipho</t>
  </si>
  <si>
    <t>Sthabiso</t>
  </si>
  <si>
    <t>Paulos</t>
  </si>
  <si>
    <t>Zakhele P</t>
  </si>
  <si>
    <t>Johannes J</t>
  </si>
  <si>
    <t>Ishmael</t>
  </si>
  <si>
    <t>Walter</t>
  </si>
  <si>
    <t>Mlamuli P</t>
  </si>
  <si>
    <t>Seni</t>
  </si>
  <si>
    <t>Aron</t>
  </si>
  <si>
    <t>Sanele M</t>
  </si>
  <si>
    <t>Baker B</t>
  </si>
  <si>
    <t>Fika</t>
  </si>
  <si>
    <t>F</t>
  </si>
  <si>
    <t>B</t>
  </si>
  <si>
    <t>I</t>
  </si>
  <si>
    <t xml:space="preserve">SURNAME </t>
  </si>
  <si>
    <t>NAME</t>
  </si>
  <si>
    <t>Mthembu</t>
  </si>
  <si>
    <t>Daniel</t>
  </si>
  <si>
    <t>Wilfred</t>
  </si>
  <si>
    <t>Gubevu</t>
  </si>
  <si>
    <t>Headman</t>
  </si>
  <si>
    <t>Mkhatshwa</t>
  </si>
  <si>
    <t>Victor</t>
  </si>
  <si>
    <t>Mosia</t>
  </si>
  <si>
    <t>Samuel Thapelo</t>
  </si>
  <si>
    <t>Mvelase</t>
  </si>
  <si>
    <t>Aaron</t>
  </si>
  <si>
    <t xml:space="preserve">Shezi </t>
  </si>
  <si>
    <t>Hopewell</t>
  </si>
  <si>
    <t xml:space="preserve">Mthembu </t>
  </si>
  <si>
    <t xml:space="preserve">Thokozani </t>
  </si>
  <si>
    <t>Mavundla</t>
  </si>
  <si>
    <t>Ndumiso</t>
  </si>
  <si>
    <t>Kunene</t>
  </si>
  <si>
    <t>Bangizwe</t>
  </si>
  <si>
    <t>Ndovela</t>
  </si>
  <si>
    <t>Dumisani</t>
  </si>
  <si>
    <t>Nkosi</t>
  </si>
  <si>
    <t>Ernest</t>
  </si>
  <si>
    <t>Themba</t>
  </si>
  <si>
    <t>Motsoeneng</t>
  </si>
  <si>
    <t>Fana</t>
  </si>
  <si>
    <t>Mkhwanazi</t>
  </si>
  <si>
    <t>Ratshalingwa</t>
  </si>
  <si>
    <t>Azwihangwizi</t>
  </si>
  <si>
    <t>Mofokeng</t>
  </si>
  <si>
    <t>William</t>
  </si>
  <si>
    <t>Lukhele</t>
  </si>
  <si>
    <t>Vusi</t>
  </si>
  <si>
    <t>Makgoleng</t>
  </si>
  <si>
    <t>Phillimon</t>
  </si>
  <si>
    <t>Dibe</t>
  </si>
  <si>
    <t>Adam</t>
  </si>
  <si>
    <t>Nematandani</t>
  </si>
  <si>
    <t>Godfrey</t>
  </si>
  <si>
    <t>Ngoepe</t>
  </si>
  <si>
    <t>Mbezi</t>
  </si>
  <si>
    <t>Nhlabathi</t>
  </si>
  <si>
    <t>Thomas</t>
  </si>
  <si>
    <t>Mokou</t>
  </si>
  <si>
    <t>Alfred</t>
  </si>
  <si>
    <t>Chiyi</t>
  </si>
  <si>
    <t>Sikhonangenkosi</t>
  </si>
  <si>
    <t xml:space="preserve">Radebe </t>
  </si>
  <si>
    <t>Nsizwa</t>
  </si>
  <si>
    <t xml:space="preserve">Patrick </t>
  </si>
  <si>
    <t>03/03/2017</t>
  </si>
  <si>
    <t xml:space="preserve"> </t>
  </si>
  <si>
    <t>Bongani David</t>
  </si>
  <si>
    <t>06/09/2016</t>
  </si>
  <si>
    <t>06/03/2017</t>
  </si>
  <si>
    <t>27/02/2017</t>
  </si>
  <si>
    <t>Raymond M</t>
  </si>
  <si>
    <t>01/08/2016</t>
  </si>
  <si>
    <t>01/02/2017</t>
  </si>
  <si>
    <t>Nyasha</t>
  </si>
  <si>
    <t>Gabriel</t>
  </si>
  <si>
    <t>20/06/2016</t>
  </si>
  <si>
    <t>Khaya</t>
  </si>
  <si>
    <t>Wilson</t>
  </si>
  <si>
    <t>4 Car Carrier</t>
  </si>
  <si>
    <t>2 Car Carrier</t>
  </si>
  <si>
    <t>Siyabonga E</t>
  </si>
  <si>
    <t>Mthokozisi</t>
  </si>
  <si>
    <t>Comfort</t>
  </si>
  <si>
    <t>Welcome</t>
  </si>
  <si>
    <t>Frank</t>
  </si>
  <si>
    <t>Zakhele</t>
  </si>
  <si>
    <t>Bennedict</t>
  </si>
  <si>
    <t>Goodman</t>
  </si>
  <si>
    <t>LOCAL</t>
  </si>
  <si>
    <t>DRIVERS</t>
  </si>
  <si>
    <t>Njabulo</t>
  </si>
  <si>
    <t>Mzubanzi</t>
  </si>
  <si>
    <t>Innocent</t>
  </si>
  <si>
    <t>Makhanya</t>
  </si>
  <si>
    <t>Bonginkosi</t>
  </si>
  <si>
    <t>Mnguni</t>
  </si>
  <si>
    <t>Zuma</t>
  </si>
  <si>
    <t>Mduduzi</t>
  </si>
  <si>
    <t>Manna</t>
  </si>
  <si>
    <t>7201145384084</t>
  </si>
  <si>
    <t>7411015735089</t>
  </si>
  <si>
    <t>7209205708084</t>
  </si>
  <si>
    <t>Jeffrey  Z</t>
  </si>
  <si>
    <t>6604115267083</t>
  </si>
  <si>
    <t>8903256148088</t>
  </si>
  <si>
    <t>7904185345085</t>
  </si>
  <si>
    <t>6103235499080</t>
  </si>
  <si>
    <t>04/08/2016</t>
  </si>
  <si>
    <t>17/06/2016</t>
  </si>
  <si>
    <t>17/12/2016</t>
  </si>
  <si>
    <t>Skhumbuzo  M</t>
  </si>
  <si>
    <t>26/10/2016</t>
  </si>
  <si>
    <t>18/08/2016</t>
  </si>
  <si>
    <t>Bongumusa</t>
  </si>
  <si>
    <t>14/09/2016</t>
  </si>
  <si>
    <t>03/11/2016</t>
  </si>
  <si>
    <t>BN703012</t>
  </si>
  <si>
    <t>8609195768080</t>
  </si>
  <si>
    <t>8408255759093</t>
  </si>
  <si>
    <t>7801085168080</t>
  </si>
  <si>
    <t>6611125442085</t>
  </si>
  <si>
    <t>7009106039088</t>
  </si>
  <si>
    <t>5508075335080</t>
  </si>
  <si>
    <t>6403255685083</t>
  </si>
  <si>
    <t>7903065289082</t>
  </si>
  <si>
    <t>7801016276085</t>
  </si>
  <si>
    <t>6105125435082</t>
  </si>
  <si>
    <t>7103195475087</t>
  </si>
  <si>
    <t>7107185362080</t>
  </si>
  <si>
    <t>7302285872084</t>
  </si>
  <si>
    <t>7503036523088</t>
  </si>
  <si>
    <t>7402075412081</t>
  </si>
  <si>
    <t>5903315696088</t>
  </si>
  <si>
    <t>8510156070088</t>
  </si>
  <si>
    <t>7907315570084</t>
  </si>
  <si>
    <t>7903045690086</t>
  </si>
  <si>
    <t>6604115536081</t>
  </si>
  <si>
    <t>5905215788089</t>
  </si>
  <si>
    <t>7903205653080</t>
  </si>
  <si>
    <t>5903155347081</t>
  </si>
  <si>
    <t>8109275464080</t>
  </si>
  <si>
    <t>7811285494087</t>
  </si>
  <si>
    <t>7907185402087</t>
  </si>
  <si>
    <t>6201295685083</t>
  </si>
  <si>
    <t>8512255587087</t>
  </si>
  <si>
    <t>651202550081</t>
  </si>
  <si>
    <t>6805145830085</t>
  </si>
  <si>
    <t>8506186121081</t>
  </si>
  <si>
    <t>6402125249088</t>
  </si>
  <si>
    <t>7704046422085</t>
  </si>
  <si>
    <t>6405045411084</t>
  </si>
  <si>
    <t>8209255533084</t>
  </si>
  <si>
    <t>Emmuel</t>
  </si>
  <si>
    <t>7411035453085</t>
  </si>
  <si>
    <t>7009085651085</t>
  </si>
  <si>
    <t>7908265771086</t>
  </si>
  <si>
    <t>720915452085</t>
  </si>
  <si>
    <t>8111015885087</t>
  </si>
  <si>
    <t>6205035983088</t>
  </si>
  <si>
    <t>7909286036087</t>
  </si>
  <si>
    <t>7101016782087</t>
  </si>
  <si>
    <t>7211105556084</t>
  </si>
  <si>
    <t>5712125643085</t>
  </si>
  <si>
    <t>5407035347089</t>
  </si>
  <si>
    <t>8212195758084</t>
  </si>
  <si>
    <t>8009235897082</t>
  </si>
  <si>
    <t>7301018063086</t>
  </si>
  <si>
    <t>8002285629083</t>
  </si>
  <si>
    <t>8205225426086</t>
  </si>
  <si>
    <t>Moeti</t>
  </si>
  <si>
    <t>8304305581082</t>
  </si>
  <si>
    <t>6408065758087</t>
  </si>
  <si>
    <t>8009056009080</t>
  </si>
  <si>
    <t>7807125832080</t>
  </si>
  <si>
    <t>6602085465083</t>
  </si>
  <si>
    <t>7501275686087</t>
  </si>
  <si>
    <t>7312135518084</t>
  </si>
  <si>
    <t>8002225543089</t>
  </si>
  <si>
    <t>7008275261085</t>
  </si>
  <si>
    <t>6108115345089</t>
  </si>
  <si>
    <t>8207126104085</t>
  </si>
  <si>
    <t>Vensin</t>
  </si>
  <si>
    <t>Lungi</t>
  </si>
  <si>
    <t xml:space="preserve">Innocent </t>
  </si>
  <si>
    <t>Vincent</t>
  </si>
  <si>
    <t>Sydwell</t>
  </si>
  <si>
    <t>Eldwin</t>
  </si>
  <si>
    <t>Siya</t>
  </si>
  <si>
    <t>8308105705080</t>
  </si>
  <si>
    <t>7101085340080</t>
  </si>
  <si>
    <t>7708295510086</t>
  </si>
  <si>
    <t>7808225902088</t>
  </si>
  <si>
    <t>7305255783082</t>
  </si>
  <si>
    <t>7806195750081</t>
  </si>
  <si>
    <t>5705195746085</t>
  </si>
  <si>
    <t>7207295481083</t>
  </si>
  <si>
    <t>7806085315086</t>
  </si>
  <si>
    <t>7403305569088</t>
  </si>
  <si>
    <t>8301215677083</t>
  </si>
  <si>
    <t>7511165782086</t>
  </si>
  <si>
    <t>6907015328081</t>
  </si>
  <si>
    <t>8205065769082</t>
  </si>
  <si>
    <t>5303145424084</t>
  </si>
  <si>
    <t>7401175673089</t>
  </si>
  <si>
    <t>7905265273089</t>
  </si>
  <si>
    <t>7607125498084</t>
  </si>
  <si>
    <t>8209096129084</t>
  </si>
  <si>
    <t>7009215569082</t>
  </si>
  <si>
    <t>8005165887085</t>
  </si>
  <si>
    <t>6704045911089</t>
  </si>
  <si>
    <t>7306265335087</t>
  </si>
  <si>
    <t>6109105712080</t>
  </si>
  <si>
    <t>6202275415087</t>
  </si>
  <si>
    <t>7104165427082</t>
  </si>
  <si>
    <t>Antony</t>
  </si>
  <si>
    <t>Dismised</t>
  </si>
  <si>
    <t/>
  </si>
  <si>
    <t>8806285956084</t>
  </si>
  <si>
    <t>6410155389088</t>
  </si>
  <si>
    <t>5808215744088</t>
  </si>
  <si>
    <t>653225634085</t>
  </si>
  <si>
    <t>8709135142085</t>
  </si>
  <si>
    <t>7106125701084</t>
  </si>
  <si>
    <t>6309036006087</t>
  </si>
  <si>
    <t>7004115420080</t>
  </si>
  <si>
    <t>6103245473083</t>
  </si>
  <si>
    <t>6709075532085</t>
  </si>
  <si>
    <t>8208215438087</t>
  </si>
  <si>
    <t>7703075311086</t>
  </si>
  <si>
    <t>Senzo</t>
  </si>
  <si>
    <t>7501285321089</t>
  </si>
  <si>
    <t>Cohen</t>
  </si>
  <si>
    <t>Two Tier Driver</t>
  </si>
  <si>
    <t>Single  Tier driver</t>
  </si>
  <si>
    <t>Yard Driver</t>
  </si>
  <si>
    <t>Convoy  Driver</t>
  </si>
  <si>
    <t>Supervisor</t>
  </si>
  <si>
    <t>Checker</t>
  </si>
  <si>
    <t>Isaac</t>
  </si>
  <si>
    <t>Zebra</t>
  </si>
  <si>
    <t>Esau</t>
  </si>
  <si>
    <t>Jacob</t>
  </si>
  <si>
    <t>Frans</t>
  </si>
  <si>
    <t>Colin</t>
  </si>
  <si>
    <t>Mvuselo</t>
  </si>
  <si>
    <t>Tommy</t>
  </si>
  <si>
    <t>Botjie</t>
  </si>
  <si>
    <t>Simon</t>
  </si>
  <si>
    <t>Steve</t>
  </si>
  <si>
    <t>Jan</t>
  </si>
  <si>
    <t>Conquerer</t>
  </si>
  <si>
    <t>Nicolas</t>
  </si>
  <si>
    <t>Tafiri</t>
  </si>
  <si>
    <t>Bolara</t>
  </si>
  <si>
    <t>Mulaudzi</t>
  </si>
  <si>
    <t>Motaung</t>
  </si>
  <si>
    <t>Mosikidi</t>
  </si>
  <si>
    <t>Nkgoeng</t>
  </si>
  <si>
    <t>Tshabalala</t>
  </si>
  <si>
    <t>Khota</t>
  </si>
  <si>
    <t>Nzapheza</t>
  </si>
  <si>
    <t>Rawuzele</t>
  </si>
  <si>
    <t>Maila</t>
  </si>
  <si>
    <t>Mokone</t>
  </si>
  <si>
    <t>Cindi</t>
  </si>
  <si>
    <t>Morulane</t>
  </si>
  <si>
    <t>Shili</t>
  </si>
  <si>
    <t>Mokau</t>
  </si>
  <si>
    <t>Mtshwane</t>
  </si>
  <si>
    <t>Maphanga</t>
  </si>
  <si>
    <t>Ramabele</t>
  </si>
  <si>
    <t>Svosvai</t>
  </si>
  <si>
    <t>Molapo</t>
  </si>
  <si>
    <t>Driver - Single Tier Carr</t>
  </si>
  <si>
    <t>Driver - Two Tier Carrier</t>
  </si>
  <si>
    <t>PRDP</t>
  </si>
  <si>
    <t>15/04/2015</t>
  </si>
  <si>
    <t>DISCONTINUED</t>
  </si>
  <si>
    <t>25/05/2015</t>
  </si>
  <si>
    <t>19/07/2016</t>
  </si>
  <si>
    <t>19/01/2017</t>
  </si>
  <si>
    <t>31/03/2017</t>
  </si>
  <si>
    <t>24/11/2015</t>
  </si>
  <si>
    <t>22/09/2015</t>
  </si>
  <si>
    <t xml:space="preserve"> 19/07/2016</t>
  </si>
  <si>
    <t>30/07/2018</t>
  </si>
  <si>
    <t>04/06/2015</t>
  </si>
  <si>
    <t>15/03/2018</t>
  </si>
  <si>
    <t>20/03/2016</t>
  </si>
  <si>
    <t>19/O7/2016</t>
  </si>
  <si>
    <t>08/10/2015</t>
  </si>
  <si>
    <t>BEEN SICK</t>
  </si>
  <si>
    <t>20/10/2016</t>
  </si>
  <si>
    <t>20/04/2017</t>
  </si>
  <si>
    <t>13/04/2018</t>
  </si>
  <si>
    <t>20/07/2016</t>
  </si>
  <si>
    <t>20/01/2017</t>
  </si>
  <si>
    <t>01/11/2016</t>
  </si>
  <si>
    <t>01/05/2017</t>
  </si>
  <si>
    <t>31/07/2018</t>
  </si>
  <si>
    <t>13/07/2018</t>
  </si>
  <si>
    <t>16/06/2018</t>
  </si>
  <si>
    <t>04/08/2017</t>
  </si>
  <si>
    <t>21/10/2015</t>
  </si>
  <si>
    <t>15/09/2016</t>
  </si>
  <si>
    <t>15/05/2017</t>
  </si>
  <si>
    <t>28/02/2018</t>
  </si>
  <si>
    <t>14/03/2017</t>
  </si>
  <si>
    <t>02/11/2016</t>
  </si>
  <si>
    <t>02/05/2017</t>
  </si>
  <si>
    <t>16/09/2017</t>
  </si>
  <si>
    <t>11/06/2016</t>
  </si>
  <si>
    <t>11/12/2016</t>
  </si>
  <si>
    <t>11/09/2015</t>
  </si>
  <si>
    <t>28/04/2015</t>
  </si>
  <si>
    <t>09/08/2018</t>
  </si>
  <si>
    <t>14/02/2017</t>
  </si>
  <si>
    <t>17/07/2018</t>
  </si>
  <si>
    <t>27/07/2016</t>
  </si>
  <si>
    <t>27/01/2017</t>
  </si>
  <si>
    <t>22/09/2018</t>
  </si>
  <si>
    <t>26/04/2017</t>
  </si>
  <si>
    <t>25/10/2016</t>
  </si>
  <si>
    <t>25/04/2017</t>
  </si>
  <si>
    <t>17/09/2016</t>
  </si>
  <si>
    <t>17/05/2017</t>
  </si>
  <si>
    <t>07/12/2017</t>
  </si>
  <si>
    <t>17/09/2017</t>
  </si>
  <si>
    <t>10/03/2017</t>
  </si>
  <si>
    <t>07/10/2017</t>
  </si>
  <si>
    <t>12/03/2017</t>
  </si>
  <si>
    <t>22/10/2017</t>
  </si>
  <si>
    <t>07/03/2018</t>
  </si>
  <si>
    <t>11/11/2015</t>
  </si>
  <si>
    <t>16/02/2017</t>
  </si>
  <si>
    <t>16/08/2017</t>
  </si>
  <si>
    <t>14/11/2016</t>
  </si>
  <si>
    <t>14/05/2017</t>
  </si>
  <si>
    <t>16/11/2016</t>
  </si>
  <si>
    <t>16/05/2017</t>
  </si>
  <si>
    <t>26/01/2017</t>
  </si>
  <si>
    <t>15/11/2016</t>
  </si>
  <si>
    <t>17/11/2016</t>
  </si>
  <si>
    <t>28/11/2016</t>
  </si>
  <si>
    <t>28/05/2017</t>
  </si>
  <si>
    <t>14/04/2018</t>
  </si>
  <si>
    <t>01/10/2016</t>
  </si>
  <si>
    <t>10/05/2016</t>
  </si>
  <si>
    <t>30/11/2016</t>
  </si>
  <si>
    <t>30/05/2017</t>
  </si>
  <si>
    <t>01/12/2016</t>
  </si>
  <si>
    <t>01/06/2017</t>
  </si>
  <si>
    <t>01/07/2017</t>
  </si>
  <si>
    <t>26/07/2017</t>
  </si>
  <si>
    <t>17/08/2018</t>
  </si>
  <si>
    <t xml:space="preserve"> 30/07/2018</t>
  </si>
  <si>
    <t>dismiissed</t>
  </si>
  <si>
    <t>dismissed</t>
  </si>
  <si>
    <t>retiered</t>
  </si>
  <si>
    <t>Serami</t>
  </si>
  <si>
    <t>21/02/2017</t>
  </si>
  <si>
    <t>21/08/2017</t>
  </si>
  <si>
    <t>12/12/2016</t>
  </si>
  <si>
    <t>12/06/2017</t>
  </si>
  <si>
    <t>10/02/2017</t>
  </si>
  <si>
    <t>10/08/2017</t>
  </si>
  <si>
    <t>10/11/2016</t>
  </si>
  <si>
    <t>10/05/2017</t>
  </si>
  <si>
    <t>Retiered</t>
  </si>
  <si>
    <t>Dismissed</t>
  </si>
  <si>
    <t xml:space="preserve">    </t>
  </si>
  <si>
    <t>17/09/2018</t>
  </si>
  <si>
    <t>30/09/2017</t>
  </si>
  <si>
    <t>20/02/2017</t>
  </si>
  <si>
    <t>20/08/2017</t>
  </si>
  <si>
    <t>24/02/2017</t>
  </si>
  <si>
    <t>24/08/2017</t>
  </si>
  <si>
    <t>01/08/2017</t>
  </si>
  <si>
    <t>17/03/2017</t>
  </si>
  <si>
    <t>10/09/2017</t>
  </si>
  <si>
    <t>03/05/2017</t>
  </si>
  <si>
    <t>03/09/2017</t>
  </si>
  <si>
    <t>26/08/2017</t>
  </si>
  <si>
    <t>26/01/2016</t>
  </si>
  <si>
    <t>04/05/2017</t>
  </si>
  <si>
    <t>04/11/2017</t>
  </si>
  <si>
    <t>30/06/2017</t>
  </si>
  <si>
    <t>27/08/2017</t>
  </si>
  <si>
    <t>25/01/2017</t>
  </si>
  <si>
    <t>25/01/2018</t>
  </si>
  <si>
    <t>30/08/2018</t>
  </si>
  <si>
    <t>27/08/2018</t>
  </si>
  <si>
    <t>18/08/2017</t>
  </si>
  <si>
    <t>16/06/2017</t>
  </si>
  <si>
    <t>01/10/2017</t>
  </si>
  <si>
    <t>22/07/2017</t>
  </si>
  <si>
    <t>22/07/2018</t>
  </si>
  <si>
    <t>22/02/1018</t>
  </si>
  <si>
    <t>22/02/2017</t>
  </si>
  <si>
    <t>09/10/2017</t>
  </si>
  <si>
    <t>09/10/2016</t>
  </si>
  <si>
    <t>31/07/2016</t>
  </si>
  <si>
    <t>31/07/2017</t>
  </si>
  <si>
    <t>13/03/2018</t>
  </si>
  <si>
    <t>13/03/2017</t>
  </si>
  <si>
    <t>27/02/2018</t>
  </si>
  <si>
    <t>18/08/2018</t>
  </si>
  <si>
    <t>04/08/2018</t>
  </si>
  <si>
    <t>31/03/2018</t>
  </si>
  <si>
    <t>30/03/2017</t>
  </si>
  <si>
    <t>30/03/2018</t>
  </si>
  <si>
    <t>10/03/2018</t>
  </si>
  <si>
    <t>d</t>
  </si>
  <si>
    <t>15/05/2018</t>
  </si>
  <si>
    <t>09/05/2017</t>
  </si>
  <si>
    <t>09/05/2018</t>
  </si>
  <si>
    <t>20/04/2018</t>
  </si>
  <si>
    <t>09/09/2017</t>
  </si>
  <si>
    <t>30/09/2018</t>
  </si>
  <si>
    <t>15.05/2018</t>
  </si>
  <si>
    <t>17/05/2018</t>
  </si>
  <si>
    <t>LICENCE EXP</t>
  </si>
  <si>
    <t>04/05/2018</t>
  </si>
  <si>
    <t>Mafafo</t>
  </si>
  <si>
    <t>23/10/2020</t>
  </si>
  <si>
    <t>STAFF INITIATIVES</t>
  </si>
  <si>
    <t>Anton</t>
  </si>
  <si>
    <t>Duma</t>
  </si>
  <si>
    <t>Sicelo</t>
  </si>
  <si>
    <t>Lucky</t>
  </si>
  <si>
    <t>Ngconco</t>
  </si>
  <si>
    <t>CAPE TOWN LOCAL DRIVERS</t>
  </si>
  <si>
    <t>Nkambule</t>
  </si>
  <si>
    <t>Driver-Single Tier Carr</t>
  </si>
  <si>
    <t>07/12/2018</t>
  </si>
  <si>
    <t>Mandla S</t>
  </si>
  <si>
    <t>Maselesela</t>
  </si>
  <si>
    <t>Kgwele</t>
  </si>
  <si>
    <t>Donovan</t>
  </si>
  <si>
    <t>Jacobs</t>
  </si>
  <si>
    <t>Henry</t>
  </si>
  <si>
    <t>Delport</t>
  </si>
  <si>
    <t>22/10/2019</t>
  </si>
  <si>
    <t>04/10/2019</t>
  </si>
  <si>
    <t>26/06/2020</t>
  </si>
  <si>
    <t>26/06/2023</t>
  </si>
  <si>
    <t>27/02/2020</t>
  </si>
  <si>
    <t>27/02/2023</t>
  </si>
  <si>
    <t>16/07/2020</t>
  </si>
  <si>
    <t>16/07/2023</t>
  </si>
  <si>
    <t>06/12/2019</t>
  </si>
  <si>
    <t>21/11/2022</t>
  </si>
  <si>
    <t>11/03/2019</t>
  </si>
  <si>
    <t>08/03/2022</t>
  </si>
  <si>
    <t>29/03/2020</t>
  </si>
  <si>
    <t>04/03/2023</t>
  </si>
  <si>
    <t>21/02/2019</t>
  </si>
  <si>
    <t>28/01/2020</t>
  </si>
  <si>
    <t>29/01/2023</t>
  </si>
  <si>
    <t>21/08/2018</t>
  </si>
  <si>
    <t>23/07/2018</t>
  </si>
  <si>
    <t>23/01/2019</t>
  </si>
  <si>
    <t>11/04/2018</t>
  </si>
  <si>
    <t>11/10/2018</t>
  </si>
  <si>
    <t>20/08/2018</t>
  </si>
  <si>
    <t>20/02/2019</t>
  </si>
  <si>
    <t>13/08/2018</t>
  </si>
  <si>
    <t>13/02/2019</t>
  </si>
  <si>
    <t>04/09/2018</t>
  </si>
  <si>
    <t>04/03/2019</t>
  </si>
  <si>
    <t>10/01/2020</t>
  </si>
  <si>
    <t>11/01/2023</t>
  </si>
  <si>
    <t>14/08/2019</t>
  </si>
  <si>
    <t>07/08/2019</t>
  </si>
  <si>
    <t>11/09/2018</t>
  </si>
  <si>
    <t>12/04/2022</t>
  </si>
  <si>
    <t>18/09/2018</t>
  </si>
  <si>
    <t>18/03/2019</t>
  </si>
  <si>
    <t>31/10/2018</t>
  </si>
  <si>
    <t>31/04/2019</t>
  </si>
  <si>
    <t>30/11/2018</t>
  </si>
  <si>
    <t>09/12/2020</t>
  </si>
  <si>
    <t>09/10/2020</t>
  </si>
  <si>
    <t>07/05/2019</t>
  </si>
  <si>
    <t>25/03/2019</t>
  </si>
  <si>
    <t>25/09/2019</t>
  </si>
  <si>
    <t>24/03/2020</t>
  </si>
  <si>
    <t>28/03/2019</t>
  </si>
  <si>
    <t>28/09/2019</t>
  </si>
  <si>
    <t>13/08/2019</t>
  </si>
  <si>
    <t>15/03/2019</t>
  </si>
  <si>
    <t>15/09/2019</t>
  </si>
  <si>
    <t>02/04/2019</t>
  </si>
  <si>
    <t>03/04/2019</t>
  </si>
  <si>
    <t>03/10/2019</t>
  </si>
  <si>
    <t>07/02/2019</t>
  </si>
  <si>
    <t>22/02/2019</t>
  </si>
  <si>
    <t>21/02/2020</t>
  </si>
  <si>
    <t>04/04/2019</t>
  </si>
  <si>
    <t>01/04/2020</t>
  </si>
  <si>
    <t>27/03/2019</t>
  </si>
  <si>
    <t>26/03/2020</t>
  </si>
  <si>
    <t>09/04/2019</t>
  </si>
  <si>
    <t>09/10/2019</t>
  </si>
  <si>
    <t>Ungani</t>
  </si>
  <si>
    <t>Phathutshedzo</t>
  </si>
  <si>
    <t>08/08/2019</t>
  </si>
  <si>
    <t>08/02/2020</t>
  </si>
  <si>
    <t>14/02/2020</t>
  </si>
  <si>
    <t>30/07/2019</t>
  </si>
  <si>
    <t>30/01/2020</t>
  </si>
  <si>
    <t>22/05/2019</t>
  </si>
  <si>
    <t>22/11/2019</t>
  </si>
  <si>
    <t>13/05/2019</t>
  </si>
  <si>
    <t>13/11/2019</t>
  </si>
  <si>
    <t>29/07/2020</t>
  </si>
  <si>
    <t>14/11/2019</t>
  </si>
  <si>
    <t>06/08/2020</t>
  </si>
  <si>
    <t>19/03/2019</t>
  </si>
  <si>
    <t>19/09/2019</t>
  </si>
  <si>
    <t>27/03/2023</t>
  </si>
  <si>
    <t>31/07/2019</t>
  </si>
  <si>
    <t>31/01/2020</t>
  </si>
  <si>
    <t>Alpheus</t>
  </si>
  <si>
    <t>Hlakanye</t>
  </si>
  <si>
    <t>Mosamane</t>
  </si>
  <si>
    <t>Mashudu</t>
  </si>
  <si>
    <t>Mukwevho</t>
  </si>
  <si>
    <t>15/07/2019</t>
  </si>
  <si>
    <t>14/07/2020</t>
  </si>
  <si>
    <t>29/08/2019</t>
  </si>
  <si>
    <t>28/08/2020</t>
  </si>
  <si>
    <t>12/06/2019</t>
  </si>
  <si>
    <t>12/12/2019</t>
  </si>
  <si>
    <t>18/10/2019</t>
  </si>
  <si>
    <t>18/01/2020</t>
  </si>
  <si>
    <t>17/10/2020</t>
  </si>
  <si>
    <t>21/10/2020</t>
  </si>
  <si>
    <t>22/04/2020</t>
  </si>
  <si>
    <t>16/04/2021</t>
  </si>
  <si>
    <t>13/08/2020</t>
  </si>
  <si>
    <t>05/03/2019</t>
  </si>
  <si>
    <t>04/03/2020</t>
  </si>
  <si>
    <t>19/06/2019</t>
  </si>
  <si>
    <t>19/12/2019</t>
  </si>
  <si>
    <t>09/05/2019</t>
  </si>
  <si>
    <t>06/11/2019</t>
  </si>
  <si>
    <t>06/05/2020</t>
  </si>
  <si>
    <t>05/11/2019</t>
  </si>
  <si>
    <t>05/04/2020</t>
  </si>
  <si>
    <t>06/04/2020</t>
  </si>
  <si>
    <t>14/03/2021</t>
  </si>
  <si>
    <t>15/03/2024</t>
  </si>
  <si>
    <t>07/11/2019</t>
  </si>
  <si>
    <t>07/05/2020</t>
  </si>
  <si>
    <t>09/07/2019</t>
  </si>
  <si>
    <t>09/01/2020</t>
  </si>
  <si>
    <t>09/07/2020</t>
  </si>
  <si>
    <t>01/07/2019</t>
  </si>
  <si>
    <t>01/01/2020</t>
  </si>
  <si>
    <t>01/07/2020</t>
  </si>
  <si>
    <t>04/12/2020</t>
  </si>
  <si>
    <t>13/12/2023</t>
  </si>
  <si>
    <t>08/07/2019</t>
  </si>
  <si>
    <t>08/01/2020</t>
  </si>
  <si>
    <t>08/11/2019</t>
  </si>
  <si>
    <t>08/05/2020</t>
  </si>
  <si>
    <t>05/05/2020</t>
  </si>
  <si>
    <t>08.05/2020</t>
  </si>
  <si>
    <t>30/10/2021</t>
  </si>
  <si>
    <t>29/10/2024</t>
  </si>
  <si>
    <t>09/11/2019</t>
  </si>
  <si>
    <t>07/10/2021</t>
  </si>
  <si>
    <t>06/10/2024</t>
  </si>
  <si>
    <t>25/03/2021</t>
  </si>
  <si>
    <t>25/03/2024</t>
  </si>
  <si>
    <t>09/10/2023</t>
  </si>
  <si>
    <t>09/12/2023</t>
  </si>
  <si>
    <t>19/08/2021</t>
  </si>
  <si>
    <t>05/07/2024</t>
  </si>
  <si>
    <t>11/112019</t>
  </si>
  <si>
    <t>11/05/2020</t>
  </si>
  <si>
    <t>21/05/2021</t>
  </si>
  <si>
    <t>26/05/2024</t>
  </si>
  <si>
    <t>11/11/2019</t>
  </si>
  <si>
    <t>11/05/2010</t>
  </si>
  <si>
    <t>08//11/201`9</t>
  </si>
  <si>
    <t>14/03/2020</t>
  </si>
  <si>
    <t>13/03/2023</t>
  </si>
  <si>
    <t>12/11/2019</t>
  </si>
  <si>
    <t>12/11/2010</t>
  </si>
  <si>
    <t>12/05/2020</t>
  </si>
  <si>
    <t>12/11/2020</t>
  </si>
  <si>
    <t>10/07/2020</t>
  </si>
  <si>
    <t>27/08/2020</t>
  </si>
  <si>
    <t>05/12/2019</t>
  </si>
  <si>
    <t>03/09/2019</t>
  </si>
  <si>
    <t>02/09/2020</t>
  </si>
  <si>
    <t>PRDP EXP</t>
  </si>
  <si>
    <t>LAWRENCE</t>
  </si>
  <si>
    <t>BUSANE</t>
  </si>
  <si>
    <t>Baker Bhekithemba</t>
  </si>
  <si>
    <t>25/01/2020</t>
  </si>
  <si>
    <t>Simon Sonnyboy</t>
  </si>
  <si>
    <t>Sipho Edward</t>
  </si>
  <si>
    <t>29/01/2020</t>
  </si>
  <si>
    <t>Mondli Terrence</t>
  </si>
  <si>
    <t>SIPHO Moses</t>
  </si>
  <si>
    <t>Buleleni Wilffred</t>
  </si>
  <si>
    <t>Sephisihle Advocate</t>
  </si>
  <si>
    <t>Bheki</t>
  </si>
  <si>
    <t>Nhlangulela</t>
  </si>
  <si>
    <t>Sithembiso</t>
  </si>
  <si>
    <t>Sithole</t>
  </si>
  <si>
    <t>Sifiso</t>
  </si>
  <si>
    <t>Ntetha</t>
  </si>
  <si>
    <t>Sphelele</t>
  </si>
  <si>
    <t>Sotetsie</t>
  </si>
  <si>
    <t>Hadebe</t>
  </si>
  <si>
    <t>Phungula</t>
  </si>
  <si>
    <t>Mlungisi</t>
  </si>
  <si>
    <t>James</t>
  </si>
  <si>
    <t>Nkosinathi</t>
  </si>
  <si>
    <t>Tikisa</t>
  </si>
  <si>
    <t>Sandile Nkululeko</t>
  </si>
  <si>
    <t>Mbongeni Erusmus</t>
  </si>
  <si>
    <t>Brian Nonto</t>
  </si>
  <si>
    <t>Joseph S</t>
  </si>
  <si>
    <t>Emmuel N</t>
  </si>
  <si>
    <t>Elias Bongumusa</t>
  </si>
  <si>
    <t>Siyabonga Emmanuel</t>
  </si>
  <si>
    <t>Gabriel Thabani</t>
  </si>
  <si>
    <t>Wiseman Ayanda</t>
  </si>
  <si>
    <t>Freedom Thulani</t>
  </si>
  <si>
    <t>Joshua Bhekimbeko</t>
  </si>
  <si>
    <t>Mandlenkosi</t>
  </si>
  <si>
    <t>Emanuel Mzunele</t>
  </si>
  <si>
    <t>Zakhele Philmon</t>
  </si>
  <si>
    <t>Wiseman Msizi</t>
  </si>
  <si>
    <t>Oscar Mpisi</t>
  </si>
  <si>
    <t>Bethwell Lungi</t>
  </si>
  <si>
    <t>Innocent  Vala</t>
  </si>
  <si>
    <t>Vincent Msizi</t>
  </si>
  <si>
    <t>Sydwell Z</t>
  </si>
  <si>
    <t>Petros  Muzi</t>
  </si>
  <si>
    <t>Vincent Mduduzi</t>
  </si>
  <si>
    <t>Bethwell Siyabonga</t>
  </si>
  <si>
    <t>Elias Mkhulisi</t>
  </si>
  <si>
    <t>France Phumlani</t>
  </si>
  <si>
    <t>Richard Senzo</t>
  </si>
  <si>
    <t>Aron Ntokozo</t>
  </si>
  <si>
    <t>Seni Sibonakaliso W</t>
  </si>
  <si>
    <t>Comfort Mzwethemba</t>
  </si>
  <si>
    <t>Thamsanqa</t>
  </si>
  <si>
    <t>Ishmael Khetukuthula</t>
  </si>
  <si>
    <t>Johannes Jabulane</t>
  </si>
  <si>
    <t>Siphesihle</t>
  </si>
  <si>
    <t>Ernest Bongani</t>
  </si>
  <si>
    <t>Frank Dumisani</t>
  </si>
  <si>
    <t>Jetrome Zakhele</t>
  </si>
  <si>
    <t>Innocent Sthabiso</t>
  </si>
  <si>
    <t>Skhumbuzo  Mdumiseni</t>
  </si>
  <si>
    <t>Hopewell Zibosiso</t>
  </si>
  <si>
    <t xml:space="preserve">Thomas Johannes </t>
  </si>
  <si>
    <t>Nsizwaazonke</t>
  </si>
  <si>
    <t>Lawrence</t>
  </si>
  <si>
    <t>Busane</t>
  </si>
  <si>
    <t>26/01/2020</t>
  </si>
  <si>
    <t>27/01/2020</t>
  </si>
  <si>
    <t>David Sibongiseni</t>
  </si>
  <si>
    <t>Daniel Zimisele</t>
  </si>
  <si>
    <t>John Thembinkosi</t>
  </si>
  <si>
    <t>Maxwell Zwakele</t>
  </si>
  <si>
    <t>Blessing  Siphosihle</t>
  </si>
  <si>
    <t>Mchazeleni Khaelihle</t>
  </si>
  <si>
    <t xml:space="preserve">Mbhekiseni Paulus </t>
  </si>
  <si>
    <t>Jabulani Eric</t>
  </si>
  <si>
    <t>Sibonelo</t>
  </si>
  <si>
    <t>Ntshangase</t>
  </si>
  <si>
    <t>Eric Jabulani</t>
  </si>
  <si>
    <t>Mkhulisi</t>
  </si>
  <si>
    <t>Bethwell</t>
  </si>
  <si>
    <t>Ndowande</t>
  </si>
  <si>
    <t>Siswe</t>
  </si>
  <si>
    <t>Shange</t>
  </si>
  <si>
    <t>Nxumalo</t>
  </si>
  <si>
    <t>Shozi</t>
  </si>
  <si>
    <t>Sipho Moses</t>
  </si>
  <si>
    <t>Manyaba</t>
  </si>
  <si>
    <t>Absalom Vusi</t>
  </si>
  <si>
    <t>01/02/2020</t>
  </si>
  <si>
    <t>Bridgeman Batshele</t>
  </si>
  <si>
    <t>Wander Almon</t>
  </si>
  <si>
    <t>Welcome Kamogelo</t>
  </si>
  <si>
    <t>Wiseman Mxoleli</t>
  </si>
  <si>
    <t xml:space="preserve"> Emanuel Sizwe</t>
  </si>
  <si>
    <t>Andreas Zinza</t>
  </si>
  <si>
    <t>Vensin Soobramoney</t>
  </si>
  <si>
    <t>02/02/2020</t>
  </si>
  <si>
    <t>Eldwin Mondli</t>
  </si>
  <si>
    <t>Bernad Sifiso</t>
  </si>
  <si>
    <t>Mogrego Sizwe</t>
  </si>
  <si>
    <t>Stirton Njabulo</t>
  </si>
  <si>
    <t>Sithembiso Samukelo</t>
  </si>
  <si>
    <t>03/02/2020</t>
  </si>
  <si>
    <t>Bethuel Nhlanhla</t>
  </si>
  <si>
    <t>Emanuel Mzuvele</t>
  </si>
  <si>
    <t>Nkosinathi Zukile</t>
  </si>
  <si>
    <t>Terrence Sphelele</t>
  </si>
  <si>
    <t>Wonderboy Bhekizitha</t>
  </si>
  <si>
    <t>Bethwell Musa</t>
  </si>
  <si>
    <t>Joseph Sitabiso</t>
  </si>
  <si>
    <t>Lennox Bongani</t>
  </si>
  <si>
    <t>Vusumuzi  Mandlankayise</t>
  </si>
  <si>
    <t>Advocate Siphesihle</t>
  </si>
  <si>
    <t>Alpheas Bonginkosi</t>
  </si>
  <si>
    <t>Attwell Mlungisi</t>
  </si>
  <si>
    <t>Goodman Vukani</t>
  </si>
  <si>
    <t>Nhlanhla Bukhosibethu</t>
  </si>
  <si>
    <t>26/11/2024</t>
  </si>
  <si>
    <t>17/09/2024</t>
  </si>
  <si>
    <t>15/10/2021</t>
  </si>
  <si>
    <t>05/06/2024</t>
  </si>
  <si>
    <t>16/07/2021</t>
  </si>
  <si>
    <t>17/07/2024</t>
  </si>
  <si>
    <t>01/08/2021</t>
  </si>
  <si>
    <t>02/08/2024</t>
  </si>
  <si>
    <t>05/09/2021</t>
  </si>
  <si>
    <t>28/08/2024</t>
  </si>
  <si>
    <t>26/05/2021</t>
  </si>
  <si>
    <t>27/05/2024</t>
  </si>
  <si>
    <t>01/11/2021</t>
  </si>
  <si>
    <t>30/10/2024</t>
  </si>
  <si>
    <t>25/09/2020</t>
  </si>
  <si>
    <t>19/09/2023</t>
  </si>
  <si>
    <t>28/08/2023</t>
  </si>
  <si>
    <t>17/09/2021</t>
  </si>
  <si>
    <t>18/09/2024</t>
  </si>
  <si>
    <t>21/05/2020</t>
  </si>
  <si>
    <t>09/06/2021</t>
  </si>
  <si>
    <t>10/06/2024</t>
  </si>
  <si>
    <t>25/10/2024</t>
  </si>
  <si>
    <t>08/05/2021</t>
  </si>
  <si>
    <t>13/05/2024</t>
  </si>
  <si>
    <t>02/06/2021</t>
  </si>
  <si>
    <t>22/05/2021</t>
  </si>
  <si>
    <t>14/05/2024</t>
  </si>
  <si>
    <t>23/11/2020</t>
  </si>
  <si>
    <t>22/11/2023</t>
  </si>
  <si>
    <t>26/11/2021</t>
  </si>
  <si>
    <t>28/11/2024</t>
  </si>
  <si>
    <t>21/08/2020</t>
  </si>
  <si>
    <t>30/07/2023</t>
  </si>
  <si>
    <t>10/09/2020</t>
  </si>
  <si>
    <t>15/11/2020</t>
  </si>
  <si>
    <t>12/10/2023</t>
  </si>
  <si>
    <t>23/04/2024</t>
  </si>
  <si>
    <t>14/02/2024</t>
  </si>
  <si>
    <t>16/09/2021</t>
  </si>
  <si>
    <t>23/10/2021</t>
  </si>
  <si>
    <t>15/07/2020</t>
  </si>
  <si>
    <t>28/01/2021</t>
  </si>
  <si>
    <t>18/02/2021</t>
  </si>
  <si>
    <t>15/01/2024</t>
  </si>
  <si>
    <t>Reginald Bhekimusi</t>
  </si>
  <si>
    <t>Innocent Khanyisani</t>
  </si>
  <si>
    <t>Gladwell Nkosinathi</t>
  </si>
  <si>
    <t>07/02/2020</t>
  </si>
  <si>
    <t>05/11/2020</t>
  </si>
  <si>
    <t>05/02/2020</t>
  </si>
  <si>
    <t>05/02/2021</t>
  </si>
  <si>
    <t>09/01/2021</t>
  </si>
  <si>
    <t>07/02/2021</t>
  </si>
  <si>
    <t>06/02/2020</t>
  </si>
  <si>
    <t>06/02/2021</t>
  </si>
  <si>
    <t>08/04/2020</t>
  </si>
  <si>
    <t>08/04/2019</t>
  </si>
  <si>
    <t>10/07/2019</t>
  </si>
  <si>
    <t>09/05/2020</t>
  </si>
  <si>
    <t>03/10/2020</t>
  </si>
  <si>
    <t>19/06/2020</t>
  </si>
  <si>
    <t>10/05/2020</t>
  </si>
  <si>
    <t>10/05/2019</t>
  </si>
  <si>
    <t>18/07/2020</t>
  </si>
  <si>
    <t>18/07/2019</t>
  </si>
  <si>
    <t>15/08/2020</t>
  </si>
  <si>
    <t>15/08/2019</t>
  </si>
  <si>
    <t>02/09/2019</t>
  </si>
  <si>
    <t>28/03/2020</t>
  </si>
  <si>
    <t>27/05/2020</t>
  </si>
  <si>
    <t>20/06/2020</t>
  </si>
  <si>
    <t>20/06/2019</t>
  </si>
  <si>
    <t>12/07/2020</t>
  </si>
  <si>
    <t>12/07/2019</t>
  </si>
  <si>
    <t>21/05/2019</t>
  </si>
  <si>
    <t>25/07/2020</t>
  </si>
  <si>
    <t>25/07/2019</t>
  </si>
  <si>
    <t>26/03/2019</t>
  </si>
  <si>
    <t>29/03/2019</t>
  </si>
  <si>
    <t>12/02/2020</t>
  </si>
  <si>
    <t>03/08/2020</t>
  </si>
  <si>
    <t>01/08/2020</t>
  </si>
  <si>
    <t>03/07/2021</t>
  </si>
  <si>
    <t>04/07/2024</t>
  </si>
  <si>
    <t>18/02/2020</t>
  </si>
  <si>
    <t>27/07/2020</t>
  </si>
  <si>
    <t>02/08/2020</t>
  </si>
  <si>
    <t>28/07/2020</t>
  </si>
  <si>
    <t>26/07/2020</t>
  </si>
  <si>
    <t>25/08/2020</t>
  </si>
  <si>
    <t>10/02/2021</t>
  </si>
  <si>
    <t>30/08/2020</t>
  </si>
  <si>
    <t>02/07/2020</t>
  </si>
  <si>
    <t>29/08/2020</t>
  </si>
  <si>
    <t>31/08/2020</t>
  </si>
  <si>
    <t>11/02/2020</t>
  </si>
  <si>
    <t>25/02/2024</t>
  </si>
  <si>
    <t>09/08/2020</t>
  </si>
  <si>
    <t>09/02/2020</t>
  </si>
  <si>
    <t>06/12/2020</t>
  </si>
  <si>
    <t>12/02/2021</t>
  </si>
  <si>
    <t>20/12/2021</t>
  </si>
  <si>
    <t>21/12/2024</t>
  </si>
  <si>
    <t>30/07/2021</t>
  </si>
  <si>
    <t>30/07/2024</t>
  </si>
  <si>
    <t>17/09/2020</t>
  </si>
  <si>
    <t>18/09/2023</t>
  </si>
  <si>
    <t>12/11/2021</t>
  </si>
  <si>
    <t>13/11/2024</t>
  </si>
  <si>
    <t>30/09/2021</t>
  </si>
  <si>
    <t>01/10/2024</t>
  </si>
  <si>
    <t xml:space="preserve">01/07/2020 </t>
  </si>
  <si>
    <t>03/07/2023</t>
  </si>
  <si>
    <t>21/01/2020</t>
  </si>
  <si>
    <t>13/02/2020</t>
  </si>
  <si>
    <t>13/02/2021</t>
  </si>
  <si>
    <t>04/04/2020</t>
  </si>
  <si>
    <t>01/04/2019</t>
  </si>
  <si>
    <t>28/05/2023</t>
  </si>
  <si>
    <t>11/04/2024</t>
  </si>
  <si>
    <t>17/02/2020</t>
  </si>
  <si>
    <t>17/02/2021</t>
  </si>
  <si>
    <t>21/06/2019</t>
  </si>
  <si>
    <t>21/06/2020</t>
  </si>
  <si>
    <t>11/02/2021</t>
  </si>
  <si>
    <t>Driver Chronic Illness</t>
  </si>
  <si>
    <t>None</t>
  </si>
  <si>
    <t>18/02/2025</t>
  </si>
  <si>
    <t>HBP/DIABETES</t>
  </si>
  <si>
    <t>NONE</t>
  </si>
  <si>
    <t>HBP</t>
  </si>
  <si>
    <t>ASHMA</t>
  </si>
  <si>
    <t>04/07/2021</t>
  </si>
  <si>
    <t>29/11/2020</t>
  </si>
  <si>
    <t>17/07/2020</t>
  </si>
  <si>
    <t>17/07/2021</t>
  </si>
  <si>
    <t>Seeiso Willbroad</t>
  </si>
  <si>
    <t xml:space="preserve">Msizi </t>
  </si>
  <si>
    <r>
      <t xml:space="preserve">UNI 11 </t>
    </r>
    <r>
      <rPr>
        <b/>
        <sz val="8"/>
        <color rgb="FFFFFF00"/>
        <rFont val="Calibri"/>
        <family val="2"/>
        <scheme val="minor"/>
      </rPr>
      <t xml:space="preserve"> (150752)</t>
    </r>
    <r>
      <rPr>
        <b/>
        <sz val="8"/>
        <rFont val="Calibri"/>
        <family val="2"/>
        <scheme val="minor"/>
      </rPr>
      <t xml:space="preserve">     50/50</t>
    </r>
  </si>
  <si>
    <r>
      <t xml:space="preserve">UNI  (KM 4.1) </t>
    </r>
    <r>
      <rPr>
        <b/>
        <sz val="8"/>
        <color rgb="FFFFFF00"/>
        <rFont val="Calibri"/>
        <family val="2"/>
        <scheme val="minor"/>
      </rPr>
      <t xml:space="preserve"> 46013- 46023</t>
    </r>
  </si>
  <si>
    <r>
      <t xml:space="preserve">UNIPOWER (old) </t>
    </r>
    <r>
      <rPr>
        <b/>
        <sz val="8"/>
        <color rgb="FFFFFF00"/>
        <rFont val="Calibri"/>
        <family val="2"/>
        <scheme val="minor"/>
      </rPr>
      <t>(H680/H682)</t>
    </r>
  </si>
  <si>
    <t>MULTI LOHR</t>
  </si>
  <si>
    <t>16/02/2022</t>
  </si>
  <si>
    <t>17/02/2025</t>
  </si>
  <si>
    <t>19/02/2022</t>
  </si>
  <si>
    <t>11/02/2025</t>
  </si>
  <si>
    <t>28/01/2023</t>
  </si>
  <si>
    <t>15/10/2022</t>
  </si>
  <si>
    <t>16/10/2025</t>
  </si>
  <si>
    <t>21/08/2022</t>
  </si>
  <si>
    <t>22/08/2025</t>
  </si>
  <si>
    <t>03/12/2022</t>
  </si>
  <si>
    <t>04/12/2025</t>
  </si>
  <si>
    <t>19/06/2021</t>
  </si>
  <si>
    <t>30/05/2024</t>
  </si>
  <si>
    <t>Moenti</t>
  </si>
  <si>
    <t>19/12/2021</t>
  </si>
  <si>
    <t>11/10/2022</t>
  </si>
  <si>
    <t>13/02/2022</t>
  </si>
  <si>
    <t>14/02/2025</t>
  </si>
  <si>
    <t>22/12/2022</t>
  </si>
  <si>
    <t>23/12/2025</t>
  </si>
  <si>
    <t>12/05/2021</t>
  </si>
  <si>
    <t>25/05/2021</t>
  </si>
  <si>
    <t>25/11/2021</t>
  </si>
  <si>
    <t>08/02/2021</t>
  </si>
  <si>
    <t>08/08/2021</t>
  </si>
  <si>
    <t>17/01/2023</t>
  </si>
  <si>
    <t>18/01/2026</t>
  </si>
  <si>
    <t>27/10/2021</t>
  </si>
  <si>
    <t>04/10/2024</t>
  </si>
  <si>
    <t>24/05/2021</t>
  </si>
  <si>
    <t>24/11/2021</t>
  </si>
  <si>
    <t>UNI 9MK3</t>
  </si>
  <si>
    <t>19/04/2021</t>
  </si>
  <si>
    <t>19/10/2021</t>
  </si>
  <si>
    <t>12/10/2026</t>
  </si>
  <si>
    <t>07/12/2020</t>
  </si>
  <si>
    <t>07/06/2021</t>
  </si>
  <si>
    <t>26/04/2021</t>
  </si>
  <si>
    <t>26/10/2021</t>
  </si>
  <si>
    <t>13/08/2021</t>
  </si>
  <si>
    <t>24/03/2021</t>
  </si>
  <si>
    <t>24/09/2021</t>
  </si>
  <si>
    <t>21/04/2026</t>
  </si>
  <si>
    <t>22/04/2023</t>
  </si>
  <si>
    <t>20/10/2025</t>
  </si>
  <si>
    <t>19/10/2022</t>
  </si>
  <si>
    <t>18/02/2022</t>
  </si>
  <si>
    <t>28/09/2022</t>
  </si>
  <si>
    <t>29/09/2025</t>
  </si>
  <si>
    <t>31/08/2022</t>
  </si>
  <si>
    <t>31/08/2025</t>
  </si>
  <si>
    <t>21/03/2022</t>
  </si>
  <si>
    <t>04/03/2025</t>
  </si>
  <si>
    <t>10/03/2023</t>
  </si>
  <si>
    <t>10/03/2026</t>
  </si>
  <si>
    <t>26/03/2021</t>
  </si>
  <si>
    <t>26/09/2021</t>
  </si>
  <si>
    <t>04/02/2021</t>
  </si>
  <si>
    <t>04/08/2021</t>
  </si>
  <si>
    <t>25/08/2022</t>
  </si>
  <si>
    <t>26/08/2025</t>
  </si>
  <si>
    <t>25/07/2021</t>
  </si>
  <si>
    <t>24/01/2025</t>
  </si>
  <si>
    <t>10/10/2021</t>
  </si>
  <si>
    <t>09/10/2024</t>
  </si>
  <si>
    <t>15/03/2023</t>
  </si>
  <si>
    <t>15/03/2026</t>
  </si>
  <si>
    <t>28/10/2022</t>
  </si>
  <si>
    <t>28/10/2025</t>
  </si>
  <si>
    <t>28/07/2022</t>
  </si>
  <si>
    <t>21/07/2025</t>
  </si>
  <si>
    <t>02/09/2021</t>
  </si>
  <si>
    <t>10/09/2021</t>
  </si>
  <si>
    <t>03/11/2020</t>
  </si>
  <si>
    <t>03/11/2021</t>
  </si>
  <si>
    <t>08/12/2020</t>
  </si>
  <si>
    <t>08/12/2021</t>
  </si>
  <si>
    <t>04/11/2020</t>
  </si>
  <si>
    <t>04/11/2021</t>
  </si>
  <si>
    <t>01/09/2020</t>
  </si>
  <si>
    <t>01/09/2021</t>
  </si>
  <si>
    <t>18/08/2020</t>
  </si>
  <si>
    <t>18/08/2021</t>
  </si>
  <si>
    <t>22/10/2020</t>
  </si>
  <si>
    <t>22/10/2021</t>
  </si>
  <si>
    <t xml:space="preserve"> 04/11/2020</t>
  </si>
  <si>
    <t>10/11/2020</t>
  </si>
  <si>
    <t>10/11/2021</t>
  </si>
  <si>
    <t>01/12/2020</t>
  </si>
  <si>
    <t>01/12/2021</t>
  </si>
  <si>
    <t>05/11/2021</t>
  </si>
  <si>
    <t>08/01/2022</t>
  </si>
  <si>
    <t>27/04/2024</t>
  </si>
  <si>
    <t>18/11/2022</t>
  </si>
  <si>
    <t>19/11/2025</t>
  </si>
  <si>
    <t>01/09/2025</t>
  </si>
  <si>
    <t>28/10/2021</t>
  </si>
  <si>
    <t>20/10/2024</t>
  </si>
  <si>
    <t>23/11/2022</t>
  </si>
  <si>
    <t>24/11/2025</t>
  </si>
  <si>
    <t>10/08/2022</t>
  </si>
  <si>
    <t>22/07/2025</t>
  </si>
  <si>
    <t>30/01/2023</t>
  </si>
  <si>
    <t>11/12/2025</t>
  </si>
  <si>
    <t>01/08/2025</t>
  </si>
  <si>
    <t>13/03/2021</t>
  </si>
  <si>
    <t>05/08/2021</t>
  </si>
  <si>
    <t>13/09/2021</t>
  </si>
  <si>
    <t>27/03/2021</t>
  </si>
  <si>
    <t>27/09/2021</t>
  </si>
  <si>
    <t>26/11/2020</t>
  </si>
  <si>
    <t>17/05/2021</t>
  </si>
  <si>
    <t>17/11/2020</t>
  </si>
  <si>
    <t>28/04/2021</t>
  </si>
  <si>
    <t>13/08//2021</t>
  </si>
  <si>
    <t>04/05/2021</t>
  </si>
  <si>
    <t>29/01/2021</t>
  </si>
  <si>
    <t>29/07/2021</t>
  </si>
  <si>
    <t xml:space="preserve">Lawrance Siguno </t>
  </si>
  <si>
    <t>07/10/2020</t>
  </si>
  <si>
    <t>07/04/2021</t>
  </si>
  <si>
    <t>Thembinkosi John</t>
  </si>
  <si>
    <t>11/01/2021</t>
  </si>
  <si>
    <t>11/07/2021</t>
  </si>
  <si>
    <t>Local Driver</t>
  </si>
  <si>
    <t>Long Distance Driver</t>
  </si>
  <si>
    <t xml:space="preserve">Age </t>
  </si>
  <si>
    <t xml:space="preserve">Type </t>
  </si>
  <si>
    <t>Next Medical</t>
  </si>
  <si>
    <t>14/02/2021</t>
  </si>
  <si>
    <t xml:space="preserve"> Currently on truck will book for Monday.</t>
  </si>
  <si>
    <t>On leave to book on return</t>
  </si>
  <si>
    <t>To book on Monday</t>
  </si>
  <si>
    <t>Currently on truck to book on Monday</t>
  </si>
  <si>
    <t>Driver on leave to book on return</t>
  </si>
  <si>
    <t>Driver currently sorting out PRDP</t>
  </si>
  <si>
    <t>Driver on days off to book on return</t>
  </si>
  <si>
    <t>Currently on truck to book for Monday</t>
  </si>
  <si>
    <t>Driver on days off, to book on return</t>
  </si>
  <si>
    <t>Planned Medical Date</t>
  </si>
  <si>
    <t>Ops Comments 03/06/2021</t>
  </si>
  <si>
    <t>Ops to adv</t>
  </si>
  <si>
    <t>Transferred to GIM</t>
  </si>
  <si>
    <t>N/A</t>
  </si>
  <si>
    <t>?</t>
  </si>
  <si>
    <t xml:space="preserve">Edizisani Mulaudzi </t>
  </si>
  <si>
    <t xml:space="preserve">RTMS FINDINGS </t>
  </si>
  <si>
    <t>Medical Expired - Top Priority</t>
  </si>
  <si>
    <t>Current &amp; Valid</t>
  </si>
  <si>
    <t>Service Provider Name</t>
  </si>
  <si>
    <t>Service Provider Location</t>
  </si>
  <si>
    <t>OPH SERVICES</t>
  </si>
  <si>
    <t>UMBILO DURBAN</t>
  </si>
  <si>
    <t>REMARKS</t>
  </si>
  <si>
    <t>BAKER</t>
  </si>
  <si>
    <t>TIKISA KNOSNATHI</t>
  </si>
  <si>
    <t>NKOSNATHI</t>
  </si>
  <si>
    <t>SITOLE</t>
  </si>
  <si>
    <t>08/06/2022</t>
  </si>
  <si>
    <t xml:space="preserve">Soyiso Barren </t>
  </si>
  <si>
    <t>XUZA</t>
  </si>
  <si>
    <t>I.O.D MEDICALS</t>
  </si>
  <si>
    <t>PORT ELIZABETH</t>
  </si>
  <si>
    <t>MAXWELL ZWAKELE</t>
  </si>
  <si>
    <t>NZIMANDE</t>
  </si>
  <si>
    <t>TV Gramani</t>
  </si>
  <si>
    <t>Gramani</t>
  </si>
  <si>
    <t>CONQUEROR MBATHA</t>
  </si>
  <si>
    <t>DANIEL MAFAFO</t>
  </si>
  <si>
    <t>STEVEN RAMABELE</t>
  </si>
  <si>
    <t>DADLA SANDIE</t>
  </si>
  <si>
    <t>SANDILE</t>
  </si>
  <si>
    <t>SOTETSI SPHELELE</t>
  </si>
  <si>
    <t>SPHELELE</t>
  </si>
  <si>
    <t>MKHSIBE JOHN</t>
  </si>
  <si>
    <t>JOHN</t>
  </si>
  <si>
    <t>DUBE TERRANCE MONDLI</t>
  </si>
  <si>
    <t>MONDLI</t>
  </si>
  <si>
    <t>DLAMANI SIHLE</t>
  </si>
  <si>
    <t>SIHLE</t>
  </si>
  <si>
    <t>MBHELE WANDER</t>
  </si>
  <si>
    <t>WANDER</t>
  </si>
  <si>
    <t>SHANGE NKOSNATHI</t>
  </si>
  <si>
    <t>NKOSINATHI</t>
  </si>
  <si>
    <t>MBONAMBI THULANI</t>
  </si>
  <si>
    <t>THULANI</t>
  </si>
  <si>
    <t>ZONDO THAMSANQA</t>
  </si>
  <si>
    <t>THAMI</t>
  </si>
  <si>
    <t>W.K Nkohoesa</t>
  </si>
  <si>
    <t>Vincent Naicker</t>
  </si>
  <si>
    <t>Bonginkosi Mnguni</t>
  </si>
  <si>
    <t>Sikhumbuso Mngomezulu</t>
  </si>
  <si>
    <t>Frank Hlongwane</t>
  </si>
  <si>
    <t>Ayanda Mbatha</t>
  </si>
  <si>
    <t>7003155772087</t>
  </si>
  <si>
    <t>Bongi</t>
  </si>
  <si>
    <t>Sikhumbuso</t>
  </si>
  <si>
    <t>Medical Condition</t>
  </si>
  <si>
    <t>Days Remaining</t>
  </si>
  <si>
    <t>Zakhele Mkhulise</t>
  </si>
  <si>
    <t>Sonwabiso Mbhele</t>
  </si>
  <si>
    <t>Oscar Ndaba</t>
  </si>
  <si>
    <t>Bongani Dosi</t>
  </si>
  <si>
    <t>Hopewell Zibusiso</t>
  </si>
  <si>
    <t>06/01/2022</t>
  </si>
  <si>
    <t>06/07/2022</t>
  </si>
  <si>
    <t>04/01/2022</t>
  </si>
  <si>
    <t>04/07/2022</t>
  </si>
  <si>
    <t>Richard</t>
  </si>
  <si>
    <t>05/01/2022</t>
  </si>
  <si>
    <t>05/07/2022</t>
  </si>
  <si>
    <t>07/01/2022</t>
  </si>
  <si>
    <t>07/07/2022</t>
  </si>
  <si>
    <t>15/12/2021</t>
  </si>
  <si>
    <t>15/06/2022</t>
  </si>
  <si>
    <t>03/01/2022</t>
  </si>
  <si>
    <t>03/07/2022</t>
  </si>
  <si>
    <t>Ludidi</t>
  </si>
  <si>
    <t>Sikhumukani</t>
  </si>
  <si>
    <t>Ngema</t>
  </si>
  <si>
    <t>Zakhi</t>
  </si>
  <si>
    <t>Fani</t>
  </si>
  <si>
    <t>Nondobo</t>
  </si>
  <si>
    <t>Mabandla</t>
  </si>
  <si>
    <t>Mchazeleni Khayelihle</t>
  </si>
  <si>
    <t>04/06/2021</t>
  </si>
  <si>
    <t>04/06/2022</t>
  </si>
  <si>
    <t>09/06/2022</t>
  </si>
  <si>
    <t>10/06/2021</t>
  </si>
  <si>
    <t>10/06/2022</t>
  </si>
  <si>
    <t>11/06/2021</t>
  </si>
  <si>
    <t>11/06/2022</t>
  </si>
  <si>
    <t>08/06/2021</t>
  </si>
  <si>
    <t>07/06/2022</t>
  </si>
  <si>
    <t>02/08/2021</t>
  </si>
  <si>
    <t>02/08/2022</t>
  </si>
  <si>
    <t>20/07/2021</t>
  </si>
  <si>
    <t>20/07/2022</t>
  </si>
  <si>
    <t>21/06/2021</t>
  </si>
  <si>
    <t>21/06/2022</t>
  </si>
  <si>
    <t>08/07/2021</t>
  </si>
  <si>
    <t>08/07/2022</t>
  </si>
  <si>
    <t>11/02/2022</t>
  </si>
  <si>
    <t>11/08/2022</t>
  </si>
  <si>
    <t>07/12/2021</t>
  </si>
  <si>
    <t>28/01/2022</t>
  </si>
  <si>
    <t>18/03/2023</t>
  </si>
  <si>
    <t>Miya</t>
  </si>
  <si>
    <t>Banele</t>
  </si>
  <si>
    <t>10/12/2022</t>
  </si>
  <si>
    <t>25/06/2022</t>
  </si>
  <si>
    <t>05/11/2022</t>
  </si>
  <si>
    <t>01/11/2022</t>
  </si>
  <si>
    <t>24/02/2022</t>
  </si>
  <si>
    <t>04/02/2022</t>
  </si>
  <si>
    <t>03/02/2022</t>
  </si>
  <si>
    <t>03/08/2022</t>
  </si>
  <si>
    <t>New Driver</t>
  </si>
  <si>
    <t>Thabo</t>
  </si>
  <si>
    <t>27/06/2025</t>
  </si>
  <si>
    <t>12/02/2022</t>
  </si>
  <si>
    <t>12/08/2022</t>
  </si>
  <si>
    <t>04/08/2022</t>
  </si>
  <si>
    <t>07-08-09-/02/22</t>
  </si>
  <si>
    <t>09/08/2022</t>
  </si>
  <si>
    <t>Jara</t>
  </si>
  <si>
    <t>Bathandwa</t>
  </si>
  <si>
    <t>Zandi</t>
  </si>
  <si>
    <t>16/10/2022</t>
  </si>
  <si>
    <t>Aplied</t>
  </si>
  <si>
    <t>15/08/2023</t>
  </si>
  <si>
    <t>16/08/2026</t>
  </si>
  <si>
    <t>03/08/2023</t>
  </si>
  <si>
    <t>27/01/2025</t>
  </si>
  <si>
    <t>13/08/2022</t>
  </si>
  <si>
    <t>10/02/2022</t>
  </si>
  <si>
    <t>09/02/2022</t>
  </si>
  <si>
    <t>08/02/2023</t>
  </si>
  <si>
    <t>07/02/2022</t>
  </si>
  <si>
    <t>06/02/2023</t>
  </si>
  <si>
    <t>02/02/2023</t>
  </si>
  <si>
    <t>06/02/2022</t>
  </si>
  <si>
    <t>08/02/2022</t>
  </si>
  <si>
    <t>08/08/2022</t>
  </si>
  <si>
    <t>14/02/2022</t>
  </si>
  <si>
    <t>14/08/2022</t>
  </si>
  <si>
    <t>09/02/2023</t>
  </si>
  <si>
    <t>Ngwane</t>
  </si>
  <si>
    <t>01/03/2022</t>
  </si>
  <si>
    <t>25/01/2022</t>
  </si>
  <si>
    <t>25/01/2023</t>
  </si>
  <si>
    <t>01/03/2023</t>
  </si>
  <si>
    <t>22/02/2022</t>
  </si>
  <si>
    <t>22/02/2023</t>
  </si>
  <si>
    <t>LEGEND</t>
  </si>
  <si>
    <t>COMPLETED</t>
  </si>
  <si>
    <t>REFRESHER</t>
  </si>
  <si>
    <t>OVERDUE-</t>
  </si>
  <si>
    <t>28/06/2021</t>
  </si>
  <si>
    <t>28/062022</t>
  </si>
  <si>
    <t>11/08/2021</t>
  </si>
  <si>
    <t>17/02/2022</t>
  </si>
  <si>
    <t>16/02/2023</t>
  </si>
  <si>
    <t>17/02/2023</t>
  </si>
  <si>
    <t>23/02/2021</t>
  </si>
  <si>
    <t>23/02/2023</t>
  </si>
  <si>
    <t>Siyabonga</t>
  </si>
  <si>
    <t>Conqueror</t>
  </si>
  <si>
    <t>Sibusiso</t>
  </si>
  <si>
    <t>Local</t>
  </si>
  <si>
    <t>Sibonokuhle</t>
  </si>
  <si>
    <t>Bilibili</t>
  </si>
  <si>
    <t>Gege</t>
  </si>
  <si>
    <t>Christopher</t>
  </si>
  <si>
    <t>Loyiso</t>
  </si>
  <si>
    <t>Mahlala</t>
  </si>
  <si>
    <t>Nicholas</t>
  </si>
  <si>
    <t>Mtshintshi</t>
  </si>
  <si>
    <t>Sthembiso</t>
  </si>
  <si>
    <t>79082657710086</t>
  </si>
  <si>
    <t>7909185893O83</t>
  </si>
  <si>
    <t>8301285583088</t>
  </si>
  <si>
    <t>26/03/2022</t>
  </si>
  <si>
    <t>26/09/2022</t>
  </si>
  <si>
    <t>8706165184082</t>
  </si>
  <si>
    <t>6511195441084</t>
  </si>
  <si>
    <t>68052255588082</t>
  </si>
  <si>
    <t>7301135325087</t>
  </si>
  <si>
    <t>8610106491085</t>
  </si>
  <si>
    <t>8012115479088</t>
  </si>
  <si>
    <t>6402026364085</t>
  </si>
  <si>
    <t>8304196102089</t>
  </si>
  <si>
    <t>7903205653083</t>
  </si>
  <si>
    <t>8502115954080</t>
  </si>
  <si>
    <t>7707175809089</t>
  </si>
  <si>
    <t>7908285561087</t>
  </si>
  <si>
    <t>8704136020087</t>
  </si>
  <si>
    <t>8010315391087</t>
  </si>
  <si>
    <t>8005215357089</t>
  </si>
  <si>
    <t>9109136224086</t>
  </si>
  <si>
    <t>8703205751085</t>
  </si>
  <si>
    <t>9209205306085</t>
  </si>
  <si>
    <t>9702136075084</t>
  </si>
  <si>
    <t>8201205700087</t>
  </si>
  <si>
    <t>9007045651086</t>
  </si>
  <si>
    <t>7112305585081</t>
  </si>
  <si>
    <t>8807285571089</t>
  </si>
  <si>
    <t>7303255762081</t>
  </si>
  <si>
    <t>7212185295080</t>
  </si>
  <si>
    <t>9004236116086</t>
  </si>
  <si>
    <t>7510025357089</t>
  </si>
  <si>
    <t>86022544452083</t>
  </si>
  <si>
    <t>7003105605080</t>
  </si>
  <si>
    <t>7703185340082</t>
  </si>
  <si>
    <t>7907065886086</t>
  </si>
  <si>
    <t>6805045504087</t>
  </si>
  <si>
    <t>8107145265083</t>
  </si>
  <si>
    <t>12/05/2022</t>
  </si>
  <si>
    <t>12/11/2022</t>
  </si>
  <si>
    <t>7708155661086</t>
  </si>
  <si>
    <t>17/05/2022</t>
  </si>
  <si>
    <t>17/11/2022</t>
  </si>
  <si>
    <t>8803095569082</t>
  </si>
  <si>
    <t>11/03/2022</t>
  </si>
  <si>
    <t>11/09/2022</t>
  </si>
  <si>
    <t>11/04/2022</t>
  </si>
  <si>
    <t>12/10/2022</t>
  </si>
  <si>
    <t>03/03/2023</t>
  </si>
  <si>
    <t>20/07/2025</t>
  </si>
  <si>
    <t>25/05/2022</t>
  </si>
  <si>
    <t>25/11/2022</t>
  </si>
  <si>
    <t>11/05/2022</t>
  </si>
  <si>
    <t>11/11/2022</t>
  </si>
  <si>
    <t>27/05/2022</t>
  </si>
  <si>
    <t>27/11/2022</t>
  </si>
  <si>
    <t>28/05/2022</t>
  </si>
  <si>
    <t>28/11/2022</t>
  </si>
  <si>
    <t>Asia</t>
  </si>
  <si>
    <t>Refresher</t>
  </si>
  <si>
    <t>Age</t>
  </si>
  <si>
    <t>Lindokuhle</t>
  </si>
  <si>
    <t>Jonga</t>
  </si>
  <si>
    <t>Jama</t>
  </si>
  <si>
    <t>Sandile</t>
  </si>
  <si>
    <t>Cyprian</t>
  </si>
  <si>
    <t>19/07/2022</t>
  </si>
  <si>
    <t>19/01/2023</t>
  </si>
  <si>
    <t>I8/07/2022</t>
  </si>
  <si>
    <t>18/01/2023</t>
  </si>
  <si>
    <t>29/01/2026</t>
  </si>
  <si>
    <t>26/06/2022</t>
  </si>
  <si>
    <t>Sphamandla</t>
  </si>
  <si>
    <t>Malwane</t>
  </si>
  <si>
    <t>Bekwa</t>
  </si>
  <si>
    <t>Reginald</t>
  </si>
  <si>
    <t>Nduduzo</t>
  </si>
  <si>
    <t>Ntombela</t>
  </si>
  <si>
    <t>9502105970087</t>
  </si>
  <si>
    <t>7511135320082</t>
  </si>
  <si>
    <t>8609035890086</t>
  </si>
  <si>
    <t>6706235267081</t>
  </si>
  <si>
    <t>8712306130081</t>
  </si>
  <si>
    <t>9308025763085</t>
  </si>
  <si>
    <t>8910286092087</t>
  </si>
  <si>
    <t>Nsizwazonke</t>
  </si>
  <si>
    <t>Jayseelan</t>
  </si>
  <si>
    <t xml:space="preserve">Vincent </t>
  </si>
  <si>
    <t>PE</t>
  </si>
  <si>
    <t>CT</t>
  </si>
  <si>
    <t>Slindelo</t>
  </si>
  <si>
    <t>8706036136087</t>
  </si>
  <si>
    <t>Mario</t>
  </si>
  <si>
    <t>Abrahams</t>
  </si>
  <si>
    <t>Kashief</t>
  </si>
  <si>
    <t>Bassadien</t>
  </si>
  <si>
    <t>07/12/2022</t>
  </si>
  <si>
    <t>Bulelani Wilffred</t>
  </si>
  <si>
    <t>Applied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</si>
  <si>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</si>
  <si>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</si>
  <si>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</si>
  <si>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</si>
  <si>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</si>
  <si>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</si>
  <si>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</si>
  <si>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</si>
  <si>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</si>
  <si>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</si>
  <si>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</si>
  <si>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</si>
  <si>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</si>
  <si>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</si>
  <si>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</si>
  <si>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</si>
  <si>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</si>
  <si>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</si>
  <si>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</si>
  <si>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</si>
  <si>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</si>
  <si>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</si>
  <si>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24.</t>
  </si>
  <si>
    <t>25.</t>
  </si>
  <si>
    <t>Diniso</t>
  </si>
  <si>
    <t>8008036101082</t>
  </si>
  <si>
    <t>14/10/2024</t>
  </si>
  <si>
    <t>13/10/2027</t>
  </si>
  <si>
    <t>07/06/2023</t>
  </si>
  <si>
    <t>05/01/2027</t>
  </si>
  <si>
    <t>Soyiso</t>
  </si>
  <si>
    <t>Xuza</t>
  </si>
  <si>
    <t>08/12/2022</t>
  </si>
  <si>
    <t>08/06/2023</t>
  </si>
  <si>
    <t>10/05/2027</t>
  </si>
  <si>
    <t>12/05/2024</t>
  </si>
  <si>
    <t>15/05/2027</t>
  </si>
  <si>
    <t>26.</t>
  </si>
  <si>
    <t xml:space="preserve">   7003155772087</t>
  </si>
  <si>
    <t xml:space="preserve">   7801315099089</t>
  </si>
  <si>
    <t xml:space="preserve">   7906015113088</t>
  </si>
  <si>
    <t>Siyabulela</t>
  </si>
  <si>
    <t xml:space="preserve">  7911245673083</t>
  </si>
  <si>
    <t>Patrick</t>
  </si>
  <si>
    <t>Faans</t>
  </si>
  <si>
    <t xml:space="preserve">    7205145256085</t>
  </si>
  <si>
    <t>Galant</t>
  </si>
  <si>
    <t>Theo</t>
  </si>
  <si>
    <t>Nokwe</t>
  </si>
  <si>
    <t>Moses</t>
  </si>
  <si>
    <t xml:space="preserve">  7904046630089</t>
  </si>
  <si>
    <t xml:space="preserve">   8409015128080</t>
  </si>
  <si>
    <t>Thuso David</t>
  </si>
  <si>
    <t>Lefosa</t>
  </si>
  <si>
    <t>Glakasi</t>
  </si>
  <si>
    <t xml:space="preserve">  6705095648083</t>
  </si>
  <si>
    <t>Frederick</t>
  </si>
  <si>
    <t>Pieterse</t>
  </si>
  <si>
    <t>8208235042083</t>
  </si>
  <si>
    <t>Mafuduka</t>
  </si>
  <si>
    <t>Thokozisa</t>
  </si>
  <si>
    <t>8303026227082</t>
  </si>
  <si>
    <t>14/10/2022</t>
  </si>
  <si>
    <t>14/10/2023</t>
  </si>
  <si>
    <t>01/09/2022</t>
  </si>
  <si>
    <t>01/05/2023</t>
  </si>
  <si>
    <t>Chronic</t>
  </si>
  <si>
    <t>26/01/2023</t>
  </si>
  <si>
    <t>17/11/2024</t>
  </si>
  <si>
    <t>16/03/2027</t>
  </si>
  <si>
    <t>Durban Local</t>
  </si>
  <si>
    <t>Durban  Local</t>
  </si>
  <si>
    <t>27.</t>
  </si>
  <si>
    <t>15/10/2024</t>
  </si>
  <si>
    <t>Ear Plugs</t>
  </si>
  <si>
    <t>7511215390088</t>
  </si>
  <si>
    <t>26/07/2023</t>
  </si>
  <si>
    <t>14/12/2023</t>
  </si>
  <si>
    <t>02/02/2024</t>
  </si>
  <si>
    <t>11/08/2026</t>
  </si>
  <si>
    <t>22/12/2024</t>
  </si>
  <si>
    <t>07/12/2027</t>
  </si>
  <si>
    <t xml:space="preserve"> 7402055122080</t>
  </si>
  <si>
    <t>Durban:</t>
  </si>
  <si>
    <t>25/01/2025</t>
  </si>
  <si>
    <t>Monthly Monitor</t>
  </si>
  <si>
    <t>26/01/2028</t>
  </si>
  <si>
    <t>28.</t>
  </si>
  <si>
    <t>Faro</t>
  </si>
  <si>
    <t>Brenden</t>
  </si>
  <si>
    <t>Overdue</t>
  </si>
  <si>
    <t xml:space="preserve"> 7702275858086</t>
  </si>
  <si>
    <t>23.</t>
  </si>
  <si>
    <t>Siyabulela William</t>
  </si>
  <si>
    <t xml:space="preserve">Quinton Edwin </t>
  </si>
  <si>
    <t>Pietersen</t>
  </si>
  <si>
    <t>8108125051089</t>
  </si>
  <si>
    <t xml:space="preserve">B </t>
  </si>
  <si>
    <t>7506286051080</t>
  </si>
  <si>
    <t>22/05/2025</t>
  </si>
  <si>
    <t>23/05/2028</t>
  </si>
  <si>
    <t>William Doctor</t>
  </si>
  <si>
    <t>Thwala</t>
  </si>
  <si>
    <t>28/02/2025</t>
  </si>
  <si>
    <t>EFH/ Eswatini</t>
  </si>
  <si>
    <t>19/10/2024</t>
  </si>
  <si>
    <t>08/01/2028</t>
  </si>
  <si>
    <t>16/03/2025</t>
  </si>
  <si>
    <t>19/07/2025</t>
  </si>
  <si>
    <t>21/01/2028</t>
  </si>
  <si>
    <t>23/07/2025</t>
  </si>
  <si>
    <t>24/07/2028</t>
  </si>
  <si>
    <t>Skhumbuzo</t>
  </si>
  <si>
    <t>07/11/2023</t>
  </si>
  <si>
    <t>07/05/2024</t>
  </si>
  <si>
    <t>24/10/2024</t>
  </si>
  <si>
    <t>02/03/2025</t>
  </si>
  <si>
    <t>Luvo</t>
  </si>
  <si>
    <t>Mfecane</t>
  </si>
  <si>
    <t>9210065062081</t>
  </si>
  <si>
    <t>23/01/2025</t>
  </si>
  <si>
    <t>15/01/2025</t>
  </si>
  <si>
    <t>12/08/2024</t>
  </si>
  <si>
    <t>13/08/2024</t>
  </si>
  <si>
    <t>13/02/2024</t>
  </si>
  <si>
    <t>15/12/2023</t>
  </si>
  <si>
    <t>15/06/2024</t>
  </si>
  <si>
    <t>13/02/2025</t>
  </si>
  <si>
    <t>12/02/2025</t>
  </si>
  <si>
    <t>06/01/2026</t>
  </si>
  <si>
    <t>01/01/2029</t>
  </si>
  <si>
    <t>09/01/2025</t>
  </si>
  <si>
    <t>08/02/2024</t>
  </si>
  <si>
    <t>08/08/2024</t>
  </si>
  <si>
    <t>02/02/2025</t>
  </si>
  <si>
    <t>16/02/2024</t>
  </si>
  <si>
    <t>16/02/2025</t>
  </si>
  <si>
    <t>07/12/2023</t>
  </si>
  <si>
    <t>07/06/2024</t>
  </si>
  <si>
    <t>18/09/2025</t>
  </si>
  <si>
    <t>20/09/2028</t>
  </si>
  <si>
    <t>11/01/2024</t>
  </si>
  <si>
    <t>11/07/2024</t>
  </si>
  <si>
    <t>31/10/2025</t>
  </si>
  <si>
    <t>19/10/2028</t>
  </si>
  <si>
    <t>22/09/2023</t>
  </si>
  <si>
    <t>22/03/2024</t>
  </si>
  <si>
    <t>21/10/2024</t>
  </si>
  <si>
    <t>22/10/2027</t>
  </si>
  <si>
    <t>12/09/2027</t>
  </si>
  <si>
    <t>29/01/2025</t>
  </si>
  <si>
    <t>03/12/2025</t>
  </si>
  <si>
    <t>04/12/2028</t>
  </si>
  <si>
    <t>19/02/2024</t>
  </si>
  <si>
    <t>19/02/2025</t>
  </si>
  <si>
    <t>19/08/2024</t>
  </si>
  <si>
    <t>14/06/2024</t>
  </si>
  <si>
    <t>01/06/2028</t>
  </si>
  <si>
    <t>06/10/2025</t>
  </si>
  <si>
    <t>07/10/2028</t>
  </si>
  <si>
    <t>13/12/2025</t>
  </si>
  <si>
    <t>16/12/2028</t>
  </si>
  <si>
    <t>14/08/2024</t>
  </si>
  <si>
    <t>03/02/2028</t>
  </si>
  <si>
    <t>30/10/2025</t>
  </si>
  <si>
    <t>01/11/2028</t>
  </si>
  <si>
    <t>12/11/2027</t>
  </si>
  <si>
    <t>12/12/2023</t>
  </si>
  <si>
    <t>12/06/2024</t>
  </si>
  <si>
    <t>08/12/2023</t>
  </si>
  <si>
    <t>08/06/2024</t>
  </si>
  <si>
    <t>HANDLING &amp; MANOUVERING      ( code 8)</t>
  </si>
  <si>
    <t>03/01/2026</t>
  </si>
  <si>
    <t>04/01/2029</t>
  </si>
  <si>
    <t>21/01/2026</t>
  </si>
  <si>
    <t>22/01/2029</t>
  </si>
  <si>
    <t>RTMS Trip Log</t>
  </si>
  <si>
    <t>12/10/2025</t>
  </si>
  <si>
    <t>13/10/2028</t>
  </si>
  <si>
    <t>10/12/2025</t>
  </si>
  <si>
    <t>11/12/2028</t>
  </si>
  <si>
    <t>07/09/2028</t>
  </si>
  <si>
    <t>26/03/2024</t>
  </si>
  <si>
    <t>27/03/2024</t>
  </si>
  <si>
    <t>31/05/2025</t>
  </si>
  <si>
    <t>22/02/2025</t>
  </si>
  <si>
    <t>21/02/2025</t>
  </si>
  <si>
    <t>08/04/2024</t>
  </si>
  <si>
    <t>03/04/2024</t>
  </si>
  <si>
    <t>02/04/2024</t>
  </si>
  <si>
    <t>09/04/2024</t>
  </si>
  <si>
    <t>16/04/2024</t>
  </si>
  <si>
    <t>sick</t>
  </si>
  <si>
    <t>20/06/2024</t>
  </si>
  <si>
    <t>27/01/2024</t>
  </si>
  <si>
    <t>27/07/2024</t>
  </si>
  <si>
    <t>MULTI LOHR car   carrier</t>
  </si>
  <si>
    <t>Semi-Lohr  car carrier</t>
  </si>
  <si>
    <t>07/01/2024</t>
  </si>
  <si>
    <t>07/07/2024</t>
  </si>
  <si>
    <t>27/11/2023</t>
  </si>
  <si>
    <t>08/10/2024</t>
  </si>
  <si>
    <t>08/10/2028</t>
  </si>
  <si>
    <t xml:space="preserve">  </t>
  </si>
  <si>
    <t>08/07/2024</t>
  </si>
  <si>
    <t>27/11/2024</t>
  </si>
  <si>
    <t>07/09/2025</t>
  </si>
  <si>
    <t>18/08/2028</t>
  </si>
  <si>
    <t>30/01/2028</t>
  </si>
  <si>
    <t>13/09/2025</t>
  </si>
  <si>
    <t>15/09/2028</t>
  </si>
  <si>
    <t>24/01/2026</t>
  </si>
  <si>
    <t>19/06/2024</t>
  </si>
  <si>
    <t>19/06/2025</t>
  </si>
  <si>
    <t>21/06/2024</t>
  </si>
  <si>
    <t>29/07/2024</t>
  </si>
  <si>
    <t>29/07/2025</t>
  </si>
  <si>
    <t>14/08/2025</t>
  </si>
  <si>
    <t>16/08/2024</t>
  </si>
  <si>
    <t>09/05/2024</t>
  </si>
  <si>
    <t>09/05/2025</t>
  </si>
  <si>
    <t>Using a cellphone while driving connect to bluetooth</t>
  </si>
  <si>
    <t>12/o8/2024</t>
  </si>
  <si>
    <t>22/08/2024</t>
  </si>
  <si>
    <t>03/09/2024</t>
  </si>
  <si>
    <t>03/09/2025</t>
  </si>
  <si>
    <t>30/08/2024</t>
  </si>
  <si>
    <t>24/02/2025</t>
  </si>
  <si>
    <t>25/02/2028</t>
  </si>
  <si>
    <t>08/02/2025</t>
  </si>
  <si>
    <t>14/08/2026</t>
  </si>
  <si>
    <t>12/09/2024</t>
  </si>
  <si>
    <t>12/09/2025</t>
  </si>
  <si>
    <t>17/09/2025</t>
  </si>
  <si>
    <t>07/04/2026</t>
  </si>
  <si>
    <t>08/04/2029</t>
  </si>
  <si>
    <t>22/10/2024</t>
  </si>
  <si>
    <t>22/10/2025</t>
  </si>
  <si>
    <t>08/11/2024</t>
  </si>
  <si>
    <t>08/11/2025</t>
  </si>
  <si>
    <t>08/11//2024</t>
  </si>
  <si>
    <t>Zondi</t>
  </si>
  <si>
    <t>8411095917085</t>
  </si>
  <si>
    <t>09/10/2026</t>
  </si>
  <si>
    <t>24/10/2025</t>
  </si>
  <si>
    <t>Muziwakhe</t>
  </si>
  <si>
    <t>Khayelihle</t>
  </si>
  <si>
    <t>Getyeza</t>
  </si>
  <si>
    <t>25/11/2024</t>
  </si>
  <si>
    <t>25/11/2025</t>
  </si>
  <si>
    <t>14/01/2025</t>
  </si>
  <si>
    <t>15/01/2026</t>
  </si>
  <si>
    <t>14/01/2026</t>
  </si>
  <si>
    <t>17/01/2025</t>
  </si>
  <si>
    <t>17/01/2026</t>
  </si>
  <si>
    <t>22/01/2025</t>
  </si>
  <si>
    <t>22/01/2026</t>
  </si>
  <si>
    <t>15/04/2025</t>
  </si>
  <si>
    <t>14/04/2026</t>
  </si>
  <si>
    <t>15/04/2029</t>
  </si>
  <si>
    <t>12/12/2024</t>
  </si>
  <si>
    <t>12/06/2025</t>
  </si>
  <si>
    <t>24/07/2025</t>
  </si>
  <si>
    <t>04/02/2025</t>
  </si>
  <si>
    <t>17/10/2024</t>
  </si>
  <si>
    <t>18/10/2024</t>
  </si>
  <si>
    <t>18/04/2025</t>
  </si>
  <si>
    <t>14/07/2025</t>
  </si>
  <si>
    <t>22/01/02025</t>
  </si>
  <si>
    <t>05/12/2029</t>
  </si>
  <si>
    <t>16/09/2024</t>
  </si>
  <si>
    <t>31/01/2025</t>
  </si>
  <si>
    <t xml:space="preserve"> 31/01/2026</t>
  </si>
  <si>
    <t>21/01/2025</t>
  </si>
  <si>
    <t>20/01/2025</t>
  </si>
  <si>
    <t>17/04/2025</t>
  </si>
  <si>
    <t>19/03/208</t>
  </si>
  <si>
    <t>28/05/2025</t>
  </si>
  <si>
    <t>31/10/2026</t>
  </si>
  <si>
    <t>15/09/2024</t>
  </si>
  <si>
    <t>15/03/2025</t>
  </si>
  <si>
    <t>06/06/2025</t>
  </si>
  <si>
    <t>08/08/2026</t>
  </si>
  <si>
    <t>03/08/2029</t>
  </si>
  <si>
    <t>13/12/2024</t>
  </si>
  <si>
    <t>13/06/2025</t>
  </si>
  <si>
    <t>21/04/2025</t>
  </si>
  <si>
    <t>13/01/2025</t>
  </si>
  <si>
    <t>03/12/2024</t>
  </si>
  <si>
    <t>03/06/2025</t>
  </si>
  <si>
    <t>03/01/2029</t>
  </si>
  <si>
    <t>21/08/2024</t>
  </si>
  <si>
    <t>10/02/2025</t>
  </si>
  <si>
    <t>10/02/2026</t>
  </si>
  <si>
    <t>05/02/2025</t>
  </si>
  <si>
    <t>24/11/2026</t>
  </si>
  <si>
    <t>25/11/2029</t>
  </si>
  <si>
    <t>04/08/2025</t>
  </si>
  <si>
    <t>05/02/2026</t>
  </si>
  <si>
    <t>13/02/2026</t>
  </si>
  <si>
    <t>Healthy eating/hypertension/HIV&amp;AIDS/diabetes/exercise/adequate sleep</t>
  </si>
  <si>
    <t>Done</t>
  </si>
  <si>
    <t>13/03/2026</t>
  </si>
  <si>
    <t>03/09/2029</t>
  </si>
  <si>
    <t>06/01/2025</t>
  </si>
  <si>
    <t>09/07/2024</t>
  </si>
  <si>
    <t xml:space="preserve">23/01/2026 </t>
  </si>
  <si>
    <t>25/07/2025</t>
  </si>
  <si>
    <t>06/07/2025</t>
  </si>
  <si>
    <t>09/11/2028</t>
  </si>
  <si>
    <t>07/01/2025</t>
  </si>
  <si>
    <t>07/07/2025</t>
  </si>
  <si>
    <t>11/12/2024</t>
  </si>
  <si>
    <t>12/08/2029</t>
  </si>
  <si>
    <t>16/10/2026</t>
  </si>
  <si>
    <t>17/10/2029</t>
  </si>
  <si>
    <t>12/02/2026</t>
  </si>
  <si>
    <t>20/07/2029</t>
  </si>
  <si>
    <t>09/07/2025</t>
  </si>
  <si>
    <t>06/12/2025</t>
  </si>
  <si>
    <t>20/01/2026</t>
  </si>
  <si>
    <t>NEXT TRAINING</t>
  </si>
  <si>
    <t>Next Training Date</t>
  </si>
  <si>
    <t>L. D. Driver</t>
  </si>
  <si>
    <t>L.D.Driver</t>
  </si>
  <si>
    <t>Next Medical Due Date</t>
  </si>
  <si>
    <t>Next Training Due Date</t>
  </si>
  <si>
    <t>14/03/2026</t>
  </si>
  <si>
    <t>06/03/2029</t>
  </si>
  <si>
    <t>23/01/2026</t>
  </si>
  <si>
    <t>16/09/2025</t>
  </si>
  <si>
    <t xml:space="preserve">Refresher </t>
  </si>
  <si>
    <t>Jeffrey  Z.</t>
  </si>
  <si>
    <t>18/02/2026</t>
  </si>
  <si>
    <t>20/02/2025</t>
  </si>
  <si>
    <t>20/02/2026</t>
  </si>
  <si>
    <t>Mon- Monitor</t>
  </si>
  <si>
    <t>Next Annual Medical</t>
  </si>
  <si>
    <t>29/07/2026</t>
  </si>
  <si>
    <t>21/08/2025</t>
  </si>
  <si>
    <t>13/08/2025</t>
  </si>
  <si>
    <t>18/08/2025</t>
  </si>
  <si>
    <t>07/03/2027</t>
  </si>
  <si>
    <t>21/05/2026</t>
  </si>
  <si>
    <t>22/05/2029</t>
  </si>
  <si>
    <t>10/10/2029</t>
  </si>
  <si>
    <t xml:space="preserve">Next Annual </t>
  </si>
  <si>
    <t>12/08/2025</t>
  </si>
  <si>
    <t>20/08/2025</t>
  </si>
  <si>
    <t>21/02/2026</t>
  </si>
  <si>
    <t>P E:</t>
  </si>
  <si>
    <t>Malevu</t>
  </si>
  <si>
    <t>01/10/2026</t>
  </si>
  <si>
    <t>31/03/2025</t>
  </si>
  <si>
    <t>31/09/2025</t>
  </si>
  <si>
    <t>31/03/2026</t>
  </si>
  <si>
    <t>Mokoena</t>
  </si>
  <si>
    <t>16/11/2026</t>
  </si>
  <si>
    <t>16/11/2029</t>
  </si>
  <si>
    <t>04/04/2025</t>
  </si>
  <si>
    <t>04/10/2025</t>
  </si>
  <si>
    <t>08/04/2025</t>
  </si>
  <si>
    <t>08/10/2025</t>
  </si>
  <si>
    <t>01/04/2025</t>
  </si>
  <si>
    <t>01/10/2025</t>
  </si>
  <si>
    <t>20/05/2025</t>
  </si>
  <si>
    <t>04/12/2026</t>
  </si>
  <si>
    <t>04/02/2030</t>
  </si>
  <si>
    <t>12/09/2026</t>
  </si>
  <si>
    <t>18/08/2026</t>
  </si>
  <si>
    <t>25/07/2026</t>
  </si>
  <si>
    <t>13/09/2029</t>
  </si>
  <si>
    <t>23/02/2027</t>
  </si>
  <si>
    <t>24/02/2030</t>
  </si>
  <si>
    <t>11/02/2027</t>
  </si>
  <si>
    <t>12/02/2030</t>
  </si>
  <si>
    <t>10/07/2025</t>
  </si>
  <si>
    <t xml:space="preserve">Follow up  Surveillance Medical 6 Months      </t>
  </si>
  <si>
    <t>30/01/2027</t>
  </si>
  <si>
    <t>29.</t>
  </si>
  <si>
    <t>15/03/2027</t>
  </si>
  <si>
    <t>15/03/2030</t>
  </si>
  <si>
    <t>27/03/2027</t>
  </si>
  <si>
    <t>14/022030</t>
  </si>
  <si>
    <t>30/03/2030</t>
  </si>
  <si>
    <t>02/10/2029</t>
  </si>
  <si>
    <t>30.</t>
  </si>
  <si>
    <t>Bheka  Cyril</t>
  </si>
  <si>
    <t>Khalishwayo</t>
  </si>
  <si>
    <t>04/11/2025</t>
  </si>
  <si>
    <t>04/05/2026</t>
  </si>
  <si>
    <t>04/11/2026</t>
  </si>
  <si>
    <t>17/11/2028</t>
  </si>
  <si>
    <t>15/07/2026</t>
  </si>
  <si>
    <t>15/01/2027</t>
  </si>
  <si>
    <t>Petrus</t>
  </si>
  <si>
    <t>13/01/2026</t>
  </si>
  <si>
    <t>13/07/2026</t>
  </si>
  <si>
    <t>13/01/2027</t>
  </si>
  <si>
    <t>12/01/2026</t>
  </si>
  <si>
    <t>12/07/2026</t>
  </si>
  <si>
    <t>12/01/2027</t>
  </si>
  <si>
    <t>19/01/2026</t>
  </si>
  <si>
    <t>19/07/2026</t>
  </si>
  <si>
    <t>19/01/2027</t>
  </si>
  <si>
    <t>14/01/2027</t>
  </si>
  <si>
    <t>22/07/2026</t>
  </si>
  <si>
    <t>22/01/2027</t>
  </si>
  <si>
    <t>Michael</t>
  </si>
  <si>
    <t>Mbambo</t>
  </si>
  <si>
    <t>Ndwandwe</t>
  </si>
  <si>
    <r>
      <t>8</t>
    </r>
    <r>
      <rPr>
        <b/>
        <sz val="9"/>
        <color rgb="FFFF0000"/>
        <rFont val="Calibri"/>
        <family val="2"/>
        <scheme val="minor"/>
      </rPr>
      <t>.</t>
    </r>
  </si>
  <si>
    <t>14/07/2026</t>
  </si>
  <si>
    <t>L.D. Driver</t>
  </si>
  <si>
    <t>26/01/2026</t>
  </si>
  <si>
    <t>26/07/2026</t>
  </si>
  <si>
    <t>26/01/2027</t>
  </si>
  <si>
    <t>31.</t>
  </si>
  <si>
    <t>32.</t>
  </si>
  <si>
    <t>26/09/2026</t>
  </si>
  <si>
    <t>30/09/2029</t>
  </si>
  <si>
    <t>18/12/2026</t>
  </si>
  <si>
    <t>19/12/2029</t>
  </si>
  <si>
    <t>09/01/2026</t>
  </si>
  <si>
    <t>09/07/2026</t>
  </si>
  <si>
    <t>05/01/2026</t>
  </si>
  <si>
    <t>05/07/2026</t>
  </si>
  <si>
    <t>26/10/2027</t>
  </si>
  <si>
    <t>27/10/2030</t>
  </si>
  <si>
    <t>02/02/2026</t>
  </si>
  <si>
    <t>02/08/2026</t>
  </si>
  <si>
    <t>02/02/2027</t>
  </si>
  <si>
    <t>14/10/2025</t>
  </si>
  <si>
    <t>14/10/2027</t>
  </si>
  <si>
    <t>14/11/2025</t>
  </si>
  <si>
    <t>14/05/2026</t>
  </si>
  <si>
    <t>15/10/2025</t>
  </si>
  <si>
    <t>15/04/2026</t>
  </si>
  <si>
    <t>09/01/2027</t>
  </si>
  <si>
    <t>11/01/2030</t>
  </si>
  <si>
    <t>06/08/2026</t>
  </si>
  <si>
    <t>13/08/2029</t>
  </si>
  <si>
    <t>02/04/2030</t>
  </si>
  <si>
    <t>01/04/2027</t>
  </si>
  <si>
    <t>10/11/2025</t>
  </si>
  <si>
    <t>10/05/2026</t>
  </si>
  <si>
    <t>15/10/2026</t>
  </si>
  <si>
    <t>29/01/2027</t>
  </si>
  <si>
    <t>23/07/2026</t>
  </si>
  <si>
    <t>04/02/2026</t>
  </si>
  <si>
    <t>04/08/2026</t>
  </si>
  <si>
    <t>28/08/2027</t>
  </si>
  <si>
    <t>29/08/2030</t>
  </si>
  <si>
    <t>24/05/2026</t>
  </si>
  <si>
    <t>12/11/2025</t>
  </si>
  <si>
    <t>12/05/2026</t>
  </si>
  <si>
    <t>01/09/2027</t>
  </si>
  <si>
    <t>02/09/2030</t>
  </si>
  <si>
    <t>05/12/2025</t>
  </si>
  <si>
    <t>05/06/2026</t>
  </si>
  <si>
    <t>20/07/2026</t>
  </si>
  <si>
    <t>05/08/2026</t>
  </si>
  <si>
    <t>05/02/2027</t>
  </si>
  <si>
    <t>18/07/2027</t>
  </si>
  <si>
    <t>18/07/2030</t>
  </si>
  <si>
    <t>05/09/2027</t>
  </si>
  <si>
    <t>06/09/2030</t>
  </si>
  <si>
    <t>08/03/2027</t>
  </si>
  <si>
    <t>10/03/2030</t>
  </si>
  <si>
    <t>12/03/2026</t>
  </si>
  <si>
    <t>08/01/2026</t>
  </si>
  <si>
    <t>08/07/2026</t>
  </si>
  <si>
    <t xml:space="preserve"> 13/07/2026</t>
  </si>
  <si>
    <t>14/09/2027</t>
  </si>
  <si>
    <t>10/09/2030</t>
  </si>
  <si>
    <t xml:space="preserve"> 15/07/2026</t>
  </si>
  <si>
    <t>28/11/2027</t>
  </si>
  <si>
    <t xml:space="preserve">25/11/2030  </t>
  </si>
  <si>
    <t>20/04/2026</t>
  </si>
  <si>
    <t>17/11/2025</t>
  </si>
  <si>
    <t>17/05/2026</t>
  </si>
  <si>
    <t>17/05/2027</t>
  </si>
  <si>
    <t>14/04/2030</t>
  </si>
  <si>
    <t>20/01/2030</t>
  </si>
  <si>
    <t>29/10/2025</t>
  </si>
  <si>
    <t>29/04/2026</t>
  </si>
  <si>
    <t>17/12/2025</t>
  </si>
  <si>
    <t>17/06/2026</t>
  </si>
  <si>
    <t>26/07/2029</t>
  </si>
  <si>
    <t>03/02/2026</t>
  </si>
  <si>
    <t>03/08/2026</t>
  </si>
  <si>
    <t>19/08/2029</t>
  </si>
  <si>
    <t>09/12/2025</t>
  </si>
  <si>
    <t>12/08/2026</t>
  </si>
  <si>
    <t>14/02/2029</t>
  </si>
  <si>
    <t>08/12/2025</t>
  </si>
  <si>
    <t>08/06/2026</t>
  </si>
  <si>
    <t>28/11/2025</t>
  </si>
  <si>
    <t>28/05/2026</t>
  </si>
  <si>
    <t>02/12/2025</t>
  </si>
  <si>
    <t>02/06/2026</t>
  </si>
  <si>
    <t>17/07/2026</t>
  </si>
  <si>
    <t>11/02/2026</t>
  </si>
  <si>
    <t>09/09/2027</t>
  </si>
  <si>
    <t>13/10/2025</t>
  </si>
  <si>
    <t>13/04/2026</t>
  </si>
  <si>
    <t>08/01/2027</t>
  </si>
  <si>
    <t>29/07/2027</t>
  </si>
  <si>
    <t>30/07/2030</t>
  </si>
  <si>
    <t>11/08/2029</t>
  </si>
  <si>
    <t>21/05/2027</t>
  </si>
  <si>
    <t>22/05/2030</t>
  </si>
  <si>
    <t>11/11/2027</t>
  </si>
  <si>
    <t>12/11/2030</t>
  </si>
  <si>
    <t>31/01/2026</t>
  </si>
  <si>
    <t>31/07/2026</t>
  </si>
  <si>
    <t>30/05/2027</t>
  </si>
  <si>
    <t>31/05/2030</t>
  </si>
  <si>
    <t>10/12/2027</t>
  </si>
  <si>
    <t>11/12/2030</t>
  </si>
  <si>
    <t>12/05/2025</t>
  </si>
  <si>
    <t>13/01/2030</t>
  </si>
  <si>
    <t>09/06/2026</t>
  </si>
  <si>
    <t>03/11/2027</t>
  </si>
  <si>
    <t>04/11/2030</t>
  </si>
  <si>
    <t>27/07/2026</t>
  </si>
  <si>
    <t>27/01/2026</t>
  </si>
  <si>
    <t>27/01/2027</t>
  </si>
  <si>
    <t>17/11/2026</t>
  </si>
  <si>
    <t>28/11/2026</t>
  </si>
  <si>
    <t>12/11/2026</t>
  </si>
  <si>
    <t>18/11/2026</t>
  </si>
  <si>
    <t>03/10/2026</t>
  </si>
  <si>
    <t>03/04/2026</t>
  </si>
  <si>
    <t>03/10/2025</t>
  </si>
  <si>
    <t>20/01/2027</t>
  </si>
  <si>
    <t>07/01/2027</t>
  </si>
  <si>
    <t>29/10/2026</t>
  </si>
  <si>
    <t>17/01/2027</t>
  </si>
  <si>
    <t>05/12/2026</t>
  </si>
  <si>
    <t>08/12/2027</t>
  </si>
  <si>
    <t>12/02/2027</t>
  </si>
  <si>
    <t>13/10/2026</t>
  </si>
  <si>
    <t>14/10/2026</t>
  </si>
  <si>
    <t>17/12/2026</t>
  </si>
  <si>
    <t>08/12/2026</t>
  </si>
  <si>
    <t>18/11/2025</t>
  </si>
  <si>
    <t>18/05/2026</t>
  </si>
  <si>
    <t>18/10/2026</t>
  </si>
  <si>
    <t>25/02/2026</t>
  </si>
  <si>
    <t>28/01/2027</t>
  </si>
  <si>
    <t>16/01/2030</t>
  </si>
  <si>
    <t xml:space="preserve">Uni Power New MK4.10       </t>
  </si>
  <si>
    <r>
      <t xml:space="preserve">UNI Power(KM 4.1)Stimela </t>
    </r>
    <r>
      <rPr>
        <b/>
        <sz val="8"/>
        <color rgb="FFFFFF00"/>
        <rFont val="Calibri"/>
        <family val="2"/>
        <scheme val="minor"/>
      </rPr>
      <t xml:space="preserve"> </t>
    </r>
  </si>
  <si>
    <t>24/11/2027</t>
  </si>
  <si>
    <t>03/02/2027</t>
  </si>
  <si>
    <t>04/02/2027</t>
  </si>
  <si>
    <t>20/10/2026</t>
  </si>
  <si>
    <t>09/12/2027</t>
  </si>
  <si>
    <t>02/12/2026</t>
  </si>
  <si>
    <t>01/04/2026</t>
  </si>
  <si>
    <t>23/01/2027</t>
  </si>
  <si>
    <t>06/11/2025</t>
  </si>
  <si>
    <t>06/05/2026</t>
  </si>
  <si>
    <t>30/01/2026</t>
  </si>
  <si>
    <t>30/07/2026</t>
  </si>
  <si>
    <t>30/09/2025</t>
  </si>
  <si>
    <t>30/03/2026</t>
  </si>
  <si>
    <t>30/09/2026</t>
  </si>
  <si>
    <t>18/05/2025</t>
  </si>
  <si>
    <t>17/04/2027</t>
  </si>
  <si>
    <t>04/03/2030</t>
  </si>
  <si>
    <t>16/04/2026</t>
  </si>
  <si>
    <t>17/10/2025</t>
  </si>
  <si>
    <t>17/04/2026</t>
  </si>
  <si>
    <t>02/12/0206</t>
  </si>
  <si>
    <t>31/01/2027</t>
  </si>
  <si>
    <t>09/12/2026</t>
  </si>
  <si>
    <t>23/02/2026</t>
  </si>
  <si>
    <t>23/08/2026</t>
  </si>
  <si>
    <t>28/04/2026</t>
  </si>
  <si>
    <t>28/10/2026</t>
  </si>
  <si>
    <t>10/11/2026</t>
  </si>
  <si>
    <t>08/04/2026</t>
  </si>
  <si>
    <t>06/11/2026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</si>
</sst>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;[Red]0"/>
  </numFmts>
  <fonts count="7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entury Gothic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8"/>
      <color theme="7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8"/>
      <color rgb="FFFFFF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sz val="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818">
    <xf numFmtId="0" fontId="0" fillId="0" borderId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7" fillId="0" borderId="0"/>
  </cellStyleXfs>
  <cellXfs count="704">
    <xf numFmtId="0" fontId="0" fillId="0" borderId="0" xfId="0"/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15" fontId="24" fillId="24" borderId="10" xfId="0" applyNumberFormat="1" applyFont="1" applyFill="1" applyBorder="1" applyAlignment="1">
      <alignment horizontal="center" vertical="center"/>
    </xf>
    <xf numFmtId="15" fontId="25" fillId="24" borderId="10" xfId="0" applyNumberFormat="1" applyFont="1" applyFill="1" applyBorder="1" applyAlignment="1">
      <alignment horizontal="center" vertical="center"/>
    </xf>
    <xf numFmtId="164" fontId="4" fillId="26" borderId="10" xfId="649" applyNumberFormat="1" applyFont="1" applyFill="1" applyBorder="1" applyAlignment="1">
      <alignment horizontal="left" vertical="center" wrapText="1"/>
    </xf>
    <xf numFmtId="164" fontId="4" fillId="26" borderId="10" xfId="649" applyNumberFormat="1" applyFont="1" applyFill="1" applyBorder="1" applyAlignment="1">
      <alignment horizontal="center" vertical="center" wrapText="1"/>
    </xf>
    <xf numFmtId="9" fontId="26" fillId="24" borderId="10" xfId="0" applyNumberFormat="1" applyFont="1" applyFill="1" applyBorder="1" applyAlignment="1">
      <alignment horizontal="center" vertical="center"/>
    </xf>
    <xf numFmtId="15" fontId="26" fillId="24" borderId="10" xfId="649" applyNumberFormat="1" applyFont="1" applyFill="1" applyBorder="1" applyAlignment="1">
      <alignment horizontal="center" vertical="center" wrapText="1"/>
    </xf>
    <xf numFmtId="164" fontId="4" fillId="26" borderId="11" xfId="763" applyNumberFormat="1" applyFont="1" applyFill="1" applyBorder="1" applyAlignment="1">
      <alignment horizontal="left" vertical="center" wrapText="1"/>
    </xf>
    <xf numFmtId="164" fontId="4" fillId="26" borderId="12" xfId="649" applyNumberFormat="1" applyFont="1" applyFill="1" applyBorder="1" applyAlignment="1">
      <alignment horizontal="left" vertical="center" wrapText="1"/>
    </xf>
    <xf numFmtId="15" fontId="24" fillId="24" borderId="12" xfId="0" applyNumberFormat="1" applyFont="1" applyFill="1" applyBorder="1" applyAlignment="1">
      <alignment horizontal="center" vertical="center"/>
    </xf>
    <xf numFmtId="15" fontId="24" fillId="24" borderId="11" xfId="0" applyNumberFormat="1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/>
    </xf>
    <xf numFmtId="0" fontId="24" fillId="24" borderId="0" xfId="0" applyFont="1" applyFill="1" applyAlignment="1">
      <alignment horizontal="left"/>
    </xf>
    <xf numFmtId="0" fontId="24" fillId="24" borderId="0" xfId="0" applyFont="1" applyFill="1" applyAlignment="1">
      <alignment horizontal="center"/>
    </xf>
    <xf numFmtId="0" fontId="28" fillId="28" borderId="10" xfId="649" applyFont="1" applyFill="1" applyBorder="1" applyAlignment="1">
      <alignment horizontal="center" vertical="center" wrapText="1"/>
    </xf>
    <xf numFmtId="164" fontId="28" fillId="28" borderId="10" xfId="0" applyNumberFormat="1" applyFont="1" applyFill="1" applyBorder="1" applyAlignment="1">
      <alignment horizontal="center" vertical="center" wrapText="1"/>
    </xf>
    <xf numFmtId="164" fontId="28" fillId="26" borderId="10" xfId="649" applyNumberFormat="1" applyFont="1" applyFill="1" applyBorder="1" applyAlignment="1">
      <alignment horizontal="center" vertical="center" wrapText="1"/>
    </xf>
    <xf numFmtId="0" fontId="28" fillId="27" borderId="10" xfId="649" applyFont="1" applyFill="1" applyBorder="1" applyAlignment="1">
      <alignment horizontal="center" vertical="center" wrapText="1"/>
    </xf>
    <xf numFmtId="0" fontId="28" fillId="25" borderId="10" xfId="649" applyFont="1" applyFill="1" applyBorder="1" applyAlignment="1">
      <alignment horizontal="center" vertical="center" wrapText="1"/>
    </xf>
    <xf numFmtId="0" fontId="28" fillId="27" borderId="10" xfId="0" applyFont="1" applyFill="1" applyBorder="1" applyAlignment="1">
      <alignment horizontal="center" vertical="center" wrapText="1"/>
    </xf>
    <xf numFmtId="0" fontId="28" fillId="29" borderId="10" xfId="649" applyFont="1" applyFill="1" applyBorder="1" applyAlignment="1">
      <alignment horizontal="center" vertical="center" wrapText="1"/>
    </xf>
    <xf numFmtId="0" fontId="29" fillId="0" borderId="10" xfId="0" applyFont="1" applyBorder="1" applyAlignment="1">
      <alignment horizontal="center"/>
    </xf>
    <xf numFmtId="0" fontId="29" fillId="24" borderId="10" xfId="0" applyFont="1" applyFill="1" applyBorder="1" applyAlignment="1">
      <alignment horizontal="center"/>
    </xf>
    <xf numFmtId="0" fontId="30" fillId="24" borderId="10" xfId="0" applyFont="1" applyFill="1" applyBorder="1" applyAlignment="1">
      <alignment horizontal="center"/>
    </xf>
    <xf numFmtId="0" fontId="31" fillId="24" borderId="10" xfId="0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/>
    </xf>
    <xf numFmtId="0" fontId="32" fillId="24" borderId="10" xfId="0" applyFont="1" applyFill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3" fillId="26" borderId="10" xfId="0" applyFont="1" applyFill="1" applyBorder="1" applyAlignment="1">
      <alignment horizontal="center"/>
    </xf>
    <xf numFmtId="0" fontId="34" fillId="26" borderId="10" xfId="0" applyFont="1" applyFill="1" applyBorder="1" applyAlignment="1">
      <alignment horizontal="center"/>
    </xf>
    <xf numFmtId="0" fontId="31" fillId="24" borderId="10" xfId="0" applyFont="1" applyFill="1" applyBorder="1" applyAlignment="1">
      <alignment horizontal="center"/>
    </xf>
    <xf numFmtId="165" fontId="31" fillId="24" borderId="10" xfId="649" applyNumberFormat="1" applyFont="1" applyFill="1" applyBorder="1" applyAlignment="1">
      <alignment horizontal="center" vertical="center" wrapText="1"/>
    </xf>
    <xf numFmtId="0" fontId="32" fillId="26" borderId="10" xfId="0" applyFont="1" applyFill="1" applyBorder="1" applyAlignment="1">
      <alignment horizontal="center"/>
    </xf>
    <xf numFmtId="0" fontId="29" fillId="26" borderId="10" xfId="0" applyFont="1" applyFill="1" applyBorder="1" applyAlignment="1">
      <alignment horizontal="center"/>
    </xf>
    <xf numFmtId="0" fontId="24" fillId="26" borderId="0" xfId="0" applyFont="1" applyFill="1" applyAlignment="1">
      <alignment horizontal="left"/>
    </xf>
    <xf numFmtId="0" fontId="24" fillId="26" borderId="0" xfId="0" applyFont="1" applyFill="1" applyAlignment="1">
      <alignment horizontal="center"/>
    </xf>
    <xf numFmtId="15" fontId="31" fillId="24" borderId="10" xfId="649" applyNumberFormat="1" applyFont="1" applyFill="1" applyBorder="1" applyAlignment="1">
      <alignment horizontal="center" vertical="center" wrapText="1"/>
    </xf>
    <xf numFmtId="15" fontId="35" fillId="24" borderId="10" xfId="0" applyNumberFormat="1" applyFont="1" applyFill="1" applyBorder="1" applyAlignment="1">
      <alignment horizontal="center" vertical="center"/>
    </xf>
    <xf numFmtId="15" fontId="31" fillId="24" borderId="10" xfId="649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8" fillId="24" borderId="10" xfId="0" applyFont="1" applyFill="1" applyBorder="1" applyAlignment="1">
      <alignment horizontal="center" vertical="center" wrapText="1"/>
    </xf>
    <xf numFmtId="0" fontId="28" fillId="24" borderId="10" xfId="649" applyFont="1" applyFill="1" applyBorder="1" applyAlignment="1">
      <alignment horizontal="center" vertical="center" wrapText="1"/>
    </xf>
    <xf numFmtId="0" fontId="32" fillId="24" borderId="10" xfId="0" applyFont="1" applyFill="1" applyBorder="1" applyAlignment="1">
      <alignment horizontal="left"/>
    </xf>
    <xf numFmtId="0" fontId="32" fillId="0" borderId="10" xfId="0" applyFont="1" applyBorder="1" applyAlignment="1">
      <alignment horizontal="left"/>
    </xf>
    <xf numFmtId="1" fontId="28" fillId="28" borderId="10" xfId="649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32" fillId="24" borderId="10" xfId="0" quotePrefix="1" applyNumberFormat="1" applyFont="1" applyFill="1" applyBorder="1" applyAlignment="1">
      <alignment horizontal="left"/>
    </xf>
    <xf numFmtId="1" fontId="32" fillId="24" borderId="10" xfId="0" applyNumberFormat="1" applyFont="1" applyFill="1" applyBorder="1" applyAlignment="1">
      <alignment horizontal="center"/>
    </xf>
    <xf numFmtId="1" fontId="32" fillId="0" borderId="10" xfId="0" applyNumberFormat="1" applyFont="1" applyBorder="1" applyAlignment="1">
      <alignment horizontal="center"/>
    </xf>
    <xf numFmtId="0" fontId="30" fillId="0" borderId="10" xfId="0" applyFont="1" applyBorder="1" applyAlignment="1">
      <alignment horizontal="center"/>
    </xf>
    <xf numFmtId="14" fontId="29" fillId="0" borderId="10" xfId="0" applyNumberFormat="1" applyFont="1" applyBorder="1" applyAlignment="1">
      <alignment horizontal="center"/>
    </xf>
    <xf numFmtId="14" fontId="29" fillId="0" borderId="10" xfId="0" applyNumberFormat="1" applyFont="1" applyBorder="1"/>
    <xf numFmtId="0" fontId="38" fillId="0" borderId="0" xfId="0" applyFont="1"/>
    <xf numFmtId="1" fontId="32" fillId="0" borderId="10" xfId="0" applyNumberFormat="1" applyFont="1" applyBorder="1" applyAlignment="1">
      <alignment horizontal="left"/>
    </xf>
    <xf numFmtId="49" fontId="32" fillId="0" borderId="10" xfId="0" applyNumberFormat="1" applyFont="1" applyBorder="1"/>
    <xf numFmtId="14" fontId="32" fillId="0" borderId="10" xfId="0" applyNumberFormat="1" applyFont="1" applyBorder="1"/>
    <xf numFmtId="1" fontId="36" fillId="26" borderId="10" xfId="0" applyNumberFormat="1" applyFont="1" applyFill="1" applyBorder="1" applyAlignment="1">
      <alignment horizontal="center"/>
    </xf>
    <xf numFmtId="0" fontId="36" fillId="0" borderId="10" xfId="0" applyFont="1" applyBorder="1" applyAlignment="1">
      <alignment horizontal="left"/>
    </xf>
    <xf numFmtId="0" fontId="32" fillId="31" borderId="10" xfId="0" applyFont="1" applyFill="1" applyBorder="1" applyAlignment="1">
      <alignment horizontal="left"/>
    </xf>
    <xf numFmtId="0" fontId="39" fillId="0" borderId="10" xfId="0" applyFont="1" applyBorder="1" applyAlignment="1">
      <alignment horizontal="left"/>
    </xf>
    <xf numFmtId="0" fontId="28" fillId="24" borderId="10" xfId="0" applyFont="1" applyFill="1" applyBorder="1" applyAlignment="1">
      <alignment horizontal="left"/>
    </xf>
    <xf numFmtId="0" fontId="28" fillId="0" borderId="10" xfId="0" applyFont="1" applyBorder="1" applyAlignment="1">
      <alignment horizontal="left"/>
    </xf>
    <xf numFmtId="1" fontId="28" fillId="24" borderId="10" xfId="0" quotePrefix="1" applyNumberFormat="1" applyFont="1" applyFill="1" applyBorder="1" applyAlignment="1">
      <alignment horizontal="left"/>
    </xf>
    <xf numFmtId="1" fontId="28" fillId="24" borderId="10" xfId="0" applyNumberFormat="1" applyFont="1" applyFill="1" applyBorder="1" applyAlignment="1">
      <alignment horizontal="center"/>
    </xf>
    <xf numFmtId="14" fontId="28" fillId="0" borderId="10" xfId="0" applyNumberFormat="1" applyFont="1" applyBorder="1"/>
    <xf numFmtId="0" fontId="40" fillId="0" borderId="0" xfId="0" applyFont="1"/>
    <xf numFmtId="0" fontId="36" fillId="30" borderId="10" xfId="0" applyFont="1" applyFill="1" applyBorder="1" applyAlignment="1">
      <alignment horizontal="left"/>
    </xf>
    <xf numFmtId="0" fontId="41" fillId="0" borderId="10" xfId="0" applyFont="1" applyBorder="1" applyAlignment="1">
      <alignment horizontal="left"/>
    </xf>
    <xf numFmtId="0" fontId="32" fillId="30" borderId="10" xfId="0" applyFont="1" applyFill="1" applyBorder="1" applyAlignment="1">
      <alignment horizontal="left"/>
    </xf>
    <xf numFmtId="0" fontId="28" fillId="30" borderId="10" xfId="0" applyFont="1" applyFill="1" applyBorder="1" applyAlignment="1">
      <alignment horizontal="left"/>
    </xf>
    <xf numFmtId="0" fontId="39" fillId="30" borderId="10" xfId="0" applyFont="1" applyFill="1" applyBorder="1" applyAlignment="1">
      <alignment horizontal="left"/>
    </xf>
    <xf numFmtId="14" fontId="28" fillId="24" borderId="10" xfId="0" applyNumberFormat="1" applyFont="1" applyFill="1" applyBorder="1"/>
    <xf numFmtId="0" fontId="40" fillId="24" borderId="0" xfId="0" applyFont="1" applyFill="1"/>
    <xf numFmtId="0" fontId="32" fillId="32" borderId="10" xfId="0" applyFont="1" applyFill="1" applyBorder="1" applyAlignment="1">
      <alignment horizontal="left"/>
    </xf>
    <xf numFmtId="0" fontId="32" fillId="34" borderId="10" xfId="0" applyFont="1" applyFill="1" applyBorder="1" applyAlignment="1">
      <alignment horizontal="left"/>
    </xf>
    <xf numFmtId="0" fontId="32" fillId="35" borderId="10" xfId="0" applyFont="1" applyFill="1" applyBorder="1" applyAlignment="1">
      <alignment horizontal="left"/>
    </xf>
    <xf numFmtId="1" fontId="36" fillId="0" borderId="10" xfId="0" quotePrefix="1" applyNumberFormat="1" applyFont="1" applyBorder="1" applyAlignment="1">
      <alignment horizontal="left"/>
    </xf>
    <xf numFmtId="1" fontId="36" fillId="0" borderId="10" xfId="0" applyNumberFormat="1" applyFont="1" applyBorder="1" applyAlignment="1">
      <alignment horizontal="center"/>
    </xf>
    <xf numFmtId="14" fontId="36" fillId="0" borderId="10" xfId="0" applyNumberFormat="1" applyFont="1" applyBorder="1"/>
    <xf numFmtId="0" fontId="42" fillId="0" borderId="0" xfId="0" applyFont="1"/>
    <xf numFmtId="16" fontId="36" fillId="0" borderId="10" xfId="0" applyNumberFormat="1" applyFont="1" applyBorder="1" applyAlignment="1">
      <alignment horizontal="left"/>
    </xf>
    <xf numFmtId="0" fontId="28" fillId="32" borderId="10" xfId="0" applyFont="1" applyFill="1" applyBorder="1" applyAlignment="1">
      <alignment horizontal="left"/>
    </xf>
    <xf numFmtId="0" fontId="28" fillId="35" borderId="10" xfId="0" applyFont="1" applyFill="1" applyBorder="1" applyAlignment="1">
      <alignment horizontal="left"/>
    </xf>
    <xf numFmtId="0" fontId="28" fillId="33" borderId="10" xfId="0" applyFont="1" applyFill="1" applyBorder="1" applyAlignment="1">
      <alignment horizontal="left"/>
    </xf>
    <xf numFmtId="0" fontId="41" fillId="24" borderId="10" xfId="0" applyFont="1" applyFill="1" applyBorder="1" applyAlignment="1">
      <alignment horizontal="left"/>
    </xf>
    <xf numFmtId="0" fontId="28" fillId="34" borderId="10" xfId="0" applyFont="1" applyFill="1" applyBorder="1" applyAlignment="1">
      <alignment horizontal="left"/>
    </xf>
    <xf numFmtId="0" fontId="28" fillId="25" borderId="13" xfId="649" applyFont="1" applyFill="1" applyBorder="1" applyAlignment="1">
      <alignment horizontal="center" vertical="center" wrapText="1"/>
    </xf>
    <xf numFmtId="49" fontId="43" fillId="0" borderId="10" xfId="0" applyNumberFormat="1" applyFont="1" applyBorder="1"/>
    <xf numFmtId="0" fontId="29" fillId="0" borderId="0" xfId="0" applyFont="1"/>
    <xf numFmtId="0" fontId="30" fillId="26" borderId="10" xfId="0" applyFont="1" applyFill="1" applyBorder="1" applyAlignment="1">
      <alignment horizontal="center"/>
    </xf>
    <xf numFmtId="49" fontId="32" fillId="26" borderId="10" xfId="0" applyNumberFormat="1" applyFont="1" applyFill="1" applyBorder="1"/>
    <xf numFmtId="1" fontId="32" fillId="26" borderId="10" xfId="0" applyNumberFormat="1" applyFont="1" applyFill="1" applyBorder="1" applyAlignment="1">
      <alignment horizontal="left"/>
    </xf>
    <xf numFmtId="14" fontId="29" fillId="26" borderId="10" xfId="0" applyNumberFormat="1" applyFont="1" applyFill="1" applyBorder="1" applyAlignment="1">
      <alignment horizontal="center"/>
    </xf>
    <xf numFmtId="14" fontId="32" fillId="26" borderId="10" xfId="0" applyNumberFormat="1" applyFont="1" applyFill="1" applyBorder="1" applyAlignment="1">
      <alignment horizontal="center"/>
    </xf>
    <xf numFmtId="14" fontId="44" fillId="26" borderId="10" xfId="0" applyNumberFormat="1" applyFont="1" applyFill="1" applyBorder="1" applyAlignment="1">
      <alignment horizontal="center"/>
    </xf>
    <xf numFmtId="14" fontId="29" fillId="26" borderId="10" xfId="0" applyNumberFormat="1" applyFont="1" applyFill="1" applyBorder="1"/>
    <xf numFmtId="0" fontId="29" fillId="26" borderId="0" xfId="0" applyFont="1" applyFill="1"/>
    <xf numFmtId="0" fontId="39" fillId="24" borderId="10" xfId="0" applyFont="1" applyFill="1" applyBorder="1" applyAlignment="1">
      <alignment horizontal="left"/>
    </xf>
    <xf numFmtId="14" fontId="29" fillId="24" borderId="10" xfId="0" applyNumberFormat="1" applyFont="1" applyFill="1" applyBorder="1" applyAlignment="1">
      <alignment horizontal="center"/>
    </xf>
    <xf numFmtId="14" fontId="29" fillId="35" borderId="10" xfId="0" applyNumberFormat="1" applyFont="1" applyFill="1" applyBorder="1" applyAlignment="1">
      <alignment horizontal="center"/>
    </xf>
    <xf numFmtId="14" fontId="32" fillId="35" borderId="10" xfId="0" applyNumberFormat="1" applyFont="1" applyFill="1" applyBorder="1" applyAlignment="1">
      <alignment horizontal="left"/>
    </xf>
    <xf numFmtId="0" fontId="28" fillId="24" borderId="14" xfId="0" applyFont="1" applyFill="1" applyBorder="1" applyAlignment="1">
      <alignment horizontal="center"/>
    </xf>
    <xf numFmtId="0" fontId="32" fillId="24" borderId="14" xfId="0" applyFont="1" applyFill="1" applyBorder="1" applyAlignment="1">
      <alignment horizontal="left"/>
    </xf>
    <xf numFmtId="0" fontId="32" fillId="0" borderId="14" xfId="0" applyFont="1" applyBorder="1" applyAlignment="1">
      <alignment horizontal="left"/>
    </xf>
    <xf numFmtId="0" fontId="32" fillId="35" borderId="14" xfId="0" applyFont="1" applyFill="1" applyBorder="1" applyAlignment="1">
      <alignment horizontal="left"/>
    </xf>
    <xf numFmtId="0" fontId="41" fillId="0" borderId="14" xfId="0" applyFont="1" applyBorder="1" applyAlignment="1">
      <alignment horizontal="left"/>
    </xf>
    <xf numFmtId="0" fontId="25" fillId="0" borderId="10" xfId="0" applyFont="1" applyBorder="1"/>
    <xf numFmtId="0" fontId="25" fillId="35" borderId="10" xfId="0" applyFont="1" applyFill="1" applyBorder="1"/>
    <xf numFmtId="0" fontId="0" fillId="0" borderId="10" xfId="0" applyBorder="1"/>
    <xf numFmtId="14" fontId="29" fillId="26" borderId="14" xfId="0" applyNumberFormat="1" applyFont="1" applyFill="1" applyBorder="1"/>
    <xf numFmtId="0" fontId="40" fillId="35" borderId="0" xfId="0" applyFont="1" applyFill="1"/>
    <xf numFmtId="0" fontId="32" fillId="36" borderId="10" xfId="0" applyFont="1" applyFill="1" applyBorder="1" applyAlignment="1">
      <alignment horizontal="left"/>
    </xf>
    <xf numFmtId="0" fontId="32" fillId="37" borderId="10" xfId="0" applyFont="1" applyFill="1" applyBorder="1" applyAlignment="1">
      <alignment horizontal="left"/>
    </xf>
    <xf numFmtId="0" fontId="32" fillId="37" borderId="14" xfId="0" applyFont="1" applyFill="1" applyBorder="1" applyAlignment="1">
      <alignment horizontal="left"/>
    </xf>
    <xf numFmtId="0" fontId="25" fillId="37" borderId="10" xfId="0" applyFont="1" applyFill="1" applyBorder="1"/>
    <xf numFmtId="14" fontId="29" fillId="37" borderId="10" xfId="0" applyNumberFormat="1" applyFont="1" applyFill="1" applyBorder="1" applyAlignment="1">
      <alignment horizontal="center"/>
    </xf>
    <xf numFmtId="0" fontId="28" fillId="37" borderId="10" xfId="0" applyFont="1" applyFill="1" applyBorder="1" applyAlignment="1">
      <alignment horizontal="left"/>
    </xf>
    <xf numFmtId="14" fontId="29" fillId="38" borderId="10" xfId="0" applyNumberFormat="1" applyFont="1" applyFill="1" applyBorder="1" applyAlignment="1">
      <alignment horizontal="center"/>
    </xf>
    <xf numFmtId="14" fontId="29" fillId="39" borderId="10" xfId="0" applyNumberFormat="1" applyFont="1" applyFill="1" applyBorder="1" applyAlignment="1">
      <alignment horizontal="center"/>
    </xf>
    <xf numFmtId="0" fontId="32" fillId="39" borderId="10" xfId="0" applyFont="1" applyFill="1" applyBorder="1" applyAlignment="1">
      <alignment horizontal="left"/>
    </xf>
    <xf numFmtId="14" fontId="25" fillId="39" borderId="10" xfId="0" applyNumberFormat="1" applyFont="1" applyFill="1" applyBorder="1" applyAlignment="1">
      <alignment horizontal="center"/>
    </xf>
    <xf numFmtId="14" fontId="25" fillId="37" borderId="10" xfId="0" applyNumberFormat="1" applyFont="1" applyFill="1" applyBorder="1" applyAlignment="1">
      <alignment horizontal="center"/>
    </xf>
    <xf numFmtId="14" fontId="25" fillId="35" borderId="10" xfId="0" applyNumberFormat="1" applyFont="1" applyFill="1" applyBorder="1" applyAlignment="1">
      <alignment horizontal="center"/>
    </xf>
    <xf numFmtId="0" fontId="0" fillId="35" borderId="10" xfId="0" applyFill="1" applyBorder="1"/>
    <xf numFmtId="14" fontId="0" fillId="39" borderId="10" xfId="0" applyNumberFormat="1" applyFill="1" applyBorder="1"/>
    <xf numFmtId="14" fontId="0" fillId="37" borderId="10" xfId="0" applyNumberFormat="1" applyFill="1" applyBorder="1"/>
    <xf numFmtId="0" fontId="0" fillId="37" borderId="10" xfId="0" applyFill="1" applyBorder="1"/>
    <xf numFmtId="0" fontId="45" fillId="35" borderId="10" xfId="0" applyFont="1" applyFill="1" applyBorder="1" applyAlignment="1">
      <alignment horizontal="left"/>
    </xf>
    <xf numFmtId="0" fontId="45" fillId="37" borderId="10" xfId="0" applyFont="1" applyFill="1" applyBorder="1" applyAlignment="1">
      <alignment horizontal="left"/>
    </xf>
    <xf numFmtId="0" fontId="0" fillId="35" borderId="0" xfId="0" applyFill="1"/>
    <xf numFmtId="14" fontId="0" fillId="37" borderId="10" xfId="0" applyNumberFormat="1" applyFill="1" applyBorder="1" applyAlignment="1">
      <alignment horizontal="center"/>
    </xf>
    <xf numFmtId="14" fontId="0" fillId="35" borderId="10" xfId="0" applyNumberFormat="1" applyFill="1" applyBorder="1" applyAlignment="1">
      <alignment horizontal="center"/>
    </xf>
    <xf numFmtId="14" fontId="0" fillId="39" borderId="10" xfId="0" applyNumberFormat="1" applyFill="1" applyBorder="1" applyAlignment="1">
      <alignment horizontal="center"/>
    </xf>
    <xf numFmtId="0" fontId="0" fillId="37" borderId="10" xfId="0" applyFill="1" applyBorder="1" applyAlignment="1">
      <alignment horizontal="left"/>
    </xf>
    <xf numFmtId="0" fontId="0" fillId="35" borderId="10" xfId="0" applyFill="1" applyBorder="1" applyAlignment="1">
      <alignment horizontal="left"/>
    </xf>
    <xf numFmtId="0" fontId="0" fillId="37" borderId="14" xfId="0" applyFill="1" applyBorder="1" applyAlignment="1">
      <alignment horizontal="left"/>
    </xf>
    <xf numFmtId="0" fontId="0" fillId="35" borderId="14" xfId="0" applyFill="1" applyBorder="1" applyAlignment="1">
      <alignment horizontal="left"/>
    </xf>
    <xf numFmtId="14" fontId="0" fillId="37" borderId="14" xfId="0" applyNumberFormat="1" applyFill="1" applyBorder="1"/>
    <xf numFmtId="0" fontId="45" fillId="0" borderId="10" xfId="0" applyFont="1" applyBorder="1" applyAlignment="1">
      <alignment horizontal="left"/>
    </xf>
    <xf numFmtId="1" fontId="45" fillId="24" borderId="10" xfId="0" quotePrefix="1" applyNumberFormat="1" applyFont="1" applyFill="1" applyBorder="1" applyAlignment="1">
      <alignment horizontal="left"/>
    </xf>
    <xf numFmtId="1" fontId="45" fillId="0" borderId="10" xfId="0" applyNumberFormat="1" applyFont="1" applyBorder="1" applyAlignment="1">
      <alignment horizontal="center"/>
    </xf>
    <xf numFmtId="0" fontId="45" fillId="24" borderId="10" xfId="0" applyFont="1" applyFill="1" applyBorder="1" applyAlignment="1">
      <alignment horizontal="center"/>
    </xf>
    <xf numFmtId="0" fontId="45" fillId="24" borderId="10" xfId="0" applyFont="1" applyFill="1" applyBorder="1" applyAlignment="1">
      <alignment horizontal="left"/>
    </xf>
    <xf numFmtId="0" fontId="46" fillId="24" borderId="10" xfId="0" applyFont="1" applyFill="1" applyBorder="1" applyAlignment="1">
      <alignment horizontal="left"/>
    </xf>
    <xf numFmtId="0" fontId="45" fillId="39" borderId="10" xfId="0" applyFont="1" applyFill="1" applyBorder="1" applyAlignment="1">
      <alignment horizontal="left"/>
    </xf>
    <xf numFmtId="14" fontId="45" fillId="35" borderId="10" xfId="0" applyNumberFormat="1" applyFont="1" applyFill="1" applyBorder="1" applyAlignment="1">
      <alignment horizontal="left"/>
    </xf>
    <xf numFmtId="0" fontId="45" fillId="24" borderId="14" xfId="0" applyFont="1" applyFill="1" applyBorder="1" applyAlignment="1">
      <alignment horizontal="left"/>
    </xf>
    <xf numFmtId="1" fontId="45" fillId="24" borderId="14" xfId="0" quotePrefix="1" applyNumberFormat="1" applyFont="1" applyFill="1" applyBorder="1" applyAlignment="1">
      <alignment horizontal="left"/>
    </xf>
    <xf numFmtId="1" fontId="45" fillId="24" borderId="14" xfId="0" applyNumberFormat="1" applyFont="1" applyFill="1" applyBorder="1" applyAlignment="1">
      <alignment horizontal="center"/>
    </xf>
    <xf numFmtId="0" fontId="45" fillId="24" borderId="14" xfId="0" applyFont="1" applyFill="1" applyBorder="1" applyAlignment="1">
      <alignment horizontal="center"/>
    </xf>
    <xf numFmtId="0" fontId="46" fillId="37" borderId="14" xfId="0" applyFont="1" applyFill="1" applyBorder="1" applyAlignment="1">
      <alignment horizontal="left"/>
    </xf>
    <xf numFmtId="0" fontId="46" fillId="35" borderId="14" xfId="0" applyFont="1" applyFill="1" applyBorder="1" applyAlignment="1">
      <alignment horizontal="left"/>
    </xf>
    <xf numFmtId="1" fontId="45" fillId="0" borderId="10" xfId="0" applyNumberFormat="1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49" fontId="45" fillId="0" borderId="10" xfId="0" applyNumberFormat="1" applyFont="1" applyBorder="1"/>
    <xf numFmtId="0" fontId="45" fillId="0" borderId="10" xfId="0" applyFont="1" applyBorder="1"/>
    <xf numFmtId="1" fontId="45" fillId="0" borderId="10" xfId="0" applyNumberFormat="1" applyFont="1" applyBorder="1" applyAlignment="1">
      <alignment horizontal="center" vertical="center"/>
    </xf>
    <xf numFmtId="14" fontId="45" fillId="0" borderId="10" xfId="0" applyNumberFormat="1" applyFont="1" applyBorder="1" applyAlignment="1">
      <alignment horizontal="center"/>
    </xf>
    <xf numFmtId="14" fontId="45" fillId="39" borderId="10" xfId="0" applyNumberFormat="1" applyFont="1" applyFill="1" applyBorder="1" applyAlignment="1">
      <alignment horizontal="center"/>
    </xf>
    <xf numFmtId="14" fontId="45" fillId="35" borderId="10" xfId="0" applyNumberFormat="1" applyFont="1" applyFill="1" applyBorder="1" applyAlignment="1">
      <alignment horizontal="center"/>
    </xf>
    <xf numFmtId="0" fontId="40" fillId="0" borderId="10" xfId="0" applyFont="1" applyBorder="1" applyAlignment="1">
      <alignment horizontal="center"/>
    </xf>
    <xf numFmtId="14" fontId="0" fillId="0" borderId="10" xfId="0" applyNumberFormat="1" applyBorder="1"/>
    <xf numFmtId="0" fontId="40" fillId="0" borderId="14" xfId="0" applyFont="1" applyBorder="1" applyAlignment="1">
      <alignment horizontal="center"/>
    </xf>
    <xf numFmtId="49" fontId="45" fillId="0" borderId="14" xfId="0" applyNumberFormat="1" applyFont="1" applyBorder="1"/>
    <xf numFmtId="0" fontId="45" fillId="0" borderId="14" xfId="0" applyFont="1" applyBorder="1" applyAlignment="1">
      <alignment horizontal="center"/>
    </xf>
    <xf numFmtId="1" fontId="45" fillId="0" borderId="14" xfId="0" applyNumberFormat="1" applyFont="1" applyBorder="1" applyAlignment="1">
      <alignment horizontal="left"/>
    </xf>
    <xf numFmtId="14" fontId="0" fillId="37" borderId="14" xfId="0" applyNumberFormat="1" applyFill="1" applyBorder="1" applyAlignment="1">
      <alignment horizontal="center"/>
    </xf>
    <xf numFmtId="14" fontId="0" fillId="35" borderId="14" xfId="0" applyNumberFormat="1" applyFill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4" xfId="0" applyNumberFormat="1" applyBorder="1"/>
    <xf numFmtId="14" fontId="0" fillId="24" borderId="14" xfId="0" applyNumberFormat="1" applyFill="1" applyBorder="1" applyAlignment="1">
      <alignment horizontal="center"/>
    </xf>
    <xf numFmtId="14" fontId="0" fillId="24" borderId="10" xfId="0" applyNumberFormat="1" applyFill="1" applyBorder="1"/>
    <xf numFmtId="0" fontId="0" fillId="24" borderId="10" xfId="0" applyFill="1" applyBorder="1"/>
    <xf numFmtId="1" fontId="0" fillId="24" borderId="10" xfId="0" applyNumberFormat="1" applyFill="1" applyBorder="1"/>
    <xf numFmtId="1" fontId="0" fillId="0" borderId="10" xfId="0" applyNumberFormat="1" applyBorder="1"/>
    <xf numFmtId="0" fontId="29" fillId="40" borderId="10" xfId="0" applyFont="1" applyFill="1" applyBorder="1" applyAlignment="1">
      <alignment horizontal="center"/>
    </xf>
    <xf numFmtId="165" fontId="28" fillId="28" borderId="10" xfId="649" applyNumberFormat="1" applyFont="1" applyFill="1" applyBorder="1" applyAlignment="1">
      <alignment horizontal="center" vertical="center" wrapText="1"/>
    </xf>
    <xf numFmtId="165" fontId="31" fillId="24" borderId="10" xfId="0" quotePrefix="1" applyNumberFormat="1" applyFont="1" applyFill="1" applyBorder="1" applyAlignment="1">
      <alignment horizontal="center" vertical="center" wrapText="1"/>
    </xf>
    <xf numFmtId="165" fontId="32" fillId="24" borderId="10" xfId="0" quotePrefix="1" applyNumberFormat="1" applyFont="1" applyFill="1" applyBorder="1" applyAlignment="1">
      <alignment horizontal="center"/>
    </xf>
    <xf numFmtId="165" fontId="32" fillId="0" borderId="10" xfId="0" quotePrefix="1" applyNumberFormat="1" applyFont="1" applyBorder="1" applyAlignment="1">
      <alignment horizontal="center"/>
    </xf>
    <xf numFmtId="165" fontId="32" fillId="0" borderId="10" xfId="0" applyNumberFormat="1" applyFont="1" applyBorder="1" applyAlignment="1">
      <alignment horizontal="center"/>
    </xf>
    <xf numFmtId="165" fontId="32" fillId="26" borderId="10" xfId="0" applyNumberFormat="1" applyFont="1" applyFill="1" applyBorder="1" applyAlignment="1">
      <alignment horizontal="center"/>
    </xf>
    <xf numFmtId="165" fontId="29" fillId="0" borderId="10" xfId="0" applyNumberFormat="1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32" fillId="24" borderId="10" xfId="0" quotePrefix="1" applyFont="1" applyFill="1" applyBorder="1" applyAlignment="1">
      <alignment horizontal="center"/>
    </xf>
    <xf numFmtId="14" fontId="32" fillId="24" borderId="10" xfId="0" applyNumberFormat="1" applyFont="1" applyFill="1" applyBorder="1" applyAlignment="1">
      <alignment horizontal="center"/>
    </xf>
    <xf numFmtId="0" fontId="36" fillId="24" borderId="10" xfId="0" applyFont="1" applyFill="1" applyBorder="1" applyAlignment="1">
      <alignment horizontal="center"/>
    </xf>
    <xf numFmtId="0" fontId="36" fillId="0" borderId="13" xfId="0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165" fontId="32" fillId="0" borderId="15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/>
    </xf>
    <xf numFmtId="0" fontId="0" fillId="0" borderId="10" xfId="0" applyBorder="1" applyAlignment="1">
      <alignment horizontal="center"/>
    </xf>
    <xf numFmtId="0" fontId="29" fillId="30" borderId="10" xfId="0" applyFont="1" applyFill="1" applyBorder="1" applyAlignment="1">
      <alignment horizontal="center"/>
    </xf>
    <xf numFmtId="0" fontId="45" fillId="24" borderId="0" xfId="0" applyFont="1" applyFill="1" applyAlignment="1">
      <alignment horizontal="center"/>
    </xf>
    <xf numFmtId="0" fontId="23" fillId="24" borderId="0" xfId="0" applyFont="1" applyFill="1" applyAlignment="1">
      <alignment horizontal="left"/>
    </xf>
    <xf numFmtId="0" fontId="23" fillId="0" borderId="12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46" fillId="24" borderId="10" xfId="649" applyFont="1" applyFill="1" applyBorder="1" applyAlignment="1">
      <alignment horizontal="left" vertical="center" wrapText="1"/>
    </xf>
    <xf numFmtId="0" fontId="23" fillId="24" borderId="10" xfId="0" applyFont="1" applyFill="1" applyBorder="1" applyAlignment="1">
      <alignment horizontal="left"/>
    </xf>
    <xf numFmtId="0" fontId="23" fillId="24" borderId="12" xfId="0" applyFont="1" applyFill="1" applyBorder="1" applyAlignment="1">
      <alignment horizontal="left"/>
    </xf>
    <xf numFmtId="0" fontId="40" fillId="0" borderId="10" xfId="0" applyFont="1" applyBorder="1" applyAlignment="1">
      <alignment horizontal="left"/>
    </xf>
    <xf numFmtId="0" fontId="45" fillId="24" borderId="0" xfId="0" applyFont="1" applyFill="1" applyAlignment="1">
      <alignment horizontal="left"/>
    </xf>
    <xf numFmtId="0" fontId="40" fillId="24" borderId="0" xfId="0" applyFont="1" applyFill="1" applyAlignment="1">
      <alignment horizontal="left"/>
    </xf>
    <xf numFmtId="0" fontId="40" fillId="0" borderId="12" xfId="0" applyFont="1" applyBorder="1" applyAlignment="1">
      <alignment horizontal="left"/>
    </xf>
    <xf numFmtId="0" fontId="40" fillId="24" borderId="10" xfId="0" applyFont="1" applyFill="1" applyBorder="1" applyAlignment="1">
      <alignment horizontal="left"/>
    </xf>
    <xf numFmtId="165" fontId="23" fillId="24" borderId="0" xfId="0" applyNumberFormat="1" applyFont="1" applyFill="1" applyAlignment="1">
      <alignment horizontal="left"/>
    </xf>
    <xf numFmtId="0" fontId="40" fillId="24" borderId="16" xfId="0" applyFont="1" applyFill="1" applyBorder="1" applyAlignment="1">
      <alignment horizontal="left"/>
    </xf>
    <xf numFmtId="0" fontId="23" fillId="0" borderId="16" xfId="0" applyFont="1" applyBorder="1" applyAlignment="1">
      <alignment horizontal="left"/>
    </xf>
    <xf numFmtId="165" fontId="23" fillId="0" borderId="16" xfId="0" applyNumberFormat="1" applyFont="1" applyBorder="1" applyAlignment="1">
      <alignment horizontal="left"/>
    </xf>
    <xf numFmtId="0" fontId="23" fillId="0" borderId="17" xfId="0" applyFont="1" applyBorder="1" applyAlignment="1">
      <alignment horizontal="left"/>
    </xf>
    <xf numFmtId="165" fontId="23" fillId="0" borderId="10" xfId="0" applyNumberFormat="1" applyFont="1" applyBorder="1" applyAlignment="1">
      <alignment horizontal="left"/>
    </xf>
    <xf numFmtId="0" fontId="23" fillId="0" borderId="11" xfId="0" applyFont="1" applyBorder="1" applyAlignment="1">
      <alignment horizontal="left"/>
    </xf>
    <xf numFmtId="0" fontId="45" fillId="24" borderId="10" xfId="0" applyFont="1" applyFill="1" applyBorder="1" applyAlignment="1">
      <alignment horizontal="left" vertical="center"/>
    </xf>
    <xf numFmtId="0" fontId="0" fillId="24" borderId="10" xfId="0" applyFill="1" applyBorder="1" applyAlignment="1">
      <alignment horizontal="left"/>
    </xf>
    <xf numFmtId="165" fontId="0" fillId="24" borderId="10" xfId="0" applyNumberFormat="1" applyFill="1" applyBorder="1" applyAlignment="1">
      <alignment horizontal="left" vertical="center"/>
    </xf>
    <xf numFmtId="14" fontId="0" fillId="24" borderId="10" xfId="0" applyNumberFormat="1" applyFill="1" applyBorder="1" applyAlignment="1">
      <alignment horizontal="left"/>
    </xf>
    <xf numFmtId="15" fontId="45" fillId="24" borderId="10" xfId="649" applyNumberFormat="1" applyFont="1" applyFill="1" applyBorder="1" applyAlignment="1">
      <alignment horizontal="left" vertical="center" wrapText="1"/>
    </xf>
    <xf numFmtId="0" fontId="0" fillId="24" borderId="10" xfId="0" applyFill="1" applyBorder="1" applyAlignment="1">
      <alignment horizontal="left" vertical="center"/>
    </xf>
    <xf numFmtId="165" fontId="0" fillId="24" borderId="10" xfId="0" quotePrefix="1" applyNumberFormat="1" applyFill="1" applyBorder="1" applyAlignment="1">
      <alignment horizontal="left"/>
    </xf>
    <xf numFmtId="0" fontId="23" fillId="24" borderId="10" xfId="739" applyFont="1" applyFill="1" applyBorder="1" applyAlignment="1">
      <alignment horizontal="left" vertical="center"/>
    </xf>
    <xf numFmtId="0" fontId="23" fillId="24" borderId="10" xfId="649" applyFont="1" applyFill="1" applyBorder="1" applyAlignment="1">
      <alignment horizontal="left" vertical="center" wrapText="1"/>
    </xf>
    <xf numFmtId="0" fontId="0" fillId="24" borderId="10" xfId="0" applyFill="1" applyBorder="1" applyAlignment="1">
      <alignment horizontal="left" vertical="center" wrapText="1"/>
    </xf>
    <xf numFmtId="165" fontId="0" fillId="24" borderId="10" xfId="0" quotePrefix="1" applyNumberFormat="1" applyFill="1" applyBorder="1" applyAlignment="1">
      <alignment horizontal="left" vertical="center" wrapText="1"/>
    </xf>
    <xf numFmtId="15" fontId="23" fillId="24" borderId="10" xfId="649" applyNumberFormat="1" applyFont="1" applyFill="1" applyBorder="1" applyAlignment="1">
      <alignment horizontal="left" vertical="center" wrapText="1"/>
    </xf>
    <xf numFmtId="165" fontId="0" fillId="24" borderId="10" xfId="0" applyNumberForma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45" fillId="0" borderId="16" xfId="0" applyFont="1" applyBorder="1" applyAlignment="1">
      <alignment horizontal="left"/>
    </xf>
    <xf numFmtId="0" fontId="45" fillId="42" borderId="10" xfId="0" applyFont="1" applyFill="1" applyBorder="1" applyAlignment="1">
      <alignment horizontal="left"/>
    </xf>
    <xf numFmtId="0" fontId="23" fillId="24" borderId="0" xfId="0" applyFont="1" applyFill="1" applyAlignment="1">
      <alignment horizontal="left" vertical="center"/>
    </xf>
    <xf numFmtId="0" fontId="23" fillId="0" borderId="12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0" fontId="23" fillId="24" borderId="10" xfId="0" applyFont="1" applyFill="1" applyBorder="1" applyAlignment="1">
      <alignment horizontal="left" vertical="center"/>
    </xf>
    <xf numFmtId="0" fontId="45" fillId="27" borderId="10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50" fillId="44" borderId="10" xfId="0" applyFont="1" applyFill="1" applyBorder="1" applyAlignment="1">
      <alignment horizontal="left" vertical="center"/>
    </xf>
    <xf numFmtId="0" fontId="0" fillId="45" borderId="10" xfId="0" applyFill="1" applyBorder="1" applyAlignment="1">
      <alignment horizontal="left" vertical="center"/>
    </xf>
    <xf numFmtId="0" fontId="40" fillId="45" borderId="10" xfId="649" applyFont="1" applyFill="1" applyBorder="1" applyAlignment="1">
      <alignment horizontal="left" vertical="center" wrapText="1"/>
    </xf>
    <xf numFmtId="0" fontId="0" fillId="45" borderId="10" xfId="0" applyFill="1" applyBorder="1" applyAlignment="1">
      <alignment horizontal="left"/>
    </xf>
    <xf numFmtId="165" fontId="46" fillId="45" borderId="10" xfId="649" applyNumberFormat="1" applyFont="1" applyFill="1" applyBorder="1" applyAlignment="1">
      <alignment horizontal="left" vertical="center" wrapText="1"/>
    </xf>
    <xf numFmtId="0" fontId="46" fillId="45" borderId="10" xfId="649" applyFont="1" applyFill="1" applyBorder="1" applyAlignment="1">
      <alignment horizontal="left" vertical="center" wrapText="1"/>
    </xf>
    <xf numFmtId="165" fontId="0" fillId="45" borderId="10" xfId="0" quotePrefix="1" applyNumberFormat="1" applyFill="1" applyBorder="1" applyAlignment="1">
      <alignment horizontal="left"/>
    </xf>
    <xf numFmtId="165" fontId="0" fillId="45" borderId="10" xfId="0" applyNumberFormat="1" applyFill="1" applyBorder="1" applyAlignment="1">
      <alignment horizontal="left" vertical="center"/>
    </xf>
    <xf numFmtId="0" fontId="23" fillId="45" borderId="10" xfId="649" applyFont="1" applyFill="1" applyBorder="1" applyAlignment="1">
      <alignment horizontal="left" vertical="center" wrapText="1"/>
    </xf>
    <xf numFmtId="0" fontId="0" fillId="45" borderId="10" xfId="0" applyFill="1" applyBorder="1" applyAlignment="1">
      <alignment horizontal="left" vertical="center" wrapText="1"/>
    </xf>
    <xf numFmtId="165" fontId="0" fillId="45" borderId="10" xfId="0" quotePrefix="1" applyNumberFormat="1" applyFill="1" applyBorder="1" applyAlignment="1">
      <alignment horizontal="left" vertical="center" wrapText="1"/>
    </xf>
    <xf numFmtId="0" fontId="46" fillId="45" borderId="10" xfId="649" applyFont="1" applyFill="1" applyBorder="1" applyAlignment="1">
      <alignment horizontal="center" vertical="center" wrapText="1"/>
    </xf>
    <xf numFmtId="0" fontId="45" fillId="45" borderId="10" xfId="0" applyFont="1" applyFill="1" applyBorder="1" applyAlignment="1">
      <alignment horizontal="center"/>
    </xf>
    <xf numFmtId="15" fontId="45" fillId="45" borderId="10" xfId="649" applyNumberFormat="1" applyFont="1" applyFill="1" applyBorder="1" applyAlignment="1">
      <alignment horizontal="center" vertical="center" wrapText="1"/>
    </xf>
    <xf numFmtId="15" fontId="45" fillId="24" borderId="10" xfId="649" applyNumberFormat="1" applyFont="1" applyFill="1" applyBorder="1" applyAlignment="1">
      <alignment horizontal="center" vertical="center" wrapText="1"/>
    </xf>
    <xf numFmtId="0" fontId="45" fillId="0" borderId="16" xfId="0" applyFont="1" applyBorder="1" applyAlignment="1">
      <alignment horizontal="center"/>
    </xf>
    <xf numFmtId="0" fontId="50" fillId="44" borderId="11" xfId="0" applyFont="1" applyFill="1" applyBorder="1" applyAlignment="1">
      <alignment horizontal="left" vertical="center"/>
    </xf>
    <xf numFmtId="0" fontId="45" fillId="43" borderId="11" xfId="0" applyFont="1" applyFill="1" applyBorder="1" applyAlignment="1">
      <alignment horizontal="center" vertical="center"/>
    </xf>
    <xf numFmtId="0" fontId="45" fillId="43" borderId="11" xfId="0" applyFont="1" applyFill="1" applyBorder="1" applyAlignment="1">
      <alignment horizontal="center"/>
    </xf>
    <xf numFmtId="0" fontId="23" fillId="24" borderId="16" xfId="0" applyFont="1" applyFill="1" applyBorder="1" applyAlignment="1">
      <alignment horizontal="left"/>
    </xf>
    <xf numFmtId="0" fontId="0" fillId="24" borderId="16" xfId="0" applyFill="1" applyBorder="1" applyAlignment="1">
      <alignment horizontal="left" vertical="center"/>
    </xf>
    <xf numFmtId="0" fontId="0" fillId="24" borderId="16" xfId="0" applyFill="1" applyBorder="1" applyAlignment="1">
      <alignment horizontal="left"/>
    </xf>
    <xf numFmtId="165" fontId="0" fillId="24" borderId="16" xfId="0" quotePrefix="1" applyNumberFormat="1" applyFill="1" applyBorder="1" applyAlignment="1">
      <alignment horizontal="left"/>
    </xf>
    <xf numFmtId="0" fontId="45" fillId="24" borderId="16" xfId="0" applyFont="1" applyFill="1" applyBorder="1" applyAlignment="1">
      <alignment horizontal="center"/>
    </xf>
    <xf numFmtId="0" fontId="45" fillId="24" borderId="16" xfId="0" applyFont="1" applyFill="1" applyBorder="1" applyAlignment="1">
      <alignment horizontal="left"/>
    </xf>
    <xf numFmtId="0" fontId="50" fillId="44" borderId="18" xfId="0" applyFont="1" applyFill="1" applyBorder="1" applyAlignment="1">
      <alignment horizontal="left" vertical="center"/>
    </xf>
    <xf numFmtId="0" fontId="49" fillId="44" borderId="19" xfId="649" applyFont="1" applyFill="1" applyBorder="1" applyAlignment="1">
      <alignment horizontal="left" vertical="center" wrapText="1"/>
    </xf>
    <xf numFmtId="165" fontId="49" fillId="44" borderId="19" xfId="649" applyNumberFormat="1" applyFont="1" applyFill="1" applyBorder="1" applyAlignment="1">
      <alignment horizontal="left" vertical="center" wrapText="1"/>
    </xf>
    <xf numFmtId="0" fontId="51" fillId="44" borderId="19" xfId="649" applyFont="1" applyFill="1" applyBorder="1" applyAlignment="1">
      <alignment horizontal="center" vertical="center" wrapText="1"/>
    </xf>
    <xf numFmtId="0" fontId="49" fillId="44" borderId="19" xfId="0" applyFont="1" applyFill="1" applyBorder="1" applyAlignment="1">
      <alignment horizontal="left" vertical="center"/>
    </xf>
    <xf numFmtId="0" fontId="50" fillId="44" borderId="19" xfId="0" applyFont="1" applyFill="1" applyBorder="1" applyAlignment="1">
      <alignment horizontal="left" vertical="center"/>
    </xf>
    <xf numFmtId="0" fontId="50" fillId="44" borderId="20" xfId="0" applyFont="1" applyFill="1" applyBorder="1" applyAlignment="1">
      <alignment horizontal="left" vertical="center"/>
    </xf>
    <xf numFmtId="0" fontId="23" fillId="43" borderId="21" xfId="0" applyFont="1" applyFill="1" applyBorder="1" applyAlignment="1">
      <alignment horizontal="left" vertical="center"/>
    </xf>
    <xf numFmtId="0" fontId="23" fillId="24" borderId="22" xfId="0" applyFont="1" applyFill="1" applyBorder="1" applyAlignment="1">
      <alignment horizontal="left" vertical="center"/>
    </xf>
    <xf numFmtId="0" fontId="0" fillId="24" borderId="22" xfId="0" applyFill="1" applyBorder="1" applyAlignment="1">
      <alignment horizontal="left"/>
    </xf>
    <xf numFmtId="0" fontId="23" fillId="43" borderId="23" xfId="0" applyFont="1" applyFill="1" applyBorder="1" applyAlignment="1">
      <alignment horizontal="left" vertical="center"/>
    </xf>
    <xf numFmtId="0" fontId="0" fillId="45" borderId="24" xfId="0" applyFill="1" applyBorder="1" applyAlignment="1">
      <alignment horizontal="left" vertical="center"/>
    </xf>
    <xf numFmtId="0" fontId="0" fillId="45" borderId="24" xfId="0" applyFill="1" applyBorder="1" applyAlignment="1">
      <alignment horizontal="left"/>
    </xf>
    <xf numFmtId="165" fontId="0" fillId="45" borderId="24" xfId="0" applyNumberFormat="1" applyFill="1" applyBorder="1" applyAlignment="1">
      <alignment horizontal="left" vertical="center"/>
    </xf>
    <xf numFmtId="0" fontId="45" fillId="45" borderId="24" xfId="0" applyFont="1" applyFill="1" applyBorder="1" applyAlignment="1">
      <alignment horizontal="center"/>
    </xf>
    <xf numFmtId="0" fontId="45" fillId="24" borderId="24" xfId="0" applyFont="1" applyFill="1" applyBorder="1" applyAlignment="1">
      <alignment horizontal="left"/>
    </xf>
    <xf numFmtId="0" fontId="0" fillId="24" borderId="24" xfId="0" applyFill="1" applyBorder="1" applyAlignment="1">
      <alignment horizontal="left"/>
    </xf>
    <xf numFmtId="0" fontId="0" fillId="24" borderId="25" xfId="0" applyFill="1" applyBorder="1" applyAlignment="1">
      <alignment horizontal="left"/>
    </xf>
    <xf numFmtId="0" fontId="54" fillId="0" borderId="10" xfId="0" applyFont="1" applyBorder="1" applyAlignment="1">
      <alignment horizontal="center"/>
    </xf>
    <xf numFmtId="0" fontId="54" fillId="0" borderId="12" xfId="0" applyFont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3" fillId="24" borderId="26" xfId="0" applyFont="1" applyFill="1" applyBorder="1" applyAlignment="1">
      <alignment horizontal="left" vertical="center"/>
    </xf>
    <xf numFmtId="0" fontId="23" fillId="24" borderId="26" xfId="0" applyFont="1" applyFill="1" applyBorder="1" applyAlignment="1">
      <alignment horizontal="left"/>
    </xf>
    <xf numFmtId="0" fontId="52" fillId="24" borderId="26" xfId="0" applyFont="1" applyFill="1" applyBorder="1" applyAlignment="1">
      <alignment horizontal="center"/>
    </xf>
    <xf numFmtId="0" fontId="40" fillId="0" borderId="10" xfId="649" applyFont="1" applyBorder="1" applyAlignment="1">
      <alignment horizontal="left" vertical="top" wrapText="1"/>
    </xf>
    <xf numFmtId="0" fontId="23" fillId="0" borderId="10" xfId="649" applyFont="1" applyBorder="1" applyAlignment="1">
      <alignment horizontal="left" vertical="top" wrapText="1"/>
    </xf>
    <xf numFmtId="0" fontId="55" fillId="0" borderId="10" xfId="0" applyFont="1" applyBorder="1" applyAlignment="1">
      <alignment horizontal="left" vertical="top"/>
    </xf>
    <xf numFmtId="0" fontId="54" fillId="0" borderId="10" xfId="0" applyFont="1" applyBorder="1" applyAlignment="1">
      <alignment horizontal="left" vertical="top"/>
    </xf>
    <xf numFmtId="0" fontId="40" fillId="33" borderId="10" xfId="649" applyFont="1" applyFill="1" applyBorder="1" applyAlignment="1">
      <alignment horizontal="left" vertical="top" wrapText="1"/>
    </xf>
    <xf numFmtId="0" fontId="0" fillId="33" borderId="10" xfId="0" applyFill="1" applyBorder="1" applyAlignment="1">
      <alignment horizontal="left" vertical="top"/>
    </xf>
    <xf numFmtId="0" fontId="23" fillId="33" borderId="10" xfId="649" applyFont="1" applyFill="1" applyBorder="1" applyAlignment="1">
      <alignment horizontal="left" vertical="top" wrapText="1"/>
    </xf>
    <xf numFmtId="0" fontId="40" fillId="33" borderId="10" xfId="0" applyFont="1" applyFill="1" applyBorder="1" applyAlignment="1">
      <alignment horizontal="left" vertical="top"/>
    </xf>
    <xf numFmtId="165" fontId="54" fillId="33" borderId="10" xfId="0" quotePrefix="1" applyNumberFormat="1" applyFont="1" applyFill="1" applyBorder="1" applyAlignment="1">
      <alignment horizontal="left" vertical="top"/>
    </xf>
    <xf numFmtId="165" fontId="49" fillId="44" borderId="10" xfId="649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46" fillId="0" borderId="10" xfId="649" applyNumberFormat="1" applyFont="1" applyBorder="1" applyAlignment="1">
      <alignment horizontal="left" vertical="center" wrapText="1"/>
    </xf>
    <xf numFmtId="165" fontId="0" fillId="0" borderId="10" xfId="0" quotePrefix="1" applyNumberFormat="1" applyBorder="1" applyAlignment="1">
      <alignment horizontal="left" vertical="center"/>
    </xf>
    <xf numFmtId="165" fontId="0" fillId="0" borderId="10" xfId="0" quotePrefix="1" applyNumberFormat="1" applyBorder="1" applyAlignment="1">
      <alignment horizontal="left" vertical="center" wrapText="1"/>
    </xf>
    <xf numFmtId="165" fontId="0" fillId="0" borderId="10" xfId="0" applyNumberFormat="1" applyBorder="1" applyAlignment="1">
      <alignment horizontal="left" vertical="center"/>
    </xf>
    <xf numFmtId="0" fontId="52" fillId="0" borderId="10" xfId="0" quotePrefix="1" applyFont="1" applyBorder="1" applyAlignment="1">
      <alignment horizontal="left" vertical="center"/>
    </xf>
    <xf numFmtId="0" fontId="23" fillId="0" borderId="10" xfId="739" applyFont="1" applyBorder="1" applyAlignment="1">
      <alignment horizontal="left" vertical="center"/>
    </xf>
    <xf numFmtId="0" fontId="0" fillId="0" borderId="10" xfId="0" quotePrefix="1" applyBorder="1" applyAlignment="1">
      <alignment horizontal="left" vertical="center"/>
    </xf>
    <xf numFmtId="14" fontId="23" fillId="24" borderId="10" xfId="0" applyNumberFormat="1" applyFont="1" applyFill="1" applyBorder="1" applyAlignment="1">
      <alignment horizontal="left" vertical="center"/>
    </xf>
    <xf numFmtId="0" fontId="49" fillId="44" borderId="10" xfId="0" applyFont="1" applyFill="1" applyBorder="1" applyAlignment="1">
      <alignment horizontal="center" vertical="center" wrapText="1"/>
    </xf>
    <xf numFmtId="0" fontId="0" fillId="41" borderId="10" xfId="0" applyFill="1" applyBorder="1"/>
    <xf numFmtId="0" fontId="54" fillId="41" borderId="10" xfId="0" applyFont="1" applyFill="1" applyBorder="1" applyAlignment="1">
      <alignment horizontal="center"/>
    </xf>
    <xf numFmtId="0" fontId="0" fillId="41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/>
    </xf>
    <xf numFmtId="0" fontId="0" fillId="0" borderId="12" xfId="0" applyBorder="1"/>
    <xf numFmtId="0" fontId="23" fillId="24" borderId="12" xfId="0" applyFont="1" applyFill="1" applyBorder="1" applyAlignment="1">
      <alignment horizontal="left" vertical="center"/>
    </xf>
    <xf numFmtId="0" fontId="52" fillId="24" borderId="12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1" fontId="0" fillId="33" borderId="10" xfId="0" applyNumberForma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14" fontId="0" fillId="33" borderId="10" xfId="0" applyNumberFormat="1" applyFill="1" applyBorder="1" applyAlignment="1">
      <alignment horizontal="center" vertical="center"/>
    </xf>
    <xf numFmtId="14" fontId="0" fillId="33" borderId="10" xfId="0" applyNumberFormat="1" applyFill="1" applyBorder="1" applyAlignment="1">
      <alignment horizontal="center"/>
    </xf>
    <xf numFmtId="14" fontId="53" fillId="33" borderId="10" xfId="0" applyNumberFormat="1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49" fillId="44" borderId="10" xfId="649" applyFont="1" applyFill="1" applyBorder="1" applyAlignment="1">
      <alignment horizontal="center" vertical="center" wrapText="1"/>
    </xf>
    <xf numFmtId="0" fontId="49" fillId="44" borderId="10" xfId="0" applyFont="1" applyFill="1" applyBorder="1" applyAlignment="1">
      <alignment horizontal="center" vertical="center"/>
    </xf>
    <xf numFmtId="0" fontId="49" fillId="44" borderId="26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59" fillId="0" borderId="0" xfId="0" applyFont="1" applyAlignment="1">
      <alignment horizontal="left"/>
    </xf>
    <xf numFmtId="0" fontId="59" fillId="0" borderId="0" xfId="0" applyFont="1" applyAlignment="1">
      <alignment horizontal="center"/>
    </xf>
    <xf numFmtId="0" fontId="35" fillId="24" borderId="10" xfId="0" applyFont="1" applyFill="1" applyBorder="1" applyAlignment="1">
      <alignment horizontal="center"/>
    </xf>
    <xf numFmtId="0" fontId="56" fillId="24" borderId="10" xfId="0" applyFont="1" applyFill="1" applyBorder="1" applyAlignment="1">
      <alignment horizontal="center"/>
    </xf>
    <xf numFmtId="0" fontId="25" fillId="24" borderId="10" xfId="0" applyFont="1" applyFill="1" applyBorder="1" applyAlignment="1">
      <alignment horizontal="center"/>
    </xf>
    <xf numFmtId="165" fontId="35" fillId="24" borderId="10" xfId="0" quotePrefix="1" applyNumberFormat="1" applyFont="1" applyFill="1" applyBorder="1" applyAlignment="1">
      <alignment horizontal="center"/>
    </xf>
    <xf numFmtId="165" fontId="35" fillId="0" borderId="10" xfId="0" quotePrefix="1" applyNumberFormat="1" applyFont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59" fillId="24" borderId="0" xfId="0" applyFont="1" applyFill="1" applyAlignment="1">
      <alignment horizontal="left"/>
    </xf>
    <xf numFmtId="0" fontId="59" fillId="24" borderId="0" xfId="0" applyFont="1" applyFill="1" applyAlignment="1">
      <alignment horizontal="center"/>
    </xf>
    <xf numFmtId="0" fontId="63" fillId="24" borderId="10" xfId="0" applyFont="1" applyFill="1" applyBorder="1" applyAlignment="1">
      <alignment horizontal="center"/>
    </xf>
    <xf numFmtId="0" fontId="63" fillId="24" borderId="10" xfId="0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/>
    </xf>
    <xf numFmtId="0" fontId="64" fillId="0" borderId="0" xfId="0" applyFont="1" applyAlignment="1">
      <alignment horizontal="left"/>
    </xf>
    <xf numFmtId="0" fontId="64" fillId="0" borderId="0" xfId="0" applyFont="1" applyAlignment="1">
      <alignment horizontal="center"/>
    </xf>
    <xf numFmtId="0" fontId="31" fillId="30" borderId="10" xfId="0" applyFont="1" applyFill="1" applyBorder="1" applyAlignment="1">
      <alignment horizontal="center"/>
    </xf>
    <xf numFmtId="0" fontId="35" fillId="30" borderId="10" xfId="0" applyFont="1" applyFill="1" applyBorder="1" applyAlignment="1">
      <alignment horizontal="center"/>
    </xf>
    <xf numFmtId="0" fontId="32" fillId="40" borderId="10" xfId="0" applyFont="1" applyFill="1" applyBorder="1" applyAlignment="1">
      <alignment horizontal="center"/>
    </xf>
    <xf numFmtId="14" fontId="35" fillId="24" borderId="10" xfId="0" applyNumberFormat="1" applyFont="1" applyFill="1" applyBorder="1" applyAlignment="1">
      <alignment horizontal="center"/>
    </xf>
    <xf numFmtId="14" fontId="52" fillId="0" borderId="10" xfId="0" applyNumberFormat="1" applyFont="1" applyBorder="1" applyAlignment="1">
      <alignment horizontal="center"/>
    </xf>
    <xf numFmtId="165" fontId="35" fillId="24" borderId="10" xfId="0" applyNumberFormat="1" applyFont="1" applyFill="1" applyBorder="1" applyAlignment="1">
      <alignment horizontal="center" vertical="center"/>
    </xf>
    <xf numFmtId="165" fontId="31" fillId="24" borderId="10" xfId="0" applyNumberFormat="1" applyFont="1" applyFill="1" applyBorder="1" applyAlignment="1">
      <alignment horizontal="center" vertical="center"/>
    </xf>
    <xf numFmtId="0" fontId="63" fillId="26" borderId="10" xfId="0" applyFont="1" applyFill="1" applyBorder="1" applyAlignment="1">
      <alignment horizontal="center"/>
    </xf>
    <xf numFmtId="0" fontId="52" fillId="24" borderId="10" xfId="0" applyFont="1" applyFill="1" applyBorder="1" applyAlignment="1">
      <alignment horizontal="center"/>
    </xf>
    <xf numFmtId="0" fontId="63" fillId="30" borderId="10" xfId="0" applyFont="1" applyFill="1" applyBorder="1" applyAlignment="1">
      <alignment horizontal="center"/>
    </xf>
    <xf numFmtId="0" fontId="63" fillId="29" borderId="10" xfId="0" applyFont="1" applyFill="1" applyBorder="1" applyAlignment="1">
      <alignment horizontal="center"/>
    </xf>
    <xf numFmtId="0" fontId="35" fillId="29" borderId="10" xfId="0" applyFont="1" applyFill="1" applyBorder="1" applyAlignment="1">
      <alignment horizontal="center"/>
    </xf>
    <xf numFmtId="0" fontId="31" fillId="29" borderId="10" xfId="0" applyFont="1" applyFill="1" applyBorder="1" applyAlignment="1">
      <alignment horizontal="center"/>
    </xf>
    <xf numFmtId="0" fontId="47" fillId="29" borderId="10" xfId="0" applyFont="1" applyFill="1" applyBorder="1" applyAlignment="1">
      <alignment horizontal="center"/>
    </xf>
    <xf numFmtId="15" fontId="31" fillId="29" borderId="10" xfId="649" applyNumberFormat="1" applyFont="1" applyFill="1" applyBorder="1" applyAlignment="1">
      <alignment horizontal="center" vertical="center" wrapText="1"/>
    </xf>
    <xf numFmtId="0" fontId="52" fillId="29" borderId="10" xfId="0" applyFont="1" applyFill="1" applyBorder="1" applyAlignment="1">
      <alignment horizontal="center"/>
    </xf>
    <xf numFmtId="0" fontId="56" fillId="30" borderId="10" xfId="0" applyFont="1" applyFill="1" applyBorder="1" applyAlignment="1">
      <alignment horizontal="center"/>
    </xf>
    <xf numFmtId="0" fontId="46" fillId="46" borderId="10" xfId="649" applyFont="1" applyFill="1" applyBorder="1" applyAlignment="1">
      <alignment horizontal="center" vertical="center" wrapText="1"/>
    </xf>
    <xf numFmtId="0" fontId="65" fillId="24" borderId="10" xfId="0" applyFont="1" applyFill="1" applyBorder="1" applyAlignment="1">
      <alignment horizontal="center" vertical="center"/>
    </xf>
    <xf numFmtId="0" fontId="68" fillId="24" borderId="10" xfId="0" applyFont="1" applyFill="1" applyBorder="1" applyAlignment="1">
      <alignment horizontal="center"/>
    </xf>
    <xf numFmtId="0" fontId="66" fillId="24" borderId="10" xfId="0" applyFont="1" applyFill="1" applyBorder="1" applyAlignment="1">
      <alignment horizontal="center"/>
    </xf>
    <xf numFmtId="15" fontId="63" fillId="29" borderId="10" xfId="649" applyNumberFormat="1" applyFont="1" applyFill="1" applyBorder="1" applyAlignment="1">
      <alignment horizontal="center" vertical="center" wrapText="1"/>
    </xf>
    <xf numFmtId="165" fontId="56" fillId="24" borderId="10" xfId="0" quotePrefix="1" applyNumberFormat="1" applyFont="1" applyFill="1" applyBorder="1" applyAlignment="1">
      <alignment horizontal="center"/>
    </xf>
    <xf numFmtId="0" fontId="56" fillId="24" borderId="10" xfId="0" applyFont="1" applyFill="1" applyBorder="1" applyAlignment="1">
      <alignment horizontal="center" textRotation="180"/>
    </xf>
    <xf numFmtId="0" fontId="67" fillId="24" borderId="0" xfId="0" applyFont="1" applyFill="1" applyAlignment="1">
      <alignment horizontal="left"/>
    </xf>
    <xf numFmtId="0" fontId="67" fillId="24" borderId="0" xfId="0" applyFont="1" applyFill="1" applyAlignment="1">
      <alignment horizontal="center"/>
    </xf>
    <xf numFmtId="0" fontId="52" fillId="0" borderId="10" xfId="0" applyFont="1" applyBorder="1" applyAlignment="1">
      <alignment horizontal="left"/>
    </xf>
    <xf numFmtId="0" fontId="28" fillId="28" borderId="10" xfId="649" applyFont="1" applyFill="1" applyBorder="1" applyAlignment="1">
      <alignment horizontal="left" vertical="center" wrapText="1"/>
    </xf>
    <xf numFmtId="0" fontId="29" fillId="0" borderId="10" xfId="0" applyFont="1" applyBorder="1" applyAlignment="1">
      <alignment horizontal="left"/>
    </xf>
    <xf numFmtId="0" fontId="31" fillId="24" borderId="10" xfId="0" applyFont="1" applyFill="1" applyBorder="1" applyAlignment="1">
      <alignment horizontal="left"/>
    </xf>
    <xf numFmtId="0" fontId="31" fillId="0" borderId="10" xfId="0" applyFont="1" applyBorder="1" applyAlignment="1">
      <alignment horizontal="left"/>
    </xf>
    <xf numFmtId="0" fontId="35" fillId="0" borderId="10" xfId="0" applyFont="1" applyBorder="1" applyAlignment="1">
      <alignment horizontal="left"/>
    </xf>
    <xf numFmtId="0" fontId="35" fillId="24" borderId="10" xfId="0" applyFont="1" applyFill="1" applyBorder="1" applyAlignment="1">
      <alignment horizontal="left"/>
    </xf>
    <xf numFmtId="0" fontId="29" fillId="29" borderId="10" xfId="0" applyFont="1" applyFill="1" applyBorder="1" applyAlignment="1">
      <alignment horizontal="center"/>
    </xf>
    <xf numFmtId="0" fontId="63" fillId="24" borderId="10" xfId="0" applyFont="1" applyFill="1" applyBorder="1" applyAlignment="1">
      <alignment horizontal="center" vertical="center" wrapText="1"/>
    </xf>
    <xf numFmtId="165" fontId="35" fillId="0" borderId="10" xfId="0" quotePrefix="1" applyNumberFormat="1" applyFont="1" applyBorder="1" applyAlignment="1">
      <alignment horizontal="center" vertical="center"/>
    </xf>
    <xf numFmtId="165" fontId="35" fillId="24" borderId="10" xfId="0" quotePrefix="1" applyNumberFormat="1" applyFont="1" applyFill="1" applyBorder="1" applyAlignment="1">
      <alignment horizontal="center" vertical="center"/>
    </xf>
    <xf numFmtId="165" fontId="31" fillId="0" borderId="10" xfId="0" quotePrefix="1" applyNumberFormat="1" applyFont="1" applyBorder="1" applyAlignment="1">
      <alignment horizontal="center" vertical="center"/>
    </xf>
    <xf numFmtId="15" fontId="31" fillId="30" borderId="10" xfId="649" applyNumberFormat="1" applyFont="1" applyFill="1" applyBorder="1" applyAlignment="1">
      <alignment horizontal="center" vertical="center" wrapText="1"/>
    </xf>
    <xf numFmtId="15" fontId="35" fillId="30" borderId="10" xfId="0" applyNumberFormat="1" applyFont="1" applyFill="1" applyBorder="1" applyAlignment="1">
      <alignment horizontal="center" vertical="center"/>
    </xf>
    <xf numFmtId="0" fontId="52" fillId="30" borderId="10" xfId="0" applyFont="1" applyFill="1" applyBorder="1" applyAlignment="1">
      <alignment horizontal="center"/>
    </xf>
    <xf numFmtId="0" fontId="0" fillId="26" borderId="0" xfId="0" applyFill="1"/>
    <xf numFmtId="0" fontId="63" fillId="47" borderId="10" xfId="0" applyFont="1" applyFill="1" applyBorder="1" applyAlignment="1">
      <alignment horizontal="center" vertical="center"/>
    </xf>
    <xf numFmtId="0" fontId="31" fillId="47" borderId="10" xfId="0" applyFont="1" applyFill="1" applyBorder="1" applyAlignment="1">
      <alignment horizontal="left"/>
    </xf>
    <xf numFmtId="0" fontId="52" fillId="47" borderId="10" xfId="0" applyFont="1" applyFill="1" applyBorder="1" applyAlignment="1">
      <alignment horizontal="center"/>
    </xf>
    <xf numFmtId="165" fontId="35" fillId="47" borderId="10" xfId="0" quotePrefix="1" applyNumberFormat="1" applyFont="1" applyFill="1" applyBorder="1" applyAlignment="1">
      <alignment horizontal="center"/>
    </xf>
    <xf numFmtId="0" fontId="35" fillId="47" borderId="10" xfId="0" applyFont="1" applyFill="1" applyBorder="1" applyAlignment="1">
      <alignment horizontal="center"/>
    </xf>
    <xf numFmtId="0" fontId="25" fillId="47" borderId="10" xfId="0" applyFont="1" applyFill="1" applyBorder="1" applyAlignment="1">
      <alignment horizontal="center"/>
    </xf>
    <xf numFmtId="0" fontId="59" fillId="47" borderId="0" xfId="0" applyFont="1" applyFill="1" applyAlignment="1">
      <alignment horizontal="left"/>
    </xf>
    <xf numFmtId="0" fontId="59" fillId="47" borderId="0" xfId="0" applyFont="1" applyFill="1" applyAlignment="1">
      <alignment horizontal="center"/>
    </xf>
    <xf numFmtId="0" fontId="29" fillId="47" borderId="10" xfId="0" applyFont="1" applyFill="1" applyBorder="1" applyAlignment="1">
      <alignment horizontal="center"/>
    </xf>
    <xf numFmtId="0" fontId="31" fillId="47" borderId="10" xfId="0" applyFont="1" applyFill="1" applyBorder="1" applyAlignment="1">
      <alignment horizontal="center"/>
    </xf>
    <xf numFmtId="0" fontId="35" fillId="26" borderId="10" xfId="0" applyFont="1" applyFill="1" applyBorder="1" applyAlignment="1">
      <alignment horizontal="center"/>
    </xf>
    <xf numFmtId="15" fontId="31" fillId="26" borderId="10" xfId="649" applyNumberFormat="1" applyFont="1" applyFill="1" applyBorder="1" applyAlignment="1">
      <alignment horizontal="center" vertical="center" wrapText="1"/>
    </xf>
    <xf numFmtId="0" fontId="52" fillId="47" borderId="10" xfId="0" applyFont="1" applyFill="1" applyBorder="1" applyAlignment="1">
      <alignment horizontal="left"/>
    </xf>
    <xf numFmtId="0" fontId="64" fillId="47" borderId="0" xfId="0" applyFont="1" applyFill="1" applyAlignment="1">
      <alignment horizontal="left"/>
    </xf>
    <xf numFmtId="0" fontId="64" fillId="47" borderId="0" xfId="0" applyFont="1" applyFill="1" applyAlignment="1">
      <alignment horizontal="center"/>
    </xf>
    <xf numFmtId="0" fontId="35" fillId="47" borderId="10" xfId="0" applyFont="1" applyFill="1" applyBorder="1" applyAlignment="1">
      <alignment horizontal="left"/>
    </xf>
    <xf numFmtId="0" fontId="63" fillId="47" borderId="10" xfId="0" applyFont="1" applyFill="1" applyBorder="1" applyAlignment="1">
      <alignment horizontal="center"/>
    </xf>
    <xf numFmtId="0" fontId="24" fillId="47" borderId="0" xfId="0" applyFont="1" applyFill="1" applyAlignment="1">
      <alignment horizontal="left"/>
    </xf>
    <xf numFmtId="0" fontId="24" fillId="47" borderId="0" xfId="0" applyFont="1" applyFill="1" applyAlignment="1">
      <alignment horizontal="center"/>
    </xf>
    <xf numFmtId="0" fontId="32" fillId="47" borderId="10" xfId="0" applyFont="1" applyFill="1" applyBorder="1" applyAlignment="1">
      <alignment horizontal="center"/>
    </xf>
    <xf numFmtId="0" fontId="52" fillId="26" borderId="10" xfId="0" applyFont="1" applyFill="1" applyBorder="1" applyAlignment="1">
      <alignment horizontal="center"/>
    </xf>
    <xf numFmtId="0" fontId="31" fillId="26" borderId="10" xfId="0" applyFont="1" applyFill="1" applyBorder="1" applyAlignment="1">
      <alignment horizontal="center"/>
    </xf>
    <xf numFmtId="15" fontId="47" fillId="26" borderId="10" xfId="0" applyNumberFormat="1" applyFont="1" applyFill="1" applyBorder="1" applyAlignment="1">
      <alignment horizontal="center" vertical="center"/>
    </xf>
    <xf numFmtId="15" fontId="63" fillId="26" borderId="10" xfId="0" applyNumberFormat="1" applyFont="1" applyFill="1" applyBorder="1" applyAlignment="1">
      <alignment horizontal="center" vertical="center"/>
    </xf>
    <xf numFmtId="0" fontId="54" fillId="47" borderId="10" xfId="0" applyFont="1" applyFill="1" applyBorder="1" applyAlignment="1">
      <alignment horizontal="center"/>
    </xf>
    <xf numFmtId="0" fontId="57" fillId="47" borderId="10" xfId="0" applyFont="1" applyFill="1" applyBorder="1" applyAlignment="1">
      <alignment horizontal="center"/>
    </xf>
    <xf numFmtId="16" fontId="31" fillId="47" borderId="10" xfId="0" applyNumberFormat="1" applyFont="1" applyFill="1" applyBorder="1" applyAlignment="1">
      <alignment horizontal="center"/>
    </xf>
    <xf numFmtId="0" fontId="61" fillId="47" borderId="10" xfId="0" applyFont="1" applyFill="1" applyBorder="1" applyAlignment="1">
      <alignment horizontal="center"/>
    </xf>
    <xf numFmtId="0" fontId="58" fillId="47" borderId="10" xfId="0" applyFont="1" applyFill="1" applyBorder="1" applyAlignment="1">
      <alignment horizontal="center"/>
    </xf>
    <xf numFmtId="0" fontId="35" fillId="47" borderId="0" xfId="0" applyFont="1" applyFill="1" applyAlignment="1">
      <alignment horizontal="center"/>
    </xf>
    <xf numFmtId="0" fontId="31" fillId="47" borderId="0" xfId="0" applyFont="1" applyFill="1" applyAlignment="1">
      <alignment horizontal="center"/>
    </xf>
    <xf numFmtId="165" fontId="35" fillId="47" borderId="10" xfId="0" quotePrefix="1" applyNumberFormat="1" applyFont="1" applyFill="1" applyBorder="1" applyAlignment="1">
      <alignment horizontal="center" vertical="center"/>
    </xf>
    <xf numFmtId="165" fontId="31" fillId="47" borderId="10" xfId="0" quotePrefix="1" applyNumberFormat="1" applyFont="1" applyFill="1" applyBorder="1" applyAlignment="1">
      <alignment horizontal="center"/>
    </xf>
    <xf numFmtId="0" fontId="26" fillId="47" borderId="10" xfId="0" applyFont="1" applyFill="1" applyBorder="1" applyAlignment="1">
      <alignment horizontal="center"/>
    </xf>
    <xf numFmtId="0" fontId="62" fillId="47" borderId="0" xfId="0" applyFont="1" applyFill="1" applyAlignment="1">
      <alignment horizontal="left"/>
    </xf>
    <xf numFmtId="0" fontId="62" fillId="47" borderId="0" xfId="0" applyFont="1" applyFill="1" applyAlignment="1">
      <alignment horizontal="center"/>
    </xf>
    <xf numFmtId="14" fontId="31" fillId="47" borderId="10" xfId="0" applyNumberFormat="1" applyFont="1" applyFill="1" applyBorder="1" applyAlignment="1">
      <alignment horizontal="center"/>
    </xf>
    <xf numFmtId="0" fontId="56" fillId="47" borderId="10" xfId="0" applyFont="1" applyFill="1" applyBorder="1" applyAlignment="1">
      <alignment horizontal="center"/>
    </xf>
    <xf numFmtId="0" fontId="47" fillId="47" borderId="10" xfId="0" applyFont="1" applyFill="1" applyBorder="1" applyAlignment="1">
      <alignment horizontal="center"/>
    </xf>
    <xf numFmtId="0" fontId="31" fillId="47" borderId="10" xfId="649" applyFont="1" applyFill="1" applyBorder="1" applyAlignment="1">
      <alignment horizontal="left" vertical="center" wrapText="1"/>
    </xf>
    <xf numFmtId="0" fontId="63" fillId="47" borderId="10" xfId="0" applyFont="1" applyFill="1" applyBorder="1" applyAlignment="1">
      <alignment horizontal="center" vertical="center" wrapText="1"/>
    </xf>
    <xf numFmtId="165" fontId="31" fillId="47" borderId="10" xfId="0" quotePrefix="1" applyNumberFormat="1" applyFont="1" applyFill="1" applyBorder="1" applyAlignment="1">
      <alignment horizontal="center" vertical="center" wrapText="1"/>
    </xf>
    <xf numFmtId="165" fontId="63" fillId="47" borderId="10" xfId="649" applyNumberFormat="1" applyFont="1" applyFill="1" applyBorder="1" applyAlignment="1">
      <alignment horizontal="center" vertical="center" wrapText="1"/>
    </xf>
    <xf numFmtId="165" fontId="31" fillId="47" borderId="10" xfId="649" applyNumberFormat="1" applyFont="1" applyFill="1" applyBorder="1" applyAlignment="1">
      <alignment horizontal="center" vertical="center" wrapText="1"/>
    </xf>
    <xf numFmtId="15" fontId="25" fillId="47" borderId="10" xfId="0" applyNumberFormat="1" applyFont="1" applyFill="1" applyBorder="1" applyAlignment="1">
      <alignment horizontal="center" vertical="center"/>
    </xf>
    <xf numFmtId="15" fontId="59" fillId="47" borderId="0" xfId="0" applyNumberFormat="1" applyFont="1" applyFill="1" applyAlignment="1">
      <alignment horizontal="center" vertical="center"/>
    </xf>
    <xf numFmtId="0" fontId="69" fillId="48" borderId="10" xfId="0" applyFont="1" applyFill="1" applyBorder="1" applyAlignment="1">
      <alignment horizontal="left"/>
    </xf>
    <xf numFmtId="0" fontId="29" fillId="48" borderId="10" xfId="0" applyFont="1" applyFill="1" applyBorder="1" applyAlignment="1">
      <alignment horizontal="left"/>
    </xf>
    <xf numFmtId="0" fontId="56" fillId="26" borderId="10" xfId="0" applyFont="1" applyFill="1" applyBorder="1" applyAlignment="1">
      <alignment horizontal="center"/>
    </xf>
    <xf numFmtId="0" fontId="46" fillId="24" borderId="10" xfId="0" applyFont="1" applyFill="1" applyBorder="1" applyAlignment="1">
      <alignment horizontal="center"/>
    </xf>
    <xf numFmtId="0" fontId="46" fillId="47" borderId="10" xfId="0" applyFont="1" applyFill="1" applyBorder="1" applyAlignment="1">
      <alignment horizontal="center"/>
    </xf>
    <xf numFmtId="0" fontId="45" fillId="47" borderId="10" xfId="0" applyFont="1" applyFill="1" applyBorder="1" applyAlignment="1">
      <alignment horizontal="center"/>
    </xf>
    <xf numFmtId="0" fontId="46" fillId="24" borderId="10" xfId="0" applyFont="1" applyFill="1" applyBorder="1" applyAlignment="1">
      <alignment horizontal="center" vertical="center"/>
    </xf>
    <xf numFmtId="0" fontId="46" fillId="0" borderId="10" xfId="0" applyFont="1" applyBorder="1" applyAlignment="1">
      <alignment horizontal="left"/>
    </xf>
    <xf numFmtId="165" fontId="45" fillId="0" borderId="10" xfId="0" quotePrefix="1" applyNumberFormat="1" applyFont="1" applyBorder="1" applyAlignment="1">
      <alignment horizontal="center"/>
    </xf>
    <xf numFmtId="165" fontId="45" fillId="24" borderId="10" xfId="0" quotePrefix="1" applyNumberFormat="1" applyFont="1" applyFill="1" applyBorder="1" applyAlignment="1">
      <alignment horizontal="center"/>
    </xf>
    <xf numFmtId="165" fontId="45" fillId="24" borderId="10" xfId="0" quotePrefix="1" applyNumberFormat="1" applyFont="1" applyFill="1" applyBorder="1" applyAlignment="1">
      <alignment horizontal="center" vertical="center"/>
    </xf>
    <xf numFmtId="0" fontId="35" fillId="40" borderId="10" xfId="0" applyFont="1" applyFill="1" applyBorder="1" applyAlignment="1">
      <alignment horizontal="center"/>
    </xf>
    <xf numFmtId="0" fontId="43" fillId="0" borderId="10" xfId="0" applyFont="1" applyBorder="1" applyAlignment="1">
      <alignment horizontal="center"/>
    </xf>
    <xf numFmtId="0" fontId="43" fillId="47" borderId="10" xfId="0" applyFont="1" applyFill="1" applyBorder="1" applyAlignment="1">
      <alignment horizontal="center"/>
    </xf>
    <xf numFmtId="0" fontId="63" fillId="30" borderId="14" xfId="0" applyFont="1" applyFill="1" applyBorder="1" applyAlignment="1">
      <alignment horizontal="center"/>
    </xf>
    <xf numFmtId="0" fontId="29" fillId="0" borderId="14" xfId="0" applyFont="1" applyBorder="1" applyAlignment="1">
      <alignment horizontal="left"/>
    </xf>
    <xf numFmtId="0" fontId="29" fillId="0" borderId="14" xfId="0" applyFont="1" applyBorder="1" applyAlignment="1">
      <alignment horizontal="center"/>
    </xf>
    <xf numFmtId="165" fontId="29" fillId="0" borderId="14" xfId="0" applyNumberFormat="1" applyFont="1" applyBorder="1" applyAlignment="1">
      <alignment horizontal="center"/>
    </xf>
    <xf numFmtId="0" fontId="45" fillId="0" borderId="10" xfId="0" quotePrefix="1" applyFont="1" applyBorder="1"/>
    <xf numFmtId="0" fontId="35" fillId="24" borderId="10" xfId="0" applyFont="1" applyFill="1" applyBorder="1" applyAlignment="1">
      <alignment horizontal="right"/>
    </xf>
    <xf numFmtId="0" fontId="70" fillId="0" borderId="10" xfId="0" applyFont="1" applyBorder="1" applyAlignment="1">
      <alignment horizontal="center"/>
    </xf>
    <xf numFmtId="0" fontId="45" fillId="40" borderId="10" xfId="0" applyFont="1" applyFill="1" applyBorder="1"/>
    <xf numFmtId="0" fontId="45" fillId="26" borderId="10" xfId="0" applyFont="1" applyFill="1" applyBorder="1"/>
    <xf numFmtId="0" fontId="32" fillId="29" borderId="10" xfId="0" applyFont="1" applyFill="1" applyBorder="1" applyAlignment="1">
      <alignment horizontal="center"/>
    </xf>
    <xf numFmtId="0" fontId="45" fillId="0" borderId="10" xfId="0" quotePrefix="1" applyFont="1" applyBorder="1" applyAlignment="1">
      <alignment horizontal="center"/>
    </xf>
    <xf numFmtId="0" fontId="51" fillId="0" borderId="10" xfId="0" applyFont="1" applyBorder="1" applyAlignment="1">
      <alignment horizontal="center"/>
    </xf>
    <xf numFmtId="0" fontId="51" fillId="0" borderId="14" xfId="0" applyFont="1" applyBorder="1" applyAlignment="1">
      <alignment horizontal="center"/>
    </xf>
    <xf numFmtId="0" fontId="45" fillId="0" borderId="14" xfId="0" applyFont="1" applyBorder="1"/>
    <xf numFmtId="0" fontId="46" fillId="24" borderId="14" xfId="0" applyFont="1" applyFill="1" applyBorder="1" applyAlignment="1">
      <alignment horizontal="center" vertical="center"/>
    </xf>
    <xf numFmtId="0" fontId="45" fillId="0" borderId="14" xfId="0" quotePrefix="1" applyFont="1" applyBorder="1" applyAlignment="1">
      <alignment horizontal="center"/>
    </xf>
    <xf numFmtId="0" fontId="45" fillId="24" borderId="10" xfId="0" applyFont="1" applyFill="1" applyBorder="1"/>
    <xf numFmtId="0" fontId="28" fillId="40" borderId="10" xfId="0" applyFont="1" applyFill="1" applyBorder="1" applyAlignment="1">
      <alignment horizontal="center" vertical="center" wrapText="1"/>
    </xf>
    <xf numFmtId="0" fontId="28" fillId="26" borderId="10" xfId="649" applyFont="1" applyFill="1" applyBorder="1" applyAlignment="1">
      <alignment horizontal="center" vertical="center" wrapText="1"/>
    </xf>
    <xf numFmtId="0" fontId="28" fillId="29" borderId="10" xfId="0" applyFont="1" applyFill="1" applyBorder="1" applyAlignment="1">
      <alignment horizontal="center" vertical="center" wrapText="1"/>
    </xf>
    <xf numFmtId="0" fontId="28" fillId="40" borderId="10" xfId="649" applyFont="1" applyFill="1" applyBorder="1" applyAlignment="1">
      <alignment horizontal="center" vertical="center" wrapText="1"/>
    </xf>
    <xf numFmtId="0" fontId="29" fillId="0" borderId="12" xfId="0" applyFont="1" applyBorder="1" applyAlignment="1">
      <alignment horizontal="center"/>
    </xf>
    <xf numFmtId="0" fontId="29" fillId="24" borderId="12" xfId="0" applyFont="1" applyFill="1" applyBorder="1" applyAlignment="1">
      <alignment horizontal="center"/>
    </xf>
    <xf numFmtId="0" fontId="29" fillId="24" borderId="0" xfId="0" applyFont="1" applyFill="1" applyAlignment="1">
      <alignment horizontal="center"/>
    </xf>
    <xf numFmtId="0" fontId="28" fillId="24" borderId="0" xfId="649" applyFont="1" applyFill="1" applyAlignment="1">
      <alignment horizontal="center" vertical="center" wrapText="1"/>
    </xf>
    <xf numFmtId="0" fontId="0" fillId="24" borderId="0" xfId="0" applyFill="1"/>
    <xf numFmtId="0" fontId="25" fillId="24" borderId="0" xfId="0" applyFont="1" applyFill="1" applyAlignment="1">
      <alignment horizontal="center"/>
    </xf>
    <xf numFmtId="0" fontId="32" fillId="49" borderId="10" xfId="0" applyFont="1" applyFill="1" applyBorder="1" applyAlignment="1">
      <alignment horizontal="center"/>
    </xf>
    <xf numFmtId="0" fontId="45" fillId="49" borderId="10" xfId="0" applyFont="1" applyFill="1" applyBorder="1"/>
    <xf numFmtId="0" fontId="45" fillId="49" borderId="13" xfId="0" applyFont="1" applyFill="1" applyBorder="1"/>
    <xf numFmtId="0" fontId="29" fillId="0" borderId="16" xfId="0" applyFont="1" applyBorder="1" applyAlignment="1">
      <alignment horizontal="center"/>
    </xf>
    <xf numFmtId="0" fontId="24" fillId="0" borderId="10" xfId="0" applyFont="1" applyBorder="1" applyAlignment="1">
      <alignment horizontal="left"/>
    </xf>
    <xf numFmtId="0" fontId="24" fillId="0" borderId="10" xfId="0" applyFont="1" applyBorder="1" applyAlignment="1">
      <alignment horizontal="center"/>
    </xf>
    <xf numFmtId="0" fontId="64" fillId="24" borderId="10" xfId="0" applyFont="1" applyFill="1" applyBorder="1" applyAlignment="1">
      <alignment horizontal="left"/>
    </xf>
    <xf numFmtId="0" fontId="64" fillId="24" borderId="10" xfId="0" applyFont="1" applyFill="1" applyBorder="1" applyAlignment="1">
      <alignment horizontal="center"/>
    </xf>
    <xf numFmtId="0" fontId="24" fillId="24" borderId="10" xfId="0" applyFont="1" applyFill="1" applyBorder="1" applyAlignment="1">
      <alignment horizontal="left"/>
    </xf>
    <xf numFmtId="0" fontId="24" fillId="24" borderId="10" xfId="0" applyFont="1" applyFill="1" applyBorder="1" applyAlignment="1">
      <alignment horizontal="center"/>
    </xf>
    <xf numFmtId="0" fontId="52" fillId="24" borderId="10" xfId="0" applyFont="1" applyFill="1" applyBorder="1" applyAlignment="1">
      <alignment horizontal="left"/>
    </xf>
    <xf numFmtId="0" fontId="65" fillId="24" borderId="10" xfId="0" applyFont="1" applyFill="1" applyBorder="1" applyAlignment="1">
      <alignment horizontal="center"/>
    </xf>
    <xf numFmtId="0" fontId="35" fillId="26" borderId="10" xfId="0" applyFont="1" applyFill="1" applyBorder="1"/>
    <xf numFmtId="0" fontId="52" fillId="40" borderId="10" xfId="0" applyFont="1" applyFill="1" applyBorder="1"/>
    <xf numFmtId="0" fontId="52" fillId="0" borderId="10" xfId="0" applyFont="1" applyBorder="1"/>
    <xf numFmtId="0" fontId="29" fillId="50" borderId="10" xfId="0" applyFont="1" applyFill="1" applyBorder="1" applyAlignment="1">
      <alignment horizontal="center"/>
    </xf>
    <xf numFmtId="0" fontId="29" fillId="50" borderId="14" xfId="0" applyFont="1" applyFill="1" applyBorder="1" applyAlignment="1">
      <alignment horizontal="center"/>
    </xf>
    <xf numFmtId="0" fontId="25" fillId="50" borderId="10" xfId="0" applyFont="1" applyFill="1" applyBorder="1" applyAlignment="1">
      <alignment horizontal="center"/>
    </xf>
    <xf numFmtId="15" fontId="35" fillId="26" borderId="10" xfId="0" applyNumberFormat="1" applyFont="1" applyFill="1" applyBorder="1" applyAlignment="1">
      <alignment horizontal="center" vertical="center"/>
    </xf>
    <xf numFmtId="0" fontId="25" fillId="24" borderId="12" xfId="0" applyFont="1" applyFill="1" applyBorder="1" applyAlignment="1">
      <alignment horizontal="center"/>
    </xf>
    <xf numFmtId="0" fontId="41" fillId="24" borderId="10" xfId="0" applyFont="1" applyFill="1" applyBorder="1" applyAlignment="1">
      <alignment horizontal="center"/>
    </xf>
    <xf numFmtId="0" fontId="72" fillId="24" borderId="10" xfId="0" applyFont="1" applyFill="1" applyBorder="1" applyAlignment="1">
      <alignment horizontal="center"/>
    </xf>
    <xf numFmtId="0" fontId="57" fillId="24" borderId="10" xfId="0" applyFont="1" applyFill="1" applyBorder="1" applyAlignment="1">
      <alignment horizontal="center"/>
    </xf>
    <xf numFmtId="14" fontId="35" fillId="29" borderId="10" xfId="0" applyNumberFormat="1" applyFont="1" applyFill="1" applyBorder="1" applyAlignment="1">
      <alignment horizontal="center"/>
    </xf>
    <xf numFmtId="0" fontId="31" fillId="40" borderId="10" xfId="0" applyFont="1" applyFill="1" applyBorder="1" applyAlignment="1">
      <alignment horizontal="center"/>
    </xf>
    <xf numFmtId="16" fontId="35" fillId="40" borderId="10" xfId="0" applyNumberFormat="1" applyFont="1" applyFill="1" applyBorder="1" applyAlignment="1">
      <alignment horizontal="center"/>
    </xf>
    <xf numFmtId="0" fontId="63" fillId="0" borderId="10" xfId="0" applyFont="1" applyBorder="1" applyAlignment="1">
      <alignment horizontal="left"/>
    </xf>
    <xf numFmtId="165" fontId="52" fillId="0" borderId="10" xfId="0" quotePrefix="1" applyNumberFormat="1" applyFont="1" applyBorder="1" applyAlignment="1">
      <alignment horizontal="center"/>
    </xf>
    <xf numFmtId="0" fontId="63" fillId="24" borderId="10" xfId="0" applyFont="1" applyFill="1" applyBorder="1" applyAlignment="1">
      <alignment horizontal="left"/>
    </xf>
    <xf numFmtId="165" fontId="52" fillId="24" borderId="10" xfId="0" quotePrefix="1" applyNumberFormat="1" applyFont="1" applyFill="1" applyBorder="1" applyAlignment="1">
      <alignment horizontal="center"/>
    </xf>
    <xf numFmtId="0" fontId="65" fillId="0" borderId="10" xfId="0" applyFont="1" applyBorder="1" applyAlignment="1">
      <alignment horizontal="center"/>
    </xf>
    <xf numFmtId="165" fontId="52" fillId="0" borderId="10" xfId="0" applyNumberFormat="1" applyFont="1" applyBorder="1" applyAlignment="1">
      <alignment horizontal="center"/>
    </xf>
    <xf numFmtId="0" fontId="54" fillId="48" borderId="10" xfId="0" applyFont="1" applyFill="1" applyBorder="1" applyAlignment="1">
      <alignment horizontal="left"/>
    </xf>
    <xf numFmtId="0" fontId="54" fillId="50" borderId="10" xfId="0" applyFont="1" applyFill="1" applyBorder="1" applyAlignment="1">
      <alignment horizontal="left"/>
    </xf>
    <xf numFmtId="165" fontId="63" fillId="0" borderId="10" xfId="0" quotePrefix="1" applyNumberFormat="1" applyFont="1" applyBorder="1" applyAlignment="1">
      <alignment horizontal="center" vertical="center"/>
    </xf>
    <xf numFmtId="165" fontId="52" fillId="24" borderId="10" xfId="0" quotePrefix="1" applyNumberFormat="1" applyFont="1" applyFill="1" applyBorder="1" applyAlignment="1">
      <alignment horizontal="center" vertical="center"/>
    </xf>
    <xf numFmtId="0" fontId="54" fillId="24" borderId="10" xfId="0" applyFont="1" applyFill="1" applyBorder="1" applyAlignment="1">
      <alignment horizontal="center"/>
    </xf>
    <xf numFmtId="165" fontId="54" fillId="24" borderId="10" xfId="0" applyNumberFormat="1" applyFont="1" applyFill="1" applyBorder="1" applyAlignment="1">
      <alignment horizontal="center"/>
    </xf>
    <xf numFmtId="15" fontId="31" fillId="40" borderId="10" xfId="649" applyNumberFormat="1" applyFont="1" applyFill="1" applyBorder="1" applyAlignment="1">
      <alignment horizontal="center" vertical="center" wrapText="1"/>
    </xf>
    <xf numFmtId="15" fontId="31" fillId="26" borderId="10" xfId="0" applyNumberFormat="1" applyFont="1" applyFill="1" applyBorder="1" applyAlignment="1">
      <alignment horizontal="center" vertical="center"/>
    </xf>
    <xf numFmtId="0" fontId="52" fillId="0" borderId="10" xfId="0" applyFont="1" applyBorder="1" applyAlignment="1">
      <alignment horizontal="left" vertical="center"/>
    </xf>
    <xf numFmtId="0" fontId="68" fillId="0" borderId="10" xfId="0" applyFont="1" applyBorder="1" applyAlignment="1">
      <alignment horizontal="left"/>
    </xf>
    <xf numFmtId="0" fontId="68" fillId="0" borderId="10" xfId="0" applyFont="1" applyBorder="1" applyAlignment="1">
      <alignment horizontal="center"/>
    </xf>
    <xf numFmtId="0" fontId="56" fillId="24" borderId="10" xfId="0" applyFont="1" applyFill="1" applyBorder="1" applyAlignment="1">
      <alignment horizontal="left"/>
    </xf>
    <xf numFmtId="0" fontId="51" fillId="24" borderId="10" xfId="0" applyFont="1" applyFill="1" applyBorder="1" applyAlignment="1">
      <alignment horizontal="center"/>
    </xf>
    <xf numFmtId="0" fontId="56" fillId="0" borderId="10" xfId="0" applyFont="1" applyBorder="1" applyAlignment="1">
      <alignment horizontal="center"/>
    </xf>
    <xf numFmtId="0" fontId="29" fillId="28" borderId="10" xfId="649" applyFont="1" applyFill="1" applyBorder="1" applyAlignment="1">
      <alignment horizontal="left" vertical="center" wrapText="1"/>
    </xf>
    <xf numFmtId="0" fontId="23" fillId="46" borderId="10" xfId="649" applyFont="1" applyFill="1" applyBorder="1" applyAlignment="1">
      <alignment horizontal="center" vertical="center" wrapText="1"/>
    </xf>
    <xf numFmtId="0" fontId="46" fillId="26" borderId="10" xfId="0" applyFont="1" applyFill="1" applyBorder="1" applyAlignment="1">
      <alignment horizontal="center" vertical="center"/>
    </xf>
    <xf numFmtId="0" fontId="45" fillId="26" borderId="10" xfId="0" quotePrefix="1" applyFont="1" applyFill="1" applyBorder="1" applyAlignment="1">
      <alignment horizontal="center"/>
    </xf>
    <xf numFmtId="0" fontId="45" fillId="26" borderId="10" xfId="0" applyFont="1" applyFill="1" applyBorder="1" applyAlignment="1">
      <alignment horizontal="center"/>
    </xf>
    <xf numFmtId="0" fontId="0" fillId="26" borderId="12" xfId="0" applyFill="1" applyBorder="1"/>
    <xf numFmtId="0" fontId="0" fillId="26" borderId="10" xfId="0" applyFill="1" applyBorder="1"/>
    <xf numFmtId="0" fontId="45" fillId="26" borderId="10" xfId="0" quotePrefix="1" applyFont="1" applyFill="1" applyBorder="1"/>
    <xf numFmtId="0" fontId="42" fillId="0" borderId="10" xfId="0" applyFont="1" applyBorder="1" applyAlignment="1">
      <alignment horizontal="center"/>
    </xf>
    <xf numFmtId="0" fontId="32" fillId="28" borderId="10" xfId="649" applyFont="1" applyFill="1" applyBorder="1" applyAlignment="1">
      <alignment horizontal="center" vertical="center" wrapText="1"/>
    </xf>
    <xf numFmtId="0" fontId="35" fillId="29" borderId="10" xfId="0" applyFont="1" applyFill="1" applyBorder="1"/>
    <xf numFmtId="0" fontId="0" fillId="50" borderId="10" xfId="0" applyFill="1" applyBorder="1"/>
    <xf numFmtId="0" fontId="25" fillId="40" borderId="10" xfId="0" applyFont="1" applyFill="1" applyBorder="1" applyAlignment="1">
      <alignment horizontal="center"/>
    </xf>
    <xf numFmtId="0" fontId="52" fillId="26" borderId="10" xfId="0" applyFont="1" applyFill="1" applyBorder="1"/>
    <xf numFmtId="0" fontId="29" fillId="24" borderId="27" xfId="0" applyFont="1" applyFill="1" applyBorder="1" applyAlignment="1">
      <alignment horizontal="center"/>
    </xf>
    <xf numFmtId="0" fontId="56" fillId="29" borderId="10" xfId="0" applyFont="1" applyFill="1" applyBorder="1" applyAlignment="1">
      <alignment horizontal="center"/>
    </xf>
    <xf numFmtId="0" fontId="56" fillId="40" borderId="10" xfId="0" applyFont="1" applyFill="1" applyBorder="1" applyAlignment="1">
      <alignment horizontal="center"/>
    </xf>
    <xf numFmtId="15" fontId="56" fillId="29" borderId="10" xfId="649" applyNumberFormat="1" applyFont="1" applyFill="1" applyBorder="1" applyAlignment="1">
      <alignment horizontal="center" vertical="center" wrapText="1"/>
    </xf>
    <xf numFmtId="0" fontId="29" fillId="24" borderId="28" xfId="0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15" fontId="31" fillId="50" borderId="10" xfId="649" applyNumberFormat="1" applyFont="1" applyFill="1" applyBorder="1" applyAlignment="1">
      <alignment horizontal="center" vertical="center"/>
    </xf>
    <xf numFmtId="15" fontId="31" fillId="50" borderId="10" xfId="649" applyNumberFormat="1" applyFont="1" applyFill="1" applyBorder="1" applyAlignment="1">
      <alignment horizontal="center" vertical="center" wrapText="1"/>
    </xf>
    <xf numFmtId="15" fontId="31" fillId="47" borderId="10" xfId="649" applyNumberFormat="1" applyFont="1" applyFill="1" applyBorder="1" applyAlignment="1">
      <alignment horizontal="center" vertical="center" wrapText="1"/>
    </xf>
    <xf numFmtId="0" fontId="28" fillId="47" borderId="10" xfId="649" applyFont="1" applyFill="1" applyBorder="1" applyAlignment="1">
      <alignment horizontal="center" vertical="center" wrapText="1"/>
    </xf>
    <xf numFmtId="0" fontId="29" fillId="24" borderId="14" xfId="0" applyFont="1" applyFill="1" applyBorder="1" applyAlignment="1">
      <alignment horizontal="center"/>
    </xf>
    <xf numFmtId="0" fontId="71" fillId="24" borderId="10" xfId="0" applyFont="1" applyFill="1" applyBorder="1" applyAlignment="1">
      <alignment horizontal="center"/>
    </xf>
    <xf numFmtId="165" fontId="29" fillId="24" borderId="10" xfId="0" applyNumberFormat="1" applyFont="1" applyFill="1" applyBorder="1" applyAlignment="1">
      <alignment horizontal="center"/>
    </xf>
    <xf numFmtId="0" fontId="0" fillId="47" borderId="10" xfId="0" applyFill="1" applyBorder="1"/>
    <xf numFmtId="15" fontId="31" fillId="47" borderId="10" xfId="0" applyNumberFormat="1" applyFont="1" applyFill="1" applyBorder="1" applyAlignment="1">
      <alignment horizontal="center" vertical="center"/>
    </xf>
    <xf numFmtId="16" fontId="35" fillId="47" borderId="10" xfId="0" applyNumberFormat="1" applyFont="1" applyFill="1" applyBorder="1" applyAlignment="1">
      <alignment horizontal="center"/>
    </xf>
    <xf numFmtId="164" fontId="4" fillId="26" borderId="10" xfId="763" applyNumberFormat="1" applyFont="1" applyFill="1" applyBorder="1" applyAlignment="1">
      <alignment horizontal="left" vertical="center" wrapText="1"/>
    </xf>
    <xf numFmtId="0" fontId="52" fillId="47" borderId="10" xfId="0" applyFont="1" applyFill="1" applyBorder="1"/>
    <xf numFmtId="0" fontId="59" fillId="0" borderId="10" xfId="0" applyFont="1" applyBorder="1" applyAlignment="1">
      <alignment horizontal="left"/>
    </xf>
    <xf numFmtId="0" fontId="59" fillId="0" borderId="10" xfId="0" applyFont="1" applyBorder="1" applyAlignment="1">
      <alignment horizontal="center"/>
    </xf>
    <xf numFmtId="0" fontId="59" fillId="24" borderId="10" xfId="0" applyFont="1" applyFill="1" applyBorder="1" applyAlignment="1">
      <alignment horizontal="left"/>
    </xf>
    <xf numFmtId="0" fontId="59" fillId="24" borderId="10" xfId="0" applyFont="1" applyFill="1" applyBorder="1" applyAlignment="1">
      <alignment horizontal="center"/>
    </xf>
    <xf numFmtId="0" fontId="64" fillId="0" borderId="10" xfId="0" applyFont="1" applyBorder="1" applyAlignment="1">
      <alignment horizontal="left"/>
    </xf>
    <xf numFmtId="0" fontId="64" fillId="0" borderId="10" xfId="0" applyFont="1" applyBorder="1" applyAlignment="1">
      <alignment horizontal="center"/>
    </xf>
    <xf numFmtId="0" fontId="35" fillId="47" borderId="10" xfId="0" applyFont="1" applyFill="1" applyBorder="1"/>
    <xf numFmtId="15" fontId="35" fillId="47" borderId="10" xfId="0" applyNumberFormat="1" applyFont="1" applyFill="1" applyBorder="1" applyAlignment="1">
      <alignment horizontal="center" vertical="center"/>
    </xf>
    <xf numFmtId="0" fontId="35" fillId="26" borderId="0" xfId="0" applyFont="1" applyFill="1" applyAlignment="1">
      <alignment horizontal="center"/>
    </xf>
    <xf numFmtId="0" fontId="24" fillId="50" borderId="10" xfId="0" applyFont="1" applyFill="1" applyBorder="1" applyAlignment="1">
      <alignment horizontal="left"/>
    </xf>
    <xf numFmtId="0" fontId="24" fillId="50" borderId="10" xfId="0" applyFont="1" applyFill="1" applyBorder="1" applyAlignment="1">
      <alignment horizontal="center"/>
    </xf>
    <xf numFmtId="0" fontId="32" fillId="40" borderId="10" xfId="0" applyFont="1" applyFill="1" applyBorder="1" applyAlignment="1">
      <alignment horizontal="center" vertical="center"/>
    </xf>
    <xf numFmtId="16" fontId="35" fillId="24" borderId="10" xfId="0" applyNumberFormat="1" applyFont="1" applyFill="1" applyBorder="1" applyAlignment="1">
      <alignment horizontal="center"/>
    </xf>
    <xf numFmtId="0" fontId="25" fillId="46" borderId="10" xfId="649" applyFont="1" applyFill="1" applyBorder="1" applyAlignment="1">
      <alignment horizontal="center" vertical="center" wrapText="1"/>
    </xf>
    <xf numFmtId="0" fontId="25" fillId="28" borderId="10" xfId="649" applyFont="1" applyFill="1" applyBorder="1" applyAlignment="1">
      <alignment horizontal="left" vertical="center" wrapText="1"/>
    </xf>
    <xf numFmtId="0" fontId="31" fillId="28" borderId="10" xfId="649" applyFont="1" applyFill="1" applyBorder="1" applyAlignment="1">
      <alignment horizontal="left" vertical="center" wrapText="1"/>
    </xf>
    <xf numFmtId="0" fontId="35" fillId="28" borderId="10" xfId="649" applyFont="1" applyFill="1" applyBorder="1" applyAlignment="1">
      <alignment horizontal="center" vertical="center" wrapText="1"/>
    </xf>
    <xf numFmtId="165" fontId="31" fillId="28" borderId="10" xfId="649" applyNumberFormat="1" applyFont="1" applyFill="1" applyBorder="1" applyAlignment="1">
      <alignment horizontal="center" vertical="center" wrapText="1"/>
    </xf>
    <xf numFmtId="0" fontId="66" fillId="0" borderId="10" xfId="0" applyFont="1" applyBorder="1" applyAlignment="1">
      <alignment horizontal="left"/>
    </xf>
    <xf numFmtId="0" fontId="25" fillId="0" borderId="10" xfId="0" applyFont="1" applyBorder="1" applyAlignment="1">
      <alignment horizontal="left"/>
    </xf>
    <xf numFmtId="165" fontId="25" fillId="0" borderId="10" xfId="0" applyNumberFormat="1" applyFont="1" applyBorder="1" applyAlignment="1">
      <alignment horizontal="center"/>
    </xf>
    <xf numFmtId="0" fontId="66" fillId="0" borderId="10" xfId="0" applyFont="1" applyBorder="1" applyAlignment="1">
      <alignment horizontal="center"/>
    </xf>
    <xf numFmtId="0" fontId="35" fillId="0" borderId="10" xfId="0" applyFont="1" applyBorder="1" applyAlignment="1">
      <alignment horizontal="left" vertical="center"/>
    </xf>
    <xf numFmtId="0" fontId="56" fillId="24" borderId="10" xfId="0" applyFont="1" applyFill="1" applyBorder="1" applyAlignment="1">
      <alignment horizontal="center" vertical="center"/>
    </xf>
    <xf numFmtId="165" fontId="35" fillId="0" borderId="10" xfId="0" applyNumberFormat="1" applyFont="1" applyBorder="1" applyAlignment="1">
      <alignment horizontal="center"/>
    </xf>
    <xf numFmtId="0" fontId="25" fillId="48" borderId="10" xfId="0" applyFont="1" applyFill="1" applyBorder="1" applyAlignment="1">
      <alignment horizontal="left"/>
    </xf>
    <xf numFmtId="0" fontId="25" fillId="50" borderId="10" xfId="0" applyFont="1" applyFill="1" applyBorder="1" applyAlignment="1">
      <alignment horizontal="left"/>
    </xf>
    <xf numFmtId="0" fontId="35" fillId="0" borderId="14" xfId="0" applyFont="1" applyBorder="1"/>
    <xf numFmtId="0" fontId="35" fillId="0" borderId="14" xfId="0" quotePrefix="1" applyFont="1" applyBorder="1" applyAlignment="1">
      <alignment horizontal="center"/>
    </xf>
    <xf numFmtId="0" fontId="31" fillId="24" borderId="14" xfId="0" applyFont="1" applyFill="1" applyBorder="1" applyAlignment="1">
      <alignment horizontal="center" vertical="center"/>
    </xf>
    <xf numFmtId="0" fontId="35" fillId="0" borderId="10" xfId="0" applyFont="1" applyBorder="1"/>
    <xf numFmtId="0" fontId="35" fillId="0" borderId="10" xfId="0" quotePrefix="1" applyFont="1" applyBorder="1"/>
    <xf numFmtId="0" fontId="31" fillId="24" borderId="10" xfId="0" quotePrefix="1" applyFont="1" applyFill="1" applyBorder="1" applyAlignment="1">
      <alignment horizontal="center" vertical="center"/>
    </xf>
    <xf numFmtId="0" fontId="35" fillId="0" borderId="10" xfId="0" quotePrefix="1" applyFont="1" applyBorder="1" applyAlignment="1">
      <alignment horizontal="center"/>
    </xf>
    <xf numFmtId="0" fontId="68" fillId="24" borderId="16" xfId="0" applyFont="1" applyFill="1" applyBorder="1" applyAlignment="1">
      <alignment horizontal="center"/>
    </xf>
    <xf numFmtId="0" fontId="68" fillId="0" borderId="16" xfId="0" applyFont="1" applyBorder="1" applyAlignment="1">
      <alignment horizontal="center"/>
    </xf>
    <xf numFmtId="165" fontId="29" fillId="0" borderId="16" xfId="0" applyNumberFormat="1" applyFont="1" applyBorder="1" applyAlignment="1">
      <alignment horizontal="center"/>
    </xf>
    <xf numFmtId="0" fontId="24" fillId="0" borderId="16" xfId="0" applyFont="1" applyBorder="1" applyAlignment="1">
      <alignment horizontal="left"/>
    </xf>
    <xf numFmtId="0" fontId="24" fillId="0" borderId="16" xfId="0" applyFont="1" applyBorder="1" applyAlignment="1">
      <alignment horizontal="center"/>
    </xf>
    <xf numFmtId="0" fontId="0" fillId="0" borderId="16" xfId="0" applyBorder="1"/>
    <xf numFmtId="0" fontId="29" fillId="0" borderId="30" xfId="0" applyFont="1" applyBorder="1" applyAlignment="1">
      <alignment horizontal="center"/>
    </xf>
    <xf numFmtId="0" fontId="35" fillId="24" borderId="29" xfId="0" applyFont="1" applyFill="1" applyBorder="1" applyAlignment="1">
      <alignment horizontal="left"/>
    </xf>
    <xf numFmtId="0" fontId="31" fillId="24" borderId="29" xfId="0" applyFont="1" applyFill="1" applyBorder="1" applyAlignment="1">
      <alignment horizontal="center"/>
    </xf>
    <xf numFmtId="165" fontId="35" fillId="24" borderId="29" xfId="0" quotePrefix="1" applyNumberFormat="1" applyFont="1" applyFill="1" applyBorder="1" applyAlignment="1">
      <alignment horizontal="center"/>
    </xf>
    <xf numFmtId="0" fontId="35" fillId="24" borderId="29" xfId="0" applyFont="1" applyFill="1" applyBorder="1" applyAlignment="1">
      <alignment horizontal="center"/>
    </xf>
    <xf numFmtId="0" fontId="35" fillId="29" borderId="29" xfId="0" applyFont="1" applyFill="1" applyBorder="1" applyAlignment="1">
      <alignment horizontal="center"/>
    </xf>
    <xf numFmtId="0" fontId="35" fillId="26" borderId="29" xfId="0" applyFont="1" applyFill="1" applyBorder="1" applyAlignment="1">
      <alignment horizontal="center"/>
    </xf>
    <xf numFmtId="0" fontId="35" fillId="47" borderId="29" xfId="0" applyFont="1" applyFill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47" borderId="29" xfId="0" applyFont="1" applyFill="1" applyBorder="1" applyAlignment="1">
      <alignment horizontal="center"/>
    </xf>
    <xf numFmtId="0" fontId="29" fillId="24" borderId="29" xfId="0" applyFont="1" applyFill="1" applyBorder="1" applyAlignment="1">
      <alignment horizontal="center"/>
    </xf>
    <xf numFmtId="0" fontId="35" fillId="40" borderId="29" xfId="0" applyFont="1" applyFill="1" applyBorder="1" applyAlignment="1">
      <alignment horizontal="center"/>
    </xf>
    <xf numFmtId="0" fontId="0" fillId="0" borderId="29" xfId="0" applyBorder="1"/>
    <xf numFmtId="0" fontId="66" fillId="50" borderId="16" xfId="0" applyFont="1" applyFill="1" applyBorder="1" applyAlignment="1">
      <alignment horizontal="center"/>
    </xf>
    <xf numFmtId="0" fontId="25" fillId="50" borderId="16" xfId="0" applyFont="1" applyFill="1" applyBorder="1" applyAlignment="1">
      <alignment horizontal="center"/>
    </xf>
    <xf numFmtId="165" fontId="25" fillId="50" borderId="16" xfId="0" applyNumberFormat="1" applyFont="1" applyFill="1" applyBorder="1" applyAlignment="1">
      <alignment horizontal="center"/>
    </xf>
    <xf numFmtId="0" fontId="29" fillId="50" borderId="16" xfId="0" applyFont="1" applyFill="1" applyBorder="1" applyAlignment="1">
      <alignment horizontal="center"/>
    </xf>
    <xf numFmtId="0" fontId="24" fillId="50" borderId="16" xfId="0" applyFont="1" applyFill="1" applyBorder="1" applyAlignment="1">
      <alignment horizontal="left"/>
    </xf>
    <xf numFmtId="0" fontId="24" fillId="50" borderId="16" xfId="0" applyFont="1" applyFill="1" applyBorder="1" applyAlignment="1">
      <alignment horizontal="center"/>
    </xf>
    <xf numFmtId="0" fontId="35" fillId="50" borderId="16" xfId="0" applyFont="1" applyFill="1" applyBorder="1" applyAlignment="1">
      <alignment horizontal="center"/>
    </xf>
    <xf numFmtId="0" fontId="29" fillId="47" borderId="16" xfId="0" applyFont="1" applyFill="1" applyBorder="1" applyAlignment="1">
      <alignment horizontal="center"/>
    </xf>
    <xf numFmtId="0" fontId="35" fillId="29" borderId="16" xfId="0" applyFont="1" applyFill="1" applyBorder="1" applyAlignment="1">
      <alignment horizontal="center"/>
    </xf>
    <xf numFmtId="0" fontId="35" fillId="26" borderId="16" xfId="0" applyFont="1" applyFill="1" applyBorder="1" applyAlignment="1">
      <alignment horizontal="center"/>
    </xf>
    <xf numFmtId="0" fontId="35" fillId="24" borderId="16" xfId="0" applyFont="1" applyFill="1" applyBorder="1" applyAlignment="1">
      <alignment horizontal="center"/>
    </xf>
    <xf numFmtId="0" fontId="29" fillId="50" borderId="13" xfId="0" applyFont="1" applyFill="1" applyBorder="1" applyAlignment="1">
      <alignment horizontal="center"/>
    </xf>
    <xf numFmtId="0" fontId="56" fillId="24" borderId="29" xfId="0" applyFont="1" applyFill="1" applyBorder="1" applyAlignment="1">
      <alignment horizontal="center"/>
    </xf>
    <xf numFmtId="0" fontId="25" fillId="24" borderId="29" xfId="0" applyFont="1" applyFill="1" applyBorder="1" applyAlignment="1">
      <alignment horizontal="center"/>
    </xf>
    <xf numFmtId="0" fontId="59" fillId="24" borderId="29" xfId="0" applyFont="1" applyFill="1" applyBorder="1" applyAlignment="1">
      <alignment horizontal="left"/>
    </xf>
    <xf numFmtId="0" fontId="59" fillId="24" borderId="29" xfId="0" applyFont="1" applyFill="1" applyBorder="1" applyAlignment="1">
      <alignment horizontal="center"/>
    </xf>
    <xf numFmtId="0" fontId="35" fillId="24" borderId="29" xfId="0" applyFont="1" applyFill="1" applyBorder="1"/>
    <xf numFmtId="0" fontId="0" fillId="24" borderId="29" xfId="0" applyFill="1" applyBorder="1"/>
    <xf numFmtId="0" fontId="56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35" fillId="0" borderId="29" xfId="0" applyFont="1" applyBorder="1" applyAlignment="1">
      <alignment horizontal="left"/>
    </xf>
    <xf numFmtId="0" fontId="31" fillId="24" borderId="29" xfId="0" applyFont="1" applyFill="1" applyBorder="1" applyAlignment="1">
      <alignment horizontal="center" vertical="center"/>
    </xf>
    <xf numFmtId="165" fontId="35" fillId="0" borderId="29" xfId="0" quotePrefix="1" applyNumberFormat="1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25" fillId="0" borderId="29" xfId="0" applyFont="1" applyBorder="1" applyAlignment="1">
      <alignment horizontal="center"/>
    </xf>
    <xf numFmtId="0" fontId="59" fillId="0" borderId="29" xfId="0" applyFont="1" applyBorder="1" applyAlignment="1">
      <alignment horizontal="left"/>
    </xf>
    <xf numFmtId="0" fontId="59" fillId="0" borderId="29" xfId="0" applyFont="1" applyBorder="1" applyAlignment="1">
      <alignment horizontal="center"/>
    </xf>
    <xf numFmtId="0" fontId="32" fillId="24" borderId="29" xfId="0" applyFont="1" applyFill="1" applyBorder="1" applyAlignment="1">
      <alignment horizontal="center"/>
    </xf>
    <xf numFmtId="0" fontId="29" fillId="47" borderId="10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60" fillId="24" borderId="0" xfId="0" applyFont="1" applyFill="1" applyAlignment="1">
      <alignment horizontal="left"/>
    </xf>
    <xf numFmtId="0" fontId="60" fillId="24" borderId="0" xfId="0" applyFont="1" applyFill="1" applyAlignment="1">
      <alignment horizontal="center"/>
    </xf>
    <xf numFmtId="165" fontId="31" fillId="24" borderId="10" xfId="0" quotePrefix="1" applyNumberFormat="1" applyFont="1" applyFill="1" applyBorder="1" applyAlignment="1">
      <alignment horizontal="center"/>
    </xf>
    <xf numFmtId="0" fontId="62" fillId="24" borderId="0" xfId="0" applyFont="1" applyFill="1" applyAlignment="1">
      <alignment horizontal="left"/>
    </xf>
    <xf numFmtId="0" fontId="62" fillId="24" borderId="0" xfId="0" applyFont="1" applyFill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0" fillId="47" borderId="16" xfId="0" applyFill="1" applyBorder="1"/>
    <xf numFmtId="0" fontId="36" fillId="24" borderId="29" xfId="0" applyFont="1" applyFill="1" applyBorder="1" applyAlignment="1">
      <alignment horizontal="center"/>
    </xf>
    <xf numFmtId="0" fontId="31" fillId="26" borderId="29" xfId="0" applyFont="1" applyFill="1" applyBorder="1" applyAlignment="1">
      <alignment horizontal="center"/>
    </xf>
    <xf numFmtId="0" fontId="35" fillId="30" borderId="10" xfId="0" applyFont="1" applyFill="1" applyBorder="1" applyAlignment="1">
      <alignment horizontal="left"/>
    </xf>
    <xf numFmtId="0" fontId="31" fillId="30" borderId="10" xfId="0" applyFont="1" applyFill="1" applyBorder="1" applyAlignment="1">
      <alignment horizontal="left"/>
    </xf>
    <xf numFmtId="0" fontId="31" fillId="30" borderId="10" xfId="0" applyFont="1" applyFill="1" applyBorder="1" applyAlignment="1">
      <alignment horizontal="center" vertical="center"/>
    </xf>
    <xf numFmtId="165" fontId="35" fillId="30" borderId="10" xfId="0" quotePrefix="1" applyNumberFormat="1" applyFont="1" applyFill="1" applyBorder="1" applyAlignment="1">
      <alignment horizontal="center" vertical="center"/>
    </xf>
    <xf numFmtId="0" fontId="25" fillId="30" borderId="10" xfId="0" applyFont="1" applyFill="1" applyBorder="1" applyAlignment="1">
      <alignment horizontal="center"/>
    </xf>
    <xf numFmtId="0" fontId="59" fillId="30" borderId="10" xfId="0" applyFont="1" applyFill="1" applyBorder="1" applyAlignment="1">
      <alignment horizontal="left"/>
    </xf>
    <xf numFmtId="0" fontId="59" fillId="30" borderId="10" xfId="0" applyFont="1" applyFill="1" applyBorder="1" applyAlignment="1">
      <alignment horizontal="center"/>
    </xf>
    <xf numFmtId="0" fontId="29" fillId="30" borderId="0" xfId="0" applyFont="1" applyFill="1" applyAlignment="1">
      <alignment horizontal="center"/>
    </xf>
    <xf numFmtId="0" fontId="29" fillId="30" borderId="12" xfId="0" applyFont="1" applyFill="1" applyBorder="1" applyAlignment="1">
      <alignment horizontal="center"/>
    </xf>
    <xf numFmtId="0" fontId="35" fillId="30" borderId="14" xfId="0" applyFont="1" applyFill="1" applyBorder="1"/>
    <xf numFmtId="0" fontId="35" fillId="30" borderId="14" xfId="0" quotePrefix="1" applyFont="1" applyFill="1" applyBorder="1" applyAlignment="1">
      <alignment horizontal="center"/>
    </xf>
    <xf numFmtId="0" fontId="45" fillId="30" borderId="10" xfId="0" applyFont="1" applyFill="1" applyBorder="1"/>
    <xf numFmtId="0" fontId="35" fillId="30" borderId="10" xfId="0" applyFont="1" applyFill="1" applyBorder="1"/>
    <xf numFmtId="0" fontId="0" fillId="30" borderId="10" xfId="0" applyFill="1" applyBorder="1"/>
    <xf numFmtId="0" fontId="0" fillId="30" borderId="0" xfId="0" applyFill="1"/>
    <xf numFmtId="0" fontId="36" fillId="0" borderId="29" xfId="0" applyFont="1" applyBorder="1" applyAlignment="1">
      <alignment horizontal="center"/>
    </xf>
    <xf numFmtId="0" fontId="56" fillId="24" borderId="14" xfId="0" applyFont="1" applyFill="1" applyBorder="1" applyAlignment="1">
      <alignment horizontal="center"/>
    </xf>
    <xf numFmtId="0" fontId="35" fillId="0" borderId="16" xfId="0" applyFont="1" applyBorder="1" applyAlignment="1">
      <alignment horizontal="center"/>
    </xf>
    <xf numFmtId="0" fontId="35" fillId="0" borderId="16" xfId="0" applyFont="1" applyBorder="1" applyAlignment="1">
      <alignment horizontal="left"/>
    </xf>
    <xf numFmtId="165" fontId="35" fillId="0" borderId="16" xfId="0" applyNumberFormat="1" applyFont="1" applyBorder="1" applyAlignment="1">
      <alignment horizontal="left"/>
    </xf>
    <xf numFmtId="0" fontId="60" fillId="0" borderId="16" xfId="0" applyFont="1" applyBorder="1" applyAlignment="1">
      <alignment horizontal="left"/>
    </xf>
    <xf numFmtId="0" fontId="60" fillId="0" borderId="16" xfId="0" applyFont="1" applyBorder="1" applyAlignment="1">
      <alignment horizontal="center"/>
    </xf>
    <xf numFmtId="0" fontId="35" fillId="47" borderId="16" xfId="0" applyFont="1" applyFill="1" applyBorder="1" applyAlignment="1">
      <alignment horizontal="center"/>
    </xf>
    <xf numFmtId="0" fontId="35" fillId="0" borderId="16" xfId="0" applyFont="1" applyBorder="1"/>
    <xf numFmtId="16" fontId="31" fillId="26" borderId="10" xfId="0" applyNumberFormat="1" applyFont="1" applyFill="1" applyBorder="1" applyAlignment="1">
      <alignment horizontal="center"/>
    </xf>
    <xf numFmtId="0" fontId="30" fillId="50" borderId="10" xfId="0" applyFont="1" applyFill="1" applyBorder="1" applyAlignment="1">
      <alignment horizontal="center"/>
    </xf>
    <xf numFmtId="0" fontId="30" fillId="24" borderId="29" xfId="0" applyFont="1" applyFill="1" applyBorder="1" applyAlignment="1">
      <alignment horizontal="center"/>
    </xf>
    <xf numFmtId="0" fontId="30" fillId="50" borderId="16" xfId="0" applyFont="1" applyFill="1" applyBorder="1" applyAlignment="1">
      <alignment horizontal="center"/>
    </xf>
    <xf numFmtId="0" fontId="31" fillId="26" borderId="16" xfId="0" applyFont="1" applyFill="1" applyBorder="1" applyAlignment="1">
      <alignment horizontal="center"/>
    </xf>
    <xf numFmtId="0" fontId="35" fillId="40" borderId="16" xfId="0" applyFont="1" applyFill="1" applyBorder="1" applyAlignment="1">
      <alignment horizontal="center"/>
    </xf>
    <xf numFmtId="165" fontId="35" fillId="30" borderId="10" xfId="0" quotePrefix="1" applyNumberFormat="1" applyFont="1" applyFill="1" applyBorder="1" applyAlignment="1">
      <alignment horizontal="center"/>
    </xf>
    <xf numFmtId="14" fontId="31" fillId="29" borderId="10" xfId="0" applyNumberFormat="1" applyFont="1" applyFill="1" applyBorder="1" applyAlignment="1">
      <alignment horizontal="center"/>
    </xf>
    <xf numFmtId="0" fontId="56" fillId="30" borderId="29" xfId="0" applyFont="1" applyFill="1" applyBorder="1" applyAlignment="1">
      <alignment horizontal="center"/>
    </xf>
    <xf numFmtId="0" fontId="35" fillId="30" borderId="29" xfId="0" applyFont="1" applyFill="1" applyBorder="1" applyAlignment="1">
      <alignment horizontal="left"/>
    </xf>
    <xf numFmtId="0" fontId="31" fillId="30" borderId="29" xfId="0" applyFont="1" applyFill="1" applyBorder="1" applyAlignment="1">
      <alignment horizontal="center"/>
    </xf>
    <xf numFmtId="165" fontId="35" fillId="30" borderId="29" xfId="0" quotePrefix="1" applyNumberFormat="1" applyFont="1" applyFill="1" applyBorder="1" applyAlignment="1">
      <alignment horizontal="center"/>
    </xf>
    <xf numFmtId="0" fontId="35" fillId="30" borderId="29" xfId="0" applyFont="1" applyFill="1" applyBorder="1" applyAlignment="1">
      <alignment horizontal="center"/>
    </xf>
    <xf numFmtId="0" fontId="25" fillId="30" borderId="29" xfId="0" applyFont="1" applyFill="1" applyBorder="1" applyAlignment="1">
      <alignment horizontal="center"/>
    </xf>
    <xf numFmtId="0" fontId="59" fillId="30" borderId="29" xfId="0" applyFont="1" applyFill="1" applyBorder="1" applyAlignment="1">
      <alignment horizontal="left"/>
    </xf>
    <xf numFmtId="0" fontId="59" fillId="30" borderId="29" xfId="0" applyFont="1" applyFill="1" applyBorder="1" applyAlignment="1">
      <alignment horizontal="center"/>
    </xf>
    <xf numFmtId="0" fontId="29" fillId="30" borderId="29" xfId="0" applyFont="1" applyFill="1" applyBorder="1" applyAlignment="1">
      <alignment horizontal="center"/>
    </xf>
    <xf numFmtId="0" fontId="52" fillId="30" borderId="29" xfId="0" applyFont="1" applyFill="1" applyBorder="1" applyAlignment="1">
      <alignment horizontal="center"/>
    </xf>
    <xf numFmtId="0" fontId="29" fillId="30" borderId="16" xfId="0" applyFont="1" applyFill="1" applyBorder="1" applyAlignment="1">
      <alignment horizontal="center"/>
    </xf>
    <xf numFmtId="0" fontId="45" fillId="50" borderId="16" xfId="0" applyFont="1" applyFill="1" applyBorder="1"/>
    <xf numFmtId="0" fontId="25" fillId="29" borderId="10" xfId="0" applyFont="1" applyFill="1" applyBorder="1" applyAlignment="1">
      <alignment horizontal="center"/>
    </xf>
    <xf numFmtId="15" fontId="31" fillId="29" borderId="16" xfId="649" applyNumberFormat="1" applyFont="1" applyFill="1" applyBorder="1" applyAlignment="1">
      <alignment horizontal="center" vertical="center" wrapText="1"/>
    </xf>
    <xf numFmtId="15" fontId="31" fillId="26" borderId="16" xfId="649" applyNumberFormat="1" applyFont="1" applyFill="1" applyBorder="1" applyAlignment="1">
      <alignment horizontal="center" vertical="center" wrapText="1"/>
    </xf>
    <xf numFmtId="0" fontId="25" fillId="26" borderId="10" xfId="0" applyFont="1" applyFill="1" applyBorder="1" applyAlignment="1">
      <alignment horizontal="center"/>
    </xf>
    <xf numFmtId="0" fontId="0" fillId="40" borderId="10" xfId="0" applyFill="1" applyBorder="1"/>
    <xf numFmtId="0" fontId="25" fillId="24" borderId="31" xfId="0" applyFont="1" applyFill="1" applyBorder="1" applyAlignment="1">
      <alignment horizontal="center"/>
    </xf>
    <xf numFmtId="0" fontId="35" fillId="50" borderId="10" xfId="0" applyFont="1" applyFill="1" applyBorder="1" applyAlignment="1">
      <alignment horizontal="center"/>
    </xf>
    <xf numFmtId="0" fontId="32" fillId="47" borderId="16" xfId="0" applyFont="1" applyFill="1" applyBorder="1" applyAlignment="1">
      <alignment horizontal="center"/>
    </xf>
    <xf numFmtId="0" fontId="59" fillId="26" borderId="10" xfId="0" applyFont="1" applyFill="1" applyBorder="1" applyAlignment="1">
      <alignment horizontal="left"/>
    </xf>
    <xf numFmtId="0" fontId="59" fillId="26" borderId="10" xfId="0" applyFont="1" applyFill="1" applyBorder="1" applyAlignment="1">
      <alignment horizontal="center"/>
    </xf>
    <xf numFmtId="165" fontId="31" fillId="24" borderId="10" xfId="0" quotePrefix="1" applyNumberFormat="1" applyFont="1" applyFill="1" applyBorder="1" applyAlignment="1">
      <alignment horizontal="center" vertical="center"/>
    </xf>
    <xf numFmtId="0" fontId="56" fillId="24" borderId="16" xfId="0" applyFont="1" applyFill="1" applyBorder="1" applyAlignment="1">
      <alignment horizontal="center"/>
    </xf>
    <xf numFmtId="0" fontId="32" fillId="47" borderId="29" xfId="0" applyFont="1" applyFill="1" applyBorder="1" applyAlignment="1">
      <alignment horizontal="center"/>
    </xf>
    <xf numFmtId="0" fontId="32" fillId="50" borderId="10" xfId="0" applyFont="1" applyFill="1" applyBorder="1" applyAlignment="1">
      <alignment horizontal="center"/>
    </xf>
    <xf numFmtId="0" fontId="32" fillId="30" borderId="10" xfId="0" applyFont="1" applyFill="1" applyBorder="1" applyAlignment="1">
      <alignment horizontal="center"/>
    </xf>
    <xf numFmtId="14" fontId="37" fillId="26" borderId="10" xfId="0" applyNumberFormat="1" applyFont="1" applyFill="1" applyBorder="1" applyAlignment="1">
      <alignment horizontal="center"/>
    </xf>
    <xf numFmtId="14" fontId="37" fillId="26" borderId="14" xfId="0" applyNumberFormat="1" applyFont="1" applyFill="1" applyBorder="1" applyAlignment="1">
      <alignment horizontal="center"/>
    </xf>
  </cellXfs>
  <cellStyles count="818">
    <cellStyle name="20% - Accent1 2" xfId="1" xr:uid="{00000000-0005-0000-0000-000000000000}"/>
    <cellStyle name="20% - Accent1 2 10" xfId="2" xr:uid="{00000000-0005-0000-0000-000001000000}"/>
    <cellStyle name="20% - Accent1 2 11" xfId="3" xr:uid="{00000000-0005-0000-0000-000002000000}"/>
    <cellStyle name="20% - Accent1 2 2" xfId="4" xr:uid="{00000000-0005-0000-0000-000003000000}"/>
    <cellStyle name="20% - Accent1 2 2 2" xfId="5" xr:uid="{00000000-0005-0000-0000-000004000000}"/>
    <cellStyle name="20% - Accent1 2 2 3" xfId="6" xr:uid="{00000000-0005-0000-0000-000005000000}"/>
    <cellStyle name="20% - Accent1 2 2 4" xfId="7" xr:uid="{00000000-0005-0000-0000-000006000000}"/>
    <cellStyle name="20% - Accent1 2 2 5" xfId="8" xr:uid="{00000000-0005-0000-0000-000007000000}"/>
    <cellStyle name="20% - Accent1 2 3" xfId="9" xr:uid="{00000000-0005-0000-0000-000008000000}"/>
    <cellStyle name="20% - Accent1 2 3 2" xfId="10" xr:uid="{00000000-0005-0000-0000-000009000000}"/>
    <cellStyle name="20% - Accent1 2 3 3" xfId="11" xr:uid="{00000000-0005-0000-0000-00000A000000}"/>
    <cellStyle name="20% - Accent1 2 3 4" xfId="12" xr:uid="{00000000-0005-0000-0000-00000B000000}"/>
    <cellStyle name="20% - Accent1 2 3 5" xfId="13" xr:uid="{00000000-0005-0000-0000-00000C000000}"/>
    <cellStyle name="20% - Accent1 2 4" xfId="14" xr:uid="{00000000-0005-0000-0000-00000D000000}"/>
    <cellStyle name="20% - Accent1 2 4 2" xfId="15" xr:uid="{00000000-0005-0000-0000-00000E000000}"/>
    <cellStyle name="20% - Accent1 2 4 3" xfId="16" xr:uid="{00000000-0005-0000-0000-00000F000000}"/>
    <cellStyle name="20% - Accent1 2 4 4" xfId="17" xr:uid="{00000000-0005-0000-0000-000010000000}"/>
    <cellStyle name="20% - Accent1 2 4 5" xfId="18" xr:uid="{00000000-0005-0000-0000-000011000000}"/>
    <cellStyle name="20% - Accent1 2 5" xfId="19" xr:uid="{00000000-0005-0000-0000-000012000000}"/>
    <cellStyle name="20% - Accent1 2 6" xfId="20" xr:uid="{00000000-0005-0000-0000-000013000000}"/>
    <cellStyle name="20% - Accent1 2 7" xfId="21" xr:uid="{00000000-0005-0000-0000-000014000000}"/>
    <cellStyle name="20% - Accent1 2 8" xfId="22" xr:uid="{00000000-0005-0000-0000-000015000000}"/>
    <cellStyle name="20% - Accent1 2 9" xfId="23" xr:uid="{00000000-0005-0000-0000-000016000000}"/>
    <cellStyle name="20% - Accent1 3" xfId="24" xr:uid="{00000000-0005-0000-0000-000017000000}"/>
    <cellStyle name="20% - Accent1 3 2" xfId="25" xr:uid="{00000000-0005-0000-0000-000018000000}"/>
    <cellStyle name="20% - Accent1 3 3" xfId="26" xr:uid="{00000000-0005-0000-0000-000019000000}"/>
    <cellStyle name="20% - Accent1 3 4" xfId="27" xr:uid="{00000000-0005-0000-0000-00001A000000}"/>
    <cellStyle name="20% - Accent1 3 5" xfId="28" xr:uid="{00000000-0005-0000-0000-00001B000000}"/>
    <cellStyle name="20% - Accent1 4" xfId="29" xr:uid="{00000000-0005-0000-0000-00001C000000}"/>
    <cellStyle name="20% - Accent1 4 2" xfId="30" xr:uid="{00000000-0005-0000-0000-00001D000000}"/>
    <cellStyle name="20% - Accent1 4 3" xfId="31" xr:uid="{00000000-0005-0000-0000-00001E000000}"/>
    <cellStyle name="20% - Accent1 4 4" xfId="32" xr:uid="{00000000-0005-0000-0000-00001F000000}"/>
    <cellStyle name="20% - Accent1 4 5" xfId="33" xr:uid="{00000000-0005-0000-0000-000020000000}"/>
    <cellStyle name="20% - Accent1 5" xfId="34" xr:uid="{00000000-0005-0000-0000-000021000000}"/>
    <cellStyle name="20% - Accent2 2" xfId="35" xr:uid="{00000000-0005-0000-0000-000022000000}"/>
    <cellStyle name="20% - Accent2 2 10" xfId="36" xr:uid="{00000000-0005-0000-0000-000023000000}"/>
    <cellStyle name="20% - Accent2 2 11" xfId="37" xr:uid="{00000000-0005-0000-0000-000024000000}"/>
    <cellStyle name="20% - Accent2 2 2" xfId="38" xr:uid="{00000000-0005-0000-0000-000025000000}"/>
    <cellStyle name="20% - Accent2 2 2 2" xfId="39" xr:uid="{00000000-0005-0000-0000-000026000000}"/>
    <cellStyle name="20% - Accent2 2 2 3" xfId="40" xr:uid="{00000000-0005-0000-0000-000027000000}"/>
    <cellStyle name="20% - Accent2 2 2 4" xfId="41" xr:uid="{00000000-0005-0000-0000-000028000000}"/>
    <cellStyle name="20% - Accent2 2 2 5" xfId="42" xr:uid="{00000000-0005-0000-0000-000029000000}"/>
    <cellStyle name="20% - Accent2 2 3" xfId="43" xr:uid="{00000000-0005-0000-0000-00002A000000}"/>
    <cellStyle name="20% - Accent2 2 3 2" xfId="44" xr:uid="{00000000-0005-0000-0000-00002B000000}"/>
    <cellStyle name="20% - Accent2 2 3 3" xfId="45" xr:uid="{00000000-0005-0000-0000-00002C000000}"/>
    <cellStyle name="20% - Accent2 2 3 4" xfId="46" xr:uid="{00000000-0005-0000-0000-00002D000000}"/>
    <cellStyle name="20% - Accent2 2 3 5" xfId="47" xr:uid="{00000000-0005-0000-0000-00002E000000}"/>
    <cellStyle name="20% - Accent2 2 4" xfId="48" xr:uid="{00000000-0005-0000-0000-00002F000000}"/>
    <cellStyle name="20% - Accent2 2 4 2" xfId="49" xr:uid="{00000000-0005-0000-0000-000030000000}"/>
    <cellStyle name="20% - Accent2 2 4 3" xfId="50" xr:uid="{00000000-0005-0000-0000-000031000000}"/>
    <cellStyle name="20% - Accent2 2 4 4" xfId="51" xr:uid="{00000000-0005-0000-0000-000032000000}"/>
    <cellStyle name="20% - Accent2 2 4 5" xfId="52" xr:uid="{00000000-0005-0000-0000-000033000000}"/>
    <cellStyle name="20% - Accent2 2 5" xfId="53" xr:uid="{00000000-0005-0000-0000-000034000000}"/>
    <cellStyle name="20% - Accent2 2 6" xfId="54" xr:uid="{00000000-0005-0000-0000-000035000000}"/>
    <cellStyle name="20% - Accent2 2 7" xfId="55" xr:uid="{00000000-0005-0000-0000-000036000000}"/>
    <cellStyle name="20% - Accent2 2 8" xfId="56" xr:uid="{00000000-0005-0000-0000-000037000000}"/>
    <cellStyle name="20% - Accent2 2 9" xfId="57" xr:uid="{00000000-0005-0000-0000-000038000000}"/>
    <cellStyle name="20% - Accent2 3" xfId="58" xr:uid="{00000000-0005-0000-0000-000039000000}"/>
    <cellStyle name="20% - Accent2 3 2" xfId="59" xr:uid="{00000000-0005-0000-0000-00003A000000}"/>
    <cellStyle name="20% - Accent2 3 3" xfId="60" xr:uid="{00000000-0005-0000-0000-00003B000000}"/>
    <cellStyle name="20% - Accent2 3 4" xfId="61" xr:uid="{00000000-0005-0000-0000-00003C000000}"/>
    <cellStyle name="20% - Accent2 3 5" xfId="62" xr:uid="{00000000-0005-0000-0000-00003D000000}"/>
    <cellStyle name="20% - Accent2 4" xfId="63" xr:uid="{00000000-0005-0000-0000-00003E000000}"/>
    <cellStyle name="20% - Accent2 4 2" xfId="64" xr:uid="{00000000-0005-0000-0000-00003F000000}"/>
    <cellStyle name="20% - Accent2 4 3" xfId="65" xr:uid="{00000000-0005-0000-0000-000040000000}"/>
    <cellStyle name="20% - Accent2 4 4" xfId="66" xr:uid="{00000000-0005-0000-0000-000041000000}"/>
    <cellStyle name="20% - Accent2 4 5" xfId="67" xr:uid="{00000000-0005-0000-0000-000042000000}"/>
    <cellStyle name="20% - Accent2 5" xfId="68" xr:uid="{00000000-0005-0000-0000-000043000000}"/>
    <cellStyle name="20% - Accent3 2" xfId="69" xr:uid="{00000000-0005-0000-0000-000044000000}"/>
    <cellStyle name="20% - Accent3 2 10" xfId="70" xr:uid="{00000000-0005-0000-0000-000045000000}"/>
    <cellStyle name="20% - Accent3 2 11" xfId="71" xr:uid="{00000000-0005-0000-0000-000046000000}"/>
    <cellStyle name="20% - Accent3 2 2" xfId="72" xr:uid="{00000000-0005-0000-0000-000047000000}"/>
    <cellStyle name="20% - Accent3 2 2 2" xfId="73" xr:uid="{00000000-0005-0000-0000-000048000000}"/>
    <cellStyle name="20% - Accent3 2 2 3" xfId="74" xr:uid="{00000000-0005-0000-0000-000049000000}"/>
    <cellStyle name="20% - Accent3 2 2 4" xfId="75" xr:uid="{00000000-0005-0000-0000-00004A000000}"/>
    <cellStyle name="20% - Accent3 2 2 5" xfId="76" xr:uid="{00000000-0005-0000-0000-00004B000000}"/>
    <cellStyle name="20% - Accent3 2 3" xfId="77" xr:uid="{00000000-0005-0000-0000-00004C000000}"/>
    <cellStyle name="20% - Accent3 2 3 2" xfId="78" xr:uid="{00000000-0005-0000-0000-00004D000000}"/>
    <cellStyle name="20% - Accent3 2 3 3" xfId="79" xr:uid="{00000000-0005-0000-0000-00004E000000}"/>
    <cellStyle name="20% - Accent3 2 3 4" xfId="80" xr:uid="{00000000-0005-0000-0000-00004F000000}"/>
    <cellStyle name="20% - Accent3 2 3 5" xfId="81" xr:uid="{00000000-0005-0000-0000-000050000000}"/>
    <cellStyle name="20% - Accent3 2 4" xfId="82" xr:uid="{00000000-0005-0000-0000-000051000000}"/>
    <cellStyle name="20% - Accent3 2 4 2" xfId="83" xr:uid="{00000000-0005-0000-0000-000052000000}"/>
    <cellStyle name="20% - Accent3 2 4 3" xfId="84" xr:uid="{00000000-0005-0000-0000-000053000000}"/>
    <cellStyle name="20% - Accent3 2 4 4" xfId="85" xr:uid="{00000000-0005-0000-0000-000054000000}"/>
    <cellStyle name="20% - Accent3 2 4 5" xfId="86" xr:uid="{00000000-0005-0000-0000-000055000000}"/>
    <cellStyle name="20% - Accent3 2 5" xfId="87" xr:uid="{00000000-0005-0000-0000-000056000000}"/>
    <cellStyle name="20% - Accent3 2 6" xfId="88" xr:uid="{00000000-0005-0000-0000-000057000000}"/>
    <cellStyle name="20% - Accent3 2 7" xfId="89" xr:uid="{00000000-0005-0000-0000-000058000000}"/>
    <cellStyle name="20% - Accent3 2 8" xfId="90" xr:uid="{00000000-0005-0000-0000-000059000000}"/>
    <cellStyle name="20% - Accent3 2 9" xfId="91" xr:uid="{00000000-0005-0000-0000-00005A000000}"/>
    <cellStyle name="20% - Accent3 3" xfId="92" xr:uid="{00000000-0005-0000-0000-00005B000000}"/>
    <cellStyle name="20% - Accent3 3 2" xfId="93" xr:uid="{00000000-0005-0000-0000-00005C000000}"/>
    <cellStyle name="20% - Accent3 3 3" xfId="94" xr:uid="{00000000-0005-0000-0000-00005D000000}"/>
    <cellStyle name="20% - Accent3 3 4" xfId="95" xr:uid="{00000000-0005-0000-0000-00005E000000}"/>
    <cellStyle name="20% - Accent3 3 5" xfId="96" xr:uid="{00000000-0005-0000-0000-00005F000000}"/>
    <cellStyle name="20% - Accent3 4" xfId="97" xr:uid="{00000000-0005-0000-0000-000060000000}"/>
    <cellStyle name="20% - Accent3 4 2" xfId="98" xr:uid="{00000000-0005-0000-0000-000061000000}"/>
    <cellStyle name="20% - Accent3 4 3" xfId="99" xr:uid="{00000000-0005-0000-0000-000062000000}"/>
    <cellStyle name="20% - Accent3 4 4" xfId="100" xr:uid="{00000000-0005-0000-0000-000063000000}"/>
    <cellStyle name="20% - Accent3 4 5" xfId="101" xr:uid="{00000000-0005-0000-0000-000064000000}"/>
    <cellStyle name="20% - Accent3 5" xfId="102" xr:uid="{00000000-0005-0000-0000-000065000000}"/>
    <cellStyle name="20% - Accent4 2" xfId="103" xr:uid="{00000000-0005-0000-0000-000066000000}"/>
    <cellStyle name="20% - Accent4 2 10" xfId="104" xr:uid="{00000000-0005-0000-0000-000067000000}"/>
    <cellStyle name="20% - Accent4 2 11" xfId="105" xr:uid="{00000000-0005-0000-0000-000068000000}"/>
    <cellStyle name="20% - Accent4 2 2" xfId="106" xr:uid="{00000000-0005-0000-0000-000069000000}"/>
    <cellStyle name="20% - Accent4 2 2 2" xfId="107" xr:uid="{00000000-0005-0000-0000-00006A000000}"/>
    <cellStyle name="20% - Accent4 2 2 3" xfId="108" xr:uid="{00000000-0005-0000-0000-00006B000000}"/>
    <cellStyle name="20% - Accent4 2 2 4" xfId="109" xr:uid="{00000000-0005-0000-0000-00006C000000}"/>
    <cellStyle name="20% - Accent4 2 2 5" xfId="110" xr:uid="{00000000-0005-0000-0000-00006D000000}"/>
    <cellStyle name="20% - Accent4 2 3" xfId="111" xr:uid="{00000000-0005-0000-0000-00006E000000}"/>
    <cellStyle name="20% - Accent4 2 3 2" xfId="112" xr:uid="{00000000-0005-0000-0000-00006F000000}"/>
    <cellStyle name="20% - Accent4 2 3 3" xfId="113" xr:uid="{00000000-0005-0000-0000-000070000000}"/>
    <cellStyle name="20% - Accent4 2 3 4" xfId="114" xr:uid="{00000000-0005-0000-0000-000071000000}"/>
    <cellStyle name="20% - Accent4 2 3 5" xfId="115" xr:uid="{00000000-0005-0000-0000-000072000000}"/>
    <cellStyle name="20% - Accent4 2 4" xfId="116" xr:uid="{00000000-0005-0000-0000-000073000000}"/>
    <cellStyle name="20% - Accent4 2 4 2" xfId="117" xr:uid="{00000000-0005-0000-0000-000074000000}"/>
    <cellStyle name="20% - Accent4 2 4 3" xfId="118" xr:uid="{00000000-0005-0000-0000-000075000000}"/>
    <cellStyle name="20% - Accent4 2 4 4" xfId="119" xr:uid="{00000000-0005-0000-0000-000076000000}"/>
    <cellStyle name="20% - Accent4 2 4 5" xfId="120" xr:uid="{00000000-0005-0000-0000-000077000000}"/>
    <cellStyle name="20% - Accent4 2 5" xfId="121" xr:uid="{00000000-0005-0000-0000-000078000000}"/>
    <cellStyle name="20% - Accent4 2 6" xfId="122" xr:uid="{00000000-0005-0000-0000-000079000000}"/>
    <cellStyle name="20% - Accent4 2 7" xfId="123" xr:uid="{00000000-0005-0000-0000-00007A000000}"/>
    <cellStyle name="20% - Accent4 2 8" xfId="124" xr:uid="{00000000-0005-0000-0000-00007B000000}"/>
    <cellStyle name="20% - Accent4 2 9" xfId="125" xr:uid="{00000000-0005-0000-0000-00007C000000}"/>
    <cellStyle name="20% - Accent4 3" xfId="126" xr:uid="{00000000-0005-0000-0000-00007D000000}"/>
    <cellStyle name="20% - Accent4 3 2" xfId="127" xr:uid="{00000000-0005-0000-0000-00007E000000}"/>
    <cellStyle name="20% - Accent4 3 3" xfId="128" xr:uid="{00000000-0005-0000-0000-00007F000000}"/>
    <cellStyle name="20% - Accent4 3 4" xfId="129" xr:uid="{00000000-0005-0000-0000-000080000000}"/>
    <cellStyle name="20% - Accent4 3 5" xfId="130" xr:uid="{00000000-0005-0000-0000-000081000000}"/>
    <cellStyle name="20% - Accent4 4" xfId="131" xr:uid="{00000000-0005-0000-0000-000082000000}"/>
    <cellStyle name="20% - Accent4 4 2" xfId="132" xr:uid="{00000000-0005-0000-0000-000083000000}"/>
    <cellStyle name="20% - Accent4 4 3" xfId="133" xr:uid="{00000000-0005-0000-0000-000084000000}"/>
    <cellStyle name="20% - Accent4 4 4" xfId="134" xr:uid="{00000000-0005-0000-0000-000085000000}"/>
    <cellStyle name="20% - Accent4 4 5" xfId="135" xr:uid="{00000000-0005-0000-0000-000086000000}"/>
    <cellStyle name="20% - Accent4 5" xfId="136" xr:uid="{00000000-0005-0000-0000-000087000000}"/>
    <cellStyle name="20% - Accent5 2" xfId="137" xr:uid="{00000000-0005-0000-0000-000088000000}"/>
    <cellStyle name="20% - Accent5 2 10" xfId="138" xr:uid="{00000000-0005-0000-0000-000089000000}"/>
    <cellStyle name="20% - Accent5 2 11" xfId="139" xr:uid="{00000000-0005-0000-0000-00008A000000}"/>
    <cellStyle name="20% - Accent5 2 2" xfId="140" xr:uid="{00000000-0005-0000-0000-00008B000000}"/>
    <cellStyle name="20% - Accent5 2 2 2" xfId="141" xr:uid="{00000000-0005-0000-0000-00008C000000}"/>
    <cellStyle name="20% - Accent5 2 2 3" xfId="142" xr:uid="{00000000-0005-0000-0000-00008D000000}"/>
    <cellStyle name="20% - Accent5 2 2 4" xfId="143" xr:uid="{00000000-0005-0000-0000-00008E000000}"/>
    <cellStyle name="20% - Accent5 2 2 5" xfId="144" xr:uid="{00000000-0005-0000-0000-00008F000000}"/>
    <cellStyle name="20% - Accent5 2 3" xfId="145" xr:uid="{00000000-0005-0000-0000-000090000000}"/>
    <cellStyle name="20% - Accent5 2 3 2" xfId="146" xr:uid="{00000000-0005-0000-0000-000091000000}"/>
    <cellStyle name="20% - Accent5 2 3 3" xfId="147" xr:uid="{00000000-0005-0000-0000-000092000000}"/>
    <cellStyle name="20% - Accent5 2 3 4" xfId="148" xr:uid="{00000000-0005-0000-0000-000093000000}"/>
    <cellStyle name="20% - Accent5 2 3 5" xfId="149" xr:uid="{00000000-0005-0000-0000-000094000000}"/>
    <cellStyle name="20% - Accent5 2 4" xfId="150" xr:uid="{00000000-0005-0000-0000-000095000000}"/>
    <cellStyle name="20% - Accent5 2 4 2" xfId="151" xr:uid="{00000000-0005-0000-0000-000096000000}"/>
    <cellStyle name="20% - Accent5 2 4 3" xfId="152" xr:uid="{00000000-0005-0000-0000-000097000000}"/>
    <cellStyle name="20% - Accent5 2 4 4" xfId="153" xr:uid="{00000000-0005-0000-0000-000098000000}"/>
    <cellStyle name="20% - Accent5 2 4 5" xfId="154" xr:uid="{00000000-0005-0000-0000-000099000000}"/>
    <cellStyle name="20% - Accent5 2 5" xfId="155" xr:uid="{00000000-0005-0000-0000-00009A000000}"/>
    <cellStyle name="20% - Accent5 2 6" xfId="156" xr:uid="{00000000-0005-0000-0000-00009B000000}"/>
    <cellStyle name="20% - Accent5 2 7" xfId="157" xr:uid="{00000000-0005-0000-0000-00009C000000}"/>
    <cellStyle name="20% - Accent5 2 8" xfId="158" xr:uid="{00000000-0005-0000-0000-00009D000000}"/>
    <cellStyle name="20% - Accent5 2 9" xfId="159" xr:uid="{00000000-0005-0000-0000-00009E000000}"/>
    <cellStyle name="20% - Accent5 3" xfId="160" xr:uid="{00000000-0005-0000-0000-00009F000000}"/>
    <cellStyle name="20% - Accent5 3 2" xfId="161" xr:uid="{00000000-0005-0000-0000-0000A0000000}"/>
    <cellStyle name="20% - Accent5 3 3" xfId="162" xr:uid="{00000000-0005-0000-0000-0000A1000000}"/>
    <cellStyle name="20% - Accent5 3 4" xfId="163" xr:uid="{00000000-0005-0000-0000-0000A2000000}"/>
    <cellStyle name="20% - Accent5 3 5" xfId="164" xr:uid="{00000000-0005-0000-0000-0000A3000000}"/>
    <cellStyle name="20% - Accent5 4" xfId="165" xr:uid="{00000000-0005-0000-0000-0000A4000000}"/>
    <cellStyle name="20% - Accent5 4 2" xfId="166" xr:uid="{00000000-0005-0000-0000-0000A5000000}"/>
    <cellStyle name="20% - Accent5 4 3" xfId="167" xr:uid="{00000000-0005-0000-0000-0000A6000000}"/>
    <cellStyle name="20% - Accent5 4 4" xfId="168" xr:uid="{00000000-0005-0000-0000-0000A7000000}"/>
    <cellStyle name="20% - Accent5 4 5" xfId="169" xr:uid="{00000000-0005-0000-0000-0000A8000000}"/>
    <cellStyle name="20% - Accent5 5" xfId="170" xr:uid="{00000000-0005-0000-0000-0000A9000000}"/>
    <cellStyle name="20% - Accent6 2" xfId="171" xr:uid="{00000000-0005-0000-0000-0000AA000000}"/>
    <cellStyle name="20% - Accent6 2 10" xfId="172" xr:uid="{00000000-0005-0000-0000-0000AB000000}"/>
    <cellStyle name="20% - Accent6 2 11" xfId="173" xr:uid="{00000000-0005-0000-0000-0000AC000000}"/>
    <cellStyle name="20% - Accent6 2 2" xfId="174" xr:uid="{00000000-0005-0000-0000-0000AD000000}"/>
    <cellStyle name="20% - Accent6 2 2 2" xfId="175" xr:uid="{00000000-0005-0000-0000-0000AE000000}"/>
    <cellStyle name="20% - Accent6 2 2 3" xfId="176" xr:uid="{00000000-0005-0000-0000-0000AF000000}"/>
    <cellStyle name="20% - Accent6 2 2 4" xfId="177" xr:uid="{00000000-0005-0000-0000-0000B0000000}"/>
    <cellStyle name="20% - Accent6 2 2 5" xfId="178" xr:uid="{00000000-0005-0000-0000-0000B1000000}"/>
    <cellStyle name="20% - Accent6 2 3" xfId="179" xr:uid="{00000000-0005-0000-0000-0000B2000000}"/>
    <cellStyle name="20% - Accent6 2 3 2" xfId="180" xr:uid="{00000000-0005-0000-0000-0000B3000000}"/>
    <cellStyle name="20% - Accent6 2 3 3" xfId="181" xr:uid="{00000000-0005-0000-0000-0000B4000000}"/>
    <cellStyle name="20% - Accent6 2 3 4" xfId="182" xr:uid="{00000000-0005-0000-0000-0000B5000000}"/>
    <cellStyle name="20% - Accent6 2 3 5" xfId="183" xr:uid="{00000000-0005-0000-0000-0000B6000000}"/>
    <cellStyle name="20% - Accent6 2 4" xfId="184" xr:uid="{00000000-0005-0000-0000-0000B7000000}"/>
    <cellStyle name="20% - Accent6 2 4 2" xfId="185" xr:uid="{00000000-0005-0000-0000-0000B8000000}"/>
    <cellStyle name="20% - Accent6 2 4 3" xfId="186" xr:uid="{00000000-0005-0000-0000-0000B9000000}"/>
    <cellStyle name="20% - Accent6 2 4 4" xfId="187" xr:uid="{00000000-0005-0000-0000-0000BA000000}"/>
    <cellStyle name="20% - Accent6 2 4 5" xfId="188" xr:uid="{00000000-0005-0000-0000-0000BB000000}"/>
    <cellStyle name="20% - Accent6 2 5" xfId="189" xr:uid="{00000000-0005-0000-0000-0000BC000000}"/>
    <cellStyle name="20% - Accent6 2 6" xfId="190" xr:uid="{00000000-0005-0000-0000-0000BD000000}"/>
    <cellStyle name="20% - Accent6 2 7" xfId="191" xr:uid="{00000000-0005-0000-0000-0000BE000000}"/>
    <cellStyle name="20% - Accent6 2 8" xfId="192" xr:uid="{00000000-0005-0000-0000-0000BF000000}"/>
    <cellStyle name="20% - Accent6 2 9" xfId="193" xr:uid="{00000000-0005-0000-0000-0000C0000000}"/>
    <cellStyle name="20% - Accent6 3" xfId="194" xr:uid="{00000000-0005-0000-0000-0000C1000000}"/>
    <cellStyle name="20% - Accent6 3 2" xfId="195" xr:uid="{00000000-0005-0000-0000-0000C2000000}"/>
    <cellStyle name="20% - Accent6 3 3" xfId="196" xr:uid="{00000000-0005-0000-0000-0000C3000000}"/>
    <cellStyle name="20% - Accent6 3 4" xfId="197" xr:uid="{00000000-0005-0000-0000-0000C4000000}"/>
    <cellStyle name="20% - Accent6 3 5" xfId="198" xr:uid="{00000000-0005-0000-0000-0000C5000000}"/>
    <cellStyle name="20% - Accent6 4" xfId="199" xr:uid="{00000000-0005-0000-0000-0000C6000000}"/>
    <cellStyle name="20% - Accent6 4 2" xfId="200" xr:uid="{00000000-0005-0000-0000-0000C7000000}"/>
    <cellStyle name="20% - Accent6 4 3" xfId="201" xr:uid="{00000000-0005-0000-0000-0000C8000000}"/>
    <cellStyle name="20% - Accent6 4 4" xfId="202" xr:uid="{00000000-0005-0000-0000-0000C9000000}"/>
    <cellStyle name="20% - Accent6 4 5" xfId="203" xr:uid="{00000000-0005-0000-0000-0000CA000000}"/>
    <cellStyle name="20% - Accent6 5" xfId="204" xr:uid="{00000000-0005-0000-0000-0000CB000000}"/>
    <cellStyle name="40% - Accent1 2" xfId="205" xr:uid="{00000000-0005-0000-0000-0000CC000000}"/>
    <cellStyle name="40% - Accent1 2 10" xfId="206" xr:uid="{00000000-0005-0000-0000-0000CD000000}"/>
    <cellStyle name="40% - Accent1 2 11" xfId="207" xr:uid="{00000000-0005-0000-0000-0000CE000000}"/>
    <cellStyle name="40% - Accent1 2 2" xfId="208" xr:uid="{00000000-0005-0000-0000-0000CF000000}"/>
    <cellStyle name="40% - Accent1 2 2 2" xfId="209" xr:uid="{00000000-0005-0000-0000-0000D0000000}"/>
    <cellStyle name="40% - Accent1 2 2 3" xfId="210" xr:uid="{00000000-0005-0000-0000-0000D1000000}"/>
    <cellStyle name="40% - Accent1 2 2 4" xfId="211" xr:uid="{00000000-0005-0000-0000-0000D2000000}"/>
    <cellStyle name="40% - Accent1 2 2 5" xfId="212" xr:uid="{00000000-0005-0000-0000-0000D3000000}"/>
    <cellStyle name="40% - Accent1 2 3" xfId="213" xr:uid="{00000000-0005-0000-0000-0000D4000000}"/>
    <cellStyle name="40% - Accent1 2 3 2" xfId="214" xr:uid="{00000000-0005-0000-0000-0000D5000000}"/>
    <cellStyle name="40% - Accent1 2 3 3" xfId="215" xr:uid="{00000000-0005-0000-0000-0000D6000000}"/>
    <cellStyle name="40% - Accent1 2 3 4" xfId="216" xr:uid="{00000000-0005-0000-0000-0000D7000000}"/>
    <cellStyle name="40% - Accent1 2 3 5" xfId="217" xr:uid="{00000000-0005-0000-0000-0000D8000000}"/>
    <cellStyle name="40% - Accent1 2 4" xfId="218" xr:uid="{00000000-0005-0000-0000-0000D9000000}"/>
    <cellStyle name="40% - Accent1 2 4 2" xfId="219" xr:uid="{00000000-0005-0000-0000-0000DA000000}"/>
    <cellStyle name="40% - Accent1 2 4 3" xfId="220" xr:uid="{00000000-0005-0000-0000-0000DB000000}"/>
    <cellStyle name="40% - Accent1 2 4 4" xfId="221" xr:uid="{00000000-0005-0000-0000-0000DC000000}"/>
    <cellStyle name="40% - Accent1 2 4 5" xfId="222" xr:uid="{00000000-0005-0000-0000-0000DD000000}"/>
    <cellStyle name="40% - Accent1 2 5" xfId="223" xr:uid="{00000000-0005-0000-0000-0000DE000000}"/>
    <cellStyle name="40% - Accent1 2 6" xfId="224" xr:uid="{00000000-0005-0000-0000-0000DF000000}"/>
    <cellStyle name="40% - Accent1 2 7" xfId="225" xr:uid="{00000000-0005-0000-0000-0000E0000000}"/>
    <cellStyle name="40% - Accent1 2 8" xfId="226" xr:uid="{00000000-0005-0000-0000-0000E1000000}"/>
    <cellStyle name="40% - Accent1 2 9" xfId="227" xr:uid="{00000000-0005-0000-0000-0000E2000000}"/>
    <cellStyle name="40% - Accent1 3" xfId="228" xr:uid="{00000000-0005-0000-0000-0000E3000000}"/>
    <cellStyle name="40% - Accent1 3 2" xfId="229" xr:uid="{00000000-0005-0000-0000-0000E4000000}"/>
    <cellStyle name="40% - Accent1 3 3" xfId="230" xr:uid="{00000000-0005-0000-0000-0000E5000000}"/>
    <cellStyle name="40% - Accent1 3 4" xfId="231" xr:uid="{00000000-0005-0000-0000-0000E6000000}"/>
    <cellStyle name="40% - Accent1 3 5" xfId="232" xr:uid="{00000000-0005-0000-0000-0000E7000000}"/>
    <cellStyle name="40% - Accent1 4" xfId="233" xr:uid="{00000000-0005-0000-0000-0000E8000000}"/>
    <cellStyle name="40% - Accent1 4 2" xfId="234" xr:uid="{00000000-0005-0000-0000-0000E9000000}"/>
    <cellStyle name="40% - Accent1 4 3" xfId="235" xr:uid="{00000000-0005-0000-0000-0000EA000000}"/>
    <cellStyle name="40% - Accent1 4 4" xfId="236" xr:uid="{00000000-0005-0000-0000-0000EB000000}"/>
    <cellStyle name="40% - Accent1 4 5" xfId="237" xr:uid="{00000000-0005-0000-0000-0000EC000000}"/>
    <cellStyle name="40% - Accent1 5" xfId="238" xr:uid="{00000000-0005-0000-0000-0000ED000000}"/>
    <cellStyle name="40% - Accent2 2" xfId="239" xr:uid="{00000000-0005-0000-0000-0000EE000000}"/>
    <cellStyle name="40% - Accent2 2 10" xfId="240" xr:uid="{00000000-0005-0000-0000-0000EF000000}"/>
    <cellStyle name="40% - Accent2 2 11" xfId="241" xr:uid="{00000000-0005-0000-0000-0000F0000000}"/>
    <cellStyle name="40% - Accent2 2 2" xfId="242" xr:uid="{00000000-0005-0000-0000-0000F1000000}"/>
    <cellStyle name="40% - Accent2 2 2 2" xfId="243" xr:uid="{00000000-0005-0000-0000-0000F2000000}"/>
    <cellStyle name="40% - Accent2 2 2 3" xfId="244" xr:uid="{00000000-0005-0000-0000-0000F3000000}"/>
    <cellStyle name="40% - Accent2 2 2 4" xfId="245" xr:uid="{00000000-0005-0000-0000-0000F4000000}"/>
    <cellStyle name="40% - Accent2 2 2 5" xfId="246" xr:uid="{00000000-0005-0000-0000-0000F5000000}"/>
    <cellStyle name="40% - Accent2 2 3" xfId="247" xr:uid="{00000000-0005-0000-0000-0000F6000000}"/>
    <cellStyle name="40% - Accent2 2 3 2" xfId="248" xr:uid="{00000000-0005-0000-0000-0000F7000000}"/>
    <cellStyle name="40% - Accent2 2 3 3" xfId="249" xr:uid="{00000000-0005-0000-0000-0000F8000000}"/>
    <cellStyle name="40% - Accent2 2 3 4" xfId="250" xr:uid="{00000000-0005-0000-0000-0000F9000000}"/>
    <cellStyle name="40% - Accent2 2 3 5" xfId="251" xr:uid="{00000000-0005-0000-0000-0000FA000000}"/>
    <cellStyle name="40% - Accent2 2 4" xfId="252" xr:uid="{00000000-0005-0000-0000-0000FB000000}"/>
    <cellStyle name="40% - Accent2 2 4 2" xfId="253" xr:uid="{00000000-0005-0000-0000-0000FC000000}"/>
    <cellStyle name="40% - Accent2 2 4 3" xfId="254" xr:uid="{00000000-0005-0000-0000-0000FD000000}"/>
    <cellStyle name="40% - Accent2 2 4 4" xfId="255" xr:uid="{00000000-0005-0000-0000-0000FE000000}"/>
    <cellStyle name="40% - Accent2 2 4 5" xfId="256" xr:uid="{00000000-0005-0000-0000-0000FF000000}"/>
    <cellStyle name="40% - Accent2 2 5" xfId="257" xr:uid="{00000000-0005-0000-0000-000000010000}"/>
    <cellStyle name="40% - Accent2 2 6" xfId="258" xr:uid="{00000000-0005-0000-0000-000001010000}"/>
    <cellStyle name="40% - Accent2 2 7" xfId="259" xr:uid="{00000000-0005-0000-0000-000002010000}"/>
    <cellStyle name="40% - Accent2 2 8" xfId="260" xr:uid="{00000000-0005-0000-0000-000003010000}"/>
    <cellStyle name="40% - Accent2 2 9" xfId="261" xr:uid="{00000000-0005-0000-0000-000004010000}"/>
    <cellStyle name="40% - Accent2 3" xfId="262" xr:uid="{00000000-0005-0000-0000-000005010000}"/>
    <cellStyle name="40% - Accent2 3 2" xfId="263" xr:uid="{00000000-0005-0000-0000-000006010000}"/>
    <cellStyle name="40% - Accent2 3 3" xfId="264" xr:uid="{00000000-0005-0000-0000-000007010000}"/>
    <cellStyle name="40% - Accent2 3 4" xfId="265" xr:uid="{00000000-0005-0000-0000-000008010000}"/>
    <cellStyle name="40% - Accent2 3 5" xfId="266" xr:uid="{00000000-0005-0000-0000-000009010000}"/>
    <cellStyle name="40% - Accent2 4" xfId="267" xr:uid="{00000000-0005-0000-0000-00000A010000}"/>
    <cellStyle name="40% - Accent2 4 2" xfId="268" xr:uid="{00000000-0005-0000-0000-00000B010000}"/>
    <cellStyle name="40% - Accent2 4 3" xfId="269" xr:uid="{00000000-0005-0000-0000-00000C010000}"/>
    <cellStyle name="40% - Accent2 4 4" xfId="270" xr:uid="{00000000-0005-0000-0000-00000D010000}"/>
    <cellStyle name="40% - Accent2 4 5" xfId="271" xr:uid="{00000000-0005-0000-0000-00000E010000}"/>
    <cellStyle name="40% - Accent2 5" xfId="272" xr:uid="{00000000-0005-0000-0000-00000F010000}"/>
    <cellStyle name="40% - Accent3 2" xfId="273" xr:uid="{00000000-0005-0000-0000-000010010000}"/>
    <cellStyle name="40% - Accent3 2 10" xfId="274" xr:uid="{00000000-0005-0000-0000-000011010000}"/>
    <cellStyle name="40% - Accent3 2 11" xfId="275" xr:uid="{00000000-0005-0000-0000-000012010000}"/>
    <cellStyle name="40% - Accent3 2 2" xfId="276" xr:uid="{00000000-0005-0000-0000-000013010000}"/>
    <cellStyle name="40% - Accent3 2 2 2" xfId="277" xr:uid="{00000000-0005-0000-0000-000014010000}"/>
    <cellStyle name="40% - Accent3 2 2 3" xfId="278" xr:uid="{00000000-0005-0000-0000-000015010000}"/>
    <cellStyle name="40% - Accent3 2 2 4" xfId="279" xr:uid="{00000000-0005-0000-0000-000016010000}"/>
    <cellStyle name="40% - Accent3 2 2 5" xfId="280" xr:uid="{00000000-0005-0000-0000-000017010000}"/>
    <cellStyle name="40% - Accent3 2 3" xfId="281" xr:uid="{00000000-0005-0000-0000-000018010000}"/>
    <cellStyle name="40% - Accent3 2 3 2" xfId="282" xr:uid="{00000000-0005-0000-0000-000019010000}"/>
    <cellStyle name="40% - Accent3 2 3 3" xfId="283" xr:uid="{00000000-0005-0000-0000-00001A010000}"/>
    <cellStyle name="40% - Accent3 2 3 4" xfId="284" xr:uid="{00000000-0005-0000-0000-00001B010000}"/>
    <cellStyle name="40% - Accent3 2 3 5" xfId="285" xr:uid="{00000000-0005-0000-0000-00001C010000}"/>
    <cellStyle name="40% - Accent3 2 4" xfId="286" xr:uid="{00000000-0005-0000-0000-00001D010000}"/>
    <cellStyle name="40% - Accent3 2 4 2" xfId="287" xr:uid="{00000000-0005-0000-0000-00001E010000}"/>
    <cellStyle name="40% - Accent3 2 4 3" xfId="288" xr:uid="{00000000-0005-0000-0000-00001F010000}"/>
    <cellStyle name="40% - Accent3 2 4 4" xfId="289" xr:uid="{00000000-0005-0000-0000-000020010000}"/>
    <cellStyle name="40% - Accent3 2 4 5" xfId="290" xr:uid="{00000000-0005-0000-0000-000021010000}"/>
    <cellStyle name="40% - Accent3 2 5" xfId="291" xr:uid="{00000000-0005-0000-0000-000022010000}"/>
    <cellStyle name="40% - Accent3 2 6" xfId="292" xr:uid="{00000000-0005-0000-0000-000023010000}"/>
    <cellStyle name="40% - Accent3 2 7" xfId="293" xr:uid="{00000000-0005-0000-0000-000024010000}"/>
    <cellStyle name="40% - Accent3 2 8" xfId="294" xr:uid="{00000000-0005-0000-0000-000025010000}"/>
    <cellStyle name="40% - Accent3 2 9" xfId="295" xr:uid="{00000000-0005-0000-0000-000026010000}"/>
    <cellStyle name="40% - Accent3 3" xfId="296" xr:uid="{00000000-0005-0000-0000-000027010000}"/>
    <cellStyle name="40% - Accent3 3 2" xfId="297" xr:uid="{00000000-0005-0000-0000-000028010000}"/>
    <cellStyle name="40% - Accent3 3 3" xfId="298" xr:uid="{00000000-0005-0000-0000-000029010000}"/>
    <cellStyle name="40% - Accent3 3 4" xfId="299" xr:uid="{00000000-0005-0000-0000-00002A010000}"/>
    <cellStyle name="40% - Accent3 3 5" xfId="300" xr:uid="{00000000-0005-0000-0000-00002B010000}"/>
    <cellStyle name="40% - Accent3 4" xfId="301" xr:uid="{00000000-0005-0000-0000-00002C010000}"/>
    <cellStyle name="40% - Accent3 4 2" xfId="302" xr:uid="{00000000-0005-0000-0000-00002D010000}"/>
    <cellStyle name="40% - Accent3 4 3" xfId="303" xr:uid="{00000000-0005-0000-0000-00002E010000}"/>
    <cellStyle name="40% - Accent3 4 4" xfId="304" xr:uid="{00000000-0005-0000-0000-00002F010000}"/>
    <cellStyle name="40% - Accent3 4 5" xfId="305" xr:uid="{00000000-0005-0000-0000-000030010000}"/>
    <cellStyle name="40% - Accent3 5" xfId="306" xr:uid="{00000000-0005-0000-0000-000031010000}"/>
    <cellStyle name="40% - Accent4 2" xfId="307" xr:uid="{00000000-0005-0000-0000-000032010000}"/>
    <cellStyle name="40% - Accent4 2 10" xfId="308" xr:uid="{00000000-0005-0000-0000-000033010000}"/>
    <cellStyle name="40% - Accent4 2 11" xfId="309" xr:uid="{00000000-0005-0000-0000-000034010000}"/>
    <cellStyle name="40% - Accent4 2 2" xfId="310" xr:uid="{00000000-0005-0000-0000-000035010000}"/>
    <cellStyle name="40% - Accent4 2 2 2" xfId="311" xr:uid="{00000000-0005-0000-0000-000036010000}"/>
    <cellStyle name="40% - Accent4 2 2 3" xfId="312" xr:uid="{00000000-0005-0000-0000-000037010000}"/>
    <cellStyle name="40% - Accent4 2 2 4" xfId="313" xr:uid="{00000000-0005-0000-0000-000038010000}"/>
    <cellStyle name="40% - Accent4 2 2 5" xfId="314" xr:uid="{00000000-0005-0000-0000-000039010000}"/>
    <cellStyle name="40% - Accent4 2 3" xfId="315" xr:uid="{00000000-0005-0000-0000-00003A010000}"/>
    <cellStyle name="40% - Accent4 2 3 2" xfId="316" xr:uid="{00000000-0005-0000-0000-00003B010000}"/>
    <cellStyle name="40% - Accent4 2 3 3" xfId="317" xr:uid="{00000000-0005-0000-0000-00003C010000}"/>
    <cellStyle name="40% - Accent4 2 3 4" xfId="318" xr:uid="{00000000-0005-0000-0000-00003D010000}"/>
    <cellStyle name="40% - Accent4 2 3 5" xfId="319" xr:uid="{00000000-0005-0000-0000-00003E010000}"/>
    <cellStyle name="40% - Accent4 2 4" xfId="320" xr:uid="{00000000-0005-0000-0000-00003F010000}"/>
    <cellStyle name="40% - Accent4 2 4 2" xfId="321" xr:uid="{00000000-0005-0000-0000-000040010000}"/>
    <cellStyle name="40% - Accent4 2 4 3" xfId="322" xr:uid="{00000000-0005-0000-0000-000041010000}"/>
    <cellStyle name="40% - Accent4 2 4 4" xfId="323" xr:uid="{00000000-0005-0000-0000-000042010000}"/>
    <cellStyle name="40% - Accent4 2 4 5" xfId="324" xr:uid="{00000000-0005-0000-0000-000043010000}"/>
    <cellStyle name="40% - Accent4 2 5" xfId="325" xr:uid="{00000000-0005-0000-0000-000044010000}"/>
    <cellStyle name="40% - Accent4 2 6" xfId="326" xr:uid="{00000000-0005-0000-0000-000045010000}"/>
    <cellStyle name="40% - Accent4 2 7" xfId="327" xr:uid="{00000000-0005-0000-0000-000046010000}"/>
    <cellStyle name="40% - Accent4 2 8" xfId="328" xr:uid="{00000000-0005-0000-0000-000047010000}"/>
    <cellStyle name="40% - Accent4 2 9" xfId="329" xr:uid="{00000000-0005-0000-0000-000048010000}"/>
    <cellStyle name="40% - Accent4 3" xfId="330" xr:uid="{00000000-0005-0000-0000-000049010000}"/>
    <cellStyle name="40% - Accent4 3 2" xfId="331" xr:uid="{00000000-0005-0000-0000-00004A010000}"/>
    <cellStyle name="40% - Accent4 3 3" xfId="332" xr:uid="{00000000-0005-0000-0000-00004B010000}"/>
    <cellStyle name="40% - Accent4 3 4" xfId="333" xr:uid="{00000000-0005-0000-0000-00004C010000}"/>
    <cellStyle name="40% - Accent4 3 5" xfId="334" xr:uid="{00000000-0005-0000-0000-00004D010000}"/>
    <cellStyle name="40% - Accent4 4" xfId="335" xr:uid="{00000000-0005-0000-0000-00004E010000}"/>
    <cellStyle name="40% - Accent4 4 2" xfId="336" xr:uid="{00000000-0005-0000-0000-00004F010000}"/>
    <cellStyle name="40% - Accent4 4 3" xfId="337" xr:uid="{00000000-0005-0000-0000-000050010000}"/>
    <cellStyle name="40% - Accent4 4 4" xfId="338" xr:uid="{00000000-0005-0000-0000-000051010000}"/>
    <cellStyle name="40% - Accent4 4 5" xfId="339" xr:uid="{00000000-0005-0000-0000-000052010000}"/>
    <cellStyle name="40% - Accent4 5" xfId="340" xr:uid="{00000000-0005-0000-0000-000053010000}"/>
    <cellStyle name="40% - Accent5 2" xfId="341" xr:uid="{00000000-0005-0000-0000-000054010000}"/>
    <cellStyle name="40% - Accent5 2 10" xfId="342" xr:uid="{00000000-0005-0000-0000-000055010000}"/>
    <cellStyle name="40% - Accent5 2 11" xfId="343" xr:uid="{00000000-0005-0000-0000-000056010000}"/>
    <cellStyle name="40% - Accent5 2 2" xfId="344" xr:uid="{00000000-0005-0000-0000-000057010000}"/>
    <cellStyle name="40% - Accent5 2 2 2" xfId="345" xr:uid="{00000000-0005-0000-0000-000058010000}"/>
    <cellStyle name="40% - Accent5 2 2 3" xfId="346" xr:uid="{00000000-0005-0000-0000-000059010000}"/>
    <cellStyle name="40% - Accent5 2 2 4" xfId="347" xr:uid="{00000000-0005-0000-0000-00005A010000}"/>
    <cellStyle name="40% - Accent5 2 2 5" xfId="348" xr:uid="{00000000-0005-0000-0000-00005B010000}"/>
    <cellStyle name="40% - Accent5 2 3" xfId="349" xr:uid="{00000000-0005-0000-0000-00005C010000}"/>
    <cellStyle name="40% - Accent5 2 3 2" xfId="350" xr:uid="{00000000-0005-0000-0000-00005D010000}"/>
    <cellStyle name="40% - Accent5 2 3 3" xfId="351" xr:uid="{00000000-0005-0000-0000-00005E010000}"/>
    <cellStyle name="40% - Accent5 2 3 4" xfId="352" xr:uid="{00000000-0005-0000-0000-00005F010000}"/>
    <cellStyle name="40% - Accent5 2 3 5" xfId="353" xr:uid="{00000000-0005-0000-0000-000060010000}"/>
    <cellStyle name="40% - Accent5 2 4" xfId="354" xr:uid="{00000000-0005-0000-0000-000061010000}"/>
    <cellStyle name="40% - Accent5 2 4 2" xfId="355" xr:uid="{00000000-0005-0000-0000-000062010000}"/>
    <cellStyle name="40% - Accent5 2 4 3" xfId="356" xr:uid="{00000000-0005-0000-0000-000063010000}"/>
    <cellStyle name="40% - Accent5 2 4 4" xfId="357" xr:uid="{00000000-0005-0000-0000-000064010000}"/>
    <cellStyle name="40% - Accent5 2 4 5" xfId="358" xr:uid="{00000000-0005-0000-0000-000065010000}"/>
    <cellStyle name="40% - Accent5 2 5" xfId="359" xr:uid="{00000000-0005-0000-0000-000066010000}"/>
    <cellStyle name="40% - Accent5 2 6" xfId="360" xr:uid="{00000000-0005-0000-0000-000067010000}"/>
    <cellStyle name="40% - Accent5 2 7" xfId="361" xr:uid="{00000000-0005-0000-0000-000068010000}"/>
    <cellStyle name="40% - Accent5 2 8" xfId="362" xr:uid="{00000000-0005-0000-0000-000069010000}"/>
    <cellStyle name="40% - Accent5 2 9" xfId="363" xr:uid="{00000000-0005-0000-0000-00006A010000}"/>
    <cellStyle name="40% - Accent5 3" xfId="364" xr:uid="{00000000-0005-0000-0000-00006B010000}"/>
    <cellStyle name="40% - Accent5 3 2" xfId="365" xr:uid="{00000000-0005-0000-0000-00006C010000}"/>
    <cellStyle name="40% - Accent5 3 3" xfId="366" xr:uid="{00000000-0005-0000-0000-00006D010000}"/>
    <cellStyle name="40% - Accent5 3 4" xfId="367" xr:uid="{00000000-0005-0000-0000-00006E010000}"/>
    <cellStyle name="40% - Accent5 3 5" xfId="368" xr:uid="{00000000-0005-0000-0000-00006F010000}"/>
    <cellStyle name="40% - Accent5 4" xfId="369" xr:uid="{00000000-0005-0000-0000-000070010000}"/>
    <cellStyle name="40% - Accent5 4 2" xfId="370" xr:uid="{00000000-0005-0000-0000-000071010000}"/>
    <cellStyle name="40% - Accent5 4 3" xfId="371" xr:uid="{00000000-0005-0000-0000-000072010000}"/>
    <cellStyle name="40% - Accent5 4 4" xfId="372" xr:uid="{00000000-0005-0000-0000-000073010000}"/>
    <cellStyle name="40% - Accent5 4 5" xfId="373" xr:uid="{00000000-0005-0000-0000-000074010000}"/>
    <cellStyle name="40% - Accent5 5" xfId="374" xr:uid="{00000000-0005-0000-0000-000075010000}"/>
    <cellStyle name="40% - Accent6 2" xfId="375" xr:uid="{00000000-0005-0000-0000-000076010000}"/>
    <cellStyle name="40% - Accent6 2 10" xfId="376" xr:uid="{00000000-0005-0000-0000-000077010000}"/>
    <cellStyle name="40% - Accent6 2 11" xfId="377" xr:uid="{00000000-0005-0000-0000-000078010000}"/>
    <cellStyle name="40% - Accent6 2 2" xfId="378" xr:uid="{00000000-0005-0000-0000-000079010000}"/>
    <cellStyle name="40% - Accent6 2 2 2" xfId="379" xr:uid="{00000000-0005-0000-0000-00007A010000}"/>
    <cellStyle name="40% - Accent6 2 2 3" xfId="380" xr:uid="{00000000-0005-0000-0000-00007B010000}"/>
    <cellStyle name="40% - Accent6 2 2 4" xfId="381" xr:uid="{00000000-0005-0000-0000-00007C010000}"/>
    <cellStyle name="40% - Accent6 2 2 5" xfId="382" xr:uid="{00000000-0005-0000-0000-00007D010000}"/>
    <cellStyle name="40% - Accent6 2 3" xfId="383" xr:uid="{00000000-0005-0000-0000-00007E010000}"/>
    <cellStyle name="40% - Accent6 2 3 2" xfId="384" xr:uid="{00000000-0005-0000-0000-00007F010000}"/>
    <cellStyle name="40% - Accent6 2 3 3" xfId="385" xr:uid="{00000000-0005-0000-0000-000080010000}"/>
    <cellStyle name="40% - Accent6 2 3 4" xfId="386" xr:uid="{00000000-0005-0000-0000-000081010000}"/>
    <cellStyle name="40% - Accent6 2 3 5" xfId="387" xr:uid="{00000000-0005-0000-0000-000082010000}"/>
    <cellStyle name="40% - Accent6 2 4" xfId="388" xr:uid="{00000000-0005-0000-0000-000083010000}"/>
    <cellStyle name="40% - Accent6 2 4 2" xfId="389" xr:uid="{00000000-0005-0000-0000-000084010000}"/>
    <cellStyle name="40% - Accent6 2 4 3" xfId="390" xr:uid="{00000000-0005-0000-0000-000085010000}"/>
    <cellStyle name="40% - Accent6 2 4 4" xfId="391" xr:uid="{00000000-0005-0000-0000-000086010000}"/>
    <cellStyle name="40% - Accent6 2 4 5" xfId="392" xr:uid="{00000000-0005-0000-0000-000087010000}"/>
    <cellStyle name="40% - Accent6 2 5" xfId="393" xr:uid="{00000000-0005-0000-0000-000088010000}"/>
    <cellStyle name="40% - Accent6 2 6" xfId="394" xr:uid="{00000000-0005-0000-0000-000089010000}"/>
    <cellStyle name="40% - Accent6 2 7" xfId="395" xr:uid="{00000000-0005-0000-0000-00008A010000}"/>
    <cellStyle name="40% - Accent6 2 8" xfId="396" xr:uid="{00000000-0005-0000-0000-00008B010000}"/>
    <cellStyle name="40% - Accent6 2 9" xfId="397" xr:uid="{00000000-0005-0000-0000-00008C010000}"/>
    <cellStyle name="40% - Accent6 3" xfId="398" xr:uid="{00000000-0005-0000-0000-00008D010000}"/>
    <cellStyle name="40% - Accent6 3 2" xfId="399" xr:uid="{00000000-0005-0000-0000-00008E010000}"/>
    <cellStyle name="40% - Accent6 3 3" xfId="400" xr:uid="{00000000-0005-0000-0000-00008F010000}"/>
    <cellStyle name="40% - Accent6 3 4" xfId="401" xr:uid="{00000000-0005-0000-0000-000090010000}"/>
    <cellStyle name="40% - Accent6 3 5" xfId="402" xr:uid="{00000000-0005-0000-0000-000091010000}"/>
    <cellStyle name="40% - Accent6 4" xfId="403" xr:uid="{00000000-0005-0000-0000-000092010000}"/>
    <cellStyle name="40% - Accent6 4 2" xfId="404" xr:uid="{00000000-0005-0000-0000-000093010000}"/>
    <cellStyle name="40% - Accent6 4 3" xfId="405" xr:uid="{00000000-0005-0000-0000-000094010000}"/>
    <cellStyle name="40% - Accent6 4 4" xfId="406" xr:uid="{00000000-0005-0000-0000-000095010000}"/>
    <cellStyle name="40% - Accent6 4 5" xfId="407" xr:uid="{00000000-0005-0000-0000-000096010000}"/>
    <cellStyle name="40% - Accent6 5" xfId="408" xr:uid="{00000000-0005-0000-0000-000097010000}"/>
    <cellStyle name="60% - Accent1 2" xfId="409" xr:uid="{00000000-0005-0000-0000-000098010000}"/>
    <cellStyle name="60% - Accent1 2 2" xfId="410" xr:uid="{00000000-0005-0000-0000-000099010000}"/>
    <cellStyle name="60% - Accent1 2 3" xfId="411" xr:uid="{00000000-0005-0000-0000-00009A010000}"/>
    <cellStyle name="60% - Accent1 2 4" xfId="412" xr:uid="{00000000-0005-0000-0000-00009B010000}"/>
    <cellStyle name="60% - Accent1 2 5" xfId="413" xr:uid="{00000000-0005-0000-0000-00009C010000}"/>
    <cellStyle name="60% - Accent1 2 6" xfId="414" xr:uid="{00000000-0005-0000-0000-00009D010000}"/>
    <cellStyle name="60% - Accent1 2 7" xfId="415" xr:uid="{00000000-0005-0000-0000-00009E010000}"/>
    <cellStyle name="60% - Accent1 3" xfId="416" xr:uid="{00000000-0005-0000-0000-00009F010000}"/>
    <cellStyle name="60% - Accent1 4" xfId="417" xr:uid="{00000000-0005-0000-0000-0000A0010000}"/>
    <cellStyle name="60% - Accent1 5" xfId="418" xr:uid="{00000000-0005-0000-0000-0000A1010000}"/>
    <cellStyle name="60% - Accent2 2" xfId="419" xr:uid="{00000000-0005-0000-0000-0000A2010000}"/>
    <cellStyle name="60% - Accent2 2 2" xfId="420" xr:uid="{00000000-0005-0000-0000-0000A3010000}"/>
    <cellStyle name="60% - Accent2 2 3" xfId="421" xr:uid="{00000000-0005-0000-0000-0000A4010000}"/>
    <cellStyle name="60% - Accent2 2 4" xfId="422" xr:uid="{00000000-0005-0000-0000-0000A5010000}"/>
    <cellStyle name="60% - Accent2 2 5" xfId="423" xr:uid="{00000000-0005-0000-0000-0000A6010000}"/>
    <cellStyle name="60% - Accent2 2 6" xfId="424" xr:uid="{00000000-0005-0000-0000-0000A7010000}"/>
    <cellStyle name="60% - Accent2 2 7" xfId="425" xr:uid="{00000000-0005-0000-0000-0000A8010000}"/>
    <cellStyle name="60% - Accent2 3" xfId="426" xr:uid="{00000000-0005-0000-0000-0000A9010000}"/>
    <cellStyle name="60% - Accent2 4" xfId="427" xr:uid="{00000000-0005-0000-0000-0000AA010000}"/>
    <cellStyle name="60% - Accent2 5" xfId="428" xr:uid="{00000000-0005-0000-0000-0000AB010000}"/>
    <cellStyle name="60% - Accent3 2" xfId="429" xr:uid="{00000000-0005-0000-0000-0000AC010000}"/>
    <cellStyle name="60% - Accent3 2 2" xfId="430" xr:uid="{00000000-0005-0000-0000-0000AD010000}"/>
    <cellStyle name="60% - Accent3 2 3" xfId="431" xr:uid="{00000000-0005-0000-0000-0000AE010000}"/>
    <cellStyle name="60% - Accent3 2 4" xfId="432" xr:uid="{00000000-0005-0000-0000-0000AF010000}"/>
    <cellStyle name="60% - Accent3 2 5" xfId="433" xr:uid="{00000000-0005-0000-0000-0000B0010000}"/>
    <cellStyle name="60% - Accent3 2 6" xfId="434" xr:uid="{00000000-0005-0000-0000-0000B1010000}"/>
    <cellStyle name="60% - Accent3 2 7" xfId="435" xr:uid="{00000000-0005-0000-0000-0000B2010000}"/>
    <cellStyle name="60% - Accent3 3" xfId="436" xr:uid="{00000000-0005-0000-0000-0000B3010000}"/>
    <cellStyle name="60% - Accent3 4" xfId="437" xr:uid="{00000000-0005-0000-0000-0000B4010000}"/>
    <cellStyle name="60% - Accent3 5" xfId="438" xr:uid="{00000000-0005-0000-0000-0000B5010000}"/>
    <cellStyle name="60% - Accent4 2" xfId="439" xr:uid="{00000000-0005-0000-0000-0000B6010000}"/>
    <cellStyle name="60% - Accent4 2 2" xfId="440" xr:uid="{00000000-0005-0000-0000-0000B7010000}"/>
    <cellStyle name="60% - Accent4 2 3" xfId="441" xr:uid="{00000000-0005-0000-0000-0000B8010000}"/>
    <cellStyle name="60% - Accent4 2 4" xfId="442" xr:uid="{00000000-0005-0000-0000-0000B9010000}"/>
    <cellStyle name="60% - Accent4 2 5" xfId="443" xr:uid="{00000000-0005-0000-0000-0000BA010000}"/>
    <cellStyle name="60% - Accent4 2 6" xfId="444" xr:uid="{00000000-0005-0000-0000-0000BB010000}"/>
    <cellStyle name="60% - Accent4 2 7" xfId="445" xr:uid="{00000000-0005-0000-0000-0000BC010000}"/>
    <cellStyle name="60% - Accent4 3" xfId="446" xr:uid="{00000000-0005-0000-0000-0000BD010000}"/>
    <cellStyle name="60% - Accent4 4" xfId="447" xr:uid="{00000000-0005-0000-0000-0000BE010000}"/>
    <cellStyle name="60% - Accent4 5" xfId="448" xr:uid="{00000000-0005-0000-0000-0000BF010000}"/>
    <cellStyle name="60% - Accent5 2" xfId="449" xr:uid="{00000000-0005-0000-0000-0000C0010000}"/>
    <cellStyle name="60% - Accent5 2 2" xfId="450" xr:uid="{00000000-0005-0000-0000-0000C1010000}"/>
    <cellStyle name="60% - Accent5 2 3" xfId="451" xr:uid="{00000000-0005-0000-0000-0000C2010000}"/>
    <cellStyle name="60% - Accent5 2 4" xfId="452" xr:uid="{00000000-0005-0000-0000-0000C3010000}"/>
    <cellStyle name="60% - Accent5 2 5" xfId="453" xr:uid="{00000000-0005-0000-0000-0000C4010000}"/>
    <cellStyle name="60% - Accent5 2 6" xfId="454" xr:uid="{00000000-0005-0000-0000-0000C5010000}"/>
    <cellStyle name="60% - Accent5 2 7" xfId="455" xr:uid="{00000000-0005-0000-0000-0000C6010000}"/>
    <cellStyle name="60% - Accent5 3" xfId="456" xr:uid="{00000000-0005-0000-0000-0000C7010000}"/>
    <cellStyle name="60% - Accent5 4" xfId="457" xr:uid="{00000000-0005-0000-0000-0000C8010000}"/>
    <cellStyle name="60% - Accent5 5" xfId="458" xr:uid="{00000000-0005-0000-0000-0000C9010000}"/>
    <cellStyle name="60% - Accent6 2" xfId="459" xr:uid="{00000000-0005-0000-0000-0000CA010000}"/>
    <cellStyle name="60% - Accent6 2 2" xfId="460" xr:uid="{00000000-0005-0000-0000-0000CB010000}"/>
    <cellStyle name="60% - Accent6 2 3" xfId="461" xr:uid="{00000000-0005-0000-0000-0000CC010000}"/>
    <cellStyle name="60% - Accent6 2 4" xfId="462" xr:uid="{00000000-0005-0000-0000-0000CD010000}"/>
    <cellStyle name="60% - Accent6 2 5" xfId="463" xr:uid="{00000000-0005-0000-0000-0000CE010000}"/>
    <cellStyle name="60% - Accent6 2 6" xfId="464" xr:uid="{00000000-0005-0000-0000-0000CF010000}"/>
    <cellStyle name="60% - Accent6 2 7" xfId="465" xr:uid="{00000000-0005-0000-0000-0000D0010000}"/>
    <cellStyle name="60% - Accent6 3" xfId="466" xr:uid="{00000000-0005-0000-0000-0000D1010000}"/>
    <cellStyle name="60% - Accent6 4" xfId="467" xr:uid="{00000000-0005-0000-0000-0000D2010000}"/>
    <cellStyle name="60% - Accent6 5" xfId="468" xr:uid="{00000000-0005-0000-0000-0000D3010000}"/>
    <cellStyle name="Accent1 2" xfId="469" xr:uid="{00000000-0005-0000-0000-0000D4010000}"/>
    <cellStyle name="Accent1 2 2" xfId="470" xr:uid="{00000000-0005-0000-0000-0000D5010000}"/>
    <cellStyle name="Accent1 2 3" xfId="471" xr:uid="{00000000-0005-0000-0000-0000D6010000}"/>
    <cellStyle name="Accent1 2 4" xfId="472" xr:uid="{00000000-0005-0000-0000-0000D7010000}"/>
    <cellStyle name="Accent1 2 5" xfId="473" xr:uid="{00000000-0005-0000-0000-0000D8010000}"/>
    <cellStyle name="Accent1 2 6" xfId="474" xr:uid="{00000000-0005-0000-0000-0000D9010000}"/>
    <cellStyle name="Accent1 2 7" xfId="475" xr:uid="{00000000-0005-0000-0000-0000DA010000}"/>
    <cellStyle name="Accent1 3" xfId="476" xr:uid="{00000000-0005-0000-0000-0000DB010000}"/>
    <cellStyle name="Accent1 4" xfId="477" xr:uid="{00000000-0005-0000-0000-0000DC010000}"/>
    <cellStyle name="Accent1 5" xfId="478" xr:uid="{00000000-0005-0000-0000-0000DD010000}"/>
    <cellStyle name="Accent2 2" xfId="479" xr:uid="{00000000-0005-0000-0000-0000DE010000}"/>
    <cellStyle name="Accent2 2 2" xfId="480" xr:uid="{00000000-0005-0000-0000-0000DF010000}"/>
    <cellStyle name="Accent2 2 3" xfId="481" xr:uid="{00000000-0005-0000-0000-0000E0010000}"/>
    <cellStyle name="Accent2 2 4" xfId="482" xr:uid="{00000000-0005-0000-0000-0000E1010000}"/>
    <cellStyle name="Accent2 2 5" xfId="483" xr:uid="{00000000-0005-0000-0000-0000E2010000}"/>
    <cellStyle name="Accent2 2 6" xfId="484" xr:uid="{00000000-0005-0000-0000-0000E3010000}"/>
    <cellStyle name="Accent2 2 7" xfId="485" xr:uid="{00000000-0005-0000-0000-0000E4010000}"/>
    <cellStyle name="Accent2 3" xfId="486" xr:uid="{00000000-0005-0000-0000-0000E5010000}"/>
    <cellStyle name="Accent2 4" xfId="487" xr:uid="{00000000-0005-0000-0000-0000E6010000}"/>
    <cellStyle name="Accent2 5" xfId="488" xr:uid="{00000000-0005-0000-0000-0000E7010000}"/>
    <cellStyle name="Accent3 2" xfId="489" xr:uid="{00000000-0005-0000-0000-0000E8010000}"/>
    <cellStyle name="Accent3 2 2" xfId="490" xr:uid="{00000000-0005-0000-0000-0000E9010000}"/>
    <cellStyle name="Accent3 2 3" xfId="491" xr:uid="{00000000-0005-0000-0000-0000EA010000}"/>
    <cellStyle name="Accent3 2 4" xfId="492" xr:uid="{00000000-0005-0000-0000-0000EB010000}"/>
    <cellStyle name="Accent3 2 5" xfId="493" xr:uid="{00000000-0005-0000-0000-0000EC010000}"/>
    <cellStyle name="Accent3 2 6" xfId="494" xr:uid="{00000000-0005-0000-0000-0000ED010000}"/>
    <cellStyle name="Accent3 2 7" xfId="495" xr:uid="{00000000-0005-0000-0000-0000EE010000}"/>
    <cellStyle name="Accent3 3" xfId="496" xr:uid="{00000000-0005-0000-0000-0000EF010000}"/>
    <cellStyle name="Accent3 4" xfId="497" xr:uid="{00000000-0005-0000-0000-0000F0010000}"/>
    <cellStyle name="Accent3 5" xfId="498" xr:uid="{00000000-0005-0000-0000-0000F1010000}"/>
    <cellStyle name="Accent4 2" xfId="499" xr:uid="{00000000-0005-0000-0000-0000F2010000}"/>
    <cellStyle name="Accent4 2 2" xfId="500" xr:uid="{00000000-0005-0000-0000-0000F3010000}"/>
    <cellStyle name="Accent4 2 3" xfId="501" xr:uid="{00000000-0005-0000-0000-0000F4010000}"/>
    <cellStyle name="Accent4 2 4" xfId="502" xr:uid="{00000000-0005-0000-0000-0000F5010000}"/>
    <cellStyle name="Accent4 2 5" xfId="503" xr:uid="{00000000-0005-0000-0000-0000F6010000}"/>
    <cellStyle name="Accent4 2 6" xfId="504" xr:uid="{00000000-0005-0000-0000-0000F7010000}"/>
    <cellStyle name="Accent4 2 7" xfId="505" xr:uid="{00000000-0005-0000-0000-0000F8010000}"/>
    <cellStyle name="Accent4 3" xfId="506" xr:uid="{00000000-0005-0000-0000-0000F9010000}"/>
    <cellStyle name="Accent4 4" xfId="507" xr:uid="{00000000-0005-0000-0000-0000FA010000}"/>
    <cellStyle name="Accent4 5" xfId="508" xr:uid="{00000000-0005-0000-0000-0000FB010000}"/>
    <cellStyle name="Accent5 2" xfId="509" xr:uid="{00000000-0005-0000-0000-0000FC010000}"/>
    <cellStyle name="Accent5 2 2" xfId="510" xr:uid="{00000000-0005-0000-0000-0000FD010000}"/>
    <cellStyle name="Accent5 2 3" xfId="511" xr:uid="{00000000-0005-0000-0000-0000FE010000}"/>
    <cellStyle name="Accent5 2 4" xfId="512" xr:uid="{00000000-0005-0000-0000-0000FF010000}"/>
    <cellStyle name="Accent5 2 5" xfId="513" xr:uid="{00000000-0005-0000-0000-000000020000}"/>
    <cellStyle name="Accent5 2 6" xfId="514" xr:uid="{00000000-0005-0000-0000-000001020000}"/>
    <cellStyle name="Accent5 2 7" xfId="515" xr:uid="{00000000-0005-0000-0000-000002020000}"/>
    <cellStyle name="Accent5 3" xfId="516" xr:uid="{00000000-0005-0000-0000-000003020000}"/>
    <cellStyle name="Accent5 4" xfId="517" xr:uid="{00000000-0005-0000-0000-000004020000}"/>
    <cellStyle name="Accent5 5" xfId="518" xr:uid="{00000000-0005-0000-0000-000005020000}"/>
    <cellStyle name="Accent6 2" xfId="519" xr:uid="{00000000-0005-0000-0000-000006020000}"/>
    <cellStyle name="Accent6 2 2" xfId="520" xr:uid="{00000000-0005-0000-0000-000007020000}"/>
    <cellStyle name="Accent6 2 3" xfId="521" xr:uid="{00000000-0005-0000-0000-000008020000}"/>
    <cellStyle name="Accent6 2 4" xfId="522" xr:uid="{00000000-0005-0000-0000-000009020000}"/>
    <cellStyle name="Accent6 2 5" xfId="523" xr:uid="{00000000-0005-0000-0000-00000A020000}"/>
    <cellStyle name="Accent6 2 6" xfId="524" xr:uid="{00000000-0005-0000-0000-00000B020000}"/>
    <cellStyle name="Accent6 2 7" xfId="525" xr:uid="{00000000-0005-0000-0000-00000C020000}"/>
    <cellStyle name="Accent6 3" xfId="526" xr:uid="{00000000-0005-0000-0000-00000D020000}"/>
    <cellStyle name="Accent6 4" xfId="527" xr:uid="{00000000-0005-0000-0000-00000E020000}"/>
    <cellStyle name="Accent6 5" xfId="528" xr:uid="{00000000-0005-0000-0000-00000F020000}"/>
    <cellStyle name="Bad 2" xfId="529" xr:uid="{00000000-0005-0000-0000-000010020000}"/>
    <cellStyle name="Bad 2 2" xfId="530" xr:uid="{00000000-0005-0000-0000-000011020000}"/>
    <cellStyle name="Bad 2 3" xfId="531" xr:uid="{00000000-0005-0000-0000-000012020000}"/>
    <cellStyle name="Bad 2 4" xfId="532" xr:uid="{00000000-0005-0000-0000-000013020000}"/>
    <cellStyle name="Bad 2 5" xfId="533" xr:uid="{00000000-0005-0000-0000-000014020000}"/>
    <cellStyle name="Bad 2 6" xfId="534" xr:uid="{00000000-0005-0000-0000-000015020000}"/>
    <cellStyle name="Bad 2 7" xfId="535" xr:uid="{00000000-0005-0000-0000-000016020000}"/>
    <cellStyle name="Bad 3" xfId="536" xr:uid="{00000000-0005-0000-0000-000017020000}"/>
    <cellStyle name="Bad 4" xfId="537" xr:uid="{00000000-0005-0000-0000-000018020000}"/>
    <cellStyle name="Bad 5" xfId="538" xr:uid="{00000000-0005-0000-0000-000019020000}"/>
    <cellStyle name="Calculation 2" xfId="539" xr:uid="{00000000-0005-0000-0000-00001A020000}"/>
    <cellStyle name="Calculation 2 2" xfId="540" xr:uid="{00000000-0005-0000-0000-00001B020000}"/>
    <cellStyle name="Calculation 2 3" xfId="541" xr:uid="{00000000-0005-0000-0000-00001C020000}"/>
    <cellStyle name="Calculation 2 4" xfId="542" xr:uid="{00000000-0005-0000-0000-00001D020000}"/>
    <cellStyle name="Calculation 2 5" xfId="543" xr:uid="{00000000-0005-0000-0000-00001E020000}"/>
    <cellStyle name="Calculation 2 6" xfId="544" xr:uid="{00000000-0005-0000-0000-00001F020000}"/>
    <cellStyle name="Calculation 2 7" xfId="545" xr:uid="{00000000-0005-0000-0000-000020020000}"/>
    <cellStyle name="Calculation 3" xfId="546" xr:uid="{00000000-0005-0000-0000-000021020000}"/>
    <cellStyle name="Calculation 4" xfId="547" xr:uid="{00000000-0005-0000-0000-000022020000}"/>
    <cellStyle name="Calculation 5" xfId="548" xr:uid="{00000000-0005-0000-0000-000023020000}"/>
    <cellStyle name="Check Cell 2" xfId="549" xr:uid="{00000000-0005-0000-0000-000024020000}"/>
    <cellStyle name="Check Cell 2 2" xfId="550" xr:uid="{00000000-0005-0000-0000-000025020000}"/>
    <cellStyle name="Check Cell 2 3" xfId="551" xr:uid="{00000000-0005-0000-0000-000026020000}"/>
    <cellStyle name="Check Cell 2 4" xfId="552" xr:uid="{00000000-0005-0000-0000-000027020000}"/>
    <cellStyle name="Check Cell 2 5" xfId="553" xr:uid="{00000000-0005-0000-0000-000028020000}"/>
    <cellStyle name="Check Cell 2 6" xfId="554" xr:uid="{00000000-0005-0000-0000-000029020000}"/>
    <cellStyle name="Check Cell 2 7" xfId="555" xr:uid="{00000000-0005-0000-0000-00002A020000}"/>
    <cellStyle name="Check Cell 3" xfId="556" xr:uid="{00000000-0005-0000-0000-00002B020000}"/>
    <cellStyle name="Check Cell 4" xfId="557" xr:uid="{00000000-0005-0000-0000-00002C020000}"/>
    <cellStyle name="Check Cell 5" xfId="558" xr:uid="{00000000-0005-0000-0000-00002D020000}"/>
    <cellStyle name="Explanatory Text 2" xfId="559" xr:uid="{00000000-0005-0000-0000-00002E020000}"/>
    <cellStyle name="Explanatory Text 2 2" xfId="560" xr:uid="{00000000-0005-0000-0000-00002F020000}"/>
    <cellStyle name="Explanatory Text 2 3" xfId="561" xr:uid="{00000000-0005-0000-0000-000030020000}"/>
    <cellStyle name="Explanatory Text 2 4" xfId="562" xr:uid="{00000000-0005-0000-0000-000031020000}"/>
    <cellStyle name="Explanatory Text 2 5" xfId="563" xr:uid="{00000000-0005-0000-0000-000032020000}"/>
    <cellStyle name="Explanatory Text 2 6" xfId="564" xr:uid="{00000000-0005-0000-0000-000033020000}"/>
    <cellStyle name="Explanatory Text 2 7" xfId="565" xr:uid="{00000000-0005-0000-0000-000034020000}"/>
    <cellStyle name="Explanatory Text 3" xfId="566" xr:uid="{00000000-0005-0000-0000-000035020000}"/>
    <cellStyle name="Explanatory Text 4" xfId="567" xr:uid="{00000000-0005-0000-0000-000036020000}"/>
    <cellStyle name="Explanatory Text 5" xfId="568" xr:uid="{00000000-0005-0000-0000-000037020000}"/>
    <cellStyle name="Good 2" xfId="569" xr:uid="{00000000-0005-0000-0000-000038020000}"/>
    <cellStyle name="Good 2 2" xfId="570" xr:uid="{00000000-0005-0000-0000-000039020000}"/>
    <cellStyle name="Good 2 3" xfId="571" xr:uid="{00000000-0005-0000-0000-00003A020000}"/>
    <cellStyle name="Good 2 4" xfId="572" xr:uid="{00000000-0005-0000-0000-00003B020000}"/>
    <cellStyle name="Good 2 5" xfId="573" xr:uid="{00000000-0005-0000-0000-00003C020000}"/>
    <cellStyle name="Good 2 6" xfId="574" xr:uid="{00000000-0005-0000-0000-00003D020000}"/>
    <cellStyle name="Good 2 7" xfId="575" xr:uid="{00000000-0005-0000-0000-00003E020000}"/>
    <cellStyle name="Good 3" xfId="576" xr:uid="{00000000-0005-0000-0000-00003F020000}"/>
    <cellStyle name="Good 4" xfId="577" xr:uid="{00000000-0005-0000-0000-000040020000}"/>
    <cellStyle name="Good 5" xfId="578" xr:uid="{00000000-0005-0000-0000-000041020000}"/>
    <cellStyle name="Heading 1 2" xfId="579" xr:uid="{00000000-0005-0000-0000-000042020000}"/>
    <cellStyle name="Heading 1 2 2" xfId="580" xr:uid="{00000000-0005-0000-0000-000043020000}"/>
    <cellStyle name="Heading 1 2 3" xfId="581" xr:uid="{00000000-0005-0000-0000-000044020000}"/>
    <cellStyle name="Heading 1 2 4" xfId="582" xr:uid="{00000000-0005-0000-0000-000045020000}"/>
    <cellStyle name="Heading 1 2 5" xfId="583" xr:uid="{00000000-0005-0000-0000-000046020000}"/>
    <cellStyle name="Heading 1 2 6" xfId="584" xr:uid="{00000000-0005-0000-0000-000047020000}"/>
    <cellStyle name="Heading 1 2 7" xfId="585" xr:uid="{00000000-0005-0000-0000-000048020000}"/>
    <cellStyle name="Heading 1 3" xfId="586" xr:uid="{00000000-0005-0000-0000-000049020000}"/>
    <cellStyle name="Heading 1 4" xfId="587" xr:uid="{00000000-0005-0000-0000-00004A020000}"/>
    <cellStyle name="Heading 1 5" xfId="588" xr:uid="{00000000-0005-0000-0000-00004B020000}"/>
    <cellStyle name="Heading 2 2" xfId="589" xr:uid="{00000000-0005-0000-0000-00004C020000}"/>
    <cellStyle name="Heading 2 2 2" xfId="590" xr:uid="{00000000-0005-0000-0000-00004D020000}"/>
    <cellStyle name="Heading 2 2 3" xfId="591" xr:uid="{00000000-0005-0000-0000-00004E020000}"/>
    <cellStyle name="Heading 2 2 4" xfId="592" xr:uid="{00000000-0005-0000-0000-00004F020000}"/>
    <cellStyle name="Heading 2 2 5" xfId="593" xr:uid="{00000000-0005-0000-0000-000050020000}"/>
    <cellStyle name="Heading 2 2 6" xfId="594" xr:uid="{00000000-0005-0000-0000-000051020000}"/>
    <cellStyle name="Heading 2 2 7" xfId="595" xr:uid="{00000000-0005-0000-0000-000052020000}"/>
    <cellStyle name="Heading 2 3" xfId="596" xr:uid="{00000000-0005-0000-0000-000053020000}"/>
    <cellStyle name="Heading 2 4" xfId="597" xr:uid="{00000000-0005-0000-0000-000054020000}"/>
    <cellStyle name="Heading 2 5" xfId="598" xr:uid="{00000000-0005-0000-0000-000055020000}"/>
    <cellStyle name="Heading 3 2" xfId="599" xr:uid="{00000000-0005-0000-0000-000056020000}"/>
    <cellStyle name="Heading 3 2 2" xfId="600" xr:uid="{00000000-0005-0000-0000-000057020000}"/>
    <cellStyle name="Heading 3 2 3" xfId="601" xr:uid="{00000000-0005-0000-0000-000058020000}"/>
    <cellStyle name="Heading 3 2 4" xfId="602" xr:uid="{00000000-0005-0000-0000-000059020000}"/>
    <cellStyle name="Heading 3 2 5" xfId="603" xr:uid="{00000000-0005-0000-0000-00005A020000}"/>
    <cellStyle name="Heading 3 2 6" xfId="604" xr:uid="{00000000-0005-0000-0000-00005B020000}"/>
    <cellStyle name="Heading 3 2 7" xfId="605" xr:uid="{00000000-0005-0000-0000-00005C020000}"/>
    <cellStyle name="Heading 3 3" xfId="606" xr:uid="{00000000-0005-0000-0000-00005D020000}"/>
    <cellStyle name="Heading 3 4" xfId="607" xr:uid="{00000000-0005-0000-0000-00005E020000}"/>
    <cellStyle name="Heading 3 5" xfId="608" xr:uid="{00000000-0005-0000-0000-00005F020000}"/>
    <cellStyle name="Heading 4 2" xfId="609" xr:uid="{00000000-0005-0000-0000-000060020000}"/>
    <cellStyle name="Heading 4 2 2" xfId="610" xr:uid="{00000000-0005-0000-0000-000061020000}"/>
    <cellStyle name="Heading 4 2 3" xfId="611" xr:uid="{00000000-0005-0000-0000-000062020000}"/>
    <cellStyle name="Heading 4 2 4" xfId="612" xr:uid="{00000000-0005-0000-0000-000063020000}"/>
    <cellStyle name="Heading 4 2 5" xfId="613" xr:uid="{00000000-0005-0000-0000-000064020000}"/>
    <cellStyle name="Heading 4 2 6" xfId="614" xr:uid="{00000000-0005-0000-0000-000065020000}"/>
    <cellStyle name="Heading 4 2 7" xfId="615" xr:uid="{00000000-0005-0000-0000-000066020000}"/>
    <cellStyle name="Heading 4 3" xfId="616" xr:uid="{00000000-0005-0000-0000-000067020000}"/>
    <cellStyle name="Heading 4 4" xfId="617" xr:uid="{00000000-0005-0000-0000-000068020000}"/>
    <cellStyle name="Heading 4 5" xfId="618" xr:uid="{00000000-0005-0000-0000-000069020000}"/>
    <cellStyle name="Input 2" xfId="619" xr:uid="{00000000-0005-0000-0000-00006A020000}"/>
    <cellStyle name="Input 2 2" xfId="620" xr:uid="{00000000-0005-0000-0000-00006B020000}"/>
    <cellStyle name="Input 2 3" xfId="621" xr:uid="{00000000-0005-0000-0000-00006C020000}"/>
    <cellStyle name="Input 2 4" xfId="622" xr:uid="{00000000-0005-0000-0000-00006D020000}"/>
    <cellStyle name="Input 2 5" xfId="623" xr:uid="{00000000-0005-0000-0000-00006E020000}"/>
    <cellStyle name="Input 2 6" xfId="624" xr:uid="{00000000-0005-0000-0000-00006F020000}"/>
    <cellStyle name="Input 2 7" xfId="625" xr:uid="{00000000-0005-0000-0000-000070020000}"/>
    <cellStyle name="Input 3" xfId="626" xr:uid="{00000000-0005-0000-0000-000071020000}"/>
    <cellStyle name="Input 4" xfId="627" xr:uid="{00000000-0005-0000-0000-000072020000}"/>
    <cellStyle name="Input 5" xfId="628" xr:uid="{00000000-0005-0000-0000-000073020000}"/>
    <cellStyle name="Linked Cell 2" xfId="629" xr:uid="{00000000-0005-0000-0000-000074020000}"/>
    <cellStyle name="Linked Cell 2 2" xfId="630" xr:uid="{00000000-0005-0000-0000-000075020000}"/>
    <cellStyle name="Linked Cell 2 3" xfId="631" xr:uid="{00000000-0005-0000-0000-000076020000}"/>
    <cellStyle name="Linked Cell 2 4" xfId="632" xr:uid="{00000000-0005-0000-0000-000077020000}"/>
    <cellStyle name="Linked Cell 2 5" xfId="633" xr:uid="{00000000-0005-0000-0000-000078020000}"/>
    <cellStyle name="Linked Cell 2 6" xfId="634" xr:uid="{00000000-0005-0000-0000-000079020000}"/>
    <cellStyle name="Linked Cell 2 7" xfId="635" xr:uid="{00000000-0005-0000-0000-00007A020000}"/>
    <cellStyle name="Linked Cell 3" xfId="636" xr:uid="{00000000-0005-0000-0000-00007B020000}"/>
    <cellStyle name="Linked Cell 4" xfId="637" xr:uid="{00000000-0005-0000-0000-00007C020000}"/>
    <cellStyle name="Linked Cell 5" xfId="638" xr:uid="{00000000-0005-0000-0000-00007D020000}"/>
    <cellStyle name="Neutral 2" xfId="639" xr:uid="{00000000-0005-0000-0000-00007E020000}"/>
    <cellStyle name="Neutral 2 2" xfId="640" xr:uid="{00000000-0005-0000-0000-00007F020000}"/>
    <cellStyle name="Neutral 2 3" xfId="641" xr:uid="{00000000-0005-0000-0000-000080020000}"/>
    <cellStyle name="Neutral 2 4" xfId="642" xr:uid="{00000000-0005-0000-0000-000081020000}"/>
    <cellStyle name="Neutral 2 5" xfId="643" xr:uid="{00000000-0005-0000-0000-000082020000}"/>
    <cellStyle name="Neutral 2 6" xfId="644" xr:uid="{00000000-0005-0000-0000-000083020000}"/>
    <cellStyle name="Neutral 2 7" xfId="645" xr:uid="{00000000-0005-0000-0000-000084020000}"/>
    <cellStyle name="Neutral 3" xfId="646" xr:uid="{00000000-0005-0000-0000-000085020000}"/>
    <cellStyle name="Neutral 4" xfId="647" xr:uid="{00000000-0005-0000-0000-000086020000}"/>
    <cellStyle name="Neutral 5" xfId="648" xr:uid="{00000000-0005-0000-0000-000087020000}"/>
    <cellStyle name="Normal" xfId="0" builtinId="0"/>
    <cellStyle name="Normal 10" xfId="649" xr:uid="{00000000-0005-0000-0000-000089020000}"/>
    <cellStyle name="Normal 10 2" xfId="650" xr:uid="{00000000-0005-0000-0000-00008A020000}"/>
    <cellStyle name="Normal 10 3" xfId="651" xr:uid="{00000000-0005-0000-0000-00008B020000}"/>
    <cellStyle name="Normal 10 4" xfId="652" xr:uid="{00000000-0005-0000-0000-00008C020000}"/>
    <cellStyle name="Normal 11" xfId="653" xr:uid="{00000000-0005-0000-0000-00008D020000}"/>
    <cellStyle name="Normal 11 2" xfId="654" xr:uid="{00000000-0005-0000-0000-00008E020000}"/>
    <cellStyle name="Normal 11 3" xfId="655" xr:uid="{00000000-0005-0000-0000-00008F020000}"/>
    <cellStyle name="Normal 11 4" xfId="656" xr:uid="{00000000-0005-0000-0000-000090020000}"/>
    <cellStyle name="Normal 12" xfId="657" xr:uid="{00000000-0005-0000-0000-000091020000}"/>
    <cellStyle name="Normal 12 2" xfId="658" xr:uid="{00000000-0005-0000-0000-000092020000}"/>
    <cellStyle name="Normal 12 3" xfId="817" xr:uid="{00000000-0005-0000-0000-000093020000}"/>
    <cellStyle name="Normal 2" xfId="659" xr:uid="{00000000-0005-0000-0000-000094020000}"/>
    <cellStyle name="Normal 2 10" xfId="660" xr:uid="{00000000-0005-0000-0000-000095020000}"/>
    <cellStyle name="Normal 2 10 2" xfId="661" xr:uid="{00000000-0005-0000-0000-000096020000}"/>
    <cellStyle name="Normal 2 11" xfId="662" xr:uid="{00000000-0005-0000-0000-000097020000}"/>
    <cellStyle name="Normal 2 11 2" xfId="663" xr:uid="{00000000-0005-0000-0000-000098020000}"/>
    <cellStyle name="Normal 2 12" xfId="664" xr:uid="{00000000-0005-0000-0000-000099020000}"/>
    <cellStyle name="Normal 2 12 2" xfId="665" xr:uid="{00000000-0005-0000-0000-00009A020000}"/>
    <cellStyle name="Normal 2 13" xfId="666" xr:uid="{00000000-0005-0000-0000-00009B020000}"/>
    <cellStyle name="Normal 2 13 2" xfId="667" xr:uid="{00000000-0005-0000-0000-00009C020000}"/>
    <cellStyle name="Normal 2 14" xfId="668" xr:uid="{00000000-0005-0000-0000-00009D020000}"/>
    <cellStyle name="Normal 2 14 2" xfId="669" xr:uid="{00000000-0005-0000-0000-00009E020000}"/>
    <cellStyle name="Normal 2 15" xfId="670" xr:uid="{00000000-0005-0000-0000-00009F020000}"/>
    <cellStyle name="Normal 2 15 2" xfId="671" xr:uid="{00000000-0005-0000-0000-0000A0020000}"/>
    <cellStyle name="Normal 2 16" xfId="672" xr:uid="{00000000-0005-0000-0000-0000A1020000}"/>
    <cellStyle name="Normal 2 16 2" xfId="673" xr:uid="{00000000-0005-0000-0000-0000A2020000}"/>
    <cellStyle name="Normal 2 17" xfId="674" xr:uid="{00000000-0005-0000-0000-0000A3020000}"/>
    <cellStyle name="Normal 2 17 2" xfId="675" xr:uid="{00000000-0005-0000-0000-0000A4020000}"/>
    <cellStyle name="Normal 2 18" xfId="676" xr:uid="{00000000-0005-0000-0000-0000A5020000}"/>
    <cellStyle name="Normal 2 18 2" xfId="677" xr:uid="{00000000-0005-0000-0000-0000A6020000}"/>
    <cellStyle name="Normal 2 19" xfId="678" xr:uid="{00000000-0005-0000-0000-0000A7020000}"/>
    <cellStyle name="Normal 2 19 2" xfId="679" xr:uid="{00000000-0005-0000-0000-0000A8020000}"/>
    <cellStyle name="Normal 2 2" xfId="680" xr:uid="{00000000-0005-0000-0000-0000A9020000}"/>
    <cellStyle name="Normal 2 2 2" xfId="681" xr:uid="{00000000-0005-0000-0000-0000AA020000}"/>
    <cellStyle name="Normal 2 20" xfId="682" xr:uid="{00000000-0005-0000-0000-0000AB020000}"/>
    <cellStyle name="Normal 2 20 2" xfId="683" xr:uid="{00000000-0005-0000-0000-0000AC020000}"/>
    <cellStyle name="Normal 2 21" xfId="684" xr:uid="{00000000-0005-0000-0000-0000AD020000}"/>
    <cellStyle name="Normal 2 21 2" xfId="685" xr:uid="{00000000-0005-0000-0000-0000AE020000}"/>
    <cellStyle name="Normal 2 22" xfId="686" xr:uid="{00000000-0005-0000-0000-0000AF020000}"/>
    <cellStyle name="Normal 2 22 2" xfId="687" xr:uid="{00000000-0005-0000-0000-0000B0020000}"/>
    <cellStyle name="Normal 2 23" xfId="688" xr:uid="{00000000-0005-0000-0000-0000B1020000}"/>
    <cellStyle name="Normal 2 23 2" xfId="689" xr:uid="{00000000-0005-0000-0000-0000B2020000}"/>
    <cellStyle name="Normal 2 24" xfId="690" xr:uid="{00000000-0005-0000-0000-0000B3020000}"/>
    <cellStyle name="Normal 2 24 2" xfId="691" xr:uid="{00000000-0005-0000-0000-0000B4020000}"/>
    <cellStyle name="Normal 2 25" xfId="692" xr:uid="{00000000-0005-0000-0000-0000B5020000}"/>
    <cellStyle name="Normal 2 25 2" xfId="693" xr:uid="{00000000-0005-0000-0000-0000B6020000}"/>
    <cellStyle name="Normal 2 26" xfId="694" xr:uid="{00000000-0005-0000-0000-0000B7020000}"/>
    <cellStyle name="Normal 2 26 2" xfId="695" xr:uid="{00000000-0005-0000-0000-0000B8020000}"/>
    <cellStyle name="Normal 2 27" xfId="696" xr:uid="{00000000-0005-0000-0000-0000B9020000}"/>
    <cellStyle name="Normal 2 27 2" xfId="697" xr:uid="{00000000-0005-0000-0000-0000BA020000}"/>
    <cellStyle name="Normal 2 28" xfId="698" xr:uid="{00000000-0005-0000-0000-0000BB020000}"/>
    <cellStyle name="Normal 2 28 2" xfId="699" xr:uid="{00000000-0005-0000-0000-0000BC020000}"/>
    <cellStyle name="Normal 2 29" xfId="700" xr:uid="{00000000-0005-0000-0000-0000BD020000}"/>
    <cellStyle name="Normal 2 29 2" xfId="701" xr:uid="{00000000-0005-0000-0000-0000BE020000}"/>
    <cellStyle name="Normal 2 3" xfId="702" xr:uid="{00000000-0005-0000-0000-0000BF020000}"/>
    <cellStyle name="Normal 2 3 2" xfId="703" xr:uid="{00000000-0005-0000-0000-0000C0020000}"/>
    <cellStyle name="Normal 2 30" xfId="704" xr:uid="{00000000-0005-0000-0000-0000C1020000}"/>
    <cellStyle name="Normal 2 30 2" xfId="705" xr:uid="{00000000-0005-0000-0000-0000C2020000}"/>
    <cellStyle name="Normal 2 31" xfId="706" xr:uid="{00000000-0005-0000-0000-0000C3020000}"/>
    <cellStyle name="Normal 2 31 2" xfId="707" xr:uid="{00000000-0005-0000-0000-0000C4020000}"/>
    <cellStyle name="Normal 2 32" xfId="708" xr:uid="{00000000-0005-0000-0000-0000C5020000}"/>
    <cellStyle name="Normal 2 32 2" xfId="709" xr:uid="{00000000-0005-0000-0000-0000C6020000}"/>
    <cellStyle name="Normal 2 33" xfId="710" xr:uid="{00000000-0005-0000-0000-0000C7020000}"/>
    <cellStyle name="Normal 2 33 2" xfId="711" xr:uid="{00000000-0005-0000-0000-0000C8020000}"/>
    <cellStyle name="Normal 2 34" xfId="712" xr:uid="{00000000-0005-0000-0000-0000C9020000}"/>
    <cellStyle name="Normal 2 34 2" xfId="713" xr:uid="{00000000-0005-0000-0000-0000CA020000}"/>
    <cellStyle name="Normal 2 35" xfId="714" xr:uid="{00000000-0005-0000-0000-0000CB020000}"/>
    <cellStyle name="Normal 2 35 2" xfId="715" xr:uid="{00000000-0005-0000-0000-0000CC020000}"/>
    <cellStyle name="Normal 2 36" xfId="716" xr:uid="{00000000-0005-0000-0000-0000CD020000}"/>
    <cellStyle name="Normal 2 36 2" xfId="717" xr:uid="{00000000-0005-0000-0000-0000CE020000}"/>
    <cellStyle name="Normal 2 37" xfId="718" xr:uid="{00000000-0005-0000-0000-0000CF020000}"/>
    <cellStyle name="Normal 2 37 2" xfId="719" xr:uid="{00000000-0005-0000-0000-0000D0020000}"/>
    <cellStyle name="Normal 2 38" xfId="720" xr:uid="{00000000-0005-0000-0000-0000D1020000}"/>
    <cellStyle name="Normal 2 38 2" xfId="721" xr:uid="{00000000-0005-0000-0000-0000D2020000}"/>
    <cellStyle name="Normal 2 39" xfId="722" xr:uid="{00000000-0005-0000-0000-0000D3020000}"/>
    <cellStyle name="Normal 2 39 2" xfId="723" xr:uid="{00000000-0005-0000-0000-0000D4020000}"/>
    <cellStyle name="Normal 2 4" xfId="724" xr:uid="{00000000-0005-0000-0000-0000D5020000}"/>
    <cellStyle name="Normal 2 4 2" xfId="725" xr:uid="{00000000-0005-0000-0000-0000D6020000}"/>
    <cellStyle name="Normal 2 40" xfId="726" xr:uid="{00000000-0005-0000-0000-0000D7020000}"/>
    <cellStyle name="Normal 2 40 2" xfId="727" xr:uid="{00000000-0005-0000-0000-0000D8020000}"/>
    <cellStyle name="Normal 2 41" xfId="728" xr:uid="{00000000-0005-0000-0000-0000D9020000}"/>
    <cellStyle name="Normal 2 5" xfId="729" xr:uid="{00000000-0005-0000-0000-0000DA020000}"/>
    <cellStyle name="Normal 2 5 2" xfId="730" xr:uid="{00000000-0005-0000-0000-0000DB020000}"/>
    <cellStyle name="Normal 2 6" xfId="731" xr:uid="{00000000-0005-0000-0000-0000DC020000}"/>
    <cellStyle name="Normal 2 6 2" xfId="732" xr:uid="{00000000-0005-0000-0000-0000DD020000}"/>
    <cellStyle name="Normal 2 7" xfId="733" xr:uid="{00000000-0005-0000-0000-0000DE020000}"/>
    <cellStyle name="Normal 2 7 2" xfId="734" xr:uid="{00000000-0005-0000-0000-0000DF020000}"/>
    <cellStyle name="Normal 2 8" xfId="735" xr:uid="{00000000-0005-0000-0000-0000E0020000}"/>
    <cellStyle name="Normal 2 8 2" xfId="736" xr:uid="{00000000-0005-0000-0000-0000E1020000}"/>
    <cellStyle name="Normal 2 9" xfId="737" xr:uid="{00000000-0005-0000-0000-0000E2020000}"/>
    <cellStyle name="Normal 2 9 2" xfId="738" xr:uid="{00000000-0005-0000-0000-0000E3020000}"/>
    <cellStyle name="Normal 3" xfId="739" xr:uid="{00000000-0005-0000-0000-0000E4020000}"/>
    <cellStyle name="Normal 3 2" xfId="740" xr:uid="{00000000-0005-0000-0000-0000E5020000}"/>
    <cellStyle name="Normal 31" xfId="741" xr:uid="{00000000-0005-0000-0000-0000E6020000}"/>
    <cellStyle name="Normal 32" xfId="742" xr:uid="{00000000-0005-0000-0000-0000E7020000}"/>
    <cellStyle name="Normal 33" xfId="743" xr:uid="{00000000-0005-0000-0000-0000E8020000}"/>
    <cellStyle name="Normal 34" xfId="744" xr:uid="{00000000-0005-0000-0000-0000E9020000}"/>
    <cellStyle name="Normal 35" xfId="745" xr:uid="{00000000-0005-0000-0000-0000EA020000}"/>
    <cellStyle name="Normal 36" xfId="746" xr:uid="{00000000-0005-0000-0000-0000EB020000}"/>
    <cellStyle name="Normal 37" xfId="747" xr:uid="{00000000-0005-0000-0000-0000EC020000}"/>
    <cellStyle name="Normal 38" xfId="748" xr:uid="{00000000-0005-0000-0000-0000ED020000}"/>
    <cellStyle name="Normal 39" xfId="749" xr:uid="{00000000-0005-0000-0000-0000EE020000}"/>
    <cellStyle name="Normal 4" xfId="750" xr:uid="{00000000-0005-0000-0000-0000EF020000}"/>
    <cellStyle name="Normal 4 2" xfId="751" xr:uid="{00000000-0005-0000-0000-0000F0020000}"/>
    <cellStyle name="Normal 40" xfId="752" xr:uid="{00000000-0005-0000-0000-0000F1020000}"/>
    <cellStyle name="Normal 41" xfId="753" xr:uid="{00000000-0005-0000-0000-0000F2020000}"/>
    <cellStyle name="Normal 42" xfId="754" xr:uid="{00000000-0005-0000-0000-0000F3020000}"/>
    <cellStyle name="Normal 43" xfId="755" xr:uid="{00000000-0005-0000-0000-0000F4020000}"/>
    <cellStyle name="Normal 44" xfId="756" xr:uid="{00000000-0005-0000-0000-0000F5020000}"/>
    <cellStyle name="Normal 5" xfId="757" xr:uid="{00000000-0005-0000-0000-0000F6020000}"/>
    <cellStyle name="Normal 5 2" xfId="758" xr:uid="{00000000-0005-0000-0000-0000F7020000}"/>
    <cellStyle name="Normal 6" xfId="759" xr:uid="{00000000-0005-0000-0000-0000F8020000}"/>
    <cellStyle name="Normal 6 2" xfId="760" xr:uid="{00000000-0005-0000-0000-0000F9020000}"/>
    <cellStyle name="Normal 7" xfId="761" xr:uid="{00000000-0005-0000-0000-0000FA020000}"/>
    <cellStyle name="Normal 8" xfId="762" xr:uid="{00000000-0005-0000-0000-0000FB020000}"/>
    <cellStyle name="Normal 9" xfId="763" xr:uid="{00000000-0005-0000-0000-0000FC020000}"/>
    <cellStyle name="Normal 9 2" xfId="764" xr:uid="{00000000-0005-0000-0000-0000FD020000}"/>
    <cellStyle name="Normal 9 3" xfId="765" xr:uid="{00000000-0005-0000-0000-0000FE020000}"/>
    <cellStyle name="Normal 9 4" xfId="766" xr:uid="{00000000-0005-0000-0000-0000FF020000}"/>
    <cellStyle name="Note 2" xfId="767" xr:uid="{00000000-0005-0000-0000-000000030000}"/>
    <cellStyle name="Note 2 2" xfId="768" xr:uid="{00000000-0005-0000-0000-000001030000}"/>
    <cellStyle name="Note 2 3" xfId="769" xr:uid="{00000000-0005-0000-0000-000002030000}"/>
    <cellStyle name="Note 2 4" xfId="770" xr:uid="{00000000-0005-0000-0000-000003030000}"/>
    <cellStyle name="Note 2 5" xfId="771" xr:uid="{00000000-0005-0000-0000-000004030000}"/>
    <cellStyle name="Note 2 6" xfId="772" xr:uid="{00000000-0005-0000-0000-000005030000}"/>
    <cellStyle name="Note 2 7" xfId="773" xr:uid="{00000000-0005-0000-0000-000006030000}"/>
    <cellStyle name="Note 3" xfId="774" xr:uid="{00000000-0005-0000-0000-000007030000}"/>
    <cellStyle name="Note 4" xfId="775" xr:uid="{00000000-0005-0000-0000-000008030000}"/>
    <cellStyle name="Note 5" xfId="776" xr:uid="{00000000-0005-0000-0000-000009030000}"/>
    <cellStyle name="Output 2" xfId="777" xr:uid="{00000000-0005-0000-0000-00000A030000}"/>
    <cellStyle name="Output 2 2" xfId="778" xr:uid="{00000000-0005-0000-0000-00000B030000}"/>
    <cellStyle name="Output 2 3" xfId="779" xr:uid="{00000000-0005-0000-0000-00000C030000}"/>
    <cellStyle name="Output 2 4" xfId="780" xr:uid="{00000000-0005-0000-0000-00000D030000}"/>
    <cellStyle name="Output 2 5" xfId="781" xr:uid="{00000000-0005-0000-0000-00000E030000}"/>
    <cellStyle name="Output 2 6" xfId="782" xr:uid="{00000000-0005-0000-0000-00000F030000}"/>
    <cellStyle name="Output 2 7" xfId="783" xr:uid="{00000000-0005-0000-0000-000010030000}"/>
    <cellStyle name="Output 3" xfId="784" xr:uid="{00000000-0005-0000-0000-000011030000}"/>
    <cellStyle name="Output 4" xfId="785" xr:uid="{00000000-0005-0000-0000-000012030000}"/>
    <cellStyle name="Output 5" xfId="786" xr:uid="{00000000-0005-0000-0000-000013030000}"/>
    <cellStyle name="Title 2" xfId="787" xr:uid="{00000000-0005-0000-0000-000014030000}"/>
    <cellStyle name="Title 2 2" xfId="788" xr:uid="{00000000-0005-0000-0000-000015030000}"/>
    <cellStyle name="Title 2 3" xfId="789" xr:uid="{00000000-0005-0000-0000-000016030000}"/>
    <cellStyle name="Title 2 4" xfId="790" xr:uid="{00000000-0005-0000-0000-000017030000}"/>
    <cellStyle name="Title 2 5" xfId="791" xr:uid="{00000000-0005-0000-0000-000018030000}"/>
    <cellStyle name="Title 2 6" xfId="792" xr:uid="{00000000-0005-0000-0000-000019030000}"/>
    <cellStyle name="Title 2 7" xfId="793" xr:uid="{00000000-0005-0000-0000-00001A030000}"/>
    <cellStyle name="Title 3" xfId="794" xr:uid="{00000000-0005-0000-0000-00001B030000}"/>
    <cellStyle name="Title 4" xfId="795" xr:uid="{00000000-0005-0000-0000-00001C030000}"/>
    <cellStyle name="Title 5" xfId="796" xr:uid="{00000000-0005-0000-0000-00001D030000}"/>
    <cellStyle name="Total 2" xfId="797" xr:uid="{00000000-0005-0000-0000-00001E030000}"/>
    <cellStyle name="Total 2 2" xfId="798" xr:uid="{00000000-0005-0000-0000-00001F030000}"/>
    <cellStyle name="Total 2 3" xfId="799" xr:uid="{00000000-0005-0000-0000-000020030000}"/>
    <cellStyle name="Total 2 4" xfId="800" xr:uid="{00000000-0005-0000-0000-000021030000}"/>
    <cellStyle name="Total 2 5" xfId="801" xr:uid="{00000000-0005-0000-0000-000022030000}"/>
    <cellStyle name="Total 2 6" xfId="802" xr:uid="{00000000-0005-0000-0000-000023030000}"/>
    <cellStyle name="Total 2 7" xfId="803" xr:uid="{00000000-0005-0000-0000-000024030000}"/>
    <cellStyle name="Total 3" xfId="804" xr:uid="{00000000-0005-0000-0000-000025030000}"/>
    <cellStyle name="Total 4" xfId="805" xr:uid="{00000000-0005-0000-0000-000026030000}"/>
    <cellStyle name="Total 5" xfId="806" xr:uid="{00000000-0005-0000-0000-000027030000}"/>
    <cellStyle name="Warning Text 2" xfId="807" xr:uid="{00000000-0005-0000-0000-000028030000}"/>
    <cellStyle name="Warning Text 2 2" xfId="808" xr:uid="{00000000-0005-0000-0000-000029030000}"/>
    <cellStyle name="Warning Text 2 3" xfId="809" xr:uid="{00000000-0005-0000-0000-00002A030000}"/>
    <cellStyle name="Warning Text 2 4" xfId="810" xr:uid="{00000000-0005-0000-0000-00002B030000}"/>
    <cellStyle name="Warning Text 2 5" xfId="811" xr:uid="{00000000-0005-0000-0000-00002C030000}"/>
    <cellStyle name="Warning Text 2 6" xfId="812" xr:uid="{00000000-0005-0000-0000-00002D030000}"/>
    <cellStyle name="Warning Text 2 7" xfId="813" xr:uid="{00000000-0005-0000-0000-00002E030000}"/>
    <cellStyle name="Warning Text 3" xfId="814" xr:uid="{00000000-0005-0000-0000-00002F030000}"/>
    <cellStyle name="Warning Text 4" xfId="815" xr:uid="{00000000-0005-0000-0000-000030030000}"/>
    <cellStyle name="Warning Text 5" xfId="816" xr:uid="{00000000-0005-0000-0000-000031030000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66FFCC"/>
      <color rgb="FF66FFFF"/>
      <color rgb="FFFFFF66"/>
      <color rgb="FFE46D0A"/>
      <color rgb="FFFDE9D9"/>
      <color rgb="FFFF9999"/>
      <color rgb="FFFFFFCC"/>
      <color rgb="FF92D050"/>
      <color rgb="FFC0504D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70"/>
  <sheetViews>
    <sheetView workbookViewId="0">
      <selection activeCell="C1" sqref="C1"/>
    </sheetView>
  </sheetViews>
  <sheetFormatPr defaultRowHeight="15" x14ac:dyDescent="0.25"/>
  <cols>
    <col min="1" max="1" width="3" bestFit="1" customWidth="1"/>
    <col min="2" max="2" width="25.85546875" style="284" customWidth="1"/>
    <col min="3" max="3" width="14" customWidth="1"/>
    <col min="4" max="4" width="21" style="299" customWidth="1"/>
    <col min="5" max="5" width="12.85546875" bestFit="1" customWidth="1"/>
    <col min="6" max="6" width="12.85546875" customWidth="1"/>
    <col min="7" max="7" width="14.140625" customWidth="1"/>
    <col min="8" max="9" width="18.28515625" customWidth="1"/>
    <col min="10" max="10" width="45.140625" customWidth="1"/>
    <col min="11" max="21" width="8.7109375" style="110"/>
  </cols>
  <sheetData>
    <row r="1" spans="1:54" s="233" customFormat="1" ht="45" x14ac:dyDescent="0.25">
      <c r="A1" s="237"/>
      <c r="B1" s="323" t="s">
        <v>7</v>
      </c>
      <c r="C1" s="323" t="s">
        <v>0</v>
      </c>
      <c r="D1" s="297" t="s">
        <v>1</v>
      </c>
      <c r="E1" s="324" t="s">
        <v>1163</v>
      </c>
      <c r="F1" s="308" t="s">
        <v>1233</v>
      </c>
      <c r="G1" s="308" t="s">
        <v>1184</v>
      </c>
      <c r="H1" s="308" t="s">
        <v>1185</v>
      </c>
      <c r="I1" s="308" t="s">
        <v>1232</v>
      </c>
      <c r="J1" s="325" t="s">
        <v>1188</v>
      </c>
      <c r="K1" s="234"/>
      <c r="L1" s="234"/>
      <c r="M1" s="234"/>
      <c r="N1" s="234"/>
      <c r="O1" s="307">
        <f ca="1">TODAY()</f>
        <v>46077</v>
      </c>
      <c r="P1" s="234"/>
      <c r="Q1" s="234"/>
      <c r="R1" s="234"/>
      <c r="S1" s="234"/>
      <c r="T1" s="234"/>
      <c r="U1" s="234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2"/>
    </row>
    <row r="2" spans="1:54" s="233" customFormat="1" x14ac:dyDescent="0.25">
      <c r="A2" s="316">
        <v>1</v>
      </c>
      <c r="B2" s="288" t="s">
        <v>613</v>
      </c>
      <c r="C2" s="292" t="s">
        <v>614</v>
      </c>
      <c r="D2" s="300"/>
      <c r="E2" s="319">
        <v>44721</v>
      </c>
      <c r="F2" s="317">
        <f ca="1">E2-O1</f>
        <v>-1356</v>
      </c>
      <c r="G2" s="311" t="s">
        <v>1186</v>
      </c>
      <c r="H2" s="311" t="s">
        <v>1187</v>
      </c>
      <c r="I2" s="311"/>
      <c r="J2" s="285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2"/>
    </row>
    <row r="3" spans="1:54" s="233" customFormat="1" x14ac:dyDescent="0.25">
      <c r="A3" s="316">
        <v>2</v>
      </c>
      <c r="B3" s="283" t="s">
        <v>883</v>
      </c>
      <c r="C3" s="293" t="s">
        <v>126</v>
      </c>
      <c r="D3" s="301">
        <v>8704136020087</v>
      </c>
      <c r="E3" s="320">
        <v>44720</v>
      </c>
      <c r="F3" s="318">
        <f ca="1">E3-O1</f>
        <v>-1357</v>
      </c>
      <c r="G3" s="312" t="s">
        <v>1186</v>
      </c>
      <c r="H3" s="312" t="s">
        <v>1187</v>
      </c>
      <c r="I3" s="312"/>
      <c r="J3" s="286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8"/>
      <c r="AZ3" s="199"/>
      <c r="BA3" s="199"/>
      <c r="BB3" s="199"/>
    </row>
    <row r="4" spans="1:54" s="233" customFormat="1" x14ac:dyDescent="0.25">
      <c r="A4" s="316">
        <v>3</v>
      </c>
      <c r="B4" s="283" t="s">
        <v>890</v>
      </c>
      <c r="C4" s="293" t="s">
        <v>70</v>
      </c>
      <c r="D4" s="301">
        <v>7201145384084</v>
      </c>
      <c r="E4" s="320">
        <v>44716</v>
      </c>
      <c r="F4" s="318">
        <f ca="1">E4-O1</f>
        <v>-1361</v>
      </c>
      <c r="G4" s="312" t="s">
        <v>1186</v>
      </c>
      <c r="H4" s="312" t="s">
        <v>1187</v>
      </c>
      <c r="I4" s="312"/>
      <c r="J4" s="286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8"/>
      <c r="AZ4" s="199"/>
      <c r="BA4" s="199"/>
      <c r="BB4" s="199"/>
    </row>
    <row r="5" spans="1:54" s="233" customFormat="1" x14ac:dyDescent="0.25">
      <c r="A5" s="316">
        <v>4</v>
      </c>
      <c r="B5" s="283" t="s">
        <v>884</v>
      </c>
      <c r="C5" s="293" t="s">
        <v>72</v>
      </c>
      <c r="D5" s="301">
        <v>8209255533084</v>
      </c>
      <c r="E5" s="320">
        <v>44716</v>
      </c>
      <c r="F5" s="317">
        <f ca="1">E5-O1</f>
        <v>-1361</v>
      </c>
      <c r="G5" s="312" t="s">
        <v>1186</v>
      </c>
      <c r="H5" s="312" t="s">
        <v>1187</v>
      </c>
      <c r="I5" s="312"/>
      <c r="J5" s="286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8"/>
      <c r="AZ5" s="199"/>
      <c r="BA5" s="199"/>
      <c r="BB5" s="199"/>
    </row>
    <row r="6" spans="1:54" s="233" customFormat="1" x14ac:dyDescent="0.25">
      <c r="A6" s="316">
        <v>5</v>
      </c>
      <c r="B6" s="283" t="s">
        <v>843</v>
      </c>
      <c r="C6" s="293" t="s">
        <v>187</v>
      </c>
      <c r="D6" s="301">
        <v>6602085465083</v>
      </c>
      <c r="E6" s="320">
        <v>44723</v>
      </c>
      <c r="F6" s="318">
        <f ca="1">E6-O1</f>
        <v>-1354</v>
      </c>
      <c r="G6" s="312" t="s">
        <v>1186</v>
      </c>
      <c r="H6" s="312" t="s">
        <v>1187</v>
      </c>
      <c r="I6" s="312"/>
      <c r="J6" s="286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8"/>
      <c r="AZ6" s="199"/>
      <c r="BA6" s="199"/>
      <c r="BB6" s="199"/>
    </row>
    <row r="7" spans="1:54" s="233" customFormat="1" x14ac:dyDescent="0.25">
      <c r="A7" s="316">
        <v>6</v>
      </c>
      <c r="B7" s="283" t="s">
        <v>820</v>
      </c>
      <c r="C7" s="293" t="s">
        <v>100</v>
      </c>
      <c r="D7" s="301">
        <v>6907015328081</v>
      </c>
      <c r="E7" s="320">
        <v>44720</v>
      </c>
      <c r="F7" s="318">
        <f ca="1">E7-O1</f>
        <v>-1357</v>
      </c>
      <c r="G7" s="312" t="s">
        <v>1186</v>
      </c>
      <c r="H7" s="312" t="s">
        <v>1187</v>
      </c>
      <c r="I7" s="312"/>
      <c r="J7" s="286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8"/>
      <c r="AZ7" s="199"/>
      <c r="BA7" s="199"/>
      <c r="BB7" s="199"/>
    </row>
    <row r="8" spans="1:54" s="233" customFormat="1" x14ac:dyDescent="0.25">
      <c r="A8" s="316">
        <v>7</v>
      </c>
      <c r="B8" s="289" t="s">
        <v>882</v>
      </c>
      <c r="C8" s="294" t="s">
        <v>58</v>
      </c>
      <c r="D8" s="302">
        <v>7302285872084</v>
      </c>
      <c r="E8" s="319">
        <v>44721</v>
      </c>
      <c r="F8" s="318">
        <f ca="1">E8-O1</f>
        <v>-1356</v>
      </c>
      <c r="G8" s="312" t="s">
        <v>1186</v>
      </c>
      <c r="H8" s="312" t="s">
        <v>1187</v>
      </c>
      <c r="I8" s="312"/>
      <c r="J8" s="286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8"/>
      <c r="AZ8" s="199"/>
      <c r="BA8" s="199"/>
      <c r="BB8" s="199"/>
    </row>
    <row r="9" spans="1:54" s="233" customFormat="1" x14ac:dyDescent="0.25">
      <c r="A9" s="316">
        <v>8</v>
      </c>
      <c r="B9" s="283" t="s">
        <v>813</v>
      </c>
      <c r="C9" s="293" t="s">
        <v>93</v>
      </c>
      <c r="D9" s="301">
        <v>8308105705080</v>
      </c>
      <c r="E9" s="320">
        <v>44720</v>
      </c>
      <c r="F9" s="317">
        <f ca="1">E9-O1</f>
        <v>-1357</v>
      </c>
      <c r="G9" s="312" t="s">
        <v>1186</v>
      </c>
      <c r="H9" s="312" t="s">
        <v>1187</v>
      </c>
      <c r="I9" s="312"/>
      <c r="J9" s="197"/>
      <c r="V9" s="232"/>
    </row>
    <row r="10" spans="1:54" s="233" customFormat="1" x14ac:dyDescent="0.25">
      <c r="A10" s="316">
        <v>9</v>
      </c>
      <c r="B10" s="283" t="s">
        <v>846</v>
      </c>
      <c r="C10" s="293" t="s">
        <v>70</v>
      </c>
      <c r="D10" s="301">
        <v>9007045651086</v>
      </c>
      <c r="E10" s="320">
        <v>44716</v>
      </c>
      <c r="F10" s="318">
        <f ca="1">E10-O1</f>
        <v>-1361</v>
      </c>
      <c r="G10" s="312" t="s">
        <v>1186</v>
      </c>
      <c r="H10" s="312" t="s">
        <v>1187</v>
      </c>
      <c r="I10" s="312"/>
      <c r="J10" s="286"/>
      <c r="V10" s="232"/>
    </row>
    <row r="11" spans="1:54" s="233" customFormat="1" x14ac:dyDescent="0.25">
      <c r="A11" s="316">
        <v>10</v>
      </c>
      <c r="B11" s="283" t="s">
        <v>876</v>
      </c>
      <c r="C11" s="293" t="s">
        <v>1192</v>
      </c>
      <c r="D11" s="301">
        <v>8804265615085</v>
      </c>
      <c r="E11" s="320">
        <v>44719</v>
      </c>
      <c r="F11" s="317">
        <f ca="1">E11-O1</f>
        <v>-1358</v>
      </c>
      <c r="G11" s="312" t="s">
        <v>1186</v>
      </c>
      <c r="H11" s="312" t="s">
        <v>1187</v>
      </c>
      <c r="I11" s="312"/>
      <c r="J11" s="286"/>
      <c r="V11" s="232"/>
    </row>
    <row r="12" spans="1:54" s="233" customFormat="1" x14ac:dyDescent="0.25">
      <c r="A12" s="316">
        <v>11</v>
      </c>
      <c r="B12" s="283" t="s">
        <v>847</v>
      </c>
      <c r="C12" s="293" t="s">
        <v>119</v>
      </c>
      <c r="D12" s="301">
        <v>8212195758084</v>
      </c>
      <c r="E12" s="320">
        <v>44716</v>
      </c>
      <c r="F12" s="317">
        <f ca="1">E12-O1</f>
        <v>-1361</v>
      </c>
      <c r="G12" s="312" t="s">
        <v>1186</v>
      </c>
      <c r="H12" s="312" t="s">
        <v>1187</v>
      </c>
      <c r="I12" s="312"/>
      <c r="J12" s="286"/>
      <c r="V12" s="232"/>
    </row>
    <row r="13" spans="1:54" s="233" customFormat="1" x14ac:dyDescent="0.25">
      <c r="A13" s="316">
        <v>12</v>
      </c>
      <c r="B13" s="283" t="s">
        <v>144</v>
      </c>
      <c r="C13" s="293" t="s">
        <v>858</v>
      </c>
      <c r="D13" s="303">
        <v>7908285561087</v>
      </c>
      <c r="E13" s="320">
        <v>44719</v>
      </c>
      <c r="F13" s="317">
        <f ca="1">E13-O1</f>
        <v>-1358</v>
      </c>
      <c r="G13" s="312" t="s">
        <v>1186</v>
      </c>
      <c r="H13" s="312" t="s">
        <v>1187</v>
      </c>
      <c r="I13" s="312"/>
      <c r="J13" s="286"/>
      <c r="V13" s="232"/>
    </row>
    <row r="14" spans="1:54" s="199" customFormat="1" x14ac:dyDescent="0.25">
      <c r="A14" s="316">
        <v>13</v>
      </c>
      <c r="B14" s="283" t="s">
        <v>891</v>
      </c>
      <c r="C14" s="293" t="s">
        <v>104</v>
      </c>
      <c r="D14" s="301">
        <v>7401175673089</v>
      </c>
      <c r="E14" s="320">
        <v>44718</v>
      </c>
      <c r="F14" s="317">
        <f ca="1">E14-O1</f>
        <v>-1359</v>
      </c>
      <c r="G14" s="312" t="s">
        <v>1186</v>
      </c>
      <c r="H14" s="312" t="s">
        <v>1187</v>
      </c>
      <c r="I14" s="312"/>
      <c r="J14" s="286"/>
      <c r="V14" s="198"/>
    </row>
    <row r="15" spans="1:54" s="199" customFormat="1" x14ac:dyDescent="0.25">
      <c r="A15" s="316">
        <v>14</v>
      </c>
      <c r="B15" s="283" t="s">
        <v>852</v>
      </c>
      <c r="C15" s="293" t="s">
        <v>93</v>
      </c>
      <c r="D15" s="301">
        <v>8301285583088</v>
      </c>
      <c r="E15" s="320">
        <v>44719</v>
      </c>
      <c r="F15" s="317">
        <f ca="1">E15-O1</f>
        <v>-1358</v>
      </c>
      <c r="G15" s="312" t="s">
        <v>1186</v>
      </c>
      <c r="H15" s="312" t="s">
        <v>1187</v>
      </c>
      <c r="I15" s="312"/>
      <c r="J15" s="197"/>
      <c r="V15" s="198"/>
    </row>
    <row r="16" spans="1:54" s="280" customFormat="1" ht="15" customHeight="1" x14ac:dyDescent="0.25">
      <c r="A16" s="316">
        <v>15</v>
      </c>
      <c r="B16" s="290" t="s">
        <v>774</v>
      </c>
      <c r="C16" s="296" t="s">
        <v>1189</v>
      </c>
      <c r="D16" s="304" t="s">
        <v>307</v>
      </c>
      <c r="E16" s="321">
        <v>44749</v>
      </c>
      <c r="F16" s="317">
        <f ca="1">E16-O1</f>
        <v>-1328</v>
      </c>
      <c r="G16" s="312" t="s">
        <v>1186</v>
      </c>
      <c r="H16" s="312" t="s">
        <v>1187</v>
      </c>
      <c r="I16" s="310"/>
      <c r="J16" s="287"/>
      <c r="V16" s="281"/>
    </row>
    <row r="17" spans="1:22" x14ac:dyDescent="0.25">
      <c r="A17" s="316">
        <v>16</v>
      </c>
      <c r="B17" s="283" t="s">
        <v>1190</v>
      </c>
      <c r="C17" s="293" t="s">
        <v>1191</v>
      </c>
      <c r="D17" s="298"/>
      <c r="E17" s="320">
        <v>44719</v>
      </c>
      <c r="F17" s="317">
        <f ca="1">E17-O1</f>
        <v>-1358</v>
      </c>
      <c r="G17" s="312" t="s">
        <v>1186</v>
      </c>
      <c r="H17" s="312" t="s">
        <v>1187</v>
      </c>
      <c r="I17" s="312"/>
      <c r="J17" s="313"/>
    </row>
    <row r="18" spans="1:22" s="199" customFormat="1" x14ac:dyDescent="0.25">
      <c r="A18" s="316">
        <v>17</v>
      </c>
      <c r="B18" s="283" t="s">
        <v>872</v>
      </c>
      <c r="C18" s="295" t="s">
        <v>96</v>
      </c>
      <c r="D18" s="301">
        <v>7207295481083</v>
      </c>
      <c r="E18" s="320">
        <v>44719</v>
      </c>
      <c r="F18" s="317">
        <f ca="1">E18-O1</f>
        <v>-1358</v>
      </c>
      <c r="G18" s="312" t="s">
        <v>1186</v>
      </c>
      <c r="H18" s="312" t="s">
        <v>1187</v>
      </c>
      <c r="I18" s="312"/>
      <c r="J18" s="314"/>
      <c r="V18" s="198"/>
    </row>
    <row r="19" spans="1:22" s="199" customFormat="1" x14ac:dyDescent="0.25">
      <c r="A19" s="316">
        <v>18</v>
      </c>
      <c r="B19" s="283" t="s">
        <v>856</v>
      </c>
      <c r="C19" s="293" t="s">
        <v>855</v>
      </c>
      <c r="D19" s="305">
        <v>801319</v>
      </c>
      <c r="E19" s="320">
        <v>44720</v>
      </c>
      <c r="F19" s="317">
        <f ca="1">E19-O1</f>
        <v>-1357</v>
      </c>
      <c r="G19" s="312" t="s">
        <v>1186</v>
      </c>
      <c r="H19" s="312" t="s">
        <v>1187</v>
      </c>
      <c r="I19" s="312"/>
      <c r="J19" s="202"/>
      <c r="V19" s="198"/>
    </row>
    <row r="20" spans="1:22" s="199" customFormat="1" x14ac:dyDescent="0.25">
      <c r="A20" s="316">
        <v>19</v>
      </c>
      <c r="B20" s="289" t="s">
        <v>1153</v>
      </c>
      <c r="C20" s="294" t="s">
        <v>839</v>
      </c>
      <c r="D20" s="302"/>
      <c r="E20" s="320">
        <v>44720</v>
      </c>
      <c r="F20" s="317">
        <f ca="1">E20-O1</f>
        <v>-1357</v>
      </c>
      <c r="G20" s="312" t="s">
        <v>1186</v>
      </c>
      <c r="H20" s="312" t="s">
        <v>1187</v>
      </c>
      <c r="I20" s="312"/>
      <c r="J20" s="202"/>
      <c r="V20" s="198"/>
    </row>
    <row r="21" spans="1:22" s="199" customFormat="1" x14ac:dyDescent="0.25">
      <c r="A21" s="316">
        <v>20</v>
      </c>
      <c r="B21" s="283" t="s">
        <v>868</v>
      </c>
      <c r="C21" s="293" t="s">
        <v>93</v>
      </c>
      <c r="D21" s="303">
        <v>7707175809089</v>
      </c>
      <c r="E21" s="320">
        <v>44720</v>
      </c>
      <c r="F21" s="317">
        <f ca="1">E21-O1</f>
        <v>-1357</v>
      </c>
      <c r="G21" s="312" t="s">
        <v>1186</v>
      </c>
      <c r="H21" s="312" t="s">
        <v>1187</v>
      </c>
      <c r="I21" s="312"/>
      <c r="J21" s="202"/>
      <c r="V21" s="198"/>
    </row>
    <row r="22" spans="1:22" x14ac:dyDescent="0.25">
      <c r="A22" s="316">
        <v>21</v>
      </c>
      <c r="B22" s="283" t="s">
        <v>1194</v>
      </c>
      <c r="C22" s="293" t="s">
        <v>1195</v>
      </c>
      <c r="D22" s="306" t="s">
        <v>1229</v>
      </c>
      <c r="E22" s="320">
        <v>44716</v>
      </c>
      <c r="F22" s="317">
        <f ca="1">E22-O1</f>
        <v>-1361</v>
      </c>
      <c r="G22" s="312" t="s">
        <v>1196</v>
      </c>
      <c r="H22" s="312" t="s">
        <v>1197</v>
      </c>
      <c r="I22" s="312"/>
      <c r="J22" s="313"/>
    </row>
    <row r="23" spans="1:22" s="199" customFormat="1" x14ac:dyDescent="0.25">
      <c r="A23" s="316">
        <v>22</v>
      </c>
      <c r="B23" s="283" t="s">
        <v>828</v>
      </c>
      <c r="C23" s="293" t="s">
        <v>115</v>
      </c>
      <c r="D23" s="301">
        <v>6202275415087</v>
      </c>
      <c r="E23" s="320">
        <v>44721</v>
      </c>
      <c r="F23" s="317">
        <f ca="1">E23-O1</f>
        <v>-1356</v>
      </c>
      <c r="G23" s="312" t="s">
        <v>1186</v>
      </c>
      <c r="H23" s="312" t="s">
        <v>1187</v>
      </c>
      <c r="I23" s="312"/>
      <c r="J23" s="202"/>
      <c r="V23" s="198"/>
    </row>
    <row r="24" spans="1:22" s="199" customFormat="1" x14ac:dyDescent="0.25">
      <c r="A24" s="316">
        <v>23</v>
      </c>
      <c r="B24" s="283" t="s">
        <v>879</v>
      </c>
      <c r="C24" s="293" t="s">
        <v>84</v>
      </c>
      <c r="D24" s="301">
        <v>8002285629083</v>
      </c>
      <c r="E24" s="320">
        <v>44721</v>
      </c>
      <c r="F24" s="317">
        <f ca="1">E24-O1</f>
        <v>-1356</v>
      </c>
      <c r="G24" s="312" t="s">
        <v>1186</v>
      </c>
      <c r="H24" s="312" t="s">
        <v>1187</v>
      </c>
      <c r="I24" s="312"/>
      <c r="J24" s="314"/>
      <c r="V24" s="198"/>
    </row>
    <row r="25" spans="1:22" s="280" customFormat="1" ht="15" customHeight="1" x14ac:dyDescent="0.25">
      <c r="A25" s="316">
        <v>24</v>
      </c>
      <c r="B25" s="291" t="s">
        <v>1198</v>
      </c>
      <c r="C25" s="296" t="s">
        <v>1199</v>
      </c>
      <c r="D25" s="304">
        <v>7703185340082</v>
      </c>
      <c r="E25" s="321">
        <v>44721</v>
      </c>
      <c r="F25" s="317">
        <f ca="1">E25-O1</f>
        <v>-1356</v>
      </c>
      <c r="G25" s="312" t="s">
        <v>1186</v>
      </c>
      <c r="H25" s="312" t="s">
        <v>1187</v>
      </c>
      <c r="I25" s="310"/>
      <c r="J25" s="315"/>
      <c r="V25" s="281"/>
    </row>
    <row r="26" spans="1:22" x14ac:dyDescent="0.25">
      <c r="A26" s="316">
        <v>25</v>
      </c>
      <c r="B26" s="283" t="s">
        <v>1200</v>
      </c>
      <c r="C26" s="293" t="s">
        <v>1201</v>
      </c>
      <c r="D26" s="306">
        <v>6908195301088</v>
      </c>
      <c r="E26" s="320">
        <v>44723</v>
      </c>
      <c r="F26" s="317">
        <f ca="1">E26-O1</f>
        <v>-1354</v>
      </c>
      <c r="G26" s="312" t="s">
        <v>1186</v>
      </c>
      <c r="H26" s="312" t="s">
        <v>1187</v>
      </c>
      <c r="I26" s="312"/>
      <c r="J26" s="313"/>
    </row>
    <row r="27" spans="1:22" s="199" customFormat="1" x14ac:dyDescent="0.25">
      <c r="A27" s="316">
        <v>26</v>
      </c>
      <c r="B27" s="283" t="s">
        <v>825</v>
      </c>
      <c r="C27" s="293" t="s">
        <v>126</v>
      </c>
      <c r="D27" s="301">
        <v>8005165887085</v>
      </c>
      <c r="E27" s="320">
        <v>44722</v>
      </c>
      <c r="F27" s="317">
        <f ca="1">E27-O1</f>
        <v>-1355</v>
      </c>
      <c r="G27" s="312" t="s">
        <v>1186</v>
      </c>
      <c r="H27" s="312" t="s">
        <v>1187</v>
      </c>
      <c r="I27" s="312"/>
      <c r="J27" s="314"/>
      <c r="V27" s="198"/>
    </row>
    <row r="28" spans="1:22" x14ac:dyDescent="0.25">
      <c r="A28" s="316">
        <v>27</v>
      </c>
      <c r="B28" s="283" t="s">
        <v>1202</v>
      </c>
      <c r="C28" s="293" t="s">
        <v>76</v>
      </c>
      <c r="D28" s="301">
        <v>6402026364085</v>
      </c>
      <c r="E28" s="320">
        <v>44722</v>
      </c>
      <c r="F28" s="317">
        <f ca="1">E28-O1</f>
        <v>-1355</v>
      </c>
      <c r="G28" s="312" t="s">
        <v>1186</v>
      </c>
      <c r="H28" s="312" t="s">
        <v>1187</v>
      </c>
      <c r="I28" s="312"/>
      <c r="J28" s="313"/>
    </row>
    <row r="29" spans="1:22" x14ac:dyDescent="0.25">
      <c r="A29" s="316">
        <v>28</v>
      </c>
      <c r="B29" s="283" t="s">
        <v>1203</v>
      </c>
      <c r="C29" s="293" t="s">
        <v>596</v>
      </c>
      <c r="D29" s="306">
        <v>8106035502084</v>
      </c>
      <c r="E29" s="320">
        <v>44723</v>
      </c>
      <c r="F29" s="317">
        <f ca="1">E29-O1</f>
        <v>-1354</v>
      </c>
      <c r="G29" s="312" t="s">
        <v>1186</v>
      </c>
      <c r="H29" s="312" t="s">
        <v>1187</v>
      </c>
      <c r="I29" s="312"/>
      <c r="J29" s="313"/>
    </row>
    <row r="30" spans="1:22" s="199" customFormat="1" x14ac:dyDescent="0.25">
      <c r="A30" s="316">
        <v>29</v>
      </c>
      <c r="B30" s="283" t="s">
        <v>163</v>
      </c>
      <c r="C30" s="293" t="s">
        <v>102</v>
      </c>
      <c r="D30" s="301">
        <v>7511165782086</v>
      </c>
      <c r="E30" s="320">
        <v>44723</v>
      </c>
      <c r="F30" s="317">
        <f ca="1">E30-O1</f>
        <v>-1354</v>
      </c>
      <c r="G30" s="312" t="s">
        <v>1186</v>
      </c>
      <c r="H30" s="312" t="s">
        <v>1187</v>
      </c>
      <c r="I30" s="312"/>
      <c r="J30" s="202"/>
      <c r="V30" s="198"/>
    </row>
    <row r="31" spans="1:22" x14ac:dyDescent="0.25">
      <c r="A31" s="316">
        <v>30</v>
      </c>
      <c r="B31" s="283" t="s">
        <v>1204</v>
      </c>
      <c r="C31" s="293" t="s">
        <v>443</v>
      </c>
      <c r="D31" s="301">
        <v>6503075515087</v>
      </c>
      <c r="E31" s="320">
        <v>44723</v>
      </c>
      <c r="F31" s="317">
        <f ca="1">E31-O1</f>
        <v>-1354</v>
      </c>
      <c r="G31" s="312" t="s">
        <v>1186</v>
      </c>
      <c r="H31" s="312" t="s">
        <v>1187</v>
      </c>
      <c r="I31" s="312"/>
      <c r="J31" s="313"/>
    </row>
    <row r="32" spans="1:22" x14ac:dyDescent="0.25">
      <c r="A32" s="316">
        <v>31</v>
      </c>
      <c r="B32" s="283" t="s">
        <v>1205</v>
      </c>
      <c r="C32" s="293" t="s">
        <v>1206</v>
      </c>
      <c r="D32" s="306">
        <v>8408255759083</v>
      </c>
      <c r="E32" s="320">
        <v>44751</v>
      </c>
      <c r="F32" s="317">
        <f ca="1">E32-O1</f>
        <v>-1326</v>
      </c>
      <c r="G32" s="312" t="s">
        <v>1186</v>
      </c>
      <c r="H32" s="312" t="s">
        <v>1187</v>
      </c>
      <c r="I32" s="312"/>
      <c r="J32" s="313"/>
    </row>
    <row r="33" spans="1:10" x14ac:dyDescent="0.25">
      <c r="A33" s="316">
        <v>32</v>
      </c>
      <c r="B33" s="283" t="s">
        <v>1207</v>
      </c>
      <c r="C33" s="293" t="s">
        <v>1208</v>
      </c>
      <c r="D33" s="306">
        <v>891136133089</v>
      </c>
      <c r="E33" s="320">
        <v>44750</v>
      </c>
      <c r="F33" s="317">
        <f ca="1">E33-O1</f>
        <v>-1327</v>
      </c>
      <c r="G33" s="312" t="s">
        <v>1186</v>
      </c>
      <c r="H33" s="312" t="s">
        <v>1187</v>
      </c>
      <c r="I33" s="312"/>
      <c r="J33" s="313"/>
    </row>
    <row r="34" spans="1:10" x14ac:dyDescent="0.25">
      <c r="A34" s="316">
        <v>33</v>
      </c>
      <c r="B34" s="283" t="s">
        <v>1209</v>
      </c>
      <c r="C34" s="293" t="s">
        <v>1210</v>
      </c>
      <c r="D34" s="306">
        <v>7301018063086</v>
      </c>
      <c r="E34" s="320">
        <v>44750</v>
      </c>
      <c r="F34" s="317">
        <f ca="1">E34-O1</f>
        <v>-1327</v>
      </c>
      <c r="G34" s="312" t="s">
        <v>1186</v>
      </c>
      <c r="H34" s="312" t="s">
        <v>1187</v>
      </c>
      <c r="I34" s="312"/>
      <c r="J34" s="313"/>
    </row>
    <row r="35" spans="1:10" x14ac:dyDescent="0.25">
      <c r="A35" s="316">
        <v>34</v>
      </c>
      <c r="B35" s="283" t="s">
        <v>1211</v>
      </c>
      <c r="C35" s="293" t="s">
        <v>1212</v>
      </c>
      <c r="D35" s="306">
        <v>8703205751085</v>
      </c>
      <c r="E35" s="320">
        <v>44750</v>
      </c>
      <c r="F35" s="317">
        <f ca="1">E35-O1</f>
        <v>-1327</v>
      </c>
      <c r="G35" s="312" t="s">
        <v>1186</v>
      </c>
      <c r="H35" s="312" t="s">
        <v>1187</v>
      </c>
      <c r="I35" s="312"/>
      <c r="J35" s="313"/>
    </row>
    <row r="36" spans="1:10" x14ac:dyDescent="0.25">
      <c r="A36" s="316">
        <v>35</v>
      </c>
      <c r="B36" s="283" t="s">
        <v>1213</v>
      </c>
      <c r="C36" s="293" t="s">
        <v>1214</v>
      </c>
      <c r="D36" s="306">
        <v>9209205306085</v>
      </c>
      <c r="E36" s="320">
        <v>44750</v>
      </c>
      <c r="F36" s="317">
        <f ca="1">E36-O1</f>
        <v>-1327</v>
      </c>
      <c r="G36" s="312" t="s">
        <v>1186</v>
      </c>
      <c r="H36" s="312" t="s">
        <v>1187</v>
      </c>
      <c r="I36" s="312"/>
      <c r="J36" s="313"/>
    </row>
    <row r="37" spans="1:10" x14ac:dyDescent="0.25">
      <c r="A37" s="316">
        <v>36</v>
      </c>
      <c r="B37" s="283" t="s">
        <v>1215</v>
      </c>
      <c r="C37" s="293" t="s">
        <v>1216</v>
      </c>
      <c r="D37" s="306">
        <v>7101016782087</v>
      </c>
      <c r="E37" s="320">
        <v>44750</v>
      </c>
      <c r="F37" s="317">
        <f ca="1">E37-O1</f>
        <v>-1327</v>
      </c>
      <c r="G37" s="312" t="s">
        <v>1186</v>
      </c>
      <c r="H37" s="312" t="s">
        <v>1187</v>
      </c>
      <c r="I37" s="312"/>
      <c r="J37" s="313"/>
    </row>
    <row r="38" spans="1:10" x14ac:dyDescent="0.25">
      <c r="A38" s="316">
        <v>37</v>
      </c>
      <c r="B38" s="283" t="s">
        <v>1217</v>
      </c>
      <c r="C38" s="293" t="s">
        <v>1218</v>
      </c>
      <c r="D38" s="306">
        <v>8010315391087</v>
      </c>
      <c r="E38" s="320">
        <v>44740</v>
      </c>
      <c r="F38" s="317">
        <f ca="1">E38-O1</f>
        <v>-1337</v>
      </c>
      <c r="G38" s="312" t="s">
        <v>1186</v>
      </c>
      <c r="H38" s="312" t="s">
        <v>1187</v>
      </c>
      <c r="I38" s="312"/>
      <c r="J38" s="313"/>
    </row>
    <row r="39" spans="1:10" x14ac:dyDescent="0.25">
      <c r="A39" s="316">
        <v>38</v>
      </c>
      <c r="B39" s="283" t="s">
        <v>1219</v>
      </c>
      <c r="C39" s="293" t="s">
        <v>1220</v>
      </c>
      <c r="D39" s="306">
        <v>7211105556084</v>
      </c>
      <c r="E39" s="320">
        <v>44716</v>
      </c>
      <c r="F39" s="317">
        <f ca="1">E39-O1</f>
        <v>-1361</v>
      </c>
      <c r="G39" s="312" t="s">
        <v>1186</v>
      </c>
      <c r="H39" s="312" t="s">
        <v>1187</v>
      </c>
      <c r="I39" s="312"/>
      <c r="J39" s="313"/>
    </row>
    <row r="40" spans="1:10" x14ac:dyDescent="0.25">
      <c r="A40" s="316">
        <v>39</v>
      </c>
      <c r="B40" s="283" t="s">
        <v>1221</v>
      </c>
      <c r="C40" s="293" t="s">
        <v>1222</v>
      </c>
      <c r="D40" s="306">
        <v>6109105712080</v>
      </c>
      <c r="E40" s="320">
        <v>44733</v>
      </c>
      <c r="F40" s="317">
        <f ca="1">E40-O1</f>
        <v>-1344</v>
      </c>
      <c r="G40" s="312" t="s">
        <v>1186</v>
      </c>
      <c r="H40" s="312" t="s">
        <v>1187</v>
      </c>
      <c r="I40" s="312"/>
      <c r="J40" s="313"/>
    </row>
    <row r="41" spans="1:10" x14ac:dyDescent="0.25">
      <c r="A41" s="316">
        <v>40</v>
      </c>
      <c r="B41" s="283" t="s">
        <v>1223</v>
      </c>
      <c r="C41" s="293" t="s">
        <v>256</v>
      </c>
      <c r="D41" s="298"/>
      <c r="E41" s="320">
        <v>44764</v>
      </c>
      <c r="F41" s="317">
        <f ca="1">E41-O1</f>
        <v>-1313</v>
      </c>
      <c r="G41" s="312" t="s">
        <v>1186</v>
      </c>
      <c r="H41" s="312" t="s">
        <v>1187</v>
      </c>
      <c r="I41" s="312"/>
      <c r="J41" s="313"/>
    </row>
    <row r="42" spans="1:10" x14ac:dyDescent="0.25">
      <c r="A42" s="316">
        <v>41</v>
      </c>
      <c r="B42" s="283" t="s">
        <v>1224</v>
      </c>
      <c r="C42" s="293" t="s">
        <v>357</v>
      </c>
      <c r="D42" s="298"/>
      <c r="E42" s="320">
        <v>44764</v>
      </c>
      <c r="F42" s="317">
        <f ca="1">E42-O1</f>
        <v>-1313</v>
      </c>
      <c r="G42" s="312" t="s">
        <v>1186</v>
      </c>
      <c r="H42" s="312" t="s">
        <v>1187</v>
      </c>
      <c r="I42" s="312"/>
      <c r="J42" s="313"/>
    </row>
    <row r="43" spans="1:10" x14ac:dyDescent="0.25">
      <c r="A43" s="316">
        <v>42</v>
      </c>
      <c r="B43" s="283" t="s">
        <v>1225</v>
      </c>
      <c r="C43" s="293" t="s">
        <v>1230</v>
      </c>
      <c r="D43" s="298"/>
      <c r="E43" s="320">
        <v>44764</v>
      </c>
      <c r="F43" s="317">
        <f ca="1">E43-O1</f>
        <v>-1313</v>
      </c>
      <c r="G43" s="312" t="s">
        <v>1186</v>
      </c>
      <c r="H43" s="312" t="s">
        <v>1187</v>
      </c>
      <c r="I43" s="312"/>
      <c r="J43" s="313"/>
    </row>
    <row r="44" spans="1:10" x14ac:dyDescent="0.25">
      <c r="A44" s="316">
        <v>43</v>
      </c>
      <c r="B44" s="283" t="s">
        <v>1226</v>
      </c>
      <c r="C44" s="293" t="s">
        <v>1231</v>
      </c>
      <c r="D44" s="306">
        <v>8205225426086</v>
      </c>
      <c r="E44" s="320">
        <v>44775</v>
      </c>
      <c r="F44" s="317">
        <f ca="1">E44-O1</f>
        <v>-1302</v>
      </c>
      <c r="G44" s="312" t="s">
        <v>1186</v>
      </c>
      <c r="H44" s="312" t="s">
        <v>1187</v>
      </c>
      <c r="I44" s="312"/>
      <c r="J44" s="313"/>
    </row>
    <row r="45" spans="1:10" x14ac:dyDescent="0.25">
      <c r="A45" s="316">
        <v>44</v>
      </c>
      <c r="B45" s="283" t="s">
        <v>1227</v>
      </c>
      <c r="C45" s="293" t="s">
        <v>257</v>
      </c>
      <c r="D45" s="306">
        <v>7904185345085</v>
      </c>
      <c r="E45" s="320">
        <v>44768</v>
      </c>
      <c r="F45" s="317">
        <f ca="1">E45-O1</f>
        <v>-1309</v>
      </c>
      <c r="G45" s="312" t="s">
        <v>1186</v>
      </c>
      <c r="H45" s="312" t="s">
        <v>1187</v>
      </c>
      <c r="I45" s="312"/>
      <c r="J45" s="313"/>
    </row>
    <row r="46" spans="1:10" x14ac:dyDescent="0.25">
      <c r="A46" s="316">
        <v>45</v>
      </c>
      <c r="B46" s="283" t="s">
        <v>1228</v>
      </c>
      <c r="C46" s="293" t="s">
        <v>41</v>
      </c>
      <c r="D46" s="306">
        <v>7909286036089</v>
      </c>
      <c r="E46" s="320">
        <v>44775</v>
      </c>
      <c r="F46" s="317">
        <f ca="1">E46-O1</f>
        <v>-1302</v>
      </c>
      <c r="G46" s="312" t="s">
        <v>1186</v>
      </c>
      <c r="H46" s="312" t="s">
        <v>1187</v>
      </c>
      <c r="I46" s="312"/>
      <c r="J46" s="313"/>
    </row>
    <row r="47" spans="1:10" x14ac:dyDescent="0.25">
      <c r="A47" s="316">
        <v>46</v>
      </c>
      <c r="B47" s="283" t="s">
        <v>1234</v>
      </c>
      <c r="C47" s="282" t="s">
        <v>258</v>
      </c>
      <c r="D47" s="306">
        <v>8903256148088</v>
      </c>
      <c r="E47" s="320">
        <v>44777</v>
      </c>
      <c r="F47" s="322">
        <f ca="1">E47-O1</f>
        <v>-1300</v>
      </c>
      <c r="G47" s="312" t="s">
        <v>1186</v>
      </c>
      <c r="H47" s="312" t="s">
        <v>1187</v>
      </c>
      <c r="I47" s="309"/>
      <c r="J47" s="110"/>
    </row>
    <row r="48" spans="1:10" x14ac:dyDescent="0.25">
      <c r="A48" s="316">
        <v>47</v>
      </c>
      <c r="B48" s="283" t="s">
        <v>1235</v>
      </c>
      <c r="C48" s="282" t="s">
        <v>151</v>
      </c>
      <c r="D48" s="306">
        <v>7104165427082</v>
      </c>
      <c r="E48" s="320">
        <v>44784</v>
      </c>
      <c r="F48" s="322">
        <f ca="1">E48-O1</f>
        <v>-1293</v>
      </c>
      <c r="G48" s="312" t="s">
        <v>1186</v>
      </c>
      <c r="H48" s="312" t="s">
        <v>1187</v>
      </c>
      <c r="I48" s="309"/>
      <c r="J48" s="110"/>
    </row>
    <row r="49" spans="1:10" x14ac:dyDescent="0.25">
      <c r="A49" s="316">
        <v>48</v>
      </c>
      <c r="B49" s="283" t="s">
        <v>1236</v>
      </c>
      <c r="C49" s="282" t="s">
        <v>157</v>
      </c>
      <c r="D49" s="306">
        <v>610811534089</v>
      </c>
      <c r="E49" s="320">
        <v>44784</v>
      </c>
      <c r="F49" s="322">
        <f ca="1">E49-O1</f>
        <v>-1293</v>
      </c>
      <c r="G49" s="312" t="s">
        <v>1186</v>
      </c>
      <c r="H49" s="312" t="s">
        <v>1187</v>
      </c>
      <c r="I49" s="309"/>
      <c r="J49" s="110"/>
    </row>
    <row r="50" spans="1:10" x14ac:dyDescent="0.25">
      <c r="A50" s="316">
        <v>49</v>
      </c>
      <c r="B50" s="283" t="s">
        <v>1237</v>
      </c>
      <c r="C50" s="282" t="s">
        <v>36</v>
      </c>
      <c r="D50" s="306">
        <v>7009106039088</v>
      </c>
      <c r="E50" s="320">
        <v>44803</v>
      </c>
      <c r="F50" s="322">
        <f ca="1">E50-O1</f>
        <v>-1274</v>
      </c>
      <c r="G50" s="312" t="s">
        <v>1186</v>
      </c>
      <c r="H50" s="312" t="s">
        <v>1187</v>
      </c>
      <c r="I50" s="309"/>
      <c r="J50" s="110"/>
    </row>
    <row r="51" spans="1:10" x14ac:dyDescent="0.25">
      <c r="A51" s="316">
        <v>50</v>
      </c>
      <c r="B51" s="283"/>
      <c r="C51" s="282"/>
      <c r="D51" s="298"/>
      <c r="E51" s="322"/>
      <c r="F51" s="322"/>
      <c r="G51" s="309"/>
      <c r="H51" s="309"/>
      <c r="I51" s="309"/>
      <c r="J51" s="110"/>
    </row>
    <row r="52" spans="1:10" x14ac:dyDescent="0.25">
      <c r="A52" s="316">
        <v>51</v>
      </c>
      <c r="B52" s="283"/>
      <c r="C52" s="282"/>
      <c r="D52" s="298"/>
      <c r="E52" s="322"/>
      <c r="F52" s="322"/>
      <c r="G52" s="309"/>
      <c r="H52" s="309"/>
      <c r="I52" s="309"/>
      <c r="J52" s="110"/>
    </row>
    <row r="53" spans="1:10" x14ac:dyDescent="0.25">
      <c r="A53" s="316">
        <v>52</v>
      </c>
      <c r="B53" s="283"/>
      <c r="C53" s="282"/>
      <c r="D53" s="298"/>
      <c r="E53" s="322"/>
      <c r="F53" s="322"/>
      <c r="G53" s="309"/>
      <c r="H53" s="309"/>
      <c r="I53" s="309"/>
      <c r="J53" s="110"/>
    </row>
    <row r="54" spans="1:10" x14ac:dyDescent="0.25">
      <c r="A54" s="316">
        <v>53</v>
      </c>
      <c r="B54" s="283"/>
      <c r="C54" s="282"/>
      <c r="D54" s="298"/>
      <c r="E54" s="322"/>
      <c r="F54" s="322"/>
      <c r="G54" s="309"/>
      <c r="H54" s="309"/>
      <c r="I54" s="309"/>
      <c r="J54" s="110"/>
    </row>
    <row r="55" spans="1:10" x14ac:dyDescent="0.25">
      <c r="A55" s="316">
        <v>54</v>
      </c>
      <c r="B55" s="283"/>
      <c r="C55" s="282"/>
      <c r="D55" s="298"/>
      <c r="E55" s="322"/>
      <c r="F55" s="322"/>
      <c r="G55" s="309"/>
      <c r="H55" s="309"/>
      <c r="I55" s="309"/>
      <c r="J55" s="110"/>
    </row>
    <row r="56" spans="1:10" x14ac:dyDescent="0.25">
      <c r="A56" s="316">
        <v>55</v>
      </c>
      <c r="B56" s="283"/>
      <c r="C56" s="282"/>
      <c r="D56" s="298"/>
      <c r="E56" s="322"/>
      <c r="F56" s="322"/>
      <c r="G56" s="309"/>
      <c r="H56" s="309"/>
      <c r="I56" s="309"/>
      <c r="J56" s="110"/>
    </row>
    <row r="57" spans="1:10" x14ac:dyDescent="0.25">
      <c r="A57" s="316">
        <v>56</v>
      </c>
      <c r="B57" s="283"/>
      <c r="C57" s="282"/>
      <c r="D57" s="298"/>
      <c r="E57" s="322"/>
      <c r="F57" s="322"/>
      <c r="G57" s="309"/>
      <c r="H57" s="309"/>
      <c r="I57" s="309"/>
      <c r="J57" s="110"/>
    </row>
    <row r="58" spans="1:10" x14ac:dyDescent="0.25">
      <c r="A58" s="316">
        <v>57</v>
      </c>
      <c r="B58" s="283"/>
      <c r="C58" s="282"/>
      <c r="D58" s="298"/>
      <c r="E58" s="322"/>
      <c r="F58" s="322"/>
      <c r="G58" s="309"/>
      <c r="H58" s="309"/>
      <c r="I58" s="309"/>
      <c r="J58" s="110"/>
    </row>
    <row r="59" spans="1:10" x14ac:dyDescent="0.25">
      <c r="A59" s="316">
        <v>58</v>
      </c>
      <c r="B59" s="283"/>
      <c r="C59" s="282"/>
      <c r="D59" s="298"/>
      <c r="E59" s="322"/>
      <c r="F59" s="322"/>
      <c r="G59" s="309"/>
      <c r="H59" s="309"/>
      <c r="I59" s="309"/>
      <c r="J59" s="110"/>
    </row>
    <row r="60" spans="1:10" x14ac:dyDescent="0.25">
      <c r="A60" s="316">
        <v>59</v>
      </c>
      <c r="B60" s="283"/>
      <c r="C60" s="282"/>
      <c r="D60" s="298"/>
      <c r="E60" s="322"/>
      <c r="F60" s="322"/>
      <c r="G60" s="309"/>
      <c r="H60" s="309"/>
      <c r="I60" s="309"/>
      <c r="J60" s="110"/>
    </row>
    <row r="61" spans="1:10" x14ac:dyDescent="0.25">
      <c r="A61" s="316">
        <v>60</v>
      </c>
      <c r="B61" s="283"/>
      <c r="C61" s="282"/>
      <c r="D61" s="298"/>
      <c r="E61" s="322"/>
      <c r="F61" s="322"/>
      <c r="G61" s="309"/>
      <c r="H61" s="309"/>
      <c r="I61" s="309"/>
      <c r="J61" s="110"/>
    </row>
    <row r="62" spans="1:10" x14ac:dyDescent="0.25">
      <c r="A62" s="316">
        <v>61</v>
      </c>
      <c r="B62" s="283"/>
      <c r="C62" s="282"/>
      <c r="D62" s="298"/>
      <c r="E62" s="322"/>
      <c r="F62" s="322"/>
      <c r="G62" s="309"/>
      <c r="H62" s="309"/>
      <c r="I62" s="309"/>
      <c r="J62" s="110"/>
    </row>
    <row r="63" spans="1:10" x14ac:dyDescent="0.25">
      <c r="A63" s="316">
        <v>62</v>
      </c>
      <c r="B63" s="283"/>
      <c r="C63" s="282"/>
      <c r="D63" s="298"/>
      <c r="E63" s="322"/>
      <c r="F63" s="322"/>
      <c r="G63" s="309"/>
      <c r="H63" s="309"/>
      <c r="I63" s="309"/>
      <c r="J63" s="110"/>
    </row>
    <row r="64" spans="1:10" x14ac:dyDescent="0.25">
      <c r="A64" s="316">
        <v>63</v>
      </c>
      <c r="B64" s="283"/>
      <c r="C64" s="282"/>
      <c r="D64" s="298"/>
      <c r="E64" s="322"/>
      <c r="F64" s="322"/>
      <c r="G64" s="309"/>
      <c r="H64" s="309"/>
      <c r="I64" s="309"/>
      <c r="J64" s="110"/>
    </row>
    <row r="65" spans="1:10" x14ac:dyDescent="0.25">
      <c r="A65" s="316">
        <v>64</v>
      </c>
      <c r="B65" s="283"/>
      <c r="C65" s="282"/>
      <c r="D65" s="298"/>
      <c r="E65" s="322"/>
      <c r="F65" s="322"/>
      <c r="G65" s="309"/>
      <c r="H65" s="309"/>
      <c r="I65" s="309"/>
      <c r="J65" s="110"/>
    </row>
    <row r="66" spans="1:10" x14ac:dyDescent="0.25">
      <c r="A66" s="316">
        <v>65</v>
      </c>
      <c r="B66" s="283"/>
      <c r="C66" s="282"/>
      <c r="D66" s="298"/>
      <c r="E66" s="322"/>
      <c r="F66" s="322"/>
      <c r="G66" s="309"/>
      <c r="H66" s="309"/>
      <c r="I66" s="309"/>
      <c r="J66" s="110"/>
    </row>
    <row r="67" spans="1:10" x14ac:dyDescent="0.25">
      <c r="A67" s="316">
        <v>66</v>
      </c>
      <c r="B67" s="283"/>
      <c r="C67" s="282"/>
      <c r="D67" s="298"/>
      <c r="E67" s="322"/>
      <c r="F67" s="322"/>
      <c r="G67" s="309"/>
      <c r="H67" s="309"/>
      <c r="I67" s="309"/>
      <c r="J67" s="110"/>
    </row>
    <row r="68" spans="1:10" x14ac:dyDescent="0.25">
      <c r="A68" s="316">
        <v>67</v>
      </c>
      <c r="B68" s="283"/>
      <c r="C68" s="282"/>
      <c r="D68" s="298"/>
      <c r="E68" s="322"/>
      <c r="F68" s="322"/>
      <c r="G68" s="309"/>
      <c r="H68" s="309"/>
      <c r="I68" s="309"/>
      <c r="J68" s="110"/>
    </row>
    <row r="69" spans="1:10" x14ac:dyDescent="0.25">
      <c r="A69" s="316">
        <v>68</v>
      </c>
      <c r="B69" s="283"/>
      <c r="C69" s="282"/>
      <c r="D69" s="298"/>
      <c r="E69" s="322"/>
      <c r="F69" s="322"/>
      <c r="G69" s="309"/>
      <c r="H69" s="309"/>
      <c r="I69" s="309"/>
      <c r="J69" s="110"/>
    </row>
    <row r="70" spans="1:10" x14ac:dyDescent="0.25">
      <c r="A70" s="316">
        <v>69</v>
      </c>
      <c r="B70" s="283"/>
      <c r="C70" s="282"/>
      <c r="D70" s="298"/>
      <c r="E70" s="322"/>
      <c r="F70" s="322"/>
      <c r="G70" s="309"/>
      <c r="H70" s="309"/>
      <c r="I70" s="309"/>
      <c r="J70" s="110"/>
    </row>
  </sheetData>
  <phoneticPr fontId="30" type="noConversion"/>
  <pageMargins left="0.7" right="0.7" top="0.75" bottom="0.75" header="0.3" footer="0.3"/>
  <pageSetup paperSize="8" scale="3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K341"/>
  <sheetViews>
    <sheetView topLeftCell="C4" workbookViewId="0">
      <selection activeCell="I38" sqref="I38:M38"/>
    </sheetView>
  </sheetViews>
  <sheetFormatPr defaultColWidth="9.140625" defaultRowHeight="15" x14ac:dyDescent="0.25"/>
  <cols>
    <col min="1" max="1" width="3" style="199" bestFit="1" customWidth="1"/>
    <col min="2" max="2" width="27.5703125" style="199" bestFit="1" customWidth="1"/>
    <col min="3" max="3" width="19.28515625" style="207" bestFit="1" customWidth="1"/>
    <col min="4" max="4" width="24.28515625" style="199" bestFit="1" customWidth="1"/>
    <col min="5" max="5" width="17.5703125" style="199" bestFit="1" customWidth="1"/>
    <col min="6" max="6" width="14.5703125" style="199" bestFit="1" customWidth="1"/>
    <col min="7" max="7" width="15.140625" style="213" bestFit="1" customWidth="1"/>
    <col min="8" max="8" width="4.42578125" style="199" bestFit="1" customWidth="1"/>
    <col min="9" max="9" width="11.140625" style="155" bestFit="1" customWidth="1"/>
    <col min="10" max="10" width="12.85546875" style="140" bestFit="1" customWidth="1"/>
    <col min="11" max="11" width="47.140625" style="140" customWidth="1"/>
    <col min="12" max="12" width="20.7109375" style="140" bestFit="1" customWidth="1"/>
    <col min="13" max="13" width="13.85546875" style="199" bestFit="1" customWidth="1"/>
    <col min="14" max="14" width="11.140625" style="199" bestFit="1" customWidth="1"/>
    <col min="15" max="15" width="11.85546875" style="214" bestFit="1" customWidth="1"/>
    <col min="16" max="59" width="9.140625" style="197"/>
    <col min="60" max="60" width="9.140625" style="198"/>
    <col min="61" max="16384" width="9.140625" style="199"/>
  </cols>
  <sheetData>
    <row r="1" spans="1:63" s="233" customFormat="1" ht="30" x14ac:dyDescent="0.25">
      <c r="A1" s="253"/>
      <c r="B1" s="262" t="s">
        <v>1181</v>
      </c>
      <c r="C1" s="263" t="s">
        <v>1162</v>
      </c>
      <c r="D1" s="263" t="s">
        <v>7</v>
      </c>
      <c r="E1" s="263" t="s">
        <v>0</v>
      </c>
      <c r="F1" s="263" t="s">
        <v>8</v>
      </c>
      <c r="G1" s="264" t="s">
        <v>1</v>
      </c>
      <c r="H1" s="263" t="s">
        <v>1161</v>
      </c>
      <c r="I1" s="265" t="s">
        <v>26</v>
      </c>
      <c r="J1" s="266" t="s">
        <v>1163</v>
      </c>
      <c r="K1" s="266" t="s">
        <v>1175</v>
      </c>
      <c r="L1" s="266" t="s">
        <v>1174</v>
      </c>
      <c r="M1" s="263" t="s">
        <v>1018</v>
      </c>
      <c r="N1" s="267" t="s">
        <v>771</v>
      </c>
      <c r="O1" s="268" t="s">
        <v>594</v>
      </c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2"/>
    </row>
    <row r="2" spans="1:63" s="233" customFormat="1" x14ac:dyDescent="0.25">
      <c r="A2" s="254">
        <v>1</v>
      </c>
      <c r="B2" s="269" t="s">
        <v>1182</v>
      </c>
      <c r="C2" s="238" t="s">
        <v>1160</v>
      </c>
      <c r="D2" s="239" t="s">
        <v>613</v>
      </c>
      <c r="E2" s="239" t="s">
        <v>614</v>
      </c>
      <c r="F2" s="240" t="s">
        <v>405</v>
      </c>
      <c r="G2" s="241"/>
      <c r="H2" s="242"/>
      <c r="I2" s="248"/>
      <c r="J2" s="215"/>
      <c r="K2" s="215" t="s">
        <v>1172</v>
      </c>
      <c r="L2" s="215" t="s">
        <v>1071</v>
      </c>
      <c r="M2" s="200"/>
      <c r="N2" s="234"/>
      <c r="O2" s="270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2"/>
    </row>
    <row r="3" spans="1:63" s="233" customFormat="1" x14ac:dyDescent="0.25">
      <c r="A3" s="254">
        <v>2</v>
      </c>
      <c r="B3" s="269" t="s">
        <v>1182</v>
      </c>
      <c r="C3" s="238"/>
      <c r="D3" s="239" t="s">
        <v>411</v>
      </c>
      <c r="E3" s="239" t="s">
        <v>1180</v>
      </c>
      <c r="F3" s="240"/>
      <c r="G3" s="241"/>
      <c r="H3" s="242"/>
      <c r="I3" s="248"/>
      <c r="J3" s="215"/>
      <c r="K3" s="215" t="s">
        <v>1173</v>
      </c>
      <c r="L3" s="215"/>
      <c r="M3" s="200"/>
      <c r="N3" s="234"/>
      <c r="O3" s="270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7"/>
      <c r="AW3" s="197"/>
      <c r="AX3" s="197"/>
      <c r="AY3" s="197"/>
      <c r="AZ3" s="197"/>
      <c r="BA3" s="197"/>
      <c r="BB3" s="197"/>
      <c r="BC3" s="197"/>
      <c r="BD3" s="197"/>
      <c r="BE3" s="197"/>
      <c r="BF3" s="197"/>
      <c r="BG3" s="197"/>
      <c r="BH3" s="198"/>
      <c r="BI3" s="199"/>
      <c r="BJ3" s="199"/>
      <c r="BK3" s="199"/>
    </row>
    <row r="4" spans="1:63" s="233" customFormat="1" x14ac:dyDescent="0.25">
      <c r="A4" s="255">
        <v>3</v>
      </c>
      <c r="B4" s="269" t="s">
        <v>1182</v>
      </c>
      <c r="C4" s="238" t="s">
        <v>1160</v>
      </c>
      <c r="D4" s="240" t="s">
        <v>883</v>
      </c>
      <c r="E4" s="240" t="s">
        <v>126</v>
      </c>
      <c r="F4" s="240" t="s">
        <v>405</v>
      </c>
      <c r="G4" s="243">
        <v>8704136020087</v>
      </c>
      <c r="H4" s="240"/>
      <c r="I4" s="249" t="s">
        <v>1120</v>
      </c>
      <c r="J4" s="235" t="s">
        <v>1193</v>
      </c>
      <c r="K4" s="235" t="s">
        <v>238</v>
      </c>
      <c r="L4" s="235"/>
      <c r="M4" s="216" t="s">
        <v>1019</v>
      </c>
      <c r="N4" s="216" t="s">
        <v>902</v>
      </c>
      <c r="O4" s="271" t="s">
        <v>903</v>
      </c>
      <c r="P4" s="197"/>
      <c r="Q4" s="197"/>
      <c r="R4" s="197"/>
      <c r="S4" s="197"/>
      <c r="T4" s="197"/>
      <c r="U4" s="197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  <c r="AJ4" s="197"/>
      <c r="AK4" s="197"/>
      <c r="AL4" s="197"/>
      <c r="AM4" s="197"/>
      <c r="AN4" s="197"/>
      <c r="AO4" s="197"/>
      <c r="AP4" s="197"/>
      <c r="AQ4" s="197"/>
      <c r="AR4" s="197"/>
      <c r="AS4" s="197"/>
      <c r="AT4" s="197"/>
      <c r="AU4" s="197"/>
      <c r="AV4" s="197"/>
      <c r="AW4" s="197"/>
      <c r="AX4" s="197"/>
      <c r="AY4" s="197"/>
      <c r="AZ4" s="197"/>
      <c r="BA4" s="197"/>
      <c r="BB4" s="197"/>
      <c r="BC4" s="197"/>
      <c r="BD4" s="197"/>
      <c r="BE4" s="197"/>
      <c r="BF4" s="197"/>
      <c r="BG4" s="197"/>
      <c r="BH4" s="198"/>
      <c r="BI4" s="199"/>
      <c r="BJ4" s="199"/>
      <c r="BK4" s="199"/>
    </row>
    <row r="5" spans="1:63" s="233" customFormat="1" x14ac:dyDescent="0.25">
      <c r="A5" s="255">
        <v>4</v>
      </c>
      <c r="B5" s="269" t="s">
        <v>1182</v>
      </c>
      <c r="C5" s="238" t="s">
        <v>1160</v>
      </c>
      <c r="D5" s="240" t="s">
        <v>890</v>
      </c>
      <c r="E5" s="240" t="s">
        <v>70</v>
      </c>
      <c r="F5" s="240" t="s">
        <v>405</v>
      </c>
      <c r="G5" s="243" t="s">
        <v>272</v>
      </c>
      <c r="H5" s="240"/>
      <c r="I5" s="249" t="s">
        <v>960</v>
      </c>
      <c r="J5" s="144" t="s">
        <v>770</v>
      </c>
      <c r="K5" s="144" t="s">
        <v>1171</v>
      </c>
      <c r="L5" s="144"/>
      <c r="M5" s="216" t="s">
        <v>1022</v>
      </c>
      <c r="N5" s="216" t="s">
        <v>918</v>
      </c>
      <c r="O5" s="271" t="s">
        <v>919</v>
      </c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  <c r="AJ5" s="197"/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197"/>
      <c r="AW5" s="197"/>
      <c r="AX5" s="197"/>
      <c r="AY5" s="197"/>
      <c r="AZ5" s="197"/>
      <c r="BA5" s="197"/>
      <c r="BB5" s="197"/>
      <c r="BC5" s="197"/>
      <c r="BD5" s="197"/>
      <c r="BE5" s="197"/>
      <c r="BF5" s="197"/>
      <c r="BG5" s="197"/>
      <c r="BH5" s="198"/>
      <c r="BI5" s="199"/>
      <c r="BJ5" s="199"/>
      <c r="BK5" s="199"/>
    </row>
    <row r="6" spans="1:63" s="233" customFormat="1" x14ac:dyDescent="0.25">
      <c r="A6" s="255">
        <v>5</v>
      </c>
      <c r="B6" s="269" t="s">
        <v>1182</v>
      </c>
      <c r="C6" s="238" t="s">
        <v>1160</v>
      </c>
      <c r="D6" s="240" t="s">
        <v>884</v>
      </c>
      <c r="E6" s="240" t="s">
        <v>72</v>
      </c>
      <c r="F6" s="240" t="s">
        <v>405</v>
      </c>
      <c r="G6" s="243" t="s">
        <v>324</v>
      </c>
      <c r="H6" s="240">
        <v>34</v>
      </c>
      <c r="I6" s="249" t="s">
        <v>942</v>
      </c>
      <c r="J6" s="144" t="s">
        <v>943</v>
      </c>
      <c r="K6" s="144" t="s">
        <v>1176</v>
      </c>
      <c r="L6" s="144"/>
      <c r="M6" s="216" t="s">
        <v>1022</v>
      </c>
      <c r="N6" s="216" t="s">
        <v>1086</v>
      </c>
      <c r="O6" s="271" t="s">
        <v>1087</v>
      </c>
      <c r="P6" s="197"/>
      <c r="Q6" s="197"/>
      <c r="R6" s="197"/>
      <c r="S6" s="197"/>
      <c r="T6" s="197"/>
      <c r="U6" s="197"/>
      <c r="V6" s="197"/>
      <c r="W6" s="197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  <c r="AJ6" s="197"/>
      <c r="AK6" s="197"/>
      <c r="AL6" s="197"/>
      <c r="AM6" s="197"/>
      <c r="AN6" s="197"/>
      <c r="AO6" s="197"/>
      <c r="AP6" s="197"/>
      <c r="AQ6" s="197"/>
      <c r="AR6" s="197"/>
      <c r="AS6" s="197"/>
      <c r="AT6" s="197"/>
      <c r="AU6" s="197"/>
      <c r="AV6" s="197"/>
      <c r="AW6" s="197"/>
      <c r="AX6" s="197"/>
      <c r="AY6" s="197"/>
      <c r="AZ6" s="197"/>
      <c r="BA6" s="197"/>
      <c r="BB6" s="197"/>
      <c r="BC6" s="197"/>
      <c r="BD6" s="197"/>
      <c r="BE6" s="197"/>
      <c r="BF6" s="197"/>
      <c r="BG6" s="197"/>
      <c r="BH6" s="198"/>
      <c r="BI6" s="199"/>
      <c r="BJ6" s="199"/>
      <c r="BK6" s="199"/>
    </row>
    <row r="7" spans="1:63" s="233" customFormat="1" x14ac:dyDescent="0.25">
      <c r="A7" s="255">
        <v>6</v>
      </c>
      <c r="B7" s="269" t="s">
        <v>1182</v>
      </c>
      <c r="C7" s="238" t="s">
        <v>1160</v>
      </c>
      <c r="D7" s="240" t="s">
        <v>843</v>
      </c>
      <c r="E7" s="240" t="s">
        <v>187</v>
      </c>
      <c r="F7" s="240" t="s">
        <v>405</v>
      </c>
      <c r="G7" s="243" t="s">
        <v>347</v>
      </c>
      <c r="H7" s="240">
        <v>50</v>
      </c>
      <c r="I7" s="249" t="s">
        <v>940</v>
      </c>
      <c r="J7" s="144" t="s">
        <v>945</v>
      </c>
      <c r="K7" s="144" t="s">
        <v>1168</v>
      </c>
      <c r="L7" s="144" t="s">
        <v>1071</v>
      </c>
      <c r="M7" s="216" t="s">
        <v>1023</v>
      </c>
      <c r="N7" s="216" t="s">
        <v>1046</v>
      </c>
      <c r="O7" s="271" t="s">
        <v>1047</v>
      </c>
      <c r="P7" s="197"/>
      <c r="Q7" s="197"/>
      <c r="R7" s="197"/>
      <c r="S7" s="197"/>
      <c r="T7" s="197"/>
      <c r="U7" s="197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  <c r="AJ7" s="197"/>
      <c r="AK7" s="197"/>
      <c r="AL7" s="197"/>
      <c r="AM7" s="197"/>
      <c r="AN7" s="197"/>
      <c r="AO7" s="197"/>
      <c r="AP7" s="197"/>
      <c r="AQ7" s="197"/>
      <c r="AR7" s="197"/>
      <c r="AS7" s="197"/>
      <c r="AT7" s="197"/>
      <c r="AU7" s="197"/>
      <c r="AV7" s="197"/>
      <c r="AW7" s="197"/>
      <c r="AX7" s="197"/>
      <c r="AY7" s="197"/>
      <c r="AZ7" s="197"/>
      <c r="BA7" s="197"/>
      <c r="BB7" s="197"/>
      <c r="BC7" s="197"/>
      <c r="BD7" s="197"/>
      <c r="BE7" s="197"/>
      <c r="BF7" s="197"/>
      <c r="BG7" s="197"/>
      <c r="BH7" s="198"/>
      <c r="BI7" s="199"/>
      <c r="BJ7" s="199"/>
      <c r="BK7" s="199"/>
    </row>
    <row r="8" spans="1:63" s="233" customFormat="1" x14ac:dyDescent="0.25">
      <c r="A8" s="255">
        <v>7</v>
      </c>
      <c r="B8" s="269" t="s">
        <v>1182</v>
      </c>
      <c r="C8" s="238" t="s">
        <v>1160</v>
      </c>
      <c r="D8" s="240" t="s">
        <v>869</v>
      </c>
      <c r="E8" s="240" t="s">
        <v>859</v>
      </c>
      <c r="F8" s="240" t="s">
        <v>405</v>
      </c>
      <c r="G8" s="244">
        <v>7608265850084</v>
      </c>
      <c r="H8" s="240"/>
      <c r="I8" s="249" t="s">
        <v>955</v>
      </c>
      <c r="J8" s="144" t="s">
        <v>954</v>
      </c>
      <c r="K8" s="144" t="s">
        <v>1177</v>
      </c>
      <c r="L8" s="144" t="s">
        <v>1178</v>
      </c>
      <c r="M8" s="216" t="s">
        <v>1022</v>
      </c>
      <c r="N8" s="216" t="s">
        <v>767</v>
      </c>
      <c r="O8" s="271" t="s">
        <v>908</v>
      </c>
      <c r="P8" s="197"/>
      <c r="Q8" s="197"/>
      <c r="R8" s="197"/>
      <c r="S8" s="197"/>
      <c r="T8" s="197"/>
      <c r="U8" s="197"/>
      <c r="V8" s="197"/>
      <c r="W8" s="197"/>
      <c r="X8" s="197"/>
      <c r="Y8" s="197"/>
      <c r="Z8" s="197"/>
      <c r="AA8" s="197"/>
      <c r="AB8" s="197"/>
      <c r="AC8" s="197"/>
      <c r="AD8" s="197"/>
      <c r="AE8" s="197"/>
      <c r="AF8" s="197"/>
      <c r="AG8" s="197"/>
      <c r="AH8" s="197"/>
      <c r="AI8" s="197"/>
      <c r="AJ8" s="197"/>
      <c r="AK8" s="197"/>
      <c r="AL8" s="197"/>
      <c r="AM8" s="197"/>
      <c r="AN8" s="197"/>
      <c r="AO8" s="197"/>
      <c r="AP8" s="197"/>
      <c r="AQ8" s="197"/>
      <c r="AR8" s="197"/>
      <c r="AS8" s="197"/>
      <c r="AT8" s="197"/>
      <c r="AU8" s="197"/>
      <c r="AV8" s="197"/>
      <c r="AW8" s="197"/>
      <c r="AX8" s="197"/>
      <c r="AY8" s="197"/>
      <c r="AZ8" s="197"/>
      <c r="BA8" s="197"/>
      <c r="BB8" s="197"/>
      <c r="BC8" s="197"/>
      <c r="BD8" s="197"/>
      <c r="BE8" s="197"/>
      <c r="BF8" s="197"/>
      <c r="BG8" s="197"/>
      <c r="BH8" s="198"/>
      <c r="BI8" s="199"/>
      <c r="BJ8" s="199"/>
      <c r="BK8" s="199"/>
    </row>
    <row r="9" spans="1:63" s="233" customFormat="1" x14ac:dyDescent="0.25">
      <c r="A9" s="255">
        <v>8</v>
      </c>
      <c r="B9" s="269" t="s">
        <v>1182</v>
      </c>
      <c r="C9" s="238" t="s">
        <v>1160</v>
      </c>
      <c r="D9" s="240" t="s">
        <v>820</v>
      </c>
      <c r="E9" s="240" t="s">
        <v>100</v>
      </c>
      <c r="F9" s="240" t="s">
        <v>405</v>
      </c>
      <c r="G9" s="243" t="s">
        <v>373</v>
      </c>
      <c r="H9" s="240">
        <v>47</v>
      </c>
      <c r="I9" s="249" t="s">
        <v>988</v>
      </c>
      <c r="J9" s="144" t="s">
        <v>1017</v>
      </c>
      <c r="K9" s="144" t="s">
        <v>1167</v>
      </c>
      <c r="L9" s="144" t="s">
        <v>1071</v>
      </c>
      <c r="M9" s="216" t="s">
        <v>1022</v>
      </c>
      <c r="N9" s="216" t="s">
        <v>915</v>
      </c>
      <c r="O9" s="271" t="s">
        <v>916</v>
      </c>
      <c r="P9" s="197"/>
      <c r="Q9" s="197"/>
      <c r="R9" s="197"/>
      <c r="S9" s="197"/>
      <c r="T9" s="197"/>
      <c r="U9" s="197"/>
      <c r="V9" s="197"/>
      <c r="W9" s="197"/>
      <c r="X9" s="197"/>
      <c r="Y9" s="197"/>
      <c r="Z9" s="197"/>
      <c r="AA9" s="197"/>
      <c r="AB9" s="197"/>
      <c r="AC9" s="197"/>
      <c r="AD9" s="197"/>
      <c r="AE9" s="197"/>
      <c r="AF9" s="197"/>
      <c r="AG9" s="197"/>
      <c r="AH9" s="197"/>
      <c r="AI9" s="197"/>
      <c r="AJ9" s="197"/>
      <c r="AK9" s="197"/>
      <c r="AL9" s="197"/>
      <c r="AM9" s="197"/>
      <c r="AN9" s="197"/>
      <c r="AO9" s="197"/>
      <c r="AP9" s="197"/>
      <c r="AQ9" s="197"/>
      <c r="AR9" s="197"/>
      <c r="AS9" s="197"/>
      <c r="AT9" s="197"/>
      <c r="AU9" s="197"/>
      <c r="AV9" s="197"/>
      <c r="AW9" s="197"/>
      <c r="AX9" s="197"/>
      <c r="AY9" s="197"/>
      <c r="AZ9" s="197"/>
      <c r="BA9" s="197"/>
      <c r="BB9" s="197"/>
      <c r="BC9" s="197"/>
      <c r="BD9" s="197"/>
      <c r="BE9" s="197"/>
      <c r="BF9" s="197"/>
      <c r="BG9" s="197"/>
      <c r="BH9" s="198"/>
      <c r="BI9" s="199"/>
      <c r="BJ9" s="199"/>
      <c r="BK9" s="199"/>
    </row>
    <row r="10" spans="1:63" s="233" customFormat="1" x14ac:dyDescent="0.25">
      <c r="A10" s="255">
        <v>9</v>
      </c>
      <c r="B10" s="269" t="s">
        <v>1182</v>
      </c>
      <c r="C10" s="238" t="s">
        <v>1160</v>
      </c>
      <c r="D10" s="245" t="s">
        <v>882</v>
      </c>
      <c r="E10" s="245" t="s">
        <v>58</v>
      </c>
      <c r="F10" s="246" t="s">
        <v>405</v>
      </c>
      <c r="G10" s="247" t="s">
        <v>302</v>
      </c>
      <c r="H10" s="240">
        <v>43</v>
      </c>
      <c r="I10" s="250" t="s">
        <v>1007</v>
      </c>
      <c r="J10" s="219" t="s">
        <v>1008</v>
      </c>
      <c r="K10" s="219" t="s">
        <v>1165</v>
      </c>
      <c r="L10" s="219" t="s">
        <v>1071</v>
      </c>
      <c r="M10" s="226" t="s">
        <v>1019</v>
      </c>
      <c r="N10" s="216" t="s">
        <v>975</v>
      </c>
      <c r="O10" s="271" t="s">
        <v>976</v>
      </c>
      <c r="P10" s="197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97"/>
      <c r="AB10" s="197"/>
      <c r="AC10" s="197"/>
      <c r="AD10" s="197"/>
      <c r="AE10" s="197"/>
      <c r="AF10" s="197"/>
      <c r="AG10" s="197"/>
      <c r="AH10" s="197"/>
      <c r="AI10" s="197"/>
      <c r="AJ10" s="197"/>
      <c r="AK10" s="197"/>
      <c r="AL10" s="197"/>
      <c r="AM10" s="197"/>
      <c r="AN10" s="197"/>
      <c r="AO10" s="197"/>
      <c r="AP10" s="197"/>
      <c r="AQ10" s="197"/>
      <c r="AR10" s="197"/>
      <c r="AS10" s="197"/>
      <c r="AT10" s="197"/>
      <c r="AU10" s="197"/>
      <c r="AV10" s="197"/>
      <c r="AW10" s="197"/>
      <c r="AX10" s="197"/>
      <c r="AY10" s="197"/>
      <c r="AZ10" s="197"/>
      <c r="BA10" s="197"/>
      <c r="BB10" s="197"/>
      <c r="BC10" s="197"/>
      <c r="BD10" s="197"/>
      <c r="BE10" s="197"/>
      <c r="BF10" s="197"/>
      <c r="BG10" s="197"/>
      <c r="BH10" s="198"/>
      <c r="BI10" s="199"/>
      <c r="BJ10" s="199"/>
      <c r="BK10" s="199"/>
    </row>
    <row r="11" spans="1:63" s="233" customFormat="1" x14ac:dyDescent="0.25">
      <c r="A11" s="255">
        <v>10</v>
      </c>
      <c r="B11" s="269" t="s">
        <v>1182</v>
      </c>
      <c r="C11" s="238" t="s">
        <v>1160</v>
      </c>
      <c r="D11" s="240" t="s">
        <v>813</v>
      </c>
      <c r="E11" s="240" t="s">
        <v>93</v>
      </c>
      <c r="F11" s="240" t="s">
        <v>405</v>
      </c>
      <c r="G11" s="243" t="s">
        <v>361</v>
      </c>
      <c r="H11" s="240">
        <v>33</v>
      </c>
      <c r="I11" s="249" t="s">
        <v>959</v>
      </c>
      <c r="J11" s="144" t="s">
        <v>958</v>
      </c>
      <c r="K11" s="144" t="s">
        <v>1166</v>
      </c>
      <c r="L11" s="144"/>
      <c r="M11" s="216" t="s">
        <v>1022</v>
      </c>
      <c r="N11" s="216" t="s">
        <v>932</v>
      </c>
      <c r="O11" s="271" t="s">
        <v>914</v>
      </c>
      <c r="P11" s="197"/>
      <c r="Q11" s="197"/>
      <c r="R11" s="197"/>
      <c r="S11" s="197"/>
      <c r="T11" s="197"/>
      <c r="U11" s="197"/>
      <c r="V11" s="197"/>
      <c r="W11" s="197"/>
      <c r="X11" s="197"/>
      <c r="Y11" s="197"/>
      <c r="Z11" s="197"/>
      <c r="AA11" s="197"/>
      <c r="AB11" s="197"/>
      <c r="AC11" s="197"/>
      <c r="AD11" s="197"/>
      <c r="AE11" s="197"/>
      <c r="AF11" s="197"/>
      <c r="AG11" s="197"/>
      <c r="AH11" s="197"/>
      <c r="AI11" s="197"/>
      <c r="AJ11" s="197"/>
      <c r="AK11" s="197"/>
      <c r="AL11" s="197"/>
      <c r="AM11" s="197"/>
      <c r="AN11" s="197"/>
      <c r="AO11" s="197"/>
      <c r="AP11" s="197"/>
      <c r="AQ11" s="197"/>
      <c r="AR11" s="197"/>
      <c r="AS11" s="197"/>
      <c r="AT11" s="197"/>
      <c r="AU11" s="197"/>
      <c r="AV11" s="197"/>
      <c r="AW11" s="197"/>
      <c r="AX11" s="197"/>
      <c r="AY11" s="197"/>
      <c r="AZ11" s="197"/>
      <c r="BA11" s="197"/>
      <c r="BB11" s="197"/>
      <c r="BC11" s="197"/>
      <c r="BD11" s="197"/>
      <c r="BE11" s="197"/>
      <c r="BF11" s="197"/>
      <c r="BG11" s="197"/>
      <c r="BH11" s="198"/>
      <c r="BI11" s="199"/>
      <c r="BJ11" s="199"/>
      <c r="BK11" s="199"/>
    </row>
    <row r="12" spans="1:63" s="233" customFormat="1" x14ac:dyDescent="0.25">
      <c r="A12" s="255">
        <v>11</v>
      </c>
      <c r="B12" s="269" t="s">
        <v>1182</v>
      </c>
      <c r="C12" s="240" t="s">
        <v>1159</v>
      </c>
      <c r="D12" s="240" t="s">
        <v>846</v>
      </c>
      <c r="E12" s="240" t="s">
        <v>70</v>
      </c>
      <c r="F12" s="240" t="s">
        <v>405</v>
      </c>
      <c r="G12" s="243">
        <v>9007045651086</v>
      </c>
      <c r="H12" s="240"/>
      <c r="I12" s="249" t="s">
        <v>1013</v>
      </c>
      <c r="J12" s="144" t="s">
        <v>1014</v>
      </c>
      <c r="K12" s="144" t="s">
        <v>1179</v>
      </c>
      <c r="L12" s="144"/>
      <c r="M12" s="216" t="s">
        <v>1022</v>
      </c>
      <c r="N12" s="216" t="s">
        <v>917</v>
      </c>
      <c r="O12" s="271" t="s">
        <v>895</v>
      </c>
      <c r="P12" s="197"/>
      <c r="Q12" s="197"/>
      <c r="R12" s="197"/>
      <c r="S12" s="197"/>
      <c r="T12" s="197"/>
      <c r="U12" s="197"/>
      <c r="V12" s="197"/>
      <c r="W12" s="197"/>
      <c r="X12" s="197"/>
      <c r="Y12" s="197"/>
      <c r="Z12" s="197"/>
      <c r="AA12" s="197"/>
      <c r="AB12" s="197"/>
      <c r="AC12" s="197"/>
      <c r="AD12" s="197"/>
      <c r="AE12" s="197"/>
      <c r="AF12" s="197"/>
      <c r="AG12" s="197"/>
      <c r="AH12" s="197"/>
      <c r="AI12" s="197"/>
      <c r="AJ12" s="197"/>
      <c r="AK12" s="197"/>
      <c r="AL12" s="197"/>
      <c r="AM12" s="197"/>
      <c r="AN12" s="197"/>
      <c r="AO12" s="197"/>
      <c r="AP12" s="197"/>
      <c r="AQ12" s="197"/>
      <c r="AR12" s="197"/>
      <c r="AS12" s="197"/>
      <c r="AT12" s="197"/>
      <c r="AU12" s="197"/>
      <c r="AV12" s="197"/>
      <c r="AW12" s="197"/>
      <c r="AX12" s="197"/>
      <c r="AY12" s="197"/>
      <c r="AZ12" s="197"/>
      <c r="BA12" s="197"/>
      <c r="BB12" s="197"/>
      <c r="BC12" s="197"/>
      <c r="BD12" s="197"/>
      <c r="BE12" s="197"/>
      <c r="BF12" s="197"/>
      <c r="BG12" s="197"/>
      <c r="BH12" s="198"/>
      <c r="BI12" s="199"/>
      <c r="BJ12" s="199"/>
      <c r="BK12" s="199"/>
    </row>
    <row r="13" spans="1:63" s="233" customFormat="1" x14ac:dyDescent="0.25">
      <c r="A13" s="255">
        <v>12</v>
      </c>
      <c r="B13" s="269" t="s">
        <v>1182</v>
      </c>
      <c r="C13" s="240" t="s">
        <v>1159</v>
      </c>
      <c r="D13" s="240" t="s">
        <v>876</v>
      </c>
      <c r="E13" s="240" t="s">
        <v>786</v>
      </c>
      <c r="F13" s="240" t="s">
        <v>405</v>
      </c>
      <c r="G13" s="243">
        <v>8804265615085</v>
      </c>
      <c r="H13" s="240"/>
      <c r="I13" s="249" t="s">
        <v>977</v>
      </c>
      <c r="J13" s="144" t="s">
        <v>935</v>
      </c>
      <c r="K13" s="144" t="s">
        <v>1170</v>
      </c>
      <c r="L13" s="144"/>
      <c r="M13" s="216" t="s">
        <v>1022</v>
      </c>
      <c r="N13" s="216" t="s">
        <v>1050</v>
      </c>
      <c r="O13" s="271" t="s">
        <v>1069</v>
      </c>
      <c r="P13" s="197"/>
      <c r="Q13" s="197"/>
      <c r="R13" s="197"/>
      <c r="S13" s="197"/>
      <c r="T13" s="197"/>
      <c r="U13" s="197"/>
      <c r="V13" s="197"/>
      <c r="W13" s="197"/>
      <c r="X13" s="197"/>
      <c r="Y13" s="197"/>
      <c r="Z13" s="197"/>
      <c r="AA13" s="197"/>
      <c r="AB13" s="197"/>
      <c r="AC13" s="197"/>
      <c r="AD13" s="197"/>
      <c r="AE13" s="197"/>
      <c r="AF13" s="197"/>
      <c r="AG13" s="197"/>
      <c r="AH13" s="197"/>
      <c r="AI13" s="197"/>
      <c r="AJ13" s="197"/>
      <c r="AK13" s="197"/>
      <c r="AL13" s="197"/>
      <c r="AM13" s="197"/>
      <c r="AN13" s="197"/>
      <c r="AO13" s="197"/>
      <c r="AP13" s="197"/>
      <c r="AQ13" s="197"/>
      <c r="AR13" s="197"/>
      <c r="AS13" s="197"/>
      <c r="AT13" s="197"/>
      <c r="AU13" s="197"/>
      <c r="AV13" s="197"/>
      <c r="AW13" s="197"/>
      <c r="AX13" s="197"/>
      <c r="AY13" s="197"/>
      <c r="AZ13" s="197"/>
      <c r="BA13" s="197"/>
      <c r="BB13" s="197"/>
      <c r="BC13" s="197"/>
      <c r="BD13" s="197"/>
      <c r="BE13" s="197"/>
      <c r="BF13" s="197"/>
      <c r="BG13" s="197"/>
      <c r="BH13" s="198"/>
      <c r="BI13" s="199"/>
      <c r="BJ13" s="199"/>
      <c r="BK13" s="199"/>
    </row>
    <row r="14" spans="1:63" s="233" customFormat="1" x14ac:dyDescent="0.25">
      <c r="A14" s="255">
        <v>13</v>
      </c>
      <c r="B14" s="269" t="s">
        <v>1182</v>
      </c>
      <c r="C14" s="240" t="s">
        <v>1159</v>
      </c>
      <c r="D14" s="240" t="s">
        <v>806</v>
      </c>
      <c r="E14" s="240" t="s">
        <v>79</v>
      </c>
      <c r="F14" s="240" t="s">
        <v>405</v>
      </c>
      <c r="G14" s="243" t="s">
        <v>334</v>
      </c>
      <c r="H14" s="240">
        <v>44</v>
      </c>
      <c r="I14" s="249" t="s">
        <v>716</v>
      </c>
      <c r="J14" s="144" t="s">
        <v>953</v>
      </c>
      <c r="K14" s="144" t="s">
        <v>1179</v>
      </c>
      <c r="L14" s="144"/>
      <c r="M14" s="216" t="s">
        <v>1022</v>
      </c>
      <c r="N14" s="216" t="s">
        <v>1060</v>
      </c>
      <c r="O14" s="271" t="s">
        <v>1061</v>
      </c>
      <c r="P14" s="197"/>
      <c r="Q14" s="197"/>
      <c r="R14" s="197"/>
      <c r="S14" s="197"/>
      <c r="T14" s="197"/>
      <c r="U14" s="197"/>
      <c r="V14" s="197"/>
      <c r="W14" s="197"/>
      <c r="X14" s="197"/>
      <c r="Y14" s="197"/>
      <c r="Z14" s="197"/>
      <c r="AA14" s="197"/>
      <c r="AB14" s="197"/>
      <c r="AC14" s="197"/>
      <c r="AD14" s="197"/>
      <c r="AE14" s="197"/>
      <c r="AF14" s="197"/>
      <c r="AG14" s="197"/>
      <c r="AH14" s="197"/>
      <c r="AI14" s="197"/>
      <c r="AJ14" s="197"/>
      <c r="AK14" s="197"/>
      <c r="AL14" s="197"/>
      <c r="AM14" s="197"/>
      <c r="AN14" s="197"/>
      <c r="AO14" s="197"/>
      <c r="AP14" s="197"/>
      <c r="AQ14" s="197"/>
      <c r="AR14" s="197"/>
      <c r="AS14" s="197"/>
      <c r="AT14" s="197"/>
      <c r="AU14" s="197"/>
      <c r="AV14" s="197"/>
      <c r="AW14" s="197"/>
      <c r="AX14" s="197"/>
      <c r="AY14" s="197"/>
      <c r="AZ14" s="197"/>
      <c r="BA14" s="197"/>
      <c r="BB14" s="197"/>
      <c r="BC14" s="197"/>
      <c r="BD14" s="197"/>
      <c r="BE14" s="197"/>
      <c r="BF14" s="197"/>
      <c r="BG14" s="197"/>
      <c r="BH14" s="198"/>
      <c r="BI14" s="199"/>
      <c r="BJ14" s="199"/>
      <c r="BK14" s="199"/>
    </row>
    <row r="15" spans="1:63" s="233" customFormat="1" x14ac:dyDescent="0.25">
      <c r="A15" s="255">
        <v>14</v>
      </c>
      <c r="B15" s="269" t="s">
        <v>1182</v>
      </c>
      <c r="C15" s="238" t="s">
        <v>1160</v>
      </c>
      <c r="D15" s="240" t="s">
        <v>847</v>
      </c>
      <c r="E15" s="240" t="s">
        <v>119</v>
      </c>
      <c r="F15" s="240" t="s">
        <v>405</v>
      </c>
      <c r="G15" s="243" t="s">
        <v>337</v>
      </c>
      <c r="H15" s="240">
        <v>34</v>
      </c>
      <c r="I15" s="249" t="s">
        <v>1015</v>
      </c>
      <c r="J15" s="144" t="s">
        <v>1016</v>
      </c>
      <c r="K15" s="144" t="s">
        <v>1179</v>
      </c>
      <c r="L15" s="144"/>
      <c r="M15" s="216" t="s">
        <v>1022</v>
      </c>
      <c r="N15" s="216" t="s">
        <v>924</v>
      </c>
      <c r="O15" s="271" t="s">
        <v>925</v>
      </c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8"/>
      <c r="BI15" s="199"/>
      <c r="BJ15" s="199"/>
      <c r="BK15" s="199"/>
    </row>
    <row r="16" spans="1:63" s="233" customFormat="1" ht="15.75" thickBot="1" x14ac:dyDescent="0.3">
      <c r="A16" s="255">
        <v>15</v>
      </c>
      <c r="B16" s="272" t="s">
        <v>1182</v>
      </c>
      <c r="C16" s="273" t="s">
        <v>1160</v>
      </c>
      <c r="D16" s="274" t="s">
        <v>144</v>
      </c>
      <c r="E16" s="274" t="s">
        <v>858</v>
      </c>
      <c r="F16" s="274" t="s">
        <v>405</v>
      </c>
      <c r="G16" s="275">
        <v>7908285561087</v>
      </c>
      <c r="H16" s="274"/>
      <c r="I16" s="276" t="s">
        <v>630</v>
      </c>
      <c r="J16" s="277" t="s">
        <v>934</v>
      </c>
      <c r="K16" s="277" t="s">
        <v>1169</v>
      </c>
      <c r="L16" s="277"/>
      <c r="M16" s="278" t="s">
        <v>1022</v>
      </c>
      <c r="N16" s="278" t="s">
        <v>1084</v>
      </c>
      <c r="O16" s="279" t="s">
        <v>1130</v>
      </c>
      <c r="P16" s="197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  <c r="AP16" s="197"/>
      <c r="AQ16" s="197"/>
      <c r="AR16" s="197"/>
      <c r="AS16" s="197"/>
      <c r="AT16" s="197"/>
      <c r="AU16" s="197"/>
      <c r="AV16" s="197"/>
      <c r="AW16" s="197"/>
      <c r="AX16" s="197"/>
      <c r="AY16" s="197"/>
      <c r="AZ16" s="197"/>
      <c r="BA16" s="197"/>
      <c r="BB16" s="197"/>
      <c r="BC16" s="197"/>
      <c r="BD16" s="197"/>
      <c r="BE16" s="197"/>
      <c r="BF16" s="197"/>
      <c r="BG16" s="197"/>
      <c r="BH16" s="198"/>
      <c r="BI16" s="199"/>
      <c r="BJ16" s="199"/>
      <c r="BK16" s="199"/>
    </row>
    <row r="17" spans="1:63" s="201" customFormat="1" x14ac:dyDescent="0.25">
      <c r="A17" s="228">
        <v>16</v>
      </c>
      <c r="B17" s="256"/>
      <c r="C17" s="257" t="s">
        <v>1160</v>
      </c>
      <c r="D17" s="258" t="s">
        <v>874</v>
      </c>
      <c r="E17" s="258" t="s">
        <v>92</v>
      </c>
      <c r="F17" s="258" t="s">
        <v>405</v>
      </c>
      <c r="G17" s="259" t="s">
        <v>353</v>
      </c>
      <c r="H17" s="258">
        <v>34</v>
      </c>
      <c r="I17" s="260" t="s">
        <v>1010</v>
      </c>
      <c r="J17" s="261" t="s">
        <v>672</v>
      </c>
      <c r="K17" s="261"/>
      <c r="L17" s="261"/>
      <c r="M17" s="258" t="s">
        <v>1019</v>
      </c>
      <c r="N17" s="258" t="s">
        <v>1100</v>
      </c>
      <c r="O17" s="258" t="s">
        <v>1101</v>
      </c>
      <c r="P17" s="197"/>
      <c r="Q17" s="197"/>
      <c r="R17" s="197"/>
      <c r="S17" s="197"/>
      <c r="T17" s="197"/>
      <c r="U17" s="197"/>
      <c r="V17" s="197"/>
      <c r="W17" s="197"/>
      <c r="X17" s="197"/>
      <c r="Y17" s="197"/>
      <c r="Z17" s="197"/>
      <c r="AA17" s="197"/>
      <c r="AB17" s="197"/>
      <c r="AC17" s="197"/>
      <c r="AD17" s="197"/>
      <c r="AE17" s="197"/>
      <c r="AF17" s="197"/>
      <c r="AG17" s="197"/>
      <c r="AH17" s="197"/>
      <c r="AI17" s="197"/>
      <c r="AJ17" s="197"/>
      <c r="AK17" s="197"/>
      <c r="AL17" s="197"/>
      <c r="AM17" s="197"/>
      <c r="AN17" s="197"/>
      <c r="AO17" s="197"/>
      <c r="AP17" s="197"/>
      <c r="AQ17" s="197"/>
      <c r="AR17" s="197"/>
      <c r="AS17" s="197"/>
      <c r="AT17" s="197"/>
      <c r="AU17" s="197"/>
      <c r="AV17" s="197"/>
      <c r="AW17" s="197"/>
      <c r="AX17" s="197"/>
      <c r="AY17" s="197"/>
      <c r="AZ17" s="197"/>
      <c r="BA17" s="197"/>
      <c r="BB17" s="197"/>
      <c r="BC17" s="197"/>
      <c r="BD17" s="197"/>
      <c r="BE17" s="197"/>
      <c r="BF17" s="197"/>
      <c r="BG17" s="197"/>
      <c r="BH17" s="198"/>
      <c r="BI17" s="199"/>
      <c r="BJ17" s="199"/>
      <c r="BK17" s="199"/>
    </row>
    <row r="18" spans="1:63" x14ac:dyDescent="0.25">
      <c r="A18" s="194">
        <v>17</v>
      </c>
      <c r="C18" s="216" t="s">
        <v>1159</v>
      </c>
      <c r="D18" s="216" t="s">
        <v>856</v>
      </c>
      <c r="E18" s="216" t="s">
        <v>855</v>
      </c>
      <c r="F18" s="216" t="s">
        <v>405</v>
      </c>
      <c r="G18" s="222">
        <v>801319</v>
      </c>
      <c r="H18" s="216"/>
      <c r="I18" s="143" t="s">
        <v>1010</v>
      </c>
      <c r="J18" s="144" t="s">
        <v>672</v>
      </c>
      <c r="K18" s="144"/>
      <c r="L18" s="144"/>
      <c r="M18" s="216" t="s">
        <v>1022</v>
      </c>
      <c r="N18" s="216" t="s">
        <v>935</v>
      </c>
      <c r="O18" s="216" t="s">
        <v>936</v>
      </c>
    </row>
    <row r="19" spans="1:63" x14ac:dyDescent="0.25">
      <c r="A19" s="228">
        <v>18</v>
      </c>
      <c r="C19" s="220" t="s">
        <v>1160</v>
      </c>
      <c r="D19" s="216" t="s">
        <v>819</v>
      </c>
      <c r="E19" s="216" t="s">
        <v>98</v>
      </c>
      <c r="F19" s="216" t="s">
        <v>405</v>
      </c>
      <c r="G19" s="221" t="s">
        <v>369</v>
      </c>
      <c r="H19" s="216">
        <v>38</v>
      </c>
      <c r="I19" s="143" t="s">
        <v>1114</v>
      </c>
      <c r="J19" s="230" t="s">
        <v>1115</v>
      </c>
      <c r="K19" s="230"/>
      <c r="L19" s="230" t="s">
        <v>1183</v>
      </c>
      <c r="M19" s="216" t="s">
        <v>1022</v>
      </c>
      <c r="N19" s="216" t="s">
        <v>1094</v>
      </c>
      <c r="O19" s="216" t="s">
        <v>1095</v>
      </c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1"/>
      <c r="BB19" s="231"/>
      <c r="BC19" s="231"/>
      <c r="BD19" s="231"/>
      <c r="BE19" s="231"/>
      <c r="BF19" s="231"/>
      <c r="BG19" s="231"/>
      <c r="BH19" s="232"/>
      <c r="BI19" s="233"/>
      <c r="BJ19" s="233"/>
      <c r="BK19" s="233"/>
    </row>
    <row r="20" spans="1:63" x14ac:dyDescent="0.25">
      <c r="A20" s="194">
        <v>19</v>
      </c>
      <c r="C20" s="220" t="s">
        <v>1160</v>
      </c>
      <c r="D20" s="216" t="s">
        <v>816</v>
      </c>
      <c r="E20" s="216" t="s">
        <v>93</v>
      </c>
      <c r="F20" s="216" t="s">
        <v>405</v>
      </c>
      <c r="G20" s="221" t="s">
        <v>364</v>
      </c>
      <c r="H20" s="216">
        <v>38</v>
      </c>
      <c r="I20" s="143" t="s">
        <v>1123</v>
      </c>
      <c r="J20" s="230" t="s">
        <v>1124</v>
      </c>
      <c r="K20" s="230"/>
      <c r="L20" s="230" t="s">
        <v>1183</v>
      </c>
      <c r="M20" s="216" t="s">
        <v>1022</v>
      </c>
      <c r="N20" s="216" t="s">
        <v>1049</v>
      </c>
      <c r="O20" s="216" t="s">
        <v>1045</v>
      </c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  <c r="BA20" s="231"/>
      <c r="BB20" s="231"/>
      <c r="BC20" s="231"/>
      <c r="BD20" s="231"/>
      <c r="BE20" s="231"/>
      <c r="BF20" s="231"/>
      <c r="BG20" s="231"/>
      <c r="BH20" s="232"/>
      <c r="BI20" s="233"/>
      <c r="BJ20" s="233"/>
      <c r="BK20" s="233"/>
    </row>
    <row r="21" spans="1:63" x14ac:dyDescent="0.25">
      <c r="A21" s="228">
        <v>20</v>
      </c>
      <c r="C21" s="216" t="s">
        <v>1159</v>
      </c>
      <c r="D21" s="216" t="s">
        <v>888</v>
      </c>
      <c r="E21" s="216" t="s">
        <v>268</v>
      </c>
      <c r="F21" s="216" t="s">
        <v>405</v>
      </c>
      <c r="G21" s="221" t="s">
        <v>274</v>
      </c>
      <c r="H21" s="216">
        <v>44</v>
      </c>
      <c r="I21" s="143" t="s">
        <v>960</v>
      </c>
      <c r="J21" s="144" t="s">
        <v>770</v>
      </c>
      <c r="K21" s="144"/>
      <c r="L21" s="144"/>
      <c r="M21" s="216" t="s">
        <v>1022</v>
      </c>
      <c r="N21" s="216" t="s">
        <v>906</v>
      </c>
      <c r="O21" s="216" t="s">
        <v>907</v>
      </c>
    </row>
    <row r="22" spans="1:63" x14ac:dyDescent="0.25">
      <c r="A22" s="194">
        <v>21</v>
      </c>
      <c r="C22" s="216" t="s">
        <v>1159</v>
      </c>
      <c r="D22" s="216" t="s">
        <v>937</v>
      </c>
      <c r="E22" s="216" t="s">
        <v>784</v>
      </c>
      <c r="F22" s="216" t="s">
        <v>405</v>
      </c>
      <c r="G22" s="221">
        <v>7706205483089</v>
      </c>
      <c r="H22" s="216"/>
      <c r="I22" s="143" t="s">
        <v>960</v>
      </c>
      <c r="J22" s="144" t="s">
        <v>770</v>
      </c>
      <c r="K22" s="144"/>
      <c r="L22" s="144"/>
      <c r="M22" s="216" t="s">
        <v>1022</v>
      </c>
      <c r="N22" s="216" t="s">
        <v>1025</v>
      </c>
      <c r="O22" s="216" t="s">
        <v>752</v>
      </c>
    </row>
    <row r="23" spans="1:63" s="201" customFormat="1" x14ac:dyDescent="0.25">
      <c r="A23" s="228">
        <v>22</v>
      </c>
      <c r="C23" s="216" t="s">
        <v>1159</v>
      </c>
      <c r="D23" s="216" t="s">
        <v>880</v>
      </c>
      <c r="E23" s="216" t="s">
        <v>796</v>
      </c>
      <c r="F23" s="216" t="s">
        <v>405</v>
      </c>
      <c r="G23" s="217">
        <v>6805045504087</v>
      </c>
      <c r="H23" s="216"/>
      <c r="I23" s="143" t="s">
        <v>960</v>
      </c>
      <c r="J23" s="144" t="s">
        <v>770</v>
      </c>
      <c r="K23" s="144"/>
      <c r="L23" s="144"/>
      <c r="M23" s="216" t="s">
        <v>1022</v>
      </c>
      <c r="N23" s="216" t="s">
        <v>1080</v>
      </c>
      <c r="O23" s="216" t="s">
        <v>1079</v>
      </c>
      <c r="P23" s="197"/>
      <c r="Q23" s="197"/>
      <c r="R23" s="197"/>
      <c r="S23" s="197"/>
      <c r="T23" s="197"/>
      <c r="U23" s="197"/>
      <c r="V23" s="197"/>
      <c r="W23" s="197"/>
      <c r="X23" s="197"/>
      <c r="Y23" s="197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197"/>
      <c r="AL23" s="197"/>
      <c r="AM23" s="197"/>
      <c r="AN23" s="197"/>
      <c r="AO23" s="197"/>
      <c r="AP23" s="197"/>
      <c r="AQ23" s="197"/>
      <c r="AR23" s="197"/>
      <c r="AS23" s="197"/>
      <c r="AT23" s="197"/>
      <c r="AU23" s="197"/>
      <c r="AV23" s="197"/>
      <c r="AW23" s="197"/>
      <c r="AX23" s="197"/>
      <c r="AY23" s="197"/>
      <c r="AZ23" s="197"/>
      <c r="BA23" s="197"/>
      <c r="BB23" s="197"/>
      <c r="BC23" s="197"/>
      <c r="BD23" s="197"/>
      <c r="BE23" s="197"/>
      <c r="BF23" s="197"/>
      <c r="BG23" s="197"/>
      <c r="BH23" s="198"/>
      <c r="BI23" s="199"/>
      <c r="BJ23" s="199"/>
      <c r="BK23" s="199"/>
    </row>
    <row r="24" spans="1:63" x14ac:dyDescent="0.25">
      <c r="A24" s="194">
        <v>23</v>
      </c>
      <c r="C24" s="220" t="s">
        <v>1160</v>
      </c>
      <c r="D24" s="216" t="s">
        <v>867</v>
      </c>
      <c r="E24" s="216" t="s">
        <v>861</v>
      </c>
      <c r="F24" s="216" t="s">
        <v>405</v>
      </c>
      <c r="G24" s="217">
        <v>8012115479088</v>
      </c>
      <c r="H24" s="216"/>
      <c r="I24" s="143" t="s">
        <v>770</v>
      </c>
      <c r="J24" s="230" t="s">
        <v>1106</v>
      </c>
      <c r="K24" s="230"/>
      <c r="L24" s="230" t="s">
        <v>1183</v>
      </c>
      <c r="M24" s="216" t="s">
        <v>1022</v>
      </c>
      <c r="N24" s="216" t="s">
        <v>1104</v>
      </c>
      <c r="O24" s="216" t="s">
        <v>1105</v>
      </c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1"/>
      <c r="BB24" s="231"/>
      <c r="BC24" s="231"/>
      <c r="BD24" s="231"/>
      <c r="BE24" s="231"/>
      <c r="BF24" s="231"/>
      <c r="BG24" s="231"/>
      <c r="BH24" s="232"/>
      <c r="BI24" s="233"/>
      <c r="BJ24" s="233"/>
      <c r="BK24" s="233"/>
    </row>
    <row r="25" spans="1:63" x14ac:dyDescent="0.25">
      <c r="A25" s="228">
        <v>24</v>
      </c>
      <c r="C25" s="220" t="s">
        <v>1160</v>
      </c>
      <c r="D25" s="216" t="s">
        <v>797</v>
      </c>
      <c r="E25" s="216" t="s">
        <v>62</v>
      </c>
      <c r="F25" s="216" t="s">
        <v>405</v>
      </c>
      <c r="G25" s="221" t="s">
        <v>291</v>
      </c>
      <c r="H25" s="216">
        <v>32</v>
      </c>
      <c r="I25" s="143" t="s">
        <v>667</v>
      </c>
      <c r="J25" s="144" t="s">
        <v>952</v>
      </c>
      <c r="K25" s="144"/>
      <c r="L25" s="144"/>
      <c r="M25" s="216" t="s">
        <v>1022</v>
      </c>
      <c r="N25" s="216" t="s">
        <v>1062</v>
      </c>
      <c r="O25" s="216" t="s">
        <v>1063</v>
      </c>
    </row>
    <row r="26" spans="1:63" x14ac:dyDescent="0.25">
      <c r="A26" s="194">
        <v>25</v>
      </c>
      <c r="C26" s="220" t="s">
        <v>1160</v>
      </c>
      <c r="D26" s="216" t="s">
        <v>860</v>
      </c>
      <c r="E26" s="216" t="s">
        <v>62</v>
      </c>
      <c r="F26" s="216" t="s">
        <v>405</v>
      </c>
      <c r="G26" s="221">
        <v>68052255588082</v>
      </c>
      <c r="H26" s="216">
        <v>51</v>
      </c>
      <c r="I26" s="143" t="s">
        <v>667</v>
      </c>
      <c r="J26" s="144" t="s">
        <v>952</v>
      </c>
      <c r="K26" s="144"/>
      <c r="L26" s="144"/>
      <c r="M26" s="216" t="s">
        <v>1022</v>
      </c>
      <c r="N26" s="216" t="s">
        <v>998</v>
      </c>
      <c r="O26" s="216" t="s">
        <v>999</v>
      </c>
    </row>
    <row r="27" spans="1:63" x14ac:dyDescent="0.25">
      <c r="A27" s="228">
        <v>26</v>
      </c>
      <c r="C27" s="220" t="s">
        <v>1160</v>
      </c>
      <c r="D27" s="216" t="s">
        <v>781</v>
      </c>
      <c r="E27" s="216" t="s">
        <v>63</v>
      </c>
      <c r="F27" s="216" t="s">
        <v>405</v>
      </c>
      <c r="G27" s="221">
        <v>7501275686087</v>
      </c>
      <c r="H27" s="216">
        <v>44</v>
      </c>
      <c r="I27" s="143" t="s">
        <v>1108</v>
      </c>
      <c r="J27" s="230" t="s">
        <v>1109</v>
      </c>
      <c r="K27" s="230"/>
      <c r="L27" s="230" t="s">
        <v>1183</v>
      </c>
      <c r="M27" s="216" t="s">
        <v>1022</v>
      </c>
      <c r="N27" s="216" t="s">
        <v>1002</v>
      </c>
      <c r="O27" s="216" t="s">
        <v>1003</v>
      </c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1"/>
      <c r="BB27" s="231"/>
      <c r="BC27" s="231"/>
      <c r="BD27" s="231"/>
      <c r="BE27" s="231"/>
      <c r="BF27" s="231"/>
      <c r="BG27" s="231"/>
      <c r="BH27" s="232"/>
      <c r="BI27" s="233"/>
      <c r="BJ27" s="233"/>
      <c r="BK27" s="233"/>
    </row>
    <row r="28" spans="1:63" x14ac:dyDescent="0.25">
      <c r="A28" s="194">
        <v>27</v>
      </c>
      <c r="C28" s="220" t="s">
        <v>1160</v>
      </c>
      <c r="D28" s="216" t="s">
        <v>938</v>
      </c>
      <c r="E28" s="216" t="s">
        <v>266</v>
      </c>
      <c r="F28" s="216" t="s">
        <v>405</v>
      </c>
      <c r="G28" s="221" t="s">
        <v>308</v>
      </c>
      <c r="H28" s="216">
        <v>37</v>
      </c>
      <c r="I28" s="143" t="s">
        <v>671</v>
      </c>
      <c r="J28" s="144" t="s">
        <v>1009</v>
      </c>
      <c r="K28" s="144"/>
      <c r="L28" s="144"/>
      <c r="M28" s="216" t="s">
        <v>1022</v>
      </c>
      <c r="N28" s="216" t="s">
        <v>1098</v>
      </c>
      <c r="O28" s="216" t="s">
        <v>1099</v>
      </c>
    </row>
    <row r="29" spans="1:63" x14ac:dyDescent="0.25">
      <c r="A29" s="228">
        <v>28</v>
      </c>
      <c r="C29" s="216" t="s">
        <v>1159</v>
      </c>
      <c r="D29" s="216" t="s">
        <v>854</v>
      </c>
      <c r="E29" s="216" t="s">
        <v>126</v>
      </c>
      <c r="F29" s="216" t="s">
        <v>405</v>
      </c>
      <c r="G29" s="217">
        <v>8704136020087</v>
      </c>
      <c r="H29" s="216"/>
      <c r="I29" s="143" t="s">
        <v>1112</v>
      </c>
      <c r="J29" s="230" t="s">
        <v>1113</v>
      </c>
      <c r="K29" s="230"/>
      <c r="L29" s="230" t="s">
        <v>1183</v>
      </c>
      <c r="M29" s="216" t="s">
        <v>1022</v>
      </c>
      <c r="N29" s="216" t="s">
        <v>902</v>
      </c>
      <c r="O29" s="216" t="s">
        <v>903</v>
      </c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1"/>
      <c r="BB29" s="231"/>
      <c r="BC29" s="231"/>
      <c r="BD29" s="231"/>
      <c r="BE29" s="231"/>
      <c r="BF29" s="231"/>
      <c r="BG29" s="231"/>
      <c r="BH29" s="232"/>
      <c r="BI29" s="233"/>
      <c r="BJ29" s="233"/>
      <c r="BK29" s="233"/>
    </row>
    <row r="30" spans="1:63" x14ac:dyDescent="0.25">
      <c r="A30" s="194">
        <v>29</v>
      </c>
      <c r="C30" s="220" t="s">
        <v>1160</v>
      </c>
      <c r="D30" s="216" t="s">
        <v>866</v>
      </c>
      <c r="E30" s="216" t="s">
        <v>99</v>
      </c>
      <c r="F30" s="216" t="s">
        <v>405</v>
      </c>
      <c r="G30" s="221" t="s">
        <v>371</v>
      </c>
      <c r="H30" s="216">
        <v>33</v>
      </c>
      <c r="I30" s="143" t="s">
        <v>942</v>
      </c>
      <c r="J30" s="144" t="s">
        <v>943</v>
      </c>
      <c r="K30" s="144"/>
      <c r="L30" s="144"/>
      <c r="M30" s="216" t="s">
        <v>1022</v>
      </c>
      <c r="N30" s="216" t="s">
        <v>1042</v>
      </c>
      <c r="O30" s="216" t="s">
        <v>1043</v>
      </c>
    </row>
    <row r="31" spans="1:63" x14ac:dyDescent="0.25">
      <c r="A31" s="228">
        <v>30</v>
      </c>
      <c r="C31" s="220" t="s">
        <v>1160</v>
      </c>
      <c r="D31" s="216" t="s">
        <v>275</v>
      </c>
      <c r="E31" s="216" t="s">
        <v>123</v>
      </c>
      <c r="F31" s="216" t="s">
        <v>405</v>
      </c>
      <c r="G31" s="221" t="s">
        <v>276</v>
      </c>
      <c r="H31" s="216">
        <v>50</v>
      </c>
      <c r="I31" s="143" t="s">
        <v>942</v>
      </c>
      <c r="J31" s="144" t="s">
        <v>943</v>
      </c>
      <c r="K31" s="144"/>
      <c r="L31" s="144"/>
      <c r="M31" s="216" t="s">
        <v>1022</v>
      </c>
      <c r="N31" s="216" t="s">
        <v>912</v>
      </c>
      <c r="O31" s="216" t="s">
        <v>913</v>
      </c>
    </row>
    <row r="32" spans="1:63" x14ac:dyDescent="0.25">
      <c r="A32" s="194">
        <v>31</v>
      </c>
      <c r="C32" s="220" t="s">
        <v>1160</v>
      </c>
      <c r="D32" s="216" t="s">
        <v>891</v>
      </c>
      <c r="E32" s="216" t="s">
        <v>104</v>
      </c>
      <c r="F32" s="216" t="s">
        <v>405</v>
      </c>
      <c r="G32" s="221" t="s">
        <v>376</v>
      </c>
      <c r="H32" s="216">
        <v>42</v>
      </c>
      <c r="I32" s="143" t="s">
        <v>721</v>
      </c>
      <c r="J32" s="144" t="s">
        <v>941</v>
      </c>
      <c r="K32" s="144"/>
      <c r="L32" s="144"/>
      <c r="M32" s="216" t="s">
        <v>1022</v>
      </c>
      <c r="N32" s="216" t="s">
        <v>1131</v>
      </c>
      <c r="O32" s="216" t="s">
        <v>1132</v>
      </c>
    </row>
    <row r="33" spans="1:63" x14ac:dyDescent="0.25">
      <c r="A33" s="228">
        <v>32</v>
      </c>
      <c r="C33" s="220" t="s">
        <v>1160</v>
      </c>
      <c r="D33" s="216" t="s">
        <v>808</v>
      </c>
      <c r="E33" s="216" t="s">
        <v>82</v>
      </c>
      <c r="F33" s="216" t="s">
        <v>405</v>
      </c>
      <c r="G33" s="221" t="s">
        <v>338</v>
      </c>
      <c r="H33" s="216">
        <v>36</v>
      </c>
      <c r="I33" s="143" t="s">
        <v>941</v>
      </c>
      <c r="J33" s="230" t="s">
        <v>1125</v>
      </c>
      <c r="K33" s="230"/>
      <c r="L33" s="230" t="s">
        <v>1183</v>
      </c>
      <c r="M33" s="216" t="s">
        <v>1022</v>
      </c>
      <c r="N33" s="216" t="s">
        <v>1006</v>
      </c>
      <c r="O33" s="216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1"/>
      <c r="BB33" s="231"/>
      <c r="BC33" s="231"/>
      <c r="BD33" s="231"/>
      <c r="BE33" s="231"/>
      <c r="BF33" s="231"/>
      <c r="BG33" s="231"/>
      <c r="BH33" s="232"/>
      <c r="BI33" s="233"/>
      <c r="BJ33" s="233"/>
      <c r="BK33" s="233"/>
    </row>
    <row r="34" spans="1:63" x14ac:dyDescent="0.25">
      <c r="A34" s="194">
        <v>33</v>
      </c>
      <c r="C34" s="220" t="s">
        <v>1160</v>
      </c>
      <c r="D34" s="216" t="s">
        <v>852</v>
      </c>
      <c r="E34" s="216" t="s">
        <v>93</v>
      </c>
      <c r="F34" s="216" t="s">
        <v>405</v>
      </c>
      <c r="G34" s="221">
        <v>8301285583088</v>
      </c>
      <c r="H34" s="216"/>
      <c r="I34" s="143" t="s">
        <v>946</v>
      </c>
      <c r="J34" s="144" t="s">
        <v>947</v>
      </c>
      <c r="K34" s="144"/>
      <c r="L34" s="144"/>
      <c r="M34" s="216" t="s">
        <v>1022</v>
      </c>
      <c r="N34" s="216" t="s">
        <v>932</v>
      </c>
      <c r="O34" s="216" t="s">
        <v>914</v>
      </c>
    </row>
    <row r="35" spans="1:63" x14ac:dyDescent="0.25">
      <c r="A35" s="228">
        <v>34</v>
      </c>
      <c r="C35" s="216" t="s">
        <v>1159</v>
      </c>
      <c r="D35" s="216" t="s">
        <v>881</v>
      </c>
      <c r="E35" s="216" t="s">
        <v>790</v>
      </c>
      <c r="F35" s="216" t="s">
        <v>405</v>
      </c>
      <c r="G35" s="221">
        <v>8911136133089</v>
      </c>
      <c r="H35" s="216"/>
      <c r="I35" s="143" t="s">
        <v>623</v>
      </c>
      <c r="J35" s="144" t="s">
        <v>992</v>
      </c>
      <c r="K35" s="144"/>
      <c r="L35" s="144"/>
      <c r="M35" s="216" t="s">
        <v>1022</v>
      </c>
      <c r="N35" s="216" t="s">
        <v>1051</v>
      </c>
      <c r="O35" s="216" t="s">
        <v>1052</v>
      </c>
    </row>
    <row r="36" spans="1:63" x14ac:dyDescent="0.25">
      <c r="A36" s="194">
        <v>35</v>
      </c>
      <c r="C36" s="220" t="s">
        <v>1160</v>
      </c>
      <c r="D36" s="216" t="s">
        <v>862</v>
      </c>
      <c r="E36" s="216" t="s">
        <v>63</v>
      </c>
      <c r="F36" s="216" t="s">
        <v>405</v>
      </c>
      <c r="G36" s="217">
        <v>7301135325087</v>
      </c>
      <c r="H36" s="216"/>
      <c r="I36" s="143" t="s">
        <v>940</v>
      </c>
      <c r="J36" s="144" t="s">
        <v>945</v>
      </c>
      <c r="K36" s="144"/>
      <c r="L36" s="144"/>
      <c r="M36" s="216" t="s">
        <v>1022</v>
      </c>
      <c r="N36" s="216" t="s">
        <v>1000</v>
      </c>
      <c r="O36" s="216" t="s">
        <v>1001</v>
      </c>
    </row>
    <row r="37" spans="1:63" x14ac:dyDescent="0.25">
      <c r="A37" s="228">
        <v>36</v>
      </c>
      <c r="C37" s="220" t="s">
        <v>1160</v>
      </c>
      <c r="D37" s="216" t="s">
        <v>875</v>
      </c>
      <c r="E37" s="216" t="s">
        <v>65</v>
      </c>
      <c r="F37" s="216" t="s">
        <v>405</v>
      </c>
      <c r="G37" s="221" t="s">
        <v>296</v>
      </c>
      <c r="H37" s="216">
        <v>52</v>
      </c>
      <c r="I37" s="143" t="s">
        <v>940</v>
      </c>
      <c r="J37" s="144" t="s">
        <v>945</v>
      </c>
      <c r="K37" s="144"/>
      <c r="L37" s="144"/>
      <c r="M37" s="216" t="s">
        <v>1021</v>
      </c>
      <c r="N37" s="216" t="s">
        <v>1002</v>
      </c>
      <c r="O37" s="216" t="s">
        <v>1003</v>
      </c>
    </row>
    <row r="38" spans="1:63" x14ac:dyDescent="0.25">
      <c r="A38" s="194">
        <v>37</v>
      </c>
      <c r="C38" s="220" t="s">
        <v>1160</v>
      </c>
      <c r="D38" s="216" t="s">
        <v>811</v>
      </c>
      <c r="E38" s="216" t="s">
        <v>89</v>
      </c>
      <c r="F38" s="216" t="s">
        <v>405</v>
      </c>
      <c r="G38" s="221" t="s">
        <v>350</v>
      </c>
      <c r="H38" s="216">
        <v>36</v>
      </c>
      <c r="I38" s="143" t="s">
        <v>940</v>
      </c>
      <c r="J38" s="144" t="s">
        <v>945</v>
      </c>
      <c r="K38" s="144"/>
      <c r="L38" s="144"/>
      <c r="M38" s="216" t="s">
        <v>1022</v>
      </c>
      <c r="N38" s="218" t="s">
        <v>1102</v>
      </c>
      <c r="O38" s="216" t="s">
        <v>1103</v>
      </c>
    </row>
    <row r="39" spans="1:63" x14ac:dyDescent="0.25">
      <c r="A39" s="228">
        <v>38</v>
      </c>
      <c r="C39" s="220" t="s">
        <v>1160</v>
      </c>
      <c r="D39" s="216" t="s">
        <v>939</v>
      </c>
      <c r="E39" s="216" t="s">
        <v>857</v>
      </c>
      <c r="F39" s="216" t="s">
        <v>405</v>
      </c>
      <c r="G39" s="217">
        <v>8010315391087</v>
      </c>
      <c r="H39" s="216"/>
      <c r="I39" s="143" t="s">
        <v>940</v>
      </c>
      <c r="J39" s="144" t="s">
        <v>945</v>
      </c>
      <c r="K39" s="144"/>
      <c r="L39" s="144"/>
      <c r="M39" s="216" t="s">
        <v>1022</v>
      </c>
      <c r="N39" s="216" t="s">
        <v>1088</v>
      </c>
      <c r="O39" s="216" t="s">
        <v>1089</v>
      </c>
      <c r="P39" s="205"/>
      <c r="Q39" s="205"/>
      <c r="R39" s="205"/>
      <c r="S39" s="205"/>
      <c r="T39" s="205"/>
      <c r="U39" s="205"/>
      <c r="V39" s="205"/>
      <c r="W39" s="205"/>
      <c r="X39" s="205"/>
      <c r="Y39" s="205"/>
      <c r="Z39" s="205"/>
      <c r="AA39" s="205"/>
      <c r="AB39" s="205"/>
      <c r="AC39" s="205"/>
      <c r="AD39" s="205"/>
      <c r="AE39" s="205"/>
      <c r="AF39" s="205"/>
      <c r="AG39" s="205"/>
      <c r="AH39" s="205"/>
      <c r="AI39" s="205"/>
      <c r="AJ39" s="205"/>
      <c r="AK39" s="205"/>
      <c r="AL39" s="205"/>
      <c r="AM39" s="205"/>
      <c r="AN39" s="205"/>
      <c r="AO39" s="205"/>
      <c r="AP39" s="205"/>
      <c r="AQ39" s="205"/>
      <c r="AR39" s="205"/>
      <c r="AS39" s="205"/>
      <c r="AT39" s="205"/>
      <c r="AU39" s="205"/>
      <c r="AV39" s="205"/>
      <c r="AW39" s="205"/>
      <c r="AX39" s="205"/>
      <c r="AY39" s="205"/>
      <c r="AZ39" s="205"/>
      <c r="BA39" s="205"/>
      <c r="BB39" s="205"/>
      <c r="BC39" s="205"/>
      <c r="BD39" s="205"/>
      <c r="BE39" s="205"/>
      <c r="BF39" s="205"/>
      <c r="BG39" s="205"/>
      <c r="BH39" s="206"/>
      <c r="BI39" s="203"/>
      <c r="BJ39" s="203"/>
      <c r="BK39" s="203"/>
    </row>
    <row r="40" spans="1:63" x14ac:dyDescent="0.25">
      <c r="A40" s="194">
        <v>39</v>
      </c>
      <c r="C40" s="220" t="s">
        <v>1160</v>
      </c>
      <c r="D40" s="216" t="s">
        <v>827</v>
      </c>
      <c r="E40" s="216" t="s">
        <v>114</v>
      </c>
      <c r="F40" s="216" t="s">
        <v>405</v>
      </c>
      <c r="G40" s="221" t="s">
        <v>273</v>
      </c>
      <c r="H40" s="216">
        <v>42</v>
      </c>
      <c r="I40" s="143" t="s">
        <v>940</v>
      </c>
      <c r="J40" s="144" t="s">
        <v>945</v>
      </c>
      <c r="K40" s="144"/>
      <c r="L40" s="144"/>
      <c r="M40" s="216" t="s">
        <v>1022</v>
      </c>
      <c r="N40" s="216" t="s">
        <v>1037</v>
      </c>
      <c r="O40" s="216" t="s">
        <v>1038</v>
      </c>
    </row>
    <row r="41" spans="1:63" x14ac:dyDescent="0.25">
      <c r="A41" s="228">
        <v>40</v>
      </c>
      <c r="C41" s="216" t="s">
        <v>1159</v>
      </c>
      <c r="D41" s="216" t="s">
        <v>160</v>
      </c>
      <c r="E41" s="216" t="s">
        <v>112</v>
      </c>
      <c r="F41" s="216" t="s">
        <v>405</v>
      </c>
      <c r="G41" s="221" t="s">
        <v>383</v>
      </c>
      <c r="H41" s="216">
        <v>43</v>
      </c>
      <c r="I41" s="143" t="s">
        <v>940</v>
      </c>
      <c r="J41" s="144" t="s">
        <v>945</v>
      </c>
      <c r="K41" s="144"/>
      <c r="L41" s="144"/>
      <c r="M41" s="216" t="s">
        <v>1024</v>
      </c>
      <c r="N41" s="216" t="s">
        <v>1078</v>
      </c>
      <c r="O41" s="216" t="s">
        <v>1077</v>
      </c>
    </row>
    <row r="42" spans="1:63" x14ac:dyDescent="0.25">
      <c r="A42" s="194">
        <v>41</v>
      </c>
      <c r="C42" s="220" t="s">
        <v>1160</v>
      </c>
      <c r="D42" s="216" t="s">
        <v>826</v>
      </c>
      <c r="E42" s="216" t="s">
        <v>113</v>
      </c>
      <c r="F42" s="216" t="s">
        <v>405</v>
      </c>
      <c r="G42" s="221" t="s">
        <v>384</v>
      </c>
      <c r="H42" s="216">
        <v>55</v>
      </c>
      <c r="I42" s="143" t="s">
        <v>656</v>
      </c>
      <c r="J42" s="144" t="s">
        <v>727</v>
      </c>
      <c r="K42" s="144"/>
      <c r="L42" s="144"/>
      <c r="M42" s="216" t="s">
        <v>1021</v>
      </c>
      <c r="N42" s="216" t="s">
        <v>1135</v>
      </c>
      <c r="O42" s="216" t="s">
        <v>1136</v>
      </c>
      <c r="BH42" s="202"/>
      <c r="BI42" s="201"/>
      <c r="BJ42" s="201"/>
      <c r="BK42" s="201"/>
    </row>
    <row r="43" spans="1:63" x14ac:dyDescent="0.25">
      <c r="A43" s="228">
        <v>42</v>
      </c>
      <c r="C43" s="220" t="s">
        <v>1160</v>
      </c>
      <c r="D43" s="216" t="s">
        <v>864</v>
      </c>
      <c r="E43" s="216" t="s">
        <v>77</v>
      </c>
      <c r="F43" s="216" t="s">
        <v>405</v>
      </c>
      <c r="G43" s="217">
        <v>8805305400081</v>
      </c>
      <c r="H43" s="216"/>
      <c r="I43" s="143" t="s">
        <v>949</v>
      </c>
      <c r="J43" s="144" t="s">
        <v>948</v>
      </c>
      <c r="K43" s="144"/>
      <c r="L43" s="144"/>
      <c r="M43" s="216" t="s">
        <v>1022</v>
      </c>
      <c r="N43" s="216" t="s">
        <v>1004</v>
      </c>
      <c r="O43" s="216" t="s">
        <v>1005</v>
      </c>
    </row>
    <row r="44" spans="1:63" x14ac:dyDescent="0.25">
      <c r="A44" s="194">
        <v>43</v>
      </c>
      <c r="C44" s="216" t="s">
        <v>1159</v>
      </c>
      <c r="D44" s="216" t="s">
        <v>842</v>
      </c>
      <c r="E44" s="216" t="s">
        <v>74</v>
      </c>
      <c r="F44" s="216" t="s">
        <v>405</v>
      </c>
      <c r="G44" s="221" t="s">
        <v>329</v>
      </c>
      <c r="H44" s="216">
        <v>44</v>
      </c>
      <c r="I44" s="143" t="s">
        <v>1110</v>
      </c>
      <c r="J44" s="230" t="s">
        <v>1111</v>
      </c>
      <c r="K44" s="230"/>
      <c r="L44" s="230" t="s">
        <v>1183</v>
      </c>
      <c r="M44" s="216" t="s">
        <v>1023</v>
      </c>
      <c r="N44" s="216" t="s">
        <v>1137</v>
      </c>
      <c r="O44" s="216" t="s">
        <v>1138</v>
      </c>
      <c r="P44" s="231"/>
      <c r="Q44" s="231"/>
      <c r="R44" s="231"/>
      <c r="S44" s="231"/>
      <c r="T44" s="231"/>
      <c r="U44" s="231"/>
      <c r="V44" s="231"/>
      <c r="W44" s="231"/>
      <c r="X44" s="231"/>
      <c r="Y44" s="231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1"/>
      <c r="AK44" s="231"/>
      <c r="AL44" s="231"/>
      <c r="AM44" s="231"/>
      <c r="AN44" s="231"/>
      <c r="AO44" s="231"/>
      <c r="AP44" s="231"/>
      <c r="AQ44" s="231"/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  <c r="BF44" s="231"/>
      <c r="BG44" s="231"/>
      <c r="BH44" s="232"/>
      <c r="BI44" s="233"/>
      <c r="BJ44" s="233"/>
      <c r="BK44" s="233"/>
    </row>
    <row r="45" spans="1:63" x14ac:dyDescent="0.25">
      <c r="A45" s="228">
        <v>44</v>
      </c>
      <c r="C45" s="216" t="s">
        <v>1159</v>
      </c>
      <c r="D45" s="216" t="s">
        <v>878</v>
      </c>
      <c r="E45" s="216" t="s">
        <v>88</v>
      </c>
      <c r="F45" s="216" t="s">
        <v>405</v>
      </c>
      <c r="G45" s="221" t="s">
        <v>346</v>
      </c>
      <c r="H45" s="216">
        <v>38</v>
      </c>
      <c r="I45" s="143" t="s">
        <v>1110</v>
      </c>
      <c r="J45" s="230" t="s">
        <v>1111</v>
      </c>
      <c r="K45" s="230"/>
      <c r="L45" s="230" t="s">
        <v>1183</v>
      </c>
      <c r="M45" s="216" t="s">
        <v>1022</v>
      </c>
      <c r="N45" s="216" t="s">
        <v>904</v>
      </c>
      <c r="O45" s="216" t="s">
        <v>905</v>
      </c>
      <c r="P45" s="231"/>
      <c r="Q45" s="231"/>
      <c r="R45" s="231"/>
      <c r="S45" s="231"/>
      <c r="T45" s="231"/>
      <c r="U45" s="231"/>
      <c r="V45" s="231"/>
      <c r="W45" s="231"/>
      <c r="X45" s="231"/>
      <c r="Y45" s="231"/>
      <c r="Z45" s="231"/>
      <c r="AA45" s="231"/>
      <c r="AB45" s="231"/>
      <c r="AC45" s="231"/>
      <c r="AD45" s="231"/>
      <c r="AE45" s="231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2"/>
      <c r="BI45" s="233"/>
      <c r="BJ45" s="233"/>
      <c r="BK45" s="233"/>
    </row>
    <row r="46" spans="1:63" x14ac:dyDescent="0.25">
      <c r="A46" s="194">
        <v>45</v>
      </c>
      <c r="C46" s="216" t="s">
        <v>1159</v>
      </c>
      <c r="D46" s="216" t="s">
        <v>831</v>
      </c>
      <c r="E46" s="216" t="s">
        <v>72</v>
      </c>
      <c r="F46" s="216" t="s">
        <v>405</v>
      </c>
      <c r="G46" s="221" t="s">
        <v>278</v>
      </c>
      <c r="H46" s="216">
        <v>37</v>
      </c>
      <c r="I46" s="143" t="s">
        <v>729</v>
      </c>
      <c r="J46" s="144" t="s">
        <v>944</v>
      </c>
      <c r="K46" s="144"/>
      <c r="L46" s="144"/>
      <c r="M46" s="216" t="s">
        <v>1022</v>
      </c>
      <c r="N46" s="216" t="s">
        <v>1035</v>
      </c>
      <c r="O46" s="216" t="s">
        <v>1036</v>
      </c>
    </row>
    <row r="47" spans="1:63" x14ac:dyDescent="0.25">
      <c r="A47" s="228">
        <v>46</v>
      </c>
      <c r="C47" s="220" t="s">
        <v>1160</v>
      </c>
      <c r="D47" s="216" t="s">
        <v>163</v>
      </c>
      <c r="E47" s="216" t="s">
        <v>102</v>
      </c>
      <c r="F47" s="216" t="s">
        <v>405</v>
      </c>
      <c r="G47" s="221" t="s">
        <v>372</v>
      </c>
      <c r="H47" s="216">
        <v>41</v>
      </c>
      <c r="I47" s="143" t="s">
        <v>718</v>
      </c>
      <c r="J47" s="144" t="s">
        <v>951</v>
      </c>
      <c r="K47" s="144"/>
      <c r="L47" s="144"/>
      <c r="M47" s="216" t="s">
        <v>1022</v>
      </c>
      <c r="N47" s="216" t="s">
        <v>896</v>
      </c>
      <c r="O47" s="216" t="s">
        <v>897</v>
      </c>
    </row>
    <row r="48" spans="1:63" x14ac:dyDescent="0.25">
      <c r="A48" s="194">
        <v>47</v>
      </c>
      <c r="C48" s="216" t="s">
        <v>1159</v>
      </c>
      <c r="D48" s="216" t="s">
        <v>779</v>
      </c>
      <c r="E48" s="216" t="s">
        <v>65</v>
      </c>
      <c r="F48" s="216" t="s">
        <v>405</v>
      </c>
      <c r="G48" s="221">
        <v>8703205751085</v>
      </c>
      <c r="H48" s="216"/>
      <c r="I48" s="143" t="s">
        <v>718</v>
      </c>
      <c r="J48" s="144" t="s">
        <v>951</v>
      </c>
      <c r="K48" s="144"/>
      <c r="L48" s="144"/>
      <c r="M48" s="216" t="s">
        <v>1022</v>
      </c>
      <c r="N48" s="216" t="s">
        <v>909</v>
      </c>
      <c r="O48" s="216" t="s">
        <v>910</v>
      </c>
    </row>
    <row r="49" spans="1:63" x14ac:dyDescent="0.25">
      <c r="A49" s="228">
        <v>48</v>
      </c>
      <c r="C49" s="216" t="s">
        <v>1159</v>
      </c>
      <c r="D49" s="216" t="s">
        <v>845</v>
      </c>
      <c r="E49" s="216" t="s">
        <v>102</v>
      </c>
      <c r="F49" s="216" t="s">
        <v>405</v>
      </c>
      <c r="G49" s="221">
        <v>7703185340082</v>
      </c>
      <c r="H49" s="216"/>
      <c r="I49" s="143" t="s">
        <v>718</v>
      </c>
      <c r="J49" s="144" t="s">
        <v>951</v>
      </c>
      <c r="K49" s="144"/>
      <c r="L49" s="144"/>
      <c r="M49" s="216" t="s">
        <v>1022</v>
      </c>
      <c r="N49" s="216" t="s">
        <v>1040</v>
      </c>
      <c r="O49" s="216" t="s">
        <v>1041</v>
      </c>
    </row>
    <row r="50" spans="1:63" x14ac:dyDescent="0.25">
      <c r="A50" s="194">
        <v>49</v>
      </c>
      <c r="C50" s="220" t="s">
        <v>1160</v>
      </c>
      <c r="D50" s="216" t="s">
        <v>885</v>
      </c>
      <c r="E50" s="216" t="s">
        <v>64</v>
      </c>
      <c r="F50" s="216" t="s">
        <v>405</v>
      </c>
      <c r="G50" s="221" t="s">
        <v>294</v>
      </c>
      <c r="H50" s="216">
        <v>46</v>
      </c>
      <c r="I50" s="143" t="s">
        <v>950</v>
      </c>
      <c r="J50" s="144" t="s">
        <v>766</v>
      </c>
      <c r="K50" s="144"/>
      <c r="L50" s="144"/>
      <c r="M50" s="216" t="s">
        <v>1021</v>
      </c>
      <c r="N50" s="216" t="s">
        <v>1000</v>
      </c>
      <c r="O50" s="216" t="s">
        <v>1001</v>
      </c>
    </row>
    <row r="51" spans="1:63" x14ac:dyDescent="0.25">
      <c r="A51" s="228">
        <v>50</v>
      </c>
      <c r="C51" s="216" t="s">
        <v>1159</v>
      </c>
      <c r="D51" s="216" t="s">
        <v>830</v>
      </c>
      <c r="E51" s="216" t="s">
        <v>791</v>
      </c>
      <c r="F51" s="216" t="s">
        <v>405</v>
      </c>
      <c r="G51" s="221">
        <v>7112305585081</v>
      </c>
      <c r="H51" s="216"/>
      <c r="I51" s="143" t="s">
        <v>926</v>
      </c>
      <c r="J51" s="230" t="s">
        <v>1107</v>
      </c>
      <c r="K51" s="230"/>
      <c r="L51" s="230" t="s">
        <v>1183</v>
      </c>
      <c r="M51" s="216" t="s">
        <v>1022</v>
      </c>
      <c r="N51" s="216" t="s">
        <v>900</v>
      </c>
      <c r="O51" s="216" t="s">
        <v>901</v>
      </c>
      <c r="P51" s="231"/>
      <c r="Q51" s="231"/>
      <c r="R51" s="231"/>
      <c r="S51" s="231"/>
      <c r="T51" s="231"/>
      <c r="U51" s="231"/>
      <c r="V51" s="231"/>
      <c r="W51" s="231"/>
      <c r="X51" s="231"/>
      <c r="Y51" s="231"/>
      <c r="Z51" s="231"/>
      <c r="AA51" s="231"/>
      <c r="AB51" s="231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31"/>
      <c r="AN51" s="231"/>
      <c r="AO51" s="231"/>
      <c r="AP51" s="231"/>
      <c r="AQ51" s="231"/>
      <c r="AR51" s="231"/>
      <c r="AS51" s="231"/>
      <c r="AT51" s="231"/>
      <c r="AU51" s="231"/>
      <c r="AV51" s="231"/>
      <c r="AW51" s="231"/>
      <c r="AX51" s="231"/>
      <c r="AY51" s="231"/>
      <c r="AZ51" s="231"/>
      <c r="BA51" s="231"/>
      <c r="BB51" s="231"/>
      <c r="BC51" s="231"/>
      <c r="BD51" s="231"/>
      <c r="BE51" s="231"/>
      <c r="BF51" s="231"/>
      <c r="BG51" s="231"/>
      <c r="BH51" s="232"/>
      <c r="BI51" s="233"/>
      <c r="BJ51" s="233"/>
      <c r="BK51" s="233"/>
    </row>
    <row r="52" spans="1:63" x14ac:dyDescent="0.25">
      <c r="A52" s="194">
        <v>51</v>
      </c>
      <c r="C52" s="216" t="s">
        <v>1159</v>
      </c>
      <c r="D52" s="216" t="s">
        <v>887</v>
      </c>
      <c r="E52" s="216" t="s">
        <v>63</v>
      </c>
      <c r="F52" s="216" t="s">
        <v>405</v>
      </c>
      <c r="G52" s="221">
        <v>9209205306085</v>
      </c>
      <c r="H52" s="216"/>
      <c r="I52" s="143" t="s">
        <v>1121</v>
      </c>
      <c r="J52" s="230" t="s">
        <v>1122</v>
      </c>
      <c r="K52" s="230"/>
      <c r="L52" s="230" t="s">
        <v>1183</v>
      </c>
      <c r="M52" s="216" t="s">
        <v>1022</v>
      </c>
      <c r="N52" s="216" t="s">
        <v>922</v>
      </c>
      <c r="O52" s="216" t="s">
        <v>923</v>
      </c>
      <c r="P52" s="231"/>
      <c r="Q52" s="231"/>
      <c r="R52" s="231"/>
      <c r="S52" s="231"/>
      <c r="T52" s="231"/>
      <c r="U52" s="231"/>
      <c r="V52" s="23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231"/>
      <c r="AL52" s="231"/>
      <c r="AM52" s="231"/>
      <c r="AN52" s="231"/>
      <c r="AO52" s="231"/>
      <c r="AP52" s="231"/>
      <c r="AQ52" s="231"/>
      <c r="AR52" s="231"/>
      <c r="AS52" s="231"/>
      <c r="AT52" s="231"/>
      <c r="AU52" s="231"/>
      <c r="AV52" s="231"/>
      <c r="AW52" s="231"/>
      <c r="AX52" s="231"/>
      <c r="AY52" s="231"/>
      <c r="AZ52" s="231"/>
      <c r="BA52" s="231"/>
      <c r="BB52" s="231"/>
      <c r="BC52" s="231"/>
      <c r="BD52" s="231"/>
      <c r="BE52" s="231"/>
      <c r="BF52" s="231"/>
      <c r="BG52" s="231"/>
      <c r="BH52" s="232"/>
      <c r="BI52" s="233"/>
      <c r="BJ52" s="233"/>
      <c r="BK52" s="233"/>
    </row>
    <row r="53" spans="1:63" s="203" customFormat="1" x14ac:dyDescent="0.25">
      <c r="A53" s="228">
        <v>52</v>
      </c>
      <c r="C53" s="220" t="s">
        <v>1160</v>
      </c>
      <c r="D53" s="216" t="s">
        <v>865</v>
      </c>
      <c r="E53" s="216" t="s">
        <v>77</v>
      </c>
      <c r="F53" s="216" t="s">
        <v>405</v>
      </c>
      <c r="G53" s="221" t="s">
        <v>333</v>
      </c>
      <c r="H53" s="216">
        <v>45</v>
      </c>
      <c r="I53" s="143" t="s">
        <v>972</v>
      </c>
      <c r="J53" s="144" t="s">
        <v>993</v>
      </c>
      <c r="K53" s="144"/>
      <c r="L53" s="144"/>
      <c r="M53" s="216" t="s">
        <v>1022</v>
      </c>
      <c r="N53" s="216" t="s">
        <v>996</v>
      </c>
      <c r="O53" s="216" t="s">
        <v>997</v>
      </c>
      <c r="P53" s="197"/>
      <c r="Q53" s="197"/>
      <c r="R53" s="197"/>
      <c r="S53" s="197"/>
      <c r="T53" s="197"/>
      <c r="U53" s="197"/>
      <c r="V53" s="197"/>
      <c r="W53" s="197"/>
      <c r="X53" s="197"/>
      <c r="Y53" s="197"/>
      <c r="Z53" s="197"/>
      <c r="AA53" s="197"/>
      <c r="AB53" s="197"/>
      <c r="AC53" s="197"/>
      <c r="AD53" s="197"/>
      <c r="AE53" s="197"/>
      <c r="AF53" s="197"/>
      <c r="AG53" s="197"/>
      <c r="AH53" s="197"/>
      <c r="AI53" s="197"/>
      <c r="AJ53" s="197"/>
      <c r="AK53" s="197"/>
      <c r="AL53" s="197"/>
      <c r="AM53" s="197"/>
      <c r="AN53" s="197"/>
      <c r="AO53" s="197"/>
      <c r="AP53" s="197"/>
      <c r="AQ53" s="197"/>
      <c r="AR53" s="197"/>
      <c r="AS53" s="197"/>
      <c r="AT53" s="197"/>
      <c r="AU53" s="197"/>
      <c r="AV53" s="197"/>
      <c r="AW53" s="197"/>
      <c r="AX53" s="197"/>
      <c r="AY53" s="197"/>
      <c r="AZ53" s="197"/>
      <c r="BA53" s="197"/>
      <c r="BB53" s="197"/>
      <c r="BC53" s="197"/>
      <c r="BD53" s="197"/>
      <c r="BE53" s="197"/>
      <c r="BF53" s="197"/>
      <c r="BG53" s="197"/>
      <c r="BH53" s="198"/>
      <c r="BI53" s="199"/>
      <c r="BJ53" s="199"/>
      <c r="BK53" s="199"/>
    </row>
    <row r="54" spans="1:63" x14ac:dyDescent="0.25">
      <c r="A54" s="194">
        <v>53</v>
      </c>
      <c r="C54" s="220" t="s">
        <v>1160</v>
      </c>
      <c r="D54" s="216" t="s">
        <v>1029</v>
      </c>
      <c r="E54" s="216" t="s">
        <v>1048</v>
      </c>
      <c r="F54" s="216" t="s">
        <v>405</v>
      </c>
      <c r="G54" s="221" t="s">
        <v>343</v>
      </c>
      <c r="H54" s="216">
        <v>33</v>
      </c>
      <c r="I54" s="143" t="s">
        <v>972</v>
      </c>
      <c r="J54" s="144" t="s">
        <v>993</v>
      </c>
      <c r="K54" s="144"/>
      <c r="L54" s="144"/>
      <c r="M54" s="216" t="s">
        <v>1019</v>
      </c>
      <c r="N54" s="216" t="s">
        <v>994</v>
      </c>
      <c r="O54" s="216" t="s">
        <v>995</v>
      </c>
    </row>
    <row r="55" spans="1:63" x14ac:dyDescent="0.25">
      <c r="A55" s="228">
        <v>54</v>
      </c>
      <c r="C55" s="216" t="s">
        <v>1159</v>
      </c>
      <c r="D55" s="216" t="s">
        <v>151</v>
      </c>
      <c r="E55" s="216" t="s">
        <v>78</v>
      </c>
      <c r="F55" s="216" t="s">
        <v>405</v>
      </c>
      <c r="G55" s="221" t="s">
        <v>386</v>
      </c>
      <c r="H55" s="216">
        <v>45</v>
      </c>
      <c r="I55" s="143" t="s">
        <v>972</v>
      </c>
      <c r="J55" s="144" t="s">
        <v>993</v>
      </c>
      <c r="K55" s="144"/>
      <c r="L55" s="144"/>
      <c r="M55" s="216" t="s">
        <v>1022</v>
      </c>
      <c r="N55" s="216" t="s">
        <v>1096</v>
      </c>
      <c r="O55" s="216" t="s">
        <v>1097</v>
      </c>
    </row>
    <row r="56" spans="1:63" x14ac:dyDescent="0.25">
      <c r="A56" s="194">
        <v>55</v>
      </c>
      <c r="C56" s="216" t="s">
        <v>1159</v>
      </c>
      <c r="D56" s="216" t="s">
        <v>844</v>
      </c>
      <c r="E56" s="216" t="s">
        <v>83</v>
      </c>
      <c r="F56" s="216" t="s">
        <v>405</v>
      </c>
      <c r="G56" s="221" t="s">
        <v>339</v>
      </c>
      <c r="H56" s="216">
        <v>43</v>
      </c>
      <c r="I56" s="143" t="s">
        <v>972</v>
      </c>
      <c r="J56" s="144" t="s">
        <v>993</v>
      </c>
      <c r="K56" s="144"/>
      <c r="L56" s="144"/>
      <c r="M56" s="216" t="s">
        <v>1022</v>
      </c>
      <c r="N56" s="216" t="s">
        <v>894</v>
      </c>
      <c r="O56" s="216" t="s">
        <v>893</v>
      </c>
    </row>
    <row r="57" spans="1:63" x14ac:dyDescent="0.25">
      <c r="A57" s="228">
        <v>56</v>
      </c>
      <c r="C57" s="220" t="s">
        <v>1160</v>
      </c>
      <c r="D57" s="216" t="s">
        <v>834</v>
      </c>
      <c r="E57" s="216" t="s">
        <v>85</v>
      </c>
      <c r="F57" s="216" t="s">
        <v>405</v>
      </c>
      <c r="G57" s="221" t="s">
        <v>341</v>
      </c>
      <c r="H57" s="216">
        <v>34</v>
      </c>
      <c r="I57" s="143" t="s">
        <v>966</v>
      </c>
      <c r="J57" s="144" t="s">
        <v>965</v>
      </c>
      <c r="K57" s="144"/>
      <c r="L57" s="144"/>
      <c r="M57" s="216" t="s">
        <v>1022</v>
      </c>
      <c r="N57" s="216" t="s">
        <v>994</v>
      </c>
      <c r="O57" s="216" t="s">
        <v>995</v>
      </c>
    </row>
    <row r="58" spans="1:63" x14ac:dyDescent="0.25">
      <c r="A58" s="194">
        <v>57</v>
      </c>
      <c r="C58" s="216" t="s">
        <v>1159</v>
      </c>
      <c r="D58" s="216" t="s">
        <v>805</v>
      </c>
      <c r="E58" s="216" t="s">
        <v>76</v>
      </c>
      <c r="F58" s="216" t="s">
        <v>405</v>
      </c>
      <c r="G58" s="221" t="s">
        <v>332</v>
      </c>
      <c r="H58" s="216">
        <v>37</v>
      </c>
      <c r="I58" s="143" t="s">
        <v>966</v>
      </c>
      <c r="J58" s="144" t="s">
        <v>965</v>
      </c>
      <c r="K58" s="144"/>
      <c r="L58" s="144"/>
      <c r="M58" s="216" t="s">
        <v>1022</v>
      </c>
      <c r="N58" s="216" t="s">
        <v>929</v>
      </c>
      <c r="O58" s="216" t="s">
        <v>1012</v>
      </c>
    </row>
    <row r="59" spans="1:63" x14ac:dyDescent="0.25">
      <c r="A59" s="228">
        <v>58</v>
      </c>
      <c r="C59" s="216" t="s">
        <v>1159</v>
      </c>
      <c r="D59" s="216" t="s">
        <v>889</v>
      </c>
      <c r="E59" s="216" t="s">
        <v>121</v>
      </c>
      <c r="F59" s="216" t="s">
        <v>405</v>
      </c>
      <c r="G59" s="227">
        <v>8909285498089</v>
      </c>
      <c r="H59" s="216"/>
      <c r="I59" s="143" t="s">
        <v>1007</v>
      </c>
      <c r="J59" s="144" t="s">
        <v>1008</v>
      </c>
      <c r="K59" s="144"/>
      <c r="L59" s="144"/>
      <c r="M59" s="216" t="s">
        <v>1022</v>
      </c>
      <c r="N59" s="216" t="s">
        <v>1053</v>
      </c>
      <c r="O59" s="216" t="s">
        <v>1054</v>
      </c>
    </row>
    <row r="60" spans="1:63" x14ac:dyDescent="0.25">
      <c r="A60" s="194">
        <v>59</v>
      </c>
      <c r="C60" s="216" t="s">
        <v>1159</v>
      </c>
      <c r="D60" s="216" t="s">
        <v>833</v>
      </c>
      <c r="E60" s="216" t="s">
        <v>134</v>
      </c>
      <c r="F60" s="216" t="s">
        <v>405</v>
      </c>
      <c r="G60" s="221">
        <v>86022544452083</v>
      </c>
      <c r="H60" s="216"/>
      <c r="I60" s="143" t="s">
        <v>1007</v>
      </c>
      <c r="J60" s="144" t="s">
        <v>1008</v>
      </c>
      <c r="K60" s="144"/>
      <c r="L60" s="144"/>
      <c r="M60" s="216" t="s">
        <v>1022</v>
      </c>
      <c r="N60" s="216" t="s">
        <v>983</v>
      </c>
      <c r="O60" s="216" t="s">
        <v>930</v>
      </c>
    </row>
    <row r="61" spans="1:63" x14ac:dyDescent="0.25">
      <c r="A61" s="228">
        <v>60</v>
      </c>
      <c r="C61" s="216" t="s">
        <v>1159</v>
      </c>
      <c r="D61" s="216" t="s">
        <v>837</v>
      </c>
      <c r="E61" s="216" t="s">
        <v>234</v>
      </c>
      <c r="F61" s="216" t="s">
        <v>405</v>
      </c>
      <c r="G61" s="221" t="s">
        <v>401</v>
      </c>
      <c r="H61" s="216">
        <v>39</v>
      </c>
      <c r="I61" s="143" t="s">
        <v>713</v>
      </c>
      <c r="J61" s="230" t="s">
        <v>1074</v>
      </c>
      <c r="K61" s="230"/>
      <c r="L61" s="230" t="s">
        <v>1183</v>
      </c>
      <c r="M61" s="216" t="s">
        <v>1022</v>
      </c>
      <c r="N61" s="216" t="s">
        <v>1082</v>
      </c>
      <c r="O61" s="216" t="s">
        <v>1083</v>
      </c>
      <c r="P61" s="231"/>
      <c r="Q61" s="231"/>
      <c r="R61" s="231"/>
      <c r="S61" s="231"/>
      <c r="T61" s="231"/>
      <c r="U61" s="231"/>
      <c r="V61" s="231"/>
      <c r="W61" s="231"/>
      <c r="X61" s="231"/>
      <c r="Y61" s="231"/>
      <c r="Z61" s="231"/>
      <c r="AA61" s="231"/>
      <c r="AB61" s="231"/>
      <c r="AC61" s="231"/>
      <c r="AD61" s="231"/>
      <c r="AE61" s="231"/>
      <c r="AF61" s="231"/>
      <c r="AG61" s="231"/>
      <c r="AH61" s="231"/>
      <c r="AI61" s="231"/>
      <c r="AJ61" s="231"/>
      <c r="AK61" s="231"/>
      <c r="AL61" s="231"/>
      <c r="AM61" s="231"/>
      <c r="AN61" s="231"/>
      <c r="AO61" s="231"/>
      <c r="AP61" s="231"/>
      <c r="AQ61" s="231"/>
      <c r="AR61" s="231"/>
      <c r="AS61" s="231"/>
      <c r="AT61" s="231"/>
      <c r="AU61" s="231"/>
      <c r="AV61" s="231"/>
      <c r="AW61" s="231"/>
      <c r="AX61" s="231"/>
      <c r="AY61" s="231"/>
      <c r="AZ61" s="231"/>
      <c r="BA61" s="231"/>
      <c r="BB61" s="231"/>
      <c r="BC61" s="231"/>
      <c r="BD61" s="231"/>
      <c r="BE61" s="231"/>
      <c r="BF61" s="231"/>
      <c r="BG61" s="231"/>
      <c r="BH61" s="232"/>
      <c r="BI61" s="233"/>
      <c r="BJ61" s="233"/>
      <c r="BK61" s="233"/>
    </row>
    <row r="62" spans="1:63" x14ac:dyDescent="0.25">
      <c r="A62" s="194">
        <v>61</v>
      </c>
      <c r="C62" s="216" t="s">
        <v>1159</v>
      </c>
      <c r="D62" s="216" t="s">
        <v>873</v>
      </c>
      <c r="E62" s="216" t="s">
        <v>788</v>
      </c>
      <c r="F62" s="216" t="s">
        <v>405</v>
      </c>
      <c r="G62" s="221">
        <v>8208285949088</v>
      </c>
      <c r="H62" s="216"/>
      <c r="I62" s="143" t="s">
        <v>681</v>
      </c>
      <c r="J62" s="144" t="s">
        <v>1164</v>
      </c>
      <c r="K62" s="144"/>
      <c r="L62" s="144"/>
      <c r="M62" s="216" t="s">
        <v>1022</v>
      </c>
      <c r="N62" s="216" t="s">
        <v>898</v>
      </c>
      <c r="O62" s="216" t="s">
        <v>899</v>
      </c>
    </row>
    <row r="63" spans="1:63" x14ac:dyDescent="0.25">
      <c r="A63" s="228">
        <v>62</v>
      </c>
      <c r="C63" s="220" t="s">
        <v>1160</v>
      </c>
      <c r="D63" s="216" t="s">
        <v>886</v>
      </c>
      <c r="E63" s="216" t="s">
        <v>69</v>
      </c>
      <c r="F63" s="216" t="s">
        <v>405</v>
      </c>
      <c r="G63" s="221" t="s">
        <v>301</v>
      </c>
      <c r="H63" s="216">
        <v>45</v>
      </c>
      <c r="I63" s="143" t="s">
        <v>959</v>
      </c>
      <c r="J63" s="144" t="s">
        <v>958</v>
      </c>
      <c r="K63" s="144"/>
      <c r="L63" s="144"/>
      <c r="M63" s="216" t="s">
        <v>1022</v>
      </c>
      <c r="N63" s="216" t="s">
        <v>918</v>
      </c>
      <c r="O63" s="216" t="s">
        <v>919</v>
      </c>
    </row>
    <row r="64" spans="1:63" x14ac:dyDescent="0.25">
      <c r="A64" s="194">
        <v>63</v>
      </c>
      <c r="C64" s="220" t="s">
        <v>1160</v>
      </c>
      <c r="D64" s="216" t="s">
        <v>870</v>
      </c>
      <c r="E64" s="216" t="s">
        <v>90</v>
      </c>
      <c r="F64" s="216" t="s">
        <v>405</v>
      </c>
      <c r="G64" s="221" t="s">
        <v>351</v>
      </c>
      <c r="H64" s="216">
        <v>46</v>
      </c>
      <c r="I64" s="143" t="s">
        <v>959</v>
      </c>
      <c r="J64" s="144" t="s">
        <v>958</v>
      </c>
      <c r="K64" s="144"/>
      <c r="L64" s="144"/>
      <c r="M64" s="216" t="s">
        <v>1022</v>
      </c>
      <c r="N64" s="218" t="s">
        <v>1126</v>
      </c>
      <c r="O64" s="216" t="s">
        <v>1127</v>
      </c>
    </row>
    <row r="65" spans="1:63" x14ac:dyDescent="0.25">
      <c r="A65" s="228">
        <v>64</v>
      </c>
      <c r="C65" s="220" t="s">
        <v>1160</v>
      </c>
      <c r="D65" s="216" t="s">
        <v>776</v>
      </c>
      <c r="E65" s="216" t="s">
        <v>437</v>
      </c>
      <c r="F65" s="216" t="s">
        <v>405</v>
      </c>
      <c r="G65" s="221">
        <v>6511195441084</v>
      </c>
      <c r="H65" s="216">
        <v>55</v>
      </c>
      <c r="I65" s="143" t="s">
        <v>1013</v>
      </c>
      <c r="J65" s="144" t="s">
        <v>1014</v>
      </c>
      <c r="K65" s="144"/>
      <c r="L65" s="144"/>
      <c r="M65" s="216" t="s">
        <v>1022</v>
      </c>
      <c r="N65" s="216" t="s">
        <v>712</v>
      </c>
      <c r="O65" s="216" t="s">
        <v>929</v>
      </c>
    </row>
    <row r="66" spans="1:63" x14ac:dyDescent="0.25">
      <c r="A66" s="194">
        <v>65</v>
      </c>
      <c r="C66" s="220" t="s">
        <v>1160</v>
      </c>
      <c r="D66" s="216" t="s">
        <v>879</v>
      </c>
      <c r="E66" s="216" t="s">
        <v>84</v>
      </c>
      <c r="F66" s="216" t="s">
        <v>405</v>
      </c>
      <c r="G66" s="221" t="s">
        <v>340</v>
      </c>
      <c r="H66" s="216">
        <v>36</v>
      </c>
      <c r="I66" s="143" t="s">
        <v>1027</v>
      </c>
      <c r="J66" s="230" t="s">
        <v>1028</v>
      </c>
      <c r="K66" s="230"/>
      <c r="L66" s="230" t="s">
        <v>1183</v>
      </c>
      <c r="M66" s="216" t="s">
        <v>1022</v>
      </c>
      <c r="N66" s="216" t="s">
        <v>933</v>
      </c>
      <c r="O66" s="216" t="s">
        <v>622</v>
      </c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1"/>
      <c r="AB66" s="231"/>
      <c r="AC66" s="231"/>
      <c r="AD66" s="231"/>
      <c r="AE66" s="231"/>
      <c r="AF66" s="231"/>
      <c r="AG66" s="231"/>
      <c r="AH66" s="231"/>
      <c r="AI66" s="231"/>
      <c r="AJ66" s="231"/>
      <c r="AK66" s="231"/>
      <c r="AL66" s="231"/>
      <c r="AM66" s="231"/>
      <c r="AN66" s="231"/>
      <c r="AO66" s="231"/>
      <c r="AP66" s="231"/>
      <c r="AQ66" s="231"/>
      <c r="AR66" s="231"/>
      <c r="AS66" s="231"/>
      <c r="AT66" s="231"/>
      <c r="AU66" s="231"/>
      <c r="AV66" s="231"/>
      <c r="AW66" s="231"/>
      <c r="AX66" s="231"/>
      <c r="AY66" s="231"/>
      <c r="AZ66" s="231"/>
      <c r="BA66" s="231"/>
      <c r="BB66" s="231"/>
      <c r="BC66" s="231"/>
      <c r="BD66" s="231"/>
      <c r="BE66" s="231"/>
      <c r="BF66" s="231"/>
      <c r="BG66" s="231"/>
      <c r="BH66" s="232"/>
      <c r="BI66" s="233"/>
      <c r="BJ66" s="233"/>
      <c r="BK66" s="233"/>
    </row>
    <row r="67" spans="1:63" x14ac:dyDescent="0.25">
      <c r="A67" s="228">
        <v>66</v>
      </c>
      <c r="C67" s="216" t="s">
        <v>1159</v>
      </c>
      <c r="D67" s="216" t="s">
        <v>774</v>
      </c>
      <c r="E67" s="216" t="s">
        <v>116</v>
      </c>
      <c r="F67" s="216" t="s">
        <v>405</v>
      </c>
      <c r="G67" s="221" t="s">
        <v>307</v>
      </c>
      <c r="H67" s="216">
        <v>37</v>
      </c>
      <c r="I67" s="143" t="s">
        <v>977</v>
      </c>
      <c r="J67" s="144" t="s">
        <v>935</v>
      </c>
      <c r="K67" s="144"/>
      <c r="L67" s="144"/>
      <c r="M67" s="216" t="s">
        <v>1022</v>
      </c>
      <c r="N67" s="216" t="s">
        <v>1039</v>
      </c>
      <c r="O67" s="216" t="s">
        <v>631</v>
      </c>
    </row>
    <row r="68" spans="1:63" x14ac:dyDescent="0.25">
      <c r="A68" s="194">
        <v>67</v>
      </c>
      <c r="C68" s="216" t="s">
        <v>1159</v>
      </c>
      <c r="D68" s="216" t="s">
        <v>36</v>
      </c>
      <c r="E68" s="216" t="s">
        <v>792</v>
      </c>
      <c r="F68" s="216" t="s">
        <v>405</v>
      </c>
      <c r="G68" s="221">
        <v>8603105344082</v>
      </c>
      <c r="H68" s="216"/>
      <c r="I68" s="143" t="s">
        <v>977</v>
      </c>
      <c r="J68" s="144" t="s">
        <v>935</v>
      </c>
      <c r="K68" s="144"/>
      <c r="L68" s="144"/>
      <c r="M68" s="216" t="s">
        <v>1022</v>
      </c>
      <c r="N68" s="216" t="s">
        <v>1044</v>
      </c>
      <c r="O68" s="216" t="s">
        <v>1045</v>
      </c>
    </row>
    <row r="69" spans="1:63" x14ac:dyDescent="0.25">
      <c r="A69" s="228">
        <v>68</v>
      </c>
      <c r="C69" s="220" t="s">
        <v>1160</v>
      </c>
      <c r="D69" s="216" t="s">
        <v>798</v>
      </c>
      <c r="E69" s="216" t="s">
        <v>69</v>
      </c>
      <c r="F69" s="216" t="s">
        <v>405</v>
      </c>
      <c r="G69" s="221" t="s">
        <v>300</v>
      </c>
      <c r="H69" s="216">
        <v>45</v>
      </c>
      <c r="I69" s="143" t="s">
        <v>957</v>
      </c>
      <c r="J69" s="144" t="s">
        <v>956</v>
      </c>
      <c r="K69" s="144"/>
      <c r="L69" s="144"/>
      <c r="M69" s="216" t="s">
        <v>1022</v>
      </c>
      <c r="N69" s="216" t="s">
        <v>1141</v>
      </c>
      <c r="O69" s="216" t="s">
        <v>989</v>
      </c>
    </row>
    <row r="70" spans="1:63" x14ac:dyDescent="0.25">
      <c r="A70" s="194">
        <v>69</v>
      </c>
      <c r="C70" s="220" t="s">
        <v>1160</v>
      </c>
      <c r="D70" s="216" t="s">
        <v>872</v>
      </c>
      <c r="E70" s="216" t="s">
        <v>96</v>
      </c>
      <c r="F70" s="216" t="s">
        <v>405</v>
      </c>
      <c r="G70" s="221" t="s">
        <v>368</v>
      </c>
      <c r="H70" s="216">
        <v>44</v>
      </c>
      <c r="I70" s="143" t="s">
        <v>1116</v>
      </c>
      <c r="J70" s="230" t="s">
        <v>1117</v>
      </c>
      <c r="K70" s="230"/>
      <c r="L70" s="230" t="s">
        <v>1183</v>
      </c>
      <c r="M70" s="216" t="s">
        <v>1022</v>
      </c>
      <c r="N70" s="216" t="s">
        <v>920</v>
      </c>
      <c r="O70" s="216" t="s">
        <v>921</v>
      </c>
      <c r="P70" s="231"/>
      <c r="Q70" s="231"/>
      <c r="R70" s="231"/>
      <c r="S70" s="231"/>
      <c r="T70" s="231"/>
      <c r="U70" s="231"/>
      <c r="V70" s="231"/>
      <c r="W70" s="231"/>
      <c r="X70" s="231"/>
      <c r="Y70" s="231"/>
      <c r="Z70" s="231"/>
      <c r="AA70" s="231"/>
      <c r="AB70" s="231"/>
      <c r="AC70" s="231"/>
      <c r="AD70" s="231"/>
      <c r="AE70" s="231"/>
      <c r="AF70" s="231"/>
      <c r="AG70" s="231"/>
      <c r="AH70" s="231"/>
      <c r="AI70" s="231"/>
      <c r="AJ70" s="231"/>
      <c r="AK70" s="231"/>
      <c r="AL70" s="231"/>
      <c r="AM70" s="231"/>
      <c r="AN70" s="231"/>
      <c r="AO70" s="231"/>
      <c r="AP70" s="231"/>
      <c r="AQ70" s="231"/>
      <c r="AR70" s="231"/>
      <c r="AS70" s="231"/>
      <c r="AT70" s="231"/>
      <c r="AU70" s="231"/>
      <c r="AV70" s="231"/>
      <c r="AW70" s="231"/>
      <c r="AX70" s="231"/>
      <c r="AY70" s="231"/>
      <c r="AZ70" s="231"/>
      <c r="BA70" s="231"/>
      <c r="BB70" s="231"/>
      <c r="BC70" s="231"/>
      <c r="BD70" s="231"/>
      <c r="BE70" s="231"/>
      <c r="BF70" s="231"/>
      <c r="BG70" s="231"/>
      <c r="BH70" s="232"/>
      <c r="BI70" s="233"/>
      <c r="BJ70" s="233"/>
      <c r="BK70" s="233"/>
    </row>
    <row r="71" spans="1:63" x14ac:dyDescent="0.25">
      <c r="A71" s="228">
        <v>70</v>
      </c>
      <c r="C71" s="220" t="s">
        <v>1160</v>
      </c>
      <c r="D71" s="216" t="s">
        <v>803</v>
      </c>
      <c r="E71" s="216" t="s">
        <v>73</v>
      </c>
      <c r="F71" s="216" t="s">
        <v>405</v>
      </c>
      <c r="G71" s="221" t="s">
        <v>328</v>
      </c>
      <c r="H71" s="216">
        <v>37</v>
      </c>
      <c r="I71" s="143" t="s">
        <v>964</v>
      </c>
      <c r="J71" s="144" t="s">
        <v>963</v>
      </c>
      <c r="K71" s="144"/>
      <c r="L71" s="144"/>
      <c r="M71" s="216" t="s">
        <v>1022</v>
      </c>
      <c r="N71" s="216" t="s">
        <v>927</v>
      </c>
      <c r="O71" s="216" t="s">
        <v>928</v>
      </c>
    </row>
    <row r="72" spans="1:63" x14ac:dyDescent="0.25">
      <c r="A72" s="194">
        <v>71</v>
      </c>
      <c r="C72" s="220" t="s">
        <v>1160</v>
      </c>
      <c r="D72" s="216" t="s">
        <v>810</v>
      </c>
      <c r="E72" s="216" t="s">
        <v>120</v>
      </c>
      <c r="F72" s="216" t="s">
        <v>405</v>
      </c>
      <c r="G72" s="221" t="s">
        <v>277</v>
      </c>
      <c r="H72" s="216">
        <v>27</v>
      </c>
      <c r="I72" s="143" t="s">
        <v>964</v>
      </c>
      <c r="J72" s="144" t="s">
        <v>963</v>
      </c>
      <c r="K72" s="144"/>
      <c r="L72" s="144"/>
      <c r="M72" s="216" t="s">
        <v>1019</v>
      </c>
      <c r="N72" s="216" t="s">
        <v>1026</v>
      </c>
      <c r="O72" s="216" t="s">
        <v>892</v>
      </c>
    </row>
    <row r="73" spans="1:63" x14ac:dyDescent="0.25">
      <c r="A73" s="228">
        <v>72</v>
      </c>
      <c r="C73" s="216" t="s">
        <v>1159</v>
      </c>
      <c r="D73" s="216" t="s">
        <v>258</v>
      </c>
      <c r="E73" s="216" t="s">
        <v>853</v>
      </c>
      <c r="F73" s="216" t="s">
        <v>405</v>
      </c>
      <c r="G73" s="222">
        <v>8903256148088</v>
      </c>
      <c r="H73" s="216"/>
      <c r="I73" s="143" t="s">
        <v>964</v>
      </c>
      <c r="J73" s="144" t="s">
        <v>963</v>
      </c>
      <c r="K73" s="144"/>
      <c r="L73" s="144"/>
      <c r="M73" s="216" t="s">
        <v>1022</v>
      </c>
      <c r="N73" s="216" t="s">
        <v>933</v>
      </c>
      <c r="O73" s="216" t="s">
        <v>622</v>
      </c>
    </row>
    <row r="74" spans="1:63" x14ac:dyDescent="0.25">
      <c r="A74" s="194">
        <v>73</v>
      </c>
      <c r="C74" s="220" t="s">
        <v>1160</v>
      </c>
      <c r="D74" s="216" t="s">
        <v>812</v>
      </c>
      <c r="E74" s="216" t="s">
        <v>91</v>
      </c>
      <c r="F74" s="216" t="s">
        <v>405</v>
      </c>
      <c r="G74" s="221" t="s">
        <v>352</v>
      </c>
      <c r="H74" s="216">
        <v>55</v>
      </c>
      <c r="I74" s="143" t="s">
        <v>967</v>
      </c>
      <c r="J74" s="144" t="s">
        <v>911</v>
      </c>
      <c r="K74" s="144"/>
      <c r="L74" s="144"/>
      <c r="M74" s="216" t="s">
        <v>1022</v>
      </c>
      <c r="N74" s="216" t="s">
        <v>1081</v>
      </c>
      <c r="O74" s="216" t="s">
        <v>1020</v>
      </c>
    </row>
    <row r="75" spans="1:63" x14ac:dyDescent="0.25">
      <c r="A75" s="228">
        <v>74</v>
      </c>
      <c r="C75" s="220" t="s">
        <v>1160</v>
      </c>
      <c r="D75" s="216" t="s">
        <v>828</v>
      </c>
      <c r="E75" s="216" t="s">
        <v>115</v>
      </c>
      <c r="F75" s="216" t="s">
        <v>405</v>
      </c>
      <c r="G75" s="221" t="s">
        <v>385</v>
      </c>
      <c r="H75" s="216">
        <v>54</v>
      </c>
      <c r="I75" s="143" t="s">
        <v>967</v>
      </c>
      <c r="J75" s="144" t="s">
        <v>911</v>
      </c>
      <c r="K75" s="144"/>
      <c r="L75" s="144"/>
      <c r="M75" s="216" t="s">
        <v>1023</v>
      </c>
      <c r="N75" s="216" t="s">
        <v>962</v>
      </c>
      <c r="O75" s="216" t="s">
        <v>1011</v>
      </c>
    </row>
    <row r="76" spans="1:63" x14ac:dyDescent="0.25">
      <c r="A76" s="194">
        <v>75</v>
      </c>
      <c r="C76" s="220" t="s">
        <v>1160</v>
      </c>
      <c r="D76" s="216" t="s">
        <v>825</v>
      </c>
      <c r="E76" s="216" t="s">
        <v>126</v>
      </c>
      <c r="F76" s="216" t="s">
        <v>405</v>
      </c>
      <c r="G76" s="221" t="s">
        <v>381</v>
      </c>
      <c r="H76" s="216">
        <v>36</v>
      </c>
      <c r="I76" s="143" t="s">
        <v>1118</v>
      </c>
      <c r="J76" s="230" t="s">
        <v>1119</v>
      </c>
      <c r="K76" s="230"/>
      <c r="L76" s="230" t="s">
        <v>1183</v>
      </c>
      <c r="M76" s="216" t="s">
        <v>1022</v>
      </c>
      <c r="N76" s="216" t="s">
        <v>1133</v>
      </c>
      <c r="O76" s="216" t="s">
        <v>1134</v>
      </c>
      <c r="P76" s="231"/>
      <c r="Q76" s="231"/>
      <c r="R76" s="231"/>
      <c r="S76" s="231"/>
      <c r="T76" s="231"/>
      <c r="U76" s="231"/>
      <c r="V76" s="231"/>
      <c r="W76" s="231"/>
      <c r="X76" s="231"/>
      <c r="Y76" s="231"/>
      <c r="Z76" s="231"/>
      <c r="AA76" s="231"/>
      <c r="AB76" s="231"/>
      <c r="AC76" s="231"/>
      <c r="AD76" s="231"/>
      <c r="AE76" s="231"/>
      <c r="AF76" s="231"/>
      <c r="AG76" s="231"/>
      <c r="AH76" s="231"/>
      <c r="AI76" s="231"/>
      <c r="AJ76" s="231"/>
      <c r="AK76" s="231"/>
      <c r="AL76" s="231"/>
      <c r="AM76" s="231"/>
      <c r="AN76" s="231"/>
      <c r="AO76" s="231"/>
      <c r="AP76" s="231"/>
      <c r="AQ76" s="231"/>
      <c r="AR76" s="231"/>
      <c r="AS76" s="231"/>
      <c r="AT76" s="231"/>
      <c r="AU76" s="231"/>
      <c r="AV76" s="231"/>
      <c r="AW76" s="231"/>
      <c r="AX76" s="231"/>
      <c r="AY76" s="231"/>
      <c r="AZ76" s="231"/>
      <c r="BA76" s="231"/>
      <c r="BB76" s="231"/>
      <c r="BC76" s="231"/>
      <c r="BD76" s="231"/>
      <c r="BE76" s="231"/>
      <c r="BF76" s="231"/>
      <c r="BG76" s="231"/>
      <c r="BH76" s="232"/>
      <c r="BI76" s="233"/>
      <c r="BJ76" s="233"/>
      <c r="BK76" s="233"/>
    </row>
    <row r="77" spans="1:63" x14ac:dyDescent="0.25">
      <c r="A77" s="228">
        <v>76</v>
      </c>
      <c r="C77" s="220" t="s">
        <v>1160</v>
      </c>
      <c r="D77" s="216" t="s">
        <v>815</v>
      </c>
      <c r="E77" s="216" t="s">
        <v>93</v>
      </c>
      <c r="F77" s="216" t="s">
        <v>405</v>
      </c>
      <c r="G77" s="221" t="s">
        <v>363</v>
      </c>
      <c r="H77" s="216">
        <v>39</v>
      </c>
      <c r="I77" s="143" t="s">
        <v>969</v>
      </c>
      <c r="J77" s="144" t="s">
        <v>968</v>
      </c>
      <c r="K77" s="144"/>
      <c r="L77" s="144"/>
      <c r="M77" s="216" t="s">
        <v>1022</v>
      </c>
      <c r="N77" s="216" t="s">
        <v>1128</v>
      </c>
      <c r="O77" s="216" t="s">
        <v>1129</v>
      </c>
    </row>
    <row r="78" spans="1:63" x14ac:dyDescent="0.25">
      <c r="A78" s="194">
        <v>77</v>
      </c>
      <c r="C78" s="220" t="s">
        <v>1160</v>
      </c>
      <c r="D78" s="216" t="s">
        <v>868</v>
      </c>
      <c r="E78" s="216" t="s">
        <v>93</v>
      </c>
      <c r="F78" s="216" t="s">
        <v>405</v>
      </c>
      <c r="G78" s="217">
        <v>7707175809089</v>
      </c>
      <c r="H78" s="216"/>
      <c r="I78" s="143" t="s">
        <v>970</v>
      </c>
      <c r="J78" s="144" t="s">
        <v>674</v>
      </c>
      <c r="K78" s="144"/>
      <c r="L78" s="144"/>
      <c r="M78" s="216" t="s">
        <v>1022</v>
      </c>
      <c r="N78" s="216" t="s">
        <v>931</v>
      </c>
      <c r="O78" s="216" t="s">
        <v>893</v>
      </c>
    </row>
    <row r="79" spans="1:63" x14ac:dyDescent="0.25">
      <c r="A79" s="228">
        <v>78</v>
      </c>
      <c r="C79" s="220" t="s">
        <v>1160</v>
      </c>
      <c r="D79" s="216" t="s">
        <v>850</v>
      </c>
      <c r="E79" s="216" t="s">
        <v>851</v>
      </c>
      <c r="F79" s="216" t="s">
        <v>405</v>
      </c>
      <c r="G79" s="221">
        <v>8909285685081</v>
      </c>
      <c r="H79" s="216"/>
      <c r="I79" s="143" t="s">
        <v>660</v>
      </c>
      <c r="J79" s="144" t="s">
        <v>961</v>
      </c>
      <c r="K79" s="144"/>
      <c r="L79" s="144"/>
      <c r="M79" s="216" t="s">
        <v>1022</v>
      </c>
      <c r="N79" s="216" t="s">
        <v>1084</v>
      </c>
      <c r="O79" s="216" t="s">
        <v>1139</v>
      </c>
    </row>
    <row r="80" spans="1:63" x14ac:dyDescent="0.25">
      <c r="A80" s="194">
        <v>79</v>
      </c>
      <c r="C80" s="220" t="s">
        <v>1160</v>
      </c>
      <c r="D80" s="216" t="s">
        <v>835</v>
      </c>
      <c r="E80" s="216" t="s">
        <v>198</v>
      </c>
      <c r="F80" s="216" t="s">
        <v>405</v>
      </c>
      <c r="G80" s="221" t="s">
        <v>316</v>
      </c>
      <c r="H80" s="216">
        <v>54</v>
      </c>
      <c r="I80" s="143" t="s">
        <v>971</v>
      </c>
      <c r="J80" s="144" t="s">
        <v>627</v>
      </c>
      <c r="K80" s="144"/>
      <c r="L80" s="144"/>
      <c r="M80" s="216" t="s">
        <v>1022</v>
      </c>
      <c r="N80" s="216" t="s">
        <v>1084</v>
      </c>
      <c r="O80" s="216" t="s">
        <v>1085</v>
      </c>
    </row>
    <row r="81" spans="1:63" x14ac:dyDescent="0.25">
      <c r="A81" s="228">
        <v>80</v>
      </c>
      <c r="C81" s="220" t="s">
        <v>1160</v>
      </c>
      <c r="D81" s="223" t="s">
        <v>1153</v>
      </c>
      <c r="E81" s="223" t="s">
        <v>839</v>
      </c>
      <c r="F81" s="224"/>
      <c r="G81" s="225"/>
      <c r="H81" s="216"/>
      <c r="I81" s="251"/>
      <c r="J81" s="219"/>
      <c r="K81" s="219"/>
      <c r="L81" s="219"/>
      <c r="M81" s="226"/>
      <c r="N81" s="216"/>
      <c r="O81" s="216"/>
      <c r="BH81" s="202"/>
      <c r="BI81" s="201"/>
      <c r="BJ81" s="201"/>
      <c r="BK81" s="201"/>
    </row>
    <row r="82" spans="1:63" x14ac:dyDescent="0.25">
      <c r="A82" s="194">
        <v>81</v>
      </c>
      <c r="C82" s="220" t="s">
        <v>1160</v>
      </c>
      <c r="D82" s="216" t="s">
        <v>1030</v>
      </c>
      <c r="E82" s="216" t="s">
        <v>62</v>
      </c>
      <c r="F82" s="216" t="s">
        <v>405</v>
      </c>
      <c r="G82" s="221">
        <v>7801085168080</v>
      </c>
      <c r="H82" s="216">
        <v>42</v>
      </c>
      <c r="I82" s="143"/>
      <c r="J82" s="144"/>
      <c r="K82" s="144"/>
      <c r="L82" s="144"/>
      <c r="M82" s="216"/>
      <c r="N82" s="216"/>
      <c r="O82" s="216"/>
    </row>
    <row r="83" spans="1:63" x14ac:dyDescent="0.25">
      <c r="A83" s="228">
        <v>82</v>
      </c>
      <c r="C83" s="220" t="s">
        <v>1160</v>
      </c>
      <c r="D83" s="216" t="s">
        <v>1156</v>
      </c>
      <c r="E83" s="216" t="s">
        <v>83</v>
      </c>
      <c r="F83" s="216" t="s">
        <v>405</v>
      </c>
      <c r="G83" s="221">
        <v>8205225426086</v>
      </c>
      <c r="H83" s="216">
        <v>39</v>
      </c>
      <c r="I83" s="143"/>
      <c r="J83" s="144"/>
      <c r="K83" s="144"/>
      <c r="L83" s="144"/>
      <c r="M83" s="216"/>
      <c r="N83" s="216"/>
      <c r="O83" s="216"/>
    </row>
    <row r="84" spans="1:63" x14ac:dyDescent="0.25">
      <c r="A84" s="194">
        <v>83</v>
      </c>
      <c r="C84" s="216" t="s">
        <v>1159</v>
      </c>
      <c r="D84" s="216" t="s">
        <v>832</v>
      </c>
      <c r="E84" s="216" t="s">
        <v>117</v>
      </c>
      <c r="F84" s="216" t="s">
        <v>405</v>
      </c>
      <c r="G84" s="221" t="s">
        <v>309</v>
      </c>
      <c r="H84" s="216">
        <v>50</v>
      </c>
      <c r="I84" s="143"/>
      <c r="J84" s="144"/>
      <c r="K84" s="144"/>
      <c r="L84" s="144"/>
      <c r="M84" s="216"/>
      <c r="N84" s="216"/>
      <c r="O84" s="216"/>
    </row>
    <row r="85" spans="1:63" x14ac:dyDescent="0.25">
      <c r="A85" s="236"/>
      <c r="B85" s="236"/>
      <c r="C85" s="205"/>
      <c r="D85" s="197"/>
      <c r="E85" s="197"/>
      <c r="F85" s="197"/>
      <c r="G85" s="208"/>
      <c r="H85" s="197"/>
      <c r="I85" s="196"/>
      <c r="J85" s="204"/>
      <c r="K85" s="204"/>
      <c r="L85" s="204"/>
      <c r="M85" s="197"/>
      <c r="N85" s="197"/>
      <c r="O85" s="197"/>
    </row>
    <row r="86" spans="1:63" x14ac:dyDescent="0.25">
      <c r="A86" s="236"/>
      <c r="B86" s="236"/>
      <c r="C86" s="205"/>
      <c r="D86" s="197"/>
      <c r="E86" s="197"/>
      <c r="F86" s="197"/>
      <c r="G86" s="208"/>
      <c r="H86" s="197"/>
      <c r="I86" s="196"/>
      <c r="J86" s="204"/>
      <c r="K86" s="204"/>
      <c r="L86" s="204"/>
      <c r="M86" s="197"/>
      <c r="N86" s="197"/>
      <c r="O86" s="197"/>
    </row>
    <row r="87" spans="1:63" x14ac:dyDescent="0.25">
      <c r="A87" s="236"/>
      <c r="B87" s="236"/>
      <c r="C87" s="205"/>
      <c r="D87" s="197"/>
      <c r="E87" s="197"/>
      <c r="F87" s="197"/>
      <c r="G87" s="208"/>
      <c r="H87" s="197"/>
      <c r="I87" s="196"/>
      <c r="J87" s="204"/>
      <c r="K87" s="204"/>
      <c r="L87" s="204"/>
      <c r="M87" s="197"/>
      <c r="N87" s="197"/>
      <c r="O87" s="197"/>
    </row>
    <row r="88" spans="1:63" x14ac:dyDescent="0.25">
      <c r="A88" s="236"/>
      <c r="B88" s="236"/>
      <c r="C88" s="205"/>
      <c r="D88" s="197"/>
      <c r="E88" s="197"/>
      <c r="F88" s="197"/>
      <c r="G88" s="208"/>
      <c r="H88" s="197"/>
      <c r="I88" s="196"/>
      <c r="J88" s="204"/>
      <c r="K88" s="204"/>
      <c r="L88" s="204"/>
      <c r="M88" s="197"/>
      <c r="N88" s="197"/>
      <c r="O88" s="197"/>
    </row>
    <row r="89" spans="1:63" x14ac:dyDescent="0.25">
      <c r="A89" s="236"/>
      <c r="B89" s="236"/>
      <c r="C89" s="205"/>
      <c r="D89" s="197"/>
      <c r="E89" s="197"/>
      <c r="F89" s="197"/>
      <c r="G89" s="208"/>
      <c r="H89" s="197"/>
      <c r="I89" s="196"/>
      <c r="J89" s="204"/>
      <c r="K89" s="204"/>
      <c r="L89" s="204"/>
      <c r="M89" s="197"/>
      <c r="N89" s="197"/>
      <c r="O89" s="197"/>
    </row>
    <row r="90" spans="1:63" x14ac:dyDescent="0.25">
      <c r="A90" s="236"/>
      <c r="B90" s="236"/>
      <c r="C90" s="205"/>
      <c r="D90" s="197"/>
      <c r="E90" s="197"/>
      <c r="F90" s="197"/>
      <c r="G90" s="208"/>
      <c r="H90" s="197"/>
      <c r="I90" s="196"/>
      <c r="J90" s="204"/>
      <c r="K90" s="204"/>
      <c r="L90" s="204"/>
      <c r="M90" s="197"/>
      <c r="N90" s="197"/>
      <c r="O90" s="197"/>
    </row>
    <row r="91" spans="1:63" x14ac:dyDescent="0.25">
      <c r="A91" s="236"/>
      <c r="B91" s="236"/>
      <c r="C91" s="205"/>
      <c r="D91" s="197"/>
      <c r="E91" s="197"/>
      <c r="F91" s="197"/>
      <c r="G91" s="208"/>
      <c r="H91" s="197"/>
      <c r="I91" s="196"/>
      <c r="J91" s="204"/>
      <c r="K91" s="204"/>
      <c r="L91" s="204"/>
      <c r="M91" s="197"/>
      <c r="N91" s="197"/>
      <c r="O91" s="197"/>
    </row>
    <row r="92" spans="1:63" x14ac:dyDescent="0.25">
      <c r="A92" s="236"/>
      <c r="B92" s="236"/>
      <c r="C92" s="205"/>
      <c r="D92" s="197"/>
      <c r="E92" s="197"/>
      <c r="F92" s="197"/>
      <c r="G92" s="208"/>
      <c r="H92" s="197"/>
      <c r="I92" s="196"/>
      <c r="J92" s="204"/>
      <c r="K92" s="204"/>
      <c r="L92" s="204"/>
      <c r="M92" s="197"/>
      <c r="N92" s="197"/>
      <c r="O92" s="197"/>
    </row>
    <row r="93" spans="1:63" x14ac:dyDescent="0.25">
      <c r="A93" s="236"/>
      <c r="B93" s="236"/>
      <c r="C93" s="205"/>
      <c r="D93" s="197"/>
      <c r="E93" s="197"/>
      <c r="F93" s="197"/>
      <c r="G93" s="208"/>
      <c r="H93" s="197"/>
      <c r="I93" s="196"/>
      <c r="J93" s="204"/>
      <c r="K93" s="204"/>
      <c r="L93" s="204"/>
      <c r="M93" s="197"/>
      <c r="N93" s="197"/>
      <c r="O93" s="197"/>
    </row>
    <row r="94" spans="1:63" x14ac:dyDescent="0.25">
      <c r="A94" s="236"/>
      <c r="B94" s="236"/>
      <c r="C94" s="205"/>
      <c r="D94" s="197"/>
      <c r="E94" s="197"/>
      <c r="F94" s="197"/>
      <c r="G94" s="208"/>
      <c r="H94" s="197"/>
      <c r="I94" s="196"/>
      <c r="J94" s="204"/>
      <c r="K94" s="204"/>
      <c r="L94" s="204"/>
      <c r="M94" s="197"/>
      <c r="N94" s="197"/>
      <c r="O94" s="197"/>
    </row>
    <row r="95" spans="1:63" x14ac:dyDescent="0.25">
      <c r="A95" s="236"/>
      <c r="B95" s="236"/>
      <c r="C95" s="205"/>
      <c r="D95" s="197"/>
      <c r="E95" s="197"/>
      <c r="F95" s="197"/>
      <c r="G95" s="208"/>
      <c r="H95" s="197"/>
      <c r="I95" s="196"/>
      <c r="J95" s="204"/>
      <c r="K95" s="204"/>
      <c r="L95" s="204"/>
      <c r="M95" s="197"/>
      <c r="N95" s="197"/>
      <c r="O95" s="197"/>
    </row>
    <row r="96" spans="1:63" x14ac:dyDescent="0.25">
      <c r="A96" s="236"/>
      <c r="B96" s="236"/>
      <c r="C96" s="205"/>
      <c r="D96" s="197"/>
      <c r="E96" s="197"/>
      <c r="F96" s="197"/>
      <c r="G96" s="208"/>
      <c r="H96" s="197"/>
      <c r="I96" s="196"/>
      <c r="J96" s="204"/>
      <c r="K96" s="204"/>
      <c r="L96" s="204"/>
      <c r="M96" s="197"/>
      <c r="N96" s="197"/>
      <c r="O96" s="197"/>
    </row>
    <row r="97" spans="1:15" x14ac:dyDescent="0.25">
      <c r="A97" s="236"/>
      <c r="B97" s="236"/>
      <c r="C97" s="205"/>
      <c r="D97" s="197"/>
      <c r="E97" s="197"/>
      <c r="F97" s="197"/>
      <c r="G97" s="208"/>
      <c r="H97" s="197"/>
      <c r="I97" s="196"/>
      <c r="J97" s="204"/>
      <c r="K97" s="204"/>
      <c r="L97" s="204"/>
      <c r="M97" s="197"/>
      <c r="N97" s="197"/>
      <c r="O97" s="197"/>
    </row>
    <row r="98" spans="1:15" x14ac:dyDescent="0.25">
      <c r="A98" s="236"/>
      <c r="B98" s="236"/>
      <c r="C98" s="205"/>
      <c r="D98" s="197"/>
      <c r="E98" s="197"/>
      <c r="F98" s="197"/>
      <c r="G98" s="208"/>
      <c r="H98" s="197"/>
      <c r="I98" s="196"/>
      <c r="J98" s="204"/>
      <c r="K98" s="204"/>
      <c r="L98" s="204"/>
      <c r="M98" s="197"/>
      <c r="N98" s="197"/>
      <c r="O98" s="197"/>
    </row>
    <row r="99" spans="1:15" x14ac:dyDescent="0.25">
      <c r="A99" s="236"/>
      <c r="B99" s="236"/>
      <c r="C99" s="205"/>
      <c r="D99" s="197"/>
      <c r="E99" s="197"/>
      <c r="F99" s="197"/>
      <c r="G99" s="208"/>
      <c r="H99" s="197"/>
      <c r="I99" s="196"/>
      <c r="J99" s="204"/>
      <c r="K99" s="204"/>
      <c r="L99" s="204"/>
      <c r="M99" s="197"/>
      <c r="N99" s="197"/>
      <c r="O99" s="197"/>
    </row>
    <row r="100" spans="1:15" x14ac:dyDescent="0.25">
      <c r="A100" s="236"/>
      <c r="B100" s="236"/>
      <c r="C100" s="205"/>
      <c r="D100" s="197"/>
      <c r="E100" s="197"/>
      <c r="F100" s="197"/>
      <c r="G100" s="208"/>
      <c r="H100" s="197"/>
      <c r="I100" s="196"/>
      <c r="J100" s="204"/>
      <c r="K100" s="204"/>
      <c r="L100" s="204"/>
      <c r="M100" s="197"/>
      <c r="N100" s="197"/>
      <c r="O100" s="197"/>
    </row>
    <row r="101" spans="1:15" x14ac:dyDescent="0.25">
      <c r="A101" s="236"/>
      <c r="B101" s="236"/>
      <c r="C101" s="205"/>
      <c r="D101" s="197"/>
      <c r="E101" s="197"/>
      <c r="F101" s="197"/>
      <c r="G101" s="208"/>
      <c r="H101" s="197"/>
      <c r="I101" s="196"/>
      <c r="J101" s="204"/>
      <c r="K101" s="204"/>
      <c r="L101" s="204"/>
      <c r="M101" s="197"/>
      <c r="N101" s="197"/>
      <c r="O101" s="197"/>
    </row>
    <row r="102" spans="1:15" x14ac:dyDescent="0.25">
      <c r="A102" s="236"/>
      <c r="B102" s="236"/>
      <c r="C102" s="205"/>
      <c r="D102" s="197"/>
      <c r="E102" s="197"/>
      <c r="F102" s="197"/>
      <c r="G102" s="208"/>
      <c r="H102" s="197"/>
      <c r="I102" s="196"/>
      <c r="J102" s="204"/>
      <c r="K102" s="204"/>
      <c r="L102" s="204"/>
      <c r="M102" s="197"/>
      <c r="N102" s="197"/>
      <c r="O102" s="197"/>
    </row>
    <row r="103" spans="1:15" x14ac:dyDescent="0.25">
      <c r="A103" s="236"/>
      <c r="B103" s="236"/>
      <c r="C103" s="205"/>
      <c r="D103" s="197"/>
      <c r="E103" s="197"/>
      <c r="F103" s="197"/>
      <c r="G103" s="208"/>
      <c r="H103" s="197"/>
      <c r="I103" s="196"/>
      <c r="J103" s="204"/>
      <c r="K103" s="204"/>
      <c r="L103" s="204"/>
      <c r="M103" s="197"/>
      <c r="N103" s="197"/>
      <c r="O103" s="197"/>
    </row>
    <row r="104" spans="1:15" x14ac:dyDescent="0.25">
      <c r="A104" s="236"/>
      <c r="B104" s="236"/>
      <c r="C104" s="205"/>
      <c r="D104" s="197"/>
      <c r="E104" s="197"/>
      <c r="F104" s="197"/>
      <c r="G104" s="208"/>
      <c r="H104" s="197"/>
      <c r="I104" s="196"/>
      <c r="J104" s="204"/>
      <c r="K104" s="204"/>
      <c r="L104" s="204"/>
      <c r="M104" s="197"/>
      <c r="N104" s="197"/>
      <c r="O104" s="197"/>
    </row>
    <row r="105" spans="1:15" x14ac:dyDescent="0.25">
      <c r="A105" s="236"/>
      <c r="B105" s="236"/>
      <c r="C105" s="205"/>
      <c r="D105" s="197"/>
      <c r="E105" s="197"/>
      <c r="F105" s="197"/>
      <c r="G105" s="208"/>
      <c r="H105" s="197"/>
      <c r="I105" s="196"/>
      <c r="J105" s="204"/>
      <c r="K105" s="204"/>
      <c r="L105" s="204"/>
      <c r="M105" s="197"/>
      <c r="N105" s="197"/>
      <c r="O105" s="197"/>
    </row>
    <row r="106" spans="1:15" x14ac:dyDescent="0.25">
      <c r="A106" s="236"/>
      <c r="B106" s="236"/>
      <c r="C106" s="205"/>
      <c r="D106" s="197"/>
      <c r="E106" s="197"/>
      <c r="F106" s="197"/>
      <c r="G106" s="208"/>
      <c r="H106" s="197"/>
      <c r="I106" s="196"/>
      <c r="J106" s="204"/>
      <c r="K106" s="204"/>
      <c r="L106" s="204"/>
      <c r="M106" s="197"/>
      <c r="N106" s="197"/>
      <c r="O106" s="197"/>
    </row>
    <row r="107" spans="1:15" x14ac:dyDescent="0.25">
      <c r="A107" s="236"/>
      <c r="B107" s="236"/>
      <c r="C107" s="205"/>
      <c r="D107" s="197"/>
      <c r="E107" s="197"/>
      <c r="F107" s="197"/>
      <c r="G107" s="208"/>
      <c r="H107" s="197"/>
      <c r="I107" s="196"/>
      <c r="J107" s="204"/>
      <c r="K107" s="204"/>
      <c r="L107" s="204"/>
      <c r="M107" s="197"/>
      <c r="N107" s="197"/>
      <c r="O107" s="197"/>
    </row>
    <row r="108" spans="1:15" x14ac:dyDescent="0.25">
      <c r="A108" s="236"/>
      <c r="B108" s="236"/>
      <c r="C108" s="205"/>
      <c r="D108" s="197"/>
      <c r="E108" s="197"/>
      <c r="F108" s="197"/>
      <c r="G108" s="208"/>
      <c r="H108" s="197"/>
      <c r="I108" s="196"/>
      <c r="J108" s="204"/>
      <c r="K108" s="204"/>
      <c r="L108" s="204"/>
      <c r="M108" s="197"/>
      <c r="N108" s="197"/>
      <c r="O108" s="197"/>
    </row>
    <row r="109" spans="1:15" x14ac:dyDescent="0.25">
      <c r="A109" s="236"/>
      <c r="B109" s="236"/>
      <c r="C109" s="205"/>
      <c r="D109" s="197"/>
      <c r="E109" s="197"/>
      <c r="F109" s="197"/>
      <c r="G109" s="208"/>
      <c r="H109" s="197"/>
      <c r="I109" s="196"/>
      <c r="J109" s="204"/>
      <c r="K109" s="204"/>
      <c r="L109" s="204"/>
      <c r="M109" s="197"/>
      <c r="N109" s="197"/>
      <c r="O109" s="197"/>
    </row>
    <row r="110" spans="1:15" x14ac:dyDescent="0.25">
      <c r="A110" s="236"/>
      <c r="B110" s="236"/>
      <c r="C110" s="205"/>
      <c r="D110" s="197"/>
      <c r="E110" s="197"/>
      <c r="F110" s="197"/>
      <c r="G110" s="208"/>
      <c r="H110" s="197"/>
      <c r="I110" s="196"/>
      <c r="J110" s="204"/>
      <c r="K110" s="204"/>
      <c r="L110" s="204"/>
      <c r="M110" s="197"/>
      <c r="N110" s="197"/>
      <c r="O110" s="197"/>
    </row>
    <row r="111" spans="1:15" x14ac:dyDescent="0.25">
      <c r="A111" s="236"/>
      <c r="B111" s="236"/>
      <c r="C111" s="205"/>
      <c r="D111" s="197"/>
      <c r="E111" s="197"/>
      <c r="F111" s="197"/>
      <c r="G111" s="208"/>
      <c r="H111" s="197"/>
      <c r="I111" s="196"/>
      <c r="J111" s="204"/>
      <c r="K111" s="204"/>
      <c r="L111" s="204"/>
      <c r="M111" s="197"/>
      <c r="N111" s="197"/>
      <c r="O111" s="197"/>
    </row>
    <row r="112" spans="1:15" x14ac:dyDescent="0.25">
      <c r="A112" s="236"/>
      <c r="B112" s="236"/>
      <c r="C112" s="205"/>
      <c r="D112" s="197"/>
      <c r="E112" s="197"/>
      <c r="F112" s="197"/>
      <c r="G112" s="208"/>
      <c r="H112" s="197"/>
      <c r="I112" s="196"/>
      <c r="J112" s="204"/>
      <c r="K112" s="204"/>
      <c r="L112" s="204"/>
      <c r="M112" s="197"/>
      <c r="N112" s="197"/>
      <c r="O112" s="197"/>
    </row>
    <row r="113" spans="1:15" x14ac:dyDescent="0.25">
      <c r="A113" s="236"/>
      <c r="B113" s="236"/>
      <c r="C113" s="205"/>
      <c r="D113" s="197"/>
      <c r="E113" s="197"/>
      <c r="F113" s="197"/>
      <c r="G113" s="208"/>
      <c r="H113" s="197"/>
      <c r="I113" s="196"/>
      <c r="J113" s="204"/>
      <c r="K113" s="204"/>
      <c r="L113" s="204"/>
      <c r="M113" s="197"/>
      <c r="N113" s="197"/>
      <c r="O113" s="197"/>
    </row>
    <row r="114" spans="1:15" x14ac:dyDescent="0.25">
      <c r="A114" s="236"/>
      <c r="B114" s="236"/>
      <c r="C114" s="205"/>
      <c r="D114" s="197"/>
      <c r="E114" s="197"/>
      <c r="F114" s="197"/>
      <c r="G114" s="208"/>
      <c r="H114" s="197"/>
      <c r="I114" s="196"/>
      <c r="J114" s="204"/>
      <c r="K114" s="204"/>
      <c r="L114" s="204"/>
      <c r="M114" s="197"/>
      <c r="N114" s="197"/>
      <c r="O114" s="197"/>
    </row>
    <row r="115" spans="1:15" x14ac:dyDescent="0.25">
      <c r="A115" s="236"/>
      <c r="B115" s="236"/>
      <c r="C115" s="205"/>
      <c r="D115" s="197"/>
      <c r="E115" s="197"/>
      <c r="F115" s="197"/>
      <c r="G115" s="208"/>
      <c r="H115" s="197"/>
      <c r="I115" s="196"/>
      <c r="J115" s="204"/>
      <c r="K115" s="204"/>
      <c r="L115" s="204"/>
      <c r="M115" s="197"/>
      <c r="N115" s="197"/>
      <c r="O115" s="197"/>
    </row>
    <row r="116" spans="1:15" x14ac:dyDescent="0.25">
      <c r="A116" s="236"/>
      <c r="B116" s="236"/>
      <c r="C116" s="205"/>
      <c r="D116" s="197"/>
      <c r="E116" s="197"/>
      <c r="F116" s="197"/>
      <c r="G116" s="208"/>
      <c r="H116" s="197"/>
      <c r="I116" s="196"/>
      <c r="J116" s="204"/>
      <c r="K116" s="204"/>
      <c r="L116" s="204"/>
      <c r="M116" s="197"/>
      <c r="N116" s="197"/>
      <c r="O116" s="197"/>
    </row>
    <row r="117" spans="1:15" x14ac:dyDescent="0.25">
      <c r="A117" s="236"/>
      <c r="B117" s="236"/>
      <c r="C117" s="205"/>
      <c r="D117" s="197"/>
      <c r="E117" s="197"/>
      <c r="F117" s="197"/>
      <c r="G117" s="208"/>
      <c r="H117" s="197"/>
      <c r="I117" s="196"/>
      <c r="J117" s="204"/>
      <c r="K117" s="204"/>
      <c r="L117" s="204"/>
      <c r="M117" s="197"/>
      <c r="N117" s="197"/>
      <c r="O117" s="197"/>
    </row>
    <row r="118" spans="1:15" x14ac:dyDescent="0.25">
      <c r="A118" s="236"/>
      <c r="B118" s="236"/>
      <c r="C118" s="205"/>
      <c r="D118" s="197"/>
      <c r="E118" s="197"/>
      <c r="F118" s="197"/>
      <c r="G118" s="208"/>
      <c r="H118" s="197"/>
      <c r="I118" s="196"/>
      <c r="J118" s="204"/>
      <c r="K118" s="204"/>
      <c r="L118" s="204"/>
      <c r="M118" s="197"/>
      <c r="N118" s="197"/>
      <c r="O118" s="197"/>
    </row>
    <row r="119" spans="1:15" x14ac:dyDescent="0.25">
      <c r="A119" s="236"/>
      <c r="B119" s="236"/>
      <c r="C119" s="205"/>
      <c r="D119" s="197"/>
      <c r="E119" s="197"/>
      <c r="F119" s="197"/>
      <c r="G119" s="208"/>
      <c r="H119" s="197"/>
      <c r="I119" s="196"/>
      <c r="J119" s="204"/>
      <c r="K119" s="204"/>
      <c r="L119" s="204"/>
      <c r="M119" s="197"/>
      <c r="N119" s="197"/>
      <c r="O119" s="197"/>
    </row>
    <row r="120" spans="1:15" x14ac:dyDescent="0.25">
      <c r="A120" s="236"/>
      <c r="B120" s="236"/>
      <c r="C120" s="205"/>
      <c r="D120" s="197"/>
      <c r="E120" s="197"/>
      <c r="F120" s="197"/>
      <c r="G120" s="208"/>
      <c r="H120" s="197"/>
      <c r="I120" s="196"/>
      <c r="J120" s="204"/>
      <c r="K120" s="204"/>
      <c r="L120" s="204"/>
      <c r="M120" s="197"/>
      <c r="N120" s="197"/>
      <c r="O120" s="197"/>
    </row>
    <row r="121" spans="1:15" x14ac:dyDescent="0.25">
      <c r="A121" s="236"/>
      <c r="B121" s="236"/>
      <c r="C121" s="205"/>
      <c r="D121" s="197"/>
      <c r="E121" s="197"/>
      <c r="F121" s="197"/>
      <c r="G121" s="208"/>
      <c r="H121" s="197"/>
      <c r="I121" s="196"/>
      <c r="J121" s="204"/>
      <c r="K121" s="204"/>
      <c r="L121" s="204"/>
      <c r="M121" s="197"/>
      <c r="N121" s="197"/>
      <c r="O121" s="197"/>
    </row>
    <row r="122" spans="1:15" x14ac:dyDescent="0.25">
      <c r="A122" s="236"/>
      <c r="B122" s="236"/>
      <c r="C122" s="205"/>
      <c r="D122" s="197"/>
      <c r="E122" s="197"/>
      <c r="F122" s="197"/>
      <c r="G122" s="208"/>
      <c r="H122" s="197"/>
      <c r="I122" s="196"/>
      <c r="J122" s="204"/>
      <c r="K122" s="204"/>
      <c r="L122" s="204"/>
      <c r="M122" s="197"/>
      <c r="N122" s="197"/>
      <c r="O122" s="197"/>
    </row>
    <row r="123" spans="1:15" x14ac:dyDescent="0.25">
      <c r="A123" s="236"/>
      <c r="B123" s="236"/>
      <c r="C123" s="205"/>
      <c r="D123" s="197"/>
      <c r="E123" s="197"/>
      <c r="F123" s="197"/>
      <c r="G123" s="208"/>
      <c r="H123" s="197"/>
      <c r="I123" s="196"/>
      <c r="J123" s="204"/>
      <c r="K123" s="204"/>
      <c r="L123" s="204"/>
      <c r="M123" s="197"/>
      <c r="N123" s="197"/>
      <c r="O123" s="197"/>
    </row>
    <row r="124" spans="1:15" x14ac:dyDescent="0.25">
      <c r="A124" s="236"/>
      <c r="B124" s="236"/>
      <c r="C124" s="205"/>
      <c r="D124" s="197"/>
      <c r="E124" s="197"/>
      <c r="F124" s="197"/>
      <c r="G124" s="208"/>
      <c r="H124" s="197"/>
      <c r="I124" s="196"/>
      <c r="J124" s="204"/>
      <c r="K124" s="204"/>
      <c r="L124" s="204"/>
      <c r="M124" s="197"/>
      <c r="N124" s="197"/>
      <c r="O124" s="197"/>
    </row>
    <row r="125" spans="1:15" x14ac:dyDescent="0.25">
      <c r="A125" s="236"/>
      <c r="B125" s="236"/>
      <c r="C125" s="205"/>
      <c r="D125" s="197"/>
      <c r="E125" s="197"/>
      <c r="F125" s="197"/>
      <c r="G125" s="208"/>
      <c r="H125" s="197"/>
      <c r="I125" s="196"/>
      <c r="J125" s="204"/>
      <c r="K125" s="204"/>
      <c r="L125" s="204"/>
      <c r="M125" s="197"/>
      <c r="N125" s="197"/>
      <c r="O125" s="197"/>
    </row>
    <row r="126" spans="1:15" x14ac:dyDescent="0.25">
      <c r="A126" s="236"/>
      <c r="B126" s="236"/>
      <c r="C126" s="205"/>
      <c r="D126" s="197"/>
      <c r="E126" s="197"/>
      <c r="F126" s="197"/>
      <c r="G126" s="208"/>
      <c r="H126" s="197"/>
      <c r="I126" s="196"/>
      <c r="J126" s="204"/>
      <c r="K126" s="204"/>
      <c r="L126" s="204"/>
      <c r="M126" s="197"/>
      <c r="N126" s="197"/>
      <c r="O126" s="197"/>
    </row>
    <row r="127" spans="1:15" x14ac:dyDescent="0.25">
      <c r="A127" s="236"/>
      <c r="B127" s="236"/>
      <c r="C127" s="205"/>
      <c r="D127" s="197"/>
      <c r="E127" s="197"/>
      <c r="F127" s="197"/>
      <c r="G127" s="208"/>
      <c r="H127" s="197"/>
      <c r="I127" s="196"/>
      <c r="J127" s="204"/>
      <c r="K127" s="204"/>
      <c r="L127" s="204"/>
      <c r="M127" s="197"/>
      <c r="N127" s="197"/>
      <c r="O127" s="197"/>
    </row>
    <row r="128" spans="1:15" x14ac:dyDescent="0.25">
      <c r="A128" s="236"/>
      <c r="B128" s="236"/>
      <c r="C128" s="205"/>
      <c r="D128" s="197"/>
      <c r="E128" s="197"/>
      <c r="F128" s="197"/>
      <c r="G128" s="208"/>
      <c r="H128" s="197"/>
      <c r="I128" s="196"/>
      <c r="J128" s="204"/>
      <c r="K128" s="204"/>
      <c r="L128" s="204"/>
      <c r="M128" s="197"/>
      <c r="N128" s="197"/>
      <c r="O128" s="197"/>
    </row>
    <row r="129" spans="1:15" x14ac:dyDescent="0.25">
      <c r="A129" s="236"/>
      <c r="B129" s="236"/>
      <c r="C129" s="205"/>
      <c r="D129" s="197"/>
      <c r="E129" s="197"/>
      <c r="F129" s="197"/>
      <c r="G129" s="208"/>
      <c r="H129" s="197"/>
      <c r="I129" s="196"/>
      <c r="J129" s="204"/>
      <c r="K129" s="204"/>
      <c r="L129" s="204"/>
      <c r="M129" s="197"/>
      <c r="N129" s="197"/>
      <c r="O129" s="197"/>
    </row>
    <row r="130" spans="1:15" x14ac:dyDescent="0.25">
      <c r="A130" s="236"/>
      <c r="B130" s="236"/>
      <c r="C130" s="205"/>
      <c r="D130" s="197"/>
      <c r="E130" s="197"/>
      <c r="F130" s="197"/>
      <c r="G130" s="208"/>
      <c r="H130" s="197"/>
      <c r="I130" s="196"/>
      <c r="J130" s="204"/>
      <c r="K130" s="204"/>
      <c r="L130" s="204"/>
      <c r="M130" s="197"/>
      <c r="N130" s="197"/>
      <c r="O130" s="197"/>
    </row>
    <row r="131" spans="1:15" x14ac:dyDescent="0.25">
      <c r="A131" s="236"/>
      <c r="B131" s="236"/>
      <c r="C131" s="205"/>
      <c r="D131" s="197"/>
      <c r="E131" s="197"/>
      <c r="F131" s="197"/>
      <c r="G131" s="208"/>
      <c r="H131" s="197"/>
      <c r="I131" s="196"/>
      <c r="J131" s="204"/>
      <c r="K131" s="204"/>
      <c r="L131" s="204"/>
      <c r="M131" s="197"/>
      <c r="N131" s="197"/>
      <c r="O131" s="197"/>
    </row>
    <row r="132" spans="1:15" x14ac:dyDescent="0.25">
      <c r="A132" s="236"/>
      <c r="B132" s="236"/>
      <c r="C132" s="205"/>
      <c r="D132" s="197"/>
      <c r="E132" s="197"/>
      <c r="F132" s="197"/>
      <c r="G132" s="208"/>
      <c r="H132" s="197"/>
      <c r="I132" s="196"/>
      <c r="J132" s="204"/>
      <c r="K132" s="204"/>
      <c r="L132" s="204"/>
      <c r="M132" s="197"/>
      <c r="N132" s="197"/>
      <c r="O132" s="197"/>
    </row>
    <row r="133" spans="1:15" x14ac:dyDescent="0.25">
      <c r="A133" s="236"/>
      <c r="B133" s="236"/>
      <c r="C133" s="205"/>
      <c r="D133" s="197"/>
      <c r="E133" s="197"/>
      <c r="F133" s="197"/>
      <c r="G133" s="208"/>
      <c r="H133" s="197"/>
      <c r="I133" s="196"/>
      <c r="J133" s="204"/>
      <c r="K133" s="204"/>
      <c r="L133" s="204"/>
      <c r="M133" s="197"/>
      <c r="N133" s="197"/>
      <c r="O133" s="197"/>
    </row>
    <row r="134" spans="1:15" x14ac:dyDescent="0.25">
      <c r="A134" s="236"/>
      <c r="B134" s="236"/>
      <c r="C134" s="205"/>
      <c r="D134" s="197"/>
      <c r="E134" s="197"/>
      <c r="F134" s="197"/>
      <c r="G134" s="208"/>
      <c r="H134" s="197"/>
      <c r="I134" s="196"/>
      <c r="J134" s="204"/>
      <c r="K134" s="204"/>
      <c r="L134" s="204"/>
      <c r="M134" s="197"/>
      <c r="N134" s="197"/>
      <c r="O134" s="197"/>
    </row>
    <row r="135" spans="1:15" x14ac:dyDescent="0.25">
      <c r="A135" s="236"/>
      <c r="B135" s="236"/>
      <c r="C135" s="205"/>
      <c r="D135" s="197"/>
      <c r="E135" s="197"/>
      <c r="F135" s="197"/>
      <c r="G135" s="208"/>
      <c r="H135" s="197"/>
      <c r="I135" s="196"/>
      <c r="J135" s="204"/>
      <c r="K135" s="204"/>
      <c r="L135" s="204"/>
      <c r="M135" s="197"/>
      <c r="N135" s="197"/>
      <c r="O135" s="197"/>
    </row>
    <row r="136" spans="1:15" x14ac:dyDescent="0.25">
      <c r="A136" s="236"/>
      <c r="B136" s="236"/>
      <c r="C136" s="205"/>
      <c r="D136" s="197"/>
      <c r="E136" s="197"/>
      <c r="F136" s="197"/>
      <c r="G136" s="208"/>
      <c r="H136" s="197"/>
      <c r="I136" s="196"/>
      <c r="J136" s="204"/>
      <c r="K136" s="204"/>
      <c r="L136" s="204"/>
      <c r="M136" s="197"/>
      <c r="N136" s="197"/>
      <c r="O136" s="197"/>
    </row>
    <row r="137" spans="1:15" x14ac:dyDescent="0.25">
      <c r="A137" s="236"/>
      <c r="B137" s="236"/>
      <c r="C137" s="205"/>
      <c r="D137" s="197"/>
      <c r="E137" s="197"/>
      <c r="F137" s="197"/>
      <c r="G137" s="208"/>
      <c r="H137" s="197"/>
      <c r="I137" s="196"/>
      <c r="J137" s="204"/>
      <c r="K137" s="204"/>
      <c r="L137" s="204"/>
      <c r="M137" s="197"/>
      <c r="N137" s="197"/>
      <c r="O137" s="197"/>
    </row>
    <row r="138" spans="1:15" x14ac:dyDescent="0.25">
      <c r="A138" s="236"/>
      <c r="B138" s="236"/>
      <c r="C138" s="205"/>
      <c r="D138" s="197"/>
      <c r="E138" s="197"/>
      <c r="F138" s="197"/>
      <c r="G138" s="208"/>
      <c r="H138" s="197"/>
      <c r="I138" s="196"/>
      <c r="J138" s="204"/>
      <c r="K138" s="204"/>
      <c r="L138" s="204"/>
      <c r="M138" s="197"/>
      <c r="N138" s="197"/>
      <c r="O138" s="197"/>
    </row>
    <row r="139" spans="1:15" x14ac:dyDescent="0.25">
      <c r="A139" s="236"/>
      <c r="B139" s="236"/>
      <c r="C139" s="205"/>
      <c r="D139" s="197"/>
      <c r="E139" s="197"/>
      <c r="F139" s="197"/>
      <c r="G139" s="208"/>
      <c r="H139" s="197"/>
      <c r="I139" s="196"/>
      <c r="J139" s="204"/>
      <c r="K139" s="204"/>
      <c r="L139" s="204"/>
      <c r="M139" s="197"/>
      <c r="N139" s="197"/>
      <c r="O139" s="197"/>
    </row>
    <row r="140" spans="1:15" x14ac:dyDescent="0.25">
      <c r="A140" s="236"/>
      <c r="B140" s="236"/>
      <c r="C140" s="205"/>
      <c r="D140" s="197"/>
      <c r="E140" s="197"/>
      <c r="F140" s="197"/>
      <c r="G140" s="208"/>
      <c r="H140" s="197"/>
      <c r="I140" s="196"/>
      <c r="J140" s="204"/>
      <c r="K140" s="204"/>
      <c r="L140" s="204"/>
      <c r="M140" s="197"/>
      <c r="N140" s="197"/>
      <c r="O140" s="197"/>
    </row>
    <row r="141" spans="1:15" x14ac:dyDescent="0.25">
      <c r="A141" s="236"/>
      <c r="B141" s="236"/>
      <c r="C141" s="205"/>
      <c r="D141" s="197"/>
      <c r="E141" s="197"/>
      <c r="F141" s="197"/>
      <c r="G141" s="208"/>
      <c r="H141" s="197"/>
      <c r="I141" s="196"/>
      <c r="J141" s="204"/>
      <c r="K141" s="204"/>
      <c r="L141" s="204"/>
      <c r="M141" s="197"/>
      <c r="N141" s="197"/>
      <c r="O141" s="197"/>
    </row>
    <row r="142" spans="1:15" x14ac:dyDescent="0.25">
      <c r="A142" s="236"/>
      <c r="B142" s="236"/>
      <c r="C142" s="205"/>
      <c r="D142" s="197"/>
      <c r="E142" s="197"/>
      <c r="F142" s="197"/>
      <c r="G142" s="208"/>
      <c r="H142" s="197"/>
      <c r="I142" s="196"/>
      <c r="J142" s="204"/>
      <c r="K142" s="204"/>
      <c r="L142" s="204"/>
      <c r="M142" s="197"/>
      <c r="N142" s="197"/>
      <c r="O142" s="197"/>
    </row>
    <row r="143" spans="1:15" x14ac:dyDescent="0.25">
      <c r="A143" s="236"/>
      <c r="B143" s="236"/>
      <c r="C143" s="205"/>
      <c r="D143" s="197"/>
      <c r="E143" s="197"/>
      <c r="F143" s="197"/>
      <c r="G143" s="208"/>
      <c r="H143" s="197"/>
      <c r="I143" s="196"/>
      <c r="J143" s="204"/>
      <c r="K143" s="204"/>
      <c r="L143" s="204"/>
      <c r="M143" s="197"/>
      <c r="N143" s="197"/>
      <c r="O143" s="197"/>
    </row>
    <row r="144" spans="1:15" x14ac:dyDescent="0.25">
      <c r="A144" s="236"/>
      <c r="B144" s="236"/>
      <c r="C144" s="205"/>
      <c r="D144" s="197"/>
      <c r="E144" s="197"/>
      <c r="F144" s="197"/>
      <c r="G144" s="208"/>
      <c r="H144" s="197"/>
      <c r="I144" s="196"/>
      <c r="J144" s="204"/>
      <c r="K144" s="204"/>
      <c r="L144" s="204"/>
      <c r="M144" s="197"/>
      <c r="N144" s="197"/>
      <c r="O144" s="197"/>
    </row>
    <row r="145" spans="1:15" x14ac:dyDescent="0.25">
      <c r="A145" s="236"/>
      <c r="B145" s="236"/>
      <c r="C145" s="205"/>
      <c r="D145" s="197"/>
      <c r="E145" s="197"/>
      <c r="F145" s="197"/>
      <c r="G145" s="208"/>
      <c r="H145" s="197"/>
      <c r="I145" s="196"/>
      <c r="J145" s="204"/>
      <c r="K145" s="204"/>
      <c r="L145" s="204"/>
      <c r="M145" s="197"/>
      <c r="N145" s="197"/>
      <c r="O145" s="197"/>
    </row>
    <row r="146" spans="1:15" x14ac:dyDescent="0.25">
      <c r="A146" s="236"/>
      <c r="B146" s="236"/>
      <c r="C146" s="205"/>
      <c r="D146" s="197"/>
      <c r="E146" s="197"/>
      <c r="F146" s="197"/>
      <c r="G146" s="208"/>
      <c r="H146" s="197"/>
      <c r="I146" s="196"/>
      <c r="J146" s="204"/>
      <c r="K146" s="204"/>
      <c r="L146" s="204"/>
      <c r="M146" s="197"/>
      <c r="N146" s="197"/>
      <c r="O146" s="197"/>
    </row>
    <row r="147" spans="1:15" x14ac:dyDescent="0.25">
      <c r="A147" s="236"/>
      <c r="B147" s="236"/>
      <c r="C147" s="205"/>
      <c r="D147" s="197"/>
      <c r="E147" s="197"/>
      <c r="F147" s="197"/>
      <c r="G147" s="208"/>
      <c r="H147" s="197"/>
      <c r="I147" s="196"/>
      <c r="J147" s="204"/>
      <c r="K147" s="204"/>
      <c r="L147" s="204"/>
      <c r="M147" s="197"/>
      <c r="N147" s="197"/>
      <c r="O147" s="197"/>
    </row>
    <row r="148" spans="1:15" x14ac:dyDescent="0.25">
      <c r="A148" s="236"/>
      <c r="B148" s="236"/>
      <c r="C148" s="205"/>
      <c r="D148" s="197"/>
      <c r="E148" s="197"/>
      <c r="F148" s="197"/>
      <c r="G148" s="208"/>
      <c r="H148" s="197"/>
      <c r="I148" s="196"/>
      <c r="J148" s="204"/>
      <c r="K148" s="204"/>
      <c r="L148" s="204"/>
      <c r="M148" s="197"/>
      <c r="N148" s="197"/>
      <c r="O148" s="197"/>
    </row>
    <row r="149" spans="1:15" x14ac:dyDescent="0.25">
      <c r="A149" s="236"/>
      <c r="B149" s="236"/>
      <c r="C149" s="205"/>
      <c r="D149" s="197"/>
      <c r="E149" s="197"/>
      <c r="F149" s="197"/>
      <c r="G149" s="208"/>
      <c r="H149" s="197"/>
      <c r="I149" s="196"/>
      <c r="J149" s="204"/>
      <c r="K149" s="204"/>
      <c r="L149" s="204"/>
      <c r="M149" s="197"/>
      <c r="N149" s="197"/>
      <c r="O149" s="197"/>
    </row>
    <row r="150" spans="1:15" x14ac:dyDescent="0.25">
      <c r="A150" s="236"/>
      <c r="B150" s="236"/>
      <c r="C150" s="205"/>
      <c r="D150" s="197"/>
      <c r="E150" s="197"/>
      <c r="F150" s="197"/>
      <c r="G150" s="208"/>
      <c r="H150" s="197"/>
      <c r="I150" s="196"/>
      <c r="J150" s="204"/>
      <c r="K150" s="204"/>
      <c r="L150" s="204"/>
      <c r="M150" s="197"/>
      <c r="N150" s="197"/>
      <c r="O150" s="197"/>
    </row>
    <row r="151" spans="1:15" x14ac:dyDescent="0.25">
      <c r="A151" s="236"/>
      <c r="B151" s="236"/>
      <c r="C151" s="205"/>
      <c r="D151" s="197"/>
      <c r="E151" s="197"/>
      <c r="F151" s="197"/>
      <c r="G151" s="208"/>
      <c r="H151" s="197"/>
      <c r="I151" s="196"/>
      <c r="J151" s="204"/>
      <c r="K151" s="204"/>
      <c r="L151" s="204"/>
      <c r="M151" s="197"/>
      <c r="N151" s="197"/>
      <c r="O151" s="197"/>
    </row>
    <row r="152" spans="1:15" x14ac:dyDescent="0.25">
      <c r="A152" s="236"/>
      <c r="B152" s="236"/>
      <c r="C152" s="205"/>
      <c r="D152" s="197"/>
      <c r="E152" s="197"/>
      <c r="F152" s="197"/>
      <c r="G152" s="208"/>
      <c r="H152" s="197"/>
      <c r="I152" s="196"/>
      <c r="J152" s="204"/>
      <c r="K152" s="204"/>
      <c r="L152" s="204"/>
      <c r="M152" s="197"/>
      <c r="N152" s="197"/>
      <c r="O152" s="197"/>
    </row>
    <row r="153" spans="1:15" x14ac:dyDescent="0.25">
      <c r="A153" s="236"/>
      <c r="B153" s="236"/>
      <c r="C153" s="205"/>
      <c r="D153" s="197"/>
      <c r="E153" s="197"/>
      <c r="F153" s="197"/>
      <c r="G153" s="208"/>
      <c r="H153" s="197"/>
      <c r="I153" s="196"/>
      <c r="J153" s="204"/>
      <c r="K153" s="204"/>
      <c r="L153" s="204"/>
      <c r="M153" s="197"/>
      <c r="N153" s="197"/>
      <c r="O153" s="197"/>
    </row>
    <row r="154" spans="1:15" x14ac:dyDescent="0.25">
      <c r="A154" s="236"/>
      <c r="B154" s="236"/>
      <c r="C154" s="205"/>
      <c r="D154" s="197"/>
      <c r="E154" s="197"/>
      <c r="F154" s="197"/>
      <c r="G154" s="208"/>
      <c r="H154" s="197"/>
      <c r="I154" s="196"/>
      <c r="J154" s="204"/>
      <c r="K154" s="204"/>
      <c r="L154" s="204"/>
      <c r="M154" s="197"/>
      <c r="N154" s="197"/>
      <c r="O154" s="197"/>
    </row>
    <row r="155" spans="1:15" x14ac:dyDescent="0.25">
      <c r="A155" s="236"/>
      <c r="B155" s="236"/>
      <c r="C155" s="205"/>
      <c r="D155" s="197"/>
      <c r="E155" s="197"/>
      <c r="F155" s="197"/>
      <c r="G155" s="208"/>
      <c r="H155" s="197"/>
      <c r="I155" s="196"/>
      <c r="J155" s="204"/>
      <c r="K155" s="204"/>
      <c r="L155" s="204"/>
      <c r="M155" s="197"/>
      <c r="N155" s="197"/>
      <c r="O155" s="197"/>
    </row>
    <row r="156" spans="1:15" x14ac:dyDescent="0.25">
      <c r="A156" s="236"/>
      <c r="B156" s="236"/>
      <c r="C156" s="205"/>
      <c r="D156" s="197"/>
      <c r="E156" s="197"/>
      <c r="F156" s="197"/>
      <c r="G156" s="208"/>
      <c r="H156" s="197"/>
      <c r="I156" s="196"/>
      <c r="J156" s="204"/>
      <c r="K156" s="204"/>
      <c r="L156" s="204"/>
      <c r="M156" s="197"/>
      <c r="N156" s="197"/>
      <c r="O156" s="197"/>
    </row>
    <row r="157" spans="1:15" x14ac:dyDescent="0.25">
      <c r="A157" s="236"/>
      <c r="B157" s="236"/>
      <c r="C157" s="205"/>
      <c r="D157" s="197"/>
      <c r="E157" s="197"/>
      <c r="F157" s="197"/>
      <c r="G157" s="208"/>
      <c r="H157" s="197"/>
      <c r="I157" s="196"/>
      <c r="J157" s="204"/>
      <c r="K157" s="204"/>
      <c r="L157" s="204"/>
      <c r="M157" s="197"/>
      <c r="N157" s="197"/>
      <c r="O157" s="197"/>
    </row>
    <row r="158" spans="1:15" x14ac:dyDescent="0.25">
      <c r="A158" s="236"/>
      <c r="B158" s="236"/>
      <c r="C158" s="205"/>
      <c r="D158" s="197"/>
      <c r="E158" s="197"/>
      <c r="F158" s="197"/>
      <c r="G158" s="208"/>
      <c r="H158" s="197"/>
      <c r="I158" s="196"/>
      <c r="J158" s="204"/>
      <c r="K158" s="204"/>
      <c r="L158" s="204"/>
      <c r="M158" s="197"/>
      <c r="N158" s="197"/>
      <c r="O158" s="197"/>
    </row>
    <row r="159" spans="1:15" x14ac:dyDescent="0.25">
      <c r="A159" s="236"/>
      <c r="B159" s="236"/>
      <c r="C159" s="205"/>
      <c r="D159" s="197"/>
      <c r="E159" s="197"/>
      <c r="F159" s="197"/>
      <c r="G159" s="208"/>
      <c r="H159" s="197"/>
      <c r="I159" s="196"/>
      <c r="J159" s="204"/>
      <c r="K159" s="204"/>
      <c r="L159" s="204"/>
      <c r="M159" s="197"/>
      <c r="N159" s="197"/>
      <c r="O159" s="197"/>
    </row>
    <row r="160" spans="1:15" x14ac:dyDescent="0.25">
      <c r="A160" s="236"/>
      <c r="B160" s="236"/>
      <c r="C160" s="205"/>
      <c r="D160" s="197"/>
      <c r="E160" s="197"/>
      <c r="F160" s="197"/>
      <c r="G160" s="208"/>
      <c r="H160" s="197"/>
      <c r="I160" s="196"/>
      <c r="J160" s="204"/>
      <c r="K160" s="204"/>
      <c r="L160" s="204"/>
      <c r="M160" s="197"/>
      <c r="N160" s="197"/>
      <c r="O160" s="197"/>
    </row>
    <row r="161" spans="1:15" x14ac:dyDescent="0.25">
      <c r="A161" s="236"/>
      <c r="B161" s="236"/>
      <c r="C161" s="205"/>
      <c r="D161" s="197"/>
      <c r="E161" s="197"/>
      <c r="F161" s="197"/>
      <c r="G161" s="208"/>
      <c r="H161" s="197"/>
      <c r="I161" s="196"/>
      <c r="J161" s="204"/>
      <c r="K161" s="204"/>
      <c r="L161" s="204"/>
      <c r="M161" s="197"/>
      <c r="N161" s="197"/>
      <c r="O161" s="197"/>
    </row>
    <row r="162" spans="1:15" x14ac:dyDescent="0.25">
      <c r="A162" s="236"/>
      <c r="B162" s="236"/>
      <c r="C162" s="205"/>
      <c r="D162" s="197"/>
      <c r="E162" s="197"/>
      <c r="F162" s="197"/>
      <c r="G162" s="208"/>
      <c r="H162" s="197"/>
      <c r="I162" s="196"/>
      <c r="J162" s="204"/>
      <c r="K162" s="204"/>
      <c r="L162" s="204"/>
      <c r="M162" s="197"/>
      <c r="N162" s="197"/>
      <c r="O162" s="197"/>
    </row>
    <row r="163" spans="1:15" x14ac:dyDescent="0.25">
      <c r="A163" s="236"/>
      <c r="B163" s="236"/>
      <c r="C163" s="205"/>
      <c r="D163" s="197"/>
      <c r="E163" s="197"/>
      <c r="F163" s="197"/>
      <c r="G163" s="208"/>
      <c r="H163" s="197"/>
      <c r="I163" s="196"/>
      <c r="J163" s="204"/>
      <c r="K163" s="204"/>
      <c r="L163" s="204"/>
      <c r="M163" s="197"/>
      <c r="N163" s="197"/>
      <c r="O163" s="197"/>
    </row>
    <row r="164" spans="1:15" x14ac:dyDescent="0.25">
      <c r="A164" s="236"/>
      <c r="B164" s="236"/>
      <c r="C164" s="205"/>
      <c r="D164" s="197"/>
      <c r="E164" s="197"/>
      <c r="F164" s="197"/>
      <c r="G164" s="208"/>
      <c r="H164" s="197"/>
      <c r="I164" s="196"/>
      <c r="J164" s="204"/>
      <c r="K164" s="204"/>
      <c r="L164" s="204"/>
      <c r="M164" s="197"/>
      <c r="N164" s="197"/>
      <c r="O164" s="197"/>
    </row>
    <row r="165" spans="1:15" x14ac:dyDescent="0.25">
      <c r="A165" s="236"/>
      <c r="B165" s="236"/>
      <c r="C165" s="205"/>
      <c r="D165" s="197"/>
      <c r="E165" s="197"/>
      <c r="F165" s="197"/>
      <c r="G165" s="208"/>
      <c r="H165" s="197"/>
      <c r="I165" s="196"/>
      <c r="J165" s="204"/>
      <c r="K165" s="204"/>
      <c r="L165" s="204"/>
      <c r="M165" s="197"/>
      <c r="N165" s="197"/>
      <c r="O165" s="197"/>
    </row>
    <row r="166" spans="1:15" x14ac:dyDescent="0.25">
      <c r="A166" s="236"/>
      <c r="B166" s="236"/>
      <c r="C166" s="205"/>
      <c r="D166" s="197"/>
      <c r="E166" s="197"/>
      <c r="F166" s="197"/>
      <c r="G166" s="208"/>
      <c r="H166" s="197"/>
      <c r="I166" s="196"/>
      <c r="J166" s="204"/>
      <c r="K166" s="204"/>
      <c r="L166" s="204"/>
      <c r="M166" s="197"/>
      <c r="N166" s="197"/>
      <c r="O166" s="197"/>
    </row>
    <row r="167" spans="1:15" x14ac:dyDescent="0.25">
      <c r="A167" s="236"/>
      <c r="B167" s="236"/>
      <c r="C167" s="205"/>
      <c r="D167" s="197"/>
      <c r="E167" s="197"/>
      <c r="F167" s="197"/>
      <c r="G167" s="208"/>
      <c r="H167" s="197"/>
      <c r="I167" s="196"/>
      <c r="J167" s="204"/>
      <c r="K167" s="204"/>
      <c r="L167" s="204"/>
      <c r="M167" s="197"/>
      <c r="N167" s="197"/>
      <c r="O167" s="197"/>
    </row>
    <row r="168" spans="1:15" x14ac:dyDescent="0.25">
      <c r="A168" s="236"/>
      <c r="B168" s="236"/>
      <c r="C168" s="205"/>
      <c r="D168" s="197"/>
      <c r="E168" s="197"/>
      <c r="F168" s="197"/>
      <c r="G168" s="208"/>
      <c r="H168" s="197"/>
      <c r="I168" s="196"/>
      <c r="J168" s="204"/>
      <c r="K168" s="204"/>
      <c r="L168" s="204"/>
      <c r="M168" s="197"/>
      <c r="N168" s="197"/>
      <c r="O168" s="197"/>
    </row>
    <row r="169" spans="1:15" x14ac:dyDescent="0.25">
      <c r="A169" s="236"/>
      <c r="B169" s="236"/>
      <c r="C169" s="205"/>
      <c r="D169" s="197"/>
      <c r="E169" s="197"/>
      <c r="F169" s="197"/>
      <c r="G169" s="208"/>
      <c r="H169" s="197"/>
      <c r="I169" s="196"/>
      <c r="J169" s="204"/>
      <c r="K169" s="204"/>
      <c r="L169" s="204"/>
      <c r="M169" s="197"/>
      <c r="N169" s="197"/>
      <c r="O169" s="197"/>
    </row>
    <row r="170" spans="1:15" x14ac:dyDescent="0.25">
      <c r="A170" s="236"/>
      <c r="B170" s="236"/>
      <c r="C170" s="205"/>
      <c r="D170" s="197"/>
      <c r="E170" s="197"/>
      <c r="F170" s="197"/>
      <c r="G170" s="208"/>
      <c r="H170" s="197"/>
      <c r="I170" s="196"/>
      <c r="J170" s="204"/>
      <c r="K170" s="204"/>
      <c r="L170" s="204"/>
      <c r="M170" s="197"/>
      <c r="N170" s="197"/>
      <c r="O170" s="197"/>
    </row>
    <row r="171" spans="1:15" x14ac:dyDescent="0.25">
      <c r="A171" s="236"/>
      <c r="B171" s="236"/>
      <c r="C171" s="205"/>
      <c r="D171" s="197"/>
      <c r="E171" s="197"/>
      <c r="F171" s="197"/>
      <c r="G171" s="208"/>
      <c r="H171" s="197"/>
      <c r="I171" s="196"/>
      <c r="J171" s="204"/>
      <c r="K171" s="204"/>
      <c r="L171" s="204"/>
      <c r="M171" s="197"/>
      <c r="N171" s="197"/>
      <c r="O171" s="197"/>
    </row>
    <row r="172" spans="1:15" x14ac:dyDescent="0.25">
      <c r="A172" s="236"/>
      <c r="B172" s="236"/>
      <c r="C172" s="205"/>
      <c r="D172" s="197"/>
      <c r="E172" s="197"/>
      <c r="F172" s="197"/>
      <c r="G172" s="208"/>
      <c r="H172" s="197"/>
      <c r="I172" s="196"/>
      <c r="J172" s="204"/>
      <c r="K172" s="204"/>
      <c r="L172" s="204"/>
      <c r="M172" s="197"/>
      <c r="N172" s="197"/>
      <c r="O172" s="197"/>
    </row>
    <row r="173" spans="1:15" x14ac:dyDescent="0.25">
      <c r="A173" s="236"/>
      <c r="B173" s="236"/>
      <c r="C173" s="205"/>
      <c r="D173" s="197"/>
      <c r="E173" s="197"/>
      <c r="F173" s="197"/>
      <c r="G173" s="208"/>
      <c r="H173" s="197"/>
      <c r="I173" s="196"/>
      <c r="J173" s="204"/>
      <c r="K173" s="204"/>
      <c r="L173" s="204"/>
      <c r="M173" s="197"/>
      <c r="N173" s="197"/>
      <c r="O173" s="197"/>
    </row>
    <row r="174" spans="1:15" x14ac:dyDescent="0.25">
      <c r="A174" s="236"/>
      <c r="B174" s="236"/>
      <c r="C174" s="205"/>
      <c r="D174" s="197"/>
      <c r="E174" s="197"/>
      <c r="F174" s="197"/>
      <c r="G174" s="208"/>
      <c r="H174" s="197"/>
      <c r="I174" s="196"/>
      <c r="J174" s="204"/>
      <c r="K174" s="204"/>
      <c r="L174" s="204"/>
      <c r="M174" s="197"/>
      <c r="N174" s="197"/>
      <c r="O174" s="197"/>
    </row>
    <row r="175" spans="1:15" x14ac:dyDescent="0.25">
      <c r="A175" s="236"/>
      <c r="B175" s="236"/>
      <c r="C175" s="205"/>
      <c r="D175" s="197"/>
      <c r="E175" s="197"/>
      <c r="F175" s="197"/>
      <c r="G175" s="208"/>
      <c r="H175" s="197"/>
      <c r="I175" s="196"/>
      <c r="J175" s="204"/>
      <c r="K175" s="204"/>
      <c r="L175" s="204"/>
      <c r="M175" s="197"/>
      <c r="N175" s="197"/>
      <c r="O175" s="197"/>
    </row>
    <row r="176" spans="1:15" x14ac:dyDescent="0.25">
      <c r="A176" s="236"/>
      <c r="B176" s="236"/>
      <c r="C176" s="205"/>
      <c r="D176" s="197"/>
      <c r="E176" s="197"/>
      <c r="F176" s="197"/>
      <c r="G176" s="208"/>
      <c r="H176" s="197"/>
      <c r="I176" s="196"/>
      <c r="J176" s="204"/>
      <c r="K176" s="204"/>
      <c r="L176" s="204"/>
      <c r="M176" s="197"/>
      <c r="N176" s="197"/>
      <c r="O176" s="197"/>
    </row>
    <row r="177" spans="1:15" x14ac:dyDescent="0.25">
      <c r="A177" s="236"/>
      <c r="B177" s="236"/>
      <c r="C177" s="205"/>
      <c r="D177" s="197"/>
      <c r="E177" s="197"/>
      <c r="F177" s="197"/>
      <c r="G177" s="208"/>
      <c r="H177" s="197"/>
      <c r="I177" s="196"/>
      <c r="J177" s="204"/>
      <c r="K177" s="204"/>
      <c r="L177" s="204"/>
      <c r="M177" s="197"/>
      <c r="N177" s="197"/>
      <c r="O177" s="197"/>
    </row>
    <row r="178" spans="1:15" x14ac:dyDescent="0.25">
      <c r="A178" s="236"/>
      <c r="B178" s="236"/>
      <c r="C178" s="205"/>
      <c r="D178" s="197"/>
      <c r="E178" s="197"/>
      <c r="F178" s="197"/>
      <c r="G178" s="208"/>
      <c r="H178" s="197"/>
      <c r="I178" s="196"/>
      <c r="J178" s="204"/>
      <c r="K178" s="204"/>
      <c r="L178" s="204"/>
      <c r="M178" s="197"/>
      <c r="N178" s="197"/>
      <c r="O178" s="197"/>
    </row>
    <row r="179" spans="1:15" x14ac:dyDescent="0.25">
      <c r="A179" s="236"/>
      <c r="B179" s="236"/>
      <c r="C179" s="205"/>
      <c r="D179" s="197"/>
      <c r="E179" s="197"/>
      <c r="F179" s="197"/>
      <c r="G179" s="208"/>
      <c r="H179" s="197"/>
      <c r="I179" s="196"/>
      <c r="J179" s="204"/>
      <c r="K179" s="204"/>
      <c r="L179" s="204"/>
      <c r="M179" s="197"/>
      <c r="N179" s="197"/>
      <c r="O179" s="197"/>
    </row>
    <row r="180" spans="1:15" x14ac:dyDescent="0.25">
      <c r="A180" s="236"/>
      <c r="B180" s="236"/>
      <c r="C180" s="205"/>
      <c r="D180" s="197"/>
      <c r="E180" s="197"/>
      <c r="F180" s="197"/>
      <c r="G180" s="208"/>
      <c r="H180" s="197"/>
      <c r="I180" s="196"/>
      <c r="J180" s="204"/>
      <c r="K180" s="204"/>
      <c r="L180" s="204"/>
      <c r="M180" s="197"/>
      <c r="N180" s="197"/>
      <c r="O180" s="197"/>
    </row>
    <row r="181" spans="1:15" x14ac:dyDescent="0.25">
      <c r="A181" s="236"/>
      <c r="B181" s="236"/>
      <c r="C181" s="205"/>
      <c r="D181" s="197"/>
      <c r="E181" s="197"/>
      <c r="F181" s="197"/>
      <c r="G181" s="208"/>
      <c r="H181" s="197"/>
      <c r="I181" s="196"/>
      <c r="J181" s="204"/>
      <c r="K181" s="204"/>
      <c r="L181" s="204"/>
      <c r="M181" s="197"/>
      <c r="N181" s="197"/>
      <c r="O181" s="197"/>
    </row>
    <row r="182" spans="1:15" x14ac:dyDescent="0.25">
      <c r="A182" s="236"/>
      <c r="B182" s="236"/>
      <c r="C182" s="205"/>
      <c r="D182" s="197"/>
      <c r="E182" s="197"/>
      <c r="F182" s="197"/>
      <c r="G182" s="208"/>
      <c r="H182" s="197"/>
      <c r="I182" s="196"/>
      <c r="J182" s="204"/>
      <c r="K182" s="204"/>
      <c r="L182" s="204"/>
      <c r="M182" s="197"/>
      <c r="N182" s="197"/>
      <c r="O182" s="197"/>
    </row>
    <row r="183" spans="1:15" x14ac:dyDescent="0.25">
      <c r="A183" s="236"/>
      <c r="B183" s="236"/>
      <c r="C183" s="205"/>
      <c r="D183" s="197"/>
      <c r="E183" s="197"/>
      <c r="F183" s="197"/>
      <c r="G183" s="208"/>
      <c r="H183" s="197"/>
      <c r="I183" s="196"/>
      <c r="J183" s="204"/>
      <c r="K183" s="204"/>
      <c r="L183" s="204"/>
      <c r="M183" s="197"/>
      <c r="N183" s="197"/>
      <c r="O183" s="197"/>
    </row>
    <row r="184" spans="1:15" x14ac:dyDescent="0.25">
      <c r="A184" s="236"/>
      <c r="B184" s="236"/>
      <c r="C184" s="205"/>
      <c r="D184" s="197"/>
      <c r="E184" s="197"/>
      <c r="F184" s="197"/>
      <c r="G184" s="208"/>
      <c r="H184" s="197"/>
      <c r="I184" s="196"/>
      <c r="J184" s="204"/>
      <c r="K184" s="204"/>
      <c r="L184" s="204"/>
      <c r="M184" s="197"/>
      <c r="N184" s="197"/>
      <c r="O184" s="197"/>
    </row>
    <row r="185" spans="1:15" x14ac:dyDescent="0.25">
      <c r="A185" s="236"/>
      <c r="B185" s="236"/>
      <c r="C185" s="205"/>
      <c r="D185" s="197"/>
      <c r="E185" s="197"/>
      <c r="F185" s="197"/>
      <c r="G185" s="208"/>
      <c r="H185" s="197"/>
      <c r="I185" s="196"/>
      <c r="J185" s="204"/>
      <c r="K185" s="204"/>
      <c r="L185" s="204"/>
      <c r="M185" s="197"/>
      <c r="N185" s="197"/>
      <c r="O185" s="197"/>
    </row>
    <row r="186" spans="1:15" x14ac:dyDescent="0.25">
      <c r="A186" s="236"/>
      <c r="B186" s="236"/>
      <c r="C186" s="205"/>
      <c r="D186" s="197"/>
      <c r="E186" s="197"/>
      <c r="F186" s="197"/>
      <c r="G186" s="208"/>
      <c r="H186" s="197"/>
      <c r="I186" s="196"/>
      <c r="J186" s="204"/>
      <c r="K186" s="204"/>
      <c r="L186" s="204"/>
      <c r="M186" s="197"/>
      <c r="N186" s="197"/>
      <c r="O186" s="197"/>
    </row>
    <row r="187" spans="1:15" x14ac:dyDescent="0.25">
      <c r="A187" s="236"/>
      <c r="B187" s="236"/>
      <c r="C187" s="205"/>
      <c r="D187" s="197"/>
      <c r="E187" s="197"/>
      <c r="F187" s="197"/>
      <c r="G187" s="208"/>
      <c r="H187" s="197"/>
      <c r="I187" s="196"/>
      <c r="J187" s="204"/>
      <c r="K187" s="204"/>
      <c r="L187" s="204"/>
      <c r="M187" s="197"/>
      <c r="N187" s="197"/>
      <c r="O187" s="197"/>
    </row>
    <row r="188" spans="1:15" x14ac:dyDescent="0.25">
      <c r="A188" s="236"/>
      <c r="B188" s="236"/>
      <c r="C188" s="205"/>
      <c r="D188" s="197"/>
      <c r="E188" s="197"/>
      <c r="F188" s="197"/>
      <c r="G188" s="208"/>
      <c r="H188" s="197"/>
      <c r="I188" s="196"/>
      <c r="J188" s="204"/>
      <c r="K188" s="204"/>
      <c r="L188" s="204"/>
      <c r="M188" s="197"/>
      <c r="N188" s="197"/>
      <c r="O188" s="197"/>
    </row>
    <row r="189" spans="1:15" x14ac:dyDescent="0.25">
      <c r="A189" s="236"/>
      <c r="B189" s="236"/>
      <c r="C189" s="205"/>
      <c r="D189" s="197"/>
      <c r="E189" s="197"/>
      <c r="F189" s="197"/>
      <c r="G189" s="208"/>
      <c r="H189" s="197"/>
      <c r="I189" s="196"/>
      <c r="J189" s="204"/>
      <c r="K189" s="204"/>
      <c r="L189" s="204"/>
      <c r="M189" s="197"/>
      <c r="N189" s="197"/>
      <c r="O189" s="197"/>
    </row>
    <row r="190" spans="1:15" x14ac:dyDescent="0.25">
      <c r="A190" s="236"/>
      <c r="B190" s="236"/>
      <c r="C190" s="205"/>
      <c r="D190" s="197"/>
      <c r="E190" s="197"/>
      <c r="F190" s="197"/>
      <c r="G190" s="208"/>
      <c r="H190" s="197"/>
      <c r="I190" s="196"/>
      <c r="J190" s="204"/>
      <c r="K190" s="204"/>
      <c r="L190" s="204"/>
      <c r="M190" s="197"/>
      <c r="N190" s="197"/>
      <c r="O190" s="197"/>
    </row>
    <row r="191" spans="1:15" x14ac:dyDescent="0.25">
      <c r="A191" s="236"/>
      <c r="B191" s="236"/>
      <c r="C191" s="205"/>
      <c r="D191" s="197"/>
      <c r="E191" s="197"/>
      <c r="F191" s="197"/>
      <c r="G191" s="208"/>
      <c r="H191" s="197"/>
      <c r="I191" s="196"/>
      <c r="J191" s="204"/>
      <c r="K191" s="204"/>
      <c r="L191" s="204"/>
      <c r="M191" s="197"/>
      <c r="N191" s="197"/>
      <c r="O191" s="197"/>
    </row>
    <row r="192" spans="1:15" x14ac:dyDescent="0.25">
      <c r="A192" s="236"/>
      <c r="B192" s="236"/>
      <c r="C192" s="205"/>
      <c r="D192" s="197"/>
      <c r="E192" s="197"/>
      <c r="F192" s="197"/>
      <c r="G192" s="208"/>
      <c r="H192" s="197"/>
      <c r="I192" s="196"/>
      <c r="J192" s="204"/>
      <c r="K192" s="204"/>
      <c r="L192" s="204"/>
      <c r="M192" s="197"/>
      <c r="N192" s="197"/>
      <c r="O192" s="197"/>
    </row>
    <row r="193" spans="1:15" x14ac:dyDescent="0.25">
      <c r="A193" s="236"/>
      <c r="B193" s="236"/>
      <c r="C193" s="205"/>
      <c r="D193" s="197"/>
      <c r="E193" s="197"/>
      <c r="F193" s="197"/>
      <c r="G193" s="208"/>
      <c r="H193" s="197"/>
      <c r="I193" s="196"/>
      <c r="J193" s="204"/>
      <c r="K193" s="204"/>
      <c r="L193" s="204"/>
      <c r="M193" s="197"/>
      <c r="N193" s="197"/>
      <c r="O193" s="197"/>
    </row>
    <row r="194" spans="1:15" x14ac:dyDescent="0.25">
      <c r="A194" s="236"/>
      <c r="B194" s="236"/>
      <c r="C194" s="205"/>
      <c r="D194" s="197"/>
      <c r="E194" s="197"/>
      <c r="F194" s="197"/>
      <c r="G194" s="208"/>
      <c r="H194" s="197"/>
      <c r="I194" s="196"/>
      <c r="J194" s="204"/>
      <c r="K194" s="204"/>
      <c r="L194" s="204"/>
      <c r="M194" s="197"/>
      <c r="N194" s="197"/>
      <c r="O194" s="197"/>
    </row>
    <row r="195" spans="1:15" x14ac:dyDescent="0.25">
      <c r="A195" s="236"/>
      <c r="B195" s="236"/>
      <c r="C195" s="205"/>
      <c r="D195" s="197"/>
      <c r="E195" s="197"/>
      <c r="F195" s="197"/>
      <c r="G195" s="208"/>
      <c r="H195" s="197"/>
      <c r="I195" s="196"/>
      <c r="J195" s="204"/>
      <c r="K195" s="204"/>
      <c r="L195" s="204"/>
      <c r="M195" s="197"/>
      <c r="N195" s="197"/>
      <c r="O195" s="197"/>
    </row>
    <row r="196" spans="1:15" x14ac:dyDescent="0.25">
      <c r="A196" s="236"/>
      <c r="B196" s="236"/>
      <c r="C196" s="205"/>
      <c r="D196" s="197"/>
      <c r="E196" s="197"/>
      <c r="F196" s="197"/>
      <c r="G196" s="208"/>
      <c r="H196" s="197"/>
      <c r="I196" s="196"/>
      <c r="J196" s="204"/>
      <c r="K196" s="204"/>
      <c r="L196" s="204"/>
      <c r="M196" s="197"/>
      <c r="N196" s="197"/>
      <c r="O196" s="197"/>
    </row>
    <row r="197" spans="1:15" x14ac:dyDescent="0.25">
      <c r="A197" s="236"/>
      <c r="B197" s="236"/>
      <c r="C197" s="205"/>
      <c r="D197" s="197"/>
      <c r="E197" s="197"/>
      <c r="F197" s="197"/>
      <c r="G197" s="208"/>
      <c r="H197" s="197"/>
      <c r="I197" s="196"/>
      <c r="J197" s="204"/>
      <c r="K197" s="204"/>
      <c r="L197" s="204"/>
      <c r="M197" s="197"/>
      <c r="N197" s="197"/>
      <c r="O197" s="197"/>
    </row>
    <row r="198" spans="1:15" x14ac:dyDescent="0.25">
      <c r="A198" s="236"/>
      <c r="B198" s="236"/>
      <c r="C198" s="205"/>
      <c r="D198" s="197"/>
      <c r="E198" s="197"/>
      <c r="F198" s="197"/>
      <c r="G198" s="208"/>
      <c r="H198" s="197"/>
      <c r="I198" s="196"/>
      <c r="J198" s="204"/>
      <c r="K198" s="204"/>
      <c r="L198" s="204"/>
      <c r="M198" s="197"/>
      <c r="N198" s="197"/>
      <c r="O198" s="197"/>
    </row>
    <row r="199" spans="1:15" x14ac:dyDescent="0.25">
      <c r="A199" s="236"/>
      <c r="B199" s="236"/>
      <c r="C199" s="205"/>
      <c r="D199" s="197"/>
      <c r="E199" s="197"/>
      <c r="F199" s="197"/>
      <c r="G199" s="208"/>
      <c r="H199" s="197"/>
      <c r="I199" s="196"/>
      <c r="J199" s="204"/>
      <c r="K199" s="204"/>
      <c r="L199" s="204"/>
      <c r="M199" s="197"/>
      <c r="N199" s="197"/>
      <c r="O199" s="197"/>
    </row>
    <row r="200" spans="1:15" x14ac:dyDescent="0.25">
      <c r="A200" s="236"/>
      <c r="B200" s="236"/>
      <c r="C200" s="205"/>
      <c r="D200" s="197"/>
      <c r="E200" s="197"/>
      <c r="F200" s="197"/>
      <c r="G200" s="208"/>
      <c r="H200" s="197"/>
      <c r="I200" s="196"/>
      <c r="J200" s="204"/>
      <c r="K200" s="204"/>
      <c r="L200" s="204"/>
      <c r="M200" s="197"/>
      <c r="N200" s="197"/>
      <c r="O200" s="197"/>
    </row>
    <row r="201" spans="1:15" x14ac:dyDescent="0.25">
      <c r="A201" s="236"/>
      <c r="B201" s="236"/>
      <c r="C201" s="205"/>
      <c r="D201" s="197"/>
      <c r="E201" s="197"/>
      <c r="F201" s="197"/>
      <c r="G201" s="208"/>
      <c r="H201" s="197"/>
      <c r="I201" s="196"/>
      <c r="J201" s="204"/>
      <c r="K201" s="204"/>
      <c r="L201" s="204"/>
      <c r="M201" s="197"/>
      <c r="N201" s="197"/>
      <c r="O201" s="197"/>
    </row>
    <row r="202" spans="1:15" x14ac:dyDescent="0.25">
      <c r="A202" s="236"/>
      <c r="B202" s="236"/>
      <c r="C202" s="205"/>
      <c r="D202" s="197"/>
      <c r="E202" s="197"/>
      <c r="F202" s="197"/>
      <c r="G202" s="208"/>
      <c r="H202" s="197"/>
      <c r="I202" s="196"/>
      <c r="J202" s="204"/>
      <c r="K202" s="204"/>
      <c r="L202" s="204"/>
      <c r="M202" s="197"/>
      <c r="N202" s="197"/>
      <c r="O202" s="197"/>
    </row>
    <row r="203" spans="1:15" x14ac:dyDescent="0.25">
      <c r="A203" s="236"/>
      <c r="B203" s="236"/>
      <c r="C203" s="205"/>
      <c r="D203" s="197"/>
      <c r="E203" s="197"/>
      <c r="F203" s="197"/>
      <c r="G203" s="208"/>
      <c r="H203" s="197"/>
      <c r="I203" s="196"/>
      <c r="J203" s="204"/>
      <c r="K203" s="204"/>
      <c r="L203" s="204"/>
      <c r="M203" s="197"/>
      <c r="N203" s="197"/>
      <c r="O203" s="197"/>
    </row>
    <row r="204" spans="1:15" x14ac:dyDescent="0.25">
      <c r="A204" s="236"/>
      <c r="B204" s="236"/>
      <c r="C204" s="205"/>
      <c r="D204" s="197"/>
      <c r="E204" s="197"/>
      <c r="F204" s="197"/>
      <c r="G204" s="208"/>
      <c r="H204" s="197"/>
      <c r="I204" s="196"/>
      <c r="J204" s="204"/>
      <c r="K204" s="204"/>
      <c r="L204" s="204"/>
      <c r="M204" s="197"/>
      <c r="N204" s="197"/>
      <c r="O204" s="197"/>
    </row>
    <row r="205" spans="1:15" x14ac:dyDescent="0.25">
      <c r="A205" s="236"/>
      <c r="B205" s="236"/>
      <c r="C205" s="205"/>
      <c r="D205" s="197"/>
      <c r="E205" s="197"/>
      <c r="F205" s="197"/>
      <c r="G205" s="208"/>
      <c r="H205" s="197"/>
      <c r="I205" s="196"/>
      <c r="J205" s="204"/>
      <c r="K205" s="204"/>
      <c r="L205" s="204"/>
      <c r="M205" s="197"/>
      <c r="N205" s="197"/>
      <c r="O205" s="197"/>
    </row>
    <row r="206" spans="1:15" x14ac:dyDescent="0.25">
      <c r="A206" s="236"/>
      <c r="B206" s="236"/>
      <c r="C206" s="205"/>
      <c r="D206" s="197"/>
      <c r="E206" s="197"/>
      <c r="F206" s="197"/>
      <c r="G206" s="208"/>
      <c r="H206" s="197"/>
      <c r="I206" s="196"/>
      <c r="J206" s="204"/>
      <c r="K206" s="204"/>
      <c r="L206" s="204"/>
      <c r="M206" s="197"/>
      <c r="N206" s="197"/>
      <c r="O206" s="197"/>
    </row>
    <row r="207" spans="1:15" x14ac:dyDescent="0.25">
      <c r="A207" s="236"/>
      <c r="B207" s="236"/>
      <c r="C207" s="205"/>
      <c r="D207" s="197"/>
      <c r="E207" s="197"/>
      <c r="F207" s="197"/>
      <c r="G207" s="208"/>
      <c r="H207" s="197"/>
      <c r="I207" s="196"/>
      <c r="J207" s="204"/>
      <c r="K207" s="204"/>
      <c r="L207" s="204"/>
      <c r="M207" s="197"/>
      <c r="N207" s="197"/>
      <c r="O207" s="197"/>
    </row>
    <row r="208" spans="1:15" x14ac:dyDescent="0.25">
      <c r="A208" s="236"/>
      <c r="B208" s="236"/>
      <c r="C208" s="205"/>
      <c r="D208" s="197"/>
      <c r="E208" s="197"/>
      <c r="F208" s="197"/>
      <c r="G208" s="208"/>
      <c r="H208" s="197"/>
      <c r="I208" s="196"/>
      <c r="J208" s="204"/>
      <c r="K208" s="204"/>
      <c r="L208" s="204"/>
      <c r="M208" s="197"/>
      <c r="N208" s="197"/>
      <c r="O208" s="197"/>
    </row>
    <row r="209" spans="1:15" x14ac:dyDescent="0.25">
      <c r="A209" s="236"/>
      <c r="B209" s="236"/>
      <c r="C209" s="205"/>
      <c r="D209" s="197"/>
      <c r="E209" s="197"/>
      <c r="F209" s="197"/>
      <c r="G209" s="208"/>
      <c r="H209" s="197"/>
      <c r="I209" s="196"/>
      <c r="J209" s="204"/>
      <c r="K209" s="204"/>
      <c r="L209" s="204"/>
      <c r="M209" s="197"/>
      <c r="N209" s="197"/>
      <c r="O209" s="197"/>
    </row>
    <row r="210" spans="1:15" x14ac:dyDescent="0.25">
      <c r="A210" s="236"/>
      <c r="B210" s="236"/>
      <c r="C210" s="205"/>
      <c r="D210" s="197"/>
      <c r="E210" s="197"/>
      <c r="F210" s="197"/>
      <c r="G210" s="208"/>
      <c r="H210" s="197"/>
      <c r="I210" s="196"/>
      <c r="J210" s="204"/>
      <c r="K210" s="204"/>
      <c r="L210" s="204"/>
      <c r="M210" s="197"/>
      <c r="N210" s="197"/>
      <c r="O210" s="197"/>
    </row>
    <row r="211" spans="1:15" x14ac:dyDescent="0.25">
      <c r="A211" s="236"/>
      <c r="B211" s="236"/>
      <c r="C211" s="205"/>
      <c r="D211" s="197"/>
      <c r="E211" s="197"/>
      <c r="F211" s="197"/>
      <c r="G211" s="208"/>
      <c r="H211" s="197"/>
      <c r="I211" s="196"/>
      <c r="J211" s="204"/>
      <c r="K211" s="204"/>
      <c r="L211" s="204"/>
      <c r="M211" s="197"/>
      <c r="N211" s="197"/>
      <c r="O211" s="197"/>
    </row>
    <row r="212" spans="1:15" x14ac:dyDescent="0.25">
      <c r="A212" s="236"/>
      <c r="B212" s="236"/>
      <c r="C212" s="205"/>
      <c r="D212" s="197"/>
      <c r="E212" s="197"/>
      <c r="F212" s="197"/>
      <c r="G212" s="208"/>
      <c r="H212" s="197"/>
      <c r="I212" s="196"/>
      <c r="J212" s="204"/>
      <c r="K212" s="204"/>
      <c r="L212" s="204"/>
      <c r="M212" s="197"/>
      <c r="N212" s="197"/>
      <c r="O212" s="197"/>
    </row>
    <row r="213" spans="1:15" x14ac:dyDescent="0.25">
      <c r="A213" s="236"/>
      <c r="B213" s="236"/>
      <c r="C213" s="205"/>
      <c r="D213" s="197"/>
      <c r="E213" s="197"/>
      <c r="F213" s="197"/>
      <c r="G213" s="208"/>
      <c r="H213" s="197"/>
      <c r="I213" s="196"/>
      <c r="J213" s="204"/>
      <c r="K213" s="204"/>
      <c r="L213" s="204"/>
      <c r="M213" s="197"/>
      <c r="N213" s="197"/>
      <c r="O213" s="197"/>
    </row>
    <row r="214" spans="1:15" x14ac:dyDescent="0.25">
      <c r="A214" s="236"/>
      <c r="B214" s="236"/>
      <c r="C214" s="205"/>
      <c r="D214" s="197"/>
      <c r="E214" s="197"/>
      <c r="F214" s="197"/>
      <c r="G214" s="208"/>
      <c r="H214" s="197"/>
      <c r="I214" s="196"/>
      <c r="J214" s="204"/>
      <c r="K214" s="204"/>
      <c r="L214" s="204"/>
      <c r="M214" s="197"/>
      <c r="N214" s="197"/>
      <c r="O214" s="197"/>
    </row>
    <row r="215" spans="1:15" x14ac:dyDescent="0.25">
      <c r="A215" s="236"/>
      <c r="B215" s="236"/>
      <c r="C215" s="205"/>
      <c r="D215" s="197"/>
      <c r="E215" s="197"/>
      <c r="F215" s="197"/>
      <c r="G215" s="208"/>
      <c r="H215" s="197"/>
      <c r="I215" s="196"/>
      <c r="J215" s="204"/>
      <c r="K215" s="204"/>
      <c r="L215" s="204"/>
      <c r="M215" s="197"/>
      <c r="N215" s="197"/>
      <c r="O215" s="197"/>
    </row>
    <row r="216" spans="1:15" x14ac:dyDescent="0.25">
      <c r="A216" s="236"/>
      <c r="B216" s="236"/>
      <c r="C216" s="205"/>
      <c r="D216" s="197"/>
      <c r="E216" s="197"/>
      <c r="F216" s="197"/>
      <c r="G216" s="208"/>
      <c r="H216" s="197"/>
      <c r="I216" s="196"/>
      <c r="J216" s="204"/>
      <c r="K216" s="204"/>
      <c r="L216" s="204"/>
      <c r="M216" s="197"/>
      <c r="N216" s="197"/>
      <c r="O216" s="197"/>
    </row>
    <row r="217" spans="1:15" x14ac:dyDescent="0.25">
      <c r="A217" s="236"/>
      <c r="B217" s="236"/>
      <c r="C217" s="205"/>
      <c r="D217" s="197"/>
      <c r="E217" s="197"/>
      <c r="F217" s="197"/>
      <c r="G217" s="208"/>
      <c r="H217" s="197"/>
      <c r="I217" s="196"/>
      <c r="J217" s="204"/>
      <c r="K217" s="204"/>
      <c r="L217" s="204"/>
      <c r="M217" s="197"/>
      <c r="N217" s="197"/>
      <c r="O217" s="197"/>
    </row>
    <row r="218" spans="1:15" x14ac:dyDescent="0.25">
      <c r="A218" s="236"/>
      <c r="B218" s="236"/>
      <c r="C218" s="205"/>
      <c r="D218" s="197"/>
      <c r="E218" s="197"/>
      <c r="F218" s="197"/>
      <c r="G218" s="208"/>
      <c r="H218" s="197"/>
      <c r="I218" s="196"/>
      <c r="J218" s="204"/>
      <c r="K218" s="204"/>
      <c r="L218" s="204"/>
      <c r="M218" s="197"/>
      <c r="N218" s="197"/>
      <c r="O218" s="197"/>
    </row>
    <row r="219" spans="1:15" x14ac:dyDescent="0.25">
      <c r="A219" s="236"/>
      <c r="B219" s="236"/>
      <c r="C219" s="205"/>
      <c r="D219" s="197"/>
      <c r="E219" s="197"/>
      <c r="F219" s="197"/>
      <c r="G219" s="208"/>
      <c r="H219" s="197"/>
      <c r="I219" s="196"/>
      <c r="J219" s="204"/>
      <c r="K219" s="204"/>
      <c r="L219" s="204"/>
      <c r="M219" s="197"/>
      <c r="N219" s="197"/>
      <c r="O219" s="197"/>
    </row>
    <row r="220" spans="1:15" x14ac:dyDescent="0.25">
      <c r="A220" s="236"/>
      <c r="B220" s="236"/>
      <c r="C220" s="205"/>
      <c r="D220" s="197"/>
      <c r="E220" s="197"/>
      <c r="F220" s="197"/>
      <c r="G220" s="208"/>
      <c r="H220" s="197"/>
      <c r="I220" s="196"/>
      <c r="J220" s="204"/>
      <c r="K220" s="204"/>
      <c r="L220" s="204"/>
      <c r="M220" s="197"/>
      <c r="N220" s="197"/>
      <c r="O220" s="197"/>
    </row>
    <row r="221" spans="1:15" x14ac:dyDescent="0.25">
      <c r="A221" s="236"/>
      <c r="B221" s="236"/>
      <c r="C221" s="205"/>
      <c r="D221" s="197"/>
      <c r="E221" s="197"/>
      <c r="F221" s="197"/>
      <c r="G221" s="208"/>
      <c r="H221" s="197"/>
      <c r="I221" s="196"/>
      <c r="J221" s="204"/>
      <c r="K221" s="204"/>
      <c r="L221" s="204"/>
      <c r="M221" s="197"/>
      <c r="N221" s="197"/>
      <c r="O221" s="197"/>
    </row>
    <row r="222" spans="1:15" x14ac:dyDescent="0.25">
      <c r="A222" s="236"/>
      <c r="B222" s="236"/>
      <c r="C222" s="205"/>
      <c r="D222" s="197"/>
      <c r="E222" s="197"/>
      <c r="F222" s="197"/>
      <c r="G222" s="208"/>
      <c r="H222" s="197"/>
      <c r="I222" s="196"/>
      <c r="J222" s="204"/>
      <c r="K222" s="204"/>
      <c r="L222" s="204"/>
      <c r="M222" s="197"/>
      <c r="N222" s="197"/>
      <c r="O222" s="197"/>
    </row>
    <row r="223" spans="1:15" x14ac:dyDescent="0.25">
      <c r="A223" s="236"/>
      <c r="B223" s="236"/>
      <c r="C223" s="205"/>
      <c r="D223" s="197"/>
      <c r="E223" s="197"/>
      <c r="F223" s="197"/>
      <c r="G223" s="208"/>
      <c r="H223" s="197"/>
      <c r="I223" s="196"/>
      <c r="J223" s="204"/>
      <c r="K223" s="204"/>
      <c r="L223" s="204"/>
      <c r="M223" s="197"/>
      <c r="N223" s="197"/>
      <c r="O223" s="197"/>
    </row>
    <row r="224" spans="1:15" x14ac:dyDescent="0.25">
      <c r="A224" s="236"/>
      <c r="B224" s="236"/>
      <c r="C224" s="205"/>
      <c r="D224" s="197"/>
      <c r="E224" s="197"/>
      <c r="F224" s="197"/>
      <c r="G224" s="208"/>
      <c r="H224" s="197"/>
      <c r="I224" s="196"/>
      <c r="J224" s="204"/>
      <c r="K224" s="204"/>
      <c r="L224" s="204"/>
      <c r="M224" s="197"/>
      <c r="N224" s="197"/>
      <c r="O224" s="197"/>
    </row>
    <row r="225" spans="1:15" x14ac:dyDescent="0.25">
      <c r="A225" s="236"/>
      <c r="B225" s="236"/>
      <c r="C225" s="205"/>
      <c r="D225" s="197"/>
      <c r="E225" s="197"/>
      <c r="F225" s="197"/>
      <c r="G225" s="208"/>
      <c r="H225" s="197"/>
      <c r="I225" s="196"/>
      <c r="J225" s="204"/>
      <c r="K225" s="204"/>
      <c r="L225" s="204"/>
      <c r="M225" s="197"/>
      <c r="N225" s="197"/>
      <c r="O225" s="197"/>
    </row>
    <row r="226" spans="1:15" x14ac:dyDescent="0.25">
      <c r="A226" s="236"/>
      <c r="B226" s="236"/>
      <c r="C226" s="205"/>
      <c r="D226" s="197"/>
      <c r="E226" s="197"/>
      <c r="F226" s="197"/>
      <c r="G226" s="208"/>
      <c r="H226" s="197"/>
      <c r="I226" s="196"/>
      <c r="J226" s="204"/>
      <c r="K226" s="204"/>
      <c r="L226" s="204"/>
      <c r="M226" s="197"/>
      <c r="N226" s="197"/>
      <c r="O226" s="197"/>
    </row>
    <row r="227" spans="1:15" x14ac:dyDescent="0.25">
      <c r="A227" s="236"/>
      <c r="B227" s="236"/>
      <c r="C227" s="205"/>
      <c r="D227" s="197"/>
      <c r="E227" s="197"/>
      <c r="F227" s="197"/>
      <c r="G227" s="208"/>
      <c r="H227" s="197"/>
      <c r="I227" s="196"/>
      <c r="J227" s="204"/>
      <c r="K227" s="204"/>
      <c r="L227" s="204"/>
      <c r="M227" s="197"/>
      <c r="N227" s="197"/>
      <c r="O227" s="197"/>
    </row>
    <row r="228" spans="1:15" x14ac:dyDescent="0.25">
      <c r="A228" s="236"/>
      <c r="B228" s="236"/>
      <c r="C228" s="205"/>
      <c r="D228" s="197"/>
      <c r="E228" s="197"/>
      <c r="F228" s="197"/>
      <c r="G228" s="208"/>
      <c r="H228" s="197"/>
      <c r="I228" s="196"/>
      <c r="J228" s="204"/>
      <c r="K228" s="204"/>
      <c r="L228" s="204"/>
      <c r="M228" s="197"/>
      <c r="N228" s="197"/>
      <c r="O228" s="197"/>
    </row>
    <row r="229" spans="1:15" x14ac:dyDescent="0.25">
      <c r="A229" s="236"/>
      <c r="B229" s="236"/>
      <c r="C229" s="205"/>
      <c r="D229" s="197"/>
      <c r="E229" s="197"/>
      <c r="F229" s="197"/>
      <c r="G229" s="208"/>
      <c r="H229" s="197"/>
      <c r="I229" s="196"/>
      <c r="J229" s="204"/>
      <c r="K229" s="204"/>
      <c r="L229" s="204"/>
      <c r="M229" s="197"/>
      <c r="N229" s="197"/>
      <c r="O229" s="197"/>
    </row>
    <row r="230" spans="1:15" x14ac:dyDescent="0.25">
      <c r="A230" s="236"/>
      <c r="B230" s="236"/>
      <c r="C230" s="205"/>
      <c r="D230" s="197"/>
      <c r="E230" s="197"/>
      <c r="F230" s="197"/>
      <c r="G230" s="208"/>
      <c r="H230" s="197"/>
      <c r="I230" s="196"/>
      <c r="J230" s="204"/>
      <c r="K230" s="204"/>
      <c r="L230" s="204"/>
      <c r="M230" s="197"/>
      <c r="N230" s="197"/>
      <c r="O230" s="197"/>
    </row>
    <row r="231" spans="1:15" x14ac:dyDescent="0.25">
      <c r="A231" s="236"/>
      <c r="B231" s="236"/>
      <c r="C231" s="205"/>
      <c r="D231" s="197"/>
      <c r="E231" s="197"/>
      <c r="F231" s="197"/>
      <c r="G231" s="208"/>
      <c r="H231" s="197"/>
      <c r="I231" s="196"/>
      <c r="J231" s="204"/>
      <c r="K231" s="204"/>
      <c r="L231" s="204"/>
      <c r="M231" s="197"/>
      <c r="N231" s="197"/>
      <c r="O231" s="197"/>
    </row>
    <row r="232" spans="1:15" x14ac:dyDescent="0.25">
      <c r="A232" s="236"/>
      <c r="B232" s="236"/>
      <c r="C232" s="205"/>
      <c r="D232" s="197"/>
      <c r="E232" s="197"/>
      <c r="F232" s="197"/>
      <c r="G232" s="208"/>
      <c r="H232" s="197"/>
      <c r="I232" s="196"/>
      <c r="J232" s="204"/>
      <c r="K232" s="204"/>
      <c r="L232" s="204"/>
      <c r="M232" s="197"/>
      <c r="N232" s="197"/>
      <c r="O232" s="197"/>
    </row>
    <row r="233" spans="1:15" x14ac:dyDescent="0.25">
      <c r="A233" s="236"/>
      <c r="B233" s="236"/>
      <c r="C233" s="205"/>
      <c r="D233" s="197"/>
      <c r="E233" s="197"/>
      <c r="F233" s="197"/>
      <c r="G233" s="208"/>
      <c r="H233" s="197"/>
      <c r="I233" s="196"/>
      <c r="J233" s="204"/>
      <c r="K233" s="204"/>
      <c r="L233" s="204"/>
      <c r="M233" s="197"/>
      <c r="N233" s="197"/>
      <c r="O233" s="197"/>
    </row>
    <row r="234" spans="1:15" x14ac:dyDescent="0.25">
      <c r="A234" s="236"/>
      <c r="B234" s="236"/>
      <c r="C234" s="205"/>
      <c r="D234" s="197"/>
      <c r="E234" s="197"/>
      <c r="F234" s="197"/>
      <c r="G234" s="208"/>
      <c r="H234" s="197"/>
      <c r="I234" s="196"/>
      <c r="J234" s="204"/>
      <c r="K234" s="204"/>
      <c r="L234" s="204"/>
      <c r="M234" s="197"/>
      <c r="N234" s="197"/>
      <c r="O234" s="197"/>
    </row>
    <row r="235" spans="1:15" x14ac:dyDescent="0.25">
      <c r="A235" s="236"/>
      <c r="B235" s="236"/>
      <c r="C235" s="205"/>
      <c r="D235" s="197"/>
      <c r="E235" s="197"/>
      <c r="F235" s="197"/>
      <c r="G235" s="208"/>
      <c r="H235" s="197"/>
      <c r="I235" s="196"/>
      <c r="J235" s="204"/>
      <c r="K235" s="204"/>
      <c r="L235" s="204"/>
      <c r="M235" s="197"/>
      <c r="N235" s="197"/>
      <c r="O235" s="197"/>
    </row>
    <row r="236" spans="1:15" x14ac:dyDescent="0.25">
      <c r="A236" s="236"/>
      <c r="B236" s="236"/>
      <c r="C236" s="205"/>
      <c r="D236" s="197"/>
      <c r="E236" s="197"/>
      <c r="F236" s="197"/>
      <c r="G236" s="208"/>
      <c r="H236" s="197"/>
      <c r="I236" s="196"/>
      <c r="J236" s="204"/>
      <c r="K236" s="204"/>
      <c r="L236" s="204"/>
      <c r="M236" s="197"/>
      <c r="N236" s="197"/>
      <c r="O236" s="197"/>
    </row>
    <row r="237" spans="1:15" x14ac:dyDescent="0.25">
      <c r="A237" s="236"/>
      <c r="B237" s="236"/>
      <c r="C237" s="205"/>
      <c r="D237" s="197"/>
      <c r="E237" s="197"/>
      <c r="F237" s="197"/>
      <c r="G237" s="208"/>
      <c r="H237" s="197"/>
      <c r="I237" s="196"/>
      <c r="J237" s="204"/>
      <c r="K237" s="204"/>
      <c r="L237" s="204"/>
      <c r="M237" s="197"/>
      <c r="N237" s="197"/>
      <c r="O237" s="197"/>
    </row>
    <row r="238" spans="1:15" x14ac:dyDescent="0.25">
      <c r="A238" s="236"/>
      <c r="B238" s="236"/>
      <c r="C238" s="205"/>
      <c r="D238" s="197"/>
      <c r="E238" s="197"/>
      <c r="F238" s="197"/>
      <c r="G238" s="208"/>
      <c r="H238" s="197"/>
      <c r="I238" s="196"/>
      <c r="J238" s="204"/>
      <c r="K238" s="204"/>
      <c r="L238" s="204"/>
      <c r="M238" s="197"/>
      <c r="N238" s="197"/>
      <c r="O238" s="197"/>
    </row>
    <row r="239" spans="1:15" x14ac:dyDescent="0.25">
      <c r="A239" s="236"/>
      <c r="B239" s="236"/>
      <c r="C239" s="205"/>
      <c r="D239" s="197"/>
      <c r="E239" s="197"/>
      <c r="F239" s="197"/>
      <c r="G239" s="208"/>
      <c r="H239" s="197"/>
      <c r="I239" s="196"/>
      <c r="J239" s="204"/>
      <c r="K239" s="204"/>
      <c r="L239" s="204"/>
      <c r="M239" s="197"/>
      <c r="N239" s="197"/>
      <c r="O239" s="197"/>
    </row>
    <row r="240" spans="1:15" x14ac:dyDescent="0.25">
      <c r="A240" s="236"/>
      <c r="B240" s="236"/>
      <c r="C240" s="205"/>
      <c r="D240" s="197"/>
      <c r="E240" s="197"/>
      <c r="F240" s="197"/>
      <c r="G240" s="208"/>
      <c r="H240" s="197"/>
      <c r="I240" s="196"/>
      <c r="J240" s="204"/>
      <c r="K240" s="204"/>
      <c r="L240" s="204"/>
      <c r="M240" s="197"/>
      <c r="N240" s="197"/>
      <c r="O240" s="197"/>
    </row>
    <row r="241" spans="1:15" x14ac:dyDescent="0.25">
      <c r="A241" s="236"/>
      <c r="B241" s="236"/>
      <c r="C241" s="205"/>
      <c r="D241" s="197"/>
      <c r="E241" s="197"/>
      <c r="F241" s="197"/>
      <c r="G241" s="208"/>
      <c r="H241" s="197"/>
      <c r="I241" s="196"/>
      <c r="J241" s="204"/>
      <c r="K241" s="204"/>
      <c r="L241" s="204"/>
      <c r="M241" s="197"/>
      <c r="N241" s="197"/>
      <c r="O241" s="197"/>
    </row>
    <row r="242" spans="1:15" x14ac:dyDescent="0.25">
      <c r="A242" s="236"/>
      <c r="B242" s="236"/>
      <c r="C242" s="205"/>
      <c r="D242" s="197"/>
      <c r="E242" s="197"/>
      <c r="F242" s="197"/>
      <c r="G242" s="208"/>
      <c r="H242" s="197"/>
      <c r="I242" s="196"/>
      <c r="J242" s="204"/>
      <c r="K242" s="204"/>
      <c r="L242" s="204"/>
      <c r="M242" s="197"/>
      <c r="N242" s="197"/>
      <c r="O242" s="197"/>
    </row>
    <row r="243" spans="1:15" x14ac:dyDescent="0.25">
      <c r="A243" s="236"/>
      <c r="B243" s="236"/>
      <c r="C243" s="205"/>
      <c r="D243" s="197"/>
      <c r="E243" s="197"/>
      <c r="F243" s="197"/>
      <c r="G243" s="208"/>
      <c r="H243" s="197"/>
      <c r="I243" s="196"/>
      <c r="J243" s="204"/>
      <c r="K243" s="204"/>
      <c r="L243" s="204"/>
      <c r="M243" s="197"/>
      <c r="N243" s="197"/>
      <c r="O243" s="197"/>
    </row>
    <row r="244" spans="1:15" x14ac:dyDescent="0.25">
      <c r="A244" s="236"/>
      <c r="B244" s="236"/>
      <c r="C244" s="205"/>
      <c r="D244" s="197"/>
      <c r="E244" s="197"/>
      <c r="F244" s="197"/>
      <c r="G244" s="208"/>
      <c r="H244" s="197"/>
      <c r="I244" s="196"/>
      <c r="J244" s="204"/>
      <c r="K244" s="204"/>
      <c r="L244" s="204"/>
      <c r="M244" s="197"/>
      <c r="N244" s="197"/>
      <c r="O244" s="197"/>
    </row>
    <row r="245" spans="1:15" x14ac:dyDescent="0.25">
      <c r="A245" s="236"/>
      <c r="B245" s="236"/>
      <c r="C245" s="205"/>
      <c r="D245" s="197"/>
      <c r="E245" s="197"/>
      <c r="F245" s="197"/>
      <c r="G245" s="208"/>
      <c r="H245" s="197"/>
      <c r="I245" s="196"/>
      <c r="J245" s="204"/>
      <c r="K245" s="204"/>
      <c r="L245" s="204"/>
      <c r="M245" s="197"/>
      <c r="N245" s="197"/>
      <c r="O245" s="197"/>
    </row>
    <row r="246" spans="1:15" x14ac:dyDescent="0.25">
      <c r="A246" s="236"/>
      <c r="B246" s="236"/>
      <c r="C246" s="205"/>
      <c r="D246" s="197"/>
      <c r="E246" s="197"/>
      <c r="F246" s="197"/>
      <c r="G246" s="208"/>
      <c r="H246" s="197"/>
      <c r="I246" s="196"/>
      <c r="J246" s="204"/>
      <c r="K246" s="204"/>
      <c r="L246" s="204"/>
      <c r="M246" s="197"/>
      <c r="N246" s="197"/>
      <c r="O246" s="197"/>
    </row>
    <row r="247" spans="1:15" x14ac:dyDescent="0.25">
      <c r="A247" s="236"/>
      <c r="B247" s="236"/>
      <c r="C247" s="205"/>
      <c r="D247" s="197"/>
      <c r="E247" s="197"/>
      <c r="F247" s="197"/>
      <c r="G247" s="208"/>
      <c r="H247" s="197"/>
      <c r="I247" s="196"/>
      <c r="J247" s="204"/>
      <c r="K247" s="204"/>
      <c r="L247" s="204"/>
      <c r="M247" s="197"/>
      <c r="N247" s="197"/>
      <c r="O247" s="197"/>
    </row>
    <row r="248" spans="1:15" x14ac:dyDescent="0.25">
      <c r="A248" s="236"/>
      <c r="B248" s="236"/>
      <c r="C248" s="205"/>
      <c r="D248" s="197"/>
      <c r="E248" s="197"/>
      <c r="F248" s="197"/>
      <c r="G248" s="208"/>
      <c r="H248" s="197"/>
      <c r="I248" s="196"/>
      <c r="J248" s="204"/>
      <c r="K248" s="204"/>
      <c r="L248" s="204"/>
      <c r="M248" s="197"/>
      <c r="N248" s="197"/>
      <c r="O248" s="197"/>
    </row>
    <row r="249" spans="1:15" x14ac:dyDescent="0.25">
      <c r="A249" s="236"/>
      <c r="B249" s="236"/>
      <c r="C249" s="205"/>
      <c r="D249" s="197"/>
      <c r="E249" s="197"/>
      <c r="F249" s="197"/>
      <c r="G249" s="208"/>
      <c r="H249" s="197"/>
      <c r="I249" s="196"/>
      <c r="J249" s="204"/>
      <c r="K249" s="204"/>
      <c r="L249" s="204"/>
      <c r="M249" s="197"/>
      <c r="N249" s="197"/>
      <c r="O249" s="197"/>
    </row>
    <row r="250" spans="1:15" x14ac:dyDescent="0.25">
      <c r="A250" s="236"/>
      <c r="B250" s="236"/>
      <c r="C250" s="205"/>
      <c r="D250" s="197"/>
      <c r="E250" s="197"/>
      <c r="F250" s="197"/>
      <c r="G250" s="208"/>
      <c r="H250" s="197"/>
      <c r="I250" s="196"/>
      <c r="J250" s="204"/>
      <c r="K250" s="204"/>
      <c r="L250" s="204"/>
      <c r="M250" s="197"/>
      <c r="N250" s="197"/>
      <c r="O250" s="197"/>
    </row>
    <row r="251" spans="1:15" x14ac:dyDescent="0.25">
      <c r="A251" s="236"/>
      <c r="B251" s="236"/>
      <c r="C251" s="205"/>
      <c r="D251" s="197"/>
      <c r="E251" s="197"/>
      <c r="F251" s="197"/>
      <c r="G251" s="208"/>
      <c r="H251" s="197"/>
      <c r="I251" s="196"/>
      <c r="J251" s="204"/>
      <c r="K251" s="204"/>
      <c r="L251" s="204"/>
      <c r="M251" s="197"/>
      <c r="N251" s="197"/>
      <c r="O251" s="197"/>
    </row>
    <row r="252" spans="1:15" x14ac:dyDescent="0.25">
      <c r="A252" s="236"/>
      <c r="B252" s="236"/>
      <c r="C252" s="205"/>
      <c r="D252" s="197"/>
      <c r="E252" s="197"/>
      <c r="F252" s="197"/>
      <c r="G252" s="208"/>
      <c r="H252" s="197"/>
      <c r="I252" s="196"/>
      <c r="J252" s="204"/>
      <c r="K252" s="204"/>
      <c r="L252" s="204"/>
      <c r="M252" s="197"/>
      <c r="N252" s="197"/>
      <c r="O252" s="197"/>
    </row>
    <row r="253" spans="1:15" x14ac:dyDescent="0.25">
      <c r="A253" s="236"/>
      <c r="B253" s="236"/>
      <c r="C253" s="205"/>
      <c r="D253" s="197"/>
      <c r="E253" s="197"/>
      <c r="F253" s="197"/>
      <c r="G253" s="208"/>
      <c r="H253" s="197"/>
      <c r="I253" s="196"/>
      <c r="J253" s="204"/>
      <c r="K253" s="204"/>
      <c r="L253" s="204"/>
      <c r="M253" s="197"/>
      <c r="N253" s="197"/>
      <c r="O253" s="197"/>
    </row>
    <row r="254" spans="1:15" x14ac:dyDescent="0.25">
      <c r="A254" s="236"/>
      <c r="B254" s="236"/>
      <c r="C254" s="205"/>
      <c r="D254" s="197"/>
      <c r="E254" s="197"/>
      <c r="F254" s="197"/>
      <c r="G254" s="208"/>
      <c r="H254" s="197"/>
      <c r="I254" s="196"/>
      <c r="J254" s="204"/>
      <c r="K254" s="204"/>
      <c r="L254" s="204"/>
      <c r="M254" s="197"/>
      <c r="N254" s="197"/>
      <c r="O254" s="197"/>
    </row>
    <row r="255" spans="1:15" x14ac:dyDescent="0.25">
      <c r="A255" s="236"/>
      <c r="B255" s="236"/>
      <c r="C255" s="205"/>
      <c r="D255" s="197"/>
      <c r="E255" s="197"/>
      <c r="F255" s="197"/>
      <c r="G255" s="208"/>
      <c r="H255" s="197"/>
      <c r="I255" s="196"/>
      <c r="J255" s="204"/>
      <c r="K255" s="204"/>
      <c r="L255" s="204"/>
      <c r="M255" s="197"/>
      <c r="N255" s="197"/>
      <c r="O255" s="197"/>
    </row>
    <row r="256" spans="1:15" x14ac:dyDescent="0.25">
      <c r="A256" s="236"/>
      <c r="B256" s="236"/>
      <c r="C256" s="205"/>
      <c r="D256" s="197"/>
      <c r="E256" s="197"/>
      <c r="F256" s="197"/>
      <c r="G256" s="208"/>
      <c r="H256" s="197"/>
      <c r="I256" s="196"/>
      <c r="J256" s="204"/>
      <c r="K256" s="204"/>
      <c r="L256" s="204"/>
      <c r="M256" s="197"/>
      <c r="N256" s="197"/>
      <c r="O256" s="197"/>
    </row>
    <row r="257" spans="1:15" x14ac:dyDescent="0.25">
      <c r="A257" s="236"/>
      <c r="B257" s="236"/>
      <c r="C257" s="205"/>
      <c r="D257" s="197"/>
      <c r="E257" s="197"/>
      <c r="F257" s="197"/>
      <c r="G257" s="208"/>
      <c r="H257" s="197"/>
      <c r="I257" s="196"/>
      <c r="J257" s="204"/>
      <c r="K257" s="204"/>
      <c r="L257" s="204"/>
      <c r="M257" s="197"/>
      <c r="N257" s="197"/>
      <c r="O257" s="197"/>
    </row>
    <row r="258" spans="1:15" x14ac:dyDescent="0.25">
      <c r="A258" s="236"/>
      <c r="B258" s="236"/>
      <c r="C258" s="205"/>
      <c r="D258" s="197"/>
      <c r="E258" s="197"/>
      <c r="F258" s="197"/>
      <c r="G258" s="208"/>
      <c r="H258" s="197"/>
      <c r="I258" s="196"/>
      <c r="J258" s="204"/>
      <c r="K258" s="204"/>
      <c r="L258" s="204"/>
      <c r="M258" s="197"/>
      <c r="N258" s="197"/>
      <c r="O258" s="197"/>
    </row>
    <row r="259" spans="1:15" x14ac:dyDescent="0.25">
      <c r="A259" s="236"/>
      <c r="B259" s="236"/>
      <c r="C259" s="205"/>
      <c r="D259" s="197"/>
      <c r="E259" s="197"/>
      <c r="F259" s="197"/>
      <c r="G259" s="208"/>
      <c r="H259" s="197"/>
      <c r="I259" s="196"/>
      <c r="J259" s="204"/>
      <c r="K259" s="204"/>
      <c r="L259" s="204"/>
      <c r="M259" s="197"/>
      <c r="N259" s="197"/>
      <c r="O259" s="197"/>
    </row>
    <row r="260" spans="1:15" x14ac:dyDescent="0.25">
      <c r="A260" s="236"/>
      <c r="B260" s="236"/>
      <c r="C260" s="205"/>
      <c r="D260" s="197"/>
      <c r="E260" s="197"/>
      <c r="F260" s="197"/>
      <c r="G260" s="208"/>
      <c r="H260" s="197"/>
      <c r="I260" s="196"/>
      <c r="J260" s="204"/>
      <c r="K260" s="204"/>
      <c r="L260" s="204"/>
      <c r="M260" s="197"/>
      <c r="N260" s="197"/>
      <c r="O260" s="197"/>
    </row>
    <row r="261" spans="1:15" x14ac:dyDescent="0.25">
      <c r="A261" s="236"/>
      <c r="B261" s="236"/>
      <c r="C261" s="205"/>
      <c r="D261" s="197"/>
      <c r="E261" s="197"/>
      <c r="F261" s="197"/>
      <c r="G261" s="208"/>
      <c r="H261" s="197"/>
      <c r="I261" s="196"/>
      <c r="J261" s="204"/>
      <c r="K261" s="204"/>
      <c r="L261" s="204"/>
      <c r="M261" s="197"/>
      <c r="N261" s="197"/>
      <c r="O261" s="197"/>
    </row>
    <row r="262" spans="1:15" x14ac:dyDescent="0.25">
      <c r="A262" s="236"/>
      <c r="B262" s="236"/>
      <c r="C262" s="205"/>
      <c r="D262" s="197"/>
      <c r="E262" s="197"/>
      <c r="F262" s="197"/>
      <c r="G262" s="208"/>
      <c r="H262" s="197"/>
      <c r="I262" s="196"/>
      <c r="J262" s="204"/>
      <c r="K262" s="204"/>
      <c r="L262" s="204"/>
      <c r="M262" s="197"/>
      <c r="N262" s="197"/>
      <c r="O262" s="197"/>
    </row>
    <row r="263" spans="1:15" x14ac:dyDescent="0.25">
      <c r="A263" s="236"/>
      <c r="B263" s="236"/>
      <c r="C263" s="205"/>
      <c r="D263" s="197"/>
      <c r="E263" s="197"/>
      <c r="F263" s="197"/>
      <c r="G263" s="208"/>
      <c r="H263" s="197"/>
      <c r="I263" s="196"/>
      <c r="J263" s="204"/>
      <c r="K263" s="204"/>
      <c r="L263" s="204"/>
      <c r="M263" s="197"/>
      <c r="N263" s="197"/>
      <c r="O263" s="197"/>
    </row>
    <row r="264" spans="1:15" x14ac:dyDescent="0.25">
      <c r="A264" s="236"/>
      <c r="B264" s="236"/>
      <c r="C264" s="205"/>
      <c r="D264" s="197"/>
      <c r="E264" s="197"/>
      <c r="F264" s="197"/>
      <c r="G264" s="208"/>
      <c r="H264" s="197"/>
      <c r="I264" s="196"/>
      <c r="J264" s="204"/>
      <c r="K264" s="204"/>
      <c r="L264" s="204"/>
      <c r="M264" s="197"/>
      <c r="N264" s="197"/>
      <c r="O264" s="197"/>
    </row>
    <row r="265" spans="1:15" x14ac:dyDescent="0.25">
      <c r="A265" s="236"/>
      <c r="B265" s="236"/>
      <c r="C265" s="205"/>
      <c r="D265" s="197"/>
      <c r="E265" s="197"/>
      <c r="F265" s="197"/>
      <c r="G265" s="208"/>
      <c r="H265" s="197"/>
      <c r="I265" s="196"/>
      <c r="J265" s="204"/>
      <c r="K265" s="204"/>
      <c r="L265" s="204"/>
      <c r="M265" s="197"/>
      <c r="N265" s="197"/>
      <c r="O265" s="197"/>
    </row>
    <row r="266" spans="1:15" x14ac:dyDescent="0.25">
      <c r="A266" s="236"/>
      <c r="B266" s="236"/>
      <c r="C266" s="205"/>
      <c r="D266" s="197"/>
      <c r="E266" s="197"/>
      <c r="F266" s="197"/>
      <c r="G266" s="208"/>
      <c r="H266" s="197"/>
      <c r="I266" s="196"/>
      <c r="J266" s="204"/>
      <c r="K266" s="204"/>
      <c r="L266" s="204"/>
      <c r="M266" s="197"/>
      <c r="N266" s="197"/>
      <c r="O266" s="197"/>
    </row>
    <row r="267" spans="1:15" x14ac:dyDescent="0.25">
      <c r="A267" s="236"/>
      <c r="B267" s="236"/>
      <c r="C267" s="205"/>
      <c r="D267" s="197"/>
      <c r="E267" s="197"/>
      <c r="F267" s="197"/>
      <c r="G267" s="208"/>
      <c r="H267" s="197"/>
      <c r="I267" s="196"/>
      <c r="J267" s="204"/>
      <c r="K267" s="204"/>
      <c r="L267" s="204"/>
      <c r="M267" s="197"/>
      <c r="N267" s="197"/>
      <c r="O267" s="197"/>
    </row>
    <row r="268" spans="1:15" x14ac:dyDescent="0.25">
      <c r="A268" s="236"/>
      <c r="B268" s="236"/>
      <c r="C268" s="205"/>
      <c r="D268" s="197"/>
      <c r="E268" s="197"/>
      <c r="F268" s="197"/>
      <c r="G268" s="208"/>
      <c r="H268" s="197"/>
      <c r="I268" s="196"/>
      <c r="J268" s="204"/>
      <c r="K268" s="204"/>
      <c r="L268" s="204"/>
      <c r="M268" s="197"/>
      <c r="N268" s="197"/>
      <c r="O268" s="197"/>
    </row>
    <row r="269" spans="1:15" x14ac:dyDescent="0.25">
      <c r="A269" s="236"/>
      <c r="B269" s="236"/>
      <c r="C269" s="205"/>
      <c r="D269" s="197"/>
      <c r="E269" s="197"/>
      <c r="F269" s="197"/>
      <c r="G269" s="208"/>
      <c r="H269" s="197"/>
      <c r="I269" s="196"/>
      <c r="J269" s="204"/>
      <c r="K269" s="204"/>
      <c r="L269" s="204"/>
      <c r="M269" s="197"/>
      <c r="N269" s="197"/>
      <c r="O269" s="197"/>
    </row>
    <row r="270" spans="1:15" x14ac:dyDescent="0.25">
      <c r="A270" s="236"/>
      <c r="B270" s="236"/>
      <c r="C270" s="205"/>
      <c r="D270" s="197"/>
      <c r="E270" s="197"/>
      <c r="F270" s="197"/>
      <c r="G270" s="208"/>
      <c r="H270" s="197"/>
      <c r="I270" s="196"/>
      <c r="J270" s="204"/>
      <c r="K270" s="204"/>
      <c r="L270" s="204"/>
      <c r="M270" s="197"/>
      <c r="N270" s="197"/>
      <c r="O270" s="197"/>
    </row>
    <row r="271" spans="1:15" x14ac:dyDescent="0.25">
      <c r="A271" s="236"/>
      <c r="B271" s="236"/>
      <c r="C271" s="205"/>
      <c r="D271" s="197"/>
      <c r="E271" s="197"/>
      <c r="F271" s="197"/>
      <c r="G271" s="208"/>
      <c r="H271" s="197"/>
      <c r="I271" s="196"/>
      <c r="J271" s="204"/>
      <c r="K271" s="204"/>
      <c r="L271" s="204"/>
      <c r="M271" s="197"/>
      <c r="N271" s="197"/>
      <c r="O271" s="197"/>
    </row>
    <row r="272" spans="1:15" x14ac:dyDescent="0.25">
      <c r="A272" s="236"/>
      <c r="B272" s="236"/>
      <c r="C272" s="205"/>
      <c r="D272" s="197"/>
      <c r="E272" s="197"/>
      <c r="F272" s="197"/>
      <c r="G272" s="208"/>
      <c r="H272" s="197"/>
      <c r="I272" s="196"/>
      <c r="J272" s="204"/>
      <c r="K272" s="204"/>
      <c r="L272" s="204"/>
      <c r="M272" s="197"/>
      <c r="N272" s="197"/>
      <c r="O272" s="197"/>
    </row>
    <row r="273" spans="1:15" x14ac:dyDescent="0.25">
      <c r="A273" s="236"/>
      <c r="B273" s="236"/>
      <c r="C273" s="205"/>
      <c r="D273" s="197"/>
      <c r="E273" s="197"/>
      <c r="F273" s="197"/>
      <c r="G273" s="208"/>
      <c r="H273" s="197"/>
      <c r="I273" s="196"/>
      <c r="J273" s="204"/>
      <c r="K273" s="204"/>
      <c r="L273" s="204"/>
      <c r="M273" s="197"/>
      <c r="N273" s="197"/>
      <c r="O273" s="197"/>
    </row>
    <row r="274" spans="1:15" x14ac:dyDescent="0.25">
      <c r="A274" s="236"/>
      <c r="B274" s="236"/>
      <c r="C274" s="205"/>
      <c r="D274" s="197"/>
      <c r="E274" s="197"/>
      <c r="F274" s="197"/>
      <c r="G274" s="208"/>
      <c r="H274" s="197"/>
      <c r="I274" s="196"/>
      <c r="J274" s="204"/>
      <c r="K274" s="204"/>
      <c r="L274" s="204"/>
      <c r="M274" s="197"/>
      <c r="N274" s="197"/>
      <c r="O274" s="197"/>
    </row>
    <row r="275" spans="1:15" x14ac:dyDescent="0.25">
      <c r="A275" s="236"/>
      <c r="B275" s="236"/>
      <c r="C275" s="205"/>
      <c r="D275" s="197"/>
      <c r="E275" s="197"/>
      <c r="F275" s="197"/>
      <c r="G275" s="208"/>
      <c r="H275" s="197"/>
      <c r="I275" s="196"/>
      <c r="J275" s="204"/>
      <c r="K275" s="204"/>
      <c r="L275" s="204"/>
      <c r="M275" s="197"/>
      <c r="N275" s="197"/>
      <c r="O275" s="197"/>
    </row>
    <row r="276" spans="1:15" x14ac:dyDescent="0.25">
      <c r="A276" s="236"/>
      <c r="B276" s="236"/>
      <c r="C276" s="205"/>
      <c r="D276" s="197"/>
      <c r="E276" s="197"/>
      <c r="F276" s="197"/>
      <c r="G276" s="208"/>
      <c r="H276" s="197"/>
      <c r="I276" s="196"/>
      <c r="J276" s="204"/>
      <c r="K276" s="204"/>
      <c r="L276" s="204"/>
      <c r="M276" s="197"/>
      <c r="N276" s="197"/>
      <c r="O276" s="197"/>
    </row>
    <row r="277" spans="1:15" x14ac:dyDescent="0.25">
      <c r="A277" s="236"/>
      <c r="B277" s="236"/>
      <c r="C277" s="205"/>
      <c r="D277" s="197"/>
      <c r="E277" s="197"/>
      <c r="F277" s="197"/>
      <c r="G277" s="208"/>
      <c r="H277" s="197"/>
      <c r="I277" s="196"/>
      <c r="J277" s="204"/>
      <c r="K277" s="204"/>
      <c r="L277" s="204"/>
      <c r="M277" s="197"/>
      <c r="N277" s="197"/>
      <c r="O277" s="197"/>
    </row>
    <row r="278" spans="1:15" x14ac:dyDescent="0.25">
      <c r="A278" s="236"/>
      <c r="B278" s="236"/>
      <c r="C278" s="205"/>
      <c r="D278" s="197"/>
      <c r="E278" s="197"/>
      <c r="F278" s="197"/>
      <c r="G278" s="208"/>
      <c r="H278" s="197"/>
      <c r="I278" s="196"/>
      <c r="J278" s="204"/>
      <c r="K278" s="204"/>
      <c r="L278" s="204"/>
      <c r="M278" s="197"/>
      <c r="N278" s="197"/>
      <c r="O278" s="197"/>
    </row>
    <row r="279" spans="1:15" x14ac:dyDescent="0.25">
      <c r="A279" s="236"/>
      <c r="B279" s="236"/>
      <c r="C279" s="205"/>
      <c r="D279" s="197"/>
      <c r="E279" s="197"/>
      <c r="F279" s="197"/>
      <c r="G279" s="208"/>
      <c r="H279" s="197"/>
      <c r="I279" s="196"/>
      <c r="J279" s="204"/>
      <c r="K279" s="204"/>
      <c r="L279" s="204"/>
      <c r="M279" s="197"/>
      <c r="N279" s="197"/>
      <c r="O279" s="197"/>
    </row>
    <row r="280" spans="1:15" x14ac:dyDescent="0.25">
      <c r="A280" s="236"/>
      <c r="B280" s="236"/>
      <c r="C280" s="205"/>
      <c r="D280" s="197"/>
      <c r="E280" s="197"/>
      <c r="F280" s="197"/>
      <c r="G280" s="208"/>
      <c r="H280" s="197"/>
      <c r="I280" s="196"/>
      <c r="J280" s="204"/>
      <c r="K280" s="204"/>
      <c r="L280" s="204"/>
      <c r="M280" s="197"/>
      <c r="N280" s="197"/>
      <c r="O280" s="197"/>
    </row>
    <row r="281" spans="1:15" x14ac:dyDescent="0.25">
      <c r="A281" s="236"/>
      <c r="B281" s="236"/>
      <c r="C281" s="205"/>
      <c r="D281" s="197"/>
      <c r="E281" s="197"/>
      <c r="F281" s="197"/>
      <c r="G281" s="208"/>
      <c r="H281" s="197"/>
      <c r="I281" s="196"/>
      <c r="J281" s="204"/>
      <c r="K281" s="204"/>
      <c r="L281" s="204"/>
      <c r="M281" s="197"/>
      <c r="N281" s="197"/>
      <c r="O281" s="197"/>
    </row>
    <row r="282" spans="1:15" x14ac:dyDescent="0.25">
      <c r="A282" s="236"/>
      <c r="B282" s="236"/>
      <c r="C282" s="205"/>
      <c r="D282" s="197"/>
      <c r="E282" s="197"/>
      <c r="F282" s="197"/>
      <c r="G282" s="208"/>
      <c r="H282" s="197"/>
      <c r="I282" s="196"/>
      <c r="J282" s="204"/>
      <c r="K282" s="204"/>
      <c r="L282" s="204"/>
      <c r="M282" s="197"/>
      <c r="N282" s="197"/>
      <c r="O282" s="197"/>
    </row>
    <row r="283" spans="1:15" x14ac:dyDescent="0.25">
      <c r="A283" s="236"/>
      <c r="B283" s="236"/>
      <c r="C283" s="205"/>
      <c r="D283" s="197"/>
      <c r="E283" s="197"/>
      <c r="F283" s="197"/>
      <c r="G283" s="208"/>
      <c r="H283" s="197"/>
      <c r="I283" s="196"/>
      <c r="J283" s="204"/>
      <c r="K283" s="204"/>
      <c r="L283" s="204"/>
      <c r="M283" s="197"/>
      <c r="N283" s="197"/>
      <c r="O283" s="197"/>
    </row>
    <row r="284" spans="1:15" x14ac:dyDescent="0.25">
      <c r="A284" s="236"/>
      <c r="B284" s="236"/>
      <c r="C284" s="205"/>
      <c r="D284" s="197"/>
      <c r="E284" s="197"/>
      <c r="F284" s="197"/>
      <c r="G284" s="208"/>
      <c r="H284" s="197"/>
      <c r="I284" s="196"/>
      <c r="J284" s="204"/>
      <c r="K284" s="204"/>
      <c r="L284" s="204"/>
      <c r="M284" s="197"/>
      <c r="N284" s="197"/>
      <c r="O284" s="197"/>
    </row>
    <row r="285" spans="1:15" x14ac:dyDescent="0.25">
      <c r="A285" s="236"/>
      <c r="B285" s="236"/>
      <c r="C285" s="205"/>
      <c r="D285" s="197"/>
      <c r="E285" s="197"/>
      <c r="F285" s="197"/>
      <c r="G285" s="208"/>
      <c r="H285" s="197"/>
      <c r="I285" s="196"/>
      <c r="J285" s="204"/>
      <c r="K285" s="204"/>
      <c r="L285" s="204"/>
      <c r="M285" s="197"/>
      <c r="N285" s="197"/>
      <c r="O285" s="197"/>
    </row>
    <row r="286" spans="1:15" x14ac:dyDescent="0.25">
      <c r="A286" s="236"/>
      <c r="B286" s="236"/>
      <c r="C286" s="205"/>
      <c r="D286" s="197"/>
      <c r="E286" s="197"/>
      <c r="F286" s="197"/>
      <c r="G286" s="208"/>
      <c r="H286" s="197"/>
      <c r="I286" s="196"/>
      <c r="J286" s="204"/>
      <c r="K286" s="204"/>
      <c r="L286" s="204"/>
      <c r="M286" s="197"/>
      <c r="N286" s="197"/>
      <c r="O286" s="197"/>
    </row>
    <row r="287" spans="1:15" x14ac:dyDescent="0.25">
      <c r="A287" s="236"/>
      <c r="B287" s="236"/>
      <c r="C287" s="205"/>
      <c r="D287" s="197"/>
      <c r="E287" s="197"/>
      <c r="F287" s="197"/>
      <c r="G287" s="208"/>
      <c r="H287" s="197"/>
      <c r="I287" s="196"/>
      <c r="J287" s="204"/>
      <c r="K287" s="204"/>
      <c r="L287" s="204"/>
      <c r="M287" s="197"/>
      <c r="N287" s="197"/>
      <c r="O287" s="197"/>
    </row>
    <row r="288" spans="1:15" x14ac:dyDescent="0.25">
      <c r="A288" s="236"/>
      <c r="B288" s="236"/>
      <c r="C288" s="205"/>
      <c r="D288" s="197"/>
      <c r="E288" s="197"/>
      <c r="F288" s="197"/>
      <c r="G288" s="208"/>
      <c r="H288" s="197"/>
      <c r="I288" s="196"/>
      <c r="J288" s="204"/>
      <c r="K288" s="204"/>
      <c r="L288" s="204"/>
      <c r="M288" s="197"/>
      <c r="N288" s="197"/>
      <c r="O288" s="197"/>
    </row>
    <row r="289" spans="1:15" x14ac:dyDescent="0.25">
      <c r="A289" s="236"/>
      <c r="B289" s="236"/>
      <c r="C289" s="205"/>
      <c r="D289" s="197"/>
      <c r="E289" s="197"/>
      <c r="F289" s="197"/>
      <c r="G289" s="208"/>
      <c r="H289" s="197"/>
      <c r="I289" s="196"/>
      <c r="J289" s="204"/>
      <c r="K289" s="204"/>
      <c r="L289" s="204"/>
      <c r="M289" s="197"/>
      <c r="N289" s="197"/>
      <c r="O289" s="197"/>
    </row>
    <row r="290" spans="1:15" x14ac:dyDescent="0.25">
      <c r="A290" s="236"/>
      <c r="B290" s="236"/>
      <c r="C290" s="205"/>
      <c r="D290" s="197"/>
      <c r="E290" s="197"/>
      <c r="F290" s="197"/>
      <c r="G290" s="208"/>
      <c r="H290" s="197"/>
      <c r="I290" s="196"/>
      <c r="J290" s="204"/>
      <c r="K290" s="204"/>
      <c r="L290" s="204"/>
      <c r="M290" s="197"/>
      <c r="N290" s="197"/>
      <c r="O290" s="197"/>
    </row>
    <row r="291" spans="1:15" x14ac:dyDescent="0.25">
      <c r="A291" s="236"/>
      <c r="B291" s="236"/>
      <c r="C291" s="205"/>
      <c r="D291" s="197"/>
      <c r="E291" s="197"/>
      <c r="F291" s="197"/>
      <c r="G291" s="208"/>
      <c r="H291" s="197"/>
      <c r="I291" s="196"/>
      <c r="J291" s="204"/>
      <c r="K291" s="204"/>
      <c r="L291" s="204"/>
      <c r="M291" s="197"/>
      <c r="N291" s="197"/>
      <c r="O291" s="197"/>
    </row>
    <row r="292" spans="1:15" x14ac:dyDescent="0.25">
      <c r="A292" s="236"/>
      <c r="B292" s="236"/>
      <c r="C292" s="205"/>
      <c r="D292" s="197"/>
      <c r="E292" s="197"/>
      <c r="F292" s="197"/>
      <c r="G292" s="208"/>
      <c r="H292" s="197"/>
      <c r="I292" s="196"/>
      <c r="J292" s="204"/>
      <c r="K292" s="204"/>
      <c r="L292" s="204"/>
      <c r="M292" s="197"/>
      <c r="N292" s="197"/>
      <c r="O292" s="197"/>
    </row>
    <row r="293" spans="1:15" x14ac:dyDescent="0.25">
      <c r="A293" s="236"/>
      <c r="B293" s="236"/>
      <c r="C293" s="205"/>
      <c r="D293" s="197"/>
      <c r="E293" s="197"/>
      <c r="F293" s="197"/>
      <c r="G293" s="208"/>
      <c r="H293" s="197"/>
      <c r="I293" s="196"/>
      <c r="J293" s="204"/>
      <c r="K293" s="204"/>
      <c r="L293" s="204"/>
      <c r="M293" s="197"/>
      <c r="N293" s="197"/>
      <c r="O293" s="197"/>
    </row>
    <row r="294" spans="1:15" x14ac:dyDescent="0.25">
      <c r="A294" s="236"/>
      <c r="B294" s="236"/>
      <c r="C294" s="205"/>
      <c r="D294" s="197"/>
      <c r="E294" s="197"/>
      <c r="F294" s="197"/>
      <c r="G294" s="208"/>
      <c r="H294" s="197"/>
      <c r="I294" s="196"/>
      <c r="J294" s="204"/>
      <c r="K294" s="204"/>
      <c r="L294" s="204"/>
      <c r="M294" s="197"/>
      <c r="N294" s="197"/>
      <c r="O294" s="197"/>
    </row>
    <row r="295" spans="1:15" x14ac:dyDescent="0.25">
      <c r="A295" s="236"/>
      <c r="B295" s="236"/>
      <c r="C295" s="205"/>
      <c r="D295" s="197"/>
      <c r="E295" s="197"/>
      <c r="F295" s="197"/>
      <c r="G295" s="208"/>
      <c r="H295" s="197"/>
      <c r="I295" s="196"/>
      <c r="J295" s="204"/>
      <c r="K295" s="204"/>
      <c r="L295" s="204"/>
      <c r="M295" s="197"/>
      <c r="N295" s="197"/>
      <c r="O295" s="197"/>
    </row>
    <row r="296" spans="1:15" x14ac:dyDescent="0.25">
      <c r="A296" s="236"/>
      <c r="B296" s="236"/>
      <c r="C296" s="205"/>
      <c r="D296" s="197"/>
      <c r="E296" s="197"/>
      <c r="F296" s="197"/>
      <c r="G296" s="208"/>
      <c r="H296" s="197"/>
      <c r="I296" s="196"/>
      <c r="J296" s="204"/>
      <c r="K296" s="204"/>
      <c r="L296" s="204"/>
      <c r="M296" s="197"/>
      <c r="N296" s="197"/>
      <c r="O296" s="197"/>
    </row>
    <row r="297" spans="1:15" x14ac:dyDescent="0.25">
      <c r="A297" s="236"/>
      <c r="B297" s="236"/>
      <c r="C297" s="205"/>
      <c r="D297" s="197"/>
      <c r="E297" s="197"/>
      <c r="F297" s="197"/>
      <c r="G297" s="208"/>
      <c r="H297" s="197"/>
      <c r="I297" s="196"/>
      <c r="J297" s="204"/>
      <c r="K297" s="204"/>
      <c r="L297" s="204"/>
      <c r="M297" s="197"/>
      <c r="N297" s="197"/>
      <c r="O297" s="197"/>
    </row>
    <row r="298" spans="1:15" x14ac:dyDescent="0.25">
      <c r="A298" s="236"/>
      <c r="B298" s="236"/>
      <c r="C298" s="205"/>
      <c r="D298" s="197"/>
      <c r="E298" s="197"/>
      <c r="F298" s="197"/>
      <c r="G298" s="208"/>
      <c r="H298" s="197"/>
      <c r="I298" s="196"/>
      <c r="J298" s="204"/>
      <c r="K298" s="204"/>
      <c r="L298" s="204"/>
      <c r="M298" s="197"/>
      <c r="N298" s="197"/>
      <c r="O298" s="197"/>
    </row>
    <row r="299" spans="1:15" x14ac:dyDescent="0.25">
      <c r="A299" s="236"/>
      <c r="B299" s="236"/>
      <c r="C299" s="205"/>
      <c r="D299" s="197"/>
      <c r="E299" s="197"/>
      <c r="F299" s="197"/>
      <c r="G299" s="208"/>
      <c r="H299" s="197"/>
      <c r="I299" s="196"/>
      <c r="J299" s="204"/>
      <c r="K299" s="204"/>
      <c r="L299" s="204"/>
      <c r="M299" s="197"/>
      <c r="N299" s="197"/>
      <c r="O299" s="197"/>
    </row>
    <row r="300" spans="1:15" x14ac:dyDescent="0.25">
      <c r="A300" s="236"/>
      <c r="B300" s="236"/>
      <c r="C300" s="205"/>
      <c r="D300" s="197"/>
      <c r="E300" s="197"/>
      <c r="F300" s="197"/>
      <c r="G300" s="208"/>
      <c r="H300" s="197"/>
      <c r="I300" s="196"/>
      <c r="J300" s="204"/>
      <c r="K300" s="204"/>
      <c r="L300" s="204"/>
      <c r="M300" s="197"/>
      <c r="N300" s="197"/>
      <c r="O300" s="197"/>
    </row>
    <row r="301" spans="1:15" x14ac:dyDescent="0.25">
      <c r="A301" s="236"/>
      <c r="B301" s="236"/>
      <c r="C301" s="205"/>
      <c r="D301" s="197"/>
      <c r="E301" s="197"/>
      <c r="F301" s="197"/>
      <c r="G301" s="208"/>
      <c r="H301" s="197"/>
      <c r="I301" s="196"/>
      <c r="J301" s="204"/>
      <c r="K301" s="204"/>
      <c r="L301" s="204"/>
      <c r="M301" s="197"/>
      <c r="N301" s="197"/>
      <c r="O301" s="197"/>
    </row>
    <row r="302" spans="1:15" x14ac:dyDescent="0.25">
      <c r="A302" s="236"/>
      <c r="B302" s="236"/>
      <c r="C302" s="205"/>
      <c r="D302" s="197"/>
      <c r="E302" s="197"/>
      <c r="F302" s="197"/>
      <c r="G302" s="208"/>
      <c r="H302" s="197"/>
      <c r="I302" s="196"/>
      <c r="J302" s="204"/>
      <c r="K302" s="204"/>
      <c r="L302" s="204"/>
      <c r="M302" s="197"/>
      <c r="N302" s="197"/>
      <c r="O302" s="197"/>
    </row>
    <row r="303" spans="1:15" x14ac:dyDescent="0.25">
      <c r="A303" s="236"/>
      <c r="B303" s="236"/>
      <c r="C303" s="205"/>
      <c r="D303" s="197"/>
      <c r="E303" s="197"/>
      <c r="F303" s="197"/>
      <c r="G303" s="208"/>
      <c r="H303" s="197"/>
      <c r="I303" s="196"/>
      <c r="J303" s="204"/>
      <c r="K303" s="204"/>
      <c r="L303" s="204"/>
      <c r="M303" s="197"/>
      <c r="N303" s="197"/>
      <c r="O303" s="197"/>
    </row>
    <row r="304" spans="1:15" x14ac:dyDescent="0.25">
      <c r="A304" s="236"/>
      <c r="B304" s="236"/>
      <c r="C304" s="205"/>
      <c r="D304" s="197"/>
      <c r="E304" s="197"/>
      <c r="F304" s="197"/>
      <c r="G304" s="208"/>
      <c r="H304" s="197"/>
      <c r="I304" s="196"/>
      <c r="J304" s="204"/>
      <c r="K304" s="204"/>
      <c r="L304" s="204"/>
      <c r="M304" s="197"/>
      <c r="N304" s="197"/>
      <c r="O304" s="197"/>
    </row>
    <row r="305" spans="1:15" x14ac:dyDescent="0.25">
      <c r="A305" s="236"/>
      <c r="B305" s="236"/>
      <c r="C305" s="205"/>
      <c r="D305" s="197"/>
      <c r="E305" s="197"/>
      <c r="F305" s="197"/>
      <c r="G305" s="208"/>
      <c r="H305" s="197"/>
      <c r="I305" s="196"/>
      <c r="J305" s="204"/>
      <c r="K305" s="204"/>
      <c r="L305" s="204"/>
      <c r="M305" s="197"/>
      <c r="N305" s="197"/>
      <c r="O305" s="197"/>
    </row>
    <row r="306" spans="1:15" x14ac:dyDescent="0.25">
      <c r="A306" s="236"/>
      <c r="B306" s="236"/>
      <c r="C306" s="205"/>
      <c r="D306" s="197"/>
      <c r="E306" s="197"/>
      <c r="F306" s="197"/>
      <c r="G306" s="208"/>
      <c r="H306" s="197"/>
      <c r="I306" s="196"/>
      <c r="J306" s="204"/>
      <c r="K306" s="204"/>
      <c r="L306" s="204"/>
      <c r="M306" s="197"/>
      <c r="N306" s="197"/>
      <c r="O306" s="197"/>
    </row>
    <row r="307" spans="1:15" x14ac:dyDescent="0.25">
      <c r="A307" s="236"/>
      <c r="B307" s="236"/>
      <c r="C307" s="205"/>
      <c r="D307" s="197"/>
      <c r="E307" s="197"/>
      <c r="F307" s="197"/>
      <c r="G307" s="208"/>
      <c r="H307" s="197"/>
      <c r="I307" s="196"/>
      <c r="J307" s="204"/>
      <c r="K307" s="204"/>
      <c r="L307" s="204"/>
      <c r="M307" s="197"/>
      <c r="N307" s="197"/>
      <c r="O307" s="197"/>
    </row>
    <row r="308" spans="1:15" x14ac:dyDescent="0.25">
      <c r="A308" s="236"/>
      <c r="B308" s="236"/>
      <c r="C308" s="205"/>
      <c r="D308" s="197"/>
      <c r="E308" s="197"/>
      <c r="F308" s="197"/>
      <c r="G308" s="208"/>
      <c r="H308" s="197"/>
      <c r="I308" s="196"/>
      <c r="J308" s="204"/>
      <c r="K308" s="204"/>
      <c r="L308" s="204"/>
      <c r="M308" s="197"/>
      <c r="N308" s="197"/>
      <c r="O308" s="197"/>
    </row>
    <row r="309" spans="1:15" x14ac:dyDescent="0.25">
      <c r="A309" s="236"/>
      <c r="B309" s="236"/>
      <c r="C309" s="205"/>
      <c r="D309" s="197"/>
      <c r="E309" s="197"/>
      <c r="F309" s="197"/>
      <c r="G309" s="208"/>
      <c r="H309" s="197"/>
      <c r="I309" s="196"/>
      <c r="J309" s="204"/>
      <c r="K309" s="204"/>
      <c r="L309" s="204"/>
      <c r="M309" s="197"/>
      <c r="N309" s="197"/>
      <c r="O309" s="197"/>
    </row>
    <row r="310" spans="1:15" x14ac:dyDescent="0.25">
      <c r="A310" s="236"/>
      <c r="B310" s="236"/>
      <c r="C310" s="205"/>
      <c r="D310" s="197"/>
      <c r="E310" s="197"/>
      <c r="F310" s="197"/>
      <c r="G310" s="208"/>
      <c r="H310" s="197"/>
      <c r="I310" s="196"/>
      <c r="J310" s="204"/>
      <c r="K310" s="204"/>
      <c r="L310" s="204"/>
      <c r="M310" s="197"/>
      <c r="N310" s="197"/>
      <c r="O310" s="197"/>
    </row>
    <row r="311" spans="1:15" x14ac:dyDescent="0.25">
      <c r="A311" s="236"/>
      <c r="B311" s="236"/>
      <c r="C311" s="205"/>
      <c r="D311" s="197"/>
      <c r="E311" s="197"/>
      <c r="F311" s="197"/>
      <c r="G311" s="208"/>
      <c r="H311" s="197"/>
      <c r="I311" s="196"/>
      <c r="J311" s="204"/>
      <c r="K311" s="204"/>
      <c r="L311" s="204"/>
      <c r="M311" s="197"/>
      <c r="N311" s="197"/>
      <c r="O311" s="197"/>
    </row>
    <row r="312" spans="1:15" x14ac:dyDescent="0.25">
      <c r="A312" s="236"/>
      <c r="B312" s="236"/>
      <c r="C312" s="205"/>
      <c r="D312" s="197"/>
      <c r="E312" s="197"/>
      <c r="F312" s="197"/>
      <c r="G312" s="208"/>
      <c r="H312" s="197"/>
      <c r="I312" s="196"/>
      <c r="J312" s="204"/>
      <c r="K312" s="204"/>
      <c r="L312" s="204"/>
      <c r="M312" s="197"/>
      <c r="N312" s="197"/>
      <c r="O312" s="197"/>
    </row>
    <row r="313" spans="1:15" x14ac:dyDescent="0.25">
      <c r="A313" s="236"/>
      <c r="B313" s="236"/>
      <c r="C313" s="205"/>
      <c r="D313" s="197"/>
      <c r="E313" s="197"/>
      <c r="F313" s="197"/>
      <c r="G313" s="208"/>
      <c r="H313" s="197"/>
      <c r="I313" s="196"/>
      <c r="J313" s="204"/>
      <c r="K313" s="204"/>
      <c r="L313" s="204"/>
      <c r="M313" s="197"/>
      <c r="N313" s="197"/>
      <c r="O313" s="197"/>
    </row>
    <row r="314" spans="1:15" x14ac:dyDescent="0.25">
      <c r="A314" s="236"/>
      <c r="B314" s="236"/>
      <c r="C314" s="205"/>
      <c r="D314" s="197"/>
      <c r="E314" s="197"/>
      <c r="F314" s="197"/>
      <c r="G314" s="208"/>
      <c r="H314" s="197"/>
      <c r="I314" s="196"/>
      <c r="J314" s="204"/>
      <c r="K314" s="204"/>
      <c r="L314" s="204"/>
      <c r="M314" s="197"/>
      <c r="N314" s="197"/>
      <c r="O314" s="197"/>
    </row>
    <row r="315" spans="1:15" x14ac:dyDescent="0.25">
      <c r="A315" s="236"/>
      <c r="B315" s="236"/>
      <c r="C315" s="205"/>
      <c r="D315" s="197"/>
      <c r="E315" s="197"/>
      <c r="F315" s="197"/>
      <c r="G315" s="208"/>
      <c r="H315" s="197"/>
      <c r="I315" s="196"/>
      <c r="J315" s="204"/>
      <c r="K315" s="204"/>
      <c r="L315" s="204"/>
      <c r="M315" s="197"/>
      <c r="N315" s="197"/>
      <c r="O315" s="197"/>
    </row>
    <row r="316" spans="1:15" x14ac:dyDescent="0.25">
      <c r="A316" s="236"/>
      <c r="B316" s="236"/>
      <c r="C316" s="205"/>
      <c r="D316" s="197"/>
      <c r="E316" s="197"/>
      <c r="F316" s="197"/>
      <c r="G316" s="208"/>
      <c r="H316" s="197"/>
      <c r="I316" s="196"/>
      <c r="J316" s="204"/>
      <c r="K316" s="204"/>
      <c r="L316" s="204"/>
      <c r="M316" s="197"/>
      <c r="N316" s="197"/>
      <c r="O316" s="197"/>
    </row>
    <row r="317" spans="1:15" x14ac:dyDescent="0.25">
      <c r="A317" s="236"/>
      <c r="B317" s="236"/>
      <c r="C317" s="205"/>
      <c r="D317" s="197"/>
      <c r="E317" s="197"/>
      <c r="F317" s="197"/>
      <c r="G317" s="208"/>
      <c r="H317" s="197"/>
      <c r="I317" s="196"/>
      <c r="J317" s="204"/>
      <c r="K317" s="204"/>
      <c r="L317" s="204"/>
      <c r="M317" s="197"/>
      <c r="N317" s="197"/>
      <c r="O317" s="197"/>
    </row>
    <row r="318" spans="1:15" x14ac:dyDescent="0.25">
      <c r="A318" s="236"/>
      <c r="B318" s="236"/>
      <c r="C318" s="205"/>
      <c r="D318" s="197"/>
      <c r="E318" s="197"/>
      <c r="F318" s="197"/>
      <c r="G318" s="208"/>
      <c r="H318" s="197"/>
      <c r="I318" s="196"/>
      <c r="J318" s="204"/>
      <c r="K318" s="204"/>
      <c r="L318" s="204"/>
      <c r="M318" s="197"/>
      <c r="N318" s="197"/>
      <c r="O318" s="197"/>
    </row>
    <row r="319" spans="1:15" x14ac:dyDescent="0.25">
      <c r="A319" s="236"/>
      <c r="B319" s="236"/>
      <c r="C319" s="205"/>
      <c r="D319" s="197"/>
      <c r="E319" s="197"/>
      <c r="F319" s="197"/>
      <c r="G319" s="208"/>
      <c r="H319" s="197"/>
      <c r="I319" s="196"/>
      <c r="J319" s="204"/>
      <c r="K319" s="204"/>
      <c r="L319" s="204"/>
      <c r="M319" s="197"/>
      <c r="N319" s="197"/>
      <c r="O319" s="197"/>
    </row>
    <row r="320" spans="1:15" x14ac:dyDescent="0.25">
      <c r="A320" s="236"/>
      <c r="B320" s="236"/>
      <c r="C320" s="205"/>
      <c r="D320" s="197"/>
      <c r="E320" s="197"/>
      <c r="F320" s="197"/>
      <c r="G320" s="208"/>
      <c r="H320" s="197"/>
      <c r="I320" s="196"/>
      <c r="J320" s="204"/>
      <c r="K320" s="204"/>
      <c r="L320" s="204"/>
      <c r="M320" s="197"/>
      <c r="N320" s="197"/>
      <c r="O320" s="197"/>
    </row>
    <row r="321" spans="1:15" x14ac:dyDescent="0.25">
      <c r="A321" s="236"/>
      <c r="B321" s="236"/>
      <c r="C321" s="205"/>
      <c r="D321" s="197"/>
      <c r="E321" s="197"/>
      <c r="F321" s="197"/>
      <c r="G321" s="208"/>
      <c r="H321" s="197"/>
      <c r="I321" s="196"/>
      <c r="J321" s="204"/>
      <c r="K321" s="204"/>
      <c r="L321" s="204"/>
      <c r="M321" s="197"/>
      <c r="N321" s="197"/>
      <c r="O321" s="197"/>
    </row>
    <row r="322" spans="1:15" x14ac:dyDescent="0.25">
      <c r="A322" s="236"/>
      <c r="B322" s="236"/>
      <c r="C322" s="205"/>
      <c r="D322" s="197"/>
      <c r="E322" s="197"/>
      <c r="F322" s="197"/>
      <c r="G322" s="208"/>
      <c r="H322" s="197"/>
      <c r="I322" s="196"/>
      <c r="J322" s="204"/>
      <c r="K322" s="204"/>
      <c r="L322" s="204"/>
      <c r="M322" s="197"/>
      <c r="N322" s="197"/>
      <c r="O322" s="197"/>
    </row>
    <row r="323" spans="1:15" x14ac:dyDescent="0.25">
      <c r="A323" s="236"/>
      <c r="B323" s="236"/>
      <c r="C323" s="205"/>
      <c r="D323" s="197"/>
      <c r="E323" s="197"/>
      <c r="F323" s="197"/>
      <c r="G323" s="208"/>
      <c r="H323" s="197"/>
      <c r="I323" s="196"/>
      <c r="J323" s="204"/>
      <c r="K323" s="204"/>
      <c r="L323" s="204"/>
      <c r="M323" s="197"/>
      <c r="N323" s="197"/>
      <c r="O323" s="197"/>
    </row>
    <row r="324" spans="1:15" x14ac:dyDescent="0.25">
      <c r="A324" s="236"/>
      <c r="B324" s="236"/>
      <c r="C324" s="205"/>
      <c r="D324" s="197"/>
      <c r="E324" s="197"/>
      <c r="F324" s="197"/>
      <c r="G324" s="208"/>
      <c r="H324" s="197"/>
      <c r="I324" s="196"/>
      <c r="J324" s="204"/>
      <c r="K324" s="204"/>
      <c r="L324" s="204"/>
      <c r="M324" s="197"/>
      <c r="N324" s="197"/>
      <c r="O324" s="197"/>
    </row>
    <row r="325" spans="1:15" x14ac:dyDescent="0.25">
      <c r="A325" s="236"/>
      <c r="B325" s="236"/>
      <c r="C325" s="205"/>
      <c r="D325" s="197"/>
      <c r="E325" s="197"/>
      <c r="F325" s="197"/>
      <c r="G325" s="208"/>
      <c r="H325" s="197"/>
      <c r="I325" s="196"/>
      <c r="J325" s="204"/>
      <c r="K325" s="204"/>
      <c r="L325" s="204"/>
      <c r="M325" s="197"/>
      <c r="N325" s="197"/>
      <c r="O325" s="197"/>
    </row>
    <row r="326" spans="1:15" x14ac:dyDescent="0.25">
      <c r="A326" s="236"/>
      <c r="B326" s="236"/>
      <c r="C326" s="205"/>
      <c r="D326" s="197"/>
      <c r="E326" s="197"/>
      <c r="F326" s="197"/>
      <c r="G326" s="208"/>
      <c r="H326" s="197"/>
      <c r="I326" s="196"/>
      <c r="J326" s="204"/>
      <c r="K326" s="204"/>
      <c r="L326" s="204"/>
      <c r="M326" s="197"/>
      <c r="N326" s="197"/>
      <c r="O326" s="197"/>
    </row>
    <row r="327" spans="1:15" x14ac:dyDescent="0.25">
      <c r="A327" s="236"/>
      <c r="B327" s="236"/>
      <c r="C327" s="205"/>
      <c r="D327" s="197"/>
      <c r="E327" s="197"/>
      <c r="F327" s="197"/>
      <c r="G327" s="208"/>
      <c r="H327" s="197"/>
      <c r="I327" s="196"/>
      <c r="J327" s="204"/>
      <c r="K327" s="204"/>
      <c r="L327" s="204"/>
      <c r="M327" s="197"/>
      <c r="N327" s="197"/>
      <c r="O327" s="197"/>
    </row>
    <row r="328" spans="1:15" x14ac:dyDescent="0.25">
      <c r="A328" s="236"/>
      <c r="B328" s="236"/>
      <c r="C328" s="205"/>
      <c r="D328" s="197"/>
      <c r="E328" s="197"/>
      <c r="F328" s="197"/>
      <c r="G328" s="208"/>
      <c r="H328" s="197"/>
      <c r="I328" s="196"/>
      <c r="J328" s="204"/>
      <c r="K328" s="204"/>
      <c r="L328" s="204"/>
      <c r="M328" s="197"/>
      <c r="N328" s="197"/>
      <c r="O328" s="197"/>
    </row>
    <row r="329" spans="1:15" x14ac:dyDescent="0.25">
      <c r="A329" s="236"/>
      <c r="B329" s="236"/>
      <c r="C329" s="205"/>
      <c r="D329" s="197"/>
      <c r="E329" s="197"/>
      <c r="F329" s="197"/>
      <c r="G329" s="208"/>
      <c r="H329" s="197"/>
      <c r="I329" s="196"/>
      <c r="J329" s="204"/>
      <c r="K329" s="204"/>
      <c r="L329" s="204"/>
      <c r="M329" s="197"/>
      <c r="N329" s="197"/>
      <c r="O329" s="197"/>
    </row>
    <row r="330" spans="1:15" x14ac:dyDescent="0.25">
      <c r="A330" s="236"/>
      <c r="B330" s="236"/>
      <c r="C330" s="205"/>
      <c r="D330" s="197"/>
      <c r="E330" s="197"/>
      <c r="F330" s="197"/>
      <c r="G330" s="208"/>
      <c r="H330" s="197"/>
      <c r="I330" s="196"/>
      <c r="J330" s="204"/>
      <c r="K330" s="204"/>
      <c r="L330" s="204"/>
      <c r="M330" s="197"/>
      <c r="N330" s="197"/>
      <c r="O330" s="197"/>
    </row>
    <row r="331" spans="1:15" x14ac:dyDescent="0.25">
      <c r="A331" s="236"/>
      <c r="B331" s="236"/>
      <c r="C331" s="205"/>
      <c r="D331" s="197"/>
      <c r="E331" s="197"/>
      <c r="F331" s="197"/>
      <c r="G331" s="208"/>
      <c r="H331" s="197"/>
      <c r="I331" s="196"/>
      <c r="J331" s="204"/>
      <c r="K331" s="204"/>
      <c r="L331" s="204"/>
      <c r="M331" s="197"/>
      <c r="N331" s="197"/>
      <c r="O331" s="197"/>
    </row>
    <row r="332" spans="1:15" x14ac:dyDescent="0.25">
      <c r="A332" s="236"/>
      <c r="B332" s="236"/>
      <c r="C332" s="205"/>
      <c r="D332" s="197"/>
      <c r="E332" s="197"/>
      <c r="F332" s="197"/>
      <c r="G332" s="208"/>
      <c r="H332" s="197"/>
      <c r="I332" s="196"/>
      <c r="J332" s="204"/>
      <c r="K332" s="204"/>
      <c r="L332" s="204"/>
      <c r="M332" s="197"/>
      <c r="N332" s="197"/>
      <c r="O332" s="197"/>
    </row>
    <row r="333" spans="1:15" x14ac:dyDescent="0.25">
      <c r="A333" s="236"/>
      <c r="B333" s="236"/>
      <c r="C333" s="205"/>
      <c r="D333" s="197"/>
      <c r="E333" s="197"/>
      <c r="F333" s="197"/>
      <c r="G333" s="208"/>
      <c r="H333" s="197"/>
      <c r="I333" s="196"/>
      <c r="J333" s="204"/>
      <c r="K333" s="204"/>
      <c r="L333" s="204"/>
      <c r="M333" s="197"/>
      <c r="N333" s="197"/>
      <c r="O333" s="197"/>
    </row>
    <row r="334" spans="1:15" x14ac:dyDescent="0.25">
      <c r="A334" s="236"/>
      <c r="B334" s="236"/>
      <c r="C334" s="205"/>
      <c r="D334" s="197"/>
      <c r="E334" s="197"/>
      <c r="F334" s="197"/>
      <c r="G334" s="208"/>
      <c r="H334" s="197"/>
      <c r="I334" s="196"/>
      <c r="J334" s="204"/>
      <c r="K334" s="204"/>
      <c r="L334" s="204"/>
      <c r="M334" s="197"/>
      <c r="N334" s="197"/>
      <c r="O334" s="197"/>
    </row>
    <row r="335" spans="1:15" x14ac:dyDescent="0.25">
      <c r="A335" s="236"/>
      <c r="B335" s="236"/>
      <c r="C335" s="205"/>
      <c r="D335" s="197"/>
      <c r="E335" s="197"/>
      <c r="F335" s="197"/>
      <c r="G335" s="208"/>
      <c r="H335" s="197"/>
      <c r="I335" s="196"/>
      <c r="J335" s="204"/>
      <c r="K335" s="204"/>
      <c r="L335" s="204"/>
      <c r="M335" s="197"/>
      <c r="N335" s="197"/>
      <c r="O335" s="197"/>
    </row>
    <row r="336" spans="1:15" x14ac:dyDescent="0.25">
      <c r="A336" s="236"/>
      <c r="B336" s="236"/>
      <c r="C336" s="205"/>
      <c r="D336" s="197"/>
      <c r="E336" s="197"/>
      <c r="F336" s="197"/>
      <c r="G336" s="208"/>
      <c r="H336" s="197"/>
      <c r="I336" s="196"/>
      <c r="J336" s="204"/>
      <c r="K336" s="204"/>
      <c r="L336" s="204"/>
      <c r="M336" s="197"/>
      <c r="N336" s="197"/>
      <c r="O336" s="197"/>
    </row>
    <row r="337" spans="1:15" x14ac:dyDescent="0.25">
      <c r="A337" s="236"/>
      <c r="B337" s="236"/>
      <c r="C337" s="205"/>
      <c r="D337" s="197"/>
      <c r="E337" s="197"/>
      <c r="F337" s="197"/>
      <c r="G337" s="208"/>
      <c r="H337" s="197"/>
      <c r="I337" s="196"/>
      <c r="J337" s="204"/>
      <c r="K337" s="204"/>
      <c r="L337" s="204"/>
      <c r="M337" s="197"/>
      <c r="N337" s="197"/>
      <c r="O337" s="197"/>
    </row>
    <row r="338" spans="1:15" x14ac:dyDescent="0.25">
      <c r="A338" s="236"/>
      <c r="B338" s="236"/>
      <c r="C338" s="205"/>
      <c r="D338" s="197"/>
      <c r="E338" s="197"/>
      <c r="F338" s="197"/>
      <c r="G338" s="208"/>
      <c r="H338" s="197"/>
      <c r="I338" s="196"/>
      <c r="J338" s="204"/>
      <c r="K338" s="204"/>
      <c r="L338" s="204"/>
      <c r="M338" s="197"/>
      <c r="N338" s="197"/>
      <c r="O338" s="197"/>
    </row>
    <row r="339" spans="1:15" x14ac:dyDescent="0.25">
      <c r="A339" s="236"/>
      <c r="B339" s="236"/>
      <c r="C339" s="205"/>
      <c r="D339" s="197"/>
      <c r="E339" s="197"/>
      <c r="F339" s="197"/>
      <c r="G339" s="208"/>
      <c r="H339" s="197"/>
      <c r="I339" s="196"/>
      <c r="J339" s="204"/>
      <c r="K339" s="204"/>
      <c r="L339" s="204"/>
      <c r="M339" s="197"/>
      <c r="N339" s="197"/>
      <c r="O339" s="197"/>
    </row>
    <row r="340" spans="1:15" x14ac:dyDescent="0.25">
      <c r="A340" s="236"/>
      <c r="B340" s="236"/>
      <c r="C340" s="205"/>
      <c r="D340" s="197"/>
      <c r="E340" s="197"/>
      <c r="F340" s="197"/>
      <c r="G340" s="208"/>
      <c r="H340" s="197"/>
      <c r="I340" s="196"/>
      <c r="J340" s="204"/>
      <c r="K340" s="204"/>
      <c r="L340" s="204"/>
      <c r="M340" s="197"/>
      <c r="N340" s="197"/>
      <c r="O340" s="197"/>
    </row>
    <row r="341" spans="1:15" x14ac:dyDescent="0.25">
      <c r="A341" s="210"/>
      <c r="B341" s="210"/>
      <c r="C341" s="209"/>
      <c r="D341" s="210"/>
      <c r="E341" s="210"/>
      <c r="F341" s="210"/>
      <c r="G341" s="211"/>
      <c r="H341" s="210"/>
      <c r="I341" s="252"/>
      <c r="J341" s="229"/>
      <c r="K341" s="229"/>
      <c r="L341" s="229"/>
      <c r="M341" s="210"/>
      <c r="N341" s="210"/>
      <c r="O341" s="212"/>
    </row>
  </sheetData>
  <sortState xmlns:xlrd2="http://schemas.microsoft.com/office/spreadsheetml/2017/richdata2" ref="A2:BK84">
    <sortCondition ref="A2:A84"/>
  </sortState>
  <phoneticPr fontId="30" type="noConversion"/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XW156"/>
  <sheetViews>
    <sheetView tabSelected="1" zoomScale="85" zoomScaleNormal="85" zoomScaleSheetLayoutView="85" workbookViewId="0">
      <selection activeCell="Y5" sqref="Y5"/>
    </sheetView>
  </sheetViews>
  <sheetFormatPr defaultColWidth="9.140625" defaultRowHeight="15" x14ac:dyDescent="0.25"/>
  <cols>
    <col min="1" max="1" width="10.140625" style="362" customWidth="1"/>
    <col min="2" max="2" width="14.85546875" style="514" customWidth="1"/>
    <col min="3" max="3" width="9.5703125" style="23" customWidth="1"/>
    <col min="4" max="4" width="8.5703125" style="23" customWidth="1"/>
    <col min="5" max="5" width="12.7109375" style="185" customWidth="1"/>
    <col min="6" max="6" width="3.28515625" style="23" customWidth="1"/>
    <col min="7" max="7" width="3.85546875" style="23" customWidth="1"/>
    <col min="8" max="8" width="5.140625" style="23" customWidth="1"/>
    <col min="9" max="9" width="12.85546875" style="23" hidden="1" customWidth="1"/>
    <col min="10" max="10" width="17.42578125" style="1" hidden="1" customWidth="1"/>
    <col min="11" max="11" width="12.42578125" style="2" hidden="1" customWidth="1"/>
    <col min="12" max="12" width="5.28515625" style="1" hidden="1" customWidth="1"/>
    <col min="13" max="13" width="3.85546875" style="1" hidden="1" customWidth="1"/>
    <col min="14" max="14" width="0.140625" style="1" customWidth="1"/>
    <col min="15" max="15" width="9.28515625" style="23" customWidth="1"/>
    <col min="16" max="16" width="9.85546875" style="23" customWidth="1"/>
    <col min="17" max="17" width="10.7109375" style="23" customWidth="1"/>
    <col min="18" max="18" width="9.7109375" style="23" customWidth="1"/>
    <col min="19" max="19" width="9.28515625" style="23" customWidth="1"/>
    <col min="20" max="20" width="10.28515625" style="23" customWidth="1"/>
    <col min="21" max="21" width="9.42578125" style="23" customWidth="1"/>
    <col min="22" max="22" width="8.85546875" style="23" customWidth="1"/>
    <col min="23" max="23" width="10" style="23" customWidth="1"/>
    <col min="24" max="24" width="9.7109375" style="23" customWidth="1"/>
    <col min="25" max="25" width="9.85546875" style="23" customWidth="1"/>
    <col min="26" max="26" width="9.140625" style="23" customWidth="1"/>
    <col min="27" max="27" width="10" style="23" customWidth="1"/>
    <col min="28" max="28" width="9.28515625" style="23" customWidth="1"/>
    <col min="29" max="29" width="10" style="23" customWidth="1"/>
    <col min="30" max="30" width="9.28515625" style="23" customWidth="1"/>
    <col min="31" max="32" width="10" style="23" customWidth="1"/>
    <col min="33" max="33" width="9.42578125" style="23" customWidth="1"/>
    <col min="34" max="34" width="10.42578125" style="23" customWidth="1"/>
    <col min="35" max="35" width="10.5703125" style="23" customWidth="1"/>
    <col min="36" max="36" width="10.42578125" style="23" customWidth="1"/>
    <col min="37" max="37" width="9.7109375" style="23" customWidth="1"/>
    <col min="38" max="38" width="8.85546875" style="23" customWidth="1"/>
    <col min="39" max="39" width="10.5703125" style="23" customWidth="1"/>
    <col min="40" max="40" width="10.42578125" style="23" customWidth="1"/>
    <col min="41" max="41" width="10.28515625" style="23" customWidth="1"/>
    <col min="42" max="42" width="10.5703125" style="23" customWidth="1"/>
    <col min="43" max="43" width="12.85546875" style="23" customWidth="1"/>
    <col min="44" max="44" width="10.140625" style="23" customWidth="1"/>
    <col min="45" max="45" width="11.28515625" style="23" customWidth="1"/>
    <col min="46" max="46" width="10.7109375" style="23" customWidth="1"/>
    <col min="47" max="47" width="11.5703125" style="23" customWidth="1"/>
    <col min="48" max="48" width="10.85546875" style="23" customWidth="1"/>
    <col min="49" max="49" width="12.28515625" customWidth="1"/>
    <col min="50" max="50" width="10.7109375" style="23" customWidth="1"/>
    <col min="51" max="51" width="13.42578125" style="23" customWidth="1"/>
    <col min="52" max="52" width="11.28515625" style="23" customWidth="1"/>
    <col min="53" max="53" width="13.7109375" style="23" customWidth="1"/>
    <col min="54" max="54" width="10" style="23" customWidth="1"/>
    <col min="55" max="55" width="12.85546875" style="23" customWidth="1"/>
    <col min="56" max="56" width="12.140625" style="23" customWidth="1"/>
    <col min="57" max="58" width="9.140625" style="23" customWidth="1"/>
    <col min="59" max="16384" width="9.140625" style="23"/>
  </cols>
  <sheetData>
    <row r="1" spans="1:646" ht="53.45" customHeight="1" x14ac:dyDescent="0.2">
      <c r="A1" s="563" t="e">
        <f>SUM(#REF!)</f>
        <v>#REF!</v>
      </c>
      <c r="B1" s="564" t="s">
        <v>7</v>
      </c>
      <c r="C1" s="565" t="s">
        <v>0</v>
      </c>
      <c r="D1" s="566" t="s">
        <v>8</v>
      </c>
      <c r="E1" s="567" t="s">
        <v>1</v>
      </c>
      <c r="F1" s="16" t="s">
        <v>1414</v>
      </c>
      <c r="G1" s="17" t="s">
        <v>10</v>
      </c>
      <c r="H1" s="17" t="s">
        <v>9</v>
      </c>
      <c r="I1" s="18" t="s">
        <v>5</v>
      </c>
      <c r="J1" s="5" t="s">
        <v>14</v>
      </c>
      <c r="K1" s="6" t="s">
        <v>2</v>
      </c>
      <c r="L1" s="5" t="s">
        <v>3</v>
      </c>
      <c r="M1" s="5" t="s">
        <v>13</v>
      </c>
      <c r="N1" s="548" t="s">
        <v>12</v>
      </c>
      <c r="O1" s="561" t="s">
        <v>771</v>
      </c>
      <c r="P1" s="561" t="s">
        <v>594</v>
      </c>
      <c r="Q1" s="22" t="s">
        <v>26</v>
      </c>
      <c r="R1" s="22" t="s">
        <v>1018</v>
      </c>
      <c r="S1" s="463" t="s">
        <v>1830</v>
      </c>
      <c r="T1" s="541" t="s">
        <v>1790</v>
      </c>
      <c r="U1" s="462" t="s">
        <v>1649</v>
      </c>
      <c r="V1" s="463" t="s">
        <v>17</v>
      </c>
      <c r="W1" s="541" t="s">
        <v>1775</v>
      </c>
      <c r="X1" s="465" t="s">
        <v>2006</v>
      </c>
      <c r="Y1" s="463" t="s">
        <v>17</v>
      </c>
      <c r="Z1" s="541" t="s">
        <v>1775</v>
      </c>
      <c r="AA1" s="465" t="s">
        <v>1066</v>
      </c>
      <c r="AB1" s="463" t="s">
        <v>17</v>
      </c>
      <c r="AC1" s="541" t="s">
        <v>1775</v>
      </c>
      <c r="AD1" s="465" t="s">
        <v>1033</v>
      </c>
      <c r="AE1" s="463" t="s">
        <v>17</v>
      </c>
      <c r="AF1" s="541" t="s">
        <v>1775</v>
      </c>
      <c r="AG1" s="463" t="s">
        <v>2005</v>
      </c>
      <c r="AH1" s="463" t="s">
        <v>17</v>
      </c>
      <c r="AI1" s="541" t="s">
        <v>1775</v>
      </c>
      <c r="AJ1" s="465" t="s">
        <v>1650</v>
      </c>
      <c r="AK1" s="463" t="s">
        <v>17</v>
      </c>
      <c r="AL1" s="541" t="s">
        <v>1775</v>
      </c>
      <c r="AM1" s="465" t="s">
        <v>23</v>
      </c>
      <c r="AN1" s="463" t="s">
        <v>1784</v>
      </c>
      <c r="AO1" s="465" t="s">
        <v>25</v>
      </c>
      <c r="AP1" s="463" t="s">
        <v>1413</v>
      </c>
      <c r="AQ1" s="465" t="s">
        <v>24</v>
      </c>
      <c r="AR1" s="463" t="s">
        <v>17</v>
      </c>
      <c r="AS1" s="541" t="s">
        <v>1775</v>
      </c>
      <c r="AT1" s="22" t="s">
        <v>27</v>
      </c>
      <c r="AU1" s="463" t="s">
        <v>17</v>
      </c>
      <c r="AV1" s="541" t="s">
        <v>1775</v>
      </c>
      <c r="AW1" s="561" t="s">
        <v>1629</v>
      </c>
      <c r="AX1" s="463" t="s">
        <v>17</v>
      </c>
      <c r="AY1" s="22" t="s">
        <v>1624</v>
      </c>
      <c r="AZ1" s="465" t="s">
        <v>1753</v>
      </c>
      <c r="BA1" s="465" t="s">
        <v>1674</v>
      </c>
      <c r="BB1" s="22" t="s">
        <v>28</v>
      </c>
      <c r="BC1" s="43"/>
      <c r="BD1" s="24"/>
      <c r="BE1" s="24"/>
      <c r="BF1" s="43"/>
      <c r="BG1" s="43"/>
      <c r="BH1" s="43"/>
      <c r="BI1" s="43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</row>
    <row r="2" spans="1:646" x14ac:dyDescent="0.25">
      <c r="A2" s="454" t="s">
        <v>1330</v>
      </c>
      <c r="B2" s="568"/>
      <c r="C2" s="569"/>
      <c r="D2" s="327"/>
      <c r="E2" s="570"/>
      <c r="J2" s="476"/>
      <c r="K2" s="477"/>
      <c r="L2" s="476"/>
      <c r="M2" s="476"/>
      <c r="N2" s="476"/>
      <c r="W2" s="393"/>
      <c r="Z2" s="393"/>
      <c r="AC2" s="393"/>
      <c r="AF2" s="393"/>
      <c r="AI2" s="393"/>
      <c r="AL2" s="393"/>
      <c r="AS2" s="393"/>
      <c r="AT2" s="24"/>
      <c r="AU2" s="35"/>
      <c r="AV2" s="393"/>
      <c r="AW2" s="23"/>
      <c r="AY2" s="110"/>
      <c r="AZ2" s="24"/>
      <c r="BA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</row>
    <row r="3" spans="1:646" x14ac:dyDescent="0.25">
      <c r="A3" s="34" t="s">
        <v>1331</v>
      </c>
      <c r="B3" s="568"/>
      <c r="C3" s="569"/>
      <c r="D3" s="327"/>
      <c r="E3" s="570"/>
      <c r="J3" s="476"/>
      <c r="K3" s="477"/>
      <c r="L3" s="476"/>
      <c r="M3" s="476"/>
      <c r="N3" s="476"/>
      <c r="W3" s="393"/>
      <c r="Z3" s="393"/>
      <c r="AC3" s="393"/>
      <c r="AF3" s="393"/>
      <c r="AI3" s="393"/>
      <c r="AL3" s="393"/>
      <c r="AM3" s="24"/>
      <c r="AS3" s="393"/>
      <c r="AT3" s="24"/>
      <c r="AU3" s="35"/>
      <c r="AV3" s="393"/>
      <c r="AW3" s="23"/>
      <c r="AY3" s="110"/>
      <c r="AZ3" s="24"/>
      <c r="BA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</row>
    <row r="4" spans="1:646" x14ac:dyDescent="0.25">
      <c r="A4" s="404" t="s">
        <v>1774</v>
      </c>
      <c r="B4" s="568"/>
      <c r="C4" s="569"/>
      <c r="D4" s="327"/>
      <c r="E4" s="570"/>
      <c r="J4" s="476"/>
      <c r="K4" s="477"/>
      <c r="L4" s="476"/>
      <c r="M4" s="476"/>
      <c r="N4" s="476"/>
      <c r="W4" s="393"/>
      <c r="Z4" s="393"/>
      <c r="AC4" s="393"/>
      <c r="AF4" s="393"/>
      <c r="AI4" s="393"/>
      <c r="AL4" s="393"/>
      <c r="AM4" s="24"/>
      <c r="AS4" s="393"/>
      <c r="AT4" s="24"/>
      <c r="AU4" s="35"/>
      <c r="AV4" s="393"/>
      <c r="AW4" s="23"/>
      <c r="AY4" s="110"/>
      <c r="AZ4" s="24"/>
      <c r="BA4" s="330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</row>
    <row r="5" spans="1:646" x14ac:dyDescent="0.25">
      <c r="A5" s="344" t="s">
        <v>1543</v>
      </c>
      <c r="B5" s="571"/>
      <c r="C5" s="327"/>
      <c r="D5" s="327"/>
      <c r="E5" s="570"/>
      <c r="J5" s="476"/>
      <c r="K5" s="477"/>
      <c r="L5" s="476"/>
      <c r="M5" s="476"/>
      <c r="N5" s="476"/>
      <c r="W5" s="393"/>
      <c r="Z5" s="393"/>
      <c r="AC5" s="393"/>
      <c r="AF5" s="393"/>
      <c r="AI5" s="393"/>
      <c r="AL5" s="393"/>
      <c r="AM5" s="24"/>
      <c r="AS5" s="393"/>
      <c r="AT5" s="330"/>
      <c r="AU5" s="395"/>
      <c r="AV5" s="393"/>
      <c r="AW5" s="23"/>
      <c r="AY5" s="110"/>
      <c r="AZ5" s="24"/>
      <c r="BA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</row>
    <row r="6" spans="1:646" x14ac:dyDescent="0.25">
      <c r="A6" s="330" t="s">
        <v>1536</v>
      </c>
      <c r="B6" s="571"/>
      <c r="C6" s="327"/>
      <c r="D6" s="327"/>
      <c r="E6" s="570"/>
      <c r="J6" s="476"/>
      <c r="K6" s="477"/>
      <c r="L6" s="476"/>
      <c r="M6" s="476"/>
      <c r="N6" s="476"/>
      <c r="W6" s="393"/>
      <c r="Z6" s="393"/>
      <c r="AC6" s="393"/>
      <c r="AF6" s="393"/>
      <c r="AI6" s="393"/>
      <c r="AL6" s="393"/>
      <c r="AM6" s="24"/>
      <c r="AS6" s="393"/>
      <c r="AT6" s="330"/>
      <c r="AU6" s="395"/>
      <c r="AV6" s="393"/>
      <c r="AW6" s="23"/>
      <c r="AY6" s="110"/>
      <c r="AZ6" s="24"/>
      <c r="BA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</row>
    <row r="7" spans="1:646" x14ac:dyDescent="0.25">
      <c r="A7" s="363"/>
      <c r="B7" s="572"/>
      <c r="C7" s="374"/>
      <c r="D7" s="26"/>
      <c r="E7" s="570"/>
      <c r="J7" s="476"/>
      <c r="K7" s="477"/>
      <c r="L7" s="476"/>
      <c r="M7" s="476"/>
      <c r="N7" s="476"/>
      <c r="W7" s="393"/>
      <c r="Z7" s="393"/>
      <c r="AC7" s="393"/>
      <c r="AF7" s="393"/>
      <c r="AI7" s="393"/>
      <c r="AL7" s="393"/>
      <c r="AM7" s="24"/>
      <c r="AS7" s="393"/>
      <c r="AT7" s="330"/>
      <c r="AU7" s="395"/>
      <c r="AV7" s="393"/>
      <c r="AW7" s="23" t="s">
        <v>238</v>
      </c>
      <c r="AY7" s="110"/>
      <c r="AZ7" s="24"/>
      <c r="BA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</row>
    <row r="8" spans="1:646" x14ac:dyDescent="0.25">
      <c r="A8" s="331" t="s">
        <v>1453</v>
      </c>
      <c r="B8" s="374" t="s">
        <v>875</v>
      </c>
      <c r="C8" s="373" t="s">
        <v>65</v>
      </c>
      <c r="D8" s="26" t="s">
        <v>1777</v>
      </c>
      <c r="E8" s="334" t="s">
        <v>296</v>
      </c>
      <c r="F8" s="326">
        <v>62</v>
      </c>
      <c r="G8" s="326" t="s">
        <v>183</v>
      </c>
      <c r="H8" s="326" t="s">
        <v>35</v>
      </c>
      <c r="I8" s="327"/>
      <c r="J8" s="550"/>
      <c r="K8" s="551"/>
      <c r="L8" s="550"/>
      <c r="M8" s="550"/>
      <c r="N8" s="550"/>
      <c r="O8" s="442" t="s">
        <v>1960</v>
      </c>
      <c r="P8" s="442" t="s">
        <v>1961</v>
      </c>
      <c r="Q8" s="442" t="s">
        <v>1855</v>
      </c>
      <c r="R8" s="534" t="s">
        <v>1519</v>
      </c>
      <c r="S8" s="406" t="s">
        <v>1856</v>
      </c>
      <c r="T8" s="389" t="s">
        <v>1857</v>
      </c>
      <c r="U8" s="330"/>
      <c r="V8" s="330"/>
      <c r="W8" s="393"/>
      <c r="X8" s="354" t="s">
        <v>1923</v>
      </c>
      <c r="Y8" s="395" t="s">
        <v>1924</v>
      </c>
      <c r="Z8" s="404" t="s">
        <v>1959</v>
      </c>
      <c r="AA8" s="354"/>
      <c r="AB8" s="395"/>
      <c r="AC8" s="389"/>
      <c r="AD8" s="330"/>
      <c r="AE8" s="330"/>
      <c r="AF8" s="393"/>
      <c r="AG8" s="330"/>
      <c r="AH8" s="330"/>
      <c r="AI8" s="393"/>
      <c r="AJ8" s="330"/>
      <c r="AK8" s="330"/>
      <c r="AL8" s="393"/>
      <c r="AM8" s="330"/>
      <c r="AN8" s="330"/>
      <c r="AO8" s="330"/>
      <c r="AP8" s="330"/>
      <c r="AQ8" s="330"/>
      <c r="AR8" s="330"/>
      <c r="AS8" s="393"/>
      <c r="AT8" s="354" t="s">
        <v>1923</v>
      </c>
      <c r="AU8" s="395" t="s">
        <v>1924</v>
      </c>
      <c r="AV8" s="404" t="s">
        <v>1959</v>
      </c>
      <c r="AW8" s="24"/>
      <c r="AX8" s="158"/>
      <c r="AY8" s="28"/>
      <c r="AZ8" s="330"/>
      <c r="BA8" s="330"/>
      <c r="BB8" s="330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4"/>
      <c r="FP8" s="24"/>
      <c r="FQ8" s="24"/>
      <c r="FR8" s="24"/>
      <c r="FS8" s="24"/>
      <c r="FT8" s="24"/>
      <c r="FU8" s="24"/>
      <c r="FV8" s="24"/>
      <c r="FW8" s="24"/>
      <c r="FX8" s="24"/>
      <c r="FY8" s="24"/>
      <c r="FZ8" s="24"/>
      <c r="GA8" s="24"/>
      <c r="GB8" s="24"/>
      <c r="GC8" s="24"/>
      <c r="GD8" s="24"/>
      <c r="GE8" s="24"/>
      <c r="GF8" s="24"/>
      <c r="GG8" s="24"/>
      <c r="GH8" s="24"/>
      <c r="GI8" s="24"/>
      <c r="GJ8" s="24"/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/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  <c r="KD8" s="24"/>
      <c r="KE8" s="24"/>
      <c r="KF8" s="24"/>
      <c r="KG8" s="24"/>
      <c r="KH8" s="24"/>
      <c r="KI8" s="24"/>
      <c r="KJ8" s="24"/>
      <c r="KK8" s="24"/>
      <c r="KL8" s="24"/>
      <c r="KM8" s="24"/>
      <c r="KN8" s="24"/>
      <c r="KO8" s="24"/>
      <c r="KP8" s="24"/>
      <c r="KQ8" s="24"/>
      <c r="KR8" s="24"/>
      <c r="KS8" s="24"/>
      <c r="KT8" s="24"/>
      <c r="KU8" s="24"/>
      <c r="KV8" s="24"/>
      <c r="KW8" s="24"/>
      <c r="KX8" s="24"/>
      <c r="KY8" s="24"/>
      <c r="KZ8" s="24"/>
      <c r="LA8" s="24"/>
      <c r="LB8" s="24"/>
      <c r="LC8" s="24"/>
      <c r="LD8" s="24"/>
      <c r="LE8" s="24"/>
      <c r="LF8" s="24"/>
      <c r="LG8" s="24"/>
      <c r="LH8" s="24"/>
      <c r="LI8" s="24"/>
      <c r="LJ8" s="24"/>
      <c r="LK8" s="24"/>
      <c r="LL8" s="24"/>
      <c r="LM8" s="24"/>
      <c r="LN8" s="24"/>
      <c r="LO8" s="24"/>
      <c r="LP8" s="24"/>
      <c r="LQ8" s="24"/>
      <c r="LR8" s="24"/>
      <c r="LS8" s="24"/>
      <c r="LT8" s="24"/>
      <c r="LU8" s="24"/>
      <c r="LV8" s="24"/>
      <c r="LW8" s="24"/>
      <c r="LX8" s="24"/>
      <c r="LY8" s="24"/>
      <c r="LZ8" s="24"/>
      <c r="MA8" s="24"/>
      <c r="MB8" s="24"/>
      <c r="MC8" s="24"/>
      <c r="MD8" s="24"/>
      <c r="ME8" s="24"/>
      <c r="MF8" s="24"/>
      <c r="MG8" s="24"/>
      <c r="MH8" s="24"/>
      <c r="MI8" s="24"/>
      <c r="MJ8" s="24"/>
      <c r="MK8" s="24"/>
      <c r="ML8" s="24"/>
      <c r="MM8" s="24"/>
      <c r="MN8" s="24"/>
      <c r="MO8" s="24"/>
      <c r="MP8" s="24"/>
      <c r="MQ8" s="24"/>
      <c r="MR8" s="24"/>
      <c r="MS8" s="24"/>
      <c r="MT8" s="24"/>
      <c r="MU8" s="24"/>
      <c r="MV8" s="24"/>
      <c r="MW8" s="24"/>
      <c r="MX8" s="24"/>
      <c r="MY8" s="24"/>
      <c r="MZ8" s="24"/>
      <c r="NA8" s="24"/>
      <c r="NB8" s="24"/>
      <c r="NC8" s="24"/>
      <c r="ND8" s="24"/>
      <c r="NE8" s="24"/>
      <c r="NF8" s="24"/>
      <c r="NG8" s="24"/>
      <c r="NH8" s="24"/>
      <c r="NI8" s="24"/>
      <c r="NJ8" s="24"/>
      <c r="NK8" s="24"/>
      <c r="NL8" s="24"/>
      <c r="NM8" s="24"/>
      <c r="NN8" s="24"/>
      <c r="NO8" s="24"/>
      <c r="NP8" s="24"/>
      <c r="NQ8" s="24"/>
      <c r="NR8" s="24"/>
      <c r="NS8" s="24"/>
      <c r="NT8" s="24"/>
      <c r="NU8" s="24"/>
      <c r="NV8" s="24"/>
      <c r="NW8" s="24"/>
      <c r="NX8" s="24"/>
      <c r="NY8" s="24"/>
      <c r="NZ8" s="24"/>
      <c r="OA8" s="24"/>
      <c r="OB8" s="24"/>
      <c r="OC8" s="24"/>
      <c r="OD8" s="24"/>
      <c r="OE8" s="24"/>
      <c r="OF8" s="24"/>
      <c r="OG8" s="24"/>
      <c r="OH8" s="24"/>
      <c r="OI8" s="24"/>
      <c r="OJ8" s="24"/>
      <c r="OK8" s="24"/>
      <c r="OL8" s="24"/>
      <c r="OM8" s="24"/>
      <c r="ON8" s="24"/>
      <c r="OO8" s="24"/>
      <c r="OP8" s="24"/>
      <c r="OQ8" s="24"/>
      <c r="OR8" s="24"/>
      <c r="OS8" s="24"/>
      <c r="OT8" s="24"/>
      <c r="OU8" s="24"/>
      <c r="OV8" s="24"/>
      <c r="OW8" s="24"/>
      <c r="OX8" s="24"/>
      <c r="OY8" s="24"/>
      <c r="OZ8" s="24"/>
      <c r="PA8" s="24"/>
      <c r="PB8" s="24"/>
      <c r="PC8" s="24"/>
      <c r="PD8" s="24"/>
      <c r="PE8" s="24"/>
      <c r="PF8" s="24"/>
      <c r="PG8" s="24"/>
      <c r="PH8" s="24"/>
      <c r="PI8" s="24"/>
      <c r="PJ8" s="24"/>
      <c r="PK8" s="24"/>
      <c r="PL8" s="24"/>
      <c r="PM8" s="24"/>
      <c r="PN8" s="24"/>
      <c r="PO8" s="24"/>
      <c r="PP8" s="24"/>
      <c r="PQ8" s="24"/>
      <c r="PR8" s="24"/>
      <c r="PS8" s="24"/>
      <c r="PT8" s="24"/>
      <c r="PU8" s="24"/>
      <c r="PV8" s="24"/>
      <c r="PW8" s="24"/>
      <c r="PX8" s="24"/>
      <c r="PY8" s="24"/>
      <c r="PZ8" s="24"/>
      <c r="QA8" s="24"/>
      <c r="QB8" s="24"/>
      <c r="QC8" s="24"/>
      <c r="QD8" s="24"/>
      <c r="QE8" s="24"/>
      <c r="QF8" s="24"/>
      <c r="QG8" s="24"/>
      <c r="QH8" s="24"/>
      <c r="QI8" s="24"/>
      <c r="QJ8" s="24"/>
      <c r="QK8" s="24"/>
      <c r="QL8" s="24"/>
      <c r="QM8" s="24"/>
      <c r="QN8" s="24"/>
      <c r="QO8" s="24"/>
      <c r="QP8" s="24"/>
      <c r="QQ8" s="24"/>
      <c r="QR8" s="24"/>
      <c r="QS8" s="24"/>
      <c r="QT8" s="24"/>
      <c r="QU8" s="24"/>
      <c r="QV8" s="24"/>
      <c r="QW8" s="24"/>
      <c r="QX8" s="24"/>
      <c r="QY8" s="24"/>
      <c r="QZ8" s="24"/>
      <c r="RA8" s="24"/>
      <c r="RB8" s="24"/>
      <c r="RC8" s="24"/>
      <c r="RD8" s="24"/>
      <c r="RE8" s="24"/>
      <c r="RF8" s="24"/>
      <c r="RG8" s="24"/>
      <c r="RH8" s="24"/>
      <c r="RI8" s="24"/>
      <c r="RJ8" s="24"/>
      <c r="RK8" s="24"/>
      <c r="RL8" s="24"/>
      <c r="RM8" s="24"/>
      <c r="RN8" s="24"/>
      <c r="RO8" s="24"/>
      <c r="RP8" s="24"/>
      <c r="RQ8" s="24"/>
      <c r="RR8" s="24"/>
      <c r="RS8" s="24"/>
      <c r="RT8" s="24"/>
      <c r="RU8" s="24"/>
      <c r="RV8" s="24"/>
      <c r="RW8" s="24"/>
      <c r="RX8" s="24"/>
      <c r="RY8" s="24"/>
      <c r="RZ8" s="24"/>
      <c r="SA8" s="24"/>
      <c r="SB8" s="24"/>
      <c r="SC8" s="24"/>
      <c r="SD8" s="24"/>
      <c r="SE8" s="24"/>
      <c r="SF8" s="24"/>
      <c r="SG8" s="24"/>
      <c r="SH8" s="24"/>
      <c r="SI8" s="24"/>
      <c r="SJ8" s="24"/>
      <c r="SK8" s="24"/>
      <c r="SL8" s="24"/>
      <c r="SM8" s="24"/>
      <c r="SN8" s="24"/>
      <c r="SO8" s="24"/>
      <c r="SP8" s="24"/>
      <c r="SQ8" s="24"/>
      <c r="SR8" s="24"/>
      <c r="SS8" s="24"/>
      <c r="ST8" s="24"/>
      <c r="SU8" s="24"/>
      <c r="SV8" s="24"/>
      <c r="SW8" s="24"/>
      <c r="SX8" s="24"/>
      <c r="SY8" s="24"/>
      <c r="SZ8" s="24"/>
      <c r="TA8" s="24"/>
      <c r="TB8" s="24"/>
      <c r="TC8" s="24"/>
      <c r="TD8" s="24"/>
      <c r="TE8" s="24"/>
      <c r="TF8" s="24"/>
      <c r="TG8" s="24"/>
      <c r="TH8" s="24"/>
      <c r="TI8" s="24"/>
      <c r="TJ8" s="24"/>
      <c r="TK8" s="24"/>
      <c r="TL8" s="24"/>
      <c r="TM8" s="24"/>
      <c r="TN8" s="24"/>
      <c r="TO8" s="24"/>
      <c r="TP8" s="24"/>
      <c r="TQ8" s="24"/>
      <c r="TR8" s="24"/>
      <c r="TS8" s="24"/>
      <c r="TT8" s="24"/>
      <c r="TU8" s="24"/>
      <c r="TV8" s="24"/>
      <c r="TW8" s="24"/>
      <c r="TX8" s="24"/>
      <c r="TY8" s="24"/>
      <c r="TZ8" s="24"/>
      <c r="UA8" s="24"/>
      <c r="UB8" s="24"/>
      <c r="UC8" s="24"/>
      <c r="UD8" s="24"/>
      <c r="UE8" s="24"/>
      <c r="UF8" s="24"/>
      <c r="UG8" s="24"/>
      <c r="UH8" s="24"/>
      <c r="UI8" s="24"/>
      <c r="UJ8" s="24"/>
      <c r="UK8" s="24"/>
      <c r="UL8" s="24"/>
      <c r="UM8" s="24"/>
      <c r="UN8" s="24"/>
      <c r="UO8" s="24"/>
      <c r="UP8" s="24"/>
      <c r="UQ8" s="24"/>
      <c r="UR8" s="24"/>
      <c r="US8" s="24"/>
      <c r="UT8" s="24"/>
      <c r="UU8" s="24"/>
      <c r="UV8" s="24"/>
      <c r="UW8" s="24"/>
      <c r="UX8" s="24"/>
      <c r="UY8" s="24"/>
      <c r="UZ8" s="24"/>
      <c r="VA8" s="24"/>
      <c r="VB8" s="24"/>
      <c r="VC8" s="24"/>
      <c r="VD8" s="24"/>
      <c r="VE8" s="24"/>
      <c r="VF8" s="24"/>
      <c r="VG8" s="24"/>
      <c r="VH8" s="24"/>
      <c r="VI8" s="24"/>
      <c r="VJ8" s="24"/>
      <c r="VK8" s="24"/>
      <c r="VL8" s="24"/>
      <c r="VM8" s="24"/>
      <c r="VN8" s="24"/>
      <c r="VO8" s="24"/>
      <c r="VP8" s="24"/>
      <c r="VQ8" s="24"/>
      <c r="VR8" s="24"/>
      <c r="VS8" s="24"/>
      <c r="VT8" s="24"/>
      <c r="VU8" s="24"/>
      <c r="VV8" s="24"/>
      <c r="VW8" s="24"/>
      <c r="VX8" s="24"/>
      <c r="VY8" s="24"/>
      <c r="VZ8" s="24"/>
      <c r="WA8" s="24"/>
      <c r="WB8" s="24"/>
      <c r="WC8" s="24"/>
      <c r="WD8" s="24"/>
      <c r="WE8" s="24"/>
      <c r="WF8" s="24"/>
      <c r="WG8" s="24"/>
      <c r="WH8" s="24"/>
      <c r="WI8" s="24"/>
      <c r="WJ8" s="24"/>
      <c r="WK8" s="24"/>
      <c r="WL8" s="24"/>
      <c r="WM8" s="24"/>
      <c r="WN8" s="24"/>
      <c r="WO8" s="24"/>
      <c r="WP8" s="24"/>
      <c r="WQ8" s="24"/>
      <c r="WR8" s="24"/>
      <c r="WS8" s="24"/>
      <c r="WT8" s="24"/>
      <c r="WU8" s="24"/>
      <c r="WV8" s="24"/>
      <c r="WW8" s="24"/>
      <c r="WX8" s="24"/>
      <c r="WY8" s="24"/>
      <c r="WZ8" s="24"/>
      <c r="XA8" s="24"/>
      <c r="XB8" s="24"/>
      <c r="XC8" s="24"/>
      <c r="XD8" s="24"/>
      <c r="XE8" s="24"/>
      <c r="XF8" s="24"/>
      <c r="XG8" s="24"/>
      <c r="XH8" s="24"/>
      <c r="XI8" s="24"/>
      <c r="XJ8" s="24"/>
      <c r="XK8" s="24"/>
      <c r="XL8" s="24"/>
      <c r="XM8" s="24"/>
      <c r="XN8" s="24"/>
      <c r="XO8" s="24"/>
      <c r="XP8" s="24"/>
      <c r="XQ8" s="24"/>
      <c r="XR8" s="24"/>
      <c r="XS8" s="24"/>
      <c r="XT8" s="24"/>
      <c r="XU8" s="24"/>
      <c r="XV8" s="24"/>
    </row>
    <row r="9" spans="1:646" ht="12" x14ac:dyDescent="0.2">
      <c r="A9" s="331" t="s">
        <v>1454</v>
      </c>
      <c r="B9" s="374" t="s">
        <v>779</v>
      </c>
      <c r="C9" s="373" t="s">
        <v>65</v>
      </c>
      <c r="D9" s="32" t="s">
        <v>1159</v>
      </c>
      <c r="E9" s="334" t="s">
        <v>1375</v>
      </c>
      <c r="F9" s="326">
        <v>39</v>
      </c>
      <c r="G9" s="326" t="s">
        <v>183</v>
      </c>
      <c r="H9" s="326" t="s">
        <v>35</v>
      </c>
      <c r="I9" s="327"/>
      <c r="J9" s="550"/>
      <c r="K9" s="551"/>
      <c r="L9" s="550"/>
      <c r="M9" s="550"/>
      <c r="N9" s="550"/>
      <c r="O9" s="442" t="s">
        <v>1926</v>
      </c>
      <c r="P9" s="442" t="s">
        <v>1927</v>
      </c>
      <c r="Q9" s="354" t="s">
        <v>1882</v>
      </c>
      <c r="R9" s="354" t="s">
        <v>1019</v>
      </c>
      <c r="S9" s="406" t="s">
        <v>1883</v>
      </c>
      <c r="T9" s="389" t="s">
        <v>1884</v>
      </c>
      <c r="U9" s="23" t="s">
        <v>238</v>
      </c>
      <c r="V9" s="330"/>
      <c r="W9" s="393"/>
      <c r="X9" s="354" t="s">
        <v>1773</v>
      </c>
      <c r="Y9" s="395" t="s">
        <v>1913</v>
      </c>
      <c r="Z9" s="404" t="s">
        <v>1988</v>
      </c>
      <c r="AA9" s="178"/>
      <c r="AB9" s="35"/>
      <c r="AC9" s="389"/>
      <c r="AD9" s="330"/>
      <c r="AE9" s="330"/>
      <c r="AF9" s="393"/>
      <c r="AI9" s="393"/>
      <c r="AJ9" s="330"/>
      <c r="AK9" s="330"/>
      <c r="AL9" s="393"/>
      <c r="AM9" s="330"/>
      <c r="AN9" s="330"/>
      <c r="AO9" s="330"/>
      <c r="AP9" s="32"/>
      <c r="AQ9" s="330"/>
      <c r="AR9" s="330"/>
      <c r="AS9" s="393"/>
      <c r="AT9" s="354" t="s">
        <v>1773</v>
      </c>
      <c r="AU9" s="395" t="s">
        <v>1913</v>
      </c>
      <c r="AV9" s="404" t="s">
        <v>1988</v>
      </c>
      <c r="AW9" s="24"/>
      <c r="AX9" s="24"/>
      <c r="AY9" s="24"/>
      <c r="AZ9" s="330"/>
      <c r="BA9" s="330"/>
      <c r="BB9" s="330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4"/>
      <c r="EV9" s="24"/>
      <c r="EW9" s="24"/>
      <c r="EX9" s="24"/>
      <c r="EY9" s="24"/>
      <c r="EZ9" s="24"/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/>
      <c r="HJ9" s="24"/>
      <c r="HK9" s="24"/>
      <c r="HL9" s="24"/>
      <c r="HM9" s="24"/>
      <c r="HN9" s="24"/>
      <c r="HO9" s="24"/>
      <c r="HP9" s="24"/>
      <c r="HQ9" s="24"/>
      <c r="HR9" s="24"/>
      <c r="HS9" s="24"/>
      <c r="HT9" s="24"/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  <c r="KD9" s="24"/>
      <c r="KE9" s="24"/>
      <c r="KF9" s="24"/>
      <c r="KG9" s="24"/>
      <c r="KH9" s="24"/>
      <c r="KI9" s="24"/>
      <c r="KJ9" s="24"/>
      <c r="KK9" s="24"/>
      <c r="KL9" s="24"/>
      <c r="KM9" s="24"/>
      <c r="KN9" s="24"/>
      <c r="KO9" s="24"/>
      <c r="KP9" s="24"/>
      <c r="KQ9" s="24"/>
      <c r="KR9" s="24"/>
      <c r="KS9" s="24"/>
      <c r="KT9" s="24"/>
      <c r="KU9" s="24"/>
      <c r="KV9" s="24"/>
      <c r="KW9" s="24"/>
      <c r="KX9" s="24"/>
      <c r="KY9" s="24"/>
      <c r="KZ9" s="24"/>
      <c r="LA9" s="24"/>
      <c r="LB9" s="24"/>
      <c r="LC9" s="24"/>
      <c r="LD9" s="24"/>
      <c r="LE9" s="24"/>
      <c r="LF9" s="24"/>
      <c r="LG9" s="24"/>
      <c r="LH9" s="24"/>
      <c r="LI9" s="24"/>
      <c r="LJ9" s="24"/>
      <c r="LK9" s="24"/>
      <c r="LL9" s="24"/>
      <c r="LM9" s="24"/>
      <c r="LN9" s="24"/>
      <c r="LO9" s="24"/>
      <c r="LP9" s="24"/>
      <c r="LQ9" s="24"/>
      <c r="LR9" s="24"/>
      <c r="LS9" s="24"/>
      <c r="LT9" s="24"/>
      <c r="LU9" s="24"/>
      <c r="LV9" s="24"/>
      <c r="LW9" s="24"/>
      <c r="LX9" s="24"/>
      <c r="LY9" s="24"/>
      <c r="LZ9" s="24"/>
      <c r="MA9" s="24"/>
      <c r="MB9" s="24"/>
      <c r="MC9" s="24"/>
      <c r="MD9" s="24"/>
      <c r="ME9" s="24"/>
      <c r="MF9" s="24"/>
      <c r="MG9" s="24"/>
      <c r="MH9" s="24"/>
      <c r="MI9" s="24"/>
      <c r="MJ9" s="24"/>
      <c r="MK9" s="24"/>
      <c r="ML9" s="24"/>
      <c r="MM9" s="24"/>
      <c r="MN9" s="24"/>
      <c r="MO9" s="24"/>
      <c r="MP9" s="24"/>
      <c r="MQ9" s="24"/>
      <c r="MR9" s="24"/>
      <c r="MS9" s="24"/>
      <c r="MT9" s="24"/>
      <c r="MU9" s="24"/>
      <c r="MV9" s="24"/>
      <c r="MW9" s="24"/>
      <c r="MX9" s="24"/>
      <c r="MY9" s="24"/>
      <c r="MZ9" s="24"/>
      <c r="NA9" s="24"/>
      <c r="NB9" s="24"/>
      <c r="NC9" s="24"/>
      <c r="ND9" s="24"/>
      <c r="NE9" s="24"/>
      <c r="NF9" s="24"/>
      <c r="NG9" s="24"/>
      <c r="NH9" s="24"/>
      <c r="NI9" s="24"/>
      <c r="NJ9" s="24"/>
      <c r="NK9" s="24"/>
      <c r="NL9" s="24"/>
      <c r="NM9" s="24"/>
      <c r="NN9" s="24"/>
      <c r="NO9" s="24"/>
      <c r="NP9" s="24"/>
      <c r="NQ9" s="24"/>
      <c r="NR9" s="24"/>
      <c r="NS9" s="24"/>
      <c r="NT9" s="24"/>
      <c r="NU9" s="24"/>
      <c r="NV9" s="24"/>
      <c r="NW9" s="24"/>
      <c r="NX9" s="24"/>
      <c r="NY9" s="24"/>
      <c r="NZ9" s="24"/>
      <c r="OA9" s="24"/>
      <c r="OB9" s="24"/>
      <c r="OC9" s="24"/>
      <c r="OD9" s="24"/>
      <c r="OE9" s="24"/>
      <c r="OF9" s="24"/>
      <c r="OG9" s="24"/>
      <c r="OH9" s="24"/>
      <c r="OI9" s="24"/>
      <c r="OJ9" s="24"/>
      <c r="OK9" s="24"/>
      <c r="OL9" s="24"/>
      <c r="OM9" s="24"/>
      <c r="ON9" s="24"/>
      <c r="OO9" s="24"/>
      <c r="OP9" s="24"/>
      <c r="OQ9" s="24"/>
      <c r="OR9" s="24"/>
      <c r="OS9" s="24"/>
      <c r="OT9" s="24"/>
      <c r="OU9" s="24"/>
      <c r="OV9" s="24"/>
      <c r="OW9" s="24"/>
      <c r="OX9" s="24"/>
      <c r="OY9" s="24"/>
      <c r="OZ9" s="24"/>
      <c r="PA9" s="24"/>
      <c r="PB9" s="24"/>
      <c r="PC9" s="24"/>
      <c r="PD9" s="24"/>
      <c r="PE9" s="24"/>
      <c r="PF9" s="24"/>
      <c r="PG9" s="24"/>
      <c r="PH9" s="24"/>
      <c r="PI9" s="24"/>
      <c r="PJ9" s="24"/>
      <c r="PK9" s="24"/>
      <c r="PL9" s="24"/>
      <c r="PM9" s="24"/>
      <c r="PN9" s="24"/>
      <c r="PO9" s="24"/>
      <c r="PP9" s="24"/>
      <c r="PQ9" s="24"/>
      <c r="PR9" s="24"/>
      <c r="PS9" s="24"/>
      <c r="PT9" s="24"/>
      <c r="PU9" s="24"/>
      <c r="PV9" s="24"/>
      <c r="PW9" s="24"/>
      <c r="PX9" s="24"/>
      <c r="PY9" s="24"/>
      <c r="PZ9" s="24"/>
      <c r="QA9" s="24"/>
      <c r="QB9" s="24"/>
      <c r="QC9" s="24"/>
      <c r="QD9" s="24"/>
      <c r="QE9" s="24"/>
      <c r="QF9" s="24"/>
      <c r="QG9" s="24"/>
      <c r="QH9" s="24"/>
      <c r="QI9" s="24"/>
      <c r="QJ9" s="24"/>
      <c r="QK9" s="24"/>
      <c r="QL9" s="24"/>
      <c r="QM9" s="24"/>
      <c r="QN9" s="24"/>
      <c r="QO9" s="24"/>
      <c r="QP9" s="24"/>
      <c r="QQ9" s="24"/>
      <c r="QR9" s="24"/>
      <c r="QS9" s="24"/>
      <c r="QT9" s="24"/>
      <c r="QU9" s="24"/>
      <c r="QV9" s="24"/>
      <c r="QW9" s="24"/>
      <c r="QX9" s="24"/>
      <c r="QY9" s="24"/>
      <c r="QZ9" s="24"/>
      <c r="RA9" s="24"/>
      <c r="RB9" s="24"/>
      <c r="RC9" s="24"/>
      <c r="RD9" s="24"/>
      <c r="RE9" s="24"/>
      <c r="RF9" s="24"/>
      <c r="RG9" s="24"/>
      <c r="RH9" s="24"/>
      <c r="RI9" s="24"/>
      <c r="RJ9" s="24"/>
      <c r="RK9" s="24"/>
      <c r="RL9" s="24"/>
      <c r="RM9" s="24"/>
      <c r="RN9" s="24"/>
      <c r="RO9" s="24"/>
      <c r="RP9" s="24"/>
      <c r="RQ9" s="24"/>
      <c r="RR9" s="24"/>
      <c r="RS9" s="24"/>
      <c r="RT9" s="24"/>
      <c r="RU9" s="24"/>
      <c r="RV9" s="24"/>
      <c r="RW9" s="24"/>
      <c r="RX9" s="24"/>
      <c r="RY9" s="24"/>
      <c r="RZ9" s="24"/>
      <c r="SA9" s="24"/>
      <c r="SB9" s="24"/>
      <c r="SC9" s="24"/>
      <c r="SD9" s="24"/>
      <c r="SE9" s="24"/>
      <c r="SF9" s="24"/>
      <c r="SG9" s="24"/>
      <c r="SH9" s="24"/>
      <c r="SI9" s="24"/>
      <c r="SJ9" s="24"/>
      <c r="SK9" s="24"/>
      <c r="SL9" s="24"/>
      <c r="SM9" s="24"/>
      <c r="SN9" s="24"/>
      <c r="SO9" s="24"/>
      <c r="SP9" s="24"/>
      <c r="SQ9" s="24"/>
      <c r="SR9" s="24"/>
      <c r="SS9" s="24"/>
      <c r="ST9" s="24"/>
      <c r="SU9" s="24"/>
      <c r="SV9" s="24"/>
      <c r="SW9" s="24"/>
      <c r="SX9" s="24"/>
      <c r="SY9" s="24"/>
      <c r="SZ9" s="24"/>
      <c r="TA9" s="24"/>
      <c r="TB9" s="24"/>
      <c r="TC9" s="24"/>
      <c r="TD9" s="24"/>
      <c r="TE9" s="24"/>
      <c r="TF9" s="24"/>
      <c r="TG9" s="24"/>
      <c r="TH9" s="24"/>
      <c r="TI9" s="24"/>
      <c r="TJ9" s="24"/>
      <c r="TK9" s="24"/>
      <c r="TL9" s="24"/>
      <c r="TM9" s="24"/>
      <c r="TN9" s="24"/>
      <c r="TO9" s="24"/>
      <c r="TP9" s="24"/>
      <c r="TQ9" s="24"/>
      <c r="TR9" s="24"/>
      <c r="TS9" s="24"/>
      <c r="TT9" s="24"/>
      <c r="TU9" s="24"/>
      <c r="TV9" s="24"/>
      <c r="TW9" s="24"/>
      <c r="TX9" s="24"/>
      <c r="TY9" s="24"/>
      <c r="TZ9" s="24"/>
      <c r="UA9" s="24"/>
      <c r="UB9" s="24"/>
      <c r="UC9" s="24"/>
      <c r="UD9" s="24"/>
      <c r="UE9" s="24"/>
      <c r="UF9" s="24"/>
      <c r="UG9" s="24"/>
      <c r="UH9" s="24"/>
      <c r="UI9" s="24"/>
      <c r="UJ9" s="24"/>
      <c r="UK9" s="24"/>
      <c r="UL9" s="24"/>
      <c r="UM9" s="24"/>
      <c r="UN9" s="24"/>
      <c r="UO9" s="24"/>
      <c r="UP9" s="24"/>
      <c r="UQ9" s="24"/>
      <c r="UR9" s="24"/>
      <c r="US9" s="24"/>
      <c r="UT9" s="24"/>
      <c r="UU9" s="24"/>
      <c r="UV9" s="24"/>
      <c r="UW9" s="24"/>
      <c r="UX9" s="24"/>
      <c r="UY9" s="24"/>
      <c r="UZ9" s="24"/>
      <c r="VA9" s="24"/>
      <c r="VB9" s="24"/>
      <c r="VC9" s="24"/>
      <c r="VD9" s="24"/>
      <c r="VE9" s="24"/>
      <c r="VF9" s="24"/>
      <c r="VG9" s="24"/>
      <c r="VH9" s="24"/>
      <c r="VI9" s="24"/>
      <c r="VJ9" s="24"/>
      <c r="VK9" s="24"/>
      <c r="VL9" s="24"/>
      <c r="VM9" s="24"/>
      <c r="VN9" s="24"/>
      <c r="VO9" s="24"/>
      <c r="VP9" s="24"/>
      <c r="VQ9" s="24"/>
      <c r="VR9" s="24"/>
      <c r="VS9" s="24"/>
      <c r="VT9" s="24"/>
      <c r="VU9" s="24"/>
      <c r="VV9" s="24"/>
      <c r="VW9" s="24"/>
      <c r="VX9" s="24"/>
      <c r="VY9" s="24"/>
      <c r="VZ9" s="24"/>
      <c r="WA9" s="24"/>
      <c r="WB9" s="24"/>
      <c r="WC9" s="24"/>
      <c r="WD9" s="24"/>
      <c r="WE9" s="24"/>
      <c r="WF9" s="24"/>
      <c r="WG9" s="24"/>
      <c r="WH9" s="24"/>
      <c r="WI9" s="24"/>
      <c r="WJ9" s="24"/>
      <c r="WK9" s="24"/>
      <c r="WL9" s="24"/>
      <c r="WM9" s="24"/>
      <c r="WN9" s="24"/>
      <c r="WO9" s="24"/>
      <c r="WP9" s="24"/>
      <c r="WQ9" s="24"/>
      <c r="WR9" s="24"/>
      <c r="WS9" s="24"/>
      <c r="WT9" s="24"/>
      <c r="WU9" s="24"/>
      <c r="WV9" s="24"/>
      <c r="WW9" s="24"/>
      <c r="WX9" s="24"/>
      <c r="WY9" s="24"/>
      <c r="WZ9" s="24"/>
      <c r="XA9" s="24"/>
      <c r="XB9" s="24"/>
      <c r="XC9" s="24"/>
      <c r="XD9" s="24"/>
      <c r="XE9" s="24"/>
      <c r="XF9" s="24"/>
      <c r="XG9" s="24"/>
      <c r="XH9" s="24"/>
      <c r="XI9" s="24"/>
      <c r="XJ9" s="24"/>
      <c r="XK9" s="24"/>
      <c r="XL9" s="24"/>
      <c r="XM9" s="24"/>
      <c r="XN9" s="24"/>
      <c r="XO9" s="24"/>
      <c r="XP9" s="24"/>
      <c r="XQ9" s="24"/>
      <c r="XR9" s="24"/>
      <c r="XS9" s="24"/>
      <c r="XT9" s="24"/>
      <c r="XU9" s="24"/>
      <c r="XV9" s="24"/>
    </row>
    <row r="10" spans="1:646" ht="17.100000000000001" customHeight="1" x14ac:dyDescent="0.25">
      <c r="A10" s="331" t="s">
        <v>1455</v>
      </c>
      <c r="B10" s="375" t="s">
        <v>1030</v>
      </c>
      <c r="C10" s="372" t="s">
        <v>62</v>
      </c>
      <c r="D10" s="26" t="s">
        <v>1777</v>
      </c>
      <c r="E10" s="333" t="s">
        <v>292</v>
      </c>
      <c r="F10" s="330">
        <v>48</v>
      </c>
      <c r="G10" s="330" t="s">
        <v>183</v>
      </c>
      <c r="H10" s="330" t="s">
        <v>35</v>
      </c>
      <c r="I10" s="332"/>
      <c r="J10" s="552"/>
      <c r="K10" s="553"/>
      <c r="L10" s="552"/>
      <c r="M10" s="552"/>
      <c r="N10" s="552"/>
      <c r="O10" s="534" t="s">
        <v>1452</v>
      </c>
      <c r="P10" s="442" t="s">
        <v>1614</v>
      </c>
      <c r="Q10" s="354" t="s">
        <v>1852</v>
      </c>
      <c r="R10" s="442" t="s">
        <v>1019</v>
      </c>
      <c r="S10" s="406" t="s">
        <v>1853</v>
      </c>
      <c r="T10" s="389" t="s">
        <v>1854</v>
      </c>
      <c r="U10" s="330"/>
      <c r="V10" s="330"/>
      <c r="W10" s="393"/>
      <c r="X10" s="354"/>
      <c r="Y10" s="395"/>
      <c r="Z10" s="404"/>
      <c r="AA10" s="442"/>
      <c r="AB10" s="395"/>
      <c r="AC10" s="389"/>
      <c r="AD10" s="354" t="s">
        <v>1849</v>
      </c>
      <c r="AE10" s="395" t="s">
        <v>1850</v>
      </c>
      <c r="AF10" s="404" t="s">
        <v>1851</v>
      </c>
      <c r="AG10" s="330"/>
      <c r="AH10" s="330"/>
      <c r="AI10" s="393"/>
      <c r="AJ10" s="330"/>
      <c r="AK10" s="330"/>
      <c r="AL10" s="393"/>
      <c r="AM10" s="330"/>
      <c r="AN10" s="330"/>
      <c r="AO10" s="330"/>
      <c r="AP10" s="330"/>
      <c r="AQ10" s="330"/>
      <c r="AR10" s="330"/>
      <c r="AS10" s="393"/>
      <c r="AT10" s="354" t="s">
        <v>1849</v>
      </c>
      <c r="AU10" s="395" t="s">
        <v>1925</v>
      </c>
      <c r="AV10" s="404" t="s">
        <v>1851</v>
      </c>
      <c r="AW10" s="23"/>
      <c r="AX10" s="110"/>
      <c r="AY10" s="28"/>
      <c r="AZ10" s="330"/>
      <c r="BA10" s="330"/>
      <c r="BB10" s="330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</row>
    <row r="11" spans="1:646" s="24" customFormat="1" ht="12" x14ac:dyDescent="0.2">
      <c r="A11" s="331" t="s">
        <v>1456</v>
      </c>
      <c r="B11" s="643" t="s">
        <v>862</v>
      </c>
      <c r="C11" s="644" t="s">
        <v>63</v>
      </c>
      <c r="D11" s="645" t="s">
        <v>1777</v>
      </c>
      <c r="E11" s="646" t="s">
        <v>1362</v>
      </c>
      <c r="F11" s="344">
        <v>52</v>
      </c>
      <c r="G11" s="344" t="s">
        <v>183</v>
      </c>
      <c r="H11" s="344" t="s">
        <v>35</v>
      </c>
      <c r="I11" s="647"/>
      <c r="J11" s="648"/>
      <c r="K11" s="649"/>
      <c r="L11" s="648"/>
      <c r="M11" s="648"/>
      <c r="N11" s="648"/>
      <c r="O11" s="344" t="s">
        <v>1662</v>
      </c>
      <c r="P11" s="344" t="s">
        <v>1663</v>
      </c>
      <c r="Q11" s="344" t="s">
        <v>1829</v>
      </c>
      <c r="R11" s="344" t="s">
        <v>1019</v>
      </c>
      <c r="S11" s="343" t="s">
        <v>1670</v>
      </c>
      <c r="T11" s="359" t="s">
        <v>1645</v>
      </c>
      <c r="U11" s="331"/>
      <c r="V11" s="330"/>
      <c r="W11" s="393"/>
      <c r="X11" s="354"/>
      <c r="Y11" s="395"/>
      <c r="Z11" s="404"/>
      <c r="AA11" s="442"/>
      <c r="AB11" s="395"/>
      <c r="AC11" s="389"/>
      <c r="AD11" s="330"/>
      <c r="AE11" s="330"/>
      <c r="AF11" s="393"/>
      <c r="AG11" s="330"/>
      <c r="AH11" s="330"/>
      <c r="AI11" s="393"/>
      <c r="AJ11" s="330"/>
      <c r="AK11" s="330"/>
      <c r="AL11" s="393"/>
      <c r="AM11" s="330"/>
      <c r="AN11" s="330"/>
      <c r="AO11" s="330"/>
      <c r="AP11" s="330"/>
      <c r="AQ11" s="330"/>
      <c r="AR11" s="330"/>
      <c r="AS11" s="393"/>
      <c r="AT11" s="354"/>
      <c r="AU11" s="395"/>
      <c r="AV11" s="404"/>
      <c r="AY11" s="28"/>
      <c r="AZ11" s="330"/>
      <c r="BA11" s="332"/>
      <c r="BB11" s="330"/>
    </row>
    <row r="12" spans="1:646" ht="17.100000000000001" customHeight="1" x14ac:dyDescent="0.25">
      <c r="A12" s="331" t="s">
        <v>1457</v>
      </c>
      <c r="B12" s="374" t="s">
        <v>1451</v>
      </c>
      <c r="C12" s="373" t="s">
        <v>63</v>
      </c>
      <c r="D12" s="26" t="s">
        <v>1777</v>
      </c>
      <c r="E12" s="334" t="s">
        <v>348</v>
      </c>
      <c r="F12" s="326">
        <v>51</v>
      </c>
      <c r="G12" s="326" t="s">
        <v>183</v>
      </c>
      <c r="H12" s="326" t="s">
        <v>35</v>
      </c>
      <c r="I12" s="327"/>
      <c r="J12" s="550"/>
      <c r="K12" s="551"/>
      <c r="L12" s="550"/>
      <c r="M12" s="550"/>
      <c r="N12" s="550"/>
      <c r="O12" s="496" t="s">
        <v>1916</v>
      </c>
      <c r="P12" s="442" t="s">
        <v>1917</v>
      </c>
      <c r="Q12" s="354" t="s">
        <v>1705</v>
      </c>
      <c r="R12" s="442" t="s">
        <v>1019</v>
      </c>
      <c r="S12" s="406" t="s">
        <v>1865</v>
      </c>
      <c r="T12" s="394" t="s">
        <v>1858</v>
      </c>
      <c r="U12" s="24"/>
      <c r="V12" s="330"/>
      <c r="W12" s="393"/>
      <c r="X12" s="354" t="s">
        <v>1923</v>
      </c>
      <c r="Y12" s="395" t="s">
        <v>1924</v>
      </c>
      <c r="Z12" s="404" t="s">
        <v>1959</v>
      </c>
      <c r="AA12" s="178"/>
      <c r="AB12" s="35"/>
      <c r="AC12" s="389"/>
      <c r="AD12" s="330"/>
      <c r="AE12" s="330"/>
      <c r="AF12" s="393"/>
      <c r="AG12" s="330"/>
      <c r="AH12" s="330"/>
      <c r="AI12" s="393"/>
      <c r="AJ12" s="330"/>
      <c r="AK12" s="330"/>
      <c r="AL12" s="393"/>
      <c r="AM12" s="330"/>
      <c r="AN12" s="330"/>
      <c r="AO12" s="330"/>
      <c r="AP12" s="330"/>
      <c r="AQ12" s="330"/>
      <c r="AR12" s="330"/>
      <c r="AS12" s="393"/>
      <c r="AT12" s="354" t="s">
        <v>1923</v>
      </c>
      <c r="AU12" s="395" t="s">
        <v>1924</v>
      </c>
      <c r="AV12" s="404" t="s">
        <v>1959</v>
      </c>
      <c r="AW12" s="24"/>
      <c r="AX12" s="110"/>
      <c r="AY12" s="28"/>
      <c r="AZ12" s="330"/>
      <c r="BA12" s="330"/>
      <c r="BB12" s="330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</row>
    <row r="13" spans="1:646" s="24" customFormat="1" ht="15" customHeight="1" x14ac:dyDescent="0.2">
      <c r="A13" s="331" t="s">
        <v>1458</v>
      </c>
      <c r="B13" s="375" t="s">
        <v>890</v>
      </c>
      <c r="C13" s="372" t="s">
        <v>70</v>
      </c>
      <c r="D13" s="26" t="s">
        <v>1777</v>
      </c>
      <c r="E13" s="333" t="s">
        <v>272</v>
      </c>
      <c r="F13" s="330">
        <v>54</v>
      </c>
      <c r="G13" s="330" t="s">
        <v>183</v>
      </c>
      <c r="H13" s="330" t="s">
        <v>35</v>
      </c>
      <c r="I13" s="332"/>
      <c r="J13" s="552"/>
      <c r="K13" s="553"/>
      <c r="L13" s="552"/>
      <c r="M13" s="552"/>
      <c r="N13" s="552"/>
      <c r="O13" s="354" t="s">
        <v>1963</v>
      </c>
      <c r="P13" s="354" t="s">
        <v>1964</v>
      </c>
      <c r="Q13" s="442" t="s">
        <v>1855</v>
      </c>
      <c r="R13" s="534" t="s">
        <v>1519</v>
      </c>
      <c r="S13" s="406" t="s">
        <v>1856</v>
      </c>
      <c r="T13" s="394" t="s">
        <v>1857</v>
      </c>
      <c r="V13" s="330"/>
      <c r="W13" s="393"/>
      <c r="X13" s="354" t="s">
        <v>1878</v>
      </c>
      <c r="Y13" s="395" t="s">
        <v>1879</v>
      </c>
      <c r="Z13" s="404" t="s">
        <v>1482</v>
      </c>
      <c r="AA13" s="442"/>
      <c r="AB13" s="395"/>
      <c r="AC13" s="389"/>
      <c r="AD13" s="330"/>
      <c r="AE13" s="330"/>
      <c r="AF13" s="393"/>
      <c r="AG13" s="330"/>
      <c r="AH13" s="330"/>
      <c r="AI13" s="393"/>
      <c r="AJ13" s="330"/>
      <c r="AK13" s="330"/>
      <c r="AL13" s="393"/>
      <c r="AM13" s="330"/>
      <c r="AN13" s="330"/>
      <c r="AO13" s="330"/>
      <c r="AP13" s="330"/>
      <c r="AQ13" s="330"/>
      <c r="AR13" s="330"/>
      <c r="AS13" s="393"/>
      <c r="AT13" s="442" t="s">
        <v>1878</v>
      </c>
      <c r="AU13" s="395" t="s">
        <v>1879</v>
      </c>
      <c r="AV13" s="404" t="s">
        <v>1482</v>
      </c>
      <c r="AY13" s="28"/>
      <c r="AZ13" s="330"/>
      <c r="BA13" s="330"/>
      <c r="BB13" s="330"/>
    </row>
    <row r="14" spans="1:646" s="24" customFormat="1" ht="17.100000000000001" customHeight="1" x14ac:dyDescent="0.25">
      <c r="A14" s="331" t="s">
        <v>1459</v>
      </c>
      <c r="B14" s="375" t="s">
        <v>830</v>
      </c>
      <c r="C14" s="375" t="s">
        <v>791</v>
      </c>
      <c r="D14" s="26" t="s">
        <v>1777</v>
      </c>
      <c r="E14" s="333" t="s">
        <v>1380</v>
      </c>
      <c r="F14" s="330">
        <v>55</v>
      </c>
      <c r="G14" s="330" t="s">
        <v>183</v>
      </c>
      <c r="H14" s="330" t="s">
        <v>35</v>
      </c>
      <c r="I14" s="332"/>
      <c r="J14" s="552"/>
      <c r="K14" s="553"/>
      <c r="L14" s="552"/>
      <c r="M14" s="552"/>
      <c r="N14" s="552"/>
      <c r="O14" s="354" t="s">
        <v>1659</v>
      </c>
      <c r="P14" s="354" t="s">
        <v>1660</v>
      </c>
      <c r="Q14" s="354" t="s">
        <v>1704</v>
      </c>
      <c r="R14" s="533" t="s">
        <v>1519</v>
      </c>
      <c r="S14" s="406" t="s">
        <v>1846</v>
      </c>
      <c r="T14" s="389" t="s">
        <v>1847</v>
      </c>
      <c r="U14" s="354" t="s">
        <v>1103</v>
      </c>
      <c r="V14" s="395" t="s">
        <v>2033</v>
      </c>
      <c r="W14" s="393"/>
      <c r="X14" s="687"/>
      <c r="Y14" s="395"/>
      <c r="Z14" s="404"/>
      <c r="AA14" s="530"/>
      <c r="AB14" s="395"/>
      <c r="AC14" s="389"/>
      <c r="AD14" s="332"/>
      <c r="AE14" s="330"/>
      <c r="AF14" s="393"/>
      <c r="AG14" s="332"/>
      <c r="AH14" s="332"/>
      <c r="AI14" s="393"/>
      <c r="AJ14" s="332"/>
      <c r="AK14" s="332"/>
      <c r="AL14" s="393"/>
      <c r="AM14" s="332"/>
      <c r="AN14" s="332"/>
      <c r="AO14" s="330"/>
      <c r="AP14" s="331"/>
      <c r="AQ14" s="332"/>
      <c r="AR14" s="332"/>
      <c r="AS14" s="393"/>
      <c r="AT14" s="354" t="s">
        <v>1103</v>
      </c>
      <c r="AU14" s="395" t="s">
        <v>2033</v>
      </c>
      <c r="AV14" s="404" t="s">
        <v>2034</v>
      </c>
      <c r="AX14" s="175"/>
      <c r="AY14" s="28"/>
      <c r="AZ14" s="330"/>
      <c r="BA14" s="330"/>
      <c r="BB14" s="330"/>
    </row>
    <row r="15" spans="1:646" x14ac:dyDescent="0.25">
      <c r="A15" s="331" t="s">
        <v>1460</v>
      </c>
      <c r="B15" s="374" t="s">
        <v>1341</v>
      </c>
      <c r="C15" s="374" t="s">
        <v>73</v>
      </c>
      <c r="D15" s="26" t="s">
        <v>1777</v>
      </c>
      <c r="E15" s="334" t="s">
        <v>1354</v>
      </c>
      <c r="F15" s="326">
        <v>47</v>
      </c>
      <c r="G15" s="326" t="s">
        <v>183</v>
      </c>
      <c r="H15" s="326" t="s">
        <v>35</v>
      </c>
      <c r="J15" s="476"/>
      <c r="K15" s="477"/>
      <c r="L15" s="476"/>
      <c r="M15" s="476"/>
      <c r="N15" s="476"/>
      <c r="O15" s="534" t="s">
        <v>1452</v>
      </c>
      <c r="P15" s="442" t="s">
        <v>1539</v>
      </c>
      <c r="Q15" s="495" t="s">
        <v>1855</v>
      </c>
      <c r="R15" s="442" t="s">
        <v>1019</v>
      </c>
      <c r="S15" s="406" t="s">
        <v>1856</v>
      </c>
      <c r="T15" s="389" t="s">
        <v>1857</v>
      </c>
      <c r="W15" s="393"/>
      <c r="X15" s="354" t="s">
        <v>2019</v>
      </c>
      <c r="Y15" s="395" t="s">
        <v>2020</v>
      </c>
      <c r="Z15" s="404"/>
      <c r="AA15" s="178"/>
      <c r="AB15" s="35"/>
      <c r="AC15" s="389"/>
      <c r="AF15" s="393"/>
      <c r="AI15" s="393"/>
      <c r="AL15" s="393"/>
      <c r="AM15" s="24"/>
      <c r="AS15" s="393"/>
      <c r="AT15" s="354" t="s">
        <v>2019</v>
      </c>
      <c r="AU15" s="395" t="s">
        <v>2020</v>
      </c>
      <c r="AV15" s="404" t="s">
        <v>2021</v>
      </c>
      <c r="AW15" s="23"/>
      <c r="AX15" s="110"/>
      <c r="AY15" s="28"/>
      <c r="AZ15" s="330"/>
      <c r="BA15" s="351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</row>
    <row r="16" spans="1:646" ht="15" customHeight="1" x14ac:dyDescent="0.25">
      <c r="A16" s="331" t="s">
        <v>1461</v>
      </c>
      <c r="B16" s="374" t="s">
        <v>842</v>
      </c>
      <c r="C16" s="373" t="s">
        <v>74</v>
      </c>
      <c r="D16" s="26" t="s">
        <v>1777</v>
      </c>
      <c r="E16" s="334" t="s">
        <v>329</v>
      </c>
      <c r="F16" s="326">
        <v>54</v>
      </c>
      <c r="G16" s="326" t="s">
        <v>183</v>
      </c>
      <c r="H16" s="326" t="s">
        <v>35</v>
      </c>
      <c r="I16" s="327"/>
      <c r="J16" s="550"/>
      <c r="K16" s="551"/>
      <c r="L16" s="550"/>
      <c r="M16" s="550"/>
      <c r="N16" s="550"/>
      <c r="O16" s="442" t="s">
        <v>1969</v>
      </c>
      <c r="P16" s="442" t="s">
        <v>1970</v>
      </c>
      <c r="Q16" s="354" t="s">
        <v>1704</v>
      </c>
      <c r="R16" s="442" t="s">
        <v>1019</v>
      </c>
      <c r="S16" s="406" t="s">
        <v>1846</v>
      </c>
      <c r="T16" s="389" t="s">
        <v>1847</v>
      </c>
      <c r="W16" s="393"/>
      <c r="X16" s="354"/>
      <c r="Y16" s="395"/>
      <c r="Z16" s="404"/>
      <c r="AA16" s="442"/>
      <c r="AB16" s="395"/>
      <c r="AC16" s="389"/>
      <c r="AD16" s="330"/>
      <c r="AE16" s="330"/>
      <c r="AF16" s="393"/>
      <c r="AG16" s="442" t="s">
        <v>1967</v>
      </c>
      <c r="AH16" s="395" t="s">
        <v>1968</v>
      </c>
      <c r="AI16" s="389" t="s">
        <v>2029</v>
      </c>
      <c r="AJ16" s="330"/>
      <c r="AK16" s="330"/>
      <c r="AL16" s="393"/>
      <c r="AM16" s="330"/>
      <c r="AN16" s="330"/>
      <c r="AO16" s="330"/>
      <c r="AP16" s="330"/>
      <c r="AQ16" s="330"/>
      <c r="AR16" s="330"/>
      <c r="AS16" s="393"/>
      <c r="AT16" s="354" t="s">
        <v>1967</v>
      </c>
      <c r="AU16" s="395" t="s">
        <v>1968</v>
      </c>
      <c r="AV16" s="404" t="s">
        <v>2029</v>
      </c>
      <c r="AW16" s="24"/>
      <c r="AX16" s="110"/>
      <c r="AY16" s="28"/>
      <c r="AZ16" s="330"/>
      <c r="BA16" s="330"/>
      <c r="BB16" s="330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</row>
    <row r="17" spans="1:646" s="24" customFormat="1" ht="15" customHeight="1" x14ac:dyDescent="0.2">
      <c r="A17" s="331" t="s">
        <v>1462</v>
      </c>
      <c r="B17" s="375" t="s">
        <v>1029</v>
      </c>
      <c r="C17" s="372" t="s">
        <v>1048</v>
      </c>
      <c r="D17" s="26" t="s">
        <v>1777</v>
      </c>
      <c r="E17" s="333" t="s">
        <v>343</v>
      </c>
      <c r="F17" s="330">
        <v>43</v>
      </c>
      <c r="G17" s="330" t="s">
        <v>183</v>
      </c>
      <c r="H17" s="330" t="s">
        <v>35</v>
      </c>
      <c r="I17" s="332"/>
      <c r="J17" s="552"/>
      <c r="K17" s="553"/>
      <c r="L17" s="552"/>
      <c r="M17" s="552"/>
      <c r="N17" s="552"/>
      <c r="O17" s="534" t="s">
        <v>2002</v>
      </c>
      <c r="P17" s="442" t="s">
        <v>1482</v>
      </c>
      <c r="Q17" s="354" t="s">
        <v>1709</v>
      </c>
      <c r="R17" s="442" t="s">
        <v>1019</v>
      </c>
      <c r="S17" s="406" t="s">
        <v>1859</v>
      </c>
      <c r="T17" s="389" t="s">
        <v>1860</v>
      </c>
      <c r="U17" s="330"/>
      <c r="V17" s="330"/>
      <c r="W17" s="393"/>
      <c r="Y17" s="35"/>
      <c r="Z17" s="393"/>
      <c r="AA17" s="178"/>
      <c r="AB17" s="35"/>
      <c r="AC17" s="389"/>
      <c r="AD17" s="330"/>
      <c r="AE17" s="330"/>
      <c r="AF17" s="393"/>
      <c r="AG17" s="354" t="s">
        <v>1709</v>
      </c>
      <c r="AH17" s="395" t="s">
        <v>1859</v>
      </c>
      <c r="AI17" s="389" t="s">
        <v>1860</v>
      </c>
      <c r="AJ17" s="330"/>
      <c r="AK17" s="330"/>
      <c r="AL17" s="393"/>
      <c r="AM17" s="330"/>
      <c r="AN17" s="330"/>
      <c r="AO17" s="330"/>
      <c r="AP17" s="330"/>
      <c r="AQ17" s="330"/>
      <c r="AR17" s="330"/>
      <c r="AS17" s="393"/>
      <c r="AT17" s="354" t="s">
        <v>1709</v>
      </c>
      <c r="AU17" s="395" t="s">
        <v>1859</v>
      </c>
      <c r="AV17" s="404" t="s">
        <v>1860</v>
      </c>
      <c r="AY17" s="28"/>
      <c r="AZ17" s="330"/>
      <c r="BA17" s="330"/>
      <c r="BB17" s="330"/>
    </row>
    <row r="18" spans="1:646" s="24" customFormat="1" ht="15" customHeight="1" x14ac:dyDescent="0.2">
      <c r="A18" s="331" t="s">
        <v>1463</v>
      </c>
      <c r="B18" s="375" t="s">
        <v>805</v>
      </c>
      <c r="C18" s="372" t="s">
        <v>76</v>
      </c>
      <c r="D18" s="26" t="s">
        <v>1777</v>
      </c>
      <c r="E18" s="333">
        <v>7909286036087</v>
      </c>
      <c r="F18" s="330">
        <v>47</v>
      </c>
      <c r="G18" s="330" t="s">
        <v>183</v>
      </c>
      <c r="H18" s="330" t="s">
        <v>35</v>
      </c>
      <c r="I18" s="332"/>
      <c r="J18" s="552"/>
      <c r="K18" s="553"/>
      <c r="L18" s="552"/>
      <c r="M18" s="552"/>
      <c r="N18" s="552"/>
      <c r="O18" s="496" t="s">
        <v>2003</v>
      </c>
      <c r="P18" s="442" t="s">
        <v>2004</v>
      </c>
      <c r="Q18" s="354" t="s">
        <v>1979</v>
      </c>
      <c r="R18" s="442" t="s">
        <v>1019</v>
      </c>
      <c r="S18" s="406" t="s">
        <v>1978</v>
      </c>
      <c r="T18" s="389" t="s">
        <v>1980</v>
      </c>
      <c r="U18" s="354" t="s">
        <v>1923</v>
      </c>
      <c r="V18" s="395" t="s">
        <v>1924</v>
      </c>
      <c r="W18" s="393"/>
      <c r="X18" s="23"/>
      <c r="Y18" s="35"/>
      <c r="Z18" s="393"/>
      <c r="AA18" s="442"/>
      <c r="AB18" s="395"/>
      <c r="AC18" s="389"/>
      <c r="AD18" s="330"/>
      <c r="AE18" s="330"/>
      <c r="AF18" s="393"/>
      <c r="AG18" s="330"/>
      <c r="AH18" s="330"/>
      <c r="AI18" s="389"/>
      <c r="AJ18" s="330"/>
      <c r="AK18" s="330"/>
      <c r="AL18" s="393"/>
      <c r="AM18" s="330"/>
      <c r="AN18" s="330"/>
      <c r="AO18" s="330"/>
      <c r="AP18" s="330"/>
      <c r="AQ18" s="330"/>
      <c r="AR18" s="330"/>
      <c r="AS18" s="393"/>
      <c r="AT18" s="354" t="s">
        <v>1876</v>
      </c>
      <c r="AU18" s="395" t="s">
        <v>1877</v>
      </c>
      <c r="AV18" s="404" t="s">
        <v>1891</v>
      </c>
      <c r="AY18" s="28"/>
      <c r="AZ18" s="330"/>
      <c r="BA18" s="330"/>
      <c r="BB18" s="330"/>
    </row>
    <row r="19" spans="1:646" x14ac:dyDescent="0.25">
      <c r="A19" s="331" t="s">
        <v>1464</v>
      </c>
      <c r="B19" s="374" t="s">
        <v>207</v>
      </c>
      <c r="C19" s="374" t="s">
        <v>76</v>
      </c>
      <c r="D19" s="26" t="s">
        <v>1777</v>
      </c>
      <c r="E19" s="334" t="s">
        <v>1366</v>
      </c>
      <c r="F19" s="326">
        <v>43</v>
      </c>
      <c r="G19" s="326" t="s">
        <v>183</v>
      </c>
      <c r="H19" s="326" t="s">
        <v>35</v>
      </c>
      <c r="I19" s="340"/>
      <c r="J19" s="554"/>
      <c r="K19" s="555"/>
      <c r="L19" s="554"/>
      <c r="M19" s="554"/>
      <c r="N19" s="554"/>
      <c r="O19" s="534" t="s">
        <v>1452</v>
      </c>
      <c r="P19" s="442" t="s">
        <v>1762</v>
      </c>
      <c r="Q19" s="354" t="s">
        <v>1709</v>
      </c>
      <c r="R19" s="442" t="s">
        <v>1019</v>
      </c>
      <c r="S19" s="406" t="s">
        <v>1859</v>
      </c>
      <c r="T19" s="389" t="s">
        <v>1860</v>
      </c>
      <c r="V19" s="340"/>
      <c r="W19" s="393"/>
      <c r="X19" s="354" t="s">
        <v>1709</v>
      </c>
      <c r="Y19" s="395" t="s">
        <v>1859</v>
      </c>
      <c r="Z19" s="393"/>
      <c r="AA19" s="178"/>
      <c r="AB19" s="35"/>
      <c r="AC19" s="389"/>
      <c r="AD19" s="340"/>
      <c r="AE19" s="340"/>
      <c r="AF19" s="393"/>
      <c r="AG19" s="340"/>
      <c r="AH19" s="340"/>
      <c r="AI19" s="393"/>
      <c r="AJ19" s="340"/>
      <c r="AK19" s="340"/>
      <c r="AL19" s="393"/>
      <c r="AM19" s="24"/>
      <c r="AQ19" s="340"/>
      <c r="AR19" s="340"/>
      <c r="AS19" s="393"/>
      <c r="AT19" s="354" t="s">
        <v>2017</v>
      </c>
      <c r="AU19" s="395" t="s">
        <v>2018</v>
      </c>
      <c r="AV19" s="404" t="s">
        <v>1831</v>
      </c>
      <c r="AW19" s="23"/>
      <c r="AX19" s="110"/>
      <c r="AY19" s="28"/>
      <c r="AZ19" s="330"/>
      <c r="BA19" s="351"/>
      <c r="BB19" s="330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</row>
    <row r="20" spans="1:646" x14ac:dyDescent="0.25">
      <c r="A20" s="331" t="s">
        <v>1465</v>
      </c>
      <c r="B20" s="374" t="s">
        <v>1444</v>
      </c>
      <c r="C20" s="374" t="s">
        <v>76</v>
      </c>
      <c r="D20" s="26" t="s">
        <v>1777</v>
      </c>
      <c r="E20" s="334" t="s">
        <v>1445</v>
      </c>
      <c r="F20" s="326">
        <v>39</v>
      </c>
      <c r="G20" s="326" t="s">
        <v>183</v>
      </c>
      <c r="H20" s="326" t="s">
        <v>35</v>
      </c>
      <c r="J20" s="476"/>
      <c r="K20" s="477"/>
      <c r="L20" s="476"/>
      <c r="M20" s="476"/>
      <c r="N20" s="476"/>
      <c r="O20" s="442" t="s">
        <v>1735</v>
      </c>
      <c r="P20" s="442" t="s">
        <v>1736</v>
      </c>
      <c r="Q20" s="354" t="s">
        <v>1709</v>
      </c>
      <c r="R20" s="442" t="s">
        <v>1019</v>
      </c>
      <c r="S20" s="406" t="s">
        <v>1859</v>
      </c>
      <c r="T20" s="389" t="s">
        <v>1860</v>
      </c>
      <c r="U20" s="330"/>
      <c r="W20" s="393"/>
      <c r="X20" s="24"/>
      <c r="Y20" s="396"/>
      <c r="Z20" s="393"/>
      <c r="AA20" s="442" t="s">
        <v>1878</v>
      </c>
      <c r="AB20" s="395" t="s">
        <v>1879</v>
      </c>
      <c r="AC20" s="389" t="s">
        <v>1482</v>
      </c>
      <c r="AF20" s="393"/>
      <c r="AG20" s="330"/>
      <c r="AH20" s="330"/>
      <c r="AI20" s="393"/>
      <c r="AL20" s="393"/>
      <c r="AM20" s="330"/>
      <c r="AS20" s="393"/>
      <c r="AT20" s="354" t="s">
        <v>1878</v>
      </c>
      <c r="AU20" s="395" t="s">
        <v>1879</v>
      </c>
      <c r="AV20" s="404" t="s">
        <v>1482</v>
      </c>
      <c r="AW20" s="23"/>
      <c r="AX20" s="110"/>
      <c r="AY20" s="28"/>
      <c r="AZ20" s="330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</row>
    <row r="21" spans="1:646" s="195" customFormat="1" ht="15" customHeight="1" x14ac:dyDescent="0.2">
      <c r="A21" s="331" t="s">
        <v>1466</v>
      </c>
      <c r="B21" s="643" t="s">
        <v>806</v>
      </c>
      <c r="C21" s="643" t="s">
        <v>79</v>
      </c>
      <c r="D21" s="645" t="s">
        <v>1777</v>
      </c>
      <c r="E21" s="673" t="s">
        <v>334</v>
      </c>
      <c r="F21" s="344">
        <v>53</v>
      </c>
      <c r="G21" s="344" t="s">
        <v>183</v>
      </c>
      <c r="H21" s="344" t="s">
        <v>35</v>
      </c>
      <c r="I21" s="647"/>
      <c r="J21" s="648"/>
      <c r="K21" s="649"/>
      <c r="L21" s="648"/>
      <c r="M21" s="648"/>
      <c r="N21" s="648"/>
      <c r="O21" s="359" t="s">
        <v>1452</v>
      </c>
      <c r="P21" s="344" t="s">
        <v>1681</v>
      </c>
      <c r="Q21" s="344" t="s">
        <v>1668</v>
      </c>
      <c r="R21" s="359" t="s">
        <v>1789</v>
      </c>
      <c r="S21" s="343" t="s">
        <v>1818</v>
      </c>
      <c r="T21" s="344" t="s">
        <v>1791</v>
      </c>
      <c r="U21" s="38"/>
      <c r="V21" s="330"/>
      <c r="W21" s="24"/>
      <c r="X21" s="330"/>
      <c r="Y21" s="330"/>
      <c r="Z21" s="24"/>
      <c r="AA21" s="330"/>
      <c r="AB21" s="395"/>
      <c r="AC21" s="389"/>
      <c r="AD21" s="330"/>
      <c r="AE21" s="330"/>
      <c r="AF21" s="393"/>
      <c r="AG21" s="40"/>
      <c r="AH21" s="38"/>
      <c r="AI21" s="393"/>
      <c r="AJ21" s="330"/>
      <c r="AK21" s="330"/>
      <c r="AL21" s="393"/>
      <c r="AM21" s="330"/>
      <c r="AN21" s="330"/>
      <c r="AO21" s="330"/>
      <c r="AP21" s="330"/>
      <c r="AQ21" s="330"/>
      <c r="AR21" s="330"/>
      <c r="AS21" s="393"/>
      <c r="AT21" s="330"/>
      <c r="AU21" s="395"/>
      <c r="AV21" s="404"/>
      <c r="AW21" s="24"/>
      <c r="AX21" s="24"/>
      <c r="AY21" s="28"/>
      <c r="AZ21" s="330"/>
      <c r="BA21" s="330"/>
      <c r="BB21" s="330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</row>
    <row r="22" spans="1:646" s="24" customFormat="1" ht="12" x14ac:dyDescent="0.2">
      <c r="A22" s="517" t="s">
        <v>1467</v>
      </c>
      <c r="B22" s="375" t="s">
        <v>151</v>
      </c>
      <c r="C22" s="372" t="s">
        <v>78</v>
      </c>
      <c r="D22" s="26" t="s">
        <v>1777</v>
      </c>
      <c r="E22" s="333" t="s">
        <v>386</v>
      </c>
      <c r="F22" s="330">
        <v>55</v>
      </c>
      <c r="G22" s="330" t="s">
        <v>183</v>
      </c>
      <c r="H22" s="330" t="s">
        <v>35</v>
      </c>
      <c r="I22" s="332"/>
      <c r="J22" s="552"/>
      <c r="K22" s="553"/>
      <c r="L22" s="552"/>
      <c r="M22" s="552"/>
      <c r="N22" s="552"/>
      <c r="O22" s="442" t="s">
        <v>1965</v>
      </c>
      <c r="P22" s="496" t="s">
        <v>1966</v>
      </c>
      <c r="Q22" s="357" t="s">
        <v>1867</v>
      </c>
      <c r="R22" s="354" t="s">
        <v>1019</v>
      </c>
      <c r="S22" s="511" t="s">
        <v>1868</v>
      </c>
      <c r="T22" s="546" t="s">
        <v>1869</v>
      </c>
      <c r="V22" s="39"/>
      <c r="W22" s="393"/>
      <c r="X22" s="357" t="s">
        <v>1763</v>
      </c>
      <c r="Y22" s="396" t="s">
        <v>1764</v>
      </c>
      <c r="Z22" s="389" t="s">
        <v>1989</v>
      </c>
      <c r="AA22" s="178"/>
      <c r="AB22" s="35"/>
      <c r="AC22" s="389"/>
      <c r="AD22" s="38"/>
      <c r="AE22" s="38"/>
      <c r="AF22" s="393"/>
      <c r="AG22" s="330"/>
      <c r="AH22" s="330"/>
      <c r="AI22" s="393"/>
      <c r="AJ22" s="510"/>
      <c r="AK22" s="39"/>
      <c r="AL22" s="393"/>
      <c r="AM22" s="38"/>
      <c r="AN22" s="38"/>
      <c r="AO22" s="38"/>
      <c r="AP22" s="38"/>
      <c r="AQ22" s="38"/>
      <c r="AR22" s="38"/>
      <c r="AS22" s="393"/>
      <c r="AT22" s="357" t="s">
        <v>1942</v>
      </c>
      <c r="AU22" s="490" t="s">
        <v>1943</v>
      </c>
      <c r="AV22" s="404" t="s">
        <v>2008</v>
      </c>
      <c r="AY22" s="28"/>
      <c r="AZ22" s="330"/>
      <c r="BA22" s="38"/>
      <c r="BB22" s="39"/>
    </row>
    <row r="23" spans="1:646" ht="15" customHeight="1" x14ac:dyDescent="0.25">
      <c r="A23" s="331" t="s">
        <v>1468</v>
      </c>
      <c r="B23" s="374" t="s">
        <v>865</v>
      </c>
      <c r="C23" s="373" t="s">
        <v>78</v>
      </c>
      <c r="D23" s="26" t="s">
        <v>1777</v>
      </c>
      <c r="E23" s="334" t="s">
        <v>333</v>
      </c>
      <c r="F23" s="326">
        <v>55</v>
      </c>
      <c r="G23" s="326" t="s">
        <v>183</v>
      </c>
      <c r="H23" s="326" t="s">
        <v>35</v>
      </c>
      <c r="I23" s="327"/>
      <c r="J23" s="550"/>
      <c r="K23" s="551"/>
      <c r="L23" s="550"/>
      <c r="M23" s="550"/>
      <c r="N23" s="550"/>
      <c r="O23" s="534" t="s">
        <v>1452</v>
      </c>
      <c r="P23" s="442" t="s">
        <v>1628</v>
      </c>
      <c r="Q23" s="354" t="s">
        <v>1855</v>
      </c>
      <c r="R23" s="442" t="s">
        <v>1019</v>
      </c>
      <c r="S23" s="406" t="s">
        <v>1856</v>
      </c>
      <c r="T23" s="389" t="s">
        <v>1857</v>
      </c>
      <c r="U23" s="354"/>
      <c r="V23" s="395"/>
      <c r="W23" s="393"/>
      <c r="Z23" s="393"/>
      <c r="AA23" s="442" t="s">
        <v>1942</v>
      </c>
      <c r="AB23" s="395" t="s">
        <v>1943</v>
      </c>
      <c r="AC23" s="389" t="s">
        <v>2008</v>
      </c>
      <c r="AD23" s="330"/>
      <c r="AE23" s="330"/>
      <c r="AF23" s="393"/>
      <c r="AG23" s="327"/>
      <c r="AH23" s="327"/>
      <c r="AI23" s="393"/>
      <c r="AJ23" s="442"/>
      <c r="AK23" s="330"/>
      <c r="AL23" s="393"/>
      <c r="AM23" s="330"/>
      <c r="AN23" s="330"/>
      <c r="AO23" s="330"/>
      <c r="AP23" s="330"/>
      <c r="AQ23" s="330"/>
      <c r="AR23" s="330"/>
      <c r="AS23" s="393"/>
      <c r="AT23" s="442" t="s">
        <v>1855</v>
      </c>
      <c r="AU23" s="395" t="s">
        <v>1856</v>
      </c>
      <c r="AV23" s="404" t="s">
        <v>1857</v>
      </c>
      <c r="AW23" s="24"/>
      <c r="AX23" s="110"/>
      <c r="AY23" s="28"/>
      <c r="AZ23" s="330"/>
      <c r="BA23" s="330"/>
      <c r="BB23" s="330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</row>
    <row r="24" spans="1:646" s="327" customFormat="1" ht="12" x14ac:dyDescent="0.2">
      <c r="A24" s="331" t="s">
        <v>1469</v>
      </c>
      <c r="B24" s="374" t="s">
        <v>44</v>
      </c>
      <c r="C24" s="374" t="s">
        <v>82</v>
      </c>
      <c r="D24" s="26" t="s">
        <v>1777</v>
      </c>
      <c r="E24" s="334" t="s">
        <v>338</v>
      </c>
      <c r="F24" s="326">
        <v>46</v>
      </c>
      <c r="G24" s="326" t="s">
        <v>183</v>
      </c>
      <c r="H24" s="326" t="s">
        <v>35</v>
      </c>
      <c r="J24" s="550"/>
      <c r="K24" s="551"/>
      <c r="L24" s="550"/>
      <c r="M24" s="550"/>
      <c r="N24" s="550"/>
      <c r="O24" s="442" t="s">
        <v>1854</v>
      </c>
      <c r="P24" s="442" t="s">
        <v>1974</v>
      </c>
      <c r="Q24" s="354" t="s">
        <v>1855</v>
      </c>
      <c r="R24" s="354" t="s">
        <v>1019</v>
      </c>
      <c r="S24" s="406" t="s">
        <v>1856</v>
      </c>
      <c r="T24" s="389" t="s">
        <v>1857</v>
      </c>
      <c r="U24" s="442"/>
      <c r="V24" s="395"/>
      <c r="W24" s="390"/>
      <c r="Z24" s="390"/>
      <c r="AA24" s="530"/>
      <c r="AB24" s="690"/>
      <c r="AC24" s="389"/>
      <c r="AF24" s="390"/>
      <c r="AG24" s="354" t="s">
        <v>1923</v>
      </c>
      <c r="AH24" s="395" t="s">
        <v>1924</v>
      </c>
      <c r="AI24" s="389" t="s">
        <v>1959</v>
      </c>
      <c r="AJ24" s="530"/>
      <c r="AL24" s="390"/>
      <c r="AM24" s="332"/>
      <c r="AS24" s="390"/>
      <c r="AT24" s="442" t="s">
        <v>1923</v>
      </c>
      <c r="AU24" s="395" t="s">
        <v>1924</v>
      </c>
      <c r="AV24" s="404" t="s">
        <v>1959</v>
      </c>
      <c r="AY24" s="330"/>
      <c r="AZ24" s="330"/>
      <c r="BA24" s="330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  <c r="BM24" s="332"/>
      <c r="BN24" s="332"/>
      <c r="BO24" s="332"/>
      <c r="BP24" s="332"/>
      <c r="BQ24" s="332"/>
      <c r="BR24" s="332"/>
      <c r="BS24" s="332"/>
      <c r="BT24" s="332"/>
      <c r="BU24" s="332"/>
      <c r="BV24" s="332"/>
      <c r="BW24" s="332"/>
      <c r="BX24" s="332"/>
      <c r="BY24" s="332"/>
      <c r="BZ24" s="332"/>
      <c r="CA24" s="332"/>
      <c r="CB24" s="332"/>
      <c r="CC24" s="332"/>
      <c r="CD24" s="332"/>
      <c r="CE24" s="332"/>
      <c r="CF24" s="332"/>
      <c r="CG24" s="332"/>
      <c r="CH24" s="332"/>
      <c r="CI24" s="332"/>
      <c r="CJ24" s="332"/>
      <c r="CK24" s="332"/>
      <c r="CL24" s="332"/>
      <c r="CM24" s="332"/>
      <c r="CN24" s="332"/>
      <c r="CO24" s="332"/>
      <c r="CP24" s="332"/>
      <c r="CQ24" s="332"/>
      <c r="CR24" s="332"/>
      <c r="CS24" s="332"/>
      <c r="CT24" s="332"/>
      <c r="CU24" s="332"/>
      <c r="CV24" s="332"/>
      <c r="CW24" s="332"/>
      <c r="CX24" s="332"/>
      <c r="CY24" s="332"/>
      <c r="CZ24" s="332"/>
      <c r="DA24" s="332"/>
      <c r="DB24" s="332"/>
      <c r="DC24" s="332"/>
      <c r="DD24" s="332"/>
      <c r="DE24" s="332"/>
      <c r="DF24" s="332"/>
      <c r="DG24" s="332"/>
      <c r="DH24" s="332"/>
      <c r="DI24" s="332"/>
      <c r="DJ24" s="332"/>
      <c r="DK24" s="332"/>
      <c r="DL24" s="332"/>
      <c r="DM24" s="332"/>
      <c r="DN24" s="332"/>
      <c r="DO24" s="332"/>
    </row>
    <row r="25" spans="1:646" s="327" customFormat="1" ht="12" x14ac:dyDescent="0.2">
      <c r="A25" s="331" t="s">
        <v>1470</v>
      </c>
      <c r="B25" s="373" t="s">
        <v>1156</v>
      </c>
      <c r="C25" s="374" t="s">
        <v>83</v>
      </c>
      <c r="D25" s="26" t="s">
        <v>1777</v>
      </c>
      <c r="E25" s="334" t="s">
        <v>339</v>
      </c>
      <c r="F25" s="326">
        <v>53</v>
      </c>
      <c r="G25" s="326" t="s">
        <v>183</v>
      </c>
      <c r="H25" s="326" t="s">
        <v>35</v>
      </c>
      <c r="J25" s="550"/>
      <c r="K25" s="551"/>
      <c r="L25" s="550"/>
      <c r="M25" s="550"/>
      <c r="N25" s="550"/>
      <c r="O25" s="442" t="s">
        <v>1976</v>
      </c>
      <c r="P25" s="442" t="s">
        <v>1977</v>
      </c>
      <c r="Q25" s="354" t="s">
        <v>1855</v>
      </c>
      <c r="R25" s="533" t="s">
        <v>1519</v>
      </c>
      <c r="S25" s="406" t="s">
        <v>1856</v>
      </c>
      <c r="T25" s="389" t="s">
        <v>1857</v>
      </c>
      <c r="U25" s="442"/>
      <c r="V25" s="395"/>
      <c r="W25" s="390"/>
      <c r="Z25" s="390"/>
      <c r="AA25" s="442" t="s">
        <v>1952</v>
      </c>
      <c r="AB25" s="395" t="s">
        <v>1953</v>
      </c>
      <c r="AC25" s="389" t="s">
        <v>2012</v>
      </c>
      <c r="AF25" s="390"/>
      <c r="AG25" s="330"/>
      <c r="AH25" s="330"/>
      <c r="AI25" s="390"/>
      <c r="AJ25" s="442"/>
      <c r="AK25" s="395"/>
      <c r="AL25" s="390"/>
      <c r="AM25" s="332"/>
      <c r="AS25" s="390"/>
      <c r="AT25" s="442" t="s">
        <v>1952</v>
      </c>
      <c r="AU25" s="395" t="s">
        <v>1953</v>
      </c>
      <c r="AV25" s="404" t="s">
        <v>2028</v>
      </c>
      <c r="AY25" s="330"/>
      <c r="AZ25" s="330"/>
      <c r="BA25" s="330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  <c r="BM25" s="332"/>
      <c r="BN25" s="332"/>
      <c r="BO25" s="332"/>
      <c r="BP25" s="332"/>
      <c r="BQ25" s="332"/>
      <c r="BR25" s="332"/>
      <c r="BS25" s="332"/>
      <c r="BT25" s="332"/>
      <c r="BU25" s="332"/>
      <c r="BV25" s="332"/>
      <c r="BW25" s="332"/>
      <c r="BX25" s="332"/>
      <c r="BY25" s="332"/>
      <c r="BZ25" s="332"/>
      <c r="CA25" s="332"/>
      <c r="CB25" s="332"/>
      <c r="CC25" s="332"/>
      <c r="CD25" s="332"/>
      <c r="CE25" s="332"/>
      <c r="CF25" s="332"/>
      <c r="CG25" s="332"/>
      <c r="CH25" s="332"/>
      <c r="CI25" s="332"/>
      <c r="CJ25" s="332"/>
      <c r="CK25" s="332"/>
      <c r="CL25" s="332"/>
      <c r="CM25" s="332"/>
      <c r="CN25" s="332"/>
      <c r="CO25" s="332"/>
      <c r="CP25" s="332"/>
      <c r="CQ25" s="332"/>
      <c r="CR25" s="332"/>
      <c r="CS25" s="332"/>
      <c r="CT25" s="332"/>
      <c r="CU25" s="332"/>
      <c r="CV25" s="332"/>
      <c r="CW25" s="332"/>
      <c r="CX25" s="332"/>
      <c r="CY25" s="332"/>
      <c r="CZ25" s="332"/>
      <c r="DA25" s="332"/>
      <c r="DB25" s="332"/>
      <c r="DC25" s="332"/>
      <c r="DD25" s="332"/>
      <c r="DE25" s="332"/>
      <c r="DF25" s="332"/>
      <c r="DG25" s="332"/>
      <c r="DH25" s="332"/>
      <c r="DI25" s="332"/>
      <c r="DJ25" s="332"/>
      <c r="DK25" s="332"/>
      <c r="DL25" s="332"/>
      <c r="DM25" s="332"/>
      <c r="DN25" s="332"/>
      <c r="DO25" s="332"/>
    </row>
    <row r="26" spans="1:646" s="327" customFormat="1" ht="12" x14ac:dyDescent="0.2">
      <c r="A26" s="331" t="s">
        <v>1471</v>
      </c>
      <c r="B26" s="373" t="s">
        <v>1565</v>
      </c>
      <c r="C26" s="374" t="s">
        <v>85</v>
      </c>
      <c r="D26" s="26" t="s">
        <v>1777</v>
      </c>
      <c r="E26" s="334">
        <v>8205225426086</v>
      </c>
      <c r="F26" s="326">
        <v>44</v>
      </c>
      <c r="G26" s="326" t="s">
        <v>183</v>
      </c>
      <c r="H26" s="326" t="s">
        <v>35</v>
      </c>
      <c r="J26" s="550"/>
      <c r="K26" s="551"/>
      <c r="L26" s="550"/>
      <c r="M26" s="550"/>
      <c r="N26" s="550"/>
      <c r="O26" s="442" t="s">
        <v>1532</v>
      </c>
      <c r="P26" s="442" t="s">
        <v>1766</v>
      </c>
      <c r="Q26" s="354" t="s">
        <v>1709</v>
      </c>
      <c r="R26" s="354" t="s">
        <v>1019</v>
      </c>
      <c r="S26" s="667" t="s">
        <v>1859</v>
      </c>
      <c r="T26" s="547" t="s">
        <v>1860</v>
      </c>
      <c r="U26" s="442" t="s">
        <v>1773</v>
      </c>
      <c r="V26" s="395" t="s">
        <v>1913</v>
      </c>
      <c r="W26" s="390"/>
      <c r="X26" s="330"/>
      <c r="Y26" s="330"/>
      <c r="Z26" s="390"/>
      <c r="AA26" s="687"/>
      <c r="AB26" s="690"/>
      <c r="AC26" s="389"/>
      <c r="AF26" s="390"/>
      <c r="AG26" s="332"/>
      <c r="AH26" s="332"/>
      <c r="AI26" s="390"/>
      <c r="AJ26" s="442"/>
      <c r="AK26" s="395"/>
      <c r="AL26" s="390"/>
      <c r="AM26" s="332"/>
      <c r="AS26" s="390"/>
      <c r="AT26" s="442" t="s">
        <v>1773</v>
      </c>
      <c r="AU26" s="395" t="s">
        <v>1913</v>
      </c>
      <c r="AV26" s="404" t="s">
        <v>1988</v>
      </c>
      <c r="AY26" s="330"/>
      <c r="AZ26" s="330"/>
      <c r="BA26" s="330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  <c r="BM26" s="332"/>
      <c r="BN26" s="332"/>
      <c r="BO26" s="332"/>
      <c r="BP26" s="332"/>
      <c r="BQ26" s="332"/>
      <c r="BR26" s="332"/>
      <c r="BS26" s="332"/>
      <c r="BT26" s="332"/>
      <c r="BU26" s="332"/>
      <c r="BV26" s="332"/>
      <c r="BW26" s="332"/>
      <c r="BX26" s="332"/>
      <c r="BY26" s="332"/>
      <c r="BZ26" s="332"/>
      <c r="CA26" s="332"/>
      <c r="CB26" s="332"/>
      <c r="CC26" s="332"/>
      <c r="CD26" s="332"/>
      <c r="CE26" s="332"/>
      <c r="CF26" s="332"/>
      <c r="CG26" s="332"/>
      <c r="CH26" s="332"/>
      <c r="CI26" s="332"/>
      <c r="CJ26" s="332"/>
      <c r="CK26" s="332"/>
      <c r="CL26" s="332"/>
      <c r="CM26" s="332"/>
      <c r="CN26" s="332"/>
      <c r="CO26" s="332"/>
      <c r="CP26" s="332"/>
      <c r="CQ26" s="332"/>
      <c r="CR26" s="332"/>
      <c r="CS26" s="332"/>
      <c r="CT26" s="332"/>
      <c r="CU26" s="332"/>
      <c r="CV26" s="332"/>
      <c r="CW26" s="332"/>
      <c r="CX26" s="332"/>
      <c r="CY26" s="332"/>
      <c r="CZ26" s="332"/>
      <c r="DA26" s="332"/>
      <c r="DB26" s="332"/>
      <c r="DC26" s="332"/>
      <c r="DD26" s="332"/>
      <c r="DE26" s="332"/>
      <c r="DF26" s="332"/>
      <c r="DG26" s="332"/>
      <c r="DH26" s="332"/>
      <c r="DI26" s="332"/>
      <c r="DJ26" s="332"/>
      <c r="DK26" s="332"/>
      <c r="DL26" s="332"/>
      <c r="DM26" s="332"/>
      <c r="DN26" s="332"/>
      <c r="DO26" s="332"/>
    </row>
    <row r="27" spans="1:646" x14ac:dyDescent="0.25">
      <c r="A27" s="331" t="s">
        <v>1472</v>
      </c>
      <c r="B27" s="374" t="s">
        <v>171</v>
      </c>
      <c r="C27" s="373" t="s">
        <v>121</v>
      </c>
      <c r="D27" s="26" t="s">
        <v>1777</v>
      </c>
      <c r="E27" s="334" t="s">
        <v>1367</v>
      </c>
      <c r="F27" s="326">
        <v>47</v>
      </c>
      <c r="G27" s="326" t="s">
        <v>183</v>
      </c>
      <c r="H27" s="326" t="s">
        <v>35</v>
      </c>
      <c r="I27" s="327"/>
      <c r="J27" s="550"/>
      <c r="K27" s="551"/>
      <c r="L27" s="550"/>
      <c r="M27" s="550"/>
      <c r="N27" s="550"/>
      <c r="O27" s="674" t="s">
        <v>1872</v>
      </c>
      <c r="P27" s="442" t="s">
        <v>1873</v>
      </c>
      <c r="Q27" s="354" t="s">
        <v>1867</v>
      </c>
      <c r="R27" s="354" t="s">
        <v>1019</v>
      </c>
      <c r="S27" s="406" t="s">
        <v>1868</v>
      </c>
      <c r="T27" s="389" t="s">
        <v>1869</v>
      </c>
      <c r="U27" s="327"/>
      <c r="V27" s="327"/>
      <c r="W27" s="393"/>
      <c r="X27" s="345" t="s">
        <v>1751</v>
      </c>
      <c r="Y27" s="34" t="s">
        <v>1914</v>
      </c>
      <c r="Z27" s="404" t="s">
        <v>1915</v>
      </c>
      <c r="AA27" s="354"/>
      <c r="AB27" s="395"/>
      <c r="AC27" s="389"/>
      <c r="AD27" s="327"/>
      <c r="AE27" s="327"/>
      <c r="AF27" s="393"/>
      <c r="AG27" s="332"/>
      <c r="AH27" s="332"/>
      <c r="AI27" s="393"/>
      <c r="AJ27" s="530"/>
      <c r="AK27" s="327"/>
      <c r="AL27" s="393"/>
      <c r="AM27" s="332"/>
      <c r="AN27" s="327"/>
      <c r="AO27" s="327"/>
      <c r="AP27" s="327"/>
      <c r="AQ27" s="327"/>
      <c r="AR27" s="327"/>
      <c r="AS27" s="393"/>
      <c r="AT27" s="442" t="s">
        <v>1751</v>
      </c>
      <c r="AU27" s="395" t="s">
        <v>1914</v>
      </c>
      <c r="AV27" s="404" t="s">
        <v>1915</v>
      </c>
      <c r="AW27" s="23"/>
      <c r="AX27" s="110"/>
      <c r="AY27" s="28"/>
      <c r="AZ27" s="330"/>
      <c r="BA27" s="330"/>
      <c r="BB27" s="330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</row>
    <row r="28" spans="1:646" x14ac:dyDescent="0.25">
      <c r="A28" s="331" t="s">
        <v>1473</v>
      </c>
      <c r="B28" s="374" t="s">
        <v>1848</v>
      </c>
      <c r="C28" s="373" t="s">
        <v>121</v>
      </c>
      <c r="D28" s="26" t="s">
        <v>1777</v>
      </c>
      <c r="E28" s="334">
        <v>8310065920089</v>
      </c>
      <c r="F28" s="326">
        <v>43</v>
      </c>
      <c r="G28" s="326" t="s">
        <v>183</v>
      </c>
      <c r="H28" s="326" t="s">
        <v>35</v>
      </c>
      <c r="I28" s="327"/>
      <c r="J28" s="550"/>
      <c r="K28" s="551"/>
      <c r="L28" s="550"/>
      <c r="M28" s="550"/>
      <c r="N28" s="550"/>
      <c r="O28" s="674" t="s">
        <v>1874</v>
      </c>
      <c r="P28" s="442" t="s">
        <v>1875</v>
      </c>
      <c r="Q28" s="354" t="s">
        <v>1849</v>
      </c>
      <c r="R28" s="354" t="s">
        <v>1019</v>
      </c>
      <c r="S28" s="406" t="s">
        <v>1850</v>
      </c>
      <c r="T28" s="389" t="s">
        <v>1851</v>
      </c>
      <c r="U28" s="327"/>
      <c r="V28" s="327"/>
      <c r="W28" s="393"/>
      <c r="Z28" s="393"/>
      <c r="AA28" s="354" t="s">
        <v>1876</v>
      </c>
      <c r="AB28" s="395" t="s">
        <v>1877</v>
      </c>
      <c r="AC28" s="389" t="s">
        <v>1891</v>
      </c>
      <c r="AD28" s="327"/>
      <c r="AE28" s="327"/>
      <c r="AF28" s="393"/>
      <c r="AG28" s="332"/>
      <c r="AH28" s="332"/>
      <c r="AI28" s="393"/>
      <c r="AJ28" s="530"/>
      <c r="AK28" s="327"/>
      <c r="AL28" s="393"/>
      <c r="AM28" s="332"/>
      <c r="AN28" s="327"/>
      <c r="AO28" s="327"/>
      <c r="AP28" s="327"/>
      <c r="AQ28" s="327"/>
      <c r="AR28" s="327"/>
      <c r="AS28" s="393"/>
      <c r="AT28" s="442" t="s">
        <v>1876</v>
      </c>
      <c r="AU28" s="395" t="s">
        <v>1877</v>
      </c>
      <c r="AV28" s="404" t="s">
        <v>1891</v>
      </c>
      <c r="AW28" s="23"/>
      <c r="AX28" s="110"/>
      <c r="AY28" s="28"/>
      <c r="AZ28" s="330"/>
      <c r="BA28" s="330"/>
      <c r="BB28" s="330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</row>
    <row r="29" spans="1:646" x14ac:dyDescent="0.25">
      <c r="A29" s="331" t="s">
        <v>1474</v>
      </c>
      <c r="B29" s="374" t="s">
        <v>47</v>
      </c>
      <c r="C29" s="373" t="s">
        <v>88</v>
      </c>
      <c r="D29" s="26" t="s">
        <v>1777</v>
      </c>
      <c r="E29" s="334">
        <v>7807125832080</v>
      </c>
      <c r="F29" s="326">
        <v>47</v>
      </c>
      <c r="G29" s="326" t="s">
        <v>183</v>
      </c>
      <c r="H29" s="326" t="s">
        <v>35</v>
      </c>
      <c r="I29" s="327"/>
      <c r="J29" s="550"/>
      <c r="K29" s="551"/>
      <c r="L29" s="550"/>
      <c r="M29" s="550"/>
      <c r="N29" s="550"/>
      <c r="O29" s="495" t="s">
        <v>1767</v>
      </c>
      <c r="P29" s="442" t="s">
        <v>1768</v>
      </c>
      <c r="Q29" s="354" t="s">
        <v>1855</v>
      </c>
      <c r="R29" s="454" t="s">
        <v>1019</v>
      </c>
      <c r="S29" s="406" t="s">
        <v>1856</v>
      </c>
      <c r="T29" s="389" t="s">
        <v>1857</v>
      </c>
      <c r="U29" s="442" t="s">
        <v>1782</v>
      </c>
      <c r="V29" s="395" t="s">
        <v>1901</v>
      </c>
      <c r="W29" s="393"/>
      <c r="X29" s="330"/>
      <c r="Y29" s="330"/>
      <c r="Z29" s="393"/>
      <c r="AA29" s="354"/>
      <c r="AB29" s="395"/>
      <c r="AC29" s="389"/>
      <c r="AD29" s="327"/>
      <c r="AE29" s="327"/>
      <c r="AF29" s="393"/>
      <c r="AG29" s="330"/>
      <c r="AH29" s="330"/>
      <c r="AI29" s="393"/>
      <c r="AJ29" s="530"/>
      <c r="AK29" s="327"/>
      <c r="AL29" s="393"/>
      <c r="AM29" s="332"/>
      <c r="AN29" s="327"/>
      <c r="AO29" s="327"/>
      <c r="AP29" s="327"/>
      <c r="AQ29" s="327"/>
      <c r="AR29" s="327"/>
      <c r="AS29" s="393"/>
      <c r="AT29" s="354" t="s">
        <v>1782</v>
      </c>
      <c r="AU29" s="395" t="s">
        <v>1901</v>
      </c>
      <c r="AV29" s="404" t="s">
        <v>2014</v>
      </c>
      <c r="AW29" s="23"/>
      <c r="AX29" s="110"/>
      <c r="AY29" s="28"/>
      <c r="AZ29" s="330"/>
      <c r="BA29" s="330"/>
      <c r="BB29" s="330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</row>
    <row r="30" spans="1:646" x14ac:dyDescent="0.25">
      <c r="A30" s="331" t="s">
        <v>1545</v>
      </c>
      <c r="B30" s="374" t="s">
        <v>265</v>
      </c>
      <c r="C30" s="374" t="s">
        <v>187</v>
      </c>
      <c r="D30" s="26" t="s">
        <v>1777</v>
      </c>
      <c r="E30" s="334" t="s">
        <v>1528</v>
      </c>
      <c r="F30" s="326">
        <v>50</v>
      </c>
      <c r="G30" s="326" t="s">
        <v>183</v>
      </c>
      <c r="H30" s="326" t="s">
        <v>35</v>
      </c>
      <c r="J30" s="476"/>
      <c r="K30" s="477"/>
      <c r="L30" s="476"/>
      <c r="M30" s="476"/>
      <c r="N30" s="476"/>
      <c r="O30" s="442" t="s">
        <v>1748</v>
      </c>
      <c r="P30" s="442" t="s">
        <v>1749</v>
      </c>
      <c r="Q30" s="354" t="s">
        <v>1424</v>
      </c>
      <c r="R30" s="357" t="s">
        <v>1019</v>
      </c>
      <c r="S30" s="406" t="s">
        <v>1791</v>
      </c>
      <c r="T30" s="389" t="s">
        <v>1900</v>
      </c>
      <c r="W30" s="393"/>
      <c r="X30" s="330"/>
      <c r="Y30" s="330"/>
      <c r="Z30" s="393"/>
      <c r="AA30" s="354" t="s">
        <v>1902</v>
      </c>
      <c r="AB30" s="395" t="s">
        <v>1903</v>
      </c>
      <c r="AC30" s="389"/>
      <c r="AF30" s="393"/>
      <c r="AG30" s="330"/>
      <c r="AH30" s="330"/>
      <c r="AI30" s="393"/>
      <c r="AJ30" s="178"/>
      <c r="AL30" s="393"/>
      <c r="AM30" s="24"/>
      <c r="AS30" s="393"/>
      <c r="AT30" s="354" t="s">
        <v>1902</v>
      </c>
      <c r="AU30" s="395" t="s">
        <v>1903</v>
      </c>
      <c r="AV30" s="404" t="s">
        <v>2009</v>
      </c>
      <c r="AW30" s="23"/>
      <c r="AX30" s="110"/>
      <c r="AY30" s="28"/>
      <c r="AZ30" s="330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</row>
    <row r="31" spans="1:646" x14ac:dyDescent="0.25">
      <c r="A31" s="331" t="s">
        <v>1475</v>
      </c>
      <c r="B31" s="374" t="s">
        <v>1351</v>
      </c>
      <c r="C31" s="374" t="s">
        <v>1352</v>
      </c>
      <c r="D31" s="32" t="s">
        <v>1866</v>
      </c>
      <c r="E31" s="334" t="s">
        <v>1394</v>
      </c>
      <c r="F31" s="326">
        <v>47</v>
      </c>
      <c r="G31" s="326" t="s">
        <v>183</v>
      </c>
      <c r="H31" s="326" t="s">
        <v>35</v>
      </c>
      <c r="J31" s="476"/>
      <c r="K31" s="477"/>
      <c r="L31" s="476"/>
      <c r="M31" s="476"/>
      <c r="N31" s="476"/>
      <c r="O31" s="533" t="s">
        <v>1452</v>
      </c>
      <c r="P31" s="442" t="s">
        <v>1631</v>
      </c>
      <c r="Q31" s="442" t="s">
        <v>1704</v>
      </c>
      <c r="R31" s="354" t="s">
        <v>1019</v>
      </c>
      <c r="S31" s="406" t="s">
        <v>1846</v>
      </c>
      <c r="T31" s="389" t="s">
        <v>1847</v>
      </c>
      <c r="W31" s="393"/>
      <c r="X31" s="24"/>
      <c r="Y31" s="24"/>
      <c r="Z31" s="393"/>
      <c r="AA31" s="354" t="s">
        <v>1950</v>
      </c>
      <c r="AB31" s="395" t="s">
        <v>1951</v>
      </c>
      <c r="AC31" s="389" t="s">
        <v>1982</v>
      </c>
      <c r="AF31" s="393"/>
      <c r="AG31" s="24"/>
      <c r="AH31" s="24"/>
      <c r="AI31" s="393"/>
      <c r="AJ31" s="442"/>
      <c r="AK31" s="442"/>
      <c r="AL31" s="393"/>
      <c r="AM31" s="24"/>
      <c r="AO31" s="330"/>
      <c r="AP31" s="330"/>
      <c r="AQ31" s="332"/>
      <c r="AR31" s="332"/>
      <c r="AS31" s="393"/>
      <c r="AT31" s="354" t="s">
        <v>1950</v>
      </c>
      <c r="AU31" s="395" t="s">
        <v>1951</v>
      </c>
      <c r="AV31" s="404" t="s">
        <v>1982</v>
      </c>
      <c r="AW31" s="23"/>
      <c r="AX31" s="110"/>
      <c r="AY31" s="24"/>
      <c r="AZ31" s="330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</row>
    <row r="32" spans="1:646" ht="15" customHeight="1" x14ac:dyDescent="0.25">
      <c r="A32" s="573" t="s">
        <v>1476</v>
      </c>
      <c r="B32" s="375" t="s">
        <v>870</v>
      </c>
      <c r="C32" s="372" t="s">
        <v>90</v>
      </c>
      <c r="D32" s="26" t="s">
        <v>1777</v>
      </c>
      <c r="E32" s="334" t="s">
        <v>351</v>
      </c>
      <c r="F32" s="326">
        <v>55</v>
      </c>
      <c r="G32" s="326" t="s">
        <v>1412</v>
      </c>
      <c r="H32" s="326" t="s">
        <v>35</v>
      </c>
      <c r="I32" s="327"/>
      <c r="J32" s="550"/>
      <c r="K32" s="551"/>
      <c r="L32" s="550"/>
      <c r="M32" s="550"/>
      <c r="N32" s="550"/>
      <c r="O32" s="533" t="s">
        <v>1452</v>
      </c>
      <c r="P32" s="442" t="s">
        <v>1583</v>
      </c>
      <c r="Q32" s="354" t="s">
        <v>1855</v>
      </c>
      <c r="R32" s="533" t="s">
        <v>1519</v>
      </c>
      <c r="S32" s="406" t="s">
        <v>1856</v>
      </c>
      <c r="T32" s="389" t="s">
        <v>1857</v>
      </c>
      <c r="U32" s="330"/>
      <c r="V32" s="330"/>
      <c r="W32" s="393"/>
      <c r="X32" s="330"/>
      <c r="Y32" s="330"/>
      <c r="Z32" s="393"/>
      <c r="AA32" s="354" t="s">
        <v>1849</v>
      </c>
      <c r="AB32" s="395" t="s">
        <v>1850</v>
      </c>
      <c r="AC32" s="389" t="s">
        <v>1851</v>
      </c>
      <c r="AD32" s="330"/>
      <c r="AE32" s="330"/>
      <c r="AF32" s="393"/>
      <c r="AG32" s="330"/>
      <c r="AH32" s="330"/>
      <c r="AI32" s="393"/>
      <c r="AJ32" s="442"/>
      <c r="AK32" s="330"/>
      <c r="AL32" s="393"/>
      <c r="AM32" s="330"/>
      <c r="AN32" s="330"/>
      <c r="AO32" s="330"/>
      <c r="AP32" s="330"/>
      <c r="AQ32" s="330"/>
      <c r="AR32" s="330"/>
      <c r="AS32" s="393"/>
      <c r="AT32" s="442" t="s">
        <v>1849</v>
      </c>
      <c r="AU32" s="395" t="s">
        <v>1850</v>
      </c>
      <c r="AV32" s="404" t="s">
        <v>1851</v>
      </c>
      <c r="AW32" s="23"/>
      <c r="AX32" s="110"/>
      <c r="AY32" s="28"/>
      <c r="AZ32" s="330"/>
      <c r="BA32" s="330"/>
      <c r="BB32" s="330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</row>
    <row r="33" spans="1:646" s="24" customFormat="1" ht="12" x14ac:dyDescent="0.2">
      <c r="A33" s="331" t="s">
        <v>1490</v>
      </c>
      <c r="B33" s="375" t="s">
        <v>813</v>
      </c>
      <c r="C33" s="372" t="s">
        <v>93</v>
      </c>
      <c r="D33" s="26" t="s">
        <v>1777</v>
      </c>
      <c r="E33" s="333" t="s">
        <v>361</v>
      </c>
      <c r="F33" s="330">
        <v>42</v>
      </c>
      <c r="G33" s="330" t="s">
        <v>183</v>
      </c>
      <c r="H33" s="330" t="s">
        <v>35</v>
      </c>
      <c r="I33" s="332"/>
      <c r="J33" s="552"/>
      <c r="K33" s="553"/>
      <c r="L33" s="552"/>
      <c r="M33" s="552"/>
      <c r="N33" s="552"/>
      <c r="O33" s="496" t="s">
        <v>1755</v>
      </c>
      <c r="P33" s="442" t="s">
        <v>1756</v>
      </c>
      <c r="Q33" s="354" t="s">
        <v>2031</v>
      </c>
      <c r="R33" s="533" t="s">
        <v>1519</v>
      </c>
      <c r="S33" s="406" t="s">
        <v>2032</v>
      </c>
      <c r="T33" s="394" t="s">
        <v>1825</v>
      </c>
      <c r="U33" s="330"/>
      <c r="V33" s="330"/>
      <c r="W33" s="393"/>
      <c r="X33" s="330"/>
      <c r="Y33" s="330"/>
      <c r="Z33" s="393"/>
      <c r="AA33" s="354" t="s">
        <v>1424</v>
      </c>
      <c r="AB33" s="395" t="s">
        <v>1791</v>
      </c>
      <c r="AC33" s="389" t="s">
        <v>1900</v>
      </c>
      <c r="AD33" s="330"/>
      <c r="AE33" s="330"/>
      <c r="AF33" s="393"/>
      <c r="AG33" s="330"/>
      <c r="AH33" s="330"/>
      <c r="AI33" s="393"/>
      <c r="AJ33" s="442"/>
      <c r="AK33" s="330"/>
      <c r="AL33" s="393"/>
      <c r="AM33" s="330"/>
      <c r="AN33" s="330"/>
      <c r="AO33" s="330"/>
      <c r="AP33" s="330"/>
      <c r="AQ33" s="330"/>
      <c r="AR33" s="330"/>
      <c r="AS33" s="393"/>
      <c r="AT33" s="354" t="s">
        <v>2017</v>
      </c>
      <c r="AU33" s="395" t="s">
        <v>2018</v>
      </c>
      <c r="AV33" s="404" t="s">
        <v>1831</v>
      </c>
      <c r="AY33" s="28"/>
      <c r="AZ33" s="330"/>
      <c r="BA33" s="330"/>
      <c r="BB33" s="330"/>
    </row>
    <row r="34" spans="1:646" ht="15" customHeight="1" x14ac:dyDescent="0.25">
      <c r="A34" s="331" t="s">
        <v>1525</v>
      </c>
      <c r="B34" s="374" t="s">
        <v>815</v>
      </c>
      <c r="C34" s="373" t="s">
        <v>93</v>
      </c>
      <c r="D34" s="26" t="s">
        <v>1777</v>
      </c>
      <c r="E34" s="334" t="s">
        <v>363</v>
      </c>
      <c r="F34" s="326">
        <v>48</v>
      </c>
      <c r="G34" s="326" t="s">
        <v>183</v>
      </c>
      <c r="H34" s="326" t="s">
        <v>35</v>
      </c>
      <c r="I34" s="327"/>
      <c r="J34" s="550"/>
      <c r="K34" s="551"/>
      <c r="L34" s="550"/>
      <c r="M34" s="550"/>
      <c r="N34" s="550"/>
      <c r="O34" s="442" t="s">
        <v>1827</v>
      </c>
      <c r="P34" s="442" t="s">
        <v>1828</v>
      </c>
      <c r="Q34" s="354" t="s">
        <v>1855</v>
      </c>
      <c r="R34" s="354" t="s">
        <v>1019</v>
      </c>
      <c r="S34" s="406" t="s">
        <v>1856</v>
      </c>
      <c r="T34" s="389" t="s">
        <v>1857</v>
      </c>
      <c r="U34" s="330"/>
      <c r="V34" s="330"/>
      <c r="W34" s="393"/>
      <c r="X34" s="330"/>
      <c r="Y34" s="330"/>
      <c r="Z34" s="393"/>
      <c r="AA34" s="354"/>
      <c r="AB34" s="395"/>
      <c r="AC34" s="389"/>
      <c r="AD34" s="442" t="s">
        <v>1957</v>
      </c>
      <c r="AE34" s="395" t="s">
        <v>1958</v>
      </c>
      <c r="AF34" s="404" t="s">
        <v>1995</v>
      </c>
      <c r="AI34" s="393"/>
      <c r="AJ34" s="442"/>
      <c r="AK34" s="330"/>
      <c r="AL34" s="393"/>
      <c r="AM34" s="330"/>
      <c r="AN34" s="330"/>
      <c r="AO34" s="330"/>
      <c r="AP34" s="330"/>
      <c r="AQ34" s="330"/>
      <c r="AR34" s="330"/>
      <c r="AS34" s="393"/>
      <c r="AT34" s="442" t="s">
        <v>1885</v>
      </c>
      <c r="AU34" s="395" t="s">
        <v>1711</v>
      </c>
      <c r="AV34" s="404" t="s">
        <v>1996</v>
      </c>
      <c r="AW34" s="23"/>
      <c r="AX34" s="110"/>
      <c r="AY34" s="28"/>
      <c r="AZ34" s="330"/>
      <c r="BA34" s="330"/>
      <c r="BB34" s="330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  <c r="KP34" s="24"/>
      <c r="KQ34" s="24"/>
      <c r="KR34" s="24"/>
      <c r="KS34" s="24"/>
      <c r="KT34" s="24"/>
      <c r="KU34" s="24"/>
      <c r="KV34" s="24"/>
      <c r="KW34" s="24"/>
      <c r="KX34" s="24"/>
      <c r="KY34" s="24"/>
      <c r="KZ34" s="24"/>
      <c r="LA34" s="24"/>
      <c r="LB34" s="24"/>
      <c r="LC34" s="24"/>
      <c r="LD34" s="24"/>
      <c r="LE34" s="24"/>
      <c r="LF34" s="24"/>
      <c r="LG34" s="24"/>
      <c r="LH34" s="24"/>
      <c r="LI34" s="24"/>
      <c r="LJ34" s="24"/>
      <c r="LK34" s="24"/>
      <c r="LL34" s="24"/>
      <c r="LM34" s="24"/>
      <c r="LN34" s="24"/>
      <c r="LO34" s="24"/>
      <c r="LP34" s="24"/>
      <c r="LQ34" s="24"/>
      <c r="LR34" s="24"/>
      <c r="LS34" s="24"/>
      <c r="LT34" s="24"/>
      <c r="LU34" s="24"/>
      <c r="LV34" s="24"/>
      <c r="LW34" s="24"/>
      <c r="LX34" s="24"/>
      <c r="LY34" s="24"/>
      <c r="LZ34" s="24"/>
      <c r="MA34" s="24"/>
      <c r="MB34" s="24"/>
      <c r="MC34" s="24"/>
      <c r="MD34" s="24"/>
      <c r="ME34" s="24"/>
      <c r="MF34" s="24"/>
      <c r="MG34" s="24"/>
      <c r="MH34" s="24"/>
      <c r="MI34" s="24"/>
      <c r="MJ34" s="24"/>
      <c r="MK34" s="24"/>
      <c r="ML34" s="24"/>
      <c r="MM34" s="24"/>
      <c r="MN34" s="24"/>
      <c r="MO34" s="24"/>
      <c r="MP34" s="24"/>
      <c r="MQ34" s="24"/>
      <c r="MR34" s="24"/>
      <c r="MS34" s="24"/>
      <c r="MT34" s="24"/>
      <c r="MU34" s="24"/>
      <c r="MV34" s="24"/>
      <c r="MW34" s="24"/>
      <c r="MX34" s="24"/>
      <c r="MY34" s="24"/>
      <c r="MZ34" s="24"/>
      <c r="NA34" s="24"/>
      <c r="NB34" s="24"/>
      <c r="NC34" s="24"/>
      <c r="ND34" s="24"/>
      <c r="NE34" s="24"/>
      <c r="NF34" s="24"/>
      <c r="NG34" s="24"/>
      <c r="NH34" s="24"/>
      <c r="NI34" s="24"/>
      <c r="NJ34" s="24"/>
      <c r="NK34" s="24"/>
      <c r="NL34" s="24"/>
      <c r="NM34" s="24"/>
      <c r="NN34" s="24"/>
      <c r="NO34" s="24"/>
      <c r="NP34" s="24"/>
      <c r="NQ34" s="24"/>
      <c r="NR34" s="24"/>
      <c r="NS34" s="24"/>
      <c r="NT34" s="24"/>
      <c r="NU34" s="24"/>
      <c r="NV34" s="24"/>
      <c r="NW34" s="24"/>
      <c r="NX34" s="24"/>
      <c r="NY34" s="24"/>
      <c r="NZ34" s="24"/>
      <c r="OA34" s="24"/>
      <c r="OB34" s="24"/>
      <c r="OC34" s="24"/>
      <c r="OD34" s="24"/>
      <c r="OE34" s="24"/>
      <c r="OF34" s="24"/>
      <c r="OG34" s="24"/>
      <c r="OH34" s="24"/>
      <c r="OI34" s="24"/>
      <c r="OJ34" s="24"/>
      <c r="OK34" s="24"/>
      <c r="OL34" s="24"/>
      <c r="OM34" s="24"/>
      <c r="ON34" s="24"/>
      <c r="OO34" s="24"/>
      <c r="OP34" s="24"/>
      <c r="OQ34" s="24"/>
      <c r="OR34" s="24"/>
      <c r="OS34" s="24"/>
      <c r="OT34" s="24"/>
      <c r="OU34" s="24"/>
      <c r="OV34" s="24"/>
      <c r="OW34" s="24"/>
      <c r="OX34" s="24"/>
      <c r="OY34" s="24"/>
      <c r="OZ34" s="24"/>
      <c r="PA34" s="24"/>
      <c r="PB34" s="24"/>
      <c r="PC34" s="24"/>
      <c r="PD34" s="24"/>
      <c r="PE34" s="24"/>
      <c r="PF34" s="24"/>
      <c r="PG34" s="24"/>
      <c r="PH34" s="24"/>
      <c r="PI34" s="24"/>
      <c r="PJ34" s="24"/>
      <c r="PK34" s="24"/>
      <c r="PL34" s="24"/>
      <c r="PM34" s="24"/>
      <c r="PN34" s="24"/>
      <c r="PO34" s="24"/>
      <c r="PP34" s="24"/>
      <c r="PQ34" s="24"/>
      <c r="PR34" s="24"/>
      <c r="PS34" s="24"/>
      <c r="PT34" s="24"/>
      <c r="PU34" s="24"/>
      <c r="PV34" s="24"/>
      <c r="PW34" s="24"/>
      <c r="PX34" s="24"/>
      <c r="PY34" s="24"/>
      <c r="PZ34" s="24"/>
      <c r="QA34" s="24"/>
      <c r="QB34" s="24"/>
      <c r="QC34" s="24"/>
      <c r="QD34" s="24"/>
      <c r="QE34" s="24"/>
      <c r="QF34" s="24"/>
      <c r="QG34" s="24"/>
      <c r="QH34" s="24"/>
      <c r="QI34" s="24"/>
      <c r="QJ34" s="24"/>
      <c r="QK34" s="24"/>
      <c r="QL34" s="24"/>
      <c r="QM34" s="24"/>
      <c r="QN34" s="24"/>
      <c r="QO34" s="24"/>
      <c r="QP34" s="24"/>
      <c r="QQ34" s="24"/>
      <c r="QR34" s="24"/>
      <c r="QS34" s="24"/>
      <c r="QT34" s="24"/>
      <c r="QU34" s="24"/>
      <c r="QV34" s="24"/>
      <c r="QW34" s="24"/>
      <c r="QX34" s="24"/>
      <c r="QY34" s="24"/>
      <c r="QZ34" s="24"/>
      <c r="RA34" s="24"/>
      <c r="RB34" s="24"/>
      <c r="RC34" s="24"/>
      <c r="RD34" s="24"/>
      <c r="RE34" s="24"/>
      <c r="RF34" s="24"/>
      <c r="RG34" s="24"/>
      <c r="RH34" s="24"/>
      <c r="RI34" s="24"/>
      <c r="RJ34" s="24"/>
      <c r="RK34" s="24"/>
      <c r="RL34" s="24"/>
      <c r="RM34" s="24"/>
      <c r="RN34" s="24"/>
      <c r="RO34" s="24"/>
      <c r="RP34" s="24"/>
      <c r="RQ34" s="24"/>
      <c r="RR34" s="24"/>
      <c r="RS34" s="24"/>
      <c r="RT34" s="24"/>
      <c r="RU34" s="24"/>
      <c r="RV34" s="24"/>
      <c r="RW34" s="24"/>
      <c r="RX34" s="24"/>
      <c r="RY34" s="24"/>
      <c r="RZ34" s="24"/>
      <c r="SA34" s="24"/>
      <c r="SB34" s="24"/>
      <c r="SC34" s="24"/>
      <c r="SD34" s="24"/>
      <c r="SE34" s="24"/>
      <c r="SF34" s="24"/>
      <c r="SG34" s="24"/>
      <c r="SH34" s="24"/>
      <c r="SI34" s="24"/>
      <c r="SJ34" s="24"/>
      <c r="SK34" s="24"/>
      <c r="SL34" s="24"/>
      <c r="SM34" s="24"/>
      <c r="SN34" s="24"/>
      <c r="SO34" s="24"/>
      <c r="SP34" s="24"/>
      <c r="SQ34" s="24"/>
      <c r="SR34" s="24"/>
      <c r="SS34" s="24"/>
      <c r="ST34" s="24"/>
      <c r="SU34" s="24"/>
      <c r="SV34" s="24"/>
      <c r="SW34" s="24"/>
      <c r="SX34" s="24"/>
      <c r="SY34" s="24"/>
      <c r="SZ34" s="24"/>
      <c r="TA34" s="24"/>
      <c r="TB34" s="24"/>
      <c r="TC34" s="24"/>
      <c r="TD34" s="24"/>
      <c r="TE34" s="24"/>
      <c r="TF34" s="24"/>
      <c r="TG34" s="24"/>
      <c r="TH34" s="24"/>
      <c r="TI34" s="24"/>
      <c r="TJ34" s="24"/>
      <c r="TK34" s="24"/>
      <c r="TL34" s="24"/>
      <c r="TM34" s="24"/>
      <c r="TN34" s="24"/>
      <c r="TO34" s="24"/>
      <c r="TP34" s="24"/>
      <c r="TQ34" s="24"/>
      <c r="TR34" s="24"/>
      <c r="TS34" s="24"/>
      <c r="TT34" s="24"/>
      <c r="TU34" s="24"/>
      <c r="TV34" s="24"/>
      <c r="TW34" s="24"/>
      <c r="TX34" s="24"/>
      <c r="TY34" s="24"/>
      <c r="TZ34" s="24"/>
      <c r="UA34" s="24"/>
      <c r="UB34" s="24"/>
      <c r="UC34" s="24"/>
      <c r="UD34" s="24"/>
      <c r="UE34" s="24"/>
      <c r="UF34" s="24"/>
      <c r="UG34" s="24"/>
      <c r="UH34" s="24"/>
      <c r="UI34" s="24"/>
      <c r="UJ34" s="24"/>
      <c r="UK34" s="24"/>
      <c r="UL34" s="24"/>
      <c r="UM34" s="24"/>
      <c r="UN34" s="24"/>
      <c r="UO34" s="24"/>
      <c r="UP34" s="24"/>
      <c r="UQ34" s="24"/>
      <c r="UR34" s="24"/>
      <c r="US34" s="24"/>
      <c r="UT34" s="24"/>
      <c r="UU34" s="24"/>
      <c r="UV34" s="24"/>
      <c r="UW34" s="24"/>
      <c r="UX34" s="24"/>
      <c r="UY34" s="24"/>
      <c r="UZ34" s="24"/>
      <c r="VA34" s="24"/>
      <c r="VB34" s="24"/>
      <c r="VC34" s="24"/>
      <c r="VD34" s="24"/>
      <c r="VE34" s="24"/>
      <c r="VF34" s="24"/>
      <c r="VG34" s="24"/>
      <c r="VH34" s="24"/>
      <c r="VI34" s="24"/>
      <c r="VJ34" s="24"/>
      <c r="VK34" s="24"/>
      <c r="VL34" s="24"/>
      <c r="VM34" s="24"/>
      <c r="VN34" s="24"/>
      <c r="VO34" s="24"/>
      <c r="VP34" s="24"/>
      <c r="VQ34" s="24"/>
      <c r="VR34" s="24"/>
      <c r="VS34" s="24"/>
      <c r="VT34" s="24"/>
      <c r="VU34" s="24"/>
      <c r="VV34" s="24"/>
      <c r="VW34" s="24"/>
      <c r="VX34" s="24"/>
      <c r="VY34" s="24"/>
      <c r="VZ34" s="24"/>
      <c r="WA34" s="24"/>
      <c r="WB34" s="24"/>
      <c r="WC34" s="24"/>
      <c r="WD34" s="24"/>
      <c r="WE34" s="24"/>
      <c r="WF34" s="24"/>
      <c r="WG34" s="24"/>
      <c r="WH34" s="24"/>
      <c r="WI34" s="24"/>
      <c r="WJ34" s="24"/>
      <c r="WK34" s="24"/>
      <c r="WL34" s="24"/>
      <c r="WM34" s="24"/>
      <c r="WN34" s="24"/>
      <c r="WO34" s="24"/>
      <c r="WP34" s="24"/>
      <c r="WQ34" s="24"/>
      <c r="WR34" s="24"/>
      <c r="WS34" s="24"/>
      <c r="WT34" s="24"/>
      <c r="WU34" s="24"/>
      <c r="WV34" s="24"/>
      <c r="WW34" s="24"/>
      <c r="WX34" s="24"/>
      <c r="WY34" s="24"/>
      <c r="WZ34" s="24"/>
      <c r="XA34" s="24"/>
      <c r="XB34" s="24"/>
      <c r="XC34" s="24"/>
      <c r="XD34" s="24"/>
      <c r="XE34" s="24"/>
      <c r="XF34" s="24"/>
      <c r="XG34" s="24"/>
      <c r="XH34" s="24"/>
      <c r="XI34" s="24"/>
      <c r="XJ34" s="24"/>
      <c r="XK34" s="24"/>
      <c r="XL34" s="24"/>
      <c r="XM34" s="24"/>
      <c r="XN34" s="24"/>
      <c r="XO34" s="24"/>
      <c r="XP34" s="24"/>
      <c r="XQ34" s="24"/>
      <c r="XR34" s="24"/>
      <c r="XS34" s="24"/>
      <c r="XT34" s="24"/>
      <c r="XU34" s="24"/>
      <c r="XV34" s="24"/>
    </row>
    <row r="35" spans="1:646" ht="15.75" thickBot="1" x14ac:dyDescent="0.3">
      <c r="A35" s="623" t="s">
        <v>1540</v>
      </c>
      <c r="B35" s="374" t="s">
        <v>144</v>
      </c>
      <c r="C35" s="374" t="s">
        <v>858</v>
      </c>
      <c r="D35" s="26" t="s">
        <v>1777</v>
      </c>
      <c r="E35" s="574">
        <v>7908285561087</v>
      </c>
      <c r="F35" s="326">
        <v>46</v>
      </c>
      <c r="G35" s="326" t="s">
        <v>183</v>
      </c>
      <c r="H35" s="326" t="s">
        <v>35</v>
      </c>
      <c r="J35" s="476"/>
      <c r="K35" s="477"/>
      <c r="L35" s="476"/>
      <c r="M35" s="476"/>
      <c r="N35" s="476"/>
      <c r="O35" s="534" t="s">
        <v>1452</v>
      </c>
      <c r="P35" s="442" t="s">
        <v>1743</v>
      </c>
      <c r="Q35" s="442" t="s">
        <v>1855</v>
      </c>
      <c r="R35" s="354" t="s">
        <v>1019</v>
      </c>
      <c r="S35" s="406" t="s">
        <v>1856</v>
      </c>
      <c r="T35" s="389" t="s">
        <v>1857</v>
      </c>
      <c r="W35" s="393"/>
      <c r="X35" s="330"/>
      <c r="Y35" s="330"/>
      <c r="Z35" s="393"/>
      <c r="AA35" s="354" t="s">
        <v>1939</v>
      </c>
      <c r="AB35" s="395" t="s">
        <v>1940</v>
      </c>
      <c r="AC35" s="389" t="s">
        <v>1997</v>
      </c>
      <c r="AF35" s="393"/>
      <c r="AG35" s="330"/>
      <c r="AH35" s="330"/>
      <c r="AI35" s="393"/>
      <c r="AJ35" s="178"/>
      <c r="AL35" s="393"/>
      <c r="AM35" s="24"/>
      <c r="AS35" s="393"/>
      <c r="AT35" s="442" t="s">
        <v>1939</v>
      </c>
      <c r="AU35" s="395" t="s">
        <v>1940</v>
      </c>
      <c r="AV35" s="404" t="s">
        <v>1997</v>
      </c>
      <c r="AW35" s="23"/>
      <c r="AX35" s="110"/>
      <c r="AY35" s="28"/>
      <c r="AZ35" s="330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</row>
    <row r="36" spans="1:646" s="24" customFormat="1" ht="17.100000000000001" customHeight="1" thickTop="1" thickBot="1" x14ac:dyDescent="0.25">
      <c r="A36" s="658" t="s">
        <v>1832</v>
      </c>
      <c r="B36" s="374" t="s">
        <v>197</v>
      </c>
      <c r="C36" s="374" t="s">
        <v>108</v>
      </c>
      <c r="D36" s="26" t="s">
        <v>1777</v>
      </c>
      <c r="E36" s="334" t="s">
        <v>380</v>
      </c>
      <c r="F36" s="326">
        <v>55</v>
      </c>
      <c r="G36" s="326" t="s">
        <v>183</v>
      </c>
      <c r="H36" s="326" t="s">
        <v>35</v>
      </c>
      <c r="I36" s="327"/>
      <c r="J36" s="550"/>
      <c r="K36" s="551"/>
      <c r="L36" s="550"/>
      <c r="M36" s="550"/>
      <c r="N36" s="550"/>
      <c r="O36" s="533" t="s">
        <v>1452</v>
      </c>
      <c r="P36" s="442" t="s">
        <v>1522</v>
      </c>
      <c r="Q36" s="354" t="s">
        <v>1867</v>
      </c>
      <c r="R36" s="354" t="s">
        <v>1019</v>
      </c>
      <c r="S36" s="406" t="s">
        <v>1868</v>
      </c>
      <c r="T36" s="389" t="s">
        <v>1869</v>
      </c>
      <c r="U36" s="330"/>
      <c r="V36" s="330"/>
      <c r="W36" s="393"/>
      <c r="X36" s="23"/>
      <c r="Y36" s="23"/>
      <c r="Z36" s="393"/>
      <c r="AA36" s="354" t="s">
        <v>1855</v>
      </c>
      <c r="AB36" s="395" t="s">
        <v>1856</v>
      </c>
      <c r="AC36" s="389" t="s">
        <v>1857</v>
      </c>
      <c r="AD36" s="330"/>
      <c r="AE36" s="330"/>
      <c r="AF36" s="393"/>
      <c r="AG36" s="330"/>
      <c r="AH36" s="330"/>
      <c r="AI36" s="393"/>
      <c r="AJ36" s="442"/>
      <c r="AK36" s="330"/>
      <c r="AL36" s="393"/>
      <c r="AM36" s="330"/>
      <c r="AN36" s="330"/>
      <c r="AO36" s="330"/>
      <c r="AP36" s="330"/>
      <c r="AQ36" s="330"/>
      <c r="AR36" s="330"/>
      <c r="AS36" s="393"/>
      <c r="AT36" s="442" t="s">
        <v>1855</v>
      </c>
      <c r="AU36" s="395" t="s">
        <v>1856</v>
      </c>
      <c r="AV36" s="404" t="s">
        <v>1857</v>
      </c>
      <c r="AY36" s="28"/>
      <c r="AZ36" s="330"/>
      <c r="BA36" s="330"/>
      <c r="BB36" s="330"/>
    </row>
    <row r="37" spans="1:646" s="35" customFormat="1" ht="17.100000000000001" customHeight="1" thickTop="1" x14ac:dyDescent="0.25">
      <c r="A37" s="698" t="s">
        <v>1839</v>
      </c>
      <c r="B37" s="375" t="s">
        <v>1785</v>
      </c>
      <c r="C37" s="372" t="s">
        <v>123</v>
      </c>
      <c r="D37" s="26" t="s">
        <v>1777</v>
      </c>
      <c r="E37" s="333" t="s">
        <v>276</v>
      </c>
      <c r="F37" s="330">
        <v>59</v>
      </c>
      <c r="G37" s="330" t="s">
        <v>183</v>
      </c>
      <c r="H37" s="330" t="s">
        <v>35</v>
      </c>
      <c r="I37" s="690"/>
      <c r="J37" s="695"/>
      <c r="K37" s="696"/>
      <c r="L37" s="695"/>
      <c r="M37" s="695"/>
      <c r="N37" s="695"/>
      <c r="O37" s="354" t="s">
        <v>1904</v>
      </c>
      <c r="P37" s="354" t="s">
        <v>1905</v>
      </c>
      <c r="Q37" s="354" t="s">
        <v>1855</v>
      </c>
      <c r="R37" s="354" t="s">
        <v>1519</v>
      </c>
      <c r="S37" s="406" t="s">
        <v>1856</v>
      </c>
      <c r="T37" s="394" t="s">
        <v>1857</v>
      </c>
      <c r="U37" s="330"/>
      <c r="V37" s="330"/>
      <c r="W37" s="393"/>
      <c r="X37" s="395" t="s">
        <v>1134</v>
      </c>
      <c r="Y37" s="395" t="s">
        <v>1906</v>
      </c>
      <c r="Z37" s="393"/>
      <c r="AA37" s="24"/>
      <c r="AB37" s="24"/>
      <c r="AC37" s="389"/>
      <c r="AD37" s="330"/>
      <c r="AE37" s="330"/>
      <c r="AF37" s="393"/>
      <c r="AG37" s="24"/>
      <c r="AH37" s="24"/>
      <c r="AI37" s="393"/>
      <c r="AJ37" s="330"/>
      <c r="AK37" s="330"/>
      <c r="AL37" s="393"/>
      <c r="AM37" s="330"/>
      <c r="AN37" s="330"/>
      <c r="AO37" s="330"/>
      <c r="AP37" s="330"/>
      <c r="AQ37" s="330"/>
      <c r="AR37" s="330"/>
      <c r="AS37" s="393"/>
      <c r="AT37" s="442" t="s">
        <v>1134</v>
      </c>
      <c r="AU37" s="395" t="s">
        <v>1906</v>
      </c>
      <c r="AV37" s="404" t="s">
        <v>2007</v>
      </c>
      <c r="AX37" s="524"/>
      <c r="AY37" s="34"/>
      <c r="AZ37" s="395"/>
      <c r="BA37" s="395"/>
      <c r="BB37" s="395"/>
    </row>
    <row r="38" spans="1:646" s="598" customFormat="1" ht="15" customHeight="1" thickBot="1" x14ac:dyDescent="0.3">
      <c r="A38" s="623" t="s">
        <v>1870</v>
      </c>
      <c r="B38" s="624" t="s">
        <v>1243</v>
      </c>
      <c r="C38" s="624" t="s">
        <v>123</v>
      </c>
      <c r="D38" s="625" t="s">
        <v>1777</v>
      </c>
      <c r="E38" s="626" t="s">
        <v>403</v>
      </c>
      <c r="F38" s="627">
        <v>51</v>
      </c>
      <c r="G38" s="627" t="s">
        <v>183</v>
      </c>
      <c r="H38" s="627" t="s">
        <v>35</v>
      </c>
      <c r="I38" s="628"/>
      <c r="J38" s="629"/>
      <c r="K38" s="630"/>
      <c r="L38" s="629"/>
      <c r="M38" s="629"/>
      <c r="N38" s="629"/>
      <c r="O38" s="601" t="s">
        <v>1920</v>
      </c>
      <c r="P38" s="601" t="s">
        <v>1921</v>
      </c>
      <c r="Q38" s="601" t="s">
        <v>1852</v>
      </c>
      <c r="R38" s="595" t="s">
        <v>1019</v>
      </c>
      <c r="S38" s="642" t="s">
        <v>1852</v>
      </c>
      <c r="T38" s="597" t="s">
        <v>1854</v>
      </c>
      <c r="U38" s="601" t="s">
        <v>1685</v>
      </c>
      <c r="V38" s="596" t="s">
        <v>1922</v>
      </c>
      <c r="W38" s="599" t="s">
        <v>1821</v>
      </c>
      <c r="X38" s="600"/>
      <c r="Y38" s="600"/>
      <c r="Z38" s="599"/>
      <c r="AA38" s="594"/>
      <c r="AB38" s="600"/>
      <c r="AC38" s="597"/>
      <c r="AD38" s="594"/>
      <c r="AE38" s="594"/>
      <c r="AF38" s="599"/>
      <c r="AI38" s="599"/>
      <c r="AJ38" s="601"/>
      <c r="AK38" s="594"/>
      <c r="AL38" s="599"/>
      <c r="AM38" s="594"/>
      <c r="AN38" s="594"/>
      <c r="AO38" s="594"/>
      <c r="AP38" s="594"/>
      <c r="AQ38" s="594"/>
      <c r="AR38" s="594"/>
      <c r="AS38" s="599"/>
      <c r="AT38" s="595" t="s">
        <v>1685</v>
      </c>
      <c r="AU38" s="596" t="s">
        <v>1922</v>
      </c>
      <c r="AV38" s="699" t="s">
        <v>1821</v>
      </c>
      <c r="AX38" s="602"/>
      <c r="AY38" s="631"/>
      <c r="AZ38" s="594"/>
      <c r="BA38" s="594"/>
      <c r="BB38" s="594"/>
      <c r="BC38" s="600"/>
      <c r="BD38" s="600"/>
      <c r="BE38" s="600"/>
      <c r="BF38" s="600"/>
      <c r="BG38" s="600"/>
      <c r="BH38" s="600"/>
      <c r="BI38" s="600"/>
      <c r="BJ38" s="600"/>
      <c r="BK38" s="600"/>
      <c r="BL38" s="600"/>
      <c r="BM38" s="600"/>
      <c r="BN38" s="600"/>
      <c r="BO38" s="600"/>
      <c r="BP38" s="600"/>
      <c r="BQ38" s="600"/>
      <c r="BR38" s="600"/>
      <c r="BS38" s="600"/>
      <c r="BT38" s="600"/>
      <c r="BU38" s="600"/>
      <c r="BV38" s="600"/>
      <c r="BW38" s="600"/>
      <c r="BX38" s="600"/>
      <c r="BY38" s="600"/>
      <c r="BZ38" s="600"/>
      <c r="CA38" s="600"/>
      <c r="CB38" s="600"/>
      <c r="CC38" s="600"/>
      <c r="CD38" s="600"/>
      <c r="CE38" s="600"/>
      <c r="CF38" s="600"/>
      <c r="CG38" s="600"/>
      <c r="CH38" s="600"/>
      <c r="CI38" s="600"/>
      <c r="CJ38" s="600"/>
      <c r="CK38" s="600"/>
      <c r="CL38" s="600"/>
      <c r="CM38" s="600"/>
      <c r="CN38" s="600"/>
      <c r="CO38" s="600"/>
      <c r="CP38" s="600"/>
      <c r="CQ38" s="600"/>
      <c r="CR38" s="600"/>
      <c r="CS38" s="600"/>
      <c r="CT38" s="600"/>
      <c r="CU38" s="600"/>
      <c r="CV38" s="600"/>
      <c r="CW38" s="600"/>
      <c r="CX38" s="600"/>
      <c r="CY38" s="600"/>
      <c r="CZ38" s="600"/>
      <c r="DA38" s="600"/>
      <c r="DB38" s="600"/>
      <c r="DC38" s="600"/>
      <c r="DD38" s="600"/>
      <c r="DE38" s="600"/>
      <c r="DF38" s="600"/>
      <c r="DG38" s="600"/>
      <c r="DH38" s="600"/>
      <c r="DI38" s="600"/>
      <c r="DJ38" s="600"/>
      <c r="DK38" s="600"/>
      <c r="DL38" s="600"/>
      <c r="DM38" s="600"/>
      <c r="DN38" s="600"/>
      <c r="DO38" s="600"/>
    </row>
    <row r="39" spans="1:646" s="660" customFormat="1" ht="12.75" thickTop="1" x14ac:dyDescent="0.2">
      <c r="A39" s="621" t="s">
        <v>1871</v>
      </c>
      <c r="B39" s="661" t="s">
        <v>1840</v>
      </c>
      <c r="C39" s="661" t="s">
        <v>1841</v>
      </c>
      <c r="D39" s="661" t="s">
        <v>1777</v>
      </c>
      <c r="E39" s="662">
        <v>8611215702081</v>
      </c>
      <c r="F39" s="661">
        <v>40</v>
      </c>
      <c r="G39" s="660" t="s">
        <v>183</v>
      </c>
      <c r="H39" s="660" t="s">
        <v>35</v>
      </c>
      <c r="J39" s="663"/>
      <c r="K39" s="664"/>
      <c r="L39" s="663"/>
      <c r="M39" s="663"/>
      <c r="N39" s="663"/>
      <c r="O39" s="621" t="s">
        <v>1452</v>
      </c>
      <c r="P39" s="611" t="s">
        <v>1845</v>
      </c>
      <c r="Q39" s="672" t="s">
        <v>1842</v>
      </c>
      <c r="R39" s="672" t="s">
        <v>1019</v>
      </c>
      <c r="S39" s="671" t="s">
        <v>1843</v>
      </c>
      <c r="T39" s="665" t="s">
        <v>1844</v>
      </c>
      <c r="W39" s="665"/>
      <c r="Z39" s="665"/>
      <c r="AA39" s="688" t="s">
        <v>1911</v>
      </c>
      <c r="AB39" s="689" t="s">
        <v>1912</v>
      </c>
      <c r="AC39" s="665" t="s">
        <v>1992</v>
      </c>
      <c r="AF39" s="665"/>
      <c r="AG39" s="613"/>
      <c r="AH39" s="613"/>
      <c r="AI39" s="665"/>
      <c r="AJ39" s="672"/>
      <c r="AL39" s="665"/>
      <c r="AM39" s="613"/>
      <c r="AS39" s="665"/>
      <c r="AT39" s="611" t="s">
        <v>1842</v>
      </c>
      <c r="AU39" s="612" t="s">
        <v>1843</v>
      </c>
      <c r="AV39" s="694" t="s">
        <v>1844</v>
      </c>
      <c r="AX39" s="666"/>
      <c r="AZ39" s="613"/>
    </row>
    <row r="40" spans="1:646" x14ac:dyDescent="0.25">
      <c r="A40" s="363"/>
      <c r="B40" s="327"/>
      <c r="C40" s="327"/>
      <c r="D40" s="327"/>
      <c r="E40" s="570"/>
      <c r="J40" s="476"/>
      <c r="K40" s="477"/>
      <c r="L40" s="476"/>
      <c r="M40" s="476"/>
      <c r="N40" s="476"/>
      <c r="S40" s="51"/>
      <c r="T40" s="24"/>
      <c r="W40" s="393"/>
      <c r="X40" s="38"/>
      <c r="Y40" s="38"/>
      <c r="Z40" s="393"/>
      <c r="AB40" s="38"/>
      <c r="AC40" s="389"/>
      <c r="AF40" s="393"/>
      <c r="AG40" s="40"/>
      <c r="AH40" s="38"/>
      <c r="AI40" s="393"/>
      <c r="AJ40" s="178"/>
      <c r="AL40" s="393"/>
      <c r="AM40" s="24"/>
      <c r="AS40" s="393"/>
      <c r="AV40" s="404"/>
      <c r="AW40" s="23"/>
      <c r="AX40" s="110"/>
      <c r="AZ40" s="330"/>
    </row>
    <row r="41" spans="1:646" x14ac:dyDescent="0.25">
      <c r="A41" s="575" t="s">
        <v>1344</v>
      </c>
      <c r="B41" s="575" t="s">
        <v>1523</v>
      </c>
      <c r="C41" s="575"/>
      <c r="D41" s="575" t="s">
        <v>1524</v>
      </c>
      <c r="E41" s="576" t="s">
        <v>1524</v>
      </c>
      <c r="F41" s="489"/>
      <c r="G41" s="489"/>
      <c r="H41" s="489"/>
      <c r="I41" s="487"/>
      <c r="J41" s="559"/>
      <c r="K41" s="560"/>
      <c r="L41" s="559"/>
      <c r="M41" s="559"/>
      <c r="N41" s="559"/>
      <c r="O41" s="487"/>
      <c r="P41" s="487"/>
      <c r="Q41" s="487"/>
      <c r="R41" s="487"/>
      <c r="S41" s="668"/>
      <c r="T41" s="487"/>
      <c r="U41" s="487"/>
      <c r="V41" s="487"/>
      <c r="W41" s="393"/>
      <c r="X41" s="330"/>
      <c r="Y41" s="693"/>
      <c r="Z41" s="393"/>
      <c r="AA41" s="487"/>
      <c r="AB41" s="539"/>
      <c r="AC41" s="393"/>
      <c r="AD41" s="487"/>
      <c r="AE41" s="487"/>
      <c r="AF41" s="487"/>
      <c r="AG41" s="538"/>
      <c r="AH41" s="539"/>
      <c r="AI41" s="487"/>
      <c r="AJ41" s="487"/>
      <c r="AK41" s="487"/>
      <c r="AL41" s="393"/>
      <c r="AM41" s="487"/>
      <c r="AN41" s="487"/>
      <c r="AO41" s="487"/>
      <c r="AP41" s="487"/>
      <c r="AQ41" s="487"/>
      <c r="AR41" s="487"/>
      <c r="AS41" s="393"/>
      <c r="AT41" s="489"/>
      <c r="AU41" s="487"/>
      <c r="AV41" s="700"/>
      <c r="AW41" s="487"/>
      <c r="AX41" s="529"/>
      <c r="AY41" s="487"/>
      <c r="AZ41" s="487"/>
      <c r="BA41" s="487"/>
      <c r="BB41" s="487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</row>
    <row r="42" spans="1:646" ht="15" customHeight="1" x14ac:dyDescent="0.25">
      <c r="A42" s="331" t="s">
        <v>1453</v>
      </c>
      <c r="B42" s="375" t="s">
        <v>774</v>
      </c>
      <c r="C42" s="373" t="s">
        <v>116</v>
      </c>
      <c r="D42" s="32" t="s">
        <v>1159</v>
      </c>
      <c r="E42" s="334" t="s">
        <v>307</v>
      </c>
      <c r="F42" s="326">
        <v>46</v>
      </c>
      <c r="G42" s="326" t="s">
        <v>183</v>
      </c>
      <c r="H42" s="326" t="s">
        <v>35</v>
      </c>
      <c r="I42" s="327"/>
      <c r="J42" s="550"/>
      <c r="K42" s="551"/>
      <c r="L42" s="550"/>
      <c r="M42" s="550"/>
      <c r="N42" s="550"/>
      <c r="O42" s="354" t="s">
        <v>1831</v>
      </c>
      <c r="P42" s="442" t="s">
        <v>1820</v>
      </c>
      <c r="Q42" s="357" t="s">
        <v>1580</v>
      </c>
      <c r="R42" s="535" t="s">
        <v>1519</v>
      </c>
      <c r="S42" s="511" t="s">
        <v>1793</v>
      </c>
      <c r="T42" s="557" t="s">
        <v>1752</v>
      </c>
      <c r="U42" s="38"/>
      <c r="V42" s="39"/>
      <c r="W42" s="393"/>
      <c r="X42" s="24"/>
      <c r="Y42" s="24"/>
      <c r="Z42" s="393"/>
      <c r="AA42" s="38"/>
      <c r="AB42" s="330"/>
      <c r="AC42" s="393"/>
      <c r="AD42" s="38"/>
      <c r="AE42" s="38"/>
      <c r="AF42" s="393"/>
      <c r="AG42" s="330"/>
      <c r="AH42" s="330"/>
      <c r="AI42" s="393"/>
      <c r="AJ42" s="442" t="s">
        <v>1948</v>
      </c>
      <c r="AK42" s="395" t="s">
        <v>1949</v>
      </c>
      <c r="AL42" s="389" t="s">
        <v>1993</v>
      </c>
      <c r="AM42" s="38"/>
      <c r="AN42" s="38"/>
      <c r="AO42" s="357"/>
      <c r="AP42" s="490"/>
      <c r="AQ42" s="38"/>
      <c r="AR42" s="38"/>
      <c r="AS42" s="393"/>
      <c r="AT42" s="357" t="s">
        <v>1948</v>
      </c>
      <c r="AU42" s="490" t="s">
        <v>1949</v>
      </c>
      <c r="AV42" s="404" t="s">
        <v>1998</v>
      </c>
      <c r="AW42" s="24"/>
      <c r="AX42" s="110"/>
      <c r="AY42" s="24"/>
      <c r="AZ42" s="330"/>
      <c r="BA42" s="38"/>
      <c r="BB42" s="39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4"/>
      <c r="DV42" s="24"/>
      <c r="DW42" s="24"/>
      <c r="DX42" s="24"/>
      <c r="DY42" s="24"/>
      <c r="DZ42" s="24"/>
      <c r="EA42" s="24"/>
      <c r="EB42" s="24"/>
      <c r="EC42" s="24"/>
      <c r="ED42" s="24"/>
      <c r="EE42" s="24"/>
      <c r="EF42" s="24"/>
      <c r="EG42" s="24"/>
      <c r="EH42" s="24"/>
      <c r="EI42" s="24"/>
      <c r="EJ42" s="24"/>
      <c r="EK42" s="24"/>
      <c r="EL42" s="24"/>
      <c r="EM42" s="24"/>
      <c r="EN42" s="24"/>
      <c r="EO42" s="24"/>
      <c r="EP42" s="24"/>
      <c r="EQ42" s="24"/>
      <c r="ER42" s="24"/>
      <c r="ES42" s="24"/>
      <c r="ET42" s="24"/>
      <c r="EU42" s="24"/>
      <c r="EV42" s="24"/>
      <c r="EW42" s="24"/>
      <c r="EX42" s="24"/>
      <c r="EY42" s="24"/>
      <c r="EZ42" s="24"/>
      <c r="FA42" s="24"/>
      <c r="FB42" s="24"/>
      <c r="FC42" s="24"/>
      <c r="FD42" s="24"/>
      <c r="FE42" s="24"/>
      <c r="FF42" s="24"/>
      <c r="FG42" s="24"/>
      <c r="FH42" s="24"/>
      <c r="FI42" s="24"/>
      <c r="FJ42" s="24"/>
      <c r="FK42" s="24"/>
      <c r="FL42" s="24"/>
      <c r="FM42" s="24"/>
      <c r="FN42" s="24"/>
      <c r="FO42" s="24"/>
      <c r="FP42" s="24"/>
      <c r="FQ42" s="24"/>
      <c r="FR42" s="24"/>
      <c r="FS42" s="24"/>
      <c r="FT42" s="24"/>
      <c r="FU42" s="24"/>
      <c r="FV42" s="24"/>
      <c r="FW42" s="24"/>
      <c r="FX42" s="24"/>
      <c r="FY42" s="24"/>
      <c r="FZ42" s="24"/>
      <c r="GA42" s="24"/>
      <c r="GB42" s="24"/>
      <c r="GC42" s="24"/>
      <c r="GD42" s="24"/>
      <c r="GE42" s="24"/>
      <c r="GF42" s="24"/>
      <c r="GG42" s="24"/>
      <c r="GH42" s="24"/>
      <c r="GI42" s="24"/>
      <c r="GJ42" s="24"/>
      <c r="GK42" s="24"/>
      <c r="GL42" s="24"/>
      <c r="GM42" s="24"/>
      <c r="GN42" s="24"/>
      <c r="GO42" s="24"/>
      <c r="GP42" s="24"/>
      <c r="GQ42" s="24"/>
      <c r="GR42" s="24"/>
      <c r="GS42" s="24"/>
      <c r="GT42" s="24"/>
      <c r="GU42" s="24"/>
      <c r="GV42" s="24"/>
      <c r="GW42" s="24"/>
      <c r="GX42" s="24"/>
      <c r="GY42" s="24"/>
      <c r="GZ42" s="24"/>
      <c r="HA42" s="24"/>
      <c r="HB42" s="24"/>
      <c r="HC42" s="24"/>
      <c r="HD42" s="24"/>
      <c r="HE42" s="24"/>
      <c r="HF42" s="24"/>
      <c r="HG42" s="24"/>
      <c r="HH42" s="24"/>
      <c r="HI42" s="24"/>
      <c r="HJ42" s="24"/>
      <c r="HK42" s="24"/>
      <c r="HL42" s="24"/>
      <c r="HM42" s="24"/>
      <c r="HN42" s="24"/>
      <c r="HO42" s="24"/>
      <c r="HP42" s="24"/>
      <c r="HQ42" s="24"/>
      <c r="HR42" s="24"/>
      <c r="HS42" s="24"/>
      <c r="HT42" s="24"/>
      <c r="HU42" s="24"/>
      <c r="HV42" s="24"/>
      <c r="HW42" s="24"/>
      <c r="HX42" s="24"/>
      <c r="HY42" s="24"/>
      <c r="HZ42" s="24"/>
      <c r="IA42" s="24"/>
      <c r="IB42" s="24"/>
      <c r="IC42" s="24"/>
      <c r="ID42" s="24"/>
      <c r="IE42" s="24"/>
      <c r="IF42" s="24"/>
      <c r="IG42" s="24"/>
      <c r="IH42" s="24"/>
      <c r="II42" s="24"/>
      <c r="IJ42" s="24"/>
      <c r="IK42" s="24"/>
      <c r="IL42" s="24"/>
      <c r="IM42" s="24"/>
      <c r="IN42" s="24"/>
      <c r="IO42" s="24"/>
      <c r="IP42" s="24"/>
      <c r="IQ42" s="24"/>
      <c r="IR42" s="24"/>
      <c r="IS42" s="24"/>
      <c r="IT42" s="24"/>
      <c r="IU42" s="24"/>
      <c r="IV42" s="24"/>
      <c r="IW42" s="24"/>
      <c r="IX42" s="24"/>
      <c r="IY42" s="24"/>
      <c r="IZ42" s="24"/>
      <c r="JA42" s="24"/>
      <c r="JB42" s="24"/>
      <c r="JC42" s="24"/>
      <c r="JD42" s="24"/>
      <c r="JE42" s="24"/>
      <c r="JF42" s="24"/>
      <c r="JG42" s="24"/>
      <c r="JH42" s="24"/>
      <c r="JI42" s="24"/>
      <c r="JJ42" s="24"/>
      <c r="JK42" s="24"/>
      <c r="JL42" s="24"/>
      <c r="JM42" s="24"/>
      <c r="JN42" s="24"/>
      <c r="JO42" s="24"/>
      <c r="JP42" s="24"/>
      <c r="JQ42" s="24"/>
      <c r="JR42" s="24"/>
      <c r="JS42" s="24"/>
      <c r="JT42" s="24"/>
      <c r="JU42" s="24"/>
      <c r="JV42" s="24"/>
      <c r="JW42" s="24"/>
      <c r="JX42" s="24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4"/>
      <c r="LU42" s="24"/>
      <c r="LV42" s="24"/>
      <c r="LW42" s="24"/>
      <c r="LX42" s="24"/>
      <c r="LY42" s="24"/>
      <c r="LZ42" s="24"/>
      <c r="MA42" s="24"/>
      <c r="MB42" s="24"/>
      <c r="MC42" s="24"/>
      <c r="MD42" s="24"/>
      <c r="ME42" s="24"/>
      <c r="MF42" s="24"/>
      <c r="MG42" s="24"/>
      <c r="MH42" s="24"/>
      <c r="MI42" s="24"/>
      <c r="MJ42" s="24"/>
      <c r="MK42" s="24"/>
      <c r="ML42" s="24"/>
      <c r="MM42" s="24"/>
      <c r="MN42" s="24"/>
      <c r="MO42" s="24"/>
      <c r="MP42" s="24"/>
      <c r="MQ42" s="24"/>
      <c r="MR42" s="24"/>
      <c r="MS42" s="24"/>
      <c r="MT42" s="24"/>
      <c r="MU42" s="24"/>
      <c r="MV42" s="24"/>
      <c r="MW42" s="24"/>
      <c r="MX42" s="24"/>
      <c r="MY42" s="24"/>
      <c r="MZ42" s="24"/>
      <c r="NA42" s="24"/>
      <c r="NB42" s="24"/>
      <c r="NC42" s="24"/>
      <c r="ND42" s="24"/>
      <c r="NE42" s="24"/>
      <c r="NF42" s="24"/>
      <c r="NG42" s="24"/>
      <c r="NH42" s="24"/>
      <c r="NI42" s="24"/>
      <c r="NJ42" s="24"/>
      <c r="NK42" s="24"/>
      <c r="NL42" s="24"/>
      <c r="NM42" s="24"/>
      <c r="NN42" s="24"/>
      <c r="NO42" s="24"/>
      <c r="NP42" s="24"/>
      <c r="NQ42" s="24"/>
      <c r="NR42" s="24"/>
      <c r="NS42" s="24"/>
      <c r="NT42" s="24"/>
      <c r="NU42" s="24"/>
      <c r="NV42" s="24"/>
      <c r="NW42" s="24"/>
      <c r="NX42" s="24"/>
      <c r="NY42" s="24"/>
      <c r="NZ42" s="24"/>
      <c r="OA42" s="24"/>
      <c r="OB42" s="24"/>
      <c r="OC42" s="24"/>
      <c r="OD42" s="24"/>
      <c r="OE42" s="24"/>
      <c r="OF42" s="24"/>
      <c r="OG42" s="24"/>
      <c r="OH42" s="24"/>
      <c r="OI42" s="24"/>
      <c r="OJ42" s="24"/>
      <c r="OK42" s="24"/>
      <c r="OL42" s="24"/>
      <c r="OM42" s="24"/>
      <c r="ON42" s="24"/>
      <c r="OO42" s="24"/>
      <c r="OP42" s="24"/>
      <c r="OQ42" s="24"/>
      <c r="OR42" s="24"/>
      <c r="OS42" s="24"/>
      <c r="OT42" s="24"/>
      <c r="OU42" s="24"/>
      <c r="OV42" s="24"/>
      <c r="OW42" s="24"/>
      <c r="OX42" s="24"/>
      <c r="OY42" s="24"/>
      <c r="OZ42" s="24"/>
      <c r="PA42" s="24"/>
      <c r="PB42" s="24"/>
      <c r="PC42" s="24"/>
      <c r="PD42" s="24"/>
      <c r="PE42" s="24"/>
      <c r="PF42" s="24"/>
      <c r="PG42" s="24"/>
      <c r="PH42" s="24"/>
      <c r="PI42" s="24"/>
      <c r="PJ42" s="24"/>
      <c r="PK42" s="24"/>
      <c r="PL42" s="24"/>
      <c r="PM42" s="24"/>
      <c r="PN42" s="24"/>
      <c r="PO42" s="24"/>
      <c r="PP42" s="24"/>
      <c r="PQ42" s="24"/>
      <c r="PR42" s="24"/>
      <c r="PS42" s="24"/>
      <c r="PT42" s="24"/>
      <c r="PU42" s="24"/>
      <c r="PV42" s="24"/>
      <c r="PW42" s="24"/>
      <c r="PX42" s="24"/>
      <c r="PY42" s="24"/>
      <c r="PZ42" s="24"/>
      <c r="QA42" s="24"/>
      <c r="QB42" s="24"/>
      <c r="QC42" s="24"/>
      <c r="QD42" s="24"/>
      <c r="QE42" s="24"/>
      <c r="QF42" s="24"/>
      <c r="QG42" s="24"/>
      <c r="QH42" s="24"/>
      <c r="QI42" s="24"/>
      <c r="QJ42" s="24"/>
      <c r="QK42" s="24"/>
      <c r="QL42" s="24"/>
      <c r="QM42" s="24"/>
      <c r="QN42" s="24"/>
      <c r="QO42" s="24"/>
      <c r="QP42" s="24"/>
      <c r="QQ42" s="24"/>
      <c r="QR42" s="24"/>
      <c r="QS42" s="24"/>
      <c r="QT42" s="24"/>
      <c r="QU42" s="24"/>
      <c r="QV42" s="24"/>
      <c r="QW42" s="24"/>
      <c r="QX42" s="24"/>
      <c r="QY42" s="24"/>
      <c r="QZ42" s="24"/>
      <c r="RA42" s="24"/>
      <c r="RB42" s="24"/>
      <c r="RC42" s="24"/>
      <c r="RD42" s="24"/>
      <c r="RE42" s="24"/>
      <c r="RF42" s="24"/>
      <c r="RG42" s="24"/>
      <c r="RH42" s="24"/>
      <c r="RI42" s="24"/>
      <c r="RJ42" s="24"/>
      <c r="RK42" s="24"/>
      <c r="RL42" s="24"/>
      <c r="RM42" s="24"/>
      <c r="RN42" s="24"/>
      <c r="RO42" s="24"/>
      <c r="RP42" s="24"/>
      <c r="RQ42" s="24"/>
      <c r="RR42" s="24"/>
      <c r="RS42" s="24"/>
      <c r="RT42" s="24"/>
      <c r="RU42" s="24"/>
      <c r="RV42" s="24"/>
      <c r="RW42" s="24"/>
      <c r="RX42" s="24"/>
      <c r="RY42" s="24"/>
      <c r="RZ42" s="24"/>
      <c r="SA42" s="24"/>
      <c r="SB42" s="24"/>
      <c r="SC42" s="24"/>
      <c r="SD42" s="24"/>
      <c r="SE42" s="24"/>
      <c r="SF42" s="24"/>
      <c r="SG42" s="24"/>
      <c r="SH42" s="24"/>
      <c r="SI42" s="24"/>
      <c r="SJ42" s="24"/>
      <c r="SK42" s="24"/>
      <c r="SL42" s="24"/>
      <c r="SM42" s="24"/>
      <c r="SN42" s="24"/>
      <c r="SO42" s="24"/>
      <c r="SP42" s="24"/>
      <c r="SQ42" s="24"/>
      <c r="SR42" s="24"/>
      <c r="SS42" s="24"/>
      <c r="ST42" s="24"/>
      <c r="SU42" s="24"/>
      <c r="SV42" s="24"/>
      <c r="SW42" s="24"/>
      <c r="SX42" s="24"/>
      <c r="SY42" s="24"/>
      <c r="SZ42" s="24"/>
      <c r="TA42" s="24"/>
      <c r="TB42" s="24"/>
      <c r="TC42" s="24"/>
      <c r="TD42" s="24"/>
      <c r="TE42" s="24"/>
      <c r="TF42" s="24"/>
      <c r="TG42" s="24"/>
      <c r="TH42" s="24"/>
      <c r="TI42" s="24"/>
      <c r="TJ42" s="24"/>
      <c r="TK42" s="24"/>
      <c r="TL42" s="24"/>
      <c r="TM42" s="24"/>
      <c r="TN42" s="24"/>
      <c r="TO42" s="24"/>
      <c r="TP42" s="24"/>
      <c r="TQ42" s="24"/>
      <c r="TR42" s="24"/>
      <c r="TS42" s="24"/>
      <c r="TT42" s="24"/>
      <c r="TU42" s="24"/>
      <c r="TV42" s="24"/>
      <c r="TW42" s="24"/>
      <c r="TX42" s="24"/>
      <c r="TY42" s="24"/>
      <c r="TZ42" s="24"/>
      <c r="UA42" s="24"/>
      <c r="UB42" s="24"/>
      <c r="UC42" s="24"/>
      <c r="UD42" s="24"/>
      <c r="UE42" s="24"/>
      <c r="UF42" s="24"/>
      <c r="UG42" s="24"/>
      <c r="UH42" s="24"/>
      <c r="UI42" s="24"/>
      <c r="UJ42" s="24"/>
      <c r="UK42" s="24"/>
      <c r="UL42" s="24"/>
      <c r="UM42" s="24"/>
      <c r="UN42" s="24"/>
      <c r="UO42" s="24"/>
      <c r="UP42" s="24"/>
      <c r="UQ42" s="24"/>
      <c r="UR42" s="24"/>
      <c r="US42" s="24"/>
      <c r="UT42" s="24"/>
      <c r="UU42" s="24"/>
      <c r="UV42" s="24"/>
      <c r="UW42" s="24"/>
      <c r="UX42" s="24"/>
      <c r="UY42" s="24"/>
      <c r="UZ42" s="24"/>
      <c r="VA42" s="24"/>
      <c r="VB42" s="24"/>
      <c r="VC42" s="24"/>
      <c r="VD42" s="24"/>
      <c r="VE42" s="24"/>
      <c r="VF42" s="24"/>
      <c r="VG42" s="24"/>
      <c r="VH42" s="24"/>
      <c r="VI42" s="24"/>
      <c r="VJ42" s="24"/>
      <c r="VK42" s="24"/>
      <c r="VL42" s="24"/>
      <c r="VM42" s="24"/>
      <c r="VN42" s="24"/>
      <c r="VO42" s="24"/>
      <c r="VP42" s="24"/>
      <c r="VQ42" s="24"/>
      <c r="VR42" s="24"/>
      <c r="VS42" s="24"/>
      <c r="VT42" s="24"/>
      <c r="VU42" s="24"/>
      <c r="VV42" s="24"/>
      <c r="VW42" s="24"/>
      <c r="VX42" s="24"/>
      <c r="VY42" s="24"/>
      <c r="VZ42" s="24"/>
      <c r="WA42" s="24"/>
      <c r="WB42" s="24"/>
      <c r="WC42" s="24"/>
      <c r="WD42" s="24"/>
      <c r="WE42" s="24"/>
      <c r="WF42" s="24"/>
      <c r="WG42" s="24"/>
      <c r="WH42" s="24"/>
      <c r="WI42" s="24"/>
      <c r="WJ42" s="24"/>
      <c r="WK42" s="24"/>
      <c r="WL42" s="24"/>
      <c r="WM42" s="24"/>
      <c r="WN42" s="24"/>
      <c r="WO42" s="24"/>
      <c r="WP42" s="24"/>
      <c r="WQ42" s="24"/>
      <c r="WR42" s="24"/>
      <c r="WS42" s="24"/>
      <c r="WT42" s="24"/>
      <c r="WU42" s="24"/>
      <c r="WV42" s="24"/>
      <c r="WW42" s="24"/>
      <c r="WX42" s="24"/>
      <c r="WY42" s="24"/>
      <c r="WZ42" s="24"/>
      <c r="XA42" s="24"/>
      <c r="XB42" s="24"/>
      <c r="XC42" s="24"/>
      <c r="XD42" s="24"/>
      <c r="XE42" s="24"/>
      <c r="XF42" s="24"/>
      <c r="XG42" s="24"/>
      <c r="XH42" s="24"/>
      <c r="XI42" s="24"/>
      <c r="XJ42" s="24"/>
      <c r="XK42" s="24"/>
      <c r="XL42" s="24"/>
      <c r="XM42" s="24"/>
      <c r="XN42" s="24"/>
      <c r="XO42" s="24"/>
      <c r="XP42" s="24"/>
      <c r="XQ42" s="24"/>
      <c r="XR42" s="24"/>
      <c r="XS42" s="24"/>
      <c r="XT42" s="24"/>
      <c r="XU42" s="24"/>
      <c r="XV42" s="24"/>
    </row>
    <row r="43" spans="1:646" ht="13.9" customHeight="1" x14ac:dyDescent="0.25">
      <c r="A43" s="331" t="s">
        <v>1454</v>
      </c>
      <c r="B43" s="375" t="s">
        <v>203</v>
      </c>
      <c r="C43" s="373" t="s">
        <v>116</v>
      </c>
      <c r="D43" s="32" t="s">
        <v>1159</v>
      </c>
      <c r="E43" s="334">
        <v>9311095574085</v>
      </c>
      <c r="F43" s="326">
        <v>32</v>
      </c>
      <c r="G43" s="326" t="s">
        <v>183</v>
      </c>
      <c r="H43" s="326" t="s">
        <v>35</v>
      </c>
      <c r="I43" s="327"/>
      <c r="J43" s="550"/>
      <c r="K43" s="551"/>
      <c r="L43" s="550"/>
      <c r="M43" s="550"/>
      <c r="N43" s="550"/>
      <c r="O43" s="533" t="s">
        <v>1452</v>
      </c>
      <c r="P43" s="442" t="s">
        <v>1947</v>
      </c>
      <c r="Q43" s="357" t="s">
        <v>1709</v>
      </c>
      <c r="R43" s="357" t="s">
        <v>1019</v>
      </c>
      <c r="S43" s="511" t="s">
        <v>1859</v>
      </c>
      <c r="T43" s="557" t="s">
        <v>1860</v>
      </c>
      <c r="V43" s="39"/>
      <c r="W43" s="393"/>
      <c r="X43" s="24"/>
      <c r="Y43" s="24"/>
      <c r="Z43" s="393"/>
      <c r="AA43" s="38"/>
      <c r="AB43" s="24"/>
      <c r="AC43" s="393"/>
      <c r="AD43" s="38"/>
      <c r="AE43" s="38"/>
      <c r="AF43" s="393"/>
      <c r="AG43" s="24"/>
      <c r="AH43" s="24"/>
      <c r="AI43" s="393"/>
      <c r="AJ43" s="178"/>
      <c r="AK43" s="35"/>
      <c r="AL43" s="389"/>
      <c r="AM43" s="38"/>
      <c r="AN43" s="38"/>
      <c r="AO43" s="357" t="s">
        <v>1769</v>
      </c>
      <c r="AP43" s="490" t="s">
        <v>1946</v>
      </c>
      <c r="AQ43" s="357" t="s">
        <v>923</v>
      </c>
      <c r="AR43" s="396" t="s">
        <v>1730</v>
      </c>
      <c r="AS43" s="393" t="s">
        <v>1982</v>
      </c>
      <c r="AT43" s="357" t="s">
        <v>1769</v>
      </c>
      <c r="AU43" s="490" t="s">
        <v>1946</v>
      </c>
      <c r="AV43" s="404" t="s">
        <v>1994</v>
      </c>
      <c r="AW43" s="24"/>
      <c r="AX43" s="110"/>
      <c r="AY43" s="24"/>
      <c r="AZ43" s="330"/>
      <c r="BA43" s="38"/>
      <c r="BB43" s="39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4"/>
      <c r="EC43" s="24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4"/>
      <c r="EP43" s="24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4"/>
      <c r="FC43" s="24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4"/>
      <c r="FP43" s="24"/>
      <c r="FQ43" s="24"/>
      <c r="FR43" s="24"/>
      <c r="FS43" s="24"/>
      <c r="FT43" s="24"/>
      <c r="FU43" s="24"/>
      <c r="FV43" s="24"/>
      <c r="FW43" s="24"/>
      <c r="FX43" s="24"/>
      <c r="FY43" s="24"/>
      <c r="FZ43" s="24"/>
      <c r="GA43" s="24"/>
      <c r="GB43" s="24"/>
      <c r="GC43" s="24"/>
      <c r="GD43" s="24"/>
      <c r="GE43" s="24"/>
      <c r="GF43" s="24"/>
      <c r="GG43" s="24"/>
      <c r="GH43" s="24"/>
      <c r="GI43" s="24"/>
      <c r="GJ43" s="24"/>
      <c r="GK43" s="24"/>
      <c r="GL43" s="24"/>
      <c r="GM43" s="24"/>
      <c r="GN43" s="24"/>
      <c r="GO43" s="24"/>
      <c r="GP43" s="24"/>
      <c r="GQ43" s="24"/>
      <c r="GR43" s="24"/>
      <c r="GS43" s="24"/>
      <c r="GT43" s="24"/>
      <c r="GU43" s="24"/>
      <c r="GV43" s="24"/>
      <c r="GW43" s="24"/>
      <c r="GX43" s="24"/>
      <c r="GY43" s="24"/>
      <c r="GZ43" s="24"/>
      <c r="HA43" s="24"/>
      <c r="HB43" s="24"/>
      <c r="HC43" s="24"/>
      <c r="HD43" s="24"/>
      <c r="HE43" s="24"/>
      <c r="HF43" s="24"/>
      <c r="HG43" s="24"/>
      <c r="HH43" s="24"/>
      <c r="HI43" s="24"/>
      <c r="HJ43" s="24"/>
      <c r="HK43" s="24"/>
      <c r="HL43" s="24"/>
      <c r="HM43" s="24"/>
      <c r="HN43" s="24"/>
      <c r="HO43" s="24"/>
      <c r="HP43" s="24"/>
      <c r="HQ43" s="24"/>
      <c r="HR43" s="24"/>
      <c r="HS43" s="24"/>
      <c r="HT43" s="24"/>
      <c r="HU43" s="24"/>
      <c r="HV43" s="24"/>
      <c r="HW43" s="24"/>
      <c r="HX43" s="24"/>
      <c r="HY43" s="24"/>
      <c r="HZ43" s="24"/>
      <c r="IA43" s="24"/>
      <c r="IB43" s="24"/>
      <c r="IC43" s="24"/>
      <c r="ID43" s="24"/>
      <c r="IE43" s="24"/>
      <c r="IF43" s="24"/>
      <c r="IG43" s="24"/>
      <c r="IH43" s="24"/>
      <c r="II43" s="24"/>
      <c r="IJ43" s="24"/>
      <c r="IK43" s="24"/>
      <c r="IL43" s="24"/>
      <c r="IM43" s="24"/>
      <c r="IN43" s="24"/>
      <c r="IO43" s="24"/>
      <c r="IP43" s="24"/>
      <c r="IQ43" s="24"/>
      <c r="IR43" s="24"/>
      <c r="IS43" s="24"/>
      <c r="IT43" s="24"/>
      <c r="IU43" s="24"/>
      <c r="IV43" s="24"/>
      <c r="IW43" s="24"/>
      <c r="IX43" s="24"/>
      <c r="IY43" s="24"/>
      <c r="IZ43" s="24"/>
      <c r="JA43" s="24"/>
      <c r="JB43" s="24"/>
      <c r="JC43" s="24"/>
      <c r="JD43" s="24"/>
      <c r="JE43" s="24"/>
      <c r="JF43" s="24"/>
      <c r="JG43" s="24"/>
      <c r="JH43" s="24"/>
      <c r="JI43" s="24"/>
      <c r="JJ43" s="24"/>
      <c r="JK43" s="24"/>
      <c r="JL43" s="24"/>
      <c r="JM43" s="24"/>
      <c r="JN43" s="24"/>
      <c r="JO43" s="24"/>
      <c r="JP43" s="24"/>
      <c r="JQ43" s="24"/>
      <c r="JR43" s="24"/>
      <c r="JS43" s="24"/>
      <c r="JT43" s="24"/>
      <c r="JU43" s="24"/>
      <c r="JV43" s="24"/>
      <c r="JW43" s="24"/>
      <c r="JX43" s="24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4"/>
      <c r="LU43" s="24"/>
      <c r="LV43" s="24"/>
      <c r="LW43" s="24"/>
      <c r="LX43" s="24"/>
      <c r="LY43" s="24"/>
      <c r="LZ43" s="24"/>
      <c r="MA43" s="24"/>
      <c r="MB43" s="24"/>
      <c r="MC43" s="24"/>
      <c r="MD43" s="24"/>
      <c r="ME43" s="24"/>
      <c r="MF43" s="24"/>
      <c r="MG43" s="24"/>
      <c r="MH43" s="24"/>
      <c r="MI43" s="24"/>
      <c r="MJ43" s="24"/>
      <c r="MK43" s="24"/>
      <c r="ML43" s="24"/>
      <c r="MM43" s="24"/>
      <c r="MN43" s="24"/>
      <c r="MO43" s="24"/>
      <c r="MP43" s="24"/>
      <c r="MQ43" s="24"/>
      <c r="MR43" s="24"/>
      <c r="MS43" s="24"/>
      <c r="MT43" s="24"/>
      <c r="MU43" s="24"/>
      <c r="MV43" s="24"/>
      <c r="MW43" s="24"/>
      <c r="MX43" s="24"/>
      <c r="MY43" s="24"/>
      <c r="MZ43" s="24"/>
      <c r="NA43" s="24"/>
      <c r="NB43" s="24"/>
      <c r="NC43" s="24"/>
      <c r="ND43" s="24"/>
      <c r="NE43" s="24"/>
      <c r="NF43" s="24"/>
      <c r="NG43" s="24"/>
      <c r="NH43" s="24"/>
      <c r="NI43" s="24"/>
      <c r="NJ43" s="24"/>
      <c r="NK43" s="24"/>
      <c r="NL43" s="24"/>
      <c r="NM43" s="24"/>
      <c r="NN43" s="24"/>
      <c r="NO43" s="24"/>
      <c r="NP43" s="24"/>
      <c r="NQ43" s="24"/>
      <c r="NR43" s="24"/>
      <c r="NS43" s="24"/>
      <c r="NT43" s="24"/>
      <c r="NU43" s="24"/>
      <c r="NV43" s="24"/>
      <c r="NW43" s="24"/>
      <c r="NX43" s="24"/>
      <c r="NY43" s="24"/>
      <c r="NZ43" s="24"/>
      <c r="OA43" s="24"/>
      <c r="OB43" s="24"/>
      <c r="OC43" s="24"/>
      <c r="OD43" s="24"/>
      <c r="OE43" s="24"/>
      <c r="OF43" s="24"/>
      <c r="OG43" s="24"/>
      <c r="OH43" s="24"/>
      <c r="OI43" s="24"/>
      <c r="OJ43" s="24"/>
      <c r="OK43" s="24"/>
      <c r="OL43" s="24"/>
      <c r="OM43" s="24"/>
      <c r="ON43" s="24"/>
      <c r="OO43" s="24"/>
      <c r="OP43" s="24"/>
      <c r="OQ43" s="24"/>
      <c r="OR43" s="24"/>
      <c r="OS43" s="24"/>
      <c r="OT43" s="24"/>
      <c r="OU43" s="24"/>
      <c r="OV43" s="24"/>
      <c r="OW43" s="24"/>
      <c r="OX43" s="24"/>
      <c r="OY43" s="24"/>
      <c r="OZ43" s="24"/>
      <c r="PA43" s="24"/>
      <c r="PB43" s="24"/>
      <c r="PC43" s="24"/>
      <c r="PD43" s="24"/>
      <c r="PE43" s="24"/>
      <c r="PF43" s="24"/>
      <c r="PG43" s="24"/>
      <c r="PH43" s="24"/>
      <c r="PI43" s="24"/>
      <c r="PJ43" s="24"/>
      <c r="PK43" s="24"/>
      <c r="PL43" s="24"/>
      <c r="PM43" s="24"/>
      <c r="PN43" s="24"/>
      <c r="PO43" s="24"/>
      <c r="PP43" s="24"/>
      <c r="PQ43" s="24"/>
      <c r="PR43" s="24"/>
      <c r="PS43" s="24"/>
      <c r="PT43" s="24"/>
      <c r="PU43" s="24"/>
      <c r="PV43" s="24"/>
      <c r="PW43" s="24"/>
      <c r="PX43" s="24"/>
      <c r="PY43" s="24"/>
      <c r="PZ43" s="24"/>
      <c r="QA43" s="24"/>
      <c r="QB43" s="24"/>
      <c r="QC43" s="24"/>
      <c r="QD43" s="24"/>
      <c r="QE43" s="24"/>
      <c r="QF43" s="24"/>
      <c r="QG43" s="24"/>
      <c r="QH43" s="24"/>
      <c r="QI43" s="24"/>
      <c r="QJ43" s="24"/>
      <c r="QK43" s="24"/>
      <c r="QL43" s="24"/>
      <c r="QM43" s="24"/>
      <c r="QN43" s="24"/>
      <c r="QO43" s="24"/>
      <c r="QP43" s="24"/>
      <c r="QQ43" s="24"/>
      <c r="QR43" s="24"/>
      <c r="QS43" s="24"/>
      <c r="QT43" s="24"/>
      <c r="QU43" s="24"/>
      <c r="QV43" s="24"/>
      <c r="QW43" s="24"/>
      <c r="QX43" s="24"/>
      <c r="QY43" s="24"/>
      <c r="QZ43" s="24"/>
      <c r="RA43" s="24"/>
      <c r="RB43" s="24"/>
      <c r="RC43" s="24"/>
      <c r="RD43" s="24"/>
      <c r="RE43" s="24"/>
      <c r="RF43" s="24"/>
      <c r="RG43" s="24"/>
      <c r="RH43" s="24"/>
      <c r="RI43" s="24"/>
      <c r="RJ43" s="24"/>
      <c r="RK43" s="24"/>
      <c r="RL43" s="24"/>
      <c r="RM43" s="24"/>
      <c r="RN43" s="24"/>
      <c r="RO43" s="24"/>
      <c r="RP43" s="24"/>
      <c r="RQ43" s="24"/>
      <c r="RR43" s="24"/>
      <c r="RS43" s="24"/>
      <c r="RT43" s="24"/>
      <c r="RU43" s="24"/>
      <c r="RV43" s="24"/>
      <c r="RW43" s="24"/>
      <c r="RX43" s="24"/>
      <c r="RY43" s="24"/>
      <c r="RZ43" s="24"/>
      <c r="SA43" s="24"/>
      <c r="SB43" s="24"/>
      <c r="SC43" s="24"/>
      <c r="SD43" s="24"/>
      <c r="SE43" s="24"/>
      <c r="SF43" s="24"/>
      <c r="SG43" s="24"/>
      <c r="SH43" s="24"/>
      <c r="SI43" s="24"/>
      <c r="SJ43" s="24"/>
      <c r="SK43" s="24"/>
      <c r="SL43" s="24"/>
      <c r="SM43" s="24"/>
      <c r="SN43" s="24"/>
      <c r="SO43" s="24"/>
      <c r="SP43" s="24"/>
      <c r="SQ43" s="24"/>
      <c r="SR43" s="24"/>
      <c r="SS43" s="24"/>
      <c r="ST43" s="24"/>
      <c r="SU43" s="24"/>
      <c r="SV43" s="24"/>
      <c r="SW43" s="24"/>
      <c r="SX43" s="24"/>
      <c r="SY43" s="24"/>
      <c r="SZ43" s="24"/>
      <c r="TA43" s="24"/>
      <c r="TB43" s="24"/>
      <c r="TC43" s="24"/>
      <c r="TD43" s="24"/>
      <c r="TE43" s="24"/>
      <c r="TF43" s="24"/>
      <c r="TG43" s="24"/>
      <c r="TH43" s="24"/>
      <c r="TI43" s="24"/>
      <c r="TJ43" s="24"/>
      <c r="TK43" s="24"/>
      <c r="TL43" s="24"/>
      <c r="TM43" s="24"/>
      <c r="TN43" s="24"/>
      <c r="TO43" s="24"/>
      <c r="TP43" s="24"/>
      <c r="TQ43" s="24"/>
      <c r="TR43" s="24"/>
      <c r="TS43" s="24"/>
      <c r="TT43" s="24"/>
      <c r="TU43" s="24"/>
      <c r="TV43" s="24"/>
      <c r="TW43" s="24"/>
      <c r="TX43" s="24"/>
      <c r="TY43" s="24"/>
      <c r="TZ43" s="24"/>
      <c r="UA43" s="24"/>
      <c r="UB43" s="24"/>
      <c r="UC43" s="24"/>
      <c r="UD43" s="24"/>
      <c r="UE43" s="24"/>
      <c r="UF43" s="24"/>
      <c r="UG43" s="24"/>
      <c r="UH43" s="24"/>
      <c r="UI43" s="24"/>
      <c r="UJ43" s="24"/>
      <c r="UK43" s="24"/>
      <c r="UL43" s="24"/>
      <c r="UM43" s="24"/>
      <c r="UN43" s="24"/>
      <c r="UO43" s="24"/>
      <c r="UP43" s="24"/>
      <c r="UQ43" s="24"/>
      <c r="UR43" s="24"/>
      <c r="US43" s="24"/>
      <c r="UT43" s="24"/>
      <c r="UU43" s="24"/>
      <c r="UV43" s="24"/>
      <c r="UW43" s="24"/>
      <c r="UX43" s="24"/>
      <c r="UY43" s="24"/>
      <c r="UZ43" s="24"/>
      <c r="VA43" s="24"/>
      <c r="VB43" s="24"/>
      <c r="VC43" s="24"/>
      <c r="VD43" s="24"/>
      <c r="VE43" s="24"/>
      <c r="VF43" s="24"/>
      <c r="VG43" s="24"/>
      <c r="VH43" s="24"/>
      <c r="VI43" s="24"/>
      <c r="VJ43" s="24"/>
      <c r="VK43" s="24"/>
      <c r="VL43" s="24"/>
      <c r="VM43" s="24"/>
      <c r="VN43" s="24"/>
      <c r="VO43" s="24"/>
      <c r="VP43" s="24"/>
      <c r="VQ43" s="24"/>
      <c r="VR43" s="24"/>
      <c r="VS43" s="24"/>
      <c r="VT43" s="24"/>
      <c r="VU43" s="24"/>
      <c r="VV43" s="24"/>
      <c r="VW43" s="24"/>
      <c r="VX43" s="24"/>
      <c r="VY43" s="24"/>
      <c r="VZ43" s="24"/>
      <c r="WA43" s="24"/>
      <c r="WB43" s="24"/>
      <c r="WC43" s="24"/>
      <c r="WD43" s="24"/>
      <c r="WE43" s="24"/>
      <c r="WF43" s="24"/>
      <c r="WG43" s="24"/>
      <c r="WH43" s="24"/>
      <c r="WI43" s="24"/>
      <c r="WJ43" s="24"/>
      <c r="WK43" s="24"/>
      <c r="WL43" s="24"/>
      <c r="WM43" s="24"/>
      <c r="WN43" s="24"/>
      <c r="WO43" s="24"/>
      <c r="WP43" s="24"/>
      <c r="WQ43" s="24"/>
      <c r="WR43" s="24"/>
      <c r="WS43" s="24"/>
      <c r="WT43" s="24"/>
      <c r="WU43" s="24"/>
      <c r="WV43" s="24"/>
      <c r="WW43" s="24"/>
      <c r="WX43" s="24"/>
      <c r="WY43" s="24"/>
      <c r="WZ43" s="24"/>
      <c r="XA43" s="24"/>
      <c r="XB43" s="24"/>
      <c r="XC43" s="24"/>
      <c r="XD43" s="24"/>
      <c r="XE43" s="24"/>
      <c r="XF43" s="24"/>
      <c r="XG43" s="24"/>
      <c r="XH43" s="24"/>
      <c r="XI43" s="24"/>
      <c r="XJ43" s="24"/>
      <c r="XK43" s="24"/>
      <c r="XL43" s="24"/>
      <c r="XM43" s="24"/>
      <c r="XN43" s="24"/>
      <c r="XO43" s="24"/>
      <c r="XP43" s="24"/>
      <c r="XQ43" s="24"/>
      <c r="XR43" s="24"/>
      <c r="XS43" s="24"/>
      <c r="XT43" s="24"/>
      <c r="XU43" s="24"/>
      <c r="XV43" s="24"/>
    </row>
    <row r="44" spans="1:646" s="362" customFormat="1" ht="15" customHeight="1" x14ac:dyDescent="0.25">
      <c r="A44" s="331" t="s">
        <v>1455</v>
      </c>
      <c r="B44" s="375" t="s">
        <v>1699</v>
      </c>
      <c r="C44" s="374" t="s">
        <v>1700</v>
      </c>
      <c r="D44" s="32" t="s">
        <v>1159</v>
      </c>
      <c r="E44" s="334">
        <v>8109036195080</v>
      </c>
      <c r="F44" s="326">
        <v>44</v>
      </c>
      <c r="G44" s="326" t="s">
        <v>183</v>
      </c>
      <c r="H44" s="326" t="s">
        <v>35</v>
      </c>
      <c r="I44" s="23"/>
      <c r="J44" s="476"/>
      <c r="K44" s="477"/>
      <c r="L44" s="476"/>
      <c r="M44" s="476"/>
      <c r="N44" s="476"/>
      <c r="O44" s="354" t="s">
        <v>1934</v>
      </c>
      <c r="P44" s="442" t="s">
        <v>1935</v>
      </c>
      <c r="Q44" s="442" t="s">
        <v>1867</v>
      </c>
      <c r="R44" s="354" t="s">
        <v>1019</v>
      </c>
      <c r="S44" s="406" t="s">
        <v>1868</v>
      </c>
      <c r="T44" s="389" t="s">
        <v>1869</v>
      </c>
      <c r="U44" s="23"/>
      <c r="V44" s="23"/>
      <c r="W44" s="393"/>
      <c r="X44" s="24"/>
      <c r="Y44" s="24"/>
      <c r="Z44" s="393"/>
      <c r="AA44" s="24"/>
      <c r="AB44" s="330"/>
      <c r="AC44" s="393"/>
      <c r="AD44" s="24"/>
      <c r="AE44" s="24"/>
      <c r="AF44" s="393"/>
      <c r="AG44" s="330"/>
      <c r="AH44" s="330"/>
      <c r="AI44" s="393"/>
      <c r="AJ44" s="345"/>
      <c r="AK44" s="34"/>
      <c r="AL44" s="389"/>
      <c r="AM44" s="24"/>
      <c r="AN44" s="24"/>
      <c r="AO44" s="354" t="s">
        <v>1932</v>
      </c>
      <c r="AP44" s="395" t="s">
        <v>1933</v>
      </c>
      <c r="AQ44" s="24"/>
      <c r="AR44" s="24"/>
      <c r="AS44" s="393"/>
      <c r="AT44" s="354" t="s">
        <v>1932</v>
      </c>
      <c r="AU44" s="395" t="s">
        <v>1933</v>
      </c>
      <c r="AV44" s="404" t="s">
        <v>1981</v>
      </c>
      <c r="AW44" s="23"/>
      <c r="AX44" s="110"/>
      <c r="AY44" s="24"/>
      <c r="AZ44" s="330"/>
      <c r="BA44" s="24"/>
      <c r="BB44" s="24"/>
    </row>
    <row r="45" spans="1:646" x14ac:dyDescent="0.25">
      <c r="A45" s="189" t="s">
        <v>1456</v>
      </c>
      <c r="B45" s="375" t="s">
        <v>794</v>
      </c>
      <c r="C45" s="374" t="s">
        <v>69</v>
      </c>
      <c r="D45" s="32" t="s">
        <v>1159</v>
      </c>
      <c r="E45" s="334">
        <v>8906145803086</v>
      </c>
      <c r="F45" s="326">
        <v>36</v>
      </c>
      <c r="G45" s="326" t="s">
        <v>183</v>
      </c>
      <c r="H45" s="326" t="s">
        <v>35</v>
      </c>
      <c r="J45" s="476"/>
      <c r="K45" s="477"/>
      <c r="L45" s="476"/>
      <c r="M45" s="476"/>
      <c r="N45" s="476"/>
      <c r="O45" s="354" t="s">
        <v>1835</v>
      </c>
      <c r="P45" s="442" t="s">
        <v>1836</v>
      </c>
      <c r="Q45" s="442" t="s">
        <v>1709</v>
      </c>
      <c r="R45" s="354" t="s">
        <v>1019</v>
      </c>
      <c r="S45" s="406" t="s">
        <v>1859</v>
      </c>
      <c r="T45" s="389" t="s">
        <v>1860</v>
      </c>
      <c r="W45" s="393"/>
      <c r="X45" s="24"/>
      <c r="Y45" s="24"/>
      <c r="Z45" s="393"/>
      <c r="AA45" s="24"/>
      <c r="AB45" s="330"/>
      <c r="AC45" s="393"/>
      <c r="AD45" s="24"/>
      <c r="AE45" s="24"/>
      <c r="AF45" s="393"/>
      <c r="AG45" s="330"/>
      <c r="AH45" s="330"/>
      <c r="AI45" s="393"/>
      <c r="AJ45" s="345"/>
      <c r="AK45" s="34"/>
      <c r="AL45" s="389"/>
      <c r="AM45" s="24"/>
      <c r="AN45" s="24"/>
      <c r="AO45" s="354" t="s">
        <v>1812</v>
      </c>
      <c r="AP45" s="395" t="s">
        <v>1813</v>
      </c>
      <c r="AQ45" s="24"/>
      <c r="AR45" s="24"/>
      <c r="AS45" s="393"/>
      <c r="AT45" s="354" t="s">
        <v>1849</v>
      </c>
      <c r="AU45" s="395" t="s">
        <v>1850</v>
      </c>
      <c r="AV45" s="404" t="s">
        <v>1851</v>
      </c>
      <c r="AW45" s="23"/>
      <c r="AX45" s="110"/>
      <c r="AY45" s="24"/>
      <c r="AZ45" s="330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</row>
    <row r="46" spans="1:646" x14ac:dyDescent="0.25">
      <c r="A46" s="331" t="s">
        <v>1457</v>
      </c>
      <c r="B46" s="374" t="s">
        <v>1418</v>
      </c>
      <c r="C46" s="374" t="s">
        <v>68</v>
      </c>
      <c r="D46" s="32" t="s">
        <v>1159</v>
      </c>
      <c r="E46" s="334" t="s">
        <v>1436</v>
      </c>
      <c r="F46" s="326">
        <v>38</v>
      </c>
      <c r="G46" s="326" t="s">
        <v>183</v>
      </c>
      <c r="H46" s="326" t="s">
        <v>35</v>
      </c>
      <c r="J46" s="476"/>
      <c r="K46" s="477"/>
      <c r="L46" s="476"/>
      <c r="M46" s="476"/>
      <c r="N46" s="476"/>
      <c r="O46" s="354" t="s">
        <v>1711</v>
      </c>
      <c r="P46" s="442" t="s">
        <v>1712</v>
      </c>
      <c r="Q46" s="442" t="s">
        <v>1709</v>
      </c>
      <c r="R46" s="442" t="s">
        <v>1527</v>
      </c>
      <c r="S46" s="406" t="s">
        <v>1859</v>
      </c>
      <c r="T46" s="389" t="s">
        <v>1860</v>
      </c>
      <c r="U46" s="330"/>
      <c r="W46" s="393"/>
      <c r="X46" s="24"/>
      <c r="Y46" s="24"/>
      <c r="Z46" s="393"/>
      <c r="AA46" s="24" t="s">
        <v>238</v>
      </c>
      <c r="AB46" s="24"/>
      <c r="AC46" s="393"/>
      <c r="AD46" s="24"/>
      <c r="AE46" s="24"/>
      <c r="AF46" s="393"/>
      <c r="AG46" s="24"/>
      <c r="AH46" s="24"/>
      <c r="AI46" s="393"/>
      <c r="AJ46" s="442"/>
      <c r="AK46" s="395"/>
      <c r="AL46" s="389"/>
      <c r="AM46" s="24"/>
      <c r="AN46" s="24"/>
      <c r="AO46" s="442" t="s">
        <v>1911</v>
      </c>
      <c r="AP46" s="395" t="s">
        <v>1912</v>
      </c>
      <c r="AQ46" s="24"/>
      <c r="AR46" s="24"/>
      <c r="AS46" s="393"/>
      <c r="AT46" s="354" t="s">
        <v>1911</v>
      </c>
      <c r="AU46" s="395" t="s">
        <v>1912</v>
      </c>
      <c r="AV46" s="404" t="s">
        <v>1992</v>
      </c>
      <c r="AW46" s="23"/>
      <c r="AX46" s="110"/>
      <c r="AY46" s="24"/>
      <c r="AZ46" s="330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</row>
    <row r="47" spans="1:646" x14ac:dyDescent="0.25">
      <c r="A47" s="331" t="s">
        <v>1458</v>
      </c>
      <c r="B47" s="375" t="s">
        <v>831</v>
      </c>
      <c r="C47" s="375" t="s">
        <v>72</v>
      </c>
      <c r="D47" s="32" t="s">
        <v>1159</v>
      </c>
      <c r="E47" s="334" t="s">
        <v>278</v>
      </c>
      <c r="F47" s="326">
        <v>46</v>
      </c>
      <c r="G47" s="326" t="s">
        <v>183</v>
      </c>
      <c r="H47" s="326" t="s">
        <v>35</v>
      </c>
      <c r="I47" s="327"/>
      <c r="J47" s="550"/>
      <c r="K47" s="551"/>
      <c r="L47" s="550"/>
      <c r="M47" s="550"/>
      <c r="N47" s="550"/>
      <c r="O47" s="495" t="s">
        <v>1796</v>
      </c>
      <c r="P47" s="497" t="s">
        <v>1797</v>
      </c>
      <c r="Q47" s="354" t="s">
        <v>1709</v>
      </c>
      <c r="R47" s="354" t="s">
        <v>1019</v>
      </c>
      <c r="S47" s="406" t="s">
        <v>1859</v>
      </c>
      <c r="T47" s="389" t="s">
        <v>1860</v>
      </c>
      <c r="U47" s="24"/>
      <c r="V47" s="330"/>
      <c r="W47" s="393"/>
      <c r="X47" s="24"/>
      <c r="Y47" s="24"/>
      <c r="Z47" s="393"/>
      <c r="AA47" s="330"/>
      <c r="AB47" s="24"/>
      <c r="AC47" s="393"/>
      <c r="AD47" s="330"/>
      <c r="AE47" s="330"/>
      <c r="AF47" s="393"/>
      <c r="AG47" s="24"/>
      <c r="AH47" s="24"/>
      <c r="AI47" s="393"/>
      <c r="AJ47" s="442" t="s">
        <v>1907</v>
      </c>
      <c r="AK47" s="395" t="s">
        <v>1908</v>
      </c>
      <c r="AL47" s="389" t="s">
        <v>1983</v>
      </c>
      <c r="AM47" s="330"/>
      <c r="AN47" s="330"/>
      <c r="AO47" s="330"/>
      <c r="AP47" s="395"/>
      <c r="AQ47" s="330"/>
      <c r="AR47" s="330"/>
      <c r="AS47" s="393"/>
      <c r="AT47" s="354" t="s">
        <v>1907</v>
      </c>
      <c r="AU47" s="395" t="s">
        <v>1908</v>
      </c>
      <c r="AV47" s="404" t="s">
        <v>1983</v>
      </c>
      <c r="AW47" s="24"/>
      <c r="AX47" s="110"/>
      <c r="AY47" s="24"/>
      <c r="AZ47" s="330"/>
      <c r="BA47" s="330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</row>
    <row r="48" spans="1:646" ht="12" x14ac:dyDescent="0.2">
      <c r="A48" s="331" t="s">
        <v>1459</v>
      </c>
      <c r="B48" s="375" t="s">
        <v>41</v>
      </c>
      <c r="C48" s="375" t="s">
        <v>1804</v>
      </c>
      <c r="D48" s="32" t="s">
        <v>1159</v>
      </c>
      <c r="E48" s="333">
        <v>9801046005080</v>
      </c>
      <c r="F48" s="330">
        <v>27</v>
      </c>
      <c r="G48" s="326" t="s">
        <v>183</v>
      </c>
      <c r="H48" s="326" t="s">
        <v>35</v>
      </c>
      <c r="I48" s="24"/>
      <c r="J48" s="480"/>
      <c r="K48" s="481"/>
      <c r="L48" s="480"/>
      <c r="M48" s="480"/>
      <c r="N48" s="480"/>
      <c r="O48" s="354" t="s">
        <v>1805</v>
      </c>
      <c r="P48" s="354" t="s">
        <v>1838</v>
      </c>
      <c r="Q48" s="442" t="s">
        <v>1806</v>
      </c>
      <c r="R48" s="354" t="s">
        <v>1019</v>
      </c>
      <c r="S48" s="406" t="s">
        <v>1807</v>
      </c>
      <c r="T48" s="389" t="s">
        <v>1808</v>
      </c>
      <c r="U48" s="24"/>
      <c r="V48" s="24"/>
      <c r="W48" s="393"/>
      <c r="Z48" s="393"/>
      <c r="AA48" s="24"/>
      <c r="AB48" s="24"/>
      <c r="AC48" s="393"/>
      <c r="AD48" s="24"/>
      <c r="AE48" s="24"/>
      <c r="AF48" s="393"/>
      <c r="AG48" s="24"/>
      <c r="AH48" s="24"/>
      <c r="AI48" s="393"/>
      <c r="AJ48" s="442"/>
      <c r="AK48" s="330"/>
      <c r="AL48" s="389"/>
      <c r="AM48" s="24"/>
      <c r="AN48" s="24"/>
      <c r="AO48" s="442" t="s">
        <v>1812</v>
      </c>
      <c r="AP48" s="395" t="s">
        <v>1813</v>
      </c>
      <c r="AQ48" s="24"/>
      <c r="AR48" s="24"/>
      <c r="AS48" s="393"/>
      <c r="AT48" s="442" t="s">
        <v>1816</v>
      </c>
      <c r="AU48" s="395" t="s">
        <v>1817</v>
      </c>
      <c r="AV48" s="404" t="s">
        <v>2013</v>
      </c>
      <c r="AW48" s="24"/>
      <c r="AX48" s="24"/>
      <c r="AY48" s="24"/>
      <c r="AZ48" s="330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</row>
    <row r="49" spans="1:119" s="514" customFormat="1" ht="15" customHeight="1" x14ac:dyDescent="0.2">
      <c r="A49" s="189" t="s">
        <v>1864</v>
      </c>
      <c r="B49" s="375" t="s">
        <v>47</v>
      </c>
      <c r="C49" s="375" t="s">
        <v>1809</v>
      </c>
      <c r="D49" s="32" t="s">
        <v>1159</v>
      </c>
      <c r="E49" s="333">
        <v>8803295425085</v>
      </c>
      <c r="F49" s="330">
        <v>37</v>
      </c>
      <c r="G49" s="326" t="s">
        <v>183</v>
      </c>
      <c r="H49" s="28" t="s">
        <v>35</v>
      </c>
      <c r="I49" s="24"/>
      <c r="J49" s="480"/>
      <c r="K49" s="481"/>
      <c r="L49" s="480"/>
      <c r="M49" s="480"/>
      <c r="N49" s="480"/>
      <c r="O49" s="354" t="s">
        <v>1810</v>
      </c>
      <c r="P49" s="354" t="s">
        <v>1811</v>
      </c>
      <c r="Q49" s="442" t="s">
        <v>1709</v>
      </c>
      <c r="R49" s="354" t="s">
        <v>1019</v>
      </c>
      <c r="S49" s="406" t="s">
        <v>1859</v>
      </c>
      <c r="T49" s="389" t="s">
        <v>1860</v>
      </c>
      <c r="U49" s="24"/>
      <c r="V49" s="24"/>
      <c r="W49" s="393"/>
      <c r="X49" s="23"/>
      <c r="Y49" s="23"/>
      <c r="Z49" s="393"/>
      <c r="AA49" s="24"/>
      <c r="AB49" s="24"/>
      <c r="AC49" s="393"/>
      <c r="AD49" s="24"/>
      <c r="AE49" s="24"/>
      <c r="AF49" s="393"/>
      <c r="AG49" s="24"/>
      <c r="AH49" s="24"/>
      <c r="AI49" s="393"/>
      <c r="AJ49" s="442"/>
      <c r="AK49" s="330"/>
      <c r="AL49" s="389"/>
      <c r="AM49" s="24"/>
      <c r="AN49" s="24"/>
      <c r="AO49" s="24"/>
      <c r="AP49" s="24"/>
      <c r="AQ49" s="442" t="s">
        <v>1814</v>
      </c>
      <c r="AR49" s="395" t="s">
        <v>1815</v>
      </c>
      <c r="AS49" s="393" t="s">
        <v>2036</v>
      </c>
      <c r="AT49" s="442" t="s">
        <v>1816</v>
      </c>
      <c r="AU49" s="395" t="s">
        <v>1817</v>
      </c>
      <c r="AV49" s="404" t="s">
        <v>2013</v>
      </c>
      <c r="AW49" s="24"/>
      <c r="AX49" s="24"/>
      <c r="AY49" s="24"/>
      <c r="AZ49" s="330"/>
      <c r="BA49" s="24"/>
      <c r="BB49" s="24"/>
      <c r="BC49" s="24"/>
      <c r="BD49" s="24"/>
      <c r="BE49" s="24"/>
      <c r="BF49" s="24"/>
      <c r="BG49" s="362"/>
      <c r="BH49" s="362"/>
      <c r="BI49" s="362"/>
      <c r="BJ49" s="362"/>
      <c r="BK49" s="362"/>
      <c r="BL49" s="362"/>
      <c r="BM49" s="362"/>
      <c r="BN49" s="362"/>
      <c r="BO49" s="362"/>
      <c r="BP49" s="362"/>
      <c r="BQ49" s="362"/>
      <c r="BR49" s="362"/>
      <c r="BS49" s="362"/>
      <c r="BT49" s="362"/>
      <c r="BU49" s="362"/>
      <c r="BV49" s="362"/>
      <c r="BW49" s="362"/>
      <c r="BX49" s="362"/>
      <c r="BY49" s="362"/>
      <c r="BZ49" s="362"/>
      <c r="CA49" s="362"/>
      <c r="CB49" s="362"/>
      <c r="CC49" s="362"/>
      <c r="CD49" s="362"/>
      <c r="CE49" s="362"/>
      <c r="CF49" s="362"/>
      <c r="CG49" s="362"/>
      <c r="CH49" s="362"/>
      <c r="CI49" s="362"/>
      <c r="CJ49" s="362"/>
      <c r="CK49" s="362"/>
      <c r="CL49" s="362"/>
      <c r="CM49" s="362"/>
      <c r="CN49" s="362"/>
      <c r="CO49" s="362"/>
      <c r="CP49" s="362"/>
      <c r="CQ49" s="362"/>
      <c r="CR49" s="362"/>
      <c r="CS49" s="362"/>
      <c r="CT49" s="362"/>
      <c r="CU49" s="362"/>
      <c r="CV49" s="362"/>
      <c r="CW49" s="362"/>
      <c r="CX49" s="362"/>
      <c r="CY49" s="362"/>
      <c r="CZ49" s="362"/>
      <c r="DA49" s="362"/>
      <c r="DB49" s="362"/>
      <c r="DC49" s="362"/>
      <c r="DD49" s="362"/>
      <c r="DE49" s="362"/>
      <c r="DF49" s="362"/>
      <c r="DG49" s="362"/>
      <c r="DH49" s="362"/>
      <c r="DI49" s="362"/>
      <c r="DJ49" s="362"/>
      <c r="DK49" s="362"/>
      <c r="DL49" s="362"/>
      <c r="DM49" s="362"/>
      <c r="DN49" s="362"/>
      <c r="DO49" s="362"/>
    </row>
    <row r="50" spans="1:119" s="514" customFormat="1" ht="15" customHeight="1" x14ac:dyDescent="0.2">
      <c r="A50" s="331" t="s">
        <v>1461</v>
      </c>
      <c r="B50" s="375" t="s">
        <v>1861</v>
      </c>
      <c r="C50" s="375" t="s">
        <v>1862</v>
      </c>
      <c r="D50" s="32" t="s">
        <v>1159</v>
      </c>
      <c r="E50" s="333">
        <v>8109065686082</v>
      </c>
      <c r="F50" s="330">
        <v>45</v>
      </c>
      <c r="G50" s="326" t="s">
        <v>183</v>
      </c>
      <c r="H50" s="28" t="s">
        <v>35</v>
      </c>
      <c r="I50" s="24"/>
      <c r="J50" s="480"/>
      <c r="K50" s="481"/>
      <c r="L50" s="480"/>
      <c r="M50" s="480"/>
      <c r="N50" s="480"/>
      <c r="O50" s="354" t="s">
        <v>1891</v>
      </c>
      <c r="P50" s="354" t="s">
        <v>1892</v>
      </c>
      <c r="Q50" s="442" t="s">
        <v>1885</v>
      </c>
      <c r="R50" s="354" t="s">
        <v>1019</v>
      </c>
      <c r="S50" s="406" t="s">
        <v>1711</v>
      </c>
      <c r="T50" s="389" t="s">
        <v>1886</v>
      </c>
      <c r="U50" s="24"/>
      <c r="V50" s="24"/>
      <c r="W50" s="393"/>
      <c r="X50" s="23"/>
      <c r="Y50" s="23"/>
      <c r="Z50" s="393"/>
      <c r="AA50" s="24"/>
      <c r="AB50" s="24"/>
      <c r="AC50" s="393"/>
      <c r="AD50" s="24"/>
      <c r="AE50" s="24"/>
      <c r="AF50" s="393"/>
      <c r="AG50" s="24"/>
      <c r="AH50" s="24"/>
      <c r="AI50" s="393"/>
      <c r="AJ50" s="442"/>
      <c r="AK50" s="330"/>
      <c r="AL50" s="389"/>
      <c r="AM50" s="24"/>
      <c r="AN50" s="24"/>
      <c r="AO50" s="442" t="s">
        <v>1887</v>
      </c>
      <c r="AP50" s="395" t="s">
        <v>1888</v>
      </c>
      <c r="AQ50" s="442"/>
      <c r="AR50" s="395"/>
      <c r="AS50" s="393"/>
      <c r="AT50" s="442" t="s">
        <v>1889</v>
      </c>
      <c r="AU50" s="395" t="s">
        <v>1890</v>
      </c>
      <c r="AV50" s="404" t="s">
        <v>1899</v>
      </c>
      <c r="AW50" s="24"/>
      <c r="AX50" s="24"/>
      <c r="AY50" s="24"/>
      <c r="AZ50" s="330"/>
      <c r="BA50" s="24"/>
      <c r="BB50" s="24"/>
      <c r="BC50" s="24"/>
      <c r="BD50" s="24"/>
      <c r="BE50" s="24"/>
      <c r="BF50" s="24"/>
      <c r="BG50" s="362"/>
      <c r="BH50" s="362"/>
      <c r="BI50" s="362"/>
      <c r="BJ50" s="362"/>
      <c r="BK50" s="362"/>
      <c r="BL50" s="362"/>
      <c r="BM50" s="362"/>
      <c r="BN50" s="362"/>
      <c r="BO50" s="362"/>
      <c r="BP50" s="362"/>
      <c r="BQ50" s="362"/>
      <c r="BR50" s="362"/>
      <c r="BS50" s="362"/>
      <c r="BT50" s="362"/>
      <c r="BU50" s="362"/>
      <c r="BV50" s="362"/>
      <c r="BW50" s="362"/>
      <c r="BX50" s="362"/>
      <c r="BY50" s="362"/>
      <c r="BZ50" s="362"/>
      <c r="CA50" s="362"/>
      <c r="CB50" s="362"/>
      <c r="CC50" s="362"/>
      <c r="CD50" s="362"/>
      <c r="CE50" s="362"/>
      <c r="CF50" s="362"/>
      <c r="CG50" s="362"/>
      <c r="CH50" s="362"/>
      <c r="CI50" s="362"/>
      <c r="CJ50" s="362"/>
      <c r="CK50" s="362"/>
      <c r="CL50" s="362"/>
      <c r="CM50" s="362"/>
      <c r="CN50" s="362"/>
      <c r="CO50" s="362"/>
      <c r="CP50" s="362"/>
      <c r="CQ50" s="362"/>
      <c r="CR50" s="362"/>
      <c r="CS50" s="362"/>
      <c r="CT50" s="362"/>
      <c r="CU50" s="362"/>
      <c r="CV50" s="362"/>
      <c r="CW50" s="362"/>
      <c r="CX50" s="362"/>
      <c r="CY50" s="362"/>
      <c r="CZ50" s="362"/>
      <c r="DA50" s="362"/>
      <c r="DB50" s="362"/>
      <c r="DC50" s="362"/>
      <c r="DD50" s="362"/>
      <c r="DE50" s="362"/>
      <c r="DF50" s="362"/>
      <c r="DG50" s="362"/>
      <c r="DH50" s="362"/>
      <c r="DI50" s="362"/>
      <c r="DJ50" s="362"/>
      <c r="DK50" s="362"/>
      <c r="DL50" s="362"/>
      <c r="DM50" s="362"/>
      <c r="DN50" s="362"/>
      <c r="DO50" s="362"/>
    </row>
    <row r="51" spans="1:119" s="24" customFormat="1" ht="13.5" customHeight="1" x14ac:dyDescent="0.2">
      <c r="A51" s="189" t="s">
        <v>1462</v>
      </c>
      <c r="B51" s="375" t="s">
        <v>1698</v>
      </c>
      <c r="C51" s="375" t="s">
        <v>84</v>
      </c>
      <c r="D51" s="32" t="s">
        <v>1159</v>
      </c>
      <c r="E51" s="333">
        <v>8409075839089</v>
      </c>
      <c r="F51" s="330">
        <v>40</v>
      </c>
      <c r="G51" s="326" t="s">
        <v>183</v>
      </c>
      <c r="H51" s="326" t="s">
        <v>35</v>
      </c>
      <c r="J51" s="480"/>
      <c r="K51" s="481"/>
      <c r="L51" s="480"/>
      <c r="M51" s="480"/>
      <c r="N51" s="480"/>
      <c r="O51" s="354" t="s">
        <v>1833</v>
      </c>
      <c r="P51" s="354" t="s">
        <v>1834</v>
      </c>
      <c r="Q51" s="442" t="s">
        <v>1709</v>
      </c>
      <c r="R51" s="354" t="s">
        <v>1019</v>
      </c>
      <c r="S51" s="406" t="s">
        <v>1859</v>
      </c>
      <c r="T51" s="389" t="s">
        <v>1860</v>
      </c>
      <c r="U51" s="23"/>
      <c r="W51" s="393"/>
      <c r="X51" s="23"/>
      <c r="Y51" s="23"/>
      <c r="Z51" s="393"/>
      <c r="AB51" s="23"/>
      <c r="AC51" s="393"/>
      <c r="AF51" s="393"/>
      <c r="AG51" s="330"/>
      <c r="AH51" s="330"/>
      <c r="AI51" s="393"/>
      <c r="AJ51" s="442"/>
      <c r="AK51" s="330"/>
      <c r="AL51" s="389"/>
      <c r="AO51" s="442" t="s">
        <v>1999</v>
      </c>
      <c r="AP51" s="395" t="s">
        <v>2022</v>
      </c>
      <c r="AQ51" s="354"/>
      <c r="AR51" s="395"/>
      <c r="AS51" s="393"/>
      <c r="AT51" s="442" t="s">
        <v>1999</v>
      </c>
      <c r="AU51" s="395" t="s">
        <v>2000</v>
      </c>
      <c r="AV51" s="404" t="s">
        <v>1984</v>
      </c>
      <c r="AZ51" s="330"/>
    </row>
    <row r="52" spans="1:119" s="24" customFormat="1" ht="13.5" customHeight="1" x14ac:dyDescent="0.25">
      <c r="A52" s="331" t="s">
        <v>1463</v>
      </c>
      <c r="B52" s="374" t="s">
        <v>1429</v>
      </c>
      <c r="C52" s="374" t="s">
        <v>84</v>
      </c>
      <c r="D52" s="32" t="s">
        <v>1159</v>
      </c>
      <c r="E52" s="334" t="s">
        <v>1434</v>
      </c>
      <c r="F52" s="326">
        <v>38</v>
      </c>
      <c r="G52" s="326" t="s">
        <v>183</v>
      </c>
      <c r="H52" s="326" t="s">
        <v>35</v>
      </c>
      <c r="I52" s="23"/>
      <c r="J52" s="476"/>
      <c r="K52" s="477"/>
      <c r="L52" s="476"/>
      <c r="M52" s="476"/>
      <c r="N52" s="476"/>
      <c r="O52" s="354" t="s">
        <v>1971</v>
      </c>
      <c r="P52" s="442" t="s">
        <v>1972</v>
      </c>
      <c r="Q52" s="442" t="s">
        <v>1709</v>
      </c>
      <c r="R52" s="354" t="s">
        <v>1019</v>
      </c>
      <c r="S52" s="406" t="s">
        <v>1859</v>
      </c>
      <c r="T52" s="389" t="s">
        <v>1860</v>
      </c>
      <c r="U52" s="23"/>
      <c r="V52" s="23"/>
      <c r="W52" s="393"/>
      <c r="X52" s="23"/>
      <c r="Y52" s="23"/>
      <c r="Z52" s="393"/>
      <c r="AA52" s="23"/>
      <c r="AB52" s="23"/>
      <c r="AC52" s="393"/>
      <c r="AD52" s="23"/>
      <c r="AE52" s="23"/>
      <c r="AF52" s="393"/>
      <c r="AG52" s="330"/>
      <c r="AH52" s="330"/>
      <c r="AI52" s="393"/>
      <c r="AJ52" s="442" t="s">
        <v>1907</v>
      </c>
      <c r="AK52" s="395" t="s">
        <v>1973</v>
      </c>
      <c r="AL52" s="389" t="s">
        <v>1983</v>
      </c>
      <c r="AN52" s="23"/>
      <c r="AO52" s="442"/>
      <c r="AP52" s="395"/>
      <c r="AQ52" s="23"/>
      <c r="AR52" s="23"/>
      <c r="AS52" s="393"/>
      <c r="AT52" s="354" t="s">
        <v>1907</v>
      </c>
      <c r="AU52" s="395" t="s">
        <v>1908</v>
      </c>
      <c r="AV52" s="404" t="s">
        <v>1983</v>
      </c>
      <c r="AW52" s="23"/>
      <c r="AX52" s="110"/>
      <c r="AZ52" s="330"/>
      <c r="BA52" s="28"/>
    </row>
    <row r="53" spans="1:119" x14ac:dyDescent="0.25">
      <c r="A53" s="331" t="s">
        <v>1464</v>
      </c>
      <c r="B53" s="374" t="s">
        <v>1353</v>
      </c>
      <c r="C53" s="374" t="s">
        <v>93</v>
      </c>
      <c r="D53" s="32" t="s">
        <v>1159</v>
      </c>
      <c r="E53" s="334" t="s">
        <v>1397</v>
      </c>
      <c r="F53" s="326">
        <v>37</v>
      </c>
      <c r="G53" s="326" t="s">
        <v>183</v>
      </c>
      <c r="H53" s="326" t="s">
        <v>35</v>
      </c>
      <c r="J53" s="476"/>
      <c r="K53" s="477"/>
      <c r="L53" s="476"/>
      <c r="M53" s="476"/>
      <c r="N53" s="476"/>
      <c r="O53" s="442" t="s">
        <v>1687</v>
      </c>
      <c r="P53" s="442" t="s">
        <v>1688</v>
      </c>
      <c r="Q53" s="442" t="s">
        <v>1709</v>
      </c>
      <c r="R53" s="354" t="s">
        <v>1019</v>
      </c>
      <c r="S53" s="406" t="s">
        <v>1859</v>
      </c>
      <c r="T53" s="389" t="s">
        <v>1860</v>
      </c>
      <c r="W53" s="393"/>
      <c r="X53" s="330"/>
      <c r="Y53" s="330"/>
      <c r="Z53" s="393"/>
      <c r="AC53" s="393"/>
      <c r="AF53" s="393"/>
      <c r="AI53" s="393"/>
      <c r="AJ53" s="442" t="s">
        <v>2015</v>
      </c>
      <c r="AK53" s="395" t="s">
        <v>2016</v>
      </c>
      <c r="AL53" s="389" t="s">
        <v>2037</v>
      </c>
      <c r="AM53" s="24"/>
      <c r="AO53" s="442" t="s">
        <v>1717</v>
      </c>
      <c r="AP53" s="395" t="s">
        <v>1728</v>
      </c>
      <c r="AQ53" s="330"/>
      <c r="AR53" s="330"/>
      <c r="AS53" s="393"/>
      <c r="AT53" s="354" t="s">
        <v>1718</v>
      </c>
      <c r="AU53" s="395" t="s">
        <v>1719</v>
      </c>
      <c r="AV53" s="404" t="s">
        <v>2001</v>
      </c>
      <c r="AW53" s="23"/>
      <c r="AX53" s="110"/>
      <c r="AY53" s="24"/>
      <c r="AZ53" s="330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</row>
    <row r="54" spans="1:119" x14ac:dyDescent="0.25">
      <c r="A54" s="331" t="s">
        <v>1465</v>
      </c>
      <c r="B54" s="374" t="s">
        <v>160</v>
      </c>
      <c r="C54" s="374" t="s">
        <v>96</v>
      </c>
      <c r="D54" s="32" t="s">
        <v>1159</v>
      </c>
      <c r="E54" s="334" t="s">
        <v>1433</v>
      </c>
      <c r="F54" s="326">
        <v>49</v>
      </c>
      <c r="G54" s="326" t="s">
        <v>183</v>
      </c>
      <c r="H54" s="326" t="s">
        <v>35</v>
      </c>
      <c r="J54" s="476"/>
      <c r="K54" s="477"/>
      <c r="L54" s="476"/>
      <c r="M54" s="476"/>
      <c r="N54" s="476"/>
      <c r="O54" s="533" t="s">
        <v>1452</v>
      </c>
      <c r="P54" s="442" t="s">
        <v>1628</v>
      </c>
      <c r="Q54" s="442" t="s">
        <v>1603</v>
      </c>
      <c r="R54" s="533" t="s">
        <v>1519</v>
      </c>
      <c r="S54" s="406" t="s">
        <v>1669</v>
      </c>
      <c r="T54" s="389" t="s">
        <v>1424</v>
      </c>
      <c r="W54" s="393"/>
      <c r="X54" s="24"/>
      <c r="Y54" s="24"/>
      <c r="Z54" s="393"/>
      <c r="AB54" s="24"/>
      <c r="AC54" s="393"/>
      <c r="AF54" s="393"/>
      <c r="AI54" s="393"/>
      <c r="AJ54" s="442"/>
      <c r="AK54" s="395"/>
      <c r="AL54" s="389"/>
      <c r="AM54" s="24"/>
      <c r="AN54" s="24"/>
      <c r="AO54" s="442" t="s">
        <v>1939</v>
      </c>
      <c r="AP54" s="395" t="s">
        <v>1940</v>
      </c>
      <c r="AS54" s="393"/>
      <c r="AT54" s="354" t="s">
        <v>1939</v>
      </c>
      <c r="AU54" s="395" t="s">
        <v>1940</v>
      </c>
      <c r="AV54" s="404" t="s">
        <v>1997</v>
      </c>
      <c r="AW54" s="23"/>
      <c r="AX54" s="110"/>
      <c r="AY54" s="24"/>
      <c r="AZ54" s="330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</row>
    <row r="55" spans="1:119" ht="12" x14ac:dyDescent="0.2">
      <c r="A55" s="331" t="s">
        <v>1466</v>
      </c>
      <c r="B55" s="374" t="s">
        <v>1430</v>
      </c>
      <c r="C55" s="374" t="s">
        <v>1863</v>
      </c>
      <c r="D55" s="32" t="s">
        <v>1159</v>
      </c>
      <c r="E55" s="574">
        <v>8711245732080</v>
      </c>
      <c r="F55" s="326">
        <v>39</v>
      </c>
      <c r="G55" s="326" t="s">
        <v>183</v>
      </c>
      <c r="H55" s="326" t="s">
        <v>35</v>
      </c>
      <c r="O55" s="354" t="s">
        <v>1893</v>
      </c>
      <c r="P55" s="354" t="s">
        <v>1894</v>
      </c>
      <c r="Q55" s="354" t="s">
        <v>1885</v>
      </c>
      <c r="R55" s="354" t="s">
        <v>1019</v>
      </c>
      <c r="S55" s="406" t="s">
        <v>1711</v>
      </c>
      <c r="T55" s="389" t="s">
        <v>1886</v>
      </c>
      <c r="W55" s="393"/>
      <c r="Z55" s="393"/>
      <c r="AC55" s="393"/>
      <c r="AF55" s="393"/>
      <c r="AI55" s="393"/>
      <c r="AJ55" s="178"/>
      <c r="AL55" s="389"/>
      <c r="AS55" s="393"/>
      <c r="AT55" s="354" t="s">
        <v>1889</v>
      </c>
      <c r="AU55" s="395" t="s">
        <v>1899</v>
      </c>
      <c r="AV55" s="404" t="s">
        <v>1899</v>
      </c>
      <c r="AW55" s="23"/>
    </row>
    <row r="56" spans="1:119" x14ac:dyDescent="0.25">
      <c r="A56" s="331" t="s">
        <v>1467</v>
      </c>
      <c r="B56" s="374" t="s">
        <v>845</v>
      </c>
      <c r="C56" s="373" t="s">
        <v>102</v>
      </c>
      <c r="D56" s="32" t="s">
        <v>1159</v>
      </c>
      <c r="E56" s="334" t="s">
        <v>1388</v>
      </c>
      <c r="F56" s="326">
        <v>47</v>
      </c>
      <c r="G56" s="326" t="s">
        <v>183</v>
      </c>
      <c r="H56" s="326" t="s">
        <v>35</v>
      </c>
      <c r="J56" s="476"/>
      <c r="K56" s="477"/>
      <c r="L56" s="476"/>
      <c r="M56" s="476"/>
      <c r="N56" s="476"/>
      <c r="O56" s="354" t="s">
        <v>1823</v>
      </c>
      <c r="P56" s="442" t="s">
        <v>1941</v>
      </c>
      <c r="Q56" s="354" t="s">
        <v>1603</v>
      </c>
      <c r="R56" s="354" t="s">
        <v>1019</v>
      </c>
      <c r="S56" s="406" t="s">
        <v>1669</v>
      </c>
      <c r="T56" s="547" t="s">
        <v>1424</v>
      </c>
      <c r="W56" s="393"/>
      <c r="X56" s="24"/>
      <c r="Y56" s="24"/>
      <c r="Z56" s="393"/>
      <c r="AB56" s="24"/>
      <c r="AC56" s="393"/>
      <c r="AF56" s="393"/>
      <c r="AI56" s="393"/>
      <c r="AJ56" s="178"/>
      <c r="AL56" s="389"/>
      <c r="AM56" s="442" t="s">
        <v>1942</v>
      </c>
      <c r="AN56" s="395" t="s">
        <v>1943</v>
      </c>
      <c r="AS56" s="393"/>
      <c r="AT56" s="354" t="s">
        <v>1942</v>
      </c>
      <c r="AU56" s="395" t="s">
        <v>1943</v>
      </c>
      <c r="AV56" s="404" t="s">
        <v>2008</v>
      </c>
      <c r="AW56" s="23"/>
      <c r="AX56" s="110"/>
      <c r="AY56" s="24"/>
      <c r="AZ56" s="330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</row>
    <row r="57" spans="1:119" ht="10.9" customHeight="1" x14ac:dyDescent="0.25">
      <c r="A57" s="331" t="s">
        <v>1468</v>
      </c>
      <c r="B57" s="374" t="s">
        <v>1343</v>
      </c>
      <c r="C57" s="373" t="s">
        <v>108</v>
      </c>
      <c r="D57" s="32" t="s">
        <v>1159</v>
      </c>
      <c r="E57" s="334" t="s">
        <v>1389</v>
      </c>
      <c r="F57" s="326">
        <v>45</v>
      </c>
      <c r="G57" s="326" t="s">
        <v>183</v>
      </c>
      <c r="H57" s="326" t="s">
        <v>35</v>
      </c>
      <c r="J57" s="476"/>
      <c r="K57" s="477"/>
      <c r="L57" s="476"/>
      <c r="M57" s="476"/>
      <c r="N57" s="476"/>
      <c r="O57" s="442" t="s">
        <v>1918</v>
      </c>
      <c r="P57" s="442" t="s">
        <v>1919</v>
      </c>
      <c r="Q57" s="442" t="s">
        <v>1709</v>
      </c>
      <c r="R57" s="354" t="s">
        <v>1019</v>
      </c>
      <c r="S57" s="406" t="s">
        <v>1859</v>
      </c>
      <c r="T57" s="389" t="s">
        <v>1860</v>
      </c>
      <c r="W57" s="393"/>
      <c r="X57" s="332"/>
      <c r="Y57" s="332"/>
      <c r="Z57" s="393"/>
      <c r="AB57" s="24"/>
      <c r="AC57" s="393"/>
      <c r="AF57" s="393"/>
      <c r="AI57" s="393"/>
      <c r="AJ57" s="442"/>
      <c r="AK57" s="395"/>
      <c r="AL57" s="389"/>
      <c r="AM57" s="24"/>
      <c r="AN57" s="24"/>
      <c r="AO57" s="330"/>
      <c r="AP57" s="330"/>
      <c r="AQ57" s="442" t="s">
        <v>1882</v>
      </c>
      <c r="AR57" s="395" t="s">
        <v>1883</v>
      </c>
      <c r="AS57" s="393" t="s">
        <v>1884</v>
      </c>
      <c r="AT57" s="354" t="s">
        <v>1952</v>
      </c>
      <c r="AU57" s="395" t="s">
        <v>1953</v>
      </c>
      <c r="AV57" s="404" t="s">
        <v>2012</v>
      </c>
      <c r="AW57" s="23"/>
      <c r="AX57" s="110"/>
      <c r="AY57" s="24"/>
      <c r="AZ57" s="330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</row>
    <row r="58" spans="1:119" ht="12" x14ac:dyDescent="0.2">
      <c r="A58" s="331" t="s">
        <v>1469</v>
      </c>
      <c r="B58" s="374" t="s">
        <v>1415</v>
      </c>
      <c r="C58" s="374" t="s">
        <v>126</v>
      </c>
      <c r="D58" s="32" t="s">
        <v>1159</v>
      </c>
      <c r="E58" s="574">
        <v>9403055408089</v>
      </c>
      <c r="F58" s="326">
        <v>32</v>
      </c>
      <c r="G58" s="326" t="s">
        <v>183</v>
      </c>
      <c r="H58" s="326" t="s">
        <v>35</v>
      </c>
      <c r="O58" s="442" t="s">
        <v>1896</v>
      </c>
      <c r="P58" s="442" t="s">
        <v>1895</v>
      </c>
      <c r="Q58" s="442" t="s">
        <v>1885</v>
      </c>
      <c r="R58" s="442" t="s">
        <v>1019</v>
      </c>
      <c r="S58" s="406" t="s">
        <v>1711</v>
      </c>
      <c r="T58" s="389" t="s">
        <v>1886</v>
      </c>
      <c r="W58" s="393"/>
      <c r="Z58" s="393"/>
      <c r="AC58" s="393"/>
      <c r="AF58" s="393"/>
      <c r="AI58" s="393"/>
      <c r="AJ58" s="178"/>
      <c r="AL58" s="389"/>
      <c r="AQ58" s="442" t="s">
        <v>1897</v>
      </c>
      <c r="AR58" s="395" t="s">
        <v>1898</v>
      </c>
      <c r="AS58" s="393" t="s">
        <v>2035</v>
      </c>
      <c r="AT58" s="354" t="s">
        <v>1889</v>
      </c>
      <c r="AU58" s="395" t="s">
        <v>1890</v>
      </c>
      <c r="AV58" s="404" t="s">
        <v>1899</v>
      </c>
      <c r="AW58" s="23"/>
    </row>
    <row r="59" spans="1:119" x14ac:dyDescent="0.25">
      <c r="A59" s="517" t="s">
        <v>1470</v>
      </c>
      <c r="B59" s="374" t="s">
        <v>1341</v>
      </c>
      <c r="C59" s="373" t="s">
        <v>106</v>
      </c>
      <c r="D59" s="32" t="s">
        <v>1159</v>
      </c>
      <c r="E59" s="334">
        <v>8203205792080</v>
      </c>
      <c r="F59" s="326">
        <v>42</v>
      </c>
      <c r="G59" s="326" t="s">
        <v>183</v>
      </c>
      <c r="H59" s="326" t="s">
        <v>35</v>
      </c>
      <c r="J59" s="476"/>
      <c r="K59" s="477"/>
      <c r="L59" s="476"/>
      <c r="M59" s="476"/>
      <c r="N59" s="476"/>
      <c r="O59" s="442" t="s">
        <v>1731</v>
      </c>
      <c r="P59" s="442" t="s">
        <v>1837</v>
      </c>
      <c r="Q59" s="442" t="s">
        <v>1709</v>
      </c>
      <c r="R59" s="354" t="s">
        <v>1019</v>
      </c>
      <c r="S59" s="406" t="s">
        <v>1859</v>
      </c>
      <c r="T59" s="389" t="s">
        <v>1860</v>
      </c>
      <c r="U59" s="327"/>
      <c r="W59" s="393"/>
      <c r="X59" s="330"/>
      <c r="Y59" s="330"/>
      <c r="Z59" s="393"/>
      <c r="AB59" s="330"/>
      <c r="AC59" s="393"/>
      <c r="AF59" s="393"/>
      <c r="AG59" s="327"/>
      <c r="AH59" s="327"/>
      <c r="AI59" s="393"/>
      <c r="AJ59" s="24"/>
      <c r="AL59" s="389"/>
      <c r="AM59" s="24"/>
      <c r="AO59" s="442" t="s">
        <v>1704</v>
      </c>
      <c r="AP59" s="395" t="s">
        <v>1846</v>
      </c>
      <c r="AQ59" s="442"/>
      <c r="AR59" s="395"/>
      <c r="AS59" s="393"/>
      <c r="AT59" s="354" t="s">
        <v>1704</v>
      </c>
      <c r="AU59" s="395" t="s">
        <v>1928</v>
      </c>
      <c r="AV59" s="404" t="s">
        <v>1847</v>
      </c>
      <c r="AW59" s="23"/>
      <c r="AX59" s="110"/>
      <c r="AY59" s="24"/>
      <c r="AZ59" s="330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</row>
    <row r="60" spans="1:119" x14ac:dyDescent="0.25">
      <c r="A60" s="331" t="s">
        <v>1471</v>
      </c>
      <c r="B60" s="374" t="s">
        <v>880</v>
      </c>
      <c r="C60" s="373" t="s">
        <v>796</v>
      </c>
      <c r="D60" s="32" t="s">
        <v>1159</v>
      </c>
      <c r="E60" s="380" t="s">
        <v>1390</v>
      </c>
      <c r="F60" s="326">
        <v>56</v>
      </c>
      <c r="G60" s="326" t="s">
        <v>183</v>
      </c>
      <c r="H60" s="326" t="s">
        <v>35</v>
      </c>
      <c r="I60" s="327"/>
      <c r="J60" s="550"/>
      <c r="K60" s="551"/>
      <c r="L60" s="550"/>
      <c r="M60" s="550"/>
      <c r="N60" s="550"/>
      <c r="O60" s="442" t="s">
        <v>1880</v>
      </c>
      <c r="P60" s="442" t="s">
        <v>1881</v>
      </c>
      <c r="Q60" s="354" t="s">
        <v>1882</v>
      </c>
      <c r="R60" s="354" t="s">
        <v>1019</v>
      </c>
      <c r="S60" s="406" t="s">
        <v>1883</v>
      </c>
      <c r="T60" s="389" t="s">
        <v>1884</v>
      </c>
      <c r="U60" s="327"/>
      <c r="V60" s="327"/>
      <c r="W60" s="393"/>
      <c r="X60" s="24"/>
      <c r="Y60" s="24"/>
      <c r="Z60" s="393"/>
      <c r="AA60" s="326"/>
      <c r="AB60" s="330"/>
      <c r="AC60" s="393"/>
      <c r="AF60" s="393"/>
      <c r="AG60" s="330"/>
      <c r="AH60" s="330"/>
      <c r="AI60" s="393"/>
      <c r="AJ60" s="330"/>
      <c r="AK60" s="395"/>
      <c r="AL60" s="389"/>
      <c r="AM60" s="332"/>
      <c r="AN60" s="327"/>
      <c r="AO60" s="442" t="s">
        <v>1526</v>
      </c>
      <c r="AP60" s="395" t="s">
        <v>1710</v>
      </c>
      <c r="AR60" s="395"/>
      <c r="AS60" s="393"/>
      <c r="AT60" s="354" t="s">
        <v>1876</v>
      </c>
      <c r="AU60" s="395" t="s">
        <v>1877</v>
      </c>
      <c r="AV60" s="404" t="s">
        <v>1891</v>
      </c>
      <c r="AW60" s="23"/>
      <c r="AX60" s="110"/>
      <c r="AY60" s="24"/>
      <c r="AZ60" s="330"/>
      <c r="BA60" s="351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</row>
    <row r="61" spans="1:119" s="24" customFormat="1" ht="15" customHeight="1" thickBot="1" x14ac:dyDescent="0.3">
      <c r="A61" s="615" t="s">
        <v>1472</v>
      </c>
      <c r="B61" s="375" t="s">
        <v>1554</v>
      </c>
      <c r="C61" s="372" t="s">
        <v>1555</v>
      </c>
      <c r="D61" s="32" t="s">
        <v>1159</v>
      </c>
      <c r="E61" s="697">
        <v>6707276100165</v>
      </c>
      <c r="F61" s="330">
        <v>57</v>
      </c>
      <c r="G61" s="330" t="s">
        <v>183</v>
      </c>
      <c r="H61" s="330" t="s">
        <v>35</v>
      </c>
      <c r="I61" s="332"/>
      <c r="J61" s="552"/>
      <c r="K61" s="553"/>
      <c r="L61" s="552"/>
      <c r="M61" s="552"/>
      <c r="N61" s="552"/>
      <c r="O61" s="442" t="s">
        <v>1795</v>
      </c>
      <c r="P61" s="442" t="s">
        <v>1557</v>
      </c>
      <c r="Q61" s="442" t="s">
        <v>1709</v>
      </c>
      <c r="R61" s="442" t="s">
        <v>1019</v>
      </c>
      <c r="S61" s="406" t="s">
        <v>1859</v>
      </c>
      <c r="T61" s="389" t="s">
        <v>1860</v>
      </c>
      <c r="U61" s="330"/>
      <c r="V61" s="332"/>
      <c r="W61" s="393"/>
      <c r="X61" s="28"/>
      <c r="Z61" s="393"/>
      <c r="AA61" s="330"/>
      <c r="AC61" s="393"/>
      <c r="AF61" s="393"/>
      <c r="AI61" s="393"/>
      <c r="AJ61" s="330"/>
      <c r="AK61" s="330"/>
      <c r="AL61" s="389"/>
      <c r="AM61" s="442" t="s">
        <v>2026</v>
      </c>
      <c r="AN61" s="395" t="s">
        <v>2027</v>
      </c>
      <c r="AO61" s="330"/>
      <c r="AP61" s="330"/>
      <c r="AQ61" s="594"/>
      <c r="AT61" s="442" t="s">
        <v>1041</v>
      </c>
      <c r="AU61" s="395" t="s">
        <v>2025</v>
      </c>
      <c r="AV61" s="404" t="s">
        <v>1767</v>
      </c>
      <c r="AX61" s="175"/>
      <c r="AZ61" s="330"/>
      <c r="BA61" s="351"/>
      <c r="BB61" s="332"/>
    </row>
    <row r="62" spans="1:119" ht="15" customHeight="1" thickTop="1" thickBot="1" x14ac:dyDescent="0.3">
      <c r="A62" s="41" t="s">
        <v>1473</v>
      </c>
      <c r="B62" s="591" t="s">
        <v>787</v>
      </c>
      <c r="C62" s="591" t="s">
        <v>1694</v>
      </c>
      <c r="D62" s="592" t="s">
        <v>1159</v>
      </c>
      <c r="E62" s="593" t="s">
        <v>1695</v>
      </c>
      <c r="F62" s="594">
        <v>40</v>
      </c>
      <c r="G62" s="594" t="s">
        <v>183</v>
      </c>
      <c r="H62" s="594" t="s">
        <v>35</v>
      </c>
      <c r="I62" s="616"/>
      <c r="J62" s="617"/>
      <c r="K62" s="618"/>
      <c r="L62" s="617"/>
      <c r="M62" s="617"/>
      <c r="N62" s="617"/>
      <c r="O62" s="601" t="s">
        <v>1696</v>
      </c>
      <c r="P62" s="601" t="s">
        <v>1798</v>
      </c>
      <c r="Q62" s="595" t="s">
        <v>1751</v>
      </c>
      <c r="R62" s="595" t="s">
        <v>1019</v>
      </c>
      <c r="S62" s="642" t="s">
        <v>1914</v>
      </c>
      <c r="T62" s="597" t="s">
        <v>1915</v>
      </c>
      <c r="U62" s="600"/>
      <c r="V62" s="594"/>
      <c r="W62" s="599"/>
      <c r="X62" s="594"/>
      <c r="Y62" s="619"/>
      <c r="Z62" s="599"/>
      <c r="AA62" s="594"/>
      <c r="AB62" s="600"/>
      <c r="AC62" s="599"/>
      <c r="AD62" s="600"/>
      <c r="AE62" s="600"/>
      <c r="AF62" s="599"/>
      <c r="AG62" s="598"/>
      <c r="AH62" s="598"/>
      <c r="AI62" s="599"/>
      <c r="AJ62" s="594"/>
      <c r="AK62" s="594"/>
      <c r="AL62" s="599"/>
      <c r="AM62" s="594"/>
      <c r="AN62" s="594"/>
      <c r="AO62" s="601" t="s">
        <v>1773</v>
      </c>
      <c r="AP62" s="596" t="s">
        <v>1913</v>
      </c>
      <c r="AR62" s="594"/>
      <c r="AS62" s="599"/>
      <c r="AT62" s="595" t="s">
        <v>1705</v>
      </c>
      <c r="AU62" s="596" t="s">
        <v>1865</v>
      </c>
      <c r="AV62" s="699" t="s">
        <v>1858</v>
      </c>
      <c r="AW62" s="600"/>
      <c r="AX62" s="620"/>
      <c r="AY62" s="600"/>
      <c r="AZ62" s="594"/>
      <c r="BA62" s="594"/>
      <c r="BB62" s="332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</row>
    <row r="63" spans="1:119" ht="12.75" thickTop="1" thickBot="1" x14ac:dyDescent="0.25">
      <c r="S63" s="51"/>
      <c r="W63" s="393"/>
      <c r="Z63" s="393"/>
      <c r="AQ63" s="600"/>
      <c r="AV63" s="404"/>
      <c r="AW63" s="23"/>
    </row>
    <row r="64" spans="1:119" s="600" customFormat="1" ht="15" customHeight="1" thickTop="1" thickBot="1" x14ac:dyDescent="0.25">
      <c r="A64" s="641"/>
      <c r="S64" s="669"/>
      <c r="W64" s="599"/>
      <c r="Z64" s="599"/>
      <c r="AV64" s="699"/>
      <c r="BB64" s="594"/>
    </row>
    <row r="65" spans="1:642" s="606" customFormat="1" ht="15.75" thickTop="1" x14ac:dyDescent="0.25">
      <c r="A65" s="603"/>
      <c r="B65" s="604"/>
      <c r="C65" s="604"/>
      <c r="D65" s="604"/>
      <c r="E65" s="605"/>
      <c r="F65" s="604"/>
      <c r="G65" s="604"/>
      <c r="H65" s="604"/>
      <c r="J65" s="607"/>
      <c r="K65" s="608"/>
      <c r="L65" s="607"/>
      <c r="M65" s="607"/>
      <c r="N65" s="607"/>
      <c r="O65" s="609"/>
      <c r="P65" s="609"/>
      <c r="R65" s="609"/>
      <c r="S65" s="670"/>
      <c r="W65" s="610"/>
      <c r="Z65" s="610"/>
      <c r="AB65" s="686"/>
      <c r="AC65" s="610"/>
      <c r="AF65" s="610"/>
      <c r="AI65" s="610"/>
      <c r="AL65" s="610"/>
      <c r="AM65" s="537"/>
      <c r="AS65" s="610"/>
      <c r="AT65" s="604"/>
      <c r="AV65" s="694"/>
      <c r="AZ65" s="613"/>
      <c r="BA65" s="614"/>
      <c r="BB65" s="614"/>
      <c r="BC65" s="537"/>
      <c r="BD65" s="537"/>
      <c r="BE65" s="537"/>
      <c r="BF65" s="537"/>
      <c r="BG65" s="537"/>
      <c r="BH65" s="537"/>
      <c r="BI65" s="537"/>
      <c r="BJ65" s="537"/>
      <c r="BK65" s="537"/>
      <c r="BL65" s="537"/>
      <c r="BM65" s="537"/>
      <c r="BN65" s="537"/>
      <c r="BO65" s="537"/>
      <c r="BP65" s="537"/>
      <c r="BQ65" s="537"/>
      <c r="BR65" s="537"/>
      <c r="BS65" s="537"/>
      <c r="BT65" s="537"/>
      <c r="BU65" s="537"/>
      <c r="BV65" s="537"/>
      <c r="BW65" s="537"/>
      <c r="BX65" s="537"/>
      <c r="BY65" s="537"/>
      <c r="BZ65" s="537"/>
      <c r="CA65" s="537"/>
      <c r="CB65" s="537"/>
      <c r="CC65" s="537"/>
      <c r="CD65" s="537"/>
      <c r="CE65" s="537"/>
      <c r="CF65" s="537"/>
      <c r="CG65" s="537"/>
      <c r="CH65" s="537"/>
      <c r="CI65" s="537"/>
      <c r="CJ65" s="537"/>
      <c r="CK65" s="537"/>
      <c r="CL65" s="537"/>
      <c r="CM65" s="537"/>
      <c r="CN65" s="537"/>
      <c r="CO65" s="537"/>
      <c r="CP65" s="537"/>
      <c r="CQ65" s="537"/>
      <c r="CR65" s="537"/>
      <c r="CS65" s="537"/>
      <c r="CT65" s="537"/>
      <c r="CU65" s="537"/>
      <c r="CV65" s="537"/>
      <c r="CW65" s="537"/>
      <c r="CX65" s="537"/>
      <c r="CY65" s="537"/>
      <c r="CZ65" s="537"/>
      <c r="DA65" s="537"/>
      <c r="DB65" s="537"/>
      <c r="DC65" s="537"/>
      <c r="DD65" s="537"/>
      <c r="DE65" s="537"/>
      <c r="DF65" s="537"/>
      <c r="DG65" s="537"/>
      <c r="DH65" s="537"/>
      <c r="DI65" s="537"/>
      <c r="DJ65" s="537"/>
      <c r="DK65" s="537"/>
      <c r="DL65" s="537"/>
      <c r="DM65" s="537"/>
      <c r="DN65" s="537"/>
      <c r="DO65" s="537"/>
    </row>
    <row r="66" spans="1:642" x14ac:dyDescent="0.25">
      <c r="A66" s="330" t="s">
        <v>1803</v>
      </c>
      <c r="B66" s="489"/>
      <c r="C66" s="372"/>
      <c r="D66" s="330"/>
      <c r="E66" s="379"/>
      <c r="F66" s="330"/>
      <c r="G66" s="330"/>
      <c r="H66" s="330"/>
      <c r="J66" s="476"/>
      <c r="K66" s="477"/>
      <c r="L66" s="476"/>
      <c r="M66" s="476"/>
      <c r="N66" s="476"/>
      <c r="O66" s="326"/>
      <c r="P66" s="326"/>
      <c r="R66" s="24"/>
      <c r="S66" s="51"/>
      <c r="T66" s="24"/>
      <c r="U66" s="29"/>
      <c r="W66" s="393"/>
      <c r="Z66" s="393"/>
      <c r="AB66" s="29"/>
      <c r="AC66" s="393"/>
      <c r="AF66" s="393"/>
      <c r="AI66" s="393"/>
      <c r="AL66" s="393"/>
      <c r="AS66" s="393"/>
      <c r="AT66" s="332"/>
      <c r="AV66" s="404"/>
      <c r="AW66" s="23"/>
      <c r="AX66" s="110"/>
      <c r="AY66" s="24"/>
      <c r="AZ66" s="330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</row>
    <row r="67" spans="1:642" x14ac:dyDescent="0.25">
      <c r="A67" s="517" t="s">
        <v>1453</v>
      </c>
      <c r="B67" s="374" t="s">
        <v>1300</v>
      </c>
      <c r="C67" s="374" t="s">
        <v>1301</v>
      </c>
      <c r="D67" s="26" t="s">
        <v>1777</v>
      </c>
      <c r="E67" s="334" t="s">
        <v>1355</v>
      </c>
      <c r="F67" s="326">
        <v>45</v>
      </c>
      <c r="G67" s="326" t="s">
        <v>183</v>
      </c>
      <c r="H67" s="326" t="s">
        <v>35</v>
      </c>
      <c r="I67" s="29"/>
      <c r="J67" s="29"/>
      <c r="K67" s="28"/>
      <c r="L67" s="28"/>
      <c r="M67" s="28"/>
      <c r="N67" s="28"/>
      <c r="O67" s="354" t="s">
        <v>1825</v>
      </c>
      <c r="P67" s="354" t="s">
        <v>1826</v>
      </c>
      <c r="Q67" s="354" t="s">
        <v>1751</v>
      </c>
      <c r="R67" s="354" t="s">
        <v>1019</v>
      </c>
      <c r="S67" s="406" t="s">
        <v>1914</v>
      </c>
      <c r="T67" s="389" t="s">
        <v>1915</v>
      </c>
      <c r="U67" s="28"/>
      <c r="V67" s="29"/>
      <c r="W67" s="393"/>
      <c r="X67" s="611" t="s">
        <v>1907</v>
      </c>
      <c r="Y67" s="612" t="s">
        <v>1908</v>
      </c>
      <c r="Z67" s="389" t="s">
        <v>1983</v>
      </c>
      <c r="AC67" s="393"/>
      <c r="AF67" s="393"/>
      <c r="AI67" s="393"/>
      <c r="AL67" s="393"/>
      <c r="AO67" s="493" t="s">
        <v>1307</v>
      </c>
      <c r="AP67" s="494" t="s">
        <v>1308</v>
      </c>
      <c r="AQ67" s="24"/>
      <c r="AS67" s="393"/>
      <c r="AT67" s="354" t="s">
        <v>1907</v>
      </c>
      <c r="AU67" s="395" t="s">
        <v>1908</v>
      </c>
      <c r="AV67" s="404" t="s">
        <v>1983</v>
      </c>
      <c r="AW67" s="24"/>
      <c r="AX67" s="110"/>
      <c r="AY67" s="24"/>
      <c r="AZ67" s="330"/>
      <c r="BA67" s="24"/>
      <c r="BB67" s="24"/>
      <c r="BC67" s="468"/>
      <c r="BD67" s="468"/>
      <c r="BE67" s="468"/>
      <c r="BF67" s="468"/>
      <c r="BG67" s="468"/>
      <c r="BH67" s="468"/>
      <c r="BI67" s="468"/>
      <c r="BJ67" s="468"/>
      <c r="BK67" s="468"/>
      <c r="BL67" s="468"/>
      <c r="BM67" s="468"/>
      <c r="BN67" s="468"/>
      <c r="BO67" s="468"/>
      <c r="BP67" s="468"/>
      <c r="BQ67" s="468"/>
      <c r="BR67" s="468"/>
      <c r="BS67" s="468"/>
      <c r="BT67" s="468"/>
      <c r="BU67" s="468"/>
      <c r="BV67" s="468"/>
      <c r="BW67" s="468"/>
      <c r="BX67" s="468"/>
      <c r="BY67" s="468"/>
      <c r="BZ67" s="468"/>
      <c r="CA67" s="468"/>
      <c r="CB67" s="468"/>
      <c r="CC67" s="468"/>
      <c r="CD67" s="468"/>
      <c r="CE67" s="468"/>
      <c r="CF67" s="468"/>
      <c r="CG67" s="468"/>
      <c r="CH67" s="468"/>
      <c r="CI67" s="468"/>
      <c r="CJ67" s="468"/>
      <c r="CK67" s="468"/>
      <c r="CL67" s="468"/>
      <c r="CM67" s="468"/>
      <c r="CN67" s="468"/>
      <c r="CO67" s="468"/>
      <c r="CP67" s="468"/>
      <c r="CQ67" s="468"/>
      <c r="CR67" s="468"/>
      <c r="CS67" s="468"/>
      <c r="CT67" s="468"/>
      <c r="CU67" s="468"/>
      <c r="CV67" s="468"/>
      <c r="CW67" s="468"/>
      <c r="CX67" s="468"/>
      <c r="CY67" s="468"/>
      <c r="CZ67" s="468"/>
      <c r="DA67" s="468"/>
      <c r="DB67" s="468"/>
      <c r="DC67" s="468"/>
      <c r="DD67" s="468"/>
      <c r="DE67" s="468"/>
      <c r="DF67" s="468"/>
      <c r="DG67" s="468"/>
      <c r="DH67" s="468"/>
      <c r="DI67" s="468"/>
      <c r="DJ67" s="468"/>
      <c r="DK67" s="468"/>
      <c r="DL67" s="468"/>
      <c r="DM67" s="468"/>
      <c r="DN67" s="468"/>
      <c r="DO67" s="468"/>
      <c r="DP67" s="468"/>
      <c r="DQ67" s="468"/>
      <c r="DR67" s="468"/>
      <c r="DS67" s="468"/>
      <c r="DT67" s="468"/>
      <c r="DU67" s="468"/>
      <c r="DV67" s="468"/>
      <c r="DW67" s="468"/>
      <c r="DX67" s="468"/>
      <c r="DY67" s="468"/>
      <c r="DZ67" s="468"/>
      <c r="EA67" s="468"/>
      <c r="EB67" s="468"/>
      <c r="EC67" s="468"/>
      <c r="ED67" s="468"/>
      <c r="EE67" s="468"/>
      <c r="EF67" s="468"/>
      <c r="EG67" s="468"/>
      <c r="EH67" s="468"/>
      <c r="EI67" s="468"/>
      <c r="EJ67" s="468"/>
      <c r="EK67" s="468"/>
      <c r="EL67" s="468"/>
      <c r="EM67" s="468"/>
      <c r="EN67" s="468"/>
      <c r="EO67" s="468"/>
      <c r="EP67" s="468"/>
      <c r="EQ67" s="468"/>
      <c r="ER67" s="468"/>
      <c r="ES67" s="468"/>
      <c r="ET67" s="468"/>
      <c r="EU67" s="468"/>
      <c r="EV67" s="468"/>
      <c r="EW67" s="468"/>
      <c r="EX67" s="468"/>
      <c r="EY67" s="468"/>
      <c r="EZ67" s="468"/>
      <c r="FA67" s="468"/>
      <c r="FB67" s="468"/>
      <c r="FC67" s="468"/>
      <c r="FD67" s="468"/>
      <c r="FE67" s="468"/>
      <c r="FF67" s="468"/>
      <c r="FG67" s="468"/>
      <c r="FH67" s="468"/>
      <c r="FI67" s="468"/>
      <c r="FJ67" s="468"/>
      <c r="FK67" s="468"/>
      <c r="FL67" s="468"/>
      <c r="FM67" s="468"/>
      <c r="FN67" s="468"/>
      <c r="FO67" s="468"/>
      <c r="FP67" s="468"/>
      <c r="FQ67" s="468"/>
      <c r="FR67" s="468"/>
      <c r="FS67" s="468"/>
      <c r="FT67" s="468"/>
      <c r="FU67" s="468"/>
      <c r="FV67" s="468"/>
      <c r="FW67" s="468"/>
      <c r="FX67" s="468"/>
      <c r="FY67" s="468"/>
      <c r="FZ67" s="468"/>
      <c r="GA67" s="468"/>
      <c r="GB67" s="468"/>
      <c r="GC67" s="468"/>
      <c r="GD67" s="468"/>
      <c r="GE67" s="468"/>
      <c r="GF67" s="468"/>
      <c r="GG67" s="468"/>
      <c r="GH67" s="468"/>
      <c r="GI67" s="468"/>
      <c r="GJ67" s="468"/>
      <c r="GK67" s="468"/>
      <c r="GL67" s="468"/>
      <c r="GM67" s="468"/>
      <c r="GN67" s="468"/>
      <c r="GO67" s="468"/>
      <c r="GP67" s="468"/>
      <c r="GQ67" s="468"/>
      <c r="GR67" s="468"/>
      <c r="GS67" s="468"/>
      <c r="GT67" s="468"/>
      <c r="GU67" s="468"/>
      <c r="GV67" s="468"/>
      <c r="GW67" s="468"/>
      <c r="GX67" s="468"/>
      <c r="GY67" s="468"/>
      <c r="GZ67" s="468"/>
      <c r="HA67" s="468"/>
      <c r="HB67" s="468"/>
      <c r="HC67" s="468"/>
      <c r="HD67" s="468"/>
      <c r="HE67" s="468"/>
      <c r="HF67" s="468"/>
      <c r="HG67" s="468"/>
      <c r="HH67" s="468"/>
      <c r="HI67" s="468"/>
      <c r="HJ67" s="468"/>
      <c r="HK67" s="468"/>
      <c r="HL67" s="468"/>
      <c r="HM67" s="468"/>
      <c r="HN67" s="468"/>
      <c r="HO67" s="468"/>
      <c r="HP67" s="468"/>
      <c r="HQ67" s="468"/>
      <c r="HR67" s="468"/>
      <c r="HS67" s="468"/>
      <c r="HT67" s="468"/>
      <c r="HU67" s="468"/>
      <c r="HV67" s="468"/>
      <c r="HW67" s="468"/>
      <c r="HX67" s="468"/>
      <c r="HY67" s="468"/>
      <c r="HZ67" s="468"/>
      <c r="IA67" s="468"/>
      <c r="IB67" s="468"/>
      <c r="IC67" s="468"/>
      <c r="ID67" s="468"/>
      <c r="IE67" s="468"/>
      <c r="IF67" s="468"/>
      <c r="IG67" s="468"/>
      <c r="IH67" s="468"/>
      <c r="II67" s="468"/>
      <c r="IJ67" s="468"/>
      <c r="IK67" s="468"/>
      <c r="IL67" s="468"/>
      <c r="IM67" s="468"/>
      <c r="IN67" s="468"/>
      <c r="IO67" s="468"/>
      <c r="IP67" s="468"/>
      <c r="IQ67" s="468"/>
      <c r="IR67" s="468"/>
      <c r="IS67" s="468"/>
      <c r="IT67" s="468"/>
      <c r="IU67" s="468"/>
      <c r="IV67" s="468"/>
      <c r="IW67" s="468"/>
      <c r="IX67" s="468"/>
      <c r="IY67" s="468"/>
      <c r="IZ67" s="468"/>
      <c r="JA67" s="468"/>
      <c r="JB67" s="468"/>
      <c r="JC67" s="468"/>
      <c r="JD67" s="468"/>
      <c r="JE67" s="468"/>
      <c r="JF67" s="468"/>
      <c r="JG67" s="468"/>
      <c r="JH67" s="468"/>
      <c r="JI67" s="468"/>
      <c r="JJ67" s="468"/>
      <c r="JK67" s="468"/>
      <c r="JL67" s="468"/>
      <c r="JM67" s="468"/>
      <c r="JN67" s="468"/>
      <c r="JO67" s="468"/>
      <c r="JP67" s="468"/>
      <c r="JQ67" s="468"/>
      <c r="JR67" s="468"/>
      <c r="JS67" s="468"/>
      <c r="JT67" s="468"/>
      <c r="JU67" s="468"/>
      <c r="JV67" s="468"/>
      <c r="JW67" s="468"/>
      <c r="JX67" s="468"/>
      <c r="JY67" s="468"/>
      <c r="JZ67" s="468"/>
      <c r="KA67" s="468"/>
      <c r="KB67" s="468"/>
      <c r="KC67" s="468"/>
      <c r="KD67" s="468"/>
      <c r="KE67" s="468"/>
      <c r="KF67" s="468"/>
      <c r="KG67" s="468"/>
      <c r="KH67" s="468"/>
      <c r="KI67" s="468"/>
      <c r="KJ67" s="468"/>
      <c r="KK67" s="468"/>
      <c r="KL67" s="468"/>
      <c r="KM67" s="468"/>
      <c r="KN67" s="468"/>
      <c r="KO67" s="468"/>
      <c r="KP67" s="468"/>
      <c r="KQ67" s="468"/>
      <c r="KR67" s="468"/>
      <c r="KS67" s="468"/>
      <c r="KT67" s="468"/>
      <c r="KU67" s="468"/>
      <c r="KV67" s="468"/>
      <c r="KW67" s="468"/>
      <c r="KX67" s="468"/>
      <c r="KY67" s="468"/>
      <c r="KZ67" s="468"/>
      <c r="LA67" s="468"/>
      <c r="LB67" s="468"/>
      <c r="LC67" s="468"/>
      <c r="LD67" s="468"/>
      <c r="LE67" s="468"/>
      <c r="LF67" s="468"/>
      <c r="LG67" s="468"/>
      <c r="LH67" s="468"/>
      <c r="LI67" s="468"/>
      <c r="LJ67" s="468"/>
      <c r="LK67" s="468"/>
      <c r="LL67" s="468"/>
      <c r="LM67" s="468"/>
      <c r="LN67" s="468"/>
      <c r="LO67" s="468"/>
      <c r="LP67" s="468"/>
      <c r="LQ67" s="468"/>
      <c r="LR67" s="468"/>
      <c r="LS67" s="468"/>
      <c r="LT67" s="468"/>
      <c r="LU67" s="468"/>
      <c r="LV67" s="468"/>
      <c r="LW67" s="468"/>
      <c r="LX67" s="468"/>
      <c r="LY67" s="468"/>
      <c r="LZ67" s="468"/>
      <c r="MA67" s="468"/>
      <c r="MB67" s="468"/>
      <c r="MC67" s="468"/>
      <c r="MD67" s="468"/>
      <c r="ME67" s="468"/>
      <c r="MF67" s="468"/>
      <c r="MG67" s="468"/>
      <c r="MH67" s="468"/>
      <c r="MI67" s="468"/>
      <c r="MJ67" s="468"/>
      <c r="MK67" s="468"/>
      <c r="ML67" s="468"/>
      <c r="MM67" s="468"/>
      <c r="MN67" s="468"/>
      <c r="MO67" s="468"/>
      <c r="MP67" s="468"/>
      <c r="MQ67" s="468"/>
      <c r="MR67" s="468"/>
      <c r="MS67" s="468"/>
      <c r="MT67" s="468"/>
      <c r="MU67" s="468"/>
      <c r="MV67" s="468"/>
      <c r="MW67" s="468"/>
      <c r="MX67" s="468"/>
      <c r="MY67" s="468"/>
      <c r="MZ67" s="468"/>
      <c r="NA67" s="468"/>
      <c r="NB67" s="468"/>
      <c r="NC67" s="468"/>
      <c r="ND67" s="468"/>
      <c r="NE67" s="468"/>
      <c r="NF67" s="468"/>
      <c r="NG67" s="468"/>
      <c r="NH67" s="468"/>
      <c r="NI67" s="468"/>
      <c r="NJ67" s="468"/>
      <c r="NK67" s="468"/>
      <c r="NL67" s="468"/>
      <c r="NM67" s="468"/>
      <c r="NN67" s="468"/>
      <c r="NO67" s="468"/>
      <c r="NP67" s="468"/>
      <c r="NQ67" s="468"/>
      <c r="NR67" s="468"/>
      <c r="NS67" s="468"/>
      <c r="NT67" s="468"/>
      <c r="NU67" s="468"/>
      <c r="NV67" s="468"/>
      <c r="NW67" s="468"/>
      <c r="NX67" s="468"/>
      <c r="NY67" s="468"/>
      <c r="NZ67" s="468"/>
      <c r="OA67" s="468"/>
      <c r="OB67" s="468"/>
      <c r="OC67" s="468"/>
      <c r="OD67" s="468"/>
      <c r="OE67" s="468"/>
      <c r="OF67" s="468"/>
      <c r="OG67" s="468"/>
      <c r="OH67" s="468"/>
      <c r="OI67" s="468"/>
      <c r="OJ67" s="468"/>
      <c r="OK67" s="468"/>
      <c r="OL67" s="468"/>
      <c r="OM67" s="468"/>
      <c r="ON67" s="468"/>
      <c r="OO67" s="468"/>
      <c r="OP67" s="468"/>
      <c r="OQ67" s="468"/>
      <c r="OR67" s="468"/>
      <c r="OS67" s="468"/>
      <c r="OT67" s="468"/>
      <c r="OU67" s="468"/>
      <c r="OV67" s="468"/>
      <c r="OW67" s="468"/>
      <c r="OX67" s="468"/>
      <c r="OY67" s="468"/>
      <c r="OZ67" s="468"/>
      <c r="PA67" s="468"/>
      <c r="PB67" s="468"/>
      <c r="PC67" s="468"/>
      <c r="PD67" s="468"/>
      <c r="PE67" s="468"/>
      <c r="PF67" s="468"/>
      <c r="PG67" s="468"/>
      <c r="PH67" s="468"/>
      <c r="PI67" s="468"/>
      <c r="PJ67" s="468"/>
      <c r="PK67" s="468"/>
      <c r="PL67" s="468"/>
      <c r="PM67" s="468"/>
      <c r="PN67" s="468"/>
      <c r="PO67" s="468"/>
      <c r="PP67" s="468"/>
      <c r="PQ67" s="468"/>
      <c r="PR67" s="468"/>
      <c r="PS67" s="468"/>
      <c r="PT67" s="468"/>
      <c r="PU67" s="468"/>
      <c r="PV67" s="468"/>
      <c r="PW67" s="468"/>
      <c r="PX67" s="468"/>
      <c r="PY67" s="468"/>
      <c r="PZ67" s="468"/>
      <c r="QA67" s="468"/>
      <c r="QB67" s="468"/>
      <c r="QC67" s="468"/>
      <c r="QD67" s="468"/>
      <c r="QE67" s="468"/>
      <c r="QF67" s="468"/>
      <c r="QG67" s="468"/>
      <c r="QH67" s="468"/>
      <c r="QI67" s="468"/>
      <c r="QJ67" s="468"/>
      <c r="QK67" s="468"/>
      <c r="QL67" s="468"/>
      <c r="QM67" s="468"/>
      <c r="QN67" s="468"/>
      <c r="QO67" s="468"/>
      <c r="QP67" s="468"/>
      <c r="QQ67" s="468"/>
      <c r="QR67" s="468"/>
      <c r="QS67" s="468"/>
      <c r="QT67" s="468"/>
      <c r="QU67" s="468"/>
      <c r="QV67" s="468"/>
      <c r="QW67" s="468"/>
      <c r="QX67" s="468"/>
      <c r="QY67" s="468"/>
      <c r="QZ67" s="468"/>
      <c r="RA67" s="468"/>
      <c r="RB67" s="468"/>
      <c r="RC67" s="468"/>
      <c r="RD67" s="468"/>
      <c r="RE67" s="468"/>
      <c r="RF67" s="468"/>
      <c r="RG67" s="468"/>
      <c r="RH67" s="468"/>
      <c r="RI67" s="468"/>
      <c r="RJ67" s="468"/>
      <c r="RK67" s="468"/>
      <c r="RL67" s="468"/>
      <c r="RM67" s="468"/>
      <c r="RN67" s="468"/>
      <c r="RO67" s="468"/>
      <c r="RP67" s="468"/>
      <c r="RQ67" s="468"/>
      <c r="RR67" s="468"/>
      <c r="RS67" s="468"/>
      <c r="RT67" s="468"/>
      <c r="RU67" s="468"/>
      <c r="RV67" s="468"/>
      <c r="RW67" s="468"/>
      <c r="RX67" s="468"/>
      <c r="RY67" s="468"/>
      <c r="RZ67" s="468"/>
      <c r="SA67" s="468"/>
      <c r="SB67" s="468"/>
      <c r="SC67" s="468"/>
      <c r="SD67" s="468"/>
      <c r="SE67" s="468"/>
      <c r="SF67" s="468"/>
      <c r="SG67" s="468"/>
      <c r="SH67" s="468"/>
      <c r="SI67" s="468"/>
      <c r="SJ67" s="468"/>
      <c r="SK67" s="468"/>
      <c r="SL67" s="468"/>
      <c r="SM67" s="468"/>
      <c r="SN67" s="468"/>
      <c r="SO67" s="468"/>
      <c r="SP67" s="468"/>
      <c r="SQ67" s="468"/>
      <c r="SR67" s="468"/>
      <c r="SS67" s="468"/>
      <c r="ST67" s="468"/>
      <c r="SU67" s="468"/>
      <c r="SV67" s="468"/>
      <c r="SW67" s="468"/>
      <c r="SX67" s="468"/>
      <c r="SY67" s="468"/>
      <c r="SZ67" s="468"/>
      <c r="TA67" s="468"/>
      <c r="TB67" s="468"/>
      <c r="TC67" s="468"/>
      <c r="TD67" s="468"/>
      <c r="TE67" s="468"/>
      <c r="TF67" s="468"/>
      <c r="TG67" s="468"/>
      <c r="TH67" s="468"/>
      <c r="TI67" s="468"/>
      <c r="TJ67" s="468"/>
      <c r="TK67" s="468"/>
      <c r="TL67" s="468"/>
      <c r="TM67" s="468"/>
      <c r="TN67" s="468"/>
      <c r="TO67" s="468"/>
      <c r="TP67" s="468"/>
      <c r="TQ67" s="468"/>
      <c r="TR67" s="468"/>
      <c r="TS67" s="468"/>
      <c r="TT67" s="468"/>
      <c r="TU67" s="468"/>
      <c r="TV67" s="468"/>
      <c r="TW67" s="468"/>
      <c r="TX67" s="468"/>
      <c r="TY67" s="468"/>
      <c r="TZ67" s="468"/>
      <c r="UA67" s="468"/>
      <c r="UB67" s="468"/>
      <c r="UC67" s="468"/>
      <c r="UD67" s="468"/>
      <c r="UE67" s="468"/>
      <c r="UF67" s="468"/>
      <c r="UG67" s="468"/>
      <c r="UH67" s="468"/>
      <c r="UI67" s="468"/>
      <c r="UJ67" s="468"/>
      <c r="UK67" s="468"/>
      <c r="UL67" s="468"/>
      <c r="UM67" s="468"/>
      <c r="UN67" s="468"/>
      <c r="UO67" s="468"/>
      <c r="UP67" s="468"/>
      <c r="UQ67" s="468"/>
      <c r="UR67" s="468"/>
      <c r="US67" s="468"/>
      <c r="UT67" s="468"/>
      <c r="UU67" s="468"/>
      <c r="UV67" s="468"/>
      <c r="UW67" s="468"/>
      <c r="UX67" s="468"/>
      <c r="UY67" s="468"/>
      <c r="UZ67" s="468"/>
      <c r="VA67" s="468"/>
      <c r="VB67" s="468"/>
      <c r="VC67" s="468"/>
      <c r="VD67" s="468"/>
      <c r="VE67" s="468"/>
      <c r="VF67" s="468"/>
      <c r="VG67" s="468"/>
      <c r="VH67" s="468"/>
      <c r="VI67" s="468"/>
      <c r="VJ67" s="468"/>
      <c r="VK67" s="468"/>
      <c r="VL67" s="468"/>
      <c r="VM67" s="468"/>
      <c r="VN67" s="468"/>
      <c r="VO67" s="468"/>
      <c r="VP67" s="468"/>
      <c r="VQ67" s="468"/>
      <c r="VR67" s="468"/>
      <c r="VS67" s="468"/>
      <c r="VT67" s="468"/>
      <c r="VU67" s="468"/>
      <c r="VV67" s="468"/>
      <c r="VW67" s="468"/>
      <c r="VX67" s="468"/>
      <c r="VY67" s="468"/>
      <c r="VZ67" s="468"/>
      <c r="WA67" s="468"/>
      <c r="WB67" s="468"/>
      <c r="WC67" s="468"/>
      <c r="WD67" s="468"/>
      <c r="WE67" s="468"/>
      <c r="WF67" s="468"/>
      <c r="WG67" s="468"/>
      <c r="WH67" s="468"/>
      <c r="WI67" s="468"/>
      <c r="WJ67" s="468"/>
      <c r="WK67" s="468"/>
      <c r="WL67" s="468"/>
      <c r="WM67" s="468"/>
      <c r="WN67" s="468"/>
      <c r="WO67" s="468"/>
      <c r="WP67" s="468"/>
      <c r="WQ67" s="468"/>
      <c r="WR67" s="468"/>
      <c r="WS67" s="468"/>
      <c r="WT67" s="468"/>
      <c r="WU67" s="468"/>
      <c r="WV67" s="468"/>
      <c r="WW67" s="468"/>
      <c r="WX67" s="468"/>
      <c r="WY67" s="468"/>
      <c r="WZ67" s="468"/>
      <c r="XA67" s="468"/>
      <c r="XB67" s="468"/>
      <c r="XC67" s="468"/>
      <c r="XD67" s="468"/>
      <c r="XE67" s="468"/>
      <c r="XF67" s="468"/>
      <c r="XG67" s="468"/>
      <c r="XH67" s="468"/>
      <c r="XI67" s="468"/>
      <c r="XJ67" s="468"/>
      <c r="XK67" s="468"/>
      <c r="XL67" s="468"/>
      <c r="XM67" s="468"/>
      <c r="XN67" s="468"/>
      <c r="XO67" s="468"/>
      <c r="XP67" s="468"/>
      <c r="XQ67" s="466"/>
    </row>
    <row r="68" spans="1:642" s="24" customFormat="1" ht="12" x14ac:dyDescent="0.2">
      <c r="A68" s="331" t="s">
        <v>1454</v>
      </c>
      <c r="B68" s="375" t="s">
        <v>1345</v>
      </c>
      <c r="C68" s="375" t="s">
        <v>1346</v>
      </c>
      <c r="D68" s="26" t="s">
        <v>1777</v>
      </c>
      <c r="E68" s="333" t="s">
        <v>1374</v>
      </c>
      <c r="F68" s="330">
        <v>33</v>
      </c>
      <c r="G68" s="330" t="s">
        <v>183</v>
      </c>
      <c r="H68" s="330" t="s">
        <v>35</v>
      </c>
      <c r="I68" s="28"/>
      <c r="J68" s="28"/>
      <c r="K68" s="28"/>
      <c r="L68" s="28"/>
      <c r="M68" s="330"/>
      <c r="N68" s="330"/>
      <c r="O68" s="354" t="s">
        <v>1819</v>
      </c>
      <c r="P68" s="354" t="s">
        <v>1722</v>
      </c>
      <c r="Q68" s="354" t="s">
        <v>1704</v>
      </c>
      <c r="R68" s="354" t="s">
        <v>1019</v>
      </c>
      <c r="S68" s="406" t="s">
        <v>1846</v>
      </c>
      <c r="T68" s="389" t="s">
        <v>1847</v>
      </c>
      <c r="V68" s="28"/>
      <c r="W68" s="393"/>
      <c r="Z68" s="393"/>
      <c r="AA68" s="354" t="s">
        <v>1876</v>
      </c>
      <c r="AB68" s="395" t="s">
        <v>1877</v>
      </c>
      <c r="AC68" s="393" t="s">
        <v>1891</v>
      </c>
      <c r="AF68" s="393"/>
      <c r="AI68" s="393"/>
      <c r="AL68" s="393"/>
      <c r="AO68" s="492"/>
      <c r="AP68" s="492"/>
      <c r="AS68" s="393"/>
      <c r="AT68" s="354" t="s">
        <v>1945</v>
      </c>
      <c r="AU68" s="395" t="s">
        <v>1877</v>
      </c>
      <c r="AV68" s="404" t="s">
        <v>2011</v>
      </c>
      <c r="AZ68" s="330"/>
      <c r="BC68" s="468"/>
      <c r="BD68" s="468"/>
      <c r="BE68" s="468"/>
      <c r="BF68" s="468"/>
      <c r="BG68" s="468"/>
      <c r="BH68" s="468"/>
      <c r="BI68" s="468"/>
      <c r="BJ68" s="468"/>
      <c r="BK68" s="468"/>
      <c r="BL68" s="468"/>
      <c r="BM68" s="468"/>
      <c r="BN68" s="468"/>
      <c r="BO68" s="468"/>
      <c r="BP68" s="468"/>
      <c r="BQ68" s="468"/>
      <c r="BR68" s="468"/>
      <c r="BS68" s="468"/>
      <c r="BT68" s="468"/>
      <c r="BU68" s="468"/>
      <c r="BV68" s="468"/>
      <c r="BW68" s="468"/>
      <c r="BX68" s="468"/>
      <c r="BY68" s="468"/>
      <c r="BZ68" s="468"/>
      <c r="CA68" s="468"/>
      <c r="CB68" s="468"/>
      <c r="CC68" s="468"/>
      <c r="CD68" s="468"/>
      <c r="CE68" s="468"/>
      <c r="CF68" s="468"/>
      <c r="CG68" s="468"/>
      <c r="CH68" s="468"/>
      <c r="CI68" s="468"/>
      <c r="CJ68" s="468"/>
      <c r="CK68" s="468"/>
      <c r="CL68" s="468"/>
      <c r="CM68" s="468"/>
      <c r="CN68" s="468"/>
      <c r="CO68" s="468"/>
      <c r="CP68" s="468"/>
      <c r="CQ68" s="468"/>
      <c r="CR68" s="468"/>
      <c r="CS68" s="468"/>
      <c r="CT68" s="468"/>
      <c r="CU68" s="468"/>
      <c r="CV68" s="468"/>
      <c r="CW68" s="468"/>
      <c r="CX68" s="468"/>
      <c r="CY68" s="468"/>
      <c r="CZ68" s="468"/>
      <c r="DA68" s="468"/>
      <c r="DB68" s="468"/>
      <c r="DC68" s="468"/>
      <c r="DD68" s="468"/>
      <c r="DE68" s="468"/>
      <c r="DF68" s="468"/>
      <c r="DG68" s="468"/>
      <c r="DH68" s="468"/>
      <c r="DI68" s="468"/>
      <c r="DJ68" s="468"/>
      <c r="DK68" s="468"/>
      <c r="DL68" s="468"/>
      <c r="DM68" s="468"/>
      <c r="DN68" s="468"/>
      <c r="DO68" s="468"/>
      <c r="DP68" s="468"/>
      <c r="DQ68" s="468"/>
      <c r="DR68" s="468"/>
      <c r="DS68" s="468"/>
      <c r="DT68" s="468"/>
      <c r="DU68" s="468"/>
      <c r="DV68" s="468"/>
      <c r="DW68" s="468"/>
      <c r="DX68" s="468"/>
      <c r="DY68" s="468"/>
      <c r="DZ68" s="468"/>
      <c r="EA68" s="468"/>
      <c r="EB68" s="468"/>
      <c r="EC68" s="468"/>
      <c r="ED68" s="468"/>
      <c r="EE68" s="468"/>
      <c r="EF68" s="468"/>
      <c r="EG68" s="468"/>
      <c r="EH68" s="468"/>
      <c r="EI68" s="468"/>
      <c r="EJ68" s="468"/>
      <c r="EK68" s="468"/>
      <c r="EL68" s="468"/>
      <c r="EM68" s="468"/>
      <c r="EN68" s="468"/>
      <c r="EO68" s="468"/>
      <c r="EP68" s="468"/>
      <c r="EQ68" s="468"/>
      <c r="ER68" s="468"/>
      <c r="ES68" s="468"/>
      <c r="ET68" s="468"/>
      <c r="EU68" s="468"/>
      <c r="EV68" s="468"/>
      <c r="EW68" s="468"/>
      <c r="EX68" s="468"/>
      <c r="EY68" s="468"/>
      <c r="EZ68" s="468"/>
      <c r="FA68" s="468"/>
      <c r="FB68" s="468"/>
      <c r="FC68" s="468"/>
      <c r="FD68" s="468"/>
      <c r="FE68" s="468"/>
      <c r="FF68" s="468"/>
      <c r="FG68" s="468"/>
      <c r="FH68" s="468"/>
      <c r="FI68" s="468"/>
      <c r="FJ68" s="468"/>
      <c r="FK68" s="468"/>
      <c r="FL68" s="468"/>
      <c r="FM68" s="468"/>
      <c r="FN68" s="468"/>
      <c r="FO68" s="468"/>
      <c r="FP68" s="468"/>
      <c r="FQ68" s="468"/>
      <c r="FR68" s="468"/>
      <c r="FS68" s="468"/>
      <c r="FT68" s="468"/>
      <c r="FU68" s="468"/>
      <c r="FV68" s="468"/>
      <c r="FW68" s="468"/>
      <c r="FX68" s="468"/>
      <c r="FY68" s="468"/>
      <c r="FZ68" s="468"/>
      <c r="GA68" s="468"/>
      <c r="GB68" s="468"/>
      <c r="GC68" s="468"/>
      <c r="GD68" s="468"/>
      <c r="GE68" s="468"/>
      <c r="GF68" s="468"/>
      <c r="GG68" s="468"/>
      <c r="GH68" s="468"/>
      <c r="GI68" s="468"/>
      <c r="GJ68" s="468"/>
      <c r="GK68" s="468"/>
      <c r="GL68" s="468"/>
      <c r="GM68" s="468"/>
      <c r="GN68" s="468"/>
      <c r="GO68" s="468"/>
      <c r="GP68" s="468"/>
      <c r="GQ68" s="468"/>
      <c r="GR68" s="468"/>
      <c r="GS68" s="468"/>
      <c r="GT68" s="468"/>
      <c r="GU68" s="468"/>
      <c r="GV68" s="468"/>
      <c r="GW68" s="468"/>
      <c r="GX68" s="468"/>
      <c r="GY68" s="468"/>
      <c r="GZ68" s="468"/>
      <c r="HA68" s="468"/>
      <c r="HB68" s="468"/>
      <c r="HC68" s="468"/>
      <c r="HD68" s="468"/>
      <c r="HE68" s="468"/>
      <c r="HF68" s="468"/>
      <c r="HG68" s="468"/>
      <c r="HH68" s="468"/>
      <c r="HI68" s="468"/>
      <c r="HJ68" s="468"/>
      <c r="HK68" s="468"/>
      <c r="HL68" s="468"/>
      <c r="HM68" s="468"/>
      <c r="HN68" s="468"/>
      <c r="HO68" s="468"/>
      <c r="HP68" s="468"/>
      <c r="HQ68" s="468"/>
      <c r="HR68" s="468"/>
      <c r="HS68" s="468"/>
      <c r="HT68" s="468"/>
      <c r="HU68" s="468"/>
      <c r="HV68" s="468"/>
      <c r="HW68" s="468"/>
      <c r="HX68" s="468"/>
      <c r="HY68" s="468"/>
      <c r="HZ68" s="468"/>
      <c r="IA68" s="468"/>
      <c r="IB68" s="468"/>
      <c r="IC68" s="468"/>
      <c r="ID68" s="468"/>
      <c r="IE68" s="468"/>
      <c r="IF68" s="468"/>
      <c r="IG68" s="468"/>
      <c r="IH68" s="468"/>
      <c r="II68" s="468"/>
      <c r="IJ68" s="468"/>
      <c r="IK68" s="468"/>
      <c r="IL68" s="468"/>
      <c r="IM68" s="468"/>
      <c r="IN68" s="468"/>
      <c r="IO68" s="468"/>
      <c r="IP68" s="468"/>
      <c r="IQ68" s="468"/>
      <c r="IR68" s="468"/>
      <c r="IS68" s="468"/>
      <c r="IT68" s="468"/>
      <c r="IU68" s="468"/>
      <c r="IV68" s="468"/>
      <c r="IW68" s="468"/>
      <c r="IX68" s="468"/>
      <c r="IY68" s="468"/>
      <c r="IZ68" s="468"/>
      <c r="JA68" s="468"/>
      <c r="JB68" s="468"/>
      <c r="JC68" s="468"/>
      <c r="JD68" s="468"/>
      <c r="JE68" s="468"/>
      <c r="JF68" s="468"/>
      <c r="JG68" s="468"/>
      <c r="JH68" s="468"/>
      <c r="JI68" s="468"/>
      <c r="JJ68" s="468"/>
      <c r="JK68" s="468"/>
      <c r="JL68" s="468"/>
      <c r="JM68" s="468"/>
      <c r="JN68" s="468"/>
      <c r="JO68" s="468"/>
      <c r="JP68" s="468"/>
      <c r="JQ68" s="468"/>
      <c r="JR68" s="468"/>
      <c r="JS68" s="468"/>
      <c r="JT68" s="468"/>
      <c r="JU68" s="468"/>
      <c r="JV68" s="468"/>
      <c r="JW68" s="468"/>
      <c r="JX68" s="468"/>
      <c r="JY68" s="468"/>
      <c r="JZ68" s="468"/>
      <c r="KA68" s="468"/>
      <c r="KB68" s="468"/>
      <c r="KC68" s="468"/>
      <c r="KD68" s="468"/>
      <c r="KE68" s="468"/>
      <c r="KF68" s="468"/>
      <c r="KG68" s="468"/>
      <c r="KH68" s="468"/>
      <c r="KI68" s="468"/>
      <c r="KJ68" s="468"/>
      <c r="KK68" s="468"/>
      <c r="KL68" s="468"/>
      <c r="KM68" s="468"/>
      <c r="KN68" s="468"/>
      <c r="KO68" s="468"/>
      <c r="KP68" s="468"/>
      <c r="KQ68" s="468"/>
      <c r="KR68" s="468"/>
      <c r="KS68" s="468"/>
      <c r="KT68" s="468"/>
      <c r="KU68" s="468"/>
      <c r="KV68" s="468"/>
      <c r="KW68" s="468"/>
      <c r="KX68" s="468"/>
      <c r="KY68" s="468"/>
      <c r="KZ68" s="468"/>
      <c r="LA68" s="468"/>
      <c r="LB68" s="468"/>
      <c r="LC68" s="468"/>
      <c r="LD68" s="468"/>
      <c r="LE68" s="468"/>
      <c r="LF68" s="468"/>
      <c r="LG68" s="468"/>
      <c r="LH68" s="468"/>
      <c r="LI68" s="468"/>
      <c r="LJ68" s="468"/>
      <c r="LK68" s="468"/>
      <c r="LL68" s="468"/>
      <c r="LM68" s="468"/>
      <c r="LN68" s="468"/>
      <c r="LO68" s="468"/>
      <c r="LP68" s="468"/>
      <c r="LQ68" s="468"/>
      <c r="LR68" s="468"/>
      <c r="LS68" s="468"/>
      <c r="LT68" s="468"/>
      <c r="LU68" s="468"/>
      <c r="LV68" s="468"/>
      <c r="LW68" s="468"/>
      <c r="LX68" s="468"/>
      <c r="LY68" s="468"/>
      <c r="LZ68" s="468"/>
      <c r="MA68" s="468"/>
      <c r="MB68" s="468"/>
      <c r="MC68" s="468"/>
      <c r="MD68" s="468"/>
      <c r="ME68" s="468"/>
      <c r="MF68" s="468"/>
      <c r="MG68" s="468"/>
      <c r="MH68" s="468"/>
      <c r="MI68" s="468"/>
      <c r="MJ68" s="468"/>
      <c r="MK68" s="468"/>
      <c r="ML68" s="468"/>
      <c r="MM68" s="468"/>
      <c r="MN68" s="468"/>
      <c r="MO68" s="468"/>
      <c r="MP68" s="468"/>
      <c r="MQ68" s="468"/>
      <c r="MR68" s="468"/>
      <c r="MS68" s="468"/>
      <c r="MT68" s="468"/>
      <c r="MU68" s="468"/>
      <c r="MV68" s="468"/>
      <c r="MW68" s="468"/>
      <c r="MX68" s="468"/>
      <c r="MY68" s="468"/>
      <c r="MZ68" s="468"/>
      <c r="NA68" s="468"/>
      <c r="NB68" s="468"/>
      <c r="NC68" s="468"/>
      <c r="ND68" s="468"/>
      <c r="NE68" s="468"/>
      <c r="NF68" s="468"/>
      <c r="NG68" s="468"/>
      <c r="NH68" s="468"/>
      <c r="NI68" s="468"/>
      <c r="NJ68" s="468"/>
      <c r="NK68" s="468"/>
      <c r="NL68" s="468"/>
      <c r="NM68" s="468"/>
      <c r="NN68" s="468"/>
      <c r="NO68" s="468"/>
      <c r="NP68" s="468"/>
      <c r="NQ68" s="468"/>
      <c r="NR68" s="468"/>
      <c r="NS68" s="468"/>
      <c r="NT68" s="468"/>
      <c r="NU68" s="468"/>
      <c r="NV68" s="468"/>
      <c r="NW68" s="468"/>
      <c r="NX68" s="468"/>
      <c r="NY68" s="468"/>
      <c r="NZ68" s="468"/>
      <c r="OA68" s="468"/>
      <c r="OB68" s="468"/>
      <c r="OC68" s="468"/>
      <c r="OD68" s="468"/>
      <c r="OE68" s="468"/>
      <c r="OF68" s="468"/>
      <c r="OG68" s="468"/>
      <c r="OH68" s="468"/>
      <c r="OI68" s="468"/>
      <c r="OJ68" s="468"/>
      <c r="OK68" s="468"/>
      <c r="OL68" s="468"/>
      <c r="OM68" s="468"/>
      <c r="ON68" s="468"/>
      <c r="OO68" s="468"/>
      <c r="OP68" s="468"/>
      <c r="OQ68" s="468"/>
      <c r="OR68" s="468"/>
      <c r="OS68" s="468"/>
      <c r="OT68" s="468"/>
      <c r="OU68" s="468"/>
      <c r="OV68" s="468"/>
      <c r="OW68" s="468"/>
      <c r="OX68" s="468"/>
      <c r="OY68" s="468"/>
      <c r="OZ68" s="468"/>
      <c r="PA68" s="468"/>
      <c r="PB68" s="468"/>
      <c r="PC68" s="468"/>
      <c r="PD68" s="468"/>
      <c r="PE68" s="468"/>
      <c r="PF68" s="468"/>
      <c r="PG68" s="468"/>
      <c r="PH68" s="468"/>
      <c r="PI68" s="468"/>
      <c r="PJ68" s="468"/>
      <c r="PK68" s="468"/>
      <c r="PL68" s="468"/>
      <c r="PM68" s="468"/>
      <c r="PN68" s="468"/>
      <c r="PO68" s="468"/>
      <c r="PP68" s="468"/>
      <c r="PQ68" s="468"/>
      <c r="PR68" s="468"/>
      <c r="PS68" s="468"/>
      <c r="PT68" s="468"/>
      <c r="PU68" s="468"/>
      <c r="PV68" s="468"/>
      <c r="PW68" s="468"/>
      <c r="PX68" s="468"/>
      <c r="PY68" s="468"/>
      <c r="PZ68" s="468"/>
      <c r="QA68" s="468"/>
      <c r="QB68" s="468"/>
      <c r="QC68" s="468"/>
      <c r="QD68" s="468"/>
      <c r="QE68" s="468"/>
      <c r="QF68" s="468"/>
      <c r="QG68" s="468"/>
      <c r="QH68" s="468"/>
      <c r="QI68" s="468"/>
      <c r="QJ68" s="468"/>
      <c r="QK68" s="468"/>
      <c r="QL68" s="468"/>
      <c r="QM68" s="468"/>
      <c r="QN68" s="468"/>
      <c r="QO68" s="468"/>
      <c r="QP68" s="468"/>
      <c r="QQ68" s="468"/>
      <c r="QR68" s="468"/>
      <c r="QS68" s="468"/>
      <c r="QT68" s="468"/>
      <c r="QU68" s="468"/>
      <c r="QV68" s="468"/>
      <c r="QW68" s="468"/>
      <c r="QX68" s="468"/>
      <c r="QY68" s="468"/>
      <c r="QZ68" s="468"/>
      <c r="RA68" s="468"/>
      <c r="RB68" s="468"/>
      <c r="RC68" s="468"/>
      <c r="RD68" s="468"/>
      <c r="RE68" s="468"/>
      <c r="RF68" s="468"/>
      <c r="RG68" s="468"/>
      <c r="RH68" s="468"/>
      <c r="RI68" s="468"/>
      <c r="RJ68" s="468"/>
      <c r="RK68" s="468"/>
      <c r="RL68" s="468"/>
      <c r="RM68" s="468"/>
      <c r="RN68" s="468"/>
      <c r="RO68" s="468"/>
      <c r="RP68" s="468"/>
      <c r="RQ68" s="468"/>
      <c r="RR68" s="468"/>
      <c r="RS68" s="468"/>
      <c r="RT68" s="468"/>
      <c r="RU68" s="468"/>
      <c r="RV68" s="468"/>
      <c r="RW68" s="468"/>
      <c r="RX68" s="468"/>
      <c r="RY68" s="468"/>
      <c r="RZ68" s="468"/>
      <c r="SA68" s="468"/>
      <c r="SB68" s="468"/>
      <c r="SC68" s="468"/>
      <c r="SD68" s="468"/>
      <c r="SE68" s="468"/>
      <c r="SF68" s="468"/>
      <c r="SG68" s="468"/>
      <c r="SH68" s="468"/>
      <c r="SI68" s="468"/>
      <c r="SJ68" s="468"/>
      <c r="SK68" s="468"/>
      <c r="SL68" s="468"/>
      <c r="SM68" s="468"/>
      <c r="SN68" s="468"/>
      <c r="SO68" s="468"/>
      <c r="SP68" s="468"/>
      <c r="SQ68" s="468"/>
      <c r="SR68" s="468"/>
      <c r="SS68" s="468"/>
      <c r="ST68" s="468"/>
      <c r="SU68" s="468"/>
      <c r="SV68" s="468"/>
      <c r="SW68" s="468"/>
      <c r="SX68" s="468"/>
      <c r="SY68" s="468"/>
      <c r="SZ68" s="468"/>
      <c r="TA68" s="468"/>
      <c r="TB68" s="468"/>
      <c r="TC68" s="468"/>
      <c r="TD68" s="468"/>
      <c r="TE68" s="468"/>
      <c r="TF68" s="468"/>
      <c r="TG68" s="468"/>
      <c r="TH68" s="468"/>
      <c r="TI68" s="468"/>
      <c r="TJ68" s="468"/>
      <c r="TK68" s="468"/>
      <c r="TL68" s="468"/>
      <c r="TM68" s="468"/>
      <c r="TN68" s="468"/>
      <c r="TO68" s="468"/>
      <c r="TP68" s="468"/>
      <c r="TQ68" s="468"/>
      <c r="TR68" s="468"/>
      <c r="TS68" s="468"/>
      <c r="TT68" s="468"/>
      <c r="TU68" s="468"/>
      <c r="TV68" s="468"/>
      <c r="TW68" s="468"/>
      <c r="TX68" s="468"/>
      <c r="TY68" s="468"/>
      <c r="TZ68" s="468"/>
      <c r="UA68" s="468"/>
      <c r="UB68" s="468"/>
      <c r="UC68" s="468"/>
      <c r="UD68" s="468"/>
      <c r="UE68" s="468"/>
      <c r="UF68" s="468"/>
      <c r="UG68" s="468"/>
      <c r="UH68" s="468"/>
      <c r="UI68" s="468"/>
      <c r="UJ68" s="468"/>
      <c r="UK68" s="468"/>
      <c r="UL68" s="468"/>
      <c r="UM68" s="468"/>
      <c r="UN68" s="468"/>
      <c r="UO68" s="468"/>
      <c r="UP68" s="468"/>
      <c r="UQ68" s="468"/>
      <c r="UR68" s="468"/>
      <c r="US68" s="468"/>
      <c r="UT68" s="468"/>
      <c r="UU68" s="468"/>
      <c r="UV68" s="468"/>
      <c r="UW68" s="468"/>
      <c r="UX68" s="468"/>
      <c r="UY68" s="468"/>
      <c r="UZ68" s="468"/>
      <c r="VA68" s="468"/>
      <c r="VB68" s="468"/>
      <c r="VC68" s="468"/>
      <c r="VD68" s="468"/>
      <c r="VE68" s="468"/>
      <c r="VF68" s="468"/>
      <c r="VG68" s="468"/>
      <c r="VH68" s="468"/>
      <c r="VI68" s="468"/>
      <c r="VJ68" s="468"/>
      <c r="VK68" s="468"/>
      <c r="VL68" s="468"/>
      <c r="VM68" s="468"/>
      <c r="VN68" s="468"/>
      <c r="VO68" s="468"/>
      <c r="VP68" s="468"/>
      <c r="VQ68" s="468"/>
      <c r="VR68" s="468"/>
      <c r="VS68" s="468"/>
      <c r="VT68" s="468"/>
      <c r="VU68" s="468"/>
      <c r="VV68" s="468"/>
      <c r="VW68" s="468"/>
      <c r="VX68" s="468"/>
      <c r="VY68" s="468"/>
      <c r="VZ68" s="468"/>
      <c r="WA68" s="468"/>
      <c r="WB68" s="468"/>
      <c r="WC68" s="468"/>
      <c r="WD68" s="468"/>
      <c r="WE68" s="468"/>
      <c r="WF68" s="468"/>
      <c r="WG68" s="468"/>
      <c r="WH68" s="468"/>
      <c r="WI68" s="468"/>
      <c r="WJ68" s="468"/>
      <c r="WK68" s="468"/>
      <c r="WL68" s="468"/>
      <c r="WM68" s="468"/>
      <c r="WN68" s="468"/>
      <c r="WO68" s="468"/>
      <c r="WP68" s="468"/>
      <c r="WQ68" s="468"/>
      <c r="WR68" s="468"/>
      <c r="WS68" s="468"/>
      <c r="WT68" s="468"/>
      <c r="WU68" s="468"/>
      <c r="WV68" s="468"/>
      <c r="WW68" s="468"/>
      <c r="WX68" s="468"/>
      <c r="WY68" s="468"/>
      <c r="WZ68" s="468"/>
      <c r="XA68" s="468"/>
      <c r="XB68" s="468"/>
      <c r="XC68" s="468"/>
      <c r="XD68" s="468"/>
      <c r="XE68" s="468"/>
      <c r="XF68" s="468"/>
      <c r="XG68" s="468"/>
      <c r="XH68" s="468"/>
      <c r="XI68" s="468"/>
      <c r="XJ68" s="468"/>
      <c r="XK68" s="468"/>
      <c r="XL68" s="468"/>
      <c r="XM68" s="468"/>
      <c r="XN68" s="468"/>
      <c r="XO68" s="468"/>
      <c r="XP68" s="468"/>
      <c r="XQ68" s="467"/>
    </row>
    <row r="69" spans="1:642" s="657" customFormat="1" x14ac:dyDescent="0.25">
      <c r="A69" s="659" t="s">
        <v>1455</v>
      </c>
      <c r="B69" s="652" t="s">
        <v>33</v>
      </c>
      <c r="C69" s="652" t="s">
        <v>59</v>
      </c>
      <c r="D69" s="645" t="s">
        <v>1777</v>
      </c>
      <c r="E69" s="653" t="s">
        <v>1551</v>
      </c>
      <c r="F69" s="344">
        <v>49</v>
      </c>
      <c r="G69" s="344" t="s">
        <v>183</v>
      </c>
      <c r="H69" s="344" t="s">
        <v>35</v>
      </c>
      <c r="I69" s="654"/>
      <c r="J69" s="654"/>
      <c r="K69" s="654"/>
      <c r="L69" s="654"/>
      <c r="M69" s="654"/>
      <c r="N69" s="654"/>
      <c r="O69" s="344" t="s">
        <v>1625</v>
      </c>
      <c r="P69" s="344" t="s">
        <v>1626</v>
      </c>
      <c r="Q69" s="344" t="s">
        <v>1581</v>
      </c>
      <c r="R69" s="344" t="s">
        <v>1019</v>
      </c>
      <c r="S69" s="343" t="s">
        <v>1800</v>
      </c>
      <c r="T69" s="344" t="s">
        <v>1769</v>
      </c>
      <c r="U69" s="344"/>
      <c r="V69" s="344"/>
      <c r="W69" s="195"/>
      <c r="X69" s="344"/>
      <c r="Y69" s="344"/>
      <c r="Z69" s="195"/>
      <c r="AA69" s="654"/>
      <c r="AB69" s="655" t="s">
        <v>238</v>
      </c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654"/>
      <c r="AP69" s="654"/>
      <c r="AQ69" s="195"/>
      <c r="AR69" s="24"/>
      <c r="AS69" s="24"/>
      <c r="AT69" s="344"/>
      <c r="AU69" s="344"/>
      <c r="AV69" s="701"/>
      <c r="AW69" s="656"/>
      <c r="AX69" s="656"/>
      <c r="AY69" s="656"/>
      <c r="AZ69" s="344"/>
      <c r="BA69" s="195"/>
      <c r="BB69" s="656"/>
    </row>
    <row r="70" spans="1:642" customFormat="1" x14ac:dyDescent="0.25">
      <c r="A70" s="517" t="s">
        <v>1456</v>
      </c>
      <c r="B70" s="577" t="s">
        <v>36</v>
      </c>
      <c r="C70" s="577" t="s">
        <v>1477</v>
      </c>
      <c r="D70" s="579" t="s">
        <v>1777</v>
      </c>
      <c r="E70" s="578" t="s">
        <v>1478</v>
      </c>
      <c r="F70" s="326">
        <v>45</v>
      </c>
      <c r="G70" s="326" t="s">
        <v>183</v>
      </c>
      <c r="H70" s="326" t="s">
        <v>35</v>
      </c>
      <c r="I70" s="158"/>
      <c r="J70" s="158"/>
      <c r="K70" s="158"/>
      <c r="L70" s="158"/>
      <c r="M70" s="158"/>
      <c r="N70" s="158"/>
      <c r="O70" s="354" t="s">
        <v>1683</v>
      </c>
      <c r="P70" s="354" t="s">
        <v>1770</v>
      </c>
      <c r="Q70" s="354" t="s">
        <v>1867</v>
      </c>
      <c r="R70" s="354" t="s">
        <v>1019</v>
      </c>
      <c r="S70" s="406" t="s">
        <v>1868</v>
      </c>
      <c r="T70" s="389" t="s">
        <v>1869</v>
      </c>
      <c r="U70" s="158"/>
      <c r="V70" s="158"/>
      <c r="W70" s="393"/>
      <c r="X70" s="23"/>
      <c r="Y70" s="23"/>
      <c r="Z70" s="393"/>
      <c r="AA70" s="442" t="s">
        <v>1852</v>
      </c>
      <c r="AB70" s="395" t="s">
        <v>1853</v>
      </c>
      <c r="AC70" s="393" t="s">
        <v>1854</v>
      </c>
      <c r="AD70" s="23"/>
      <c r="AE70" s="23"/>
      <c r="AF70" s="393"/>
      <c r="AG70" s="23"/>
      <c r="AH70" s="23"/>
      <c r="AI70" s="393"/>
      <c r="AJ70" s="23"/>
      <c r="AK70" s="23"/>
      <c r="AL70" s="393"/>
      <c r="AM70" s="23"/>
      <c r="AN70" s="23"/>
      <c r="AO70" s="158"/>
      <c r="AP70" s="158"/>
      <c r="AQ70" s="23"/>
      <c r="AR70" s="23"/>
      <c r="AS70" s="393"/>
      <c r="AT70" s="354" t="s">
        <v>1852</v>
      </c>
      <c r="AU70" s="395" t="s">
        <v>1853</v>
      </c>
      <c r="AV70" s="404" t="s">
        <v>1854</v>
      </c>
      <c r="AW70" s="175"/>
      <c r="AX70" s="110"/>
      <c r="AY70" s="175"/>
      <c r="AZ70" s="330"/>
      <c r="BA70" s="23"/>
      <c r="BB70" s="175"/>
      <c r="BC70" s="470"/>
      <c r="BD70" s="470"/>
      <c r="BE70" s="470"/>
      <c r="BF70" s="470"/>
      <c r="BG70" s="470"/>
      <c r="BH70" s="470"/>
      <c r="BI70" s="470"/>
      <c r="BJ70" s="470"/>
      <c r="BK70" s="470"/>
      <c r="BL70" s="470"/>
      <c r="BM70" s="470"/>
      <c r="BN70" s="470"/>
      <c r="BO70" s="470"/>
      <c r="BP70" s="470"/>
      <c r="BQ70" s="470"/>
      <c r="BR70" s="470"/>
      <c r="BS70" s="470"/>
      <c r="BT70" s="470"/>
      <c r="BU70" s="470"/>
      <c r="BV70" s="470"/>
      <c r="BW70" s="470"/>
      <c r="BX70" s="470"/>
      <c r="BY70" s="470"/>
      <c r="BZ70" s="470"/>
      <c r="CA70" s="470"/>
      <c r="CB70" s="470"/>
      <c r="CC70" s="470"/>
      <c r="CD70" s="470"/>
      <c r="CE70" s="470"/>
      <c r="CF70" s="470"/>
      <c r="CG70" s="470"/>
      <c r="CH70" s="470"/>
      <c r="CI70" s="470"/>
      <c r="CJ70" s="470"/>
      <c r="CK70" s="470"/>
      <c r="CL70" s="470"/>
      <c r="CM70" s="470"/>
      <c r="CN70" s="470"/>
      <c r="CO70" s="470"/>
      <c r="CP70" s="470"/>
      <c r="CQ70" s="470"/>
      <c r="CR70" s="470"/>
      <c r="CS70" s="470"/>
      <c r="CT70" s="470"/>
      <c r="CU70" s="470"/>
      <c r="CV70" s="470"/>
      <c r="CW70" s="470"/>
      <c r="CX70" s="470"/>
      <c r="CY70" s="470"/>
      <c r="CZ70" s="470"/>
      <c r="DA70" s="470"/>
      <c r="DB70" s="470"/>
      <c r="DC70" s="470"/>
      <c r="DD70" s="470"/>
      <c r="DE70" s="470"/>
      <c r="DF70" s="470"/>
      <c r="DG70" s="470"/>
      <c r="DH70" s="470"/>
      <c r="DI70" s="470"/>
      <c r="DJ70" s="470"/>
      <c r="DK70" s="470"/>
      <c r="DL70" s="470"/>
      <c r="DM70" s="470"/>
      <c r="DN70" s="470"/>
      <c r="DO70" s="470"/>
      <c r="DP70" s="470"/>
      <c r="DQ70" s="470"/>
      <c r="DR70" s="470"/>
      <c r="DS70" s="470"/>
      <c r="DT70" s="470"/>
      <c r="DU70" s="470"/>
      <c r="DV70" s="470"/>
      <c r="DW70" s="470"/>
      <c r="DX70" s="470"/>
      <c r="DY70" s="470"/>
      <c r="DZ70" s="470"/>
      <c r="EA70" s="470"/>
      <c r="EB70" s="470"/>
      <c r="EC70" s="470"/>
      <c r="ED70" s="470"/>
      <c r="EE70" s="470"/>
      <c r="EF70" s="470"/>
      <c r="EG70" s="470"/>
      <c r="EH70" s="470"/>
      <c r="EI70" s="470"/>
      <c r="EJ70" s="470"/>
      <c r="EK70" s="470"/>
      <c r="EL70" s="470"/>
      <c r="EM70" s="470"/>
      <c r="EN70" s="470"/>
      <c r="EO70" s="470"/>
      <c r="EP70" s="470"/>
      <c r="EQ70" s="470"/>
      <c r="ER70" s="470"/>
      <c r="ES70" s="470"/>
      <c r="ET70" s="470"/>
      <c r="EU70" s="470"/>
      <c r="EV70" s="470"/>
      <c r="EW70" s="470"/>
      <c r="EX70" s="470"/>
      <c r="EY70" s="470"/>
      <c r="EZ70" s="470"/>
      <c r="FA70" s="470"/>
      <c r="FB70" s="470"/>
      <c r="FC70" s="470"/>
      <c r="FD70" s="470"/>
      <c r="FE70" s="470"/>
      <c r="FF70" s="470"/>
      <c r="FG70" s="470"/>
      <c r="FH70" s="470"/>
      <c r="FI70" s="470"/>
      <c r="FJ70" s="470"/>
      <c r="FK70" s="470"/>
      <c r="FL70" s="470"/>
      <c r="FM70" s="470"/>
      <c r="FN70" s="470"/>
      <c r="FO70" s="470"/>
      <c r="FP70" s="470"/>
      <c r="FQ70" s="470"/>
      <c r="FR70" s="470"/>
      <c r="FS70" s="470"/>
      <c r="FT70" s="470"/>
      <c r="FU70" s="470"/>
      <c r="FV70" s="470"/>
      <c r="FW70" s="470"/>
      <c r="FX70" s="470"/>
      <c r="FY70" s="470"/>
      <c r="FZ70" s="470"/>
      <c r="GA70" s="470"/>
      <c r="GB70" s="470"/>
      <c r="GC70" s="470"/>
      <c r="GD70" s="470"/>
      <c r="GE70" s="470"/>
      <c r="GF70" s="470"/>
      <c r="GG70" s="470"/>
      <c r="GH70" s="470"/>
      <c r="GI70" s="470"/>
      <c r="GJ70" s="470"/>
      <c r="GK70" s="470"/>
      <c r="GL70" s="470"/>
      <c r="GM70" s="470"/>
      <c r="GN70" s="470"/>
      <c r="GO70" s="470"/>
      <c r="GP70" s="470"/>
      <c r="GQ70" s="470"/>
      <c r="GR70" s="470"/>
      <c r="GS70" s="470"/>
      <c r="GT70" s="470"/>
      <c r="GU70" s="470"/>
      <c r="GV70" s="470"/>
      <c r="GW70" s="470"/>
      <c r="GX70" s="470"/>
      <c r="GY70" s="470"/>
      <c r="GZ70" s="470"/>
      <c r="HA70" s="470"/>
      <c r="HB70" s="470"/>
      <c r="HC70" s="470"/>
      <c r="HD70" s="470"/>
      <c r="HE70" s="470"/>
      <c r="HF70" s="470"/>
      <c r="HG70" s="470"/>
      <c r="HH70" s="470"/>
      <c r="HI70" s="470"/>
      <c r="HJ70" s="470"/>
      <c r="HK70" s="470"/>
      <c r="HL70" s="470"/>
      <c r="HM70" s="470"/>
      <c r="HN70" s="470"/>
      <c r="HO70" s="470"/>
      <c r="HP70" s="470"/>
      <c r="HQ70" s="470"/>
      <c r="HR70" s="470"/>
      <c r="HS70" s="470"/>
      <c r="HT70" s="470"/>
      <c r="HU70" s="470"/>
      <c r="HV70" s="470"/>
      <c r="HW70" s="470"/>
      <c r="HX70" s="470"/>
      <c r="HY70" s="470"/>
      <c r="HZ70" s="470"/>
      <c r="IA70" s="470"/>
      <c r="IB70" s="470"/>
      <c r="IC70" s="470"/>
      <c r="ID70" s="470"/>
      <c r="IE70" s="470"/>
      <c r="IF70" s="470"/>
      <c r="IG70" s="470"/>
      <c r="IH70" s="470"/>
      <c r="II70" s="470"/>
      <c r="IJ70" s="470"/>
      <c r="IK70" s="470"/>
      <c r="IL70" s="470"/>
      <c r="IM70" s="470"/>
      <c r="IN70" s="470"/>
      <c r="IO70" s="470"/>
      <c r="IP70" s="470"/>
      <c r="IQ70" s="470"/>
      <c r="IR70" s="470"/>
      <c r="IS70" s="470"/>
      <c r="IT70" s="470"/>
      <c r="IU70" s="470"/>
      <c r="IV70" s="470"/>
      <c r="IW70" s="470"/>
      <c r="IX70" s="470"/>
      <c r="IY70" s="470"/>
      <c r="IZ70" s="470"/>
      <c r="JA70" s="470"/>
      <c r="JB70" s="470"/>
      <c r="JC70" s="470"/>
      <c r="JD70" s="470"/>
      <c r="JE70" s="470"/>
      <c r="JF70" s="470"/>
      <c r="JG70" s="470"/>
      <c r="JH70" s="470"/>
      <c r="JI70" s="470"/>
      <c r="JJ70" s="470"/>
      <c r="JK70" s="470"/>
      <c r="JL70" s="470"/>
      <c r="JM70" s="470"/>
      <c r="JN70" s="470"/>
      <c r="JO70" s="470"/>
      <c r="JP70" s="470"/>
      <c r="JQ70" s="470"/>
      <c r="JR70" s="470"/>
      <c r="JS70" s="470"/>
      <c r="JT70" s="470"/>
      <c r="JU70" s="470"/>
      <c r="JV70" s="470"/>
      <c r="JW70" s="470"/>
      <c r="JX70" s="470"/>
      <c r="JY70" s="470"/>
      <c r="JZ70" s="470"/>
      <c r="KA70" s="470"/>
      <c r="KB70" s="470"/>
      <c r="KC70" s="470"/>
      <c r="KD70" s="470"/>
      <c r="KE70" s="470"/>
      <c r="KF70" s="470"/>
      <c r="KG70" s="470"/>
      <c r="KH70" s="470"/>
      <c r="KI70" s="470"/>
      <c r="KJ70" s="470"/>
      <c r="KK70" s="470"/>
      <c r="KL70" s="470"/>
      <c r="KM70" s="470"/>
      <c r="KN70" s="470"/>
      <c r="KO70" s="470"/>
      <c r="KP70" s="470"/>
      <c r="KQ70" s="470"/>
      <c r="KR70" s="470"/>
      <c r="KS70" s="470"/>
      <c r="KT70" s="470"/>
      <c r="KU70" s="470"/>
      <c r="KV70" s="470"/>
      <c r="KW70" s="470"/>
      <c r="KX70" s="470"/>
      <c r="KY70" s="470"/>
      <c r="KZ70" s="470"/>
      <c r="LA70" s="470"/>
      <c r="LB70" s="470"/>
      <c r="LC70" s="470"/>
      <c r="LD70" s="470"/>
      <c r="LE70" s="470"/>
      <c r="LF70" s="470"/>
      <c r="LG70" s="470"/>
      <c r="LH70" s="470"/>
      <c r="LI70" s="470"/>
      <c r="LJ70" s="470"/>
      <c r="LK70" s="470"/>
      <c r="LL70" s="470"/>
      <c r="LM70" s="470"/>
      <c r="LN70" s="470"/>
      <c r="LO70" s="470"/>
      <c r="LP70" s="470"/>
      <c r="LQ70" s="470"/>
      <c r="LR70" s="470"/>
      <c r="LS70" s="470"/>
      <c r="LT70" s="470"/>
      <c r="LU70" s="470"/>
      <c r="LV70" s="470"/>
      <c r="LW70" s="470"/>
      <c r="LX70" s="470"/>
      <c r="LY70" s="470"/>
      <c r="LZ70" s="470"/>
      <c r="MA70" s="470"/>
      <c r="MB70" s="470"/>
      <c r="MC70" s="470"/>
      <c r="MD70" s="470"/>
      <c r="ME70" s="470"/>
      <c r="MF70" s="470"/>
      <c r="MG70" s="470"/>
      <c r="MH70" s="470"/>
      <c r="MI70" s="470"/>
      <c r="MJ70" s="470"/>
      <c r="MK70" s="470"/>
      <c r="ML70" s="470"/>
      <c r="MM70" s="470"/>
      <c r="MN70" s="470"/>
      <c r="MO70" s="470"/>
      <c r="MP70" s="470"/>
      <c r="MQ70" s="470"/>
      <c r="MR70" s="470"/>
      <c r="MS70" s="470"/>
      <c r="MT70" s="470"/>
      <c r="MU70" s="470"/>
      <c r="MV70" s="470"/>
      <c r="MW70" s="470"/>
      <c r="MX70" s="470"/>
      <c r="MY70" s="470"/>
      <c r="MZ70" s="470"/>
      <c r="NA70" s="470"/>
      <c r="NB70" s="470"/>
      <c r="NC70" s="470"/>
      <c r="ND70" s="470"/>
      <c r="NE70" s="470"/>
      <c r="NF70" s="470"/>
      <c r="NG70" s="470"/>
      <c r="NH70" s="470"/>
      <c r="NI70" s="470"/>
      <c r="NJ70" s="470"/>
      <c r="NK70" s="470"/>
      <c r="NL70" s="470"/>
      <c r="NM70" s="470"/>
      <c r="NN70" s="470"/>
      <c r="NO70" s="470"/>
      <c r="NP70" s="470"/>
      <c r="NQ70" s="470"/>
      <c r="NR70" s="470"/>
      <c r="NS70" s="470"/>
      <c r="NT70" s="470"/>
      <c r="NU70" s="470"/>
      <c r="NV70" s="470"/>
      <c r="NW70" s="470"/>
      <c r="NX70" s="470"/>
      <c r="NY70" s="470"/>
      <c r="NZ70" s="470"/>
      <c r="OA70" s="470"/>
      <c r="OB70" s="470"/>
      <c r="OC70" s="470"/>
      <c r="OD70" s="470"/>
      <c r="OE70" s="470"/>
      <c r="OF70" s="470"/>
      <c r="OG70" s="470"/>
      <c r="OH70" s="470"/>
      <c r="OI70" s="470"/>
      <c r="OJ70" s="470"/>
      <c r="OK70" s="470"/>
      <c r="OL70" s="470"/>
      <c r="OM70" s="470"/>
      <c r="ON70" s="470"/>
      <c r="OO70" s="470"/>
      <c r="OP70" s="470"/>
      <c r="OQ70" s="470"/>
      <c r="OR70" s="470"/>
      <c r="OS70" s="470"/>
      <c r="OT70" s="470"/>
      <c r="OU70" s="470"/>
      <c r="OV70" s="470"/>
      <c r="OW70" s="470"/>
      <c r="OX70" s="470"/>
      <c r="OY70" s="470"/>
      <c r="OZ70" s="470"/>
      <c r="PA70" s="470"/>
      <c r="PB70" s="470"/>
      <c r="PC70" s="470"/>
      <c r="PD70" s="470"/>
      <c r="PE70" s="470"/>
      <c r="PF70" s="470"/>
      <c r="PG70" s="470"/>
      <c r="PH70" s="470"/>
      <c r="PI70" s="470"/>
      <c r="PJ70" s="470"/>
      <c r="PK70" s="470"/>
      <c r="PL70" s="470"/>
      <c r="PM70" s="470"/>
      <c r="PN70" s="470"/>
      <c r="PO70" s="470"/>
      <c r="PP70" s="470"/>
      <c r="PQ70" s="470"/>
      <c r="PR70" s="470"/>
      <c r="PS70" s="470"/>
      <c r="PT70" s="470"/>
      <c r="PU70" s="470"/>
      <c r="PV70" s="470"/>
      <c r="PW70" s="470"/>
      <c r="PX70" s="470"/>
      <c r="PY70" s="470"/>
      <c r="PZ70" s="470"/>
      <c r="QA70" s="470"/>
      <c r="QB70" s="470"/>
      <c r="QC70" s="470"/>
      <c r="QD70" s="470"/>
      <c r="QE70" s="470"/>
      <c r="QF70" s="470"/>
      <c r="QG70" s="470"/>
      <c r="QH70" s="470"/>
      <c r="QI70" s="470"/>
      <c r="QJ70" s="470"/>
      <c r="QK70" s="470"/>
      <c r="QL70" s="470"/>
      <c r="QM70" s="470"/>
      <c r="QN70" s="470"/>
      <c r="QO70" s="470"/>
      <c r="QP70" s="470"/>
      <c r="QQ70" s="470"/>
      <c r="QR70" s="470"/>
      <c r="QS70" s="470"/>
      <c r="QT70" s="470"/>
      <c r="QU70" s="470"/>
      <c r="QV70" s="470"/>
      <c r="QW70" s="470"/>
      <c r="QX70" s="470"/>
      <c r="QY70" s="470"/>
      <c r="QZ70" s="470"/>
      <c r="RA70" s="470"/>
      <c r="RB70" s="470"/>
      <c r="RC70" s="470"/>
      <c r="RD70" s="470"/>
      <c r="RE70" s="470"/>
      <c r="RF70" s="470"/>
      <c r="RG70" s="470"/>
      <c r="RH70" s="470"/>
      <c r="RI70" s="470"/>
      <c r="RJ70" s="470"/>
      <c r="RK70" s="470"/>
      <c r="RL70" s="470"/>
      <c r="RM70" s="470"/>
      <c r="RN70" s="470"/>
      <c r="RO70" s="470"/>
      <c r="RP70" s="470"/>
      <c r="RQ70" s="470"/>
      <c r="RR70" s="470"/>
      <c r="RS70" s="470"/>
      <c r="RT70" s="470"/>
      <c r="RU70" s="470"/>
      <c r="RV70" s="470"/>
      <c r="RW70" s="470"/>
      <c r="RX70" s="470"/>
      <c r="RY70" s="470"/>
      <c r="RZ70" s="470"/>
      <c r="SA70" s="470"/>
      <c r="SB70" s="470"/>
      <c r="SC70" s="470"/>
      <c r="SD70" s="470"/>
      <c r="SE70" s="470"/>
      <c r="SF70" s="470"/>
      <c r="SG70" s="470"/>
      <c r="SH70" s="470"/>
      <c r="SI70" s="470"/>
      <c r="SJ70" s="470"/>
      <c r="SK70" s="470"/>
      <c r="SL70" s="470"/>
      <c r="SM70" s="470"/>
      <c r="SN70" s="470"/>
      <c r="SO70" s="470"/>
      <c r="SP70" s="470"/>
      <c r="SQ70" s="470"/>
      <c r="SR70" s="470"/>
      <c r="SS70" s="470"/>
      <c r="ST70" s="470"/>
      <c r="SU70" s="470"/>
      <c r="SV70" s="470"/>
      <c r="SW70" s="470"/>
      <c r="SX70" s="470"/>
      <c r="SY70" s="470"/>
      <c r="SZ70" s="470"/>
      <c r="TA70" s="470"/>
      <c r="TB70" s="470"/>
      <c r="TC70" s="470"/>
      <c r="TD70" s="470"/>
      <c r="TE70" s="470"/>
      <c r="TF70" s="470"/>
      <c r="TG70" s="470"/>
      <c r="TH70" s="470"/>
      <c r="TI70" s="470"/>
      <c r="TJ70" s="470"/>
      <c r="TK70" s="470"/>
      <c r="TL70" s="470"/>
      <c r="TM70" s="470"/>
      <c r="TN70" s="470"/>
      <c r="TO70" s="470"/>
      <c r="TP70" s="470"/>
      <c r="TQ70" s="470"/>
      <c r="TR70" s="470"/>
      <c r="TS70" s="470"/>
      <c r="TT70" s="470"/>
      <c r="TU70" s="470"/>
      <c r="TV70" s="470"/>
      <c r="TW70" s="470"/>
      <c r="TX70" s="470"/>
      <c r="TY70" s="470"/>
      <c r="TZ70" s="470"/>
      <c r="UA70" s="470"/>
      <c r="UB70" s="470"/>
      <c r="UC70" s="470"/>
      <c r="UD70" s="470"/>
      <c r="UE70" s="470"/>
      <c r="UF70" s="470"/>
      <c r="UG70" s="470"/>
      <c r="UH70" s="470"/>
      <c r="UI70" s="470"/>
      <c r="UJ70" s="470"/>
      <c r="UK70" s="470"/>
      <c r="UL70" s="470"/>
      <c r="UM70" s="470"/>
      <c r="UN70" s="470"/>
      <c r="UO70" s="470"/>
      <c r="UP70" s="470"/>
      <c r="UQ70" s="470"/>
      <c r="UR70" s="470"/>
      <c r="US70" s="470"/>
      <c r="UT70" s="470"/>
      <c r="UU70" s="470"/>
      <c r="UV70" s="470"/>
      <c r="UW70" s="470"/>
      <c r="UX70" s="470"/>
      <c r="UY70" s="470"/>
      <c r="UZ70" s="470"/>
      <c r="VA70" s="470"/>
      <c r="VB70" s="470"/>
      <c r="VC70" s="470"/>
      <c r="VD70" s="470"/>
      <c r="VE70" s="470"/>
      <c r="VF70" s="470"/>
      <c r="VG70" s="470"/>
      <c r="VH70" s="470"/>
      <c r="VI70" s="470"/>
      <c r="VJ70" s="470"/>
      <c r="VK70" s="470"/>
      <c r="VL70" s="470"/>
      <c r="VM70" s="470"/>
      <c r="VN70" s="470"/>
      <c r="VO70" s="470"/>
      <c r="VP70" s="470"/>
      <c r="VQ70" s="470"/>
      <c r="VR70" s="470"/>
      <c r="VS70" s="470"/>
      <c r="VT70" s="470"/>
      <c r="VU70" s="470"/>
      <c r="VV70" s="470"/>
      <c r="VW70" s="470"/>
      <c r="VX70" s="470"/>
      <c r="VY70" s="470"/>
      <c r="VZ70" s="470"/>
      <c r="WA70" s="470"/>
      <c r="WB70" s="470"/>
      <c r="WC70" s="470"/>
      <c r="WD70" s="470"/>
      <c r="WE70" s="470"/>
      <c r="WF70" s="470"/>
      <c r="WG70" s="470"/>
      <c r="WH70" s="470"/>
      <c r="WI70" s="470"/>
      <c r="WJ70" s="470"/>
      <c r="WK70" s="470"/>
      <c r="WL70" s="470"/>
      <c r="WM70" s="470"/>
      <c r="WN70" s="470"/>
      <c r="WO70" s="470"/>
      <c r="WP70" s="470"/>
      <c r="WQ70" s="470"/>
      <c r="WR70" s="470"/>
      <c r="WS70" s="470"/>
      <c r="WT70" s="470"/>
      <c r="WU70" s="470"/>
      <c r="WV70" s="470"/>
      <c r="WW70" s="470"/>
      <c r="WX70" s="470"/>
      <c r="WY70" s="470"/>
      <c r="WZ70" s="470"/>
      <c r="XA70" s="470"/>
      <c r="XB70" s="470"/>
      <c r="XC70" s="470"/>
      <c r="XD70" s="470"/>
      <c r="XE70" s="470"/>
      <c r="XF70" s="470"/>
      <c r="XG70" s="470"/>
      <c r="XH70" s="470"/>
      <c r="XI70" s="470"/>
      <c r="XJ70" s="470"/>
      <c r="XK70" s="470"/>
      <c r="XL70" s="470"/>
      <c r="XM70" s="470"/>
      <c r="XN70" s="470"/>
      <c r="XO70" s="470"/>
      <c r="XP70" s="470"/>
    </row>
    <row r="71" spans="1:642" customFormat="1" x14ac:dyDescent="0.25">
      <c r="A71" s="331" t="s">
        <v>1457</v>
      </c>
      <c r="B71" s="577" t="s">
        <v>36</v>
      </c>
      <c r="C71" s="577" t="s">
        <v>64</v>
      </c>
      <c r="D71" s="579" t="s">
        <v>1777</v>
      </c>
      <c r="E71" s="578" t="s">
        <v>294</v>
      </c>
      <c r="F71" s="326">
        <v>54</v>
      </c>
      <c r="G71" s="326" t="s">
        <v>183</v>
      </c>
      <c r="H71" s="326" t="s">
        <v>35</v>
      </c>
      <c r="I71" s="158"/>
      <c r="J71" s="158"/>
      <c r="K71" s="158"/>
      <c r="L71" s="158"/>
      <c r="M71" s="158"/>
      <c r="N71" s="158"/>
      <c r="O71" s="354" t="s">
        <v>1929</v>
      </c>
      <c r="P71" s="354" t="s">
        <v>1930</v>
      </c>
      <c r="Q71" s="354" t="s">
        <v>1704</v>
      </c>
      <c r="R71" s="533" t="s">
        <v>1519</v>
      </c>
      <c r="S71" s="406" t="s">
        <v>1846</v>
      </c>
      <c r="T71" s="389" t="s">
        <v>1847</v>
      </c>
      <c r="U71" s="110"/>
      <c r="V71" s="158"/>
      <c r="W71" s="393"/>
      <c r="X71" s="23"/>
      <c r="Y71" s="23"/>
      <c r="Z71" s="393"/>
      <c r="AA71" s="442" t="s">
        <v>1079</v>
      </c>
      <c r="AB71" s="395" t="s">
        <v>1931</v>
      </c>
      <c r="AC71" s="393"/>
      <c r="AD71" s="23"/>
      <c r="AE71" s="23"/>
      <c r="AF71" s="393"/>
      <c r="AG71" s="23"/>
      <c r="AH71" s="23"/>
      <c r="AI71" s="393"/>
      <c r="AJ71" s="23"/>
      <c r="AK71" s="23"/>
      <c r="AL71" s="393"/>
      <c r="AM71" s="23"/>
      <c r="AN71" s="23"/>
      <c r="AO71" s="158"/>
      <c r="AP71" s="158"/>
      <c r="AQ71" s="110"/>
      <c r="AR71" s="23"/>
      <c r="AS71" s="393"/>
      <c r="AT71" s="354" t="s">
        <v>1079</v>
      </c>
      <c r="AU71" s="395" t="s">
        <v>1931</v>
      </c>
      <c r="AV71" s="404" t="s">
        <v>2010</v>
      </c>
      <c r="AW71" s="175"/>
      <c r="AX71" s="110"/>
      <c r="AY71" s="175"/>
      <c r="AZ71" s="330"/>
      <c r="BA71" s="23"/>
      <c r="BB71" s="175"/>
      <c r="BC71" s="470"/>
      <c r="BD71" s="470"/>
      <c r="BE71" s="470"/>
      <c r="BF71" s="470"/>
      <c r="BG71" s="470"/>
      <c r="BH71" s="470"/>
      <c r="BI71" s="470"/>
      <c r="BJ71" s="470"/>
      <c r="BK71" s="470"/>
      <c r="BL71" s="470"/>
      <c r="BM71" s="470"/>
      <c r="BN71" s="470"/>
      <c r="BO71" s="470"/>
      <c r="BP71" s="470"/>
      <c r="BQ71" s="470"/>
      <c r="BR71" s="470"/>
      <c r="BS71" s="470"/>
      <c r="BT71" s="470"/>
      <c r="BU71" s="470"/>
      <c r="BV71" s="470"/>
      <c r="BW71" s="470"/>
      <c r="BX71" s="470"/>
      <c r="BY71" s="470"/>
      <c r="BZ71" s="470"/>
      <c r="CA71" s="470"/>
      <c r="CB71" s="470"/>
      <c r="CC71" s="470"/>
      <c r="CD71" s="470"/>
      <c r="CE71" s="470"/>
      <c r="CF71" s="470"/>
      <c r="CG71" s="470"/>
      <c r="CH71" s="470"/>
      <c r="CI71" s="470"/>
      <c r="CJ71" s="470"/>
      <c r="CK71" s="470"/>
      <c r="CL71" s="470"/>
      <c r="CM71" s="470"/>
      <c r="CN71" s="470"/>
      <c r="CO71" s="470"/>
      <c r="CP71" s="470"/>
      <c r="CQ71" s="470"/>
      <c r="CR71" s="470"/>
      <c r="CS71" s="470"/>
      <c r="CT71" s="470"/>
      <c r="CU71" s="470"/>
      <c r="CV71" s="470"/>
      <c r="CW71" s="470"/>
      <c r="CX71" s="470"/>
      <c r="CY71" s="470"/>
      <c r="CZ71" s="470"/>
      <c r="DA71" s="470"/>
      <c r="DB71" s="470"/>
      <c r="DC71" s="470"/>
      <c r="DD71" s="470"/>
      <c r="DE71" s="470"/>
      <c r="DF71" s="470"/>
      <c r="DG71" s="470"/>
      <c r="DH71" s="470"/>
      <c r="DI71" s="470"/>
      <c r="DJ71" s="470"/>
      <c r="DK71" s="470"/>
      <c r="DL71" s="470"/>
      <c r="DM71" s="470"/>
      <c r="DN71" s="470"/>
      <c r="DO71" s="470"/>
      <c r="DP71" s="470"/>
      <c r="DQ71" s="470"/>
      <c r="DR71" s="470"/>
      <c r="DS71" s="470"/>
      <c r="DT71" s="470"/>
      <c r="DU71" s="470"/>
      <c r="DV71" s="470"/>
      <c r="DW71" s="470"/>
      <c r="DX71" s="470"/>
      <c r="DY71" s="470"/>
      <c r="DZ71" s="470"/>
      <c r="EA71" s="470"/>
      <c r="EB71" s="470"/>
      <c r="EC71" s="470"/>
      <c r="ED71" s="470"/>
      <c r="EE71" s="470"/>
      <c r="EF71" s="470"/>
      <c r="EG71" s="470"/>
      <c r="EH71" s="470"/>
      <c r="EI71" s="470"/>
      <c r="EJ71" s="470"/>
      <c r="EK71" s="470"/>
      <c r="EL71" s="470"/>
      <c r="EM71" s="470"/>
      <c r="EN71" s="470"/>
      <c r="EO71" s="470"/>
      <c r="EP71" s="470"/>
      <c r="EQ71" s="470"/>
      <c r="ER71" s="470"/>
      <c r="ES71" s="470"/>
      <c r="ET71" s="470"/>
      <c r="EU71" s="470"/>
      <c r="EV71" s="470"/>
      <c r="EW71" s="470"/>
      <c r="EX71" s="470"/>
      <c r="EY71" s="470"/>
      <c r="EZ71" s="470"/>
      <c r="FA71" s="470"/>
      <c r="FB71" s="470"/>
      <c r="FC71" s="470"/>
      <c r="FD71" s="470"/>
      <c r="FE71" s="470"/>
      <c r="FF71" s="470"/>
      <c r="FG71" s="470"/>
      <c r="FH71" s="470"/>
      <c r="FI71" s="470"/>
      <c r="FJ71" s="470"/>
      <c r="FK71" s="470"/>
      <c r="FL71" s="470"/>
      <c r="FM71" s="470"/>
      <c r="FN71" s="470"/>
      <c r="FO71" s="470"/>
      <c r="FP71" s="470"/>
      <c r="FQ71" s="470"/>
      <c r="FR71" s="470"/>
      <c r="FS71" s="470"/>
      <c r="FT71" s="470"/>
      <c r="FU71" s="470"/>
      <c r="FV71" s="470"/>
      <c r="FW71" s="470"/>
      <c r="FX71" s="470"/>
      <c r="FY71" s="470"/>
      <c r="FZ71" s="470"/>
      <c r="GA71" s="470"/>
      <c r="GB71" s="470"/>
      <c r="GC71" s="470"/>
      <c r="GD71" s="470"/>
      <c r="GE71" s="470"/>
      <c r="GF71" s="470"/>
      <c r="GG71" s="470"/>
      <c r="GH71" s="470"/>
      <c r="GI71" s="470"/>
      <c r="GJ71" s="470"/>
      <c r="GK71" s="470"/>
      <c r="GL71" s="470"/>
      <c r="GM71" s="470"/>
      <c r="GN71" s="470"/>
      <c r="GO71" s="470"/>
      <c r="GP71" s="470"/>
      <c r="GQ71" s="470"/>
      <c r="GR71" s="470"/>
      <c r="GS71" s="470"/>
      <c r="GT71" s="470"/>
      <c r="GU71" s="470"/>
      <c r="GV71" s="470"/>
      <c r="GW71" s="470"/>
      <c r="GX71" s="470"/>
      <c r="GY71" s="470"/>
      <c r="GZ71" s="470"/>
      <c r="HA71" s="470"/>
      <c r="HB71" s="470"/>
      <c r="HC71" s="470"/>
      <c r="HD71" s="470"/>
      <c r="HE71" s="470"/>
      <c r="HF71" s="470"/>
      <c r="HG71" s="470"/>
      <c r="HH71" s="470"/>
      <c r="HI71" s="470"/>
      <c r="HJ71" s="470"/>
      <c r="HK71" s="470"/>
      <c r="HL71" s="470"/>
      <c r="HM71" s="470"/>
      <c r="HN71" s="470"/>
      <c r="HO71" s="470"/>
      <c r="HP71" s="470"/>
      <c r="HQ71" s="470"/>
      <c r="HR71" s="470"/>
      <c r="HS71" s="470"/>
      <c r="HT71" s="470"/>
      <c r="HU71" s="470"/>
      <c r="HV71" s="470"/>
      <c r="HW71" s="470"/>
      <c r="HX71" s="470"/>
      <c r="HY71" s="470"/>
      <c r="HZ71" s="470"/>
      <c r="IA71" s="470"/>
      <c r="IB71" s="470"/>
      <c r="IC71" s="470"/>
      <c r="ID71" s="470"/>
      <c r="IE71" s="470"/>
      <c r="IF71" s="470"/>
      <c r="IG71" s="470"/>
      <c r="IH71" s="470"/>
      <c r="II71" s="470"/>
      <c r="IJ71" s="470"/>
      <c r="IK71" s="470"/>
      <c r="IL71" s="470"/>
      <c r="IM71" s="470"/>
      <c r="IN71" s="470"/>
      <c r="IO71" s="470"/>
      <c r="IP71" s="470"/>
      <c r="IQ71" s="470"/>
      <c r="IR71" s="470"/>
      <c r="IS71" s="470"/>
      <c r="IT71" s="470"/>
      <c r="IU71" s="470"/>
      <c r="IV71" s="470"/>
      <c r="IW71" s="470"/>
      <c r="IX71" s="470"/>
      <c r="IY71" s="470"/>
      <c r="IZ71" s="470"/>
      <c r="JA71" s="470"/>
      <c r="JB71" s="470"/>
      <c r="JC71" s="470"/>
      <c r="JD71" s="470"/>
      <c r="JE71" s="470"/>
      <c r="JF71" s="470"/>
      <c r="JG71" s="470"/>
      <c r="JH71" s="470"/>
      <c r="JI71" s="470"/>
      <c r="JJ71" s="470"/>
      <c r="JK71" s="470"/>
      <c r="JL71" s="470"/>
      <c r="JM71" s="470"/>
      <c r="JN71" s="470"/>
      <c r="JO71" s="470"/>
      <c r="JP71" s="470"/>
      <c r="JQ71" s="470"/>
      <c r="JR71" s="470"/>
      <c r="JS71" s="470"/>
      <c r="JT71" s="470"/>
      <c r="JU71" s="470"/>
      <c r="JV71" s="470"/>
      <c r="JW71" s="470"/>
      <c r="JX71" s="470"/>
      <c r="JY71" s="470"/>
      <c r="JZ71" s="470"/>
      <c r="KA71" s="470"/>
      <c r="KB71" s="470"/>
      <c r="KC71" s="470"/>
      <c r="KD71" s="470"/>
      <c r="KE71" s="470"/>
      <c r="KF71" s="470"/>
      <c r="KG71" s="470"/>
      <c r="KH71" s="470"/>
      <c r="KI71" s="470"/>
      <c r="KJ71" s="470"/>
      <c r="KK71" s="470"/>
      <c r="KL71" s="470"/>
      <c r="KM71" s="470"/>
      <c r="KN71" s="470"/>
      <c r="KO71" s="470"/>
      <c r="KP71" s="470"/>
      <c r="KQ71" s="470"/>
      <c r="KR71" s="470"/>
      <c r="KS71" s="470"/>
      <c r="KT71" s="470"/>
      <c r="KU71" s="470"/>
      <c r="KV71" s="470"/>
      <c r="KW71" s="470"/>
      <c r="KX71" s="470"/>
      <c r="KY71" s="470"/>
      <c r="KZ71" s="470"/>
      <c r="LA71" s="470"/>
      <c r="LB71" s="470"/>
      <c r="LC71" s="470"/>
      <c r="LD71" s="470"/>
      <c r="LE71" s="470"/>
      <c r="LF71" s="470"/>
      <c r="LG71" s="470"/>
      <c r="LH71" s="470"/>
      <c r="LI71" s="470"/>
      <c r="LJ71" s="470"/>
      <c r="LK71" s="470"/>
      <c r="LL71" s="470"/>
      <c r="LM71" s="470"/>
      <c r="LN71" s="470"/>
      <c r="LO71" s="470"/>
      <c r="LP71" s="470"/>
      <c r="LQ71" s="470"/>
      <c r="LR71" s="470"/>
      <c r="LS71" s="470"/>
      <c r="LT71" s="470"/>
      <c r="LU71" s="470"/>
      <c r="LV71" s="470"/>
      <c r="LW71" s="470"/>
      <c r="LX71" s="470"/>
      <c r="LY71" s="470"/>
      <c r="LZ71" s="470"/>
      <c r="MA71" s="470"/>
      <c r="MB71" s="470"/>
      <c r="MC71" s="470"/>
      <c r="MD71" s="470"/>
      <c r="ME71" s="470"/>
      <c r="MF71" s="470"/>
      <c r="MG71" s="470"/>
      <c r="MH71" s="470"/>
      <c r="MI71" s="470"/>
      <c r="MJ71" s="470"/>
      <c r="MK71" s="470"/>
      <c r="ML71" s="470"/>
      <c r="MM71" s="470"/>
      <c r="MN71" s="470"/>
      <c r="MO71" s="470"/>
      <c r="MP71" s="470"/>
      <c r="MQ71" s="470"/>
      <c r="MR71" s="470"/>
      <c r="MS71" s="470"/>
      <c r="MT71" s="470"/>
      <c r="MU71" s="470"/>
      <c r="MV71" s="470"/>
      <c r="MW71" s="470"/>
      <c r="MX71" s="470"/>
      <c r="MY71" s="470"/>
      <c r="MZ71" s="470"/>
      <c r="NA71" s="470"/>
      <c r="NB71" s="470"/>
      <c r="NC71" s="470"/>
      <c r="ND71" s="470"/>
      <c r="NE71" s="470"/>
      <c r="NF71" s="470"/>
      <c r="NG71" s="470"/>
      <c r="NH71" s="470"/>
      <c r="NI71" s="470"/>
      <c r="NJ71" s="470"/>
      <c r="NK71" s="470"/>
      <c r="NL71" s="470"/>
      <c r="NM71" s="470"/>
      <c r="NN71" s="470"/>
      <c r="NO71" s="470"/>
      <c r="NP71" s="470"/>
      <c r="NQ71" s="470"/>
      <c r="NR71" s="470"/>
      <c r="NS71" s="470"/>
      <c r="NT71" s="470"/>
      <c r="NU71" s="470"/>
      <c r="NV71" s="470"/>
      <c r="NW71" s="470"/>
      <c r="NX71" s="470"/>
      <c r="NY71" s="470"/>
      <c r="NZ71" s="470"/>
      <c r="OA71" s="470"/>
      <c r="OB71" s="470"/>
      <c r="OC71" s="470"/>
      <c r="OD71" s="470"/>
      <c r="OE71" s="470"/>
      <c r="OF71" s="470"/>
      <c r="OG71" s="470"/>
      <c r="OH71" s="470"/>
      <c r="OI71" s="470"/>
      <c r="OJ71" s="470"/>
      <c r="OK71" s="470"/>
      <c r="OL71" s="470"/>
      <c r="OM71" s="470"/>
      <c r="ON71" s="470"/>
      <c r="OO71" s="470"/>
      <c r="OP71" s="470"/>
      <c r="OQ71" s="470"/>
      <c r="OR71" s="470"/>
      <c r="OS71" s="470"/>
      <c r="OT71" s="470"/>
      <c r="OU71" s="470"/>
      <c r="OV71" s="470"/>
      <c r="OW71" s="470"/>
      <c r="OX71" s="470"/>
      <c r="OY71" s="470"/>
      <c r="OZ71" s="470"/>
      <c r="PA71" s="470"/>
      <c r="PB71" s="470"/>
      <c r="PC71" s="470"/>
      <c r="PD71" s="470"/>
      <c r="PE71" s="470"/>
      <c r="PF71" s="470"/>
      <c r="PG71" s="470"/>
      <c r="PH71" s="470"/>
      <c r="PI71" s="470"/>
      <c r="PJ71" s="470"/>
      <c r="PK71" s="470"/>
      <c r="PL71" s="470"/>
      <c r="PM71" s="470"/>
      <c r="PN71" s="470"/>
      <c r="PO71" s="470"/>
      <c r="PP71" s="470"/>
      <c r="PQ71" s="470"/>
      <c r="PR71" s="470"/>
      <c r="PS71" s="470"/>
      <c r="PT71" s="470"/>
      <c r="PU71" s="470"/>
      <c r="PV71" s="470"/>
      <c r="PW71" s="470"/>
      <c r="PX71" s="470"/>
      <c r="PY71" s="470"/>
      <c r="PZ71" s="470"/>
      <c r="QA71" s="470"/>
      <c r="QB71" s="470"/>
      <c r="QC71" s="470"/>
      <c r="QD71" s="470"/>
      <c r="QE71" s="470"/>
      <c r="QF71" s="470"/>
      <c r="QG71" s="470"/>
      <c r="QH71" s="470"/>
      <c r="QI71" s="470"/>
      <c r="QJ71" s="470"/>
      <c r="QK71" s="470"/>
      <c r="QL71" s="470"/>
      <c r="QM71" s="470"/>
      <c r="QN71" s="470"/>
      <c r="QO71" s="470"/>
      <c r="QP71" s="470"/>
      <c r="QQ71" s="470"/>
      <c r="QR71" s="470"/>
      <c r="QS71" s="470"/>
      <c r="QT71" s="470"/>
      <c r="QU71" s="470"/>
      <c r="QV71" s="470"/>
      <c r="QW71" s="470"/>
      <c r="QX71" s="470"/>
      <c r="QY71" s="470"/>
      <c r="QZ71" s="470"/>
      <c r="RA71" s="470"/>
      <c r="RB71" s="470"/>
      <c r="RC71" s="470"/>
      <c r="RD71" s="470"/>
      <c r="RE71" s="470"/>
      <c r="RF71" s="470"/>
      <c r="RG71" s="470"/>
      <c r="RH71" s="470"/>
      <c r="RI71" s="470"/>
      <c r="RJ71" s="470"/>
      <c r="RK71" s="470"/>
      <c r="RL71" s="470"/>
      <c r="RM71" s="470"/>
      <c r="RN71" s="470"/>
      <c r="RO71" s="470"/>
      <c r="RP71" s="470"/>
      <c r="RQ71" s="470"/>
      <c r="RR71" s="470"/>
      <c r="RS71" s="470"/>
      <c r="RT71" s="470"/>
      <c r="RU71" s="470"/>
      <c r="RV71" s="470"/>
      <c r="RW71" s="470"/>
      <c r="RX71" s="470"/>
      <c r="RY71" s="470"/>
      <c r="RZ71" s="470"/>
      <c r="SA71" s="470"/>
      <c r="SB71" s="470"/>
      <c r="SC71" s="470"/>
      <c r="SD71" s="470"/>
      <c r="SE71" s="470"/>
      <c r="SF71" s="470"/>
      <c r="SG71" s="470"/>
      <c r="SH71" s="470"/>
      <c r="SI71" s="470"/>
      <c r="SJ71" s="470"/>
      <c r="SK71" s="470"/>
      <c r="SL71" s="470"/>
      <c r="SM71" s="470"/>
      <c r="SN71" s="470"/>
      <c r="SO71" s="470"/>
      <c r="SP71" s="470"/>
      <c r="SQ71" s="470"/>
      <c r="SR71" s="470"/>
      <c r="SS71" s="470"/>
      <c r="ST71" s="470"/>
      <c r="SU71" s="470"/>
      <c r="SV71" s="470"/>
      <c r="SW71" s="470"/>
      <c r="SX71" s="470"/>
      <c r="SY71" s="470"/>
      <c r="SZ71" s="470"/>
      <c r="TA71" s="470"/>
      <c r="TB71" s="470"/>
      <c r="TC71" s="470"/>
      <c r="TD71" s="470"/>
      <c r="TE71" s="470"/>
      <c r="TF71" s="470"/>
      <c r="TG71" s="470"/>
      <c r="TH71" s="470"/>
      <c r="TI71" s="470"/>
      <c r="TJ71" s="470"/>
      <c r="TK71" s="470"/>
      <c r="TL71" s="470"/>
      <c r="TM71" s="470"/>
      <c r="TN71" s="470"/>
      <c r="TO71" s="470"/>
      <c r="TP71" s="470"/>
      <c r="TQ71" s="470"/>
      <c r="TR71" s="470"/>
      <c r="TS71" s="470"/>
      <c r="TT71" s="470"/>
      <c r="TU71" s="470"/>
      <c r="TV71" s="470"/>
      <c r="TW71" s="470"/>
      <c r="TX71" s="470"/>
      <c r="TY71" s="470"/>
      <c r="TZ71" s="470"/>
      <c r="UA71" s="470"/>
      <c r="UB71" s="470"/>
      <c r="UC71" s="470"/>
      <c r="UD71" s="470"/>
      <c r="UE71" s="470"/>
      <c r="UF71" s="470"/>
      <c r="UG71" s="470"/>
      <c r="UH71" s="470"/>
      <c r="UI71" s="470"/>
      <c r="UJ71" s="470"/>
      <c r="UK71" s="470"/>
      <c r="UL71" s="470"/>
      <c r="UM71" s="470"/>
      <c r="UN71" s="470"/>
      <c r="UO71" s="470"/>
      <c r="UP71" s="470"/>
      <c r="UQ71" s="470"/>
      <c r="UR71" s="470"/>
      <c r="US71" s="470"/>
      <c r="UT71" s="470"/>
      <c r="UU71" s="470"/>
      <c r="UV71" s="470"/>
      <c r="UW71" s="470"/>
      <c r="UX71" s="470"/>
      <c r="UY71" s="470"/>
      <c r="UZ71" s="470"/>
      <c r="VA71" s="470"/>
      <c r="VB71" s="470"/>
      <c r="VC71" s="470"/>
      <c r="VD71" s="470"/>
      <c r="VE71" s="470"/>
      <c r="VF71" s="470"/>
      <c r="VG71" s="470"/>
      <c r="VH71" s="470"/>
      <c r="VI71" s="470"/>
      <c r="VJ71" s="470"/>
      <c r="VK71" s="470"/>
      <c r="VL71" s="470"/>
      <c r="VM71" s="470"/>
      <c r="VN71" s="470"/>
      <c r="VO71" s="470"/>
      <c r="VP71" s="470"/>
      <c r="VQ71" s="470"/>
      <c r="VR71" s="470"/>
      <c r="VS71" s="470"/>
      <c r="VT71" s="470"/>
      <c r="VU71" s="470"/>
      <c r="VV71" s="470"/>
      <c r="VW71" s="470"/>
      <c r="VX71" s="470"/>
      <c r="VY71" s="470"/>
      <c r="VZ71" s="470"/>
      <c r="WA71" s="470"/>
      <c r="WB71" s="470"/>
      <c r="WC71" s="470"/>
      <c r="WD71" s="470"/>
      <c r="WE71" s="470"/>
      <c r="WF71" s="470"/>
      <c r="WG71" s="470"/>
      <c r="WH71" s="470"/>
      <c r="WI71" s="470"/>
      <c r="WJ71" s="470"/>
      <c r="WK71" s="470"/>
      <c r="WL71" s="470"/>
      <c r="WM71" s="470"/>
      <c r="WN71" s="470"/>
      <c r="WO71" s="470"/>
      <c r="WP71" s="470"/>
      <c r="WQ71" s="470"/>
      <c r="WR71" s="470"/>
      <c r="WS71" s="470"/>
      <c r="WT71" s="470"/>
      <c r="WU71" s="470"/>
      <c r="WV71" s="470"/>
      <c r="WW71" s="470"/>
      <c r="WX71" s="470"/>
      <c r="WY71" s="470"/>
      <c r="WZ71" s="470"/>
      <c r="XA71" s="470"/>
      <c r="XB71" s="470"/>
      <c r="XC71" s="470"/>
      <c r="XD71" s="470"/>
      <c r="XE71" s="470"/>
      <c r="XF71" s="470"/>
      <c r="XG71" s="470"/>
      <c r="XH71" s="470"/>
      <c r="XI71" s="470"/>
      <c r="XJ71" s="470"/>
      <c r="XK71" s="470"/>
      <c r="XL71" s="470"/>
      <c r="XM71" s="470"/>
      <c r="XN71" s="470"/>
      <c r="XO71" s="470"/>
      <c r="XP71" s="470"/>
    </row>
    <row r="72" spans="1:642" s="110" customFormat="1" x14ac:dyDescent="0.25">
      <c r="A72" s="517" t="s">
        <v>1458</v>
      </c>
      <c r="B72" s="580" t="s">
        <v>611</v>
      </c>
      <c r="C72" s="580" t="s">
        <v>612</v>
      </c>
      <c r="D72" s="26" t="s">
        <v>1159</v>
      </c>
      <c r="E72" s="581" t="s">
        <v>1535</v>
      </c>
      <c r="F72" s="340">
        <v>50</v>
      </c>
      <c r="G72" s="326" t="s">
        <v>54</v>
      </c>
      <c r="H72" s="326" t="s">
        <v>35</v>
      </c>
      <c r="O72" s="354" t="s">
        <v>1533</v>
      </c>
      <c r="P72" s="354" t="s">
        <v>1534</v>
      </c>
      <c r="Q72" s="354" t="s">
        <v>1787</v>
      </c>
      <c r="R72" s="454" t="s">
        <v>1019</v>
      </c>
      <c r="S72" s="406" t="s">
        <v>1801</v>
      </c>
      <c r="T72" s="389" t="s">
        <v>1788</v>
      </c>
      <c r="U72" s="158"/>
      <c r="W72" s="545"/>
      <c r="X72" s="562"/>
      <c r="Y72" s="330"/>
      <c r="Z72" s="545"/>
      <c r="AA72" s="691"/>
      <c r="AB72" s="524"/>
      <c r="AC72" s="545"/>
      <c r="AF72" s="545"/>
      <c r="AI72" s="545"/>
      <c r="AL72" s="545"/>
      <c r="AS72" s="545"/>
      <c r="AT72" s="442" t="s">
        <v>1640</v>
      </c>
      <c r="AU72" s="395"/>
      <c r="AV72" s="404"/>
      <c r="AY72" s="175"/>
      <c r="AZ72" s="330"/>
      <c r="BC72" s="175"/>
      <c r="BD72" s="175"/>
      <c r="BE72" s="175"/>
      <c r="BF72" s="175"/>
      <c r="BG72" s="175"/>
      <c r="BH72" s="175"/>
      <c r="BI72" s="175"/>
      <c r="BJ72" s="175"/>
      <c r="BK72" s="175"/>
      <c r="BL72" s="175"/>
      <c r="BM72" s="175"/>
      <c r="BN72" s="175"/>
      <c r="BO72" s="175"/>
      <c r="BP72" s="175"/>
      <c r="BQ72" s="175"/>
      <c r="BR72" s="175"/>
      <c r="BS72" s="175"/>
      <c r="BT72" s="175"/>
      <c r="BU72" s="175"/>
      <c r="BV72" s="175"/>
      <c r="BW72" s="175"/>
      <c r="BX72" s="175"/>
      <c r="BY72" s="175"/>
      <c r="BZ72" s="175"/>
      <c r="CA72" s="175"/>
      <c r="CB72" s="175"/>
      <c r="CC72" s="175"/>
      <c r="CD72" s="175"/>
      <c r="CE72" s="175"/>
      <c r="CF72" s="175"/>
      <c r="CG72" s="175"/>
      <c r="CH72" s="175"/>
      <c r="CI72" s="175"/>
      <c r="CJ72" s="175"/>
      <c r="CK72" s="175"/>
      <c r="CL72" s="175"/>
      <c r="CM72" s="175"/>
      <c r="CN72" s="175"/>
      <c r="CO72" s="175"/>
      <c r="CP72" s="175"/>
      <c r="CQ72" s="175"/>
      <c r="CR72" s="175"/>
      <c r="CS72" s="175"/>
      <c r="CT72" s="175"/>
      <c r="CU72" s="175"/>
      <c r="CV72" s="175"/>
      <c r="CW72" s="175"/>
      <c r="CX72" s="175"/>
      <c r="CY72" s="175"/>
      <c r="CZ72" s="175"/>
      <c r="DA72" s="175"/>
      <c r="DB72" s="175"/>
      <c r="DC72" s="175"/>
      <c r="DD72" s="175"/>
      <c r="DE72" s="175"/>
      <c r="DF72" s="175"/>
      <c r="DG72" s="175"/>
      <c r="DH72" s="175"/>
      <c r="DI72" s="175"/>
      <c r="DJ72" s="175"/>
      <c r="DK72" s="175"/>
      <c r="DL72" s="175"/>
      <c r="DM72" s="175"/>
      <c r="DN72" s="175"/>
      <c r="DO72" s="175"/>
      <c r="DP72" s="175"/>
      <c r="DQ72" s="175"/>
      <c r="DR72" s="175"/>
      <c r="DS72" s="175"/>
      <c r="DT72" s="175"/>
      <c r="DU72" s="175"/>
      <c r="DV72" s="175"/>
      <c r="DW72" s="175"/>
      <c r="DX72" s="175"/>
      <c r="DY72" s="175"/>
      <c r="DZ72" s="175"/>
      <c r="EA72" s="175"/>
      <c r="EB72" s="175"/>
      <c r="EC72" s="175"/>
      <c r="ED72" s="175"/>
      <c r="EE72" s="175"/>
      <c r="EF72" s="175"/>
      <c r="EG72" s="175"/>
      <c r="EH72" s="175"/>
      <c r="EI72" s="175"/>
      <c r="EJ72" s="175"/>
      <c r="EK72" s="175"/>
      <c r="EL72" s="175"/>
      <c r="EM72" s="175"/>
      <c r="EN72" s="175"/>
      <c r="EO72" s="175"/>
      <c r="EP72" s="175"/>
      <c r="EQ72" s="175"/>
      <c r="ER72" s="175"/>
      <c r="ES72" s="175"/>
      <c r="ET72" s="175"/>
      <c r="EU72" s="175"/>
      <c r="EV72" s="175"/>
      <c r="EW72" s="175"/>
      <c r="EX72" s="175"/>
      <c r="EY72" s="175"/>
      <c r="EZ72" s="175"/>
      <c r="FA72" s="175"/>
      <c r="FB72" s="175"/>
      <c r="FC72" s="175"/>
      <c r="FD72" s="175"/>
      <c r="FE72" s="175"/>
      <c r="FF72" s="175"/>
      <c r="FG72" s="175"/>
      <c r="FH72" s="175"/>
      <c r="FI72" s="175"/>
      <c r="FJ72" s="175"/>
      <c r="FK72" s="175"/>
      <c r="FL72" s="175"/>
      <c r="FM72" s="175"/>
      <c r="FN72" s="175"/>
      <c r="FO72" s="175"/>
      <c r="FP72" s="175"/>
      <c r="FQ72" s="175"/>
      <c r="FR72" s="175"/>
      <c r="FS72" s="175"/>
      <c r="FT72" s="175"/>
      <c r="FU72" s="175"/>
      <c r="FV72" s="175"/>
      <c r="FW72" s="175"/>
      <c r="FX72" s="175"/>
      <c r="FY72" s="175"/>
      <c r="FZ72" s="175"/>
      <c r="GA72" s="175"/>
      <c r="GB72" s="175"/>
      <c r="GC72" s="175"/>
      <c r="GD72" s="175"/>
      <c r="GE72" s="175"/>
      <c r="GF72" s="175"/>
      <c r="GG72" s="175"/>
      <c r="GH72" s="175"/>
      <c r="GI72" s="175"/>
      <c r="GJ72" s="175"/>
      <c r="GK72" s="175"/>
      <c r="GL72" s="175"/>
      <c r="GM72" s="175"/>
      <c r="GN72" s="175"/>
      <c r="GO72" s="175"/>
      <c r="GP72" s="175"/>
      <c r="GQ72" s="175"/>
      <c r="GR72" s="175"/>
      <c r="GS72" s="175"/>
      <c r="GT72" s="175"/>
      <c r="GU72" s="175"/>
      <c r="GV72" s="175"/>
      <c r="GW72" s="175"/>
      <c r="GX72" s="175"/>
      <c r="GY72" s="175"/>
      <c r="GZ72" s="175"/>
      <c r="HA72" s="175"/>
      <c r="HB72" s="175"/>
      <c r="HC72" s="175"/>
      <c r="HD72" s="175"/>
      <c r="HE72" s="175"/>
      <c r="HF72" s="175"/>
      <c r="HG72" s="175"/>
      <c r="HH72" s="175"/>
      <c r="HI72" s="175"/>
      <c r="HJ72" s="175"/>
      <c r="HK72" s="175"/>
      <c r="HL72" s="175"/>
      <c r="HM72" s="175"/>
      <c r="HN72" s="175"/>
      <c r="HO72" s="175"/>
      <c r="HP72" s="175"/>
      <c r="HQ72" s="175"/>
      <c r="HR72" s="175"/>
      <c r="HS72" s="175"/>
      <c r="HT72" s="175"/>
      <c r="HU72" s="175"/>
      <c r="HV72" s="175"/>
      <c r="HW72" s="175"/>
      <c r="HX72" s="175"/>
      <c r="HY72" s="175"/>
      <c r="HZ72" s="175"/>
      <c r="IA72" s="175"/>
      <c r="IB72" s="175"/>
      <c r="IC72" s="175"/>
      <c r="ID72" s="175"/>
      <c r="IE72" s="175"/>
      <c r="IF72" s="175"/>
      <c r="IG72" s="175"/>
      <c r="IH72" s="175"/>
      <c r="II72" s="175"/>
      <c r="IJ72" s="175"/>
      <c r="IK72" s="175"/>
      <c r="IL72" s="175"/>
      <c r="IM72" s="175"/>
      <c r="IN72" s="175"/>
      <c r="IO72" s="175"/>
      <c r="IP72" s="175"/>
      <c r="IQ72" s="175"/>
      <c r="IR72" s="175"/>
      <c r="IS72" s="175"/>
      <c r="IT72" s="175"/>
      <c r="IU72" s="175"/>
      <c r="IV72" s="175"/>
      <c r="IW72" s="175"/>
      <c r="IX72" s="175"/>
      <c r="IY72" s="175"/>
      <c r="IZ72" s="175"/>
      <c r="JA72" s="175"/>
      <c r="JB72" s="175"/>
      <c r="JC72" s="175"/>
      <c r="JD72" s="175"/>
      <c r="JE72" s="175"/>
      <c r="JF72" s="175"/>
      <c r="JG72" s="175"/>
      <c r="JH72" s="175"/>
      <c r="JI72" s="175"/>
      <c r="JJ72" s="175"/>
      <c r="JK72" s="175"/>
      <c r="JL72" s="175"/>
      <c r="JM72" s="175"/>
      <c r="JN72" s="175"/>
      <c r="JO72" s="175"/>
      <c r="JP72" s="175"/>
      <c r="JQ72" s="175"/>
      <c r="JR72" s="175"/>
      <c r="JS72" s="175"/>
      <c r="JT72" s="175"/>
      <c r="JU72" s="175"/>
      <c r="JV72" s="175"/>
      <c r="JW72" s="175"/>
      <c r="JX72" s="175"/>
      <c r="JY72" s="175"/>
      <c r="JZ72" s="175"/>
      <c r="KA72" s="175"/>
      <c r="KB72" s="175"/>
      <c r="KC72" s="175"/>
      <c r="KD72" s="175"/>
      <c r="KE72" s="175"/>
      <c r="KF72" s="175"/>
      <c r="KG72" s="175"/>
      <c r="KH72" s="175"/>
      <c r="KI72" s="175"/>
      <c r="KJ72" s="175"/>
      <c r="KK72" s="175"/>
      <c r="KL72" s="175"/>
      <c r="KM72" s="175"/>
      <c r="KN72" s="175"/>
      <c r="KO72" s="175"/>
      <c r="KP72" s="175"/>
      <c r="KQ72" s="175"/>
      <c r="KR72" s="175"/>
      <c r="KS72" s="175"/>
      <c r="KT72" s="175"/>
      <c r="KU72" s="175"/>
      <c r="KV72" s="175"/>
      <c r="KW72" s="175"/>
      <c r="KX72" s="175"/>
      <c r="KY72" s="175"/>
      <c r="KZ72" s="175"/>
      <c r="LA72" s="175"/>
      <c r="LB72" s="175"/>
      <c r="LC72" s="175"/>
      <c r="LD72" s="175"/>
      <c r="LE72" s="175"/>
      <c r="LF72" s="175"/>
      <c r="LG72" s="175"/>
      <c r="LH72" s="175"/>
      <c r="LI72" s="175"/>
      <c r="LJ72" s="175"/>
      <c r="LK72" s="175"/>
      <c r="LL72" s="175"/>
      <c r="LM72" s="175"/>
      <c r="LN72" s="175"/>
      <c r="LO72" s="175"/>
      <c r="LP72" s="175"/>
      <c r="LQ72" s="175"/>
      <c r="LR72" s="175"/>
      <c r="LS72" s="175"/>
      <c r="LT72" s="175"/>
      <c r="LU72" s="175"/>
      <c r="LV72" s="175"/>
      <c r="LW72" s="175"/>
      <c r="LX72" s="175"/>
      <c r="LY72" s="175"/>
      <c r="LZ72" s="175"/>
      <c r="MA72" s="175"/>
      <c r="MB72" s="175"/>
      <c r="MC72" s="175"/>
      <c r="MD72" s="175"/>
      <c r="ME72" s="175"/>
      <c r="MF72" s="175"/>
      <c r="MG72" s="175"/>
      <c r="MH72" s="175"/>
      <c r="MI72" s="175"/>
      <c r="MJ72" s="175"/>
      <c r="MK72" s="175"/>
      <c r="ML72" s="175"/>
      <c r="MM72" s="175"/>
      <c r="MN72" s="175"/>
      <c r="MO72" s="175"/>
      <c r="MP72" s="175"/>
      <c r="MQ72" s="175"/>
      <c r="MR72" s="175"/>
      <c r="MS72" s="175"/>
      <c r="MT72" s="175"/>
      <c r="MU72" s="175"/>
      <c r="MV72" s="175"/>
      <c r="MW72" s="175"/>
      <c r="MX72" s="175"/>
      <c r="MY72" s="175"/>
      <c r="MZ72" s="175"/>
      <c r="NA72" s="175"/>
      <c r="NB72" s="175"/>
      <c r="NC72" s="175"/>
      <c r="ND72" s="175"/>
      <c r="NE72" s="175"/>
      <c r="NF72" s="175"/>
      <c r="NG72" s="175"/>
      <c r="NH72" s="175"/>
      <c r="NI72" s="175"/>
      <c r="NJ72" s="175"/>
      <c r="NK72" s="175"/>
      <c r="NL72" s="175"/>
      <c r="NM72" s="175"/>
      <c r="NN72" s="175"/>
      <c r="NO72" s="175"/>
      <c r="NP72" s="175"/>
      <c r="NQ72" s="175"/>
      <c r="NR72" s="175"/>
      <c r="NS72" s="175"/>
      <c r="NT72" s="175"/>
      <c r="NU72" s="175"/>
      <c r="NV72" s="175"/>
      <c r="NW72" s="175"/>
      <c r="NX72" s="175"/>
      <c r="NY72" s="175"/>
      <c r="NZ72" s="175"/>
      <c r="OA72" s="175"/>
      <c r="OB72" s="175"/>
      <c r="OC72" s="175"/>
      <c r="OD72" s="175"/>
      <c r="OE72" s="175"/>
      <c r="OF72" s="175"/>
      <c r="OG72" s="175"/>
      <c r="OH72" s="175"/>
      <c r="OI72" s="175"/>
      <c r="OJ72" s="175"/>
      <c r="OK72" s="175"/>
      <c r="OL72" s="175"/>
      <c r="OM72" s="175"/>
      <c r="ON72" s="175"/>
      <c r="OO72" s="175"/>
      <c r="OP72" s="175"/>
      <c r="OQ72" s="175"/>
      <c r="OR72" s="175"/>
      <c r="OS72" s="175"/>
      <c r="OT72" s="175"/>
      <c r="OU72" s="175"/>
      <c r="OV72" s="175"/>
      <c r="OW72" s="175"/>
      <c r="OX72" s="175"/>
      <c r="OY72" s="175"/>
      <c r="OZ72" s="175"/>
      <c r="PA72" s="175"/>
      <c r="PB72" s="175"/>
      <c r="PC72" s="175"/>
      <c r="PD72" s="175"/>
      <c r="PE72" s="175"/>
      <c r="PF72" s="175"/>
      <c r="PG72" s="175"/>
      <c r="PH72" s="175"/>
      <c r="PI72" s="175"/>
      <c r="PJ72" s="175"/>
      <c r="PK72" s="175"/>
      <c r="PL72" s="175"/>
      <c r="PM72" s="175"/>
      <c r="PN72" s="175"/>
      <c r="PO72" s="175"/>
      <c r="PP72" s="175"/>
      <c r="PQ72" s="175"/>
      <c r="PR72" s="175"/>
      <c r="PS72" s="175"/>
      <c r="PT72" s="175"/>
      <c r="PU72" s="175"/>
      <c r="PV72" s="175"/>
      <c r="PW72" s="175"/>
      <c r="PX72" s="175"/>
      <c r="PY72" s="175"/>
      <c r="PZ72" s="175"/>
      <c r="QA72" s="175"/>
      <c r="QB72" s="175"/>
      <c r="QC72" s="175"/>
      <c r="QD72" s="175"/>
      <c r="QE72" s="175"/>
      <c r="QF72" s="175"/>
      <c r="QG72" s="175"/>
      <c r="QH72" s="175"/>
      <c r="QI72" s="175"/>
      <c r="QJ72" s="175"/>
      <c r="QK72" s="175"/>
      <c r="QL72" s="175"/>
      <c r="QM72" s="175"/>
      <c r="QN72" s="175"/>
      <c r="QO72" s="175"/>
      <c r="QP72" s="175"/>
      <c r="QQ72" s="175"/>
      <c r="QR72" s="175"/>
      <c r="QS72" s="175"/>
      <c r="QT72" s="175"/>
      <c r="QU72" s="175"/>
      <c r="QV72" s="175"/>
      <c r="QW72" s="175"/>
      <c r="QX72" s="175"/>
      <c r="QY72" s="175"/>
      <c r="QZ72" s="175"/>
      <c r="RA72" s="175"/>
      <c r="RB72" s="175"/>
      <c r="RC72" s="175"/>
      <c r="RD72" s="175"/>
      <c r="RE72" s="175"/>
      <c r="RF72" s="175"/>
      <c r="RG72" s="175"/>
      <c r="RH72" s="175"/>
      <c r="RI72" s="175"/>
      <c r="RJ72" s="175"/>
      <c r="RK72" s="175"/>
      <c r="RL72" s="175"/>
      <c r="RM72" s="175"/>
      <c r="RN72" s="175"/>
      <c r="RO72" s="175"/>
      <c r="RP72" s="175"/>
      <c r="RQ72" s="175"/>
      <c r="RR72" s="175"/>
      <c r="RS72" s="175"/>
      <c r="RT72" s="175"/>
      <c r="RU72" s="175"/>
      <c r="RV72" s="175"/>
      <c r="RW72" s="175"/>
      <c r="RX72" s="175"/>
      <c r="RY72" s="175"/>
      <c r="RZ72" s="175"/>
      <c r="SA72" s="175"/>
      <c r="SB72" s="175"/>
      <c r="SC72" s="175"/>
      <c r="SD72" s="175"/>
      <c r="SE72" s="175"/>
      <c r="SF72" s="175"/>
      <c r="SG72" s="175"/>
      <c r="SH72" s="175"/>
      <c r="SI72" s="175"/>
      <c r="SJ72" s="175"/>
      <c r="SK72" s="175"/>
      <c r="SL72" s="175"/>
      <c r="SM72" s="175"/>
      <c r="SN72" s="175"/>
      <c r="SO72" s="175"/>
      <c r="SP72" s="175"/>
      <c r="SQ72" s="175"/>
      <c r="SR72" s="175"/>
      <c r="SS72" s="175"/>
      <c r="ST72" s="175"/>
      <c r="SU72" s="175"/>
      <c r="SV72" s="175"/>
      <c r="SW72" s="175"/>
      <c r="SX72" s="175"/>
      <c r="SY72" s="175"/>
      <c r="SZ72" s="175"/>
      <c r="TA72" s="175"/>
      <c r="TB72" s="175"/>
      <c r="TC72" s="175"/>
      <c r="TD72" s="175"/>
      <c r="TE72" s="175"/>
      <c r="TF72" s="175"/>
      <c r="TG72" s="175"/>
      <c r="TH72" s="175"/>
      <c r="TI72" s="175"/>
      <c r="TJ72" s="175"/>
      <c r="TK72" s="175"/>
      <c r="TL72" s="175"/>
      <c r="TM72" s="175"/>
      <c r="TN72" s="175"/>
      <c r="TO72" s="175"/>
      <c r="TP72" s="175"/>
      <c r="TQ72" s="175"/>
      <c r="TR72" s="175"/>
      <c r="TS72" s="175"/>
      <c r="TT72" s="175"/>
      <c r="TU72" s="175"/>
      <c r="TV72" s="175"/>
      <c r="TW72" s="175"/>
      <c r="TX72" s="175"/>
      <c r="TY72" s="175"/>
      <c r="TZ72" s="175"/>
      <c r="UA72" s="175"/>
      <c r="UB72" s="175"/>
      <c r="UC72" s="175"/>
      <c r="UD72" s="175"/>
      <c r="UE72" s="175"/>
      <c r="UF72" s="175"/>
      <c r="UG72" s="175"/>
      <c r="UH72" s="175"/>
      <c r="UI72" s="175"/>
      <c r="UJ72" s="175"/>
      <c r="UK72" s="175"/>
      <c r="UL72" s="175"/>
      <c r="UM72" s="175"/>
      <c r="UN72" s="175"/>
      <c r="UO72" s="175"/>
      <c r="UP72" s="175"/>
      <c r="UQ72" s="175"/>
      <c r="UR72" s="175"/>
      <c r="US72" s="175"/>
      <c r="UT72" s="175"/>
      <c r="UU72" s="175"/>
      <c r="UV72" s="175"/>
      <c r="UW72" s="175"/>
      <c r="UX72" s="175"/>
      <c r="UY72" s="175"/>
      <c r="UZ72" s="175"/>
      <c r="VA72" s="175"/>
    </row>
    <row r="73" spans="1:642" s="110" customFormat="1" x14ac:dyDescent="0.25">
      <c r="A73" s="331" t="s">
        <v>1459</v>
      </c>
      <c r="B73" s="580" t="s">
        <v>1546</v>
      </c>
      <c r="C73" s="580" t="s">
        <v>1416</v>
      </c>
      <c r="D73" s="26" t="s">
        <v>1777</v>
      </c>
      <c r="E73" s="581" t="s">
        <v>1495</v>
      </c>
      <c r="F73" s="326">
        <v>45</v>
      </c>
      <c r="G73" s="326" t="s">
        <v>183</v>
      </c>
      <c r="H73" s="326" t="s">
        <v>35</v>
      </c>
      <c r="I73" s="158"/>
      <c r="J73" s="158"/>
      <c r="K73" s="158"/>
      <c r="L73" s="158"/>
      <c r="M73" s="158"/>
      <c r="N73" s="158"/>
      <c r="O73" s="355" t="s">
        <v>2023</v>
      </c>
      <c r="P73" s="354" t="s">
        <v>2024</v>
      </c>
      <c r="Q73" s="354" t="s">
        <v>1639</v>
      </c>
      <c r="R73" s="354" t="s">
        <v>1019</v>
      </c>
      <c r="S73" s="406" t="s">
        <v>1792</v>
      </c>
      <c r="T73" s="389" t="s">
        <v>1802</v>
      </c>
      <c r="U73" s="29"/>
      <c r="V73" s="158"/>
      <c r="W73" s="545"/>
      <c r="Z73" s="545"/>
      <c r="AA73" s="442" t="s">
        <v>1907</v>
      </c>
      <c r="AB73" s="395" t="s">
        <v>1908</v>
      </c>
      <c r="AC73" s="545"/>
      <c r="AF73" s="545"/>
      <c r="AI73" s="545"/>
      <c r="AL73" s="545"/>
      <c r="AO73" s="158"/>
      <c r="AP73" s="158"/>
      <c r="AQ73" s="23"/>
      <c r="AS73" s="545"/>
      <c r="AT73" s="354" t="s">
        <v>1907</v>
      </c>
      <c r="AU73" s="395" t="s">
        <v>1908</v>
      </c>
      <c r="AV73" s="404" t="s">
        <v>1983</v>
      </c>
      <c r="AW73" s="175"/>
      <c r="AY73" s="175"/>
      <c r="AZ73" s="330"/>
      <c r="BB73" s="175"/>
      <c r="BC73" s="470"/>
      <c r="BD73" s="470"/>
      <c r="BE73" s="470"/>
      <c r="BF73" s="470"/>
      <c r="BG73" s="470"/>
      <c r="BH73" s="470"/>
      <c r="BI73" s="470"/>
      <c r="BJ73" s="470"/>
      <c r="BK73" s="470"/>
      <c r="BL73" s="470"/>
      <c r="BM73" s="470"/>
      <c r="BN73" s="470"/>
      <c r="BO73" s="470"/>
      <c r="BP73" s="470"/>
      <c r="BQ73" s="470"/>
      <c r="BR73" s="470"/>
      <c r="BS73" s="470"/>
      <c r="BT73" s="470"/>
      <c r="BU73" s="470"/>
      <c r="BV73" s="470"/>
      <c r="BW73" s="470"/>
      <c r="BX73" s="470"/>
      <c r="BY73" s="470"/>
      <c r="BZ73" s="470"/>
      <c r="CA73" s="470"/>
      <c r="CB73" s="470"/>
      <c r="CC73" s="470"/>
      <c r="CD73" s="470"/>
      <c r="CE73" s="470"/>
      <c r="CF73" s="470"/>
      <c r="CG73" s="470"/>
      <c r="CH73" s="470"/>
      <c r="CI73" s="470"/>
      <c r="CJ73" s="470"/>
      <c r="CK73" s="470"/>
      <c r="CL73" s="470"/>
      <c r="CM73" s="470"/>
      <c r="CN73" s="470"/>
      <c r="CO73" s="470"/>
      <c r="CP73" s="470"/>
      <c r="CQ73" s="470"/>
      <c r="CR73" s="470"/>
      <c r="CS73" s="470"/>
      <c r="CT73" s="470"/>
      <c r="CU73" s="470"/>
      <c r="CV73" s="470"/>
      <c r="CW73" s="470"/>
      <c r="CX73" s="470"/>
      <c r="CY73" s="470"/>
      <c r="CZ73" s="470"/>
      <c r="DA73" s="470"/>
      <c r="DB73" s="470"/>
      <c r="DC73" s="470"/>
      <c r="DD73" s="470"/>
      <c r="DE73" s="470"/>
      <c r="DF73" s="470"/>
      <c r="DG73" s="470"/>
      <c r="DH73" s="470"/>
      <c r="DI73" s="470"/>
      <c r="DJ73" s="470"/>
      <c r="DK73" s="470"/>
      <c r="DL73" s="470"/>
      <c r="DM73" s="470"/>
      <c r="DN73" s="470"/>
      <c r="DO73" s="470"/>
      <c r="DP73" s="470"/>
      <c r="DQ73" s="470"/>
      <c r="DR73" s="470"/>
      <c r="DS73" s="470"/>
      <c r="DT73" s="470"/>
      <c r="DU73" s="470"/>
      <c r="DV73" s="470"/>
      <c r="DW73" s="470"/>
      <c r="DX73" s="470"/>
      <c r="DY73" s="470"/>
      <c r="DZ73" s="470"/>
      <c r="EA73" s="470"/>
      <c r="EB73" s="470"/>
      <c r="EC73" s="470"/>
      <c r="ED73" s="470"/>
      <c r="EE73" s="470"/>
      <c r="EF73" s="470"/>
      <c r="EG73" s="470"/>
      <c r="EH73" s="470"/>
      <c r="EI73" s="470"/>
      <c r="EJ73" s="470"/>
      <c r="EK73" s="470"/>
      <c r="EL73" s="470"/>
      <c r="EM73" s="470"/>
      <c r="EN73" s="470"/>
      <c r="EO73" s="470"/>
      <c r="EP73" s="470"/>
      <c r="EQ73" s="470"/>
      <c r="ER73" s="470"/>
      <c r="ES73" s="470"/>
      <c r="ET73" s="470"/>
      <c r="EU73" s="470"/>
      <c r="EV73" s="470"/>
      <c r="EW73" s="470"/>
      <c r="EX73" s="470"/>
      <c r="EY73" s="470"/>
      <c r="EZ73" s="470"/>
      <c r="FA73" s="470"/>
      <c r="FB73" s="470"/>
      <c r="FC73" s="470"/>
      <c r="FD73" s="470"/>
      <c r="FE73" s="470"/>
      <c r="FF73" s="470"/>
      <c r="FG73" s="470"/>
      <c r="FH73" s="470"/>
      <c r="FI73" s="470"/>
      <c r="FJ73" s="470"/>
      <c r="FK73" s="470"/>
      <c r="FL73" s="470"/>
      <c r="FM73" s="470"/>
      <c r="FN73" s="470"/>
      <c r="FO73" s="470"/>
      <c r="FP73" s="470"/>
      <c r="FQ73" s="470"/>
      <c r="FR73" s="470"/>
      <c r="FS73" s="470"/>
      <c r="FT73" s="470"/>
      <c r="FU73" s="470"/>
      <c r="FV73" s="470"/>
      <c r="FW73" s="470"/>
      <c r="FX73" s="470"/>
      <c r="FY73" s="470"/>
      <c r="FZ73" s="470"/>
      <c r="GA73" s="470"/>
      <c r="GB73" s="470"/>
      <c r="GC73" s="470"/>
      <c r="GD73" s="470"/>
      <c r="GE73" s="470"/>
      <c r="GF73" s="470"/>
      <c r="GG73" s="470"/>
      <c r="GH73" s="470"/>
      <c r="GI73" s="470"/>
      <c r="GJ73" s="470"/>
      <c r="GK73" s="470"/>
      <c r="GL73" s="470"/>
      <c r="GM73" s="470"/>
      <c r="GN73" s="470"/>
      <c r="GO73" s="470"/>
      <c r="GP73" s="470"/>
      <c r="GQ73" s="470"/>
      <c r="GR73" s="470"/>
      <c r="GS73" s="470"/>
      <c r="GT73" s="470"/>
      <c r="GU73" s="470"/>
      <c r="GV73" s="470"/>
      <c r="GW73" s="470"/>
      <c r="GX73" s="470"/>
      <c r="GY73" s="470"/>
      <c r="GZ73" s="470"/>
      <c r="HA73" s="470"/>
      <c r="HB73" s="470"/>
      <c r="HC73" s="470"/>
      <c r="HD73" s="470"/>
      <c r="HE73" s="470"/>
      <c r="HF73" s="470"/>
      <c r="HG73" s="470"/>
      <c r="HH73" s="470"/>
      <c r="HI73" s="470"/>
      <c r="HJ73" s="470"/>
      <c r="HK73" s="470"/>
      <c r="HL73" s="470"/>
      <c r="HM73" s="470"/>
      <c r="HN73" s="470"/>
      <c r="HO73" s="470"/>
      <c r="HP73" s="470"/>
      <c r="HQ73" s="470"/>
      <c r="HR73" s="470"/>
      <c r="HS73" s="470"/>
      <c r="HT73" s="470"/>
      <c r="HU73" s="470"/>
      <c r="HV73" s="470"/>
      <c r="HW73" s="470"/>
      <c r="HX73" s="470"/>
      <c r="HY73" s="470"/>
      <c r="HZ73" s="470"/>
      <c r="IA73" s="470"/>
      <c r="IB73" s="470"/>
      <c r="IC73" s="470"/>
      <c r="ID73" s="470"/>
      <c r="IE73" s="470"/>
      <c r="IF73" s="470"/>
      <c r="IG73" s="470"/>
      <c r="IH73" s="470"/>
      <c r="II73" s="470"/>
      <c r="IJ73" s="470"/>
      <c r="IK73" s="470"/>
      <c r="IL73" s="470"/>
      <c r="IM73" s="470"/>
      <c r="IN73" s="470"/>
      <c r="IO73" s="470"/>
      <c r="IP73" s="470"/>
      <c r="IQ73" s="470"/>
      <c r="IR73" s="470"/>
      <c r="IS73" s="470"/>
      <c r="IT73" s="470"/>
      <c r="IU73" s="470"/>
      <c r="IV73" s="470"/>
      <c r="IW73" s="470"/>
      <c r="IX73" s="470"/>
      <c r="IY73" s="470"/>
      <c r="IZ73" s="470"/>
      <c r="JA73" s="470"/>
      <c r="JB73" s="470"/>
      <c r="JC73" s="470"/>
      <c r="JD73" s="470"/>
      <c r="JE73" s="470"/>
      <c r="JF73" s="470"/>
      <c r="JG73" s="470"/>
      <c r="JH73" s="470"/>
      <c r="JI73" s="470"/>
      <c r="JJ73" s="470"/>
      <c r="JK73" s="470"/>
      <c r="JL73" s="470"/>
      <c r="JM73" s="470"/>
      <c r="JN73" s="470"/>
      <c r="JO73" s="470"/>
      <c r="JP73" s="470"/>
      <c r="JQ73" s="470"/>
      <c r="JR73" s="470"/>
      <c r="JS73" s="470"/>
      <c r="JT73" s="470"/>
      <c r="JU73" s="470"/>
      <c r="JV73" s="470"/>
      <c r="JW73" s="470"/>
      <c r="JX73" s="470"/>
      <c r="JY73" s="470"/>
      <c r="JZ73" s="470"/>
      <c r="KA73" s="470"/>
      <c r="KB73" s="470"/>
      <c r="KC73" s="470"/>
      <c r="KD73" s="470"/>
      <c r="KE73" s="470"/>
      <c r="KF73" s="470"/>
      <c r="KG73" s="470"/>
      <c r="KH73" s="470"/>
      <c r="KI73" s="470"/>
      <c r="KJ73" s="470"/>
      <c r="KK73" s="470"/>
      <c r="KL73" s="470"/>
      <c r="KM73" s="470"/>
      <c r="KN73" s="470"/>
      <c r="KO73" s="470"/>
      <c r="KP73" s="470"/>
      <c r="KQ73" s="470"/>
      <c r="KR73" s="470"/>
      <c r="KS73" s="470"/>
      <c r="KT73" s="470"/>
      <c r="KU73" s="470"/>
      <c r="KV73" s="470"/>
      <c r="KW73" s="470"/>
      <c r="KX73" s="470"/>
      <c r="KY73" s="470"/>
      <c r="KZ73" s="470"/>
      <c r="LA73" s="470"/>
      <c r="LB73" s="470"/>
      <c r="LC73" s="470"/>
      <c r="LD73" s="470"/>
      <c r="LE73" s="470"/>
      <c r="LF73" s="470"/>
      <c r="LG73" s="470"/>
      <c r="LH73" s="470"/>
      <c r="LI73" s="470"/>
      <c r="LJ73" s="470"/>
      <c r="LK73" s="470"/>
      <c r="LL73" s="470"/>
      <c r="LM73" s="470"/>
      <c r="LN73" s="470"/>
      <c r="LO73" s="470"/>
      <c r="LP73" s="470"/>
      <c r="LQ73" s="470"/>
      <c r="LR73" s="470"/>
      <c r="LS73" s="470"/>
      <c r="LT73" s="470"/>
      <c r="LU73" s="470"/>
      <c r="LV73" s="470"/>
      <c r="LW73" s="470"/>
      <c r="LX73" s="470"/>
      <c r="LY73" s="470"/>
      <c r="LZ73" s="470"/>
      <c r="MA73" s="470"/>
      <c r="MB73" s="470"/>
      <c r="MC73" s="470"/>
      <c r="MD73" s="470"/>
      <c r="ME73" s="470"/>
      <c r="MF73" s="470"/>
      <c r="MG73" s="470"/>
      <c r="MH73" s="470"/>
      <c r="MI73" s="470"/>
      <c r="MJ73" s="470"/>
      <c r="MK73" s="470"/>
      <c r="ML73" s="470"/>
      <c r="MM73" s="470"/>
      <c r="MN73" s="470"/>
      <c r="MO73" s="470"/>
      <c r="MP73" s="470"/>
      <c r="MQ73" s="470"/>
      <c r="MR73" s="470"/>
      <c r="MS73" s="470"/>
      <c r="MT73" s="470"/>
      <c r="MU73" s="470"/>
      <c r="MV73" s="470"/>
      <c r="MW73" s="470"/>
      <c r="MX73" s="470"/>
      <c r="MY73" s="470"/>
      <c r="MZ73" s="470"/>
      <c r="NA73" s="470"/>
      <c r="NB73" s="470"/>
      <c r="NC73" s="470"/>
      <c r="ND73" s="470"/>
      <c r="NE73" s="470"/>
      <c r="NF73" s="470"/>
      <c r="NG73" s="470"/>
      <c r="NH73" s="470"/>
      <c r="NI73" s="470"/>
      <c r="NJ73" s="470"/>
      <c r="NK73" s="470"/>
      <c r="NL73" s="470"/>
      <c r="NM73" s="470"/>
      <c r="NN73" s="470"/>
      <c r="NO73" s="470"/>
      <c r="NP73" s="470"/>
      <c r="NQ73" s="470"/>
      <c r="NR73" s="470"/>
      <c r="NS73" s="470"/>
      <c r="NT73" s="470"/>
      <c r="NU73" s="470"/>
      <c r="NV73" s="470"/>
      <c r="NW73" s="470"/>
      <c r="NX73" s="470"/>
      <c r="NY73" s="470"/>
      <c r="NZ73" s="470"/>
      <c r="OA73" s="470"/>
      <c r="OB73" s="470"/>
      <c r="OC73" s="470"/>
      <c r="OD73" s="470"/>
      <c r="OE73" s="470"/>
      <c r="OF73" s="470"/>
      <c r="OG73" s="470"/>
      <c r="OH73" s="470"/>
      <c r="OI73" s="470"/>
      <c r="OJ73" s="470"/>
      <c r="OK73" s="470"/>
      <c r="OL73" s="470"/>
      <c r="OM73" s="470"/>
      <c r="ON73" s="470"/>
      <c r="OO73" s="470"/>
      <c r="OP73" s="470"/>
      <c r="OQ73" s="470"/>
      <c r="OR73" s="470"/>
      <c r="OS73" s="470"/>
      <c r="OT73" s="470"/>
      <c r="OU73" s="470"/>
      <c r="OV73" s="470"/>
      <c r="OW73" s="470"/>
      <c r="OX73" s="470"/>
      <c r="OY73" s="470"/>
      <c r="OZ73" s="470"/>
      <c r="PA73" s="470"/>
      <c r="PB73" s="470"/>
      <c r="PC73" s="470"/>
      <c r="PD73" s="470"/>
      <c r="PE73" s="470"/>
      <c r="PF73" s="470"/>
      <c r="PG73" s="470"/>
      <c r="PH73" s="470"/>
      <c r="PI73" s="470"/>
      <c r="PJ73" s="470"/>
      <c r="PK73" s="470"/>
      <c r="PL73" s="470"/>
      <c r="PM73" s="470"/>
      <c r="PN73" s="470"/>
      <c r="PO73" s="470"/>
      <c r="PP73" s="470"/>
      <c r="PQ73" s="470"/>
      <c r="PR73" s="470"/>
      <c r="PS73" s="470"/>
      <c r="PT73" s="470"/>
      <c r="PU73" s="470"/>
      <c r="PV73" s="470"/>
      <c r="PW73" s="470"/>
      <c r="PX73" s="470"/>
      <c r="PY73" s="470"/>
      <c r="PZ73" s="470"/>
      <c r="QA73" s="470"/>
      <c r="QB73" s="470"/>
      <c r="QC73" s="470"/>
      <c r="QD73" s="470"/>
      <c r="QE73" s="470"/>
      <c r="QF73" s="470"/>
      <c r="QG73" s="470"/>
      <c r="QH73" s="470"/>
      <c r="QI73" s="470"/>
      <c r="QJ73" s="470"/>
      <c r="QK73" s="470"/>
      <c r="QL73" s="470"/>
      <c r="QM73" s="470"/>
      <c r="QN73" s="470"/>
      <c r="QO73" s="470"/>
      <c r="QP73" s="470"/>
      <c r="QQ73" s="470"/>
      <c r="QR73" s="470"/>
      <c r="QS73" s="470"/>
      <c r="QT73" s="470"/>
      <c r="QU73" s="470"/>
      <c r="QV73" s="470"/>
      <c r="QW73" s="470"/>
      <c r="QX73" s="470"/>
      <c r="QY73" s="470"/>
      <c r="QZ73" s="470"/>
      <c r="RA73" s="470"/>
      <c r="RB73" s="470"/>
      <c r="RC73" s="470"/>
      <c r="RD73" s="470"/>
      <c r="RE73" s="470"/>
      <c r="RF73" s="470"/>
      <c r="RG73" s="470"/>
      <c r="RH73" s="470"/>
      <c r="RI73" s="470"/>
      <c r="RJ73" s="470"/>
      <c r="RK73" s="470"/>
      <c r="RL73" s="470"/>
      <c r="RM73" s="470"/>
      <c r="RN73" s="470"/>
      <c r="RO73" s="470"/>
      <c r="RP73" s="470"/>
      <c r="RQ73" s="470"/>
      <c r="RR73" s="470"/>
      <c r="RS73" s="470"/>
      <c r="RT73" s="470"/>
      <c r="RU73" s="470"/>
      <c r="RV73" s="470"/>
      <c r="RW73" s="470"/>
      <c r="RX73" s="470"/>
      <c r="RY73" s="470"/>
      <c r="RZ73" s="470"/>
      <c r="SA73" s="470"/>
      <c r="SB73" s="470"/>
      <c r="SC73" s="470"/>
      <c r="SD73" s="470"/>
      <c r="SE73" s="470"/>
      <c r="SF73" s="470"/>
      <c r="SG73" s="470"/>
      <c r="SH73" s="470"/>
      <c r="SI73" s="470"/>
      <c r="SJ73" s="470"/>
      <c r="SK73" s="470"/>
      <c r="SL73" s="470"/>
      <c r="SM73" s="470"/>
      <c r="SN73" s="470"/>
      <c r="SO73" s="470"/>
      <c r="SP73" s="470"/>
      <c r="SQ73" s="470"/>
      <c r="SR73" s="470"/>
      <c r="SS73" s="470"/>
      <c r="ST73" s="470"/>
      <c r="SU73" s="470"/>
      <c r="SV73" s="470"/>
      <c r="SW73" s="470"/>
      <c r="SX73" s="470"/>
      <c r="SY73" s="470"/>
      <c r="SZ73" s="470"/>
      <c r="TA73" s="470"/>
      <c r="TB73" s="470"/>
      <c r="TC73" s="470"/>
      <c r="TD73" s="470"/>
      <c r="TE73" s="470"/>
      <c r="TF73" s="470"/>
      <c r="TG73" s="470"/>
      <c r="TH73" s="470"/>
      <c r="TI73" s="470"/>
      <c r="TJ73" s="470"/>
      <c r="TK73" s="470"/>
      <c r="TL73" s="470"/>
      <c r="TM73" s="470"/>
      <c r="TN73" s="470"/>
      <c r="TO73" s="470"/>
      <c r="TP73" s="470"/>
      <c r="TQ73" s="470"/>
      <c r="TR73" s="470"/>
      <c r="TS73" s="470"/>
      <c r="TT73" s="470"/>
      <c r="TU73" s="470"/>
      <c r="TV73" s="470"/>
      <c r="TW73" s="470"/>
      <c r="TX73" s="470"/>
      <c r="TY73" s="470"/>
      <c r="TZ73" s="470"/>
      <c r="UA73" s="470"/>
      <c r="UB73" s="470"/>
      <c r="UC73" s="470"/>
      <c r="UD73" s="470"/>
      <c r="UE73" s="470"/>
      <c r="UF73" s="470"/>
      <c r="UG73" s="470"/>
      <c r="UH73" s="470"/>
      <c r="UI73" s="470"/>
      <c r="UJ73" s="470"/>
      <c r="UK73" s="470"/>
      <c r="UL73" s="470"/>
      <c r="UM73" s="470"/>
      <c r="UN73" s="470"/>
      <c r="UO73" s="470"/>
      <c r="UP73" s="470"/>
      <c r="UQ73" s="470"/>
      <c r="UR73" s="470"/>
      <c r="US73" s="470"/>
      <c r="UT73" s="470"/>
      <c r="UU73" s="470"/>
      <c r="UV73" s="470"/>
      <c r="UW73" s="470"/>
      <c r="UX73" s="470"/>
      <c r="UY73" s="470"/>
      <c r="UZ73" s="470"/>
      <c r="VA73" s="470"/>
      <c r="VB73" s="470"/>
      <c r="VC73" s="470"/>
      <c r="VD73" s="470"/>
      <c r="VE73" s="470"/>
      <c r="VF73" s="470"/>
      <c r="VG73" s="470"/>
      <c r="VH73" s="470"/>
      <c r="VI73" s="470"/>
      <c r="VJ73" s="470"/>
      <c r="VK73" s="470"/>
      <c r="VL73" s="470"/>
      <c r="VM73" s="470"/>
      <c r="VN73" s="470"/>
      <c r="VO73" s="470"/>
      <c r="VP73" s="470"/>
      <c r="VQ73" s="470"/>
      <c r="VR73" s="470"/>
      <c r="VS73" s="470"/>
      <c r="VT73" s="470"/>
      <c r="VU73" s="470"/>
      <c r="VV73" s="470"/>
      <c r="VW73" s="470"/>
      <c r="VX73" s="470"/>
      <c r="VY73" s="470"/>
      <c r="VZ73" s="470"/>
      <c r="WA73" s="470"/>
      <c r="WB73" s="470"/>
      <c r="WC73" s="470"/>
      <c r="WD73" s="470"/>
      <c r="WE73" s="470"/>
      <c r="WF73" s="470"/>
      <c r="WG73" s="470"/>
      <c r="WH73" s="470"/>
      <c r="WI73" s="470"/>
      <c r="WJ73" s="470"/>
      <c r="WK73" s="470"/>
      <c r="WL73" s="470"/>
      <c r="WM73" s="470"/>
      <c r="WN73" s="470"/>
      <c r="WO73" s="470"/>
      <c r="WP73" s="470"/>
      <c r="WQ73" s="470"/>
      <c r="WR73" s="470"/>
      <c r="WS73" s="470"/>
      <c r="WT73" s="470"/>
      <c r="WU73" s="470"/>
      <c r="WV73" s="470"/>
      <c r="WW73" s="470"/>
      <c r="WX73" s="470"/>
      <c r="WY73" s="470"/>
      <c r="WZ73" s="470"/>
      <c r="XA73" s="470"/>
      <c r="XB73" s="470"/>
      <c r="XC73" s="470"/>
      <c r="XD73" s="470"/>
      <c r="XE73" s="470"/>
      <c r="XF73" s="470"/>
      <c r="XG73" s="470"/>
      <c r="XH73" s="470"/>
      <c r="XI73" s="470"/>
      <c r="XJ73" s="470"/>
      <c r="XK73" s="470"/>
      <c r="XL73" s="470"/>
      <c r="XM73" s="470"/>
      <c r="XN73" s="470"/>
      <c r="XO73" s="470"/>
      <c r="XP73" s="470"/>
      <c r="XQ73" s="313"/>
    </row>
    <row r="74" spans="1:642" x14ac:dyDescent="0.25">
      <c r="A74" s="331" t="s">
        <v>1460</v>
      </c>
      <c r="B74" s="374" t="s">
        <v>267</v>
      </c>
      <c r="C74" s="374" t="s">
        <v>1252</v>
      </c>
      <c r="D74" s="26" t="s">
        <v>1777</v>
      </c>
      <c r="E74" s="334" t="s">
        <v>1363</v>
      </c>
      <c r="F74" s="326">
        <v>38</v>
      </c>
      <c r="G74" s="326" t="s">
        <v>183</v>
      </c>
      <c r="H74" s="326" t="s">
        <v>35</v>
      </c>
      <c r="I74" s="29"/>
      <c r="J74" s="29"/>
      <c r="K74" s="450"/>
      <c r="L74" s="330"/>
      <c r="M74" s="28"/>
      <c r="N74" s="28"/>
      <c r="O74" s="354" t="s">
        <v>1956</v>
      </c>
      <c r="P74" s="354" t="s">
        <v>1927</v>
      </c>
      <c r="Q74" s="354" t="s">
        <v>1955</v>
      </c>
      <c r="R74" s="354" t="s">
        <v>1019</v>
      </c>
      <c r="S74" s="406" t="s">
        <v>1532</v>
      </c>
      <c r="T74" s="389" t="s">
        <v>1827</v>
      </c>
      <c r="U74" s="330"/>
      <c r="V74" s="29"/>
      <c r="W74" s="393"/>
      <c r="X74" s="354" t="s">
        <v>1707</v>
      </c>
      <c r="Y74" s="395" t="s">
        <v>1954</v>
      </c>
      <c r="Z74" s="389" t="s">
        <v>1991</v>
      </c>
      <c r="AA74" s="178"/>
      <c r="AB74" s="35"/>
      <c r="AC74" s="393"/>
      <c r="AF74" s="393"/>
      <c r="AI74" s="393"/>
      <c r="AL74" s="393"/>
      <c r="AS74" s="393"/>
      <c r="AT74" s="354" t="s">
        <v>1707</v>
      </c>
      <c r="AU74" s="395" t="s">
        <v>1954</v>
      </c>
      <c r="AV74" s="404" t="s">
        <v>1991</v>
      </c>
      <c r="AW74" s="24"/>
      <c r="AX74" s="110"/>
      <c r="AY74" s="332"/>
      <c r="AZ74" s="330"/>
      <c r="BA74" s="24"/>
      <c r="BB74" s="24"/>
      <c r="BC74" s="468"/>
      <c r="BD74" s="468"/>
      <c r="BE74" s="468"/>
      <c r="BF74" s="468"/>
      <c r="BG74" s="468"/>
      <c r="BH74" s="468"/>
      <c r="BI74" s="468"/>
      <c r="BJ74" s="468"/>
      <c r="BK74" s="468"/>
      <c r="BL74" s="468"/>
      <c r="BM74" s="468"/>
      <c r="BN74" s="468"/>
      <c r="BO74" s="468"/>
      <c r="BP74" s="468"/>
      <c r="BQ74" s="468"/>
      <c r="BR74" s="468"/>
      <c r="BS74" s="468"/>
      <c r="BT74" s="468"/>
      <c r="BU74" s="468"/>
      <c r="BV74" s="468"/>
      <c r="BW74" s="468"/>
      <c r="BX74" s="468"/>
      <c r="BY74" s="468"/>
      <c r="BZ74" s="468"/>
      <c r="CA74" s="468"/>
      <c r="CB74" s="468"/>
      <c r="CC74" s="468"/>
      <c r="CD74" s="468"/>
      <c r="CE74" s="468"/>
      <c r="CF74" s="468"/>
      <c r="CG74" s="468"/>
      <c r="CH74" s="468"/>
      <c r="CI74" s="468"/>
      <c r="CJ74" s="468"/>
      <c r="CK74" s="468"/>
      <c r="CL74" s="468"/>
      <c r="CM74" s="468"/>
      <c r="CN74" s="468"/>
      <c r="CO74" s="468"/>
      <c r="CP74" s="468"/>
      <c r="CQ74" s="468"/>
      <c r="CR74" s="468"/>
      <c r="CS74" s="468"/>
      <c r="CT74" s="468"/>
      <c r="CU74" s="468"/>
      <c r="CV74" s="468"/>
      <c r="CW74" s="468"/>
      <c r="CX74" s="468"/>
      <c r="CY74" s="468"/>
      <c r="CZ74" s="468"/>
      <c r="DA74" s="468"/>
      <c r="DB74" s="468"/>
      <c r="DC74" s="468"/>
      <c r="DD74" s="468"/>
      <c r="DE74" s="468"/>
      <c r="DF74" s="468"/>
      <c r="DG74" s="468"/>
      <c r="DH74" s="468"/>
      <c r="DI74" s="468"/>
      <c r="DJ74" s="468"/>
      <c r="DK74" s="468"/>
      <c r="DL74" s="468"/>
      <c r="DM74" s="468"/>
      <c r="DN74" s="468"/>
      <c r="DO74" s="468"/>
      <c r="DP74" s="468"/>
      <c r="DQ74" s="468"/>
      <c r="DR74" s="468"/>
      <c r="DS74" s="468"/>
      <c r="DT74" s="468"/>
      <c r="DU74" s="468"/>
      <c r="DV74" s="468"/>
      <c r="DW74" s="468"/>
      <c r="DX74" s="468"/>
      <c r="DY74" s="468"/>
      <c r="DZ74" s="468"/>
      <c r="EA74" s="468"/>
      <c r="EB74" s="468"/>
      <c r="EC74" s="468"/>
      <c r="ED74" s="468"/>
      <c r="EE74" s="468"/>
      <c r="EF74" s="468"/>
      <c r="EG74" s="468"/>
      <c r="EH74" s="468"/>
      <c r="EI74" s="468"/>
      <c r="EJ74" s="468"/>
      <c r="EK74" s="468"/>
      <c r="EL74" s="468"/>
      <c r="EM74" s="468"/>
      <c r="EN74" s="468"/>
      <c r="EO74" s="468"/>
      <c r="EP74" s="468"/>
      <c r="EQ74" s="468"/>
      <c r="ER74" s="468"/>
      <c r="ES74" s="468"/>
      <c r="ET74" s="468"/>
      <c r="EU74" s="468"/>
      <c r="EV74" s="468"/>
      <c r="EW74" s="468"/>
      <c r="EX74" s="468"/>
      <c r="EY74" s="468"/>
      <c r="EZ74" s="468"/>
      <c r="FA74" s="468"/>
      <c r="FB74" s="468"/>
      <c r="FC74" s="468"/>
      <c r="FD74" s="468"/>
      <c r="FE74" s="468"/>
      <c r="FF74" s="468"/>
      <c r="FG74" s="468"/>
      <c r="FH74" s="468"/>
      <c r="FI74" s="468"/>
      <c r="FJ74" s="468"/>
      <c r="FK74" s="468"/>
      <c r="FL74" s="468"/>
      <c r="FM74" s="468"/>
      <c r="FN74" s="468"/>
      <c r="FO74" s="468"/>
      <c r="FP74" s="468"/>
      <c r="FQ74" s="468"/>
      <c r="FR74" s="468"/>
      <c r="FS74" s="468"/>
      <c r="FT74" s="468"/>
      <c r="FU74" s="468"/>
      <c r="FV74" s="468"/>
      <c r="FW74" s="468"/>
      <c r="FX74" s="468"/>
      <c r="FY74" s="468"/>
      <c r="FZ74" s="468"/>
      <c r="GA74" s="468"/>
      <c r="GB74" s="468"/>
      <c r="GC74" s="468"/>
      <c r="GD74" s="468"/>
      <c r="GE74" s="468"/>
      <c r="GF74" s="468"/>
      <c r="GG74" s="468"/>
      <c r="GH74" s="468"/>
      <c r="GI74" s="468"/>
      <c r="GJ74" s="468"/>
      <c r="GK74" s="468"/>
      <c r="GL74" s="468"/>
      <c r="GM74" s="468"/>
      <c r="GN74" s="468"/>
      <c r="GO74" s="468"/>
      <c r="GP74" s="468"/>
      <c r="GQ74" s="468"/>
      <c r="GR74" s="468"/>
      <c r="GS74" s="468"/>
      <c r="GT74" s="468"/>
      <c r="GU74" s="468"/>
      <c r="GV74" s="468"/>
      <c r="GW74" s="468"/>
      <c r="GX74" s="468"/>
      <c r="GY74" s="468"/>
      <c r="GZ74" s="468"/>
      <c r="HA74" s="468"/>
      <c r="HB74" s="468"/>
      <c r="HC74" s="468"/>
      <c r="HD74" s="468"/>
      <c r="HE74" s="468"/>
      <c r="HF74" s="468"/>
      <c r="HG74" s="468"/>
      <c r="HH74" s="468"/>
      <c r="HI74" s="468"/>
      <c r="HJ74" s="468"/>
      <c r="HK74" s="468"/>
      <c r="HL74" s="468"/>
      <c r="HM74" s="468"/>
      <c r="HN74" s="468"/>
      <c r="HO74" s="468"/>
      <c r="HP74" s="468"/>
      <c r="HQ74" s="468"/>
      <c r="HR74" s="468"/>
      <c r="HS74" s="468"/>
      <c r="HT74" s="468"/>
      <c r="HU74" s="468"/>
      <c r="HV74" s="468"/>
      <c r="HW74" s="468"/>
      <c r="HX74" s="468"/>
      <c r="HY74" s="468"/>
      <c r="HZ74" s="468"/>
      <c r="IA74" s="468"/>
      <c r="IB74" s="468"/>
      <c r="IC74" s="468"/>
      <c r="ID74" s="468"/>
      <c r="IE74" s="468"/>
      <c r="IF74" s="468"/>
      <c r="IG74" s="468"/>
      <c r="IH74" s="468"/>
      <c r="II74" s="468"/>
      <c r="IJ74" s="468"/>
      <c r="IK74" s="468"/>
      <c r="IL74" s="468"/>
      <c r="IM74" s="468"/>
      <c r="IN74" s="468"/>
      <c r="IO74" s="468"/>
      <c r="IP74" s="468"/>
      <c r="IQ74" s="468"/>
      <c r="IR74" s="468"/>
      <c r="IS74" s="468"/>
      <c r="IT74" s="468"/>
      <c r="IU74" s="468"/>
      <c r="IV74" s="468"/>
      <c r="IW74" s="468"/>
      <c r="IX74" s="468"/>
      <c r="IY74" s="468"/>
      <c r="IZ74" s="468"/>
      <c r="JA74" s="468"/>
      <c r="JB74" s="468"/>
      <c r="JC74" s="468"/>
      <c r="JD74" s="468"/>
      <c r="JE74" s="468"/>
      <c r="JF74" s="468"/>
      <c r="JG74" s="468"/>
      <c r="JH74" s="468"/>
      <c r="JI74" s="468"/>
      <c r="JJ74" s="468"/>
      <c r="JK74" s="468"/>
      <c r="JL74" s="468"/>
      <c r="JM74" s="468"/>
      <c r="JN74" s="468"/>
      <c r="JO74" s="468"/>
      <c r="JP74" s="468"/>
      <c r="JQ74" s="468"/>
      <c r="JR74" s="468"/>
      <c r="JS74" s="468"/>
      <c r="JT74" s="468"/>
      <c r="JU74" s="468"/>
      <c r="JV74" s="468"/>
      <c r="JW74" s="468"/>
      <c r="JX74" s="468"/>
      <c r="JY74" s="468"/>
      <c r="JZ74" s="468"/>
      <c r="KA74" s="468"/>
      <c r="KB74" s="468"/>
      <c r="KC74" s="468"/>
      <c r="KD74" s="468"/>
      <c r="KE74" s="468"/>
      <c r="KF74" s="468"/>
      <c r="KG74" s="468"/>
      <c r="KH74" s="468"/>
      <c r="KI74" s="468"/>
      <c r="KJ74" s="468"/>
      <c r="KK74" s="468"/>
      <c r="KL74" s="468"/>
      <c r="KM74" s="468"/>
      <c r="KN74" s="468"/>
      <c r="KO74" s="468"/>
      <c r="KP74" s="468"/>
      <c r="KQ74" s="468"/>
      <c r="KR74" s="468"/>
      <c r="KS74" s="468"/>
      <c r="KT74" s="468"/>
      <c r="KU74" s="468"/>
      <c r="KV74" s="468"/>
      <c r="KW74" s="468"/>
      <c r="KX74" s="468"/>
      <c r="KY74" s="468"/>
      <c r="KZ74" s="468"/>
      <c r="LA74" s="468"/>
      <c r="LB74" s="468"/>
      <c r="LC74" s="468"/>
      <c r="LD74" s="468"/>
      <c r="LE74" s="468"/>
      <c r="LF74" s="468"/>
      <c r="LG74" s="468"/>
      <c r="LH74" s="468"/>
      <c r="LI74" s="468"/>
      <c r="LJ74" s="468"/>
      <c r="LK74" s="468"/>
      <c r="LL74" s="468"/>
      <c r="LM74" s="468"/>
      <c r="LN74" s="468"/>
      <c r="LO74" s="468"/>
      <c r="LP74" s="468"/>
      <c r="LQ74" s="468"/>
      <c r="LR74" s="468"/>
      <c r="LS74" s="468"/>
      <c r="LT74" s="468"/>
      <c r="LU74" s="468"/>
      <c r="LV74" s="468"/>
      <c r="LW74" s="468"/>
      <c r="LX74" s="468"/>
      <c r="LY74" s="468"/>
      <c r="LZ74" s="468"/>
      <c r="MA74" s="468"/>
      <c r="MB74" s="468"/>
      <c r="MC74" s="468"/>
      <c r="MD74" s="468"/>
      <c r="ME74" s="468"/>
      <c r="MF74" s="468"/>
      <c r="MG74" s="468"/>
      <c r="MH74" s="468"/>
      <c r="MI74" s="468"/>
      <c r="MJ74" s="468"/>
      <c r="MK74" s="468"/>
      <c r="ML74" s="468"/>
      <c r="MM74" s="468"/>
      <c r="MN74" s="468"/>
      <c r="MO74" s="468"/>
      <c r="MP74" s="468"/>
      <c r="MQ74" s="468"/>
      <c r="MR74" s="468"/>
      <c r="MS74" s="468"/>
      <c r="MT74" s="468"/>
      <c r="MU74" s="468"/>
      <c r="MV74" s="468"/>
      <c r="MW74" s="468"/>
      <c r="MX74" s="468"/>
      <c r="MY74" s="468"/>
      <c r="MZ74" s="468"/>
      <c r="NA74" s="468"/>
      <c r="NB74" s="468"/>
      <c r="NC74" s="468"/>
      <c r="ND74" s="468"/>
      <c r="NE74" s="468"/>
      <c r="NF74" s="468"/>
      <c r="NG74" s="468"/>
      <c r="NH74" s="468"/>
      <c r="NI74" s="468"/>
      <c r="NJ74" s="468"/>
      <c r="NK74" s="468"/>
      <c r="NL74" s="468"/>
      <c r="NM74" s="468"/>
      <c r="NN74" s="468"/>
      <c r="NO74" s="468"/>
      <c r="NP74" s="468"/>
      <c r="NQ74" s="468"/>
      <c r="NR74" s="468"/>
      <c r="NS74" s="468"/>
      <c r="NT74" s="468"/>
      <c r="NU74" s="468"/>
      <c r="NV74" s="468"/>
      <c r="NW74" s="468"/>
      <c r="NX74" s="468"/>
      <c r="NY74" s="468"/>
      <c r="NZ74" s="468"/>
      <c r="OA74" s="468"/>
      <c r="OB74" s="468"/>
      <c r="OC74" s="468"/>
      <c r="OD74" s="468"/>
      <c r="OE74" s="468"/>
      <c r="OF74" s="468"/>
      <c r="OG74" s="468"/>
      <c r="OH74" s="468"/>
      <c r="OI74" s="468"/>
      <c r="OJ74" s="468"/>
      <c r="OK74" s="468"/>
      <c r="OL74" s="468"/>
      <c r="OM74" s="468"/>
      <c r="ON74" s="468"/>
      <c r="OO74" s="468"/>
      <c r="OP74" s="468"/>
      <c r="OQ74" s="468"/>
      <c r="OR74" s="468"/>
      <c r="OS74" s="468"/>
      <c r="OT74" s="468"/>
      <c r="OU74" s="468"/>
      <c r="OV74" s="468"/>
      <c r="OW74" s="468"/>
      <c r="OX74" s="468"/>
      <c r="OY74" s="468"/>
      <c r="OZ74" s="468"/>
      <c r="PA74" s="468"/>
      <c r="PB74" s="468"/>
      <c r="PC74" s="468"/>
      <c r="PD74" s="468"/>
      <c r="PE74" s="468"/>
      <c r="PF74" s="468"/>
      <c r="PG74" s="468"/>
      <c r="PH74" s="468"/>
      <c r="PI74" s="468"/>
      <c r="PJ74" s="468"/>
      <c r="PK74" s="468"/>
      <c r="PL74" s="468"/>
      <c r="PM74" s="468"/>
      <c r="PN74" s="468"/>
      <c r="PO74" s="468"/>
      <c r="PP74" s="468"/>
      <c r="PQ74" s="468"/>
      <c r="PR74" s="468"/>
      <c r="PS74" s="468"/>
      <c r="PT74" s="468"/>
      <c r="PU74" s="468"/>
      <c r="PV74" s="468"/>
      <c r="PW74" s="468"/>
      <c r="PX74" s="468"/>
      <c r="PY74" s="468"/>
      <c r="PZ74" s="468"/>
      <c r="QA74" s="468"/>
      <c r="QB74" s="468"/>
      <c r="QC74" s="468"/>
      <c r="QD74" s="468"/>
      <c r="QE74" s="468"/>
      <c r="QF74" s="468"/>
      <c r="QG74" s="468"/>
      <c r="QH74" s="468"/>
      <c r="QI74" s="468"/>
      <c r="QJ74" s="468"/>
      <c r="QK74" s="468"/>
      <c r="QL74" s="468"/>
      <c r="QM74" s="468"/>
      <c r="QN74" s="468"/>
      <c r="QO74" s="468"/>
      <c r="QP74" s="468"/>
      <c r="QQ74" s="468"/>
      <c r="QR74" s="468"/>
      <c r="QS74" s="468"/>
      <c r="QT74" s="468"/>
      <c r="QU74" s="468"/>
      <c r="QV74" s="468"/>
      <c r="QW74" s="468"/>
      <c r="QX74" s="468"/>
      <c r="QY74" s="468"/>
      <c r="QZ74" s="468"/>
      <c r="RA74" s="468"/>
      <c r="RB74" s="468"/>
      <c r="RC74" s="468"/>
      <c r="RD74" s="468"/>
      <c r="RE74" s="468"/>
      <c r="RF74" s="468"/>
      <c r="RG74" s="468"/>
      <c r="RH74" s="468"/>
      <c r="RI74" s="468"/>
      <c r="RJ74" s="468"/>
      <c r="RK74" s="468"/>
      <c r="RL74" s="468"/>
      <c r="RM74" s="468"/>
      <c r="RN74" s="468"/>
      <c r="RO74" s="468"/>
      <c r="RP74" s="468"/>
      <c r="RQ74" s="468"/>
      <c r="RR74" s="468"/>
      <c r="RS74" s="468"/>
      <c r="RT74" s="468"/>
      <c r="RU74" s="468"/>
      <c r="RV74" s="468"/>
      <c r="RW74" s="468"/>
      <c r="RX74" s="468"/>
      <c r="RY74" s="468"/>
      <c r="RZ74" s="468"/>
      <c r="SA74" s="468"/>
      <c r="SB74" s="468"/>
      <c r="SC74" s="468"/>
      <c r="SD74" s="468"/>
      <c r="SE74" s="468"/>
      <c r="SF74" s="468"/>
      <c r="SG74" s="468"/>
      <c r="SH74" s="468"/>
      <c r="SI74" s="468"/>
      <c r="SJ74" s="468"/>
      <c r="SK74" s="468"/>
      <c r="SL74" s="468"/>
      <c r="SM74" s="468"/>
      <c r="SN74" s="468"/>
      <c r="SO74" s="468"/>
      <c r="SP74" s="468"/>
      <c r="SQ74" s="468"/>
      <c r="SR74" s="468"/>
      <c r="SS74" s="468"/>
      <c r="ST74" s="468"/>
      <c r="SU74" s="468"/>
      <c r="SV74" s="468"/>
      <c r="SW74" s="468"/>
      <c r="SX74" s="468"/>
      <c r="SY74" s="468"/>
      <c r="SZ74" s="468"/>
      <c r="TA74" s="468"/>
      <c r="TB74" s="468"/>
      <c r="TC74" s="468"/>
      <c r="TD74" s="468"/>
      <c r="TE74" s="468"/>
      <c r="TF74" s="468"/>
      <c r="TG74" s="468"/>
      <c r="TH74" s="468"/>
      <c r="TI74" s="468"/>
      <c r="TJ74" s="468"/>
      <c r="TK74" s="468"/>
      <c r="TL74" s="468"/>
      <c r="TM74" s="468"/>
      <c r="TN74" s="468"/>
      <c r="TO74" s="468"/>
      <c r="TP74" s="468"/>
      <c r="TQ74" s="468"/>
      <c r="TR74" s="468"/>
      <c r="TS74" s="468"/>
      <c r="TT74" s="468"/>
      <c r="TU74" s="468"/>
      <c r="TV74" s="468"/>
      <c r="TW74" s="468"/>
      <c r="TX74" s="468"/>
      <c r="TY74" s="468"/>
      <c r="TZ74" s="468"/>
      <c r="UA74" s="468"/>
      <c r="UB74" s="468"/>
      <c r="UC74" s="468"/>
      <c r="UD74" s="468"/>
      <c r="UE74" s="468"/>
      <c r="UF74" s="468"/>
      <c r="UG74" s="468"/>
      <c r="UH74" s="468"/>
      <c r="UI74" s="468"/>
      <c r="UJ74" s="468"/>
      <c r="UK74" s="468"/>
      <c r="UL74" s="468"/>
      <c r="UM74" s="468"/>
      <c r="UN74" s="468"/>
      <c r="UO74" s="468"/>
      <c r="UP74" s="468"/>
      <c r="UQ74" s="468"/>
      <c r="UR74" s="468"/>
      <c r="US74" s="468"/>
      <c r="UT74" s="468"/>
      <c r="UU74" s="468"/>
      <c r="UV74" s="468"/>
      <c r="UW74" s="468"/>
      <c r="UX74" s="468"/>
      <c r="UY74" s="468"/>
      <c r="UZ74" s="468"/>
      <c r="VA74" s="468"/>
      <c r="VB74" s="468"/>
      <c r="VC74" s="468"/>
      <c r="VD74" s="468"/>
      <c r="VE74" s="468"/>
      <c r="VF74" s="468"/>
      <c r="VG74" s="468"/>
      <c r="VH74" s="468"/>
      <c r="VI74" s="468"/>
      <c r="VJ74" s="468"/>
      <c r="VK74" s="468"/>
      <c r="VL74" s="468"/>
      <c r="VM74" s="468"/>
      <c r="VN74" s="468"/>
      <c r="VO74" s="468"/>
      <c r="VP74" s="468"/>
      <c r="VQ74" s="468"/>
      <c r="VR74" s="468"/>
      <c r="VS74" s="468"/>
      <c r="VT74" s="468"/>
      <c r="VU74" s="468"/>
      <c r="VV74" s="468"/>
      <c r="VW74" s="468"/>
      <c r="VX74" s="468"/>
      <c r="VY74" s="468"/>
      <c r="VZ74" s="468"/>
      <c r="WA74" s="468"/>
      <c r="WB74" s="468"/>
      <c r="WC74" s="468"/>
      <c r="WD74" s="468"/>
      <c r="WE74" s="468"/>
      <c r="WF74" s="468"/>
      <c r="WG74" s="468"/>
      <c r="WH74" s="468"/>
      <c r="WI74" s="468"/>
      <c r="WJ74" s="468"/>
      <c r="WK74" s="468"/>
      <c r="WL74" s="468"/>
      <c r="WM74" s="468"/>
      <c r="WN74" s="468"/>
      <c r="WO74" s="468"/>
      <c r="WP74" s="468"/>
      <c r="WQ74" s="468"/>
      <c r="WR74" s="468"/>
      <c r="WS74" s="468"/>
      <c r="WT74" s="468"/>
      <c r="WU74" s="468"/>
      <c r="WV74" s="468"/>
      <c r="WW74" s="468"/>
      <c r="WX74" s="468"/>
      <c r="WY74" s="468"/>
      <c r="WZ74" s="468"/>
      <c r="XA74" s="468"/>
      <c r="XB74" s="468"/>
      <c r="XC74" s="468"/>
      <c r="XD74" s="468"/>
      <c r="XE74" s="468"/>
      <c r="XF74" s="468"/>
      <c r="XG74" s="468"/>
      <c r="XH74" s="468"/>
      <c r="XI74" s="468"/>
      <c r="XJ74" s="468"/>
      <c r="XK74" s="468"/>
      <c r="XL74" s="468"/>
      <c r="XM74" s="468"/>
      <c r="XN74" s="468"/>
      <c r="XO74" s="468"/>
      <c r="XP74" s="468"/>
      <c r="XQ74" s="466"/>
    </row>
    <row r="75" spans="1:642" s="195" customFormat="1" ht="15" customHeight="1" x14ac:dyDescent="0.2">
      <c r="A75" s="331" t="s">
        <v>1461</v>
      </c>
      <c r="B75" s="643" t="s">
        <v>867</v>
      </c>
      <c r="C75" s="644" t="s">
        <v>861</v>
      </c>
      <c r="D75" s="645" t="s">
        <v>1777</v>
      </c>
      <c r="E75" s="646" t="s">
        <v>1364</v>
      </c>
      <c r="F75" s="344">
        <v>44</v>
      </c>
      <c r="G75" s="344" t="s">
        <v>183</v>
      </c>
      <c r="H75" s="344" t="s">
        <v>35</v>
      </c>
      <c r="I75" s="344"/>
      <c r="J75" s="344"/>
      <c r="K75" s="344"/>
      <c r="L75" s="344"/>
      <c r="M75" s="344"/>
      <c r="N75" s="344"/>
      <c r="O75" s="344" t="s">
        <v>1821</v>
      </c>
      <c r="P75" s="344" t="s">
        <v>1824</v>
      </c>
      <c r="Q75" s="344" t="s">
        <v>1708</v>
      </c>
      <c r="R75" s="344" t="s">
        <v>1019</v>
      </c>
      <c r="S75" s="343" t="s">
        <v>1136</v>
      </c>
      <c r="T75" s="344" t="s">
        <v>1709</v>
      </c>
      <c r="U75" s="344"/>
      <c r="V75" s="344"/>
      <c r="X75" s="344" t="s">
        <v>1703</v>
      </c>
      <c r="Y75" s="344" t="s">
        <v>1720</v>
      </c>
      <c r="AP75" s="24"/>
      <c r="AQ75" s="24"/>
      <c r="AR75" s="24"/>
      <c r="AS75" s="24"/>
      <c r="AT75" s="344" t="s">
        <v>1716</v>
      </c>
      <c r="AU75" s="344" t="s">
        <v>1750</v>
      </c>
      <c r="AV75" s="404"/>
      <c r="AW75" s="332"/>
      <c r="AX75" s="24"/>
      <c r="AY75" s="24"/>
      <c r="AZ75" s="330"/>
      <c r="BA75" s="24"/>
      <c r="BB75" s="24"/>
      <c r="BC75" s="468"/>
      <c r="BD75" s="468"/>
      <c r="BE75" s="468"/>
      <c r="BF75" s="468"/>
      <c r="BG75" s="468"/>
      <c r="BH75" s="468"/>
      <c r="BI75" s="468"/>
      <c r="BJ75" s="468"/>
      <c r="BK75" s="468"/>
      <c r="BL75" s="468"/>
      <c r="BM75" s="468"/>
      <c r="BN75" s="468"/>
      <c r="BO75" s="468"/>
      <c r="BP75" s="468"/>
      <c r="BQ75" s="468"/>
      <c r="BR75" s="468"/>
      <c r="BS75" s="468"/>
      <c r="BT75" s="468"/>
      <c r="BU75" s="468"/>
      <c r="BV75" s="468"/>
      <c r="BW75" s="468"/>
      <c r="BX75" s="468"/>
      <c r="BY75" s="468"/>
      <c r="BZ75" s="468"/>
      <c r="CA75" s="468"/>
      <c r="CB75" s="468"/>
      <c r="CC75" s="468"/>
      <c r="CD75" s="468"/>
      <c r="CE75" s="468"/>
      <c r="CF75" s="468"/>
      <c r="CG75" s="650"/>
      <c r="CH75" s="650"/>
      <c r="CI75" s="650"/>
      <c r="CJ75" s="650"/>
      <c r="CK75" s="650"/>
      <c r="CL75" s="650"/>
      <c r="CM75" s="650"/>
      <c r="CN75" s="650"/>
      <c r="CO75" s="650"/>
      <c r="CP75" s="650"/>
      <c r="CQ75" s="650"/>
      <c r="CR75" s="650"/>
      <c r="CS75" s="650"/>
      <c r="CT75" s="650"/>
      <c r="CU75" s="650"/>
      <c r="CV75" s="650"/>
      <c r="CW75" s="650"/>
      <c r="CX75" s="650"/>
      <c r="CY75" s="650"/>
      <c r="CZ75" s="650"/>
      <c r="DA75" s="650"/>
      <c r="DB75" s="650"/>
      <c r="DC75" s="650"/>
      <c r="DD75" s="650"/>
      <c r="DE75" s="650"/>
      <c r="DF75" s="650"/>
      <c r="DG75" s="650"/>
      <c r="DH75" s="650"/>
      <c r="DI75" s="650"/>
      <c r="DJ75" s="650"/>
      <c r="DK75" s="650"/>
      <c r="DL75" s="650"/>
      <c r="DM75" s="650"/>
      <c r="DN75" s="650"/>
      <c r="DO75" s="650"/>
      <c r="DP75" s="650"/>
      <c r="DQ75" s="650"/>
      <c r="DR75" s="650"/>
      <c r="DS75" s="650"/>
      <c r="DT75" s="650"/>
      <c r="DU75" s="650"/>
      <c r="DV75" s="650"/>
      <c r="DW75" s="650"/>
      <c r="DX75" s="650"/>
      <c r="DY75" s="650"/>
      <c r="DZ75" s="650"/>
      <c r="EA75" s="650"/>
      <c r="EB75" s="650"/>
      <c r="EC75" s="650"/>
      <c r="ED75" s="650"/>
      <c r="EE75" s="650"/>
      <c r="EF75" s="650"/>
      <c r="EG75" s="650"/>
      <c r="EH75" s="650"/>
      <c r="EI75" s="650"/>
      <c r="EJ75" s="650"/>
      <c r="EK75" s="650"/>
      <c r="EL75" s="650"/>
      <c r="EM75" s="650"/>
      <c r="EN75" s="650"/>
      <c r="EO75" s="650"/>
      <c r="EP75" s="650"/>
      <c r="EQ75" s="650"/>
      <c r="ER75" s="650"/>
      <c r="ES75" s="650"/>
      <c r="ET75" s="650"/>
      <c r="EU75" s="650"/>
      <c r="EV75" s="650"/>
      <c r="EW75" s="650"/>
      <c r="EX75" s="650"/>
      <c r="EY75" s="650"/>
      <c r="EZ75" s="650"/>
      <c r="FA75" s="650"/>
      <c r="FB75" s="650"/>
      <c r="FC75" s="650"/>
      <c r="FD75" s="650"/>
      <c r="FE75" s="650"/>
      <c r="FF75" s="650"/>
      <c r="FG75" s="650"/>
      <c r="FH75" s="650"/>
      <c r="FI75" s="650"/>
      <c r="FJ75" s="650"/>
      <c r="FK75" s="650"/>
      <c r="FL75" s="650"/>
      <c r="FM75" s="650"/>
      <c r="FN75" s="650"/>
      <c r="FO75" s="650"/>
      <c r="FP75" s="650"/>
      <c r="FQ75" s="650"/>
      <c r="FR75" s="650"/>
      <c r="FS75" s="650"/>
      <c r="FT75" s="650"/>
      <c r="FU75" s="650"/>
      <c r="FV75" s="650"/>
      <c r="FW75" s="650"/>
      <c r="FX75" s="650"/>
      <c r="FY75" s="650"/>
      <c r="FZ75" s="650"/>
      <c r="GA75" s="650"/>
      <c r="GB75" s="650"/>
      <c r="GC75" s="650"/>
      <c r="GD75" s="650"/>
      <c r="GE75" s="650"/>
      <c r="GF75" s="650"/>
      <c r="GG75" s="650"/>
      <c r="GH75" s="650"/>
      <c r="GI75" s="650"/>
      <c r="GJ75" s="650"/>
      <c r="GK75" s="650"/>
      <c r="GL75" s="650"/>
      <c r="GM75" s="650"/>
      <c r="GN75" s="650"/>
      <c r="GO75" s="650"/>
      <c r="GP75" s="650"/>
      <c r="GQ75" s="650"/>
      <c r="GR75" s="650"/>
      <c r="GS75" s="650"/>
      <c r="GT75" s="650"/>
      <c r="GU75" s="650"/>
      <c r="GV75" s="650"/>
      <c r="GW75" s="650"/>
      <c r="GX75" s="650"/>
      <c r="GY75" s="650"/>
      <c r="GZ75" s="650"/>
      <c r="HA75" s="650"/>
      <c r="HB75" s="650"/>
      <c r="HC75" s="650"/>
      <c r="HD75" s="650"/>
      <c r="HE75" s="650"/>
      <c r="HF75" s="650"/>
      <c r="HG75" s="650"/>
      <c r="HH75" s="650"/>
      <c r="HI75" s="650"/>
      <c r="HJ75" s="650"/>
      <c r="HK75" s="650"/>
      <c r="HL75" s="650"/>
      <c r="HM75" s="650"/>
      <c r="HN75" s="650"/>
      <c r="HO75" s="650"/>
      <c r="HP75" s="650"/>
      <c r="HQ75" s="650"/>
      <c r="HR75" s="650"/>
      <c r="HS75" s="650"/>
      <c r="HT75" s="650"/>
      <c r="HU75" s="650"/>
      <c r="HV75" s="650"/>
      <c r="HW75" s="650"/>
      <c r="HX75" s="650"/>
      <c r="HY75" s="650"/>
      <c r="HZ75" s="650"/>
      <c r="IA75" s="650"/>
      <c r="IB75" s="650"/>
      <c r="IC75" s="650"/>
      <c r="ID75" s="650"/>
      <c r="IE75" s="650"/>
      <c r="IF75" s="650"/>
      <c r="IG75" s="650"/>
      <c r="IH75" s="650"/>
      <c r="II75" s="650"/>
      <c r="IJ75" s="650"/>
      <c r="IK75" s="650"/>
      <c r="IL75" s="650"/>
      <c r="IM75" s="650"/>
      <c r="IN75" s="650"/>
      <c r="IO75" s="650"/>
      <c r="IP75" s="650"/>
      <c r="IQ75" s="650"/>
      <c r="IR75" s="650"/>
      <c r="IS75" s="650"/>
      <c r="IT75" s="650"/>
      <c r="IU75" s="650"/>
      <c r="IV75" s="650"/>
      <c r="IW75" s="650"/>
      <c r="IX75" s="650"/>
      <c r="IY75" s="650"/>
      <c r="IZ75" s="650"/>
      <c r="JA75" s="650"/>
      <c r="JB75" s="650"/>
      <c r="JC75" s="650"/>
      <c r="JD75" s="650"/>
      <c r="JE75" s="650"/>
      <c r="JF75" s="650"/>
      <c r="JG75" s="650"/>
      <c r="JH75" s="650"/>
      <c r="JI75" s="650"/>
      <c r="JJ75" s="650"/>
      <c r="JK75" s="650"/>
      <c r="JL75" s="650"/>
      <c r="JM75" s="650"/>
      <c r="JN75" s="650"/>
      <c r="JO75" s="650"/>
      <c r="JP75" s="650"/>
      <c r="JQ75" s="650"/>
      <c r="JR75" s="650"/>
      <c r="JS75" s="650"/>
      <c r="JT75" s="650"/>
      <c r="JU75" s="650"/>
      <c r="JV75" s="650"/>
      <c r="JW75" s="650"/>
      <c r="JX75" s="650"/>
      <c r="JY75" s="650"/>
      <c r="JZ75" s="650"/>
      <c r="KA75" s="650"/>
      <c r="KB75" s="650"/>
      <c r="KC75" s="650"/>
      <c r="KD75" s="650"/>
      <c r="KE75" s="650"/>
      <c r="KF75" s="650"/>
      <c r="KG75" s="650"/>
      <c r="KH75" s="650"/>
      <c r="KI75" s="650"/>
      <c r="KJ75" s="650"/>
      <c r="KK75" s="650"/>
      <c r="KL75" s="650"/>
      <c r="KM75" s="650"/>
      <c r="KN75" s="650"/>
      <c r="KO75" s="650"/>
      <c r="KP75" s="650"/>
      <c r="KQ75" s="650"/>
      <c r="KR75" s="650"/>
      <c r="KS75" s="650"/>
      <c r="KT75" s="650"/>
      <c r="KU75" s="650"/>
      <c r="KV75" s="650"/>
      <c r="KW75" s="650"/>
      <c r="KX75" s="650"/>
      <c r="KY75" s="650"/>
      <c r="KZ75" s="650"/>
      <c r="LA75" s="650"/>
      <c r="LB75" s="650"/>
      <c r="LC75" s="650"/>
      <c r="LD75" s="650"/>
      <c r="LE75" s="650"/>
      <c r="LF75" s="650"/>
      <c r="LG75" s="650"/>
      <c r="LH75" s="650"/>
      <c r="LI75" s="650"/>
      <c r="LJ75" s="650"/>
      <c r="LK75" s="650"/>
      <c r="LL75" s="650"/>
      <c r="LM75" s="650"/>
      <c r="LN75" s="650"/>
      <c r="LO75" s="650"/>
      <c r="LP75" s="650"/>
      <c r="LQ75" s="650"/>
      <c r="LR75" s="650"/>
      <c r="LS75" s="650"/>
      <c r="LT75" s="650"/>
      <c r="LU75" s="650"/>
      <c r="LV75" s="650"/>
      <c r="LW75" s="650"/>
      <c r="LX75" s="650"/>
      <c r="LY75" s="650"/>
      <c r="LZ75" s="650"/>
      <c r="MA75" s="650"/>
      <c r="MB75" s="650"/>
      <c r="MC75" s="650"/>
      <c r="MD75" s="650"/>
      <c r="ME75" s="650"/>
      <c r="MF75" s="650"/>
      <c r="MG75" s="650"/>
      <c r="MH75" s="650"/>
      <c r="MI75" s="650"/>
      <c r="MJ75" s="650"/>
      <c r="MK75" s="650"/>
      <c r="ML75" s="650"/>
      <c r="MM75" s="650"/>
      <c r="MN75" s="650"/>
      <c r="MO75" s="650"/>
      <c r="MP75" s="650"/>
      <c r="MQ75" s="650"/>
      <c r="MR75" s="650"/>
      <c r="MS75" s="650"/>
      <c r="MT75" s="650"/>
      <c r="MU75" s="650"/>
      <c r="MV75" s="650"/>
      <c r="MW75" s="650"/>
      <c r="MX75" s="650"/>
      <c r="MY75" s="650"/>
      <c r="MZ75" s="650"/>
      <c r="NA75" s="650"/>
      <c r="NB75" s="650"/>
      <c r="NC75" s="650"/>
      <c r="ND75" s="650"/>
      <c r="NE75" s="650"/>
      <c r="NF75" s="650"/>
      <c r="NG75" s="650"/>
      <c r="NH75" s="650"/>
      <c r="NI75" s="650"/>
      <c r="NJ75" s="650"/>
      <c r="NK75" s="650"/>
      <c r="NL75" s="650"/>
      <c r="NM75" s="650"/>
      <c r="NN75" s="650"/>
      <c r="NO75" s="650"/>
      <c r="NP75" s="650"/>
      <c r="NQ75" s="650"/>
      <c r="NR75" s="650"/>
      <c r="NS75" s="650"/>
      <c r="NT75" s="650"/>
      <c r="NU75" s="650"/>
      <c r="NV75" s="650"/>
      <c r="NW75" s="650"/>
      <c r="NX75" s="650"/>
      <c r="NY75" s="650"/>
      <c r="NZ75" s="650"/>
      <c r="OA75" s="650"/>
      <c r="OB75" s="650"/>
      <c r="OC75" s="650"/>
      <c r="OD75" s="650"/>
      <c r="OE75" s="650"/>
      <c r="OF75" s="650"/>
      <c r="OG75" s="650"/>
      <c r="OH75" s="650"/>
      <c r="OI75" s="650"/>
      <c r="OJ75" s="650"/>
      <c r="OK75" s="650"/>
      <c r="OL75" s="650"/>
      <c r="OM75" s="650"/>
      <c r="ON75" s="650"/>
      <c r="OO75" s="650"/>
      <c r="OP75" s="650"/>
      <c r="OQ75" s="650"/>
      <c r="OR75" s="650"/>
      <c r="OS75" s="650"/>
      <c r="OT75" s="650"/>
      <c r="OU75" s="650"/>
      <c r="OV75" s="650"/>
      <c r="OW75" s="650"/>
      <c r="OX75" s="650"/>
      <c r="OY75" s="650"/>
      <c r="OZ75" s="650"/>
      <c r="PA75" s="650"/>
      <c r="PB75" s="650"/>
      <c r="PC75" s="650"/>
      <c r="PD75" s="650"/>
      <c r="PE75" s="650"/>
      <c r="PF75" s="650"/>
      <c r="PG75" s="650"/>
      <c r="PH75" s="650"/>
      <c r="PI75" s="650"/>
      <c r="PJ75" s="650"/>
      <c r="PK75" s="650"/>
      <c r="PL75" s="650"/>
      <c r="PM75" s="650"/>
      <c r="PN75" s="650"/>
      <c r="PO75" s="650"/>
      <c r="PP75" s="650"/>
      <c r="PQ75" s="650"/>
      <c r="PR75" s="650"/>
      <c r="PS75" s="650"/>
      <c r="PT75" s="650"/>
      <c r="PU75" s="650"/>
      <c r="PV75" s="650"/>
      <c r="PW75" s="650"/>
      <c r="PX75" s="650"/>
      <c r="PY75" s="650"/>
      <c r="PZ75" s="650"/>
      <c r="QA75" s="650"/>
      <c r="QB75" s="650"/>
      <c r="QC75" s="650"/>
      <c r="QD75" s="650"/>
      <c r="QE75" s="650"/>
      <c r="QF75" s="650"/>
      <c r="QG75" s="650"/>
      <c r="QH75" s="650"/>
      <c r="QI75" s="650"/>
      <c r="QJ75" s="650"/>
      <c r="QK75" s="650"/>
      <c r="QL75" s="650"/>
      <c r="QM75" s="650"/>
      <c r="QN75" s="650"/>
      <c r="QO75" s="650"/>
      <c r="QP75" s="650"/>
      <c r="QQ75" s="650"/>
      <c r="QR75" s="650"/>
      <c r="QS75" s="650"/>
      <c r="QT75" s="650"/>
      <c r="QU75" s="650"/>
      <c r="QV75" s="650"/>
      <c r="QW75" s="650"/>
      <c r="QX75" s="650"/>
      <c r="QY75" s="650"/>
      <c r="QZ75" s="650"/>
      <c r="RA75" s="650"/>
      <c r="RB75" s="650"/>
      <c r="RC75" s="650"/>
      <c r="RD75" s="650"/>
      <c r="RE75" s="650"/>
      <c r="RF75" s="650"/>
      <c r="RG75" s="650"/>
      <c r="RH75" s="650"/>
      <c r="RI75" s="650"/>
      <c r="RJ75" s="650"/>
      <c r="RK75" s="650"/>
      <c r="RL75" s="650"/>
      <c r="RM75" s="650"/>
      <c r="RN75" s="650"/>
      <c r="RO75" s="650"/>
      <c r="RP75" s="650"/>
      <c r="RQ75" s="650"/>
      <c r="RR75" s="650"/>
      <c r="RS75" s="650"/>
      <c r="RT75" s="650"/>
      <c r="RU75" s="650"/>
      <c r="RV75" s="650"/>
      <c r="RW75" s="650"/>
      <c r="RX75" s="650"/>
      <c r="RY75" s="650"/>
      <c r="RZ75" s="650"/>
      <c r="SA75" s="650"/>
      <c r="SB75" s="650"/>
      <c r="SC75" s="650"/>
      <c r="SD75" s="650"/>
      <c r="SE75" s="650"/>
      <c r="SF75" s="650"/>
      <c r="SG75" s="650"/>
      <c r="SH75" s="650"/>
      <c r="SI75" s="650"/>
      <c r="SJ75" s="650"/>
      <c r="SK75" s="650"/>
      <c r="SL75" s="650"/>
      <c r="SM75" s="650"/>
      <c r="SN75" s="650"/>
      <c r="SO75" s="650"/>
      <c r="SP75" s="650"/>
      <c r="SQ75" s="650"/>
      <c r="SR75" s="650"/>
      <c r="SS75" s="650"/>
      <c r="ST75" s="650"/>
      <c r="SU75" s="650"/>
      <c r="SV75" s="650"/>
      <c r="SW75" s="650"/>
      <c r="SX75" s="650"/>
      <c r="SY75" s="650"/>
      <c r="SZ75" s="650"/>
      <c r="TA75" s="650"/>
      <c r="TB75" s="650"/>
      <c r="TC75" s="650"/>
      <c r="TD75" s="650"/>
      <c r="TE75" s="650"/>
      <c r="TF75" s="650"/>
      <c r="TG75" s="650"/>
      <c r="TH75" s="650"/>
      <c r="TI75" s="650"/>
      <c r="TJ75" s="650"/>
      <c r="TK75" s="650"/>
      <c r="TL75" s="650"/>
      <c r="TM75" s="650"/>
      <c r="TN75" s="650"/>
      <c r="TO75" s="650"/>
      <c r="TP75" s="650"/>
      <c r="TQ75" s="650"/>
      <c r="TR75" s="650"/>
      <c r="TS75" s="650"/>
      <c r="TT75" s="650"/>
      <c r="TU75" s="650"/>
      <c r="TV75" s="650"/>
      <c r="TW75" s="650"/>
      <c r="TX75" s="650"/>
      <c r="TY75" s="650"/>
      <c r="TZ75" s="650"/>
      <c r="UA75" s="650"/>
      <c r="UB75" s="650"/>
      <c r="UC75" s="650"/>
      <c r="UD75" s="650"/>
      <c r="UE75" s="650"/>
      <c r="UF75" s="650"/>
      <c r="UG75" s="650"/>
      <c r="UH75" s="650"/>
      <c r="UI75" s="650"/>
      <c r="UJ75" s="650"/>
      <c r="UK75" s="650"/>
      <c r="UL75" s="650"/>
      <c r="UM75" s="650"/>
      <c r="UN75" s="650"/>
      <c r="UO75" s="650"/>
      <c r="UP75" s="650"/>
      <c r="UQ75" s="650"/>
      <c r="UR75" s="650"/>
      <c r="US75" s="650"/>
      <c r="UT75" s="650"/>
      <c r="UU75" s="650"/>
      <c r="UV75" s="650"/>
      <c r="UW75" s="650"/>
      <c r="UX75" s="650"/>
      <c r="UY75" s="650"/>
      <c r="UZ75" s="650"/>
      <c r="VA75" s="650"/>
      <c r="VB75" s="650"/>
      <c r="VC75" s="650"/>
      <c r="VD75" s="650"/>
      <c r="VE75" s="650"/>
      <c r="VF75" s="650"/>
      <c r="VG75" s="650"/>
      <c r="VH75" s="650"/>
      <c r="VI75" s="650"/>
      <c r="VJ75" s="650"/>
      <c r="VK75" s="650"/>
      <c r="VL75" s="650"/>
      <c r="VM75" s="650"/>
      <c r="VN75" s="650"/>
      <c r="VO75" s="650"/>
      <c r="VP75" s="650"/>
      <c r="VQ75" s="650"/>
      <c r="VR75" s="650"/>
      <c r="VS75" s="650"/>
      <c r="VT75" s="650"/>
      <c r="VU75" s="650"/>
      <c r="VV75" s="650"/>
      <c r="VW75" s="650"/>
      <c r="VX75" s="650"/>
      <c r="VY75" s="650"/>
      <c r="VZ75" s="650"/>
      <c r="WA75" s="650"/>
      <c r="WB75" s="650"/>
      <c r="WC75" s="650"/>
      <c r="WD75" s="650"/>
      <c r="WE75" s="650"/>
      <c r="WF75" s="650"/>
      <c r="WG75" s="650"/>
      <c r="WH75" s="650"/>
      <c r="WI75" s="650"/>
      <c r="WJ75" s="650"/>
      <c r="WK75" s="650"/>
      <c r="WL75" s="650"/>
      <c r="WM75" s="650"/>
      <c r="WN75" s="650"/>
      <c r="WO75" s="650"/>
      <c r="WP75" s="650"/>
      <c r="WQ75" s="650"/>
      <c r="WR75" s="650"/>
      <c r="WS75" s="650"/>
      <c r="WT75" s="650"/>
      <c r="WU75" s="650"/>
      <c r="WV75" s="650"/>
      <c r="WW75" s="650"/>
      <c r="WX75" s="650"/>
      <c r="WY75" s="650"/>
      <c r="WZ75" s="650"/>
      <c r="XA75" s="650"/>
      <c r="XB75" s="650"/>
      <c r="XC75" s="650"/>
      <c r="XD75" s="650"/>
      <c r="XE75" s="650"/>
      <c r="XF75" s="650"/>
      <c r="XG75" s="650"/>
      <c r="XH75" s="650"/>
      <c r="XI75" s="650"/>
      <c r="XJ75" s="650"/>
      <c r="XK75" s="650"/>
      <c r="XL75" s="650"/>
      <c r="XM75" s="651"/>
    </row>
    <row r="76" spans="1:642" s="195" customFormat="1" ht="15" customHeight="1" x14ac:dyDescent="0.25">
      <c r="A76" s="517" t="s">
        <v>1462</v>
      </c>
      <c r="B76" s="374" t="s">
        <v>1570</v>
      </c>
      <c r="C76" s="373" t="s">
        <v>1571</v>
      </c>
      <c r="D76" s="26" t="s">
        <v>1777</v>
      </c>
      <c r="E76" s="582" t="s">
        <v>1572</v>
      </c>
      <c r="F76" s="326">
        <v>32</v>
      </c>
      <c r="G76" s="326" t="s">
        <v>183</v>
      </c>
      <c r="H76" s="326" t="s">
        <v>35</v>
      </c>
      <c r="I76" s="330"/>
      <c r="J76" s="330"/>
      <c r="K76" s="330"/>
      <c r="L76" s="330"/>
      <c r="M76" s="330"/>
      <c r="N76" s="330"/>
      <c r="O76" s="354" t="s">
        <v>1819</v>
      </c>
      <c r="P76" s="354" t="s">
        <v>1722</v>
      </c>
      <c r="Q76" s="354" t="s">
        <v>1882</v>
      </c>
      <c r="R76" s="354" t="s">
        <v>1019</v>
      </c>
      <c r="S76" s="406" t="s">
        <v>1883</v>
      </c>
      <c r="T76" s="389" t="s">
        <v>1884</v>
      </c>
      <c r="U76" s="330"/>
      <c r="V76" s="330"/>
      <c r="W76" s="393"/>
      <c r="X76" s="24"/>
      <c r="Y76" s="24"/>
      <c r="Z76" s="393"/>
      <c r="AA76" s="485" t="s">
        <v>1987</v>
      </c>
      <c r="AB76" s="531" t="s">
        <v>1986</v>
      </c>
      <c r="AC76" s="393" t="s">
        <v>1985</v>
      </c>
      <c r="AD76" s="24"/>
      <c r="AE76" s="24"/>
      <c r="AF76" s="393"/>
      <c r="AG76" s="24"/>
      <c r="AH76" s="24"/>
      <c r="AI76" s="393"/>
      <c r="AJ76" s="24"/>
      <c r="AK76" s="24"/>
      <c r="AL76" s="393"/>
      <c r="AM76" s="24"/>
      <c r="AN76" s="24"/>
      <c r="AO76" s="24"/>
      <c r="AP76" s="24"/>
      <c r="AQ76" s="110"/>
      <c r="AR76" s="24"/>
      <c r="AS76" s="393"/>
      <c r="AT76" s="354" t="s">
        <v>1987</v>
      </c>
      <c r="AU76" s="395" t="s">
        <v>1986</v>
      </c>
      <c r="AV76" s="404" t="s">
        <v>1985</v>
      </c>
      <c r="AW76" s="332"/>
      <c r="AX76" s="24"/>
      <c r="AY76" s="24"/>
      <c r="AZ76" s="330"/>
      <c r="BA76" s="24"/>
      <c r="BB76" s="24"/>
      <c r="BC76" s="468"/>
      <c r="BD76" s="468"/>
      <c r="BE76" s="468"/>
      <c r="BF76" s="468"/>
      <c r="BG76" s="468"/>
      <c r="BH76" s="468"/>
      <c r="BI76" s="468"/>
      <c r="BJ76" s="468"/>
      <c r="BK76" s="468"/>
      <c r="BL76" s="468"/>
      <c r="BM76" s="468"/>
      <c r="BN76" s="468"/>
      <c r="BO76" s="468"/>
      <c r="BP76" s="468"/>
      <c r="BQ76" s="468"/>
      <c r="BR76" s="468"/>
      <c r="BS76" s="468"/>
      <c r="BT76" s="468"/>
      <c r="BU76" s="468"/>
      <c r="BV76" s="468"/>
      <c r="BW76" s="468"/>
      <c r="BX76" s="468"/>
      <c r="BY76" s="468"/>
      <c r="BZ76" s="468"/>
      <c r="CA76" s="468"/>
      <c r="CB76" s="468"/>
      <c r="CC76" s="468"/>
      <c r="CD76" s="468"/>
      <c r="CE76" s="468"/>
      <c r="CF76" s="468"/>
      <c r="CG76" s="468"/>
      <c r="CH76" s="468"/>
      <c r="CI76" s="468"/>
      <c r="CJ76" s="468"/>
      <c r="CK76" s="468"/>
      <c r="CL76" s="468"/>
      <c r="CM76" s="468"/>
      <c r="CN76" s="468"/>
      <c r="CO76" s="468"/>
      <c r="CP76" s="468"/>
      <c r="CQ76" s="468"/>
      <c r="CR76" s="468"/>
      <c r="CS76" s="468"/>
      <c r="CT76" s="468"/>
      <c r="CU76" s="468"/>
      <c r="CV76" s="468"/>
      <c r="CW76" s="468"/>
      <c r="CX76" s="468"/>
      <c r="CY76" s="468"/>
      <c r="CZ76" s="468"/>
      <c r="DA76" s="468"/>
      <c r="DB76" s="468"/>
      <c r="DC76" s="468"/>
      <c r="DD76" s="468"/>
      <c r="DE76" s="468"/>
      <c r="DF76" s="468"/>
      <c r="DG76" s="468"/>
      <c r="DH76" s="468"/>
      <c r="DI76" s="468"/>
      <c r="DJ76" s="468"/>
      <c r="DK76" s="468"/>
      <c r="DL76" s="468"/>
      <c r="DM76" s="468"/>
      <c r="DN76" s="468"/>
      <c r="DO76" s="468"/>
      <c r="DP76" s="468"/>
      <c r="DQ76" s="468"/>
      <c r="DR76" s="468"/>
      <c r="DS76" s="468"/>
      <c r="DT76" s="468"/>
      <c r="DU76" s="468"/>
      <c r="DV76" s="468"/>
      <c r="DW76" s="468"/>
      <c r="DX76" s="468"/>
      <c r="DY76" s="468"/>
      <c r="DZ76" s="468"/>
      <c r="EA76" s="468"/>
      <c r="EB76" s="468"/>
      <c r="EC76" s="468"/>
      <c r="ED76" s="468"/>
      <c r="EE76" s="468"/>
      <c r="EF76" s="468"/>
      <c r="EG76" s="468"/>
      <c r="EH76" s="468"/>
      <c r="EI76" s="468"/>
      <c r="EJ76" s="468"/>
      <c r="EK76" s="468"/>
      <c r="EL76" s="468"/>
      <c r="EM76" s="468"/>
      <c r="EN76" s="468"/>
      <c r="EO76" s="468"/>
      <c r="EP76" s="468"/>
      <c r="EQ76" s="468"/>
      <c r="ER76" s="468"/>
      <c r="ES76" s="468"/>
      <c r="ET76" s="468"/>
      <c r="EU76" s="468"/>
      <c r="EV76" s="468"/>
      <c r="EW76" s="468"/>
      <c r="EX76" s="468"/>
      <c r="EY76" s="468"/>
      <c r="EZ76" s="468"/>
      <c r="FA76" s="468"/>
      <c r="FB76" s="468"/>
      <c r="FC76" s="468"/>
      <c r="FD76" s="468"/>
      <c r="FE76" s="468"/>
      <c r="FF76" s="468"/>
      <c r="FG76" s="468"/>
      <c r="FH76" s="468"/>
      <c r="FI76" s="468"/>
      <c r="FJ76" s="468"/>
      <c r="FK76" s="468"/>
      <c r="FL76" s="468"/>
      <c r="FM76" s="468"/>
      <c r="FN76" s="468"/>
      <c r="FO76" s="468"/>
      <c r="FP76" s="468"/>
      <c r="FQ76" s="468"/>
      <c r="FR76" s="468"/>
      <c r="FS76" s="468"/>
      <c r="FT76" s="468"/>
      <c r="FU76" s="468"/>
      <c r="FV76" s="468"/>
      <c r="FW76" s="468"/>
      <c r="FX76" s="468"/>
      <c r="FY76" s="468"/>
      <c r="FZ76" s="468"/>
      <c r="GA76" s="468"/>
      <c r="GB76" s="468"/>
      <c r="GC76" s="468"/>
      <c r="GD76" s="468"/>
      <c r="GE76" s="468"/>
      <c r="GF76" s="468"/>
      <c r="GG76" s="468"/>
      <c r="GH76" s="468"/>
      <c r="GI76" s="468"/>
      <c r="GJ76" s="468"/>
      <c r="GK76" s="468"/>
      <c r="GL76" s="468"/>
      <c r="GM76" s="468"/>
      <c r="GN76" s="468"/>
      <c r="GO76" s="468"/>
      <c r="GP76" s="468"/>
      <c r="GQ76" s="468"/>
      <c r="GR76" s="468"/>
      <c r="GS76" s="468"/>
      <c r="GT76" s="468"/>
      <c r="GU76" s="468"/>
      <c r="GV76" s="468"/>
      <c r="GW76" s="468"/>
      <c r="GX76" s="468"/>
      <c r="GY76" s="468"/>
      <c r="GZ76" s="468"/>
      <c r="HA76" s="468"/>
      <c r="HB76" s="468"/>
      <c r="HC76" s="468"/>
      <c r="HD76" s="468"/>
      <c r="HE76" s="468"/>
      <c r="HF76" s="468"/>
      <c r="HG76" s="468"/>
      <c r="HH76" s="468"/>
      <c r="HI76" s="468"/>
      <c r="HJ76" s="468"/>
      <c r="HK76" s="468"/>
      <c r="HL76" s="468"/>
      <c r="HM76" s="468"/>
      <c r="HN76" s="468"/>
      <c r="HO76" s="468"/>
      <c r="HP76" s="468"/>
      <c r="HQ76" s="468"/>
      <c r="HR76" s="468"/>
      <c r="HS76" s="468"/>
      <c r="HT76" s="468"/>
      <c r="HU76" s="468"/>
      <c r="HV76" s="468"/>
      <c r="HW76" s="468"/>
      <c r="HX76" s="468"/>
      <c r="HY76" s="468"/>
      <c r="HZ76" s="468"/>
      <c r="IA76" s="468"/>
      <c r="IB76" s="468"/>
      <c r="IC76" s="468"/>
      <c r="ID76" s="468"/>
      <c r="IE76" s="468"/>
      <c r="IF76" s="468"/>
      <c r="IG76" s="468"/>
      <c r="IH76" s="468"/>
      <c r="II76" s="468"/>
      <c r="IJ76" s="468"/>
      <c r="IK76" s="468"/>
      <c r="IL76" s="468"/>
      <c r="IM76" s="468"/>
      <c r="IN76" s="468"/>
      <c r="IO76" s="468"/>
      <c r="IP76" s="468"/>
      <c r="IQ76" s="468"/>
      <c r="IR76" s="468"/>
      <c r="IS76" s="468"/>
      <c r="IT76" s="468"/>
      <c r="IU76" s="468"/>
      <c r="IV76" s="468"/>
      <c r="IW76" s="468"/>
      <c r="IX76" s="468"/>
      <c r="IY76" s="468"/>
      <c r="IZ76" s="468"/>
      <c r="JA76" s="468"/>
      <c r="JB76" s="468"/>
      <c r="JC76" s="468"/>
      <c r="JD76" s="468"/>
      <c r="JE76" s="468"/>
      <c r="JF76" s="468"/>
      <c r="JG76" s="468"/>
      <c r="JH76" s="468"/>
      <c r="JI76" s="468"/>
      <c r="JJ76" s="468"/>
      <c r="JK76" s="468"/>
      <c r="JL76" s="468"/>
      <c r="JM76" s="468"/>
      <c r="JN76" s="468"/>
      <c r="JO76" s="468"/>
      <c r="JP76" s="468"/>
      <c r="JQ76" s="468"/>
      <c r="JR76" s="468"/>
      <c r="JS76" s="468"/>
      <c r="JT76" s="468"/>
      <c r="JU76" s="468"/>
      <c r="JV76" s="468"/>
      <c r="JW76" s="468"/>
      <c r="JX76" s="468"/>
      <c r="JY76" s="468"/>
      <c r="JZ76" s="468"/>
      <c r="KA76" s="468"/>
      <c r="KB76" s="468"/>
      <c r="KC76" s="468"/>
      <c r="KD76" s="468"/>
      <c r="KE76" s="468"/>
      <c r="KF76" s="468"/>
      <c r="KG76" s="468"/>
      <c r="KH76" s="468"/>
      <c r="KI76" s="468"/>
      <c r="KJ76" s="468"/>
      <c r="KK76" s="468"/>
      <c r="KL76" s="468"/>
      <c r="KM76" s="468"/>
      <c r="KN76" s="468"/>
      <c r="KO76" s="468"/>
      <c r="KP76" s="468"/>
      <c r="KQ76" s="468"/>
      <c r="KR76" s="468"/>
      <c r="KS76" s="468"/>
      <c r="KT76" s="468"/>
      <c r="KU76" s="468"/>
      <c r="KV76" s="468"/>
      <c r="KW76" s="468"/>
      <c r="KX76" s="468"/>
      <c r="KY76" s="468"/>
      <c r="KZ76" s="468"/>
      <c r="LA76" s="468"/>
      <c r="LB76" s="468"/>
      <c r="LC76" s="468"/>
      <c r="LD76" s="468"/>
      <c r="LE76" s="468"/>
      <c r="LF76" s="468"/>
      <c r="LG76" s="468"/>
      <c r="LH76" s="468"/>
      <c r="LI76" s="468"/>
      <c r="LJ76" s="468"/>
      <c r="LK76" s="468"/>
      <c r="LL76" s="468"/>
      <c r="LM76" s="468"/>
      <c r="LN76" s="468"/>
      <c r="LO76" s="468"/>
      <c r="LP76" s="468"/>
      <c r="LQ76" s="468"/>
      <c r="LR76" s="468"/>
      <c r="LS76" s="468"/>
      <c r="LT76" s="468"/>
      <c r="LU76" s="468"/>
      <c r="LV76" s="468"/>
      <c r="LW76" s="468"/>
      <c r="LX76" s="468"/>
      <c r="LY76" s="468"/>
      <c r="LZ76" s="468"/>
      <c r="MA76" s="468"/>
      <c r="MB76" s="468"/>
      <c r="MC76" s="468"/>
      <c r="MD76" s="468"/>
      <c r="ME76" s="468"/>
      <c r="MF76" s="468"/>
      <c r="MG76" s="468"/>
      <c r="MH76" s="468"/>
      <c r="MI76" s="468"/>
      <c r="MJ76" s="468"/>
      <c r="MK76" s="468"/>
      <c r="ML76" s="468"/>
      <c r="MM76" s="468"/>
      <c r="MN76" s="468"/>
      <c r="MO76" s="468"/>
      <c r="MP76" s="468"/>
      <c r="MQ76" s="468"/>
      <c r="MR76" s="468"/>
      <c r="MS76" s="468"/>
      <c r="MT76" s="468"/>
      <c r="MU76" s="468"/>
      <c r="MV76" s="468"/>
      <c r="MW76" s="468"/>
      <c r="MX76" s="468"/>
      <c r="MY76" s="468"/>
      <c r="MZ76" s="468"/>
      <c r="NA76" s="468"/>
      <c r="NB76" s="468"/>
      <c r="NC76" s="468"/>
      <c r="ND76" s="468"/>
      <c r="NE76" s="468"/>
      <c r="NF76" s="468"/>
      <c r="NG76" s="468"/>
      <c r="NH76" s="468"/>
      <c r="NI76" s="468"/>
      <c r="NJ76" s="468"/>
      <c r="NK76" s="468"/>
      <c r="NL76" s="468"/>
      <c r="NM76" s="468"/>
      <c r="NN76" s="468"/>
      <c r="NO76" s="468"/>
      <c r="NP76" s="468"/>
      <c r="NQ76" s="468"/>
      <c r="NR76" s="468"/>
      <c r="NS76" s="468"/>
      <c r="NT76" s="468"/>
      <c r="NU76" s="468"/>
      <c r="NV76" s="468"/>
      <c r="NW76" s="468"/>
      <c r="NX76" s="468"/>
      <c r="NY76" s="468"/>
      <c r="NZ76" s="468"/>
      <c r="OA76" s="468"/>
      <c r="OB76" s="468"/>
      <c r="OC76" s="468"/>
      <c r="OD76" s="468"/>
      <c r="OE76" s="468"/>
      <c r="OF76" s="468"/>
      <c r="OG76" s="468"/>
      <c r="OH76" s="468"/>
      <c r="OI76" s="468"/>
      <c r="OJ76" s="468"/>
      <c r="OK76" s="468"/>
      <c r="OL76" s="468"/>
      <c r="OM76" s="468"/>
      <c r="ON76" s="468"/>
      <c r="OO76" s="468"/>
      <c r="OP76" s="468"/>
      <c r="OQ76" s="468"/>
      <c r="OR76" s="468"/>
      <c r="OS76" s="468"/>
      <c r="OT76" s="468"/>
      <c r="OU76" s="468"/>
      <c r="OV76" s="468"/>
      <c r="OW76" s="468"/>
      <c r="OX76" s="468"/>
      <c r="OY76" s="468"/>
      <c r="OZ76" s="468"/>
      <c r="PA76" s="468"/>
      <c r="PB76" s="468"/>
      <c r="PC76" s="468"/>
      <c r="PD76" s="468"/>
      <c r="PE76" s="468"/>
      <c r="PF76" s="468"/>
      <c r="PG76" s="468"/>
      <c r="PH76" s="468"/>
      <c r="PI76" s="468"/>
      <c r="PJ76" s="468"/>
      <c r="PK76" s="468"/>
      <c r="PL76" s="468"/>
      <c r="PM76" s="468"/>
      <c r="PN76" s="468"/>
      <c r="PO76" s="468"/>
      <c r="PP76" s="468"/>
      <c r="PQ76" s="468"/>
      <c r="PR76" s="468"/>
      <c r="PS76" s="468"/>
      <c r="PT76" s="468"/>
      <c r="PU76" s="468"/>
      <c r="PV76" s="468"/>
      <c r="PW76" s="468"/>
      <c r="PX76" s="468"/>
      <c r="PY76" s="468"/>
      <c r="PZ76" s="468"/>
      <c r="QA76" s="468"/>
      <c r="QB76" s="468"/>
      <c r="QC76" s="468"/>
      <c r="QD76" s="468"/>
      <c r="QE76" s="468"/>
      <c r="QF76" s="468"/>
      <c r="QG76" s="468"/>
      <c r="QH76" s="468"/>
      <c r="QI76" s="468"/>
      <c r="QJ76" s="468"/>
      <c r="QK76" s="468"/>
      <c r="QL76" s="468"/>
      <c r="QM76" s="468"/>
      <c r="QN76" s="468"/>
      <c r="QO76" s="468"/>
      <c r="QP76" s="468"/>
      <c r="QQ76" s="468"/>
      <c r="QR76" s="468"/>
      <c r="QS76" s="468"/>
      <c r="QT76" s="468"/>
      <c r="QU76" s="468"/>
      <c r="QV76" s="468"/>
      <c r="QW76" s="468"/>
      <c r="QX76" s="468"/>
      <c r="QY76" s="468"/>
      <c r="QZ76" s="468"/>
      <c r="RA76" s="468"/>
      <c r="RB76" s="468"/>
      <c r="RC76" s="468"/>
      <c r="RD76" s="468"/>
      <c r="RE76" s="468"/>
      <c r="RF76" s="468"/>
      <c r="RG76" s="468"/>
      <c r="RH76" s="468"/>
      <c r="RI76" s="468"/>
      <c r="RJ76" s="468"/>
      <c r="RK76" s="468"/>
      <c r="RL76" s="468"/>
      <c r="RM76" s="468"/>
      <c r="RN76" s="468"/>
      <c r="RO76" s="468"/>
      <c r="RP76" s="468"/>
      <c r="RQ76" s="468"/>
      <c r="RR76" s="468"/>
      <c r="RS76" s="468"/>
      <c r="RT76" s="468"/>
      <c r="RU76" s="468"/>
      <c r="RV76" s="468"/>
      <c r="RW76" s="468"/>
      <c r="RX76" s="468"/>
      <c r="RY76" s="468"/>
      <c r="RZ76" s="468"/>
      <c r="SA76" s="468"/>
      <c r="SB76" s="468"/>
      <c r="SC76" s="468"/>
      <c r="SD76" s="468"/>
      <c r="SE76" s="468"/>
      <c r="SF76" s="468"/>
      <c r="SG76" s="468"/>
      <c r="SH76" s="468"/>
      <c r="SI76" s="468"/>
      <c r="SJ76" s="468"/>
      <c r="SK76" s="468"/>
      <c r="SL76" s="468"/>
      <c r="SM76" s="468"/>
      <c r="SN76" s="468"/>
      <c r="SO76" s="468"/>
      <c r="SP76" s="468"/>
      <c r="SQ76" s="468"/>
      <c r="SR76" s="468"/>
      <c r="SS76" s="468"/>
      <c r="ST76" s="468"/>
      <c r="SU76" s="468"/>
      <c r="SV76" s="468"/>
      <c r="SW76" s="468"/>
      <c r="SX76" s="468"/>
      <c r="SY76" s="468"/>
      <c r="SZ76" s="468"/>
      <c r="TA76" s="468"/>
      <c r="TB76" s="468"/>
      <c r="TC76" s="468"/>
      <c r="TD76" s="468"/>
      <c r="TE76" s="468"/>
      <c r="TF76" s="468"/>
      <c r="TG76" s="468"/>
      <c r="TH76" s="468"/>
      <c r="TI76" s="468"/>
      <c r="TJ76" s="468"/>
      <c r="TK76" s="468"/>
      <c r="TL76" s="468"/>
      <c r="TM76" s="468"/>
      <c r="TN76" s="468"/>
      <c r="TO76" s="468"/>
      <c r="TP76" s="468"/>
      <c r="TQ76" s="468"/>
      <c r="TR76" s="468"/>
      <c r="TS76" s="468"/>
      <c r="TT76" s="468"/>
      <c r="TU76" s="468"/>
      <c r="TV76" s="468"/>
      <c r="TW76" s="468"/>
      <c r="TX76" s="468"/>
      <c r="TY76" s="468"/>
      <c r="TZ76" s="468"/>
      <c r="UA76" s="468"/>
      <c r="UB76" s="468"/>
      <c r="UC76" s="468"/>
      <c r="UD76" s="468"/>
      <c r="UE76" s="468"/>
      <c r="UF76" s="468"/>
      <c r="UG76" s="468"/>
      <c r="UH76" s="468"/>
      <c r="UI76" s="468"/>
      <c r="UJ76" s="468"/>
      <c r="UK76" s="468"/>
      <c r="UL76" s="468"/>
      <c r="UM76" s="468"/>
      <c r="UN76" s="468"/>
      <c r="UO76" s="468"/>
      <c r="UP76" s="468"/>
      <c r="UQ76" s="468"/>
      <c r="UR76" s="468"/>
      <c r="US76" s="468"/>
      <c r="UT76" s="468"/>
      <c r="UU76" s="468"/>
      <c r="UV76" s="468"/>
      <c r="UW76" s="468"/>
      <c r="UX76" s="468"/>
      <c r="UY76" s="468"/>
      <c r="UZ76" s="468"/>
      <c r="VA76" s="468"/>
      <c r="VB76" s="468"/>
      <c r="VC76" s="468"/>
      <c r="VD76" s="468"/>
      <c r="VE76" s="468"/>
      <c r="VF76" s="468"/>
      <c r="VG76" s="468"/>
      <c r="VH76" s="468"/>
      <c r="VI76" s="468"/>
      <c r="VJ76" s="468"/>
      <c r="VK76" s="468"/>
      <c r="VL76" s="468"/>
      <c r="VM76" s="468"/>
      <c r="VN76" s="468"/>
      <c r="VO76" s="468"/>
      <c r="VP76" s="468"/>
      <c r="VQ76" s="468"/>
      <c r="VR76" s="468"/>
      <c r="VS76" s="468"/>
      <c r="VT76" s="468"/>
      <c r="VU76" s="468"/>
      <c r="VV76" s="468"/>
      <c r="VW76" s="468"/>
      <c r="VX76" s="468"/>
      <c r="VY76" s="468"/>
      <c r="VZ76" s="468"/>
      <c r="WA76" s="468"/>
      <c r="WB76" s="468"/>
      <c r="WC76" s="468"/>
      <c r="WD76" s="468"/>
      <c r="WE76" s="468"/>
      <c r="WF76" s="468"/>
      <c r="WG76" s="468"/>
      <c r="WH76" s="468"/>
      <c r="WI76" s="468"/>
      <c r="WJ76" s="468"/>
      <c r="WK76" s="468"/>
      <c r="WL76" s="468"/>
      <c r="WM76" s="468"/>
      <c r="WN76" s="468"/>
      <c r="WO76" s="468"/>
      <c r="WP76" s="468"/>
      <c r="WQ76" s="468"/>
      <c r="WR76" s="468"/>
      <c r="WS76" s="468"/>
      <c r="WT76" s="468"/>
      <c r="WU76" s="468"/>
      <c r="WV76" s="468"/>
      <c r="WW76" s="468"/>
      <c r="WX76" s="468"/>
      <c r="WY76" s="468"/>
      <c r="WZ76" s="468"/>
      <c r="XA76" s="468"/>
      <c r="XB76" s="468"/>
      <c r="XC76" s="468"/>
      <c r="XD76" s="468"/>
      <c r="XE76" s="468"/>
      <c r="XF76" s="468"/>
      <c r="XG76" s="468"/>
      <c r="XH76" s="468"/>
      <c r="XI76" s="468"/>
      <c r="XJ76" s="468"/>
      <c r="XK76" s="468"/>
      <c r="XL76" s="468"/>
      <c r="XM76" s="467"/>
      <c r="XN76" s="24"/>
      <c r="XO76" s="24"/>
      <c r="XP76" s="24"/>
    </row>
    <row r="77" spans="1:642" s="110" customFormat="1" ht="14.25" customHeight="1" x14ac:dyDescent="0.25">
      <c r="A77" s="517" t="s">
        <v>1463</v>
      </c>
      <c r="B77" s="580" t="s">
        <v>1502</v>
      </c>
      <c r="C77" s="580" t="s">
        <v>1501</v>
      </c>
      <c r="D77" s="26" t="s">
        <v>1777</v>
      </c>
      <c r="E77" s="581" t="s">
        <v>1503</v>
      </c>
      <c r="F77" s="326">
        <v>45</v>
      </c>
      <c r="G77" s="326" t="s">
        <v>183</v>
      </c>
      <c r="H77" s="326" t="s">
        <v>35</v>
      </c>
      <c r="I77" s="158"/>
      <c r="J77" s="158"/>
      <c r="K77" s="158"/>
      <c r="L77" s="158"/>
      <c r="M77" s="158"/>
      <c r="N77" s="158"/>
      <c r="O77" s="354" t="s">
        <v>1755</v>
      </c>
      <c r="P77" s="354" t="s">
        <v>1962</v>
      </c>
      <c r="Q77" s="354" t="s">
        <v>1855</v>
      </c>
      <c r="R77" s="535" t="s">
        <v>1519</v>
      </c>
      <c r="S77" s="406" t="s">
        <v>1856</v>
      </c>
      <c r="T77" s="389" t="s">
        <v>1857</v>
      </c>
      <c r="U77" s="354" t="s">
        <v>1942</v>
      </c>
      <c r="V77" s="395" t="s">
        <v>1943</v>
      </c>
      <c r="W77" s="545"/>
      <c r="X77" s="28"/>
      <c r="Y77" s="330"/>
      <c r="Z77" s="545"/>
      <c r="AA77" s="691"/>
      <c r="AB77" s="524"/>
      <c r="AC77" s="545"/>
      <c r="AF77" s="545"/>
      <c r="AI77" s="545"/>
      <c r="AL77" s="545"/>
      <c r="AQ77" s="23"/>
      <c r="AS77" s="545"/>
      <c r="AT77" s="354" t="s">
        <v>1942</v>
      </c>
      <c r="AU77" s="395" t="s">
        <v>1943</v>
      </c>
      <c r="AV77" s="404" t="s">
        <v>2008</v>
      </c>
      <c r="AW77" s="175"/>
      <c r="AX77" s="175"/>
      <c r="AY77" s="175"/>
      <c r="AZ77" s="175"/>
      <c r="BA77" s="330"/>
      <c r="BC77" s="175"/>
      <c r="BD77" s="470"/>
      <c r="BE77" s="470"/>
      <c r="BF77" s="470"/>
      <c r="BG77" s="470"/>
      <c r="BH77" s="470"/>
      <c r="BI77" s="470"/>
      <c r="BJ77" s="470"/>
      <c r="BK77" s="470"/>
      <c r="BL77" s="470"/>
      <c r="BM77" s="470"/>
      <c r="BN77" s="470"/>
      <c r="BO77" s="470"/>
      <c r="BP77" s="470"/>
      <c r="BQ77" s="470"/>
      <c r="BR77" s="470"/>
      <c r="BS77" s="470"/>
      <c r="BT77" s="470"/>
      <c r="BU77" s="470"/>
      <c r="BV77" s="470"/>
      <c r="BW77" s="470"/>
      <c r="BX77" s="470"/>
      <c r="BY77" s="470"/>
      <c r="BZ77" s="470"/>
      <c r="CA77" s="470"/>
      <c r="CB77" s="470"/>
      <c r="CC77" s="470"/>
      <c r="CD77" s="470"/>
      <c r="CE77" s="470"/>
      <c r="CF77" s="470"/>
      <c r="CG77" s="470"/>
      <c r="CH77" s="470"/>
      <c r="CI77" s="470"/>
      <c r="CJ77" s="470"/>
      <c r="CK77" s="470"/>
      <c r="CL77" s="470"/>
      <c r="CM77" s="470"/>
      <c r="CN77" s="470"/>
      <c r="CO77" s="470"/>
      <c r="CP77" s="470"/>
      <c r="CQ77" s="470"/>
      <c r="CR77" s="470"/>
      <c r="CS77" s="470"/>
      <c r="CT77" s="470"/>
      <c r="CU77" s="470"/>
      <c r="CV77" s="470"/>
      <c r="CW77" s="470"/>
      <c r="CX77" s="470"/>
      <c r="CY77" s="470"/>
      <c r="CZ77" s="470"/>
      <c r="DA77" s="470"/>
      <c r="DB77" s="470"/>
      <c r="DC77" s="470"/>
      <c r="DD77" s="470"/>
      <c r="DE77" s="470"/>
      <c r="DF77" s="470"/>
      <c r="DG77" s="470"/>
      <c r="DH77" s="470"/>
      <c r="DI77" s="470"/>
      <c r="DJ77" s="470"/>
      <c r="DK77" s="470"/>
      <c r="DL77" s="470"/>
      <c r="DM77" s="470"/>
      <c r="DN77" s="470"/>
      <c r="DO77" s="470"/>
      <c r="DP77" s="470"/>
      <c r="DQ77" s="470"/>
      <c r="DR77" s="470"/>
      <c r="DS77" s="470"/>
      <c r="DT77" s="470"/>
      <c r="DU77" s="470"/>
      <c r="DV77" s="470"/>
      <c r="DW77" s="470"/>
      <c r="DX77" s="470"/>
      <c r="DY77" s="470"/>
      <c r="DZ77" s="470"/>
      <c r="EA77" s="470"/>
      <c r="EB77" s="470"/>
      <c r="EC77" s="470"/>
      <c r="ED77" s="470"/>
      <c r="EE77" s="470"/>
      <c r="EF77" s="470"/>
      <c r="EG77" s="470"/>
      <c r="EH77" s="470"/>
      <c r="EI77" s="470"/>
      <c r="EJ77" s="470"/>
      <c r="EK77" s="470"/>
      <c r="EL77" s="470"/>
      <c r="EM77" s="470"/>
      <c r="EN77" s="470"/>
      <c r="EO77" s="470"/>
      <c r="EP77" s="470"/>
      <c r="EQ77" s="470"/>
      <c r="ER77" s="470"/>
      <c r="ES77" s="470"/>
      <c r="ET77" s="470"/>
      <c r="EU77" s="470"/>
      <c r="EV77" s="470"/>
      <c r="EW77" s="470"/>
      <c r="EX77" s="470"/>
      <c r="EY77" s="470"/>
      <c r="EZ77" s="470"/>
      <c r="FA77" s="470"/>
      <c r="FB77" s="470"/>
      <c r="FC77" s="470"/>
      <c r="FD77" s="470"/>
      <c r="FE77" s="470"/>
      <c r="FF77" s="470"/>
      <c r="FG77" s="470"/>
      <c r="FH77" s="470"/>
      <c r="FI77" s="470"/>
      <c r="FJ77" s="470"/>
      <c r="FK77" s="470"/>
      <c r="FL77" s="470"/>
      <c r="FM77" s="470"/>
      <c r="FN77" s="470"/>
      <c r="FO77" s="470"/>
      <c r="FP77" s="470"/>
      <c r="FQ77" s="470"/>
      <c r="FR77" s="470"/>
      <c r="FS77" s="470"/>
      <c r="FT77" s="470"/>
      <c r="FU77" s="470"/>
      <c r="FV77" s="470"/>
      <c r="FW77" s="470"/>
      <c r="FX77" s="470"/>
      <c r="FY77" s="470"/>
      <c r="FZ77" s="470"/>
      <c r="GA77" s="470"/>
      <c r="GB77" s="470"/>
      <c r="GC77" s="470"/>
      <c r="GD77" s="470"/>
      <c r="GE77" s="470"/>
      <c r="GF77" s="470"/>
      <c r="GG77" s="470"/>
      <c r="GH77" s="470"/>
      <c r="GI77" s="470"/>
      <c r="GJ77" s="470"/>
      <c r="GK77" s="470"/>
      <c r="GL77" s="470"/>
      <c r="GM77" s="470"/>
      <c r="GN77" s="470"/>
      <c r="GO77" s="470"/>
      <c r="GP77" s="470"/>
      <c r="GQ77" s="470"/>
      <c r="GR77" s="470"/>
      <c r="GS77" s="470"/>
      <c r="GT77" s="470"/>
      <c r="GU77" s="470"/>
      <c r="GV77" s="470"/>
      <c r="GW77" s="470"/>
      <c r="GX77" s="470"/>
      <c r="GY77" s="470"/>
      <c r="GZ77" s="470"/>
      <c r="HA77" s="470"/>
      <c r="HB77" s="470"/>
      <c r="HC77" s="470"/>
      <c r="HD77" s="470"/>
      <c r="HE77" s="470"/>
      <c r="HF77" s="470"/>
      <c r="HG77" s="470"/>
      <c r="HH77" s="470"/>
      <c r="HI77" s="470"/>
      <c r="HJ77" s="470"/>
      <c r="HK77" s="470"/>
      <c r="HL77" s="470"/>
      <c r="HM77" s="470"/>
      <c r="HN77" s="470"/>
      <c r="HO77" s="470"/>
      <c r="HP77" s="470"/>
      <c r="HQ77" s="470"/>
      <c r="HR77" s="470"/>
      <c r="HS77" s="470"/>
      <c r="HT77" s="470"/>
      <c r="HU77" s="470"/>
      <c r="HV77" s="470"/>
      <c r="HW77" s="470"/>
      <c r="HX77" s="470"/>
      <c r="HY77" s="470"/>
      <c r="HZ77" s="470"/>
      <c r="IA77" s="470"/>
      <c r="IB77" s="470"/>
      <c r="IC77" s="470"/>
      <c r="ID77" s="470"/>
      <c r="IE77" s="470"/>
      <c r="IF77" s="470"/>
      <c r="IG77" s="470"/>
      <c r="IH77" s="470"/>
      <c r="II77" s="470"/>
      <c r="IJ77" s="470"/>
      <c r="IK77" s="470"/>
      <c r="IL77" s="470"/>
      <c r="IM77" s="470"/>
      <c r="IN77" s="470"/>
      <c r="IO77" s="470"/>
      <c r="IP77" s="470"/>
      <c r="IQ77" s="470"/>
      <c r="IR77" s="470"/>
      <c r="IS77" s="470"/>
      <c r="IT77" s="470"/>
      <c r="IU77" s="470"/>
      <c r="IV77" s="470"/>
      <c r="IW77" s="470"/>
      <c r="IX77" s="470"/>
      <c r="IY77" s="470"/>
      <c r="IZ77" s="470"/>
      <c r="JA77" s="470"/>
      <c r="JB77" s="470"/>
      <c r="JC77" s="470"/>
      <c r="JD77" s="470"/>
      <c r="JE77" s="470"/>
      <c r="JF77" s="470"/>
      <c r="JG77" s="470"/>
      <c r="JH77" s="470"/>
      <c r="JI77" s="470"/>
      <c r="JJ77" s="470"/>
      <c r="JK77" s="470"/>
      <c r="JL77" s="470"/>
      <c r="JM77" s="470"/>
      <c r="JN77" s="470"/>
      <c r="JO77" s="470"/>
      <c r="JP77" s="470"/>
      <c r="JQ77" s="470"/>
      <c r="JR77" s="470"/>
      <c r="JS77" s="470"/>
      <c r="JT77" s="470"/>
      <c r="JU77" s="470"/>
      <c r="JV77" s="470"/>
      <c r="JW77" s="470"/>
      <c r="JX77" s="470"/>
      <c r="JY77" s="470"/>
      <c r="JZ77" s="470"/>
      <c r="KA77" s="470"/>
      <c r="KB77" s="470"/>
      <c r="KC77" s="470"/>
      <c r="KD77" s="470"/>
      <c r="KE77" s="470"/>
      <c r="KF77" s="470"/>
      <c r="KG77" s="470"/>
      <c r="KH77" s="470"/>
      <c r="KI77" s="470"/>
      <c r="KJ77" s="470"/>
      <c r="KK77" s="470"/>
      <c r="KL77" s="470"/>
      <c r="KM77" s="470"/>
      <c r="KN77" s="470"/>
      <c r="KO77" s="470"/>
      <c r="KP77" s="470"/>
      <c r="KQ77" s="470"/>
      <c r="KR77" s="470"/>
      <c r="KS77" s="470"/>
      <c r="KT77" s="470"/>
      <c r="KU77" s="470"/>
      <c r="KV77" s="470"/>
      <c r="KW77" s="470"/>
      <c r="KX77" s="470"/>
      <c r="KY77" s="470"/>
      <c r="KZ77" s="470"/>
      <c r="LA77" s="470"/>
      <c r="LB77" s="470"/>
      <c r="LC77" s="470"/>
      <c r="LD77" s="470"/>
      <c r="LE77" s="470"/>
      <c r="LF77" s="470"/>
      <c r="LG77" s="470"/>
      <c r="LH77" s="470"/>
      <c r="LI77" s="470"/>
      <c r="LJ77" s="470"/>
      <c r="LK77" s="470"/>
      <c r="LL77" s="470"/>
      <c r="LM77" s="470"/>
      <c r="LN77" s="470"/>
      <c r="LO77" s="470"/>
      <c r="LP77" s="470"/>
      <c r="LQ77" s="470"/>
      <c r="LR77" s="470"/>
      <c r="LS77" s="470"/>
      <c r="LT77" s="470"/>
      <c r="LU77" s="470"/>
      <c r="LV77" s="470"/>
      <c r="LW77" s="470"/>
      <c r="LX77" s="470"/>
      <c r="LY77" s="470"/>
      <c r="LZ77" s="470"/>
      <c r="MA77" s="470"/>
      <c r="MB77" s="470"/>
      <c r="MC77" s="470"/>
      <c r="MD77" s="470"/>
      <c r="ME77" s="470"/>
      <c r="MF77" s="470"/>
      <c r="MG77" s="470"/>
      <c r="MH77" s="470"/>
      <c r="MI77" s="470"/>
      <c r="MJ77" s="470"/>
      <c r="MK77" s="470"/>
      <c r="ML77" s="470"/>
      <c r="MM77" s="470"/>
      <c r="MN77" s="470"/>
      <c r="MO77" s="470"/>
      <c r="MP77" s="470"/>
      <c r="MQ77" s="470"/>
      <c r="MR77" s="470"/>
      <c r="MS77" s="470"/>
      <c r="MT77" s="470"/>
      <c r="MU77" s="470"/>
      <c r="MV77" s="470"/>
      <c r="MW77" s="470"/>
      <c r="MX77" s="470"/>
      <c r="MY77" s="470"/>
      <c r="MZ77" s="470"/>
      <c r="NA77" s="470"/>
      <c r="NB77" s="470"/>
      <c r="NC77" s="470"/>
      <c r="ND77" s="470"/>
      <c r="NE77" s="470"/>
      <c r="NF77" s="470"/>
      <c r="NG77" s="470"/>
      <c r="NH77" s="470"/>
      <c r="NI77" s="470"/>
      <c r="NJ77" s="470"/>
      <c r="NK77" s="470"/>
      <c r="NL77" s="470"/>
      <c r="NM77" s="470"/>
      <c r="NN77" s="470"/>
      <c r="NO77" s="470"/>
      <c r="NP77" s="470"/>
      <c r="NQ77" s="470"/>
      <c r="NR77" s="470"/>
      <c r="NS77" s="470"/>
      <c r="NT77" s="470"/>
      <c r="NU77" s="470"/>
      <c r="NV77" s="470"/>
      <c r="NW77" s="470"/>
      <c r="NX77" s="470"/>
      <c r="NY77" s="470"/>
      <c r="NZ77" s="470"/>
      <c r="OA77" s="470"/>
      <c r="OB77" s="470"/>
      <c r="OC77" s="470"/>
      <c r="OD77" s="470"/>
      <c r="OE77" s="470"/>
      <c r="OF77" s="470"/>
      <c r="OG77" s="470"/>
      <c r="OH77" s="470"/>
      <c r="OI77" s="470"/>
      <c r="OJ77" s="470"/>
      <c r="OK77" s="470"/>
      <c r="OL77" s="470"/>
      <c r="OM77" s="470"/>
      <c r="ON77" s="470"/>
      <c r="OO77" s="470"/>
      <c r="OP77" s="470"/>
      <c r="OQ77" s="470"/>
      <c r="OR77" s="470"/>
      <c r="OS77" s="470"/>
      <c r="OT77" s="470"/>
      <c r="OU77" s="470"/>
      <c r="OV77" s="470"/>
      <c r="OW77" s="470"/>
      <c r="OX77" s="470"/>
      <c r="OY77" s="470"/>
      <c r="OZ77" s="470"/>
      <c r="PA77" s="470"/>
      <c r="PB77" s="470"/>
      <c r="PC77" s="470"/>
      <c r="PD77" s="470"/>
      <c r="PE77" s="470"/>
      <c r="PF77" s="470"/>
      <c r="PG77" s="470"/>
      <c r="PH77" s="470"/>
      <c r="PI77" s="470"/>
      <c r="PJ77" s="470"/>
      <c r="PK77" s="470"/>
      <c r="PL77" s="470"/>
      <c r="PM77" s="470"/>
      <c r="PN77" s="470"/>
      <c r="PO77" s="470"/>
      <c r="PP77" s="470"/>
      <c r="PQ77" s="470"/>
      <c r="PR77" s="470"/>
      <c r="PS77" s="470"/>
      <c r="PT77" s="470"/>
      <c r="PU77" s="470"/>
      <c r="PV77" s="470"/>
      <c r="PW77" s="470"/>
      <c r="PX77" s="470"/>
      <c r="PY77" s="470"/>
      <c r="PZ77" s="470"/>
      <c r="QA77" s="470"/>
      <c r="QB77" s="470"/>
      <c r="QC77" s="470"/>
      <c r="QD77" s="470"/>
      <c r="QE77" s="470"/>
      <c r="QF77" s="470"/>
      <c r="QG77" s="470"/>
      <c r="QH77" s="470"/>
      <c r="QI77" s="470"/>
      <c r="QJ77" s="470"/>
      <c r="QK77" s="470"/>
      <c r="QL77" s="470"/>
      <c r="QM77" s="470"/>
      <c r="QN77" s="470"/>
      <c r="QO77" s="470"/>
      <c r="QP77" s="470"/>
      <c r="QQ77" s="470"/>
      <c r="QR77" s="470"/>
      <c r="QS77" s="470"/>
      <c r="QT77" s="470"/>
      <c r="QU77" s="470"/>
      <c r="QV77" s="470"/>
      <c r="QW77" s="470"/>
      <c r="QX77" s="470"/>
      <c r="QY77" s="470"/>
      <c r="QZ77" s="470"/>
      <c r="RA77" s="470"/>
      <c r="RB77" s="470"/>
      <c r="RC77" s="470"/>
      <c r="RD77" s="470"/>
      <c r="RE77" s="470"/>
      <c r="RF77" s="470"/>
      <c r="RG77" s="470"/>
      <c r="RH77" s="470"/>
      <c r="RI77" s="470"/>
      <c r="RJ77" s="470"/>
      <c r="RK77" s="470"/>
      <c r="RL77" s="470"/>
      <c r="RM77" s="470"/>
      <c r="RN77" s="470"/>
      <c r="RO77" s="470"/>
      <c r="RP77" s="470"/>
      <c r="RQ77" s="470"/>
      <c r="RR77" s="470"/>
      <c r="RS77" s="470"/>
      <c r="RT77" s="470"/>
      <c r="RU77" s="470"/>
      <c r="RV77" s="470"/>
      <c r="RW77" s="470"/>
      <c r="RX77" s="470"/>
      <c r="RY77" s="470"/>
      <c r="RZ77" s="470"/>
      <c r="SA77" s="470"/>
      <c r="SB77" s="470"/>
      <c r="SC77" s="470"/>
      <c r="SD77" s="470"/>
      <c r="SE77" s="470"/>
      <c r="SF77" s="470"/>
      <c r="SG77" s="470"/>
      <c r="SH77" s="470"/>
      <c r="SI77" s="470"/>
      <c r="SJ77" s="470"/>
      <c r="SK77" s="470"/>
      <c r="SL77" s="470"/>
      <c r="SM77" s="470"/>
      <c r="SN77" s="470"/>
      <c r="SO77" s="470"/>
      <c r="SP77" s="470"/>
      <c r="SQ77" s="470"/>
      <c r="SR77" s="470"/>
      <c r="SS77" s="470"/>
      <c r="ST77" s="470"/>
      <c r="SU77" s="470"/>
      <c r="SV77" s="470"/>
      <c r="SW77" s="470"/>
      <c r="SX77" s="470"/>
      <c r="SY77" s="470"/>
      <c r="SZ77" s="470"/>
      <c r="TA77" s="470"/>
      <c r="TB77" s="470"/>
      <c r="TC77" s="470"/>
      <c r="TD77" s="470"/>
      <c r="TE77" s="470"/>
      <c r="TF77" s="470"/>
      <c r="TG77" s="470"/>
      <c r="TH77" s="470"/>
      <c r="TI77" s="470"/>
      <c r="TJ77" s="470"/>
      <c r="TK77" s="470"/>
      <c r="TL77" s="470"/>
      <c r="TM77" s="470"/>
      <c r="TN77" s="470"/>
      <c r="TO77" s="470"/>
      <c r="TP77" s="470"/>
      <c r="TQ77" s="470"/>
      <c r="TR77" s="470"/>
      <c r="TS77" s="470"/>
      <c r="TT77" s="470"/>
      <c r="TU77" s="470"/>
      <c r="TV77" s="470"/>
      <c r="TW77" s="470"/>
      <c r="TX77" s="470"/>
      <c r="TY77" s="470"/>
      <c r="TZ77" s="470"/>
      <c r="UA77" s="470"/>
      <c r="UB77" s="470"/>
      <c r="UC77" s="470"/>
      <c r="UD77" s="470"/>
      <c r="UE77" s="470"/>
      <c r="UF77" s="470"/>
      <c r="UG77" s="470"/>
      <c r="UH77" s="470"/>
      <c r="UI77" s="470"/>
      <c r="UJ77" s="470"/>
      <c r="UK77" s="470"/>
      <c r="UL77" s="470"/>
      <c r="UM77" s="470"/>
      <c r="UN77" s="470"/>
      <c r="UO77" s="470"/>
      <c r="UP77" s="470"/>
      <c r="UQ77" s="470"/>
      <c r="UR77" s="470"/>
      <c r="US77" s="470"/>
      <c r="UT77" s="470"/>
      <c r="UU77" s="470"/>
      <c r="UV77" s="470"/>
      <c r="UW77" s="470"/>
      <c r="UX77" s="470"/>
      <c r="UY77" s="470"/>
      <c r="UZ77" s="470"/>
      <c r="VA77" s="470"/>
      <c r="VB77" s="470"/>
      <c r="VC77" s="470"/>
      <c r="VD77" s="470"/>
      <c r="VE77" s="470"/>
      <c r="VF77" s="470"/>
      <c r="VG77" s="470"/>
      <c r="VH77" s="470"/>
      <c r="VI77" s="470"/>
      <c r="VJ77" s="470"/>
      <c r="VK77" s="470"/>
      <c r="VL77" s="470"/>
      <c r="VM77" s="470"/>
      <c r="VN77" s="470"/>
      <c r="VO77" s="470"/>
      <c r="VP77" s="470"/>
      <c r="VQ77" s="470"/>
      <c r="VR77" s="470"/>
      <c r="VS77" s="470"/>
      <c r="VT77" s="470"/>
      <c r="VU77" s="470"/>
      <c r="VV77" s="470"/>
      <c r="VW77" s="470"/>
      <c r="VX77" s="470"/>
      <c r="VY77" s="470"/>
      <c r="VZ77" s="470"/>
      <c r="WA77" s="470"/>
      <c r="WB77" s="470"/>
      <c r="WC77" s="470"/>
      <c r="WD77" s="470"/>
      <c r="WE77" s="470"/>
      <c r="WF77" s="470"/>
      <c r="WG77" s="470"/>
      <c r="WH77" s="470"/>
      <c r="WI77" s="470"/>
      <c r="WJ77" s="470"/>
      <c r="WK77" s="470"/>
      <c r="WL77" s="470"/>
      <c r="WM77" s="470"/>
      <c r="WN77" s="470"/>
      <c r="WO77" s="470"/>
      <c r="WP77" s="470"/>
      <c r="WQ77" s="470"/>
      <c r="WR77" s="470"/>
      <c r="WS77" s="470"/>
      <c r="WT77" s="470"/>
      <c r="WU77" s="470"/>
      <c r="WV77" s="470"/>
      <c r="WW77" s="470"/>
      <c r="WX77" s="470"/>
      <c r="WY77" s="470"/>
      <c r="WZ77" s="470"/>
      <c r="XA77" s="470"/>
      <c r="XB77" s="470"/>
      <c r="XC77" s="470"/>
      <c r="XD77" s="470"/>
      <c r="XE77" s="470"/>
      <c r="XF77" s="470"/>
      <c r="XG77" s="470"/>
      <c r="XH77" s="470"/>
      <c r="XI77" s="470"/>
      <c r="XJ77" s="470"/>
      <c r="XK77" s="470"/>
      <c r="XL77" s="470"/>
      <c r="XM77" s="470"/>
      <c r="XN77" s="313"/>
    </row>
    <row r="78" spans="1:642" x14ac:dyDescent="0.25">
      <c r="A78" s="517" t="s">
        <v>1464</v>
      </c>
      <c r="B78" s="374" t="s">
        <v>1547</v>
      </c>
      <c r="C78" s="374" t="s">
        <v>1548</v>
      </c>
      <c r="D78" s="26" t="s">
        <v>1777</v>
      </c>
      <c r="E78" s="574">
        <v>7409045195084</v>
      </c>
      <c r="F78" s="326">
        <v>50</v>
      </c>
      <c r="G78" s="326" t="s">
        <v>183</v>
      </c>
      <c r="H78" s="326" t="s">
        <v>35</v>
      </c>
      <c r="J78" s="476"/>
      <c r="K78" s="477"/>
      <c r="L78" s="476"/>
      <c r="M78" s="476"/>
      <c r="N78" s="476"/>
      <c r="O78" s="355" t="s">
        <v>1909</v>
      </c>
      <c r="P78" s="354" t="s">
        <v>1910</v>
      </c>
      <c r="Q78" s="442" t="s">
        <v>1709</v>
      </c>
      <c r="R78" s="534" t="s">
        <v>1519</v>
      </c>
      <c r="S78" s="406" t="s">
        <v>1859</v>
      </c>
      <c r="T78" s="389" t="s">
        <v>1860</v>
      </c>
      <c r="U78" s="330"/>
      <c r="W78" s="393"/>
      <c r="Z78" s="393"/>
      <c r="AA78" s="442" t="s">
        <v>1704</v>
      </c>
      <c r="AB78" s="395" t="s">
        <v>1846</v>
      </c>
      <c r="AC78" s="393" t="s">
        <v>1847</v>
      </c>
      <c r="AF78" s="393"/>
      <c r="AI78" s="393"/>
      <c r="AL78" s="393"/>
      <c r="AQ78" s="110"/>
      <c r="AS78" s="393"/>
      <c r="AT78" s="442" t="s">
        <v>1704</v>
      </c>
      <c r="AU78" s="395" t="s">
        <v>1846</v>
      </c>
      <c r="AV78" s="404" t="s">
        <v>1847</v>
      </c>
      <c r="AW78" s="23"/>
      <c r="AX78" s="24"/>
      <c r="BA78" s="330"/>
    </row>
    <row r="79" spans="1:642" s="110" customFormat="1" x14ac:dyDescent="0.25">
      <c r="A79" s="517" t="s">
        <v>1465</v>
      </c>
      <c r="B79" s="580" t="s">
        <v>1509</v>
      </c>
      <c r="C79" s="580" t="s">
        <v>1510</v>
      </c>
      <c r="D79" s="26" t="s">
        <v>1777</v>
      </c>
      <c r="E79" s="583" t="s">
        <v>1511</v>
      </c>
      <c r="F79" s="326">
        <v>42</v>
      </c>
      <c r="G79" s="326" t="s">
        <v>54</v>
      </c>
      <c r="H79" s="326" t="s">
        <v>35</v>
      </c>
      <c r="I79" s="158"/>
      <c r="J79" s="158"/>
      <c r="K79" s="158"/>
      <c r="L79" s="158"/>
      <c r="M79" s="158"/>
      <c r="N79" s="158"/>
      <c r="O79" s="354" t="s">
        <v>1822</v>
      </c>
      <c r="P79" s="354" t="s">
        <v>1944</v>
      </c>
      <c r="Q79" s="354" t="s">
        <v>1424</v>
      </c>
      <c r="R79" s="354" t="s">
        <v>1019</v>
      </c>
      <c r="S79" s="406" t="s">
        <v>1791</v>
      </c>
      <c r="T79" s="389" t="s">
        <v>1900</v>
      </c>
      <c r="U79" s="158"/>
      <c r="V79" s="330"/>
      <c r="W79" s="545"/>
      <c r="Z79" s="545"/>
      <c r="AA79" s="442" t="s">
        <v>1945</v>
      </c>
      <c r="AB79" s="395" t="s">
        <v>1975</v>
      </c>
      <c r="AC79" s="545"/>
      <c r="AF79" s="545"/>
      <c r="AI79" s="545"/>
      <c r="AL79" s="545"/>
      <c r="AS79" s="545"/>
      <c r="AT79" s="354" t="s">
        <v>1945</v>
      </c>
      <c r="AU79" s="395" t="s">
        <v>1975</v>
      </c>
      <c r="AV79" s="404" t="s">
        <v>2030</v>
      </c>
      <c r="AW79" s="175"/>
      <c r="AX79" s="175"/>
      <c r="AY79" s="175"/>
      <c r="AZ79" s="175"/>
      <c r="BA79" s="175"/>
      <c r="BB79" s="470"/>
      <c r="BC79" s="470"/>
      <c r="BD79" s="470"/>
      <c r="BE79" s="470"/>
      <c r="BF79" s="470"/>
      <c r="BG79" s="470"/>
      <c r="BH79" s="470"/>
      <c r="BI79" s="470"/>
      <c r="BJ79" s="470"/>
      <c r="BK79" s="470"/>
      <c r="BL79" s="470"/>
      <c r="BM79" s="470"/>
      <c r="BN79" s="470"/>
      <c r="BO79" s="470"/>
      <c r="BP79" s="470"/>
      <c r="BQ79" s="470"/>
      <c r="BR79" s="470"/>
      <c r="BS79" s="470"/>
      <c r="BT79" s="470"/>
      <c r="BU79" s="470"/>
      <c r="BV79" s="470"/>
      <c r="BW79" s="470"/>
      <c r="BX79" s="470"/>
      <c r="BY79" s="470"/>
      <c r="BZ79" s="470"/>
      <c r="CA79" s="470"/>
      <c r="CB79" s="470"/>
      <c r="CC79" s="470"/>
      <c r="CD79" s="470"/>
      <c r="CE79" s="470"/>
      <c r="CF79" s="470"/>
      <c r="CG79" s="470"/>
      <c r="CH79" s="470"/>
      <c r="CI79" s="470"/>
      <c r="CJ79" s="470"/>
      <c r="CK79" s="470"/>
      <c r="CL79" s="470"/>
      <c r="CM79" s="470"/>
      <c r="CN79" s="470"/>
      <c r="CO79" s="470"/>
      <c r="CP79" s="470"/>
      <c r="CQ79" s="470"/>
      <c r="CR79" s="470"/>
      <c r="CS79" s="470"/>
      <c r="CT79" s="470"/>
      <c r="CU79" s="470"/>
      <c r="CV79" s="470"/>
      <c r="CW79" s="470"/>
      <c r="CX79" s="470"/>
      <c r="CY79" s="470"/>
      <c r="CZ79" s="470"/>
      <c r="DA79" s="470"/>
      <c r="DB79" s="470"/>
      <c r="DC79" s="470"/>
      <c r="DD79" s="470"/>
      <c r="DE79" s="470"/>
      <c r="DF79" s="470"/>
      <c r="DG79" s="470"/>
      <c r="DH79" s="470"/>
      <c r="DI79" s="470"/>
      <c r="DJ79" s="470"/>
      <c r="DK79" s="470"/>
      <c r="DL79" s="470"/>
      <c r="DM79" s="470"/>
      <c r="DN79" s="470"/>
      <c r="DO79" s="470"/>
      <c r="DP79" s="470"/>
      <c r="DQ79" s="470"/>
      <c r="DR79" s="470"/>
      <c r="DS79" s="470"/>
      <c r="DT79" s="470"/>
      <c r="DU79" s="470"/>
      <c r="DV79" s="470"/>
      <c r="DW79" s="470"/>
      <c r="DX79" s="470"/>
      <c r="DY79" s="470"/>
      <c r="DZ79" s="470"/>
      <c r="EA79" s="470"/>
      <c r="EB79" s="470"/>
      <c r="EC79" s="470"/>
      <c r="ED79" s="470"/>
      <c r="EE79" s="470"/>
      <c r="EF79" s="470"/>
      <c r="EG79" s="470"/>
      <c r="EH79" s="470"/>
      <c r="EI79" s="470"/>
      <c r="EJ79" s="470"/>
      <c r="EK79" s="470"/>
      <c r="EL79" s="470"/>
      <c r="EM79" s="470"/>
      <c r="EN79" s="470"/>
      <c r="EO79" s="470"/>
      <c r="EP79" s="470"/>
      <c r="EQ79" s="470"/>
      <c r="ER79" s="470"/>
      <c r="ES79" s="470"/>
      <c r="ET79" s="470"/>
      <c r="EU79" s="470"/>
      <c r="EV79" s="470"/>
      <c r="EW79" s="470"/>
      <c r="EX79" s="470"/>
      <c r="EY79" s="470"/>
      <c r="EZ79" s="470"/>
      <c r="FA79" s="470"/>
      <c r="FB79" s="470"/>
      <c r="FC79" s="470"/>
      <c r="FD79" s="470"/>
      <c r="FE79" s="470"/>
      <c r="FF79" s="470"/>
      <c r="FG79" s="470"/>
      <c r="FH79" s="470"/>
      <c r="FI79" s="470"/>
      <c r="FJ79" s="470"/>
      <c r="FK79" s="470"/>
      <c r="FL79" s="470"/>
      <c r="FM79" s="470"/>
      <c r="FN79" s="470"/>
      <c r="FO79" s="470"/>
      <c r="FP79" s="470"/>
      <c r="FQ79" s="470"/>
      <c r="FR79" s="470"/>
      <c r="FS79" s="470"/>
      <c r="FT79" s="470"/>
      <c r="FU79" s="470"/>
      <c r="FV79" s="470"/>
      <c r="FW79" s="470"/>
      <c r="FX79" s="470"/>
      <c r="FY79" s="470"/>
      <c r="FZ79" s="470"/>
      <c r="GA79" s="470"/>
      <c r="GB79" s="470"/>
      <c r="GC79" s="470"/>
      <c r="GD79" s="470"/>
      <c r="GE79" s="470"/>
      <c r="GF79" s="470"/>
      <c r="GG79" s="470"/>
      <c r="GH79" s="470"/>
      <c r="GI79" s="470"/>
      <c r="GJ79" s="470"/>
      <c r="GK79" s="470"/>
      <c r="GL79" s="470"/>
      <c r="GM79" s="470"/>
      <c r="GN79" s="470"/>
      <c r="GO79" s="470"/>
      <c r="GP79" s="470"/>
      <c r="GQ79" s="470"/>
      <c r="GR79" s="470"/>
      <c r="GS79" s="470"/>
      <c r="GT79" s="470"/>
      <c r="GU79" s="470"/>
      <c r="GV79" s="470"/>
      <c r="GW79" s="470"/>
      <c r="GX79" s="470"/>
      <c r="GY79" s="470"/>
      <c r="GZ79" s="470"/>
      <c r="HA79" s="470"/>
      <c r="HB79" s="470"/>
      <c r="HC79" s="470"/>
      <c r="HD79" s="470"/>
      <c r="HE79" s="470"/>
      <c r="HF79" s="470"/>
      <c r="HG79" s="470"/>
      <c r="HH79" s="470"/>
      <c r="HI79" s="470"/>
      <c r="HJ79" s="470"/>
      <c r="HK79" s="470"/>
      <c r="HL79" s="470"/>
      <c r="HM79" s="470"/>
      <c r="HN79" s="470"/>
      <c r="HO79" s="470"/>
      <c r="HP79" s="470"/>
      <c r="HQ79" s="470"/>
      <c r="HR79" s="470"/>
      <c r="HS79" s="470"/>
      <c r="HT79" s="470"/>
      <c r="HU79" s="470"/>
      <c r="HV79" s="470"/>
      <c r="HW79" s="470"/>
      <c r="HX79" s="470"/>
      <c r="HY79" s="470"/>
      <c r="HZ79" s="470"/>
      <c r="IA79" s="470"/>
      <c r="IB79" s="470"/>
      <c r="IC79" s="470"/>
      <c r="ID79" s="470"/>
      <c r="IE79" s="470"/>
      <c r="IF79" s="470"/>
      <c r="IG79" s="470"/>
      <c r="IH79" s="470"/>
      <c r="II79" s="470"/>
      <c r="IJ79" s="470"/>
      <c r="IK79" s="470"/>
      <c r="IL79" s="470"/>
      <c r="IM79" s="470"/>
      <c r="IN79" s="470"/>
      <c r="IO79" s="470"/>
      <c r="IP79" s="470"/>
      <c r="IQ79" s="470"/>
      <c r="IR79" s="470"/>
      <c r="IS79" s="470"/>
      <c r="IT79" s="470"/>
      <c r="IU79" s="470"/>
      <c r="IV79" s="470"/>
      <c r="IW79" s="470"/>
      <c r="IX79" s="470"/>
      <c r="IY79" s="470"/>
      <c r="IZ79" s="470"/>
      <c r="JA79" s="470"/>
      <c r="JB79" s="470"/>
      <c r="JC79" s="470"/>
      <c r="JD79" s="470"/>
      <c r="JE79" s="470"/>
      <c r="JF79" s="470"/>
      <c r="JG79" s="470"/>
      <c r="JH79" s="470"/>
      <c r="JI79" s="470"/>
      <c r="JJ79" s="470"/>
      <c r="JK79" s="470"/>
      <c r="JL79" s="470"/>
      <c r="JM79" s="470"/>
      <c r="JN79" s="470"/>
      <c r="JO79" s="470"/>
      <c r="JP79" s="470"/>
      <c r="JQ79" s="470"/>
      <c r="JR79" s="470"/>
      <c r="JS79" s="470"/>
      <c r="JT79" s="470"/>
      <c r="JU79" s="470"/>
      <c r="JV79" s="470"/>
      <c r="JW79" s="470"/>
      <c r="JX79" s="470"/>
      <c r="JY79" s="470"/>
      <c r="JZ79" s="470"/>
      <c r="KA79" s="470"/>
      <c r="KB79" s="470"/>
      <c r="KC79" s="470"/>
      <c r="KD79" s="470"/>
      <c r="KE79" s="470"/>
      <c r="KF79" s="470"/>
      <c r="KG79" s="470"/>
      <c r="KH79" s="470"/>
      <c r="KI79" s="470"/>
      <c r="KJ79" s="470"/>
      <c r="KK79" s="470"/>
      <c r="KL79" s="470"/>
      <c r="KM79" s="470"/>
      <c r="KN79" s="470"/>
      <c r="KO79" s="470"/>
      <c r="KP79" s="470"/>
      <c r="KQ79" s="470"/>
      <c r="KR79" s="470"/>
      <c r="KS79" s="470"/>
      <c r="KT79" s="470"/>
      <c r="KU79" s="470"/>
      <c r="KV79" s="470"/>
      <c r="KW79" s="470"/>
      <c r="KX79" s="470"/>
      <c r="KY79" s="470"/>
      <c r="KZ79" s="470"/>
      <c r="LA79" s="470"/>
      <c r="LB79" s="470"/>
      <c r="LC79" s="470"/>
      <c r="LD79" s="470"/>
      <c r="LE79" s="470"/>
      <c r="LF79" s="470"/>
      <c r="LG79" s="470"/>
      <c r="LH79" s="470"/>
      <c r="LI79" s="470"/>
      <c r="LJ79" s="470"/>
      <c r="LK79" s="470"/>
      <c r="LL79" s="470"/>
      <c r="LM79" s="470"/>
      <c r="LN79" s="470"/>
      <c r="LO79" s="470"/>
      <c r="LP79" s="470"/>
      <c r="LQ79" s="470"/>
      <c r="LR79" s="470"/>
      <c r="LS79" s="470"/>
      <c r="LT79" s="470"/>
      <c r="LU79" s="470"/>
      <c r="LV79" s="470"/>
      <c r="LW79" s="470"/>
      <c r="LX79" s="470"/>
      <c r="LY79" s="470"/>
      <c r="LZ79" s="470"/>
      <c r="MA79" s="470"/>
      <c r="MB79" s="470"/>
      <c r="MC79" s="470"/>
      <c r="MD79" s="470"/>
      <c r="ME79" s="470"/>
      <c r="MF79" s="470"/>
      <c r="MG79" s="470"/>
      <c r="MH79" s="470"/>
      <c r="MI79" s="470"/>
      <c r="MJ79" s="470"/>
      <c r="MK79" s="470"/>
      <c r="ML79" s="470"/>
      <c r="MM79" s="470"/>
      <c r="MN79" s="470"/>
      <c r="MO79" s="470"/>
      <c r="MP79" s="470"/>
      <c r="MQ79" s="470"/>
      <c r="MR79" s="470"/>
      <c r="MS79" s="470"/>
      <c r="MT79" s="470"/>
      <c r="MU79" s="470"/>
      <c r="MV79" s="470"/>
      <c r="MW79" s="470"/>
      <c r="MX79" s="470"/>
      <c r="MY79" s="470"/>
      <c r="MZ79" s="470"/>
      <c r="NA79" s="470"/>
      <c r="NB79" s="470"/>
      <c r="NC79" s="470"/>
      <c r="ND79" s="470"/>
      <c r="NE79" s="470"/>
      <c r="NF79" s="470"/>
      <c r="NG79" s="470"/>
      <c r="NH79" s="470"/>
      <c r="NI79" s="470"/>
      <c r="NJ79" s="470"/>
      <c r="NK79" s="470"/>
      <c r="NL79" s="470"/>
      <c r="NM79" s="470"/>
      <c r="NN79" s="470"/>
      <c r="NO79" s="470"/>
      <c r="NP79" s="470"/>
      <c r="NQ79" s="470"/>
      <c r="NR79" s="470"/>
      <c r="NS79" s="470"/>
      <c r="NT79" s="470"/>
      <c r="NU79" s="470"/>
      <c r="NV79" s="470"/>
      <c r="NW79" s="470"/>
      <c r="NX79" s="470"/>
      <c r="NY79" s="470"/>
      <c r="NZ79" s="470"/>
      <c r="OA79" s="470"/>
      <c r="OB79" s="470"/>
      <c r="OC79" s="470"/>
      <c r="OD79" s="470"/>
      <c r="OE79" s="470"/>
      <c r="OF79" s="470"/>
      <c r="OG79" s="470"/>
      <c r="OH79" s="470"/>
      <c r="OI79" s="470"/>
      <c r="OJ79" s="470"/>
      <c r="OK79" s="470"/>
      <c r="OL79" s="470"/>
      <c r="OM79" s="470"/>
      <c r="ON79" s="470"/>
      <c r="OO79" s="470"/>
      <c r="OP79" s="470"/>
      <c r="OQ79" s="470"/>
      <c r="OR79" s="470"/>
      <c r="OS79" s="470"/>
      <c r="OT79" s="470"/>
      <c r="OU79" s="470"/>
      <c r="OV79" s="470"/>
      <c r="OW79" s="470"/>
      <c r="OX79" s="470"/>
      <c r="OY79" s="470"/>
      <c r="OZ79" s="470"/>
      <c r="PA79" s="470"/>
      <c r="PB79" s="470"/>
      <c r="PC79" s="470"/>
      <c r="PD79" s="470"/>
      <c r="PE79" s="470"/>
      <c r="PF79" s="470"/>
      <c r="PG79" s="470"/>
      <c r="PH79" s="470"/>
      <c r="PI79" s="470"/>
      <c r="PJ79" s="470"/>
      <c r="PK79" s="470"/>
      <c r="PL79" s="470"/>
      <c r="PM79" s="470"/>
      <c r="PN79" s="470"/>
      <c r="PO79" s="470"/>
      <c r="PP79" s="470"/>
      <c r="PQ79" s="470"/>
      <c r="PR79" s="470"/>
      <c r="PS79" s="470"/>
      <c r="PT79" s="470"/>
      <c r="PU79" s="470"/>
      <c r="PV79" s="470"/>
      <c r="PW79" s="470"/>
      <c r="PX79" s="470"/>
      <c r="PY79" s="470"/>
      <c r="PZ79" s="470"/>
      <c r="QA79" s="470"/>
      <c r="QB79" s="470"/>
      <c r="QC79" s="470"/>
      <c r="QD79" s="470"/>
      <c r="QE79" s="470"/>
      <c r="QF79" s="470"/>
      <c r="QG79" s="470"/>
      <c r="QH79" s="470"/>
      <c r="QI79" s="470"/>
      <c r="QJ79" s="470"/>
      <c r="QK79" s="470"/>
      <c r="QL79" s="470"/>
      <c r="QM79" s="470"/>
      <c r="QN79" s="470"/>
      <c r="QO79" s="470"/>
      <c r="QP79" s="470"/>
      <c r="QQ79" s="470"/>
      <c r="QR79" s="470"/>
      <c r="QS79" s="470"/>
      <c r="QT79" s="470"/>
      <c r="QU79" s="470"/>
      <c r="QV79" s="470"/>
      <c r="QW79" s="470"/>
      <c r="QX79" s="470"/>
      <c r="QY79" s="470"/>
      <c r="QZ79" s="470"/>
      <c r="RA79" s="470"/>
      <c r="RB79" s="470"/>
      <c r="RC79" s="470"/>
      <c r="RD79" s="470"/>
      <c r="RE79" s="470"/>
      <c r="RF79" s="470"/>
      <c r="RG79" s="470"/>
      <c r="RH79" s="470"/>
      <c r="RI79" s="470"/>
      <c r="RJ79" s="470"/>
      <c r="RK79" s="470"/>
      <c r="RL79" s="470"/>
      <c r="RM79" s="470"/>
      <c r="RN79" s="470"/>
      <c r="RO79" s="470"/>
      <c r="RP79" s="470"/>
      <c r="RQ79" s="470"/>
      <c r="RR79" s="470"/>
      <c r="RS79" s="470"/>
      <c r="RT79" s="470"/>
      <c r="RU79" s="470"/>
      <c r="RV79" s="470"/>
      <c r="RW79" s="470"/>
      <c r="RX79" s="470"/>
      <c r="RY79" s="470"/>
      <c r="RZ79" s="470"/>
      <c r="SA79" s="470"/>
      <c r="SB79" s="470"/>
      <c r="SC79" s="470"/>
      <c r="SD79" s="470"/>
      <c r="SE79" s="470"/>
      <c r="SF79" s="470"/>
      <c r="SG79" s="470"/>
      <c r="SH79" s="470"/>
      <c r="SI79" s="470"/>
      <c r="SJ79" s="470"/>
      <c r="SK79" s="470"/>
      <c r="SL79" s="470"/>
      <c r="SM79" s="470"/>
      <c r="SN79" s="470"/>
      <c r="SO79" s="470"/>
      <c r="SP79" s="470"/>
      <c r="SQ79" s="470"/>
      <c r="SR79" s="470"/>
      <c r="SS79" s="470"/>
      <c r="ST79" s="470"/>
      <c r="SU79" s="470"/>
      <c r="SV79" s="470"/>
      <c r="SW79" s="470"/>
      <c r="SX79" s="470"/>
      <c r="SY79" s="470"/>
      <c r="SZ79" s="470"/>
      <c r="TA79" s="470"/>
      <c r="TB79" s="470"/>
      <c r="TC79" s="470"/>
      <c r="TD79" s="470"/>
      <c r="TE79" s="470"/>
      <c r="TF79" s="470"/>
      <c r="TG79" s="470"/>
      <c r="TH79" s="470"/>
      <c r="TI79" s="470"/>
      <c r="TJ79" s="470"/>
      <c r="TK79" s="470"/>
      <c r="TL79" s="470"/>
      <c r="TM79" s="470"/>
      <c r="TN79" s="470"/>
      <c r="TO79" s="470"/>
      <c r="TP79" s="470"/>
      <c r="TQ79" s="470"/>
      <c r="TR79" s="470"/>
      <c r="TS79" s="470"/>
      <c r="TT79" s="470"/>
      <c r="TU79" s="470"/>
      <c r="TV79" s="470"/>
      <c r="TW79" s="470"/>
      <c r="TX79" s="470"/>
      <c r="TY79" s="470"/>
      <c r="TZ79" s="470"/>
      <c r="UA79" s="470"/>
      <c r="UB79" s="470"/>
      <c r="UC79" s="470"/>
      <c r="UD79" s="470"/>
      <c r="UE79" s="470"/>
      <c r="UF79" s="470"/>
      <c r="UG79" s="470"/>
      <c r="UH79" s="470"/>
      <c r="UI79" s="470"/>
      <c r="UJ79" s="470"/>
      <c r="UK79" s="470"/>
      <c r="UL79" s="470"/>
      <c r="UM79" s="470"/>
      <c r="UN79" s="470"/>
      <c r="UO79" s="470"/>
      <c r="UP79" s="470"/>
      <c r="UQ79" s="470"/>
      <c r="UR79" s="470"/>
      <c r="US79" s="470"/>
      <c r="UT79" s="470"/>
      <c r="UU79" s="470"/>
      <c r="UV79" s="470"/>
      <c r="UW79" s="470"/>
      <c r="UX79" s="470"/>
      <c r="UY79" s="470"/>
      <c r="UZ79" s="470"/>
      <c r="VA79" s="470"/>
      <c r="VB79" s="470"/>
      <c r="VC79" s="470"/>
      <c r="VD79" s="470"/>
      <c r="VE79" s="470"/>
      <c r="VF79" s="470"/>
      <c r="VG79" s="470"/>
      <c r="VH79" s="470"/>
      <c r="VI79" s="470"/>
      <c r="VJ79" s="470"/>
      <c r="VK79" s="470"/>
      <c r="VL79" s="470"/>
      <c r="VM79" s="470"/>
      <c r="VN79" s="470"/>
      <c r="VO79" s="470"/>
      <c r="VP79" s="470"/>
      <c r="VQ79" s="470"/>
      <c r="VR79" s="470"/>
      <c r="VS79" s="470"/>
      <c r="VT79" s="470"/>
      <c r="VU79" s="470"/>
      <c r="VV79" s="470"/>
      <c r="VW79" s="470"/>
      <c r="VX79" s="470"/>
      <c r="VY79" s="470"/>
      <c r="VZ79" s="470"/>
      <c r="WA79" s="470"/>
      <c r="WB79" s="470"/>
      <c r="WC79" s="470"/>
      <c r="WD79" s="470"/>
      <c r="WE79" s="470"/>
      <c r="WF79" s="470"/>
      <c r="WG79" s="470"/>
      <c r="WH79" s="470"/>
      <c r="WI79" s="470"/>
      <c r="WJ79" s="470"/>
      <c r="WK79" s="470"/>
      <c r="WL79" s="470"/>
      <c r="WM79" s="470"/>
      <c r="WN79" s="470"/>
      <c r="WO79" s="470"/>
      <c r="WP79" s="470"/>
      <c r="WQ79" s="470"/>
      <c r="WR79" s="470"/>
      <c r="WS79" s="470"/>
      <c r="WT79" s="470"/>
      <c r="WU79" s="470"/>
      <c r="WV79" s="470"/>
      <c r="WW79" s="470"/>
      <c r="WX79" s="470"/>
      <c r="WY79" s="470"/>
      <c r="WZ79" s="470"/>
      <c r="XA79" s="470"/>
      <c r="XB79" s="470"/>
      <c r="XC79" s="470"/>
      <c r="XD79" s="470"/>
      <c r="XE79" s="470"/>
      <c r="XF79" s="470"/>
      <c r="XG79" s="470"/>
      <c r="XH79" s="470"/>
      <c r="XI79" s="470"/>
      <c r="XJ79" s="470"/>
      <c r="XK79" s="470"/>
      <c r="XL79" s="470"/>
      <c r="XM79" s="470"/>
      <c r="XN79" s="313"/>
    </row>
    <row r="80" spans="1:642" s="110" customFormat="1" ht="15.75" thickBot="1" x14ac:dyDescent="0.3">
      <c r="A80" s="517" t="s">
        <v>1466</v>
      </c>
      <c r="B80" s="374" t="s">
        <v>601</v>
      </c>
      <c r="C80" s="374" t="s">
        <v>1302</v>
      </c>
      <c r="D80" s="26" t="s">
        <v>1776</v>
      </c>
      <c r="E80" s="334" t="s">
        <v>1373</v>
      </c>
      <c r="F80" s="326">
        <v>44</v>
      </c>
      <c r="G80" s="326" t="s">
        <v>183</v>
      </c>
      <c r="H80" s="326" t="s">
        <v>35</v>
      </c>
      <c r="I80" s="158"/>
      <c r="J80" s="158"/>
      <c r="K80" s="158"/>
      <c r="L80" s="158"/>
      <c r="M80" s="158"/>
      <c r="N80" s="158"/>
      <c r="O80" s="354" t="s">
        <v>1857</v>
      </c>
      <c r="P80" s="354" t="s">
        <v>1936</v>
      </c>
      <c r="Q80" s="442" t="s">
        <v>1867</v>
      </c>
      <c r="R80" s="533" t="s">
        <v>1519</v>
      </c>
      <c r="S80" s="406" t="s">
        <v>1867</v>
      </c>
      <c r="T80" s="389" t="s">
        <v>1869</v>
      </c>
      <c r="U80" s="332"/>
      <c r="V80" s="158"/>
      <c r="W80" s="545"/>
      <c r="X80" s="528" t="s">
        <v>1937</v>
      </c>
      <c r="Y80" s="484" t="s">
        <v>1938</v>
      </c>
      <c r="Z80" s="556" t="s">
        <v>1990</v>
      </c>
      <c r="AC80" s="545"/>
      <c r="AF80" s="545"/>
      <c r="AI80" s="545"/>
      <c r="AL80" s="545"/>
      <c r="AQ80" s="594"/>
      <c r="AS80" s="545"/>
      <c r="AT80" s="354" t="s">
        <v>1937</v>
      </c>
      <c r="AU80" s="395" t="s">
        <v>1938</v>
      </c>
      <c r="AV80" s="404" t="s">
        <v>1990</v>
      </c>
      <c r="AW80" s="175"/>
      <c r="AX80" s="175"/>
      <c r="AY80" s="175"/>
      <c r="AZ80" s="175"/>
      <c r="BA80" s="175"/>
      <c r="BB80" s="470"/>
      <c r="BC80" s="470"/>
      <c r="BD80" s="470"/>
      <c r="BE80" s="470"/>
      <c r="BF80" s="470"/>
      <c r="BG80" s="470"/>
      <c r="BH80" s="470"/>
      <c r="BI80" s="470"/>
      <c r="BJ80" s="470"/>
      <c r="BK80" s="470"/>
      <c r="BL80" s="470"/>
      <c r="BM80" s="470"/>
      <c r="BN80" s="470"/>
      <c r="BO80" s="470"/>
      <c r="BP80" s="470"/>
      <c r="BQ80" s="470"/>
      <c r="BR80" s="470"/>
      <c r="BS80" s="470"/>
      <c r="BT80" s="470"/>
      <c r="BU80" s="470"/>
      <c r="BV80" s="470"/>
      <c r="BW80" s="470"/>
      <c r="BX80" s="470"/>
      <c r="BY80" s="470"/>
      <c r="BZ80" s="470"/>
      <c r="CA80" s="470"/>
      <c r="CB80" s="470"/>
      <c r="CC80" s="470"/>
      <c r="CD80" s="470"/>
      <c r="CE80" s="470"/>
      <c r="CF80" s="470"/>
      <c r="CG80" s="470"/>
      <c r="CH80" s="470"/>
      <c r="CI80" s="470"/>
      <c r="CJ80" s="470"/>
      <c r="CK80" s="470"/>
      <c r="CL80" s="470"/>
      <c r="CM80" s="470"/>
      <c r="CN80" s="470"/>
      <c r="CO80" s="470"/>
      <c r="CP80" s="470"/>
      <c r="CQ80" s="470"/>
      <c r="CR80" s="470"/>
      <c r="CS80" s="470"/>
      <c r="CT80" s="470"/>
      <c r="CU80" s="470"/>
      <c r="CV80" s="470"/>
      <c r="CW80" s="470"/>
      <c r="CX80" s="470"/>
      <c r="CY80" s="470"/>
      <c r="CZ80" s="470"/>
      <c r="DA80" s="470"/>
      <c r="DB80" s="470"/>
      <c r="DC80" s="470"/>
      <c r="DD80" s="470"/>
      <c r="DE80" s="470"/>
      <c r="DF80" s="470"/>
      <c r="DG80" s="470"/>
      <c r="DH80" s="470"/>
      <c r="DI80" s="470"/>
      <c r="DJ80" s="470"/>
      <c r="DK80" s="470"/>
      <c r="DL80" s="470"/>
      <c r="DM80" s="470"/>
      <c r="DN80" s="470"/>
      <c r="DO80" s="470"/>
      <c r="DP80" s="470"/>
      <c r="DQ80" s="470"/>
      <c r="DR80" s="470"/>
      <c r="DS80" s="470"/>
      <c r="DT80" s="470"/>
      <c r="DU80" s="470"/>
      <c r="DV80" s="470"/>
      <c r="DW80" s="470"/>
      <c r="DX80" s="470"/>
      <c r="DY80" s="470"/>
      <c r="DZ80" s="470"/>
      <c r="EA80" s="470"/>
      <c r="EB80" s="470"/>
      <c r="EC80" s="470"/>
      <c r="ED80" s="470"/>
      <c r="EE80" s="470"/>
      <c r="EF80" s="470"/>
      <c r="EG80" s="470"/>
      <c r="EH80" s="470"/>
      <c r="EI80" s="470"/>
      <c r="EJ80" s="470"/>
      <c r="EK80" s="470"/>
      <c r="EL80" s="470"/>
      <c r="EM80" s="470"/>
      <c r="EN80" s="470"/>
      <c r="EO80" s="470"/>
      <c r="EP80" s="470"/>
      <c r="EQ80" s="470"/>
      <c r="ER80" s="470"/>
      <c r="ES80" s="470"/>
      <c r="ET80" s="470"/>
      <c r="EU80" s="470"/>
      <c r="EV80" s="470"/>
      <c r="EW80" s="470"/>
      <c r="EX80" s="470"/>
      <c r="EY80" s="470"/>
      <c r="EZ80" s="470"/>
      <c r="FA80" s="470"/>
      <c r="FB80" s="470"/>
      <c r="FC80" s="470"/>
      <c r="FD80" s="470"/>
      <c r="FE80" s="470"/>
      <c r="FF80" s="470"/>
      <c r="FG80" s="470"/>
      <c r="FH80" s="470"/>
      <c r="FI80" s="470"/>
      <c r="FJ80" s="470"/>
      <c r="FK80" s="470"/>
      <c r="FL80" s="470"/>
      <c r="FM80" s="470"/>
      <c r="FN80" s="470"/>
      <c r="FO80" s="470"/>
      <c r="FP80" s="470"/>
      <c r="FQ80" s="470"/>
      <c r="FR80" s="470"/>
      <c r="FS80" s="470"/>
      <c r="FT80" s="470"/>
      <c r="FU80" s="470"/>
      <c r="FV80" s="470"/>
      <c r="FW80" s="470"/>
      <c r="FX80" s="470"/>
      <c r="FY80" s="470"/>
      <c r="FZ80" s="470"/>
      <c r="GA80" s="470"/>
      <c r="GB80" s="470"/>
      <c r="GC80" s="470"/>
      <c r="GD80" s="470"/>
      <c r="GE80" s="470"/>
      <c r="GF80" s="470"/>
      <c r="GG80" s="470"/>
      <c r="GH80" s="470"/>
      <c r="GI80" s="470"/>
      <c r="GJ80" s="470"/>
      <c r="GK80" s="470"/>
      <c r="GL80" s="470"/>
      <c r="GM80" s="470"/>
      <c r="GN80" s="470"/>
      <c r="GO80" s="470"/>
      <c r="GP80" s="470"/>
      <c r="GQ80" s="470"/>
      <c r="GR80" s="470"/>
      <c r="GS80" s="470"/>
      <c r="GT80" s="470"/>
      <c r="GU80" s="470"/>
      <c r="GV80" s="470"/>
      <c r="GW80" s="470"/>
      <c r="GX80" s="470"/>
      <c r="GY80" s="470"/>
      <c r="GZ80" s="470"/>
      <c r="HA80" s="470"/>
      <c r="HB80" s="470"/>
      <c r="HC80" s="470"/>
      <c r="HD80" s="470"/>
      <c r="HE80" s="470"/>
      <c r="HF80" s="470"/>
      <c r="HG80" s="470"/>
      <c r="HH80" s="470"/>
      <c r="HI80" s="470"/>
      <c r="HJ80" s="470"/>
      <c r="HK80" s="470"/>
      <c r="HL80" s="470"/>
      <c r="HM80" s="470"/>
      <c r="HN80" s="470"/>
      <c r="HO80" s="470"/>
      <c r="HP80" s="470"/>
      <c r="HQ80" s="470"/>
      <c r="HR80" s="470"/>
      <c r="HS80" s="470"/>
      <c r="HT80" s="470"/>
      <c r="HU80" s="470"/>
      <c r="HV80" s="470"/>
      <c r="HW80" s="470"/>
      <c r="HX80" s="470"/>
      <c r="HY80" s="470"/>
      <c r="HZ80" s="470"/>
      <c r="IA80" s="470"/>
      <c r="IB80" s="470"/>
      <c r="IC80" s="470"/>
      <c r="ID80" s="470"/>
      <c r="IE80" s="470"/>
      <c r="IF80" s="470"/>
      <c r="IG80" s="470"/>
      <c r="IH80" s="470"/>
      <c r="II80" s="470"/>
      <c r="IJ80" s="470"/>
      <c r="IK80" s="470"/>
      <c r="IL80" s="470"/>
      <c r="IM80" s="470"/>
      <c r="IN80" s="470"/>
      <c r="IO80" s="470"/>
      <c r="IP80" s="470"/>
      <c r="IQ80" s="470"/>
      <c r="IR80" s="470"/>
      <c r="IS80" s="470"/>
      <c r="IT80" s="470"/>
      <c r="IU80" s="470"/>
      <c r="IV80" s="470"/>
      <c r="IW80" s="470"/>
      <c r="IX80" s="470"/>
      <c r="IY80" s="470"/>
      <c r="IZ80" s="470"/>
      <c r="JA80" s="470"/>
      <c r="JB80" s="470"/>
      <c r="JC80" s="470"/>
      <c r="JD80" s="470"/>
      <c r="JE80" s="470"/>
      <c r="JF80" s="470"/>
      <c r="JG80" s="470"/>
      <c r="JH80" s="470"/>
      <c r="JI80" s="470"/>
      <c r="JJ80" s="470"/>
      <c r="JK80" s="470"/>
      <c r="JL80" s="470"/>
      <c r="JM80" s="470"/>
      <c r="JN80" s="470"/>
      <c r="JO80" s="470"/>
      <c r="JP80" s="470"/>
      <c r="JQ80" s="470"/>
      <c r="JR80" s="470"/>
      <c r="JS80" s="470"/>
      <c r="JT80" s="470"/>
      <c r="JU80" s="470"/>
      <c r="JV80" s="470"/>
      <c r="JW80" s="470"/>
      <c r="JX80" s="470"/>
      <c r="JY80" s="470"/>
      <c r="JZ80" s="470"/>
      <c r="KA80" s="470"/>
      <c r="KB80" s="470"/>
      <c r="KC80" s="470"/>
      <c r="KD80" s="470"/>
      <c r="KE80" s="470"/>
      <c r="KF80" s="470"/>
      <c r="KG80" s="470"/>
      <c r="KH80" s="470"/>
      <c r="KI80" s="470"/>
      <c r="KJ80" s="470"/>
      <c r="KK80" s="470"/>
      <c r="KL80" s="470"/>
      <c r="KM80" s="470"/>
      <c r="KN80" s="470"/>
      <c r="KO80" s="470"/>
      <c r="KP80" s="470"/>
      <c r="KQ80" s="470"/>
      <c r="KR80" s="470"/>
      <c r="KS80" s="470"/>
      <c r="KT80" s="470"/>
      <c r="KU80" s="470"/>
      <c r="KV80" s="470"/>
      <c r="KW80" s="470"/>
      <c r="KX80" s="470"/>
      <c r="KY80" s="470"/>
      <c r="KZ80" s="470"/>
      <c r="LA80" s="470"/>
      <c r="LB80" s="470"/>
      <c r="LC80" s="470"/>
      <c r="LD80" s="470"/>
      <c r="LE80" s="470"/>
      <c r="LF80" s="470"/>
      <c r="LG80" s="470"/>
      <c r="LH80" s="470"/>
      <c r="LI80" s="470"/>
      <c r="LJ80" s="470"/>
      <c r="LK80" s="470"/>
      <c r="LL80" s="470"/>
      <c r="LM80" s="470"/>
      <c r="LN80" s="470"/>
      <c r="LO80" s="470"/>
      <c r="LP80" s="470"/>
      <c r="LQ80" s="470"/>
      <c r="LR80" s="470"/>
      <c r="LS80" s="470"/>
      <c r="LT80" s="470"/>
      <c r="LU80" s="470"/>
      <c r="LV80" s="470"/>
      <c r="LW80" s="470"/>
      <c r="LX80" s="470"/>
      <c r="LY80" s="470"/>
      <c r="LZ80" s="470"/>
      <c r="MA80" s="470"/>
      <c r="MB80" s="470"/>
      <c r="MC80" s="470"/>
      <c r="MD80" s="470"/>
      <c r="ME80" s="470"/>
      <c r="MF80" s="470"/>
      <c r="MG80" s="470"/>
      <c r="MH80" s="470"/>
      <c r="MI80" s="470"/>
      <c r="MJ80" s="470"/>
      <c r="MK80" s="470"/>
      <c r="ML80" s="470"/>
      <c r="MM80" s="470"/>
      <c r="MN80" s="470"/>
      <c r="MO80" s="470"/>
      <c r="MP80" s="470"/>
      <c r="MQ80" s="470"/>
      <c r="MR80" s="470"/>
      <c r="MS80" s="470"/>
      <c r="MT80" s="470"/>
      <c r="MU80" s="470"/>
      <c r="MV80" s="470"/>
      <c r="MW80" s="470"/>
      <c r="MX80" s="470"/>
      <c r="MY80" s="470"/>
      <c r="MZ80" s="470"/>
      <c r="NA80" s="470"/>
      <c r="NB80" s="470"/>
      <c r="NC80" s="470"/>
      <c r="ND80" s="470"/>
      <c r="NE80" s="470"/>
      <c r="NF80" s="470"/>
      <c r="NG80" s="470"/>
      <c r="NH80" s="470"/>
      <c r="NI80" s="470"/>
      <c r="NJ80" s="470"/>
      <c r="NK80" s="470"/>
      <c r="NL80" s="470"/>
      <c r="NM80" s="470"/>
      <c r="NN80" s="470"/>
      <c r="NO80" s="470"/>
      <c r="NP80" s="470"/>
      <c r="NQ80" s="470"/>
      <c r="NR80" s="470"/>
      <c r="NS80" s="470"/>
      <c r="NT80" s="470"/>
      <c r="NU80" s="470"/>
      <c r="NV80" s="470"/>
      <c r="NW80" s="470"/>
      <c r="NX80" s="470"/>
      <c r="NY80" s="470"/>
      <c r="NZ80" s="470"/>
      <c r="OA80" s="470"/>
      <c r="OB80" s="470"/>
      <c r="OC80" s="470"/>
      <c r="OD80" s="470"/>
      <c r="OE80" s="470"/>
      <c r="OF80" s="470"/>
      <c r="OG80" s="470"/>
      <c r="OH80" s="470"/>
      <c r="OI80" s="470"/>
      <c r="OJ80" s="470"/>
      <c r="OK80" s="470"/>
      <c r="OL80" s="470"/>
      <c r="OM80" s="470"/>
      <c r="ON80" s="470"/>
      <c r="OO80" s="470"/>
      <c r="OP80" s="470"/>
      <c r="OQ80" s="470"/>
      <c r="OR80" s="470"/>
      <c r="OS80" s="470"/>
      <c r="OT80" s="470"/>
      <c r="OU80" s="470"/>
      <c r="OV80" s="470"/>
      <c r="OW80" s="470"/>
      <c r="OX80" s="470"/>
      <c r="OY80" s="470"/>
      <c r="OZ80" s="470"/>
      <c r="PA80" s="470"/>
      <c r="PB80" s="470"/>
      <c r="PC80" s="470"/>
      <c r="PD80" s="470"/>
      <c r="PE80" s="470"/>
      <c r="PF80" s="470"/>
      <c r="PG80" s="470"/>
      <c r="PH80" s="470"/>
      <c r="PI80" s="470"/>
      <c r="PJ80" s="470"/>
      <c r="PK80" s="470"/>
      <c r="PL80" s="470"/>
      <c r="PM80" s="470"/>
      <c r="PN80" s="470"/>
      <c r="PO80" s="470"/>
      <c r="PP80" s="470"/>
      <c r="PQ80" s="470"/>
      <c r="PR80" s="470"/>
      <c r="PS80" s="470"/>
      <c r="PT80" s="470"/>
      <c r="PU80" s="470"/>
      <c r="PV80" s="470"/>
      <c r="PW80" s="470"/>
      <c r="PX80" s="470"/>
      <c r="PY80" s="470"/>
      <c r="PZ80" s="470"/>
      <c r="QA80" s="470"/>
      <c r="QB80" s="470"/>
      <c r="QC80" s="470"/>
      <c r="QD80" s="470"/>
      <c r="QE80" s="470"/>
      <c r="QF80" s="470"/>
      <c r="QG80" s="470"/>
      <c r="QH80" s="470"/>
      <c r="QI80" s="470"/>
      <c r="QJ80" s="470"/>
      <c r="QK80" s="470"/>
      <c r="QL80" s="470"/>
      <c r="QM80" s="470"/>
      <c r="QN80" s="470"/>
      <c r="QO80" s="470"/>
      <c r="QP80" s="470"/>
      <c r="QQ80" s="470"/>
      <c r="QR80" s="470"/>
      <c r="QS80" s="470"/>
      <c r="QT80" s="470"/>
      <c r="QU80" s="470"/>
      <c r="QV80" s="470"/>
      <c r="QW80" s="470"/>
      <c r="QX80" s="470"/>
      <c r="QY80" s="470"/>
      <c r="QZ80" s="470"/>
      <c r="RA80" s="470"/>
      <c r="RB80" s="470"/>
      <c r="RC80" s="470"/>
      <c r="RD80" s="470"/>
      <c r="RE80" s="470"/>
      <c r="RF80" s="470"/>
      <c r="RG80" s="470"/>
      <c r="RH80" s="470"/>
      <c r="RI80" s="470"/>
      <c r="RJ80" s="470"/>
      <c r="RK80" s="470"/>
      <c r="RL80" s="470"/>
      <c r="RM80" s="470"/>
      <c r="RN80" s="470"/>
      <c r="RO80" s="470"/>
      <c r="RP80" s="470"/>
      <c r="RQ80" s="470"/>
      <c r="RR80" s="470"/>
      <c r="RS80" s="470"/>
      <c r="RT80" s="470"/>
      <c r="RU80" s="470"/>
      <c r="RV80" s="470"/>
      <c r="RW80" s="470"/>
      <c r="RX80" s="470"/>
      <c r="RY80" s="470"/>
      <c r="RZ80" s="470"/>
      <c r="SA80" s="470"/>
      <c r="SB80" s="470"/>
      <c r="SC80" s="470"/>
      <c r="SD80" s="470"/>
      <c r="SE80" s="470"/>
      <c r="SF80" s="470"/>
      <c r="SG80" s="470"/>
      <c r="SH80" s="470"/>
      <c r="SI80" s="470"/>
      <c r="SJ80" s="470"/>
      <c r="SK80" s="470"/>
      <c r="SL80" s="470"/>
      <c r="SM80" s="470"/>
      <c r="SN80" s="470"/>
      <c r="SO80" s="470"/>
      <c r="SP80" s="470"/>
      <c r="SQ80" s="470"/>
      <c r="SR80" s="470"/>
      <c r="SS80" s="470"/>
      <c r="ST80" s="470"/>
      <c r="SU80" s="470"/>
      <c r="SV80" s="470"/>
      <c r="SW80" s="470"/>
      <c r="SX80" s="470"/>
      <c r="SY80" s="470"/>
      <c r="SZ80" s="470"/>
      <c r="TA80" s="470"/>
      <c r="TB80" s="470"/>
      <c r="TC80" s="470"/>
      <c r="TD80" s="470"/>
      <c r="TE80" s="470"/>
      <c r="TF80" s="470"/>
      <c r="TG80" s="470"/>
      <c r="TH80" s="470"/>
      <c r="TI80" s="470"/>
      <c r="TJ80" s="470"/>
      <c r="TK80" s="470"/>
      <c r="TL80" s="470"/>
      <c r="TM80" s="470"/>
      <c r="TN80" s="470"/>
      <c r="TO80" s="470"/>
      <c r="TP80" s="470"/>
      <c r="TQ80" s="470"/>
      <c r="TR80" s="470"/>
      <c r="TS80" s="470"/>
      <c r="TT80" s="470"/>
      <c r="TU80" s="470"/>
      <c r="TV80" s="470"/>
      <c r="TW80" s="470"/>
      <c r="TX80" s="470"/>
      <c r="TY80" s="470"/>
      <c r="TZ80" s="470"/>
      <c r="UA80" s="470"/>
      <c r="UB80" s="470"/>
      <c r="UC80" s="470"/>
      <c r="UD80" s="470"/>
      <c r="UE80" s="470"/>
      <c r="UF80" s="470"/>
      <c r="UG80" s="470"/>
      <c r="UH80" s="470"/>
      <c r="UI80" s="470"/>
      <c r="UJ80" s="470"/>
      <c r="UK80" s="470"/>
      <c r="UL80" s="470"/>
      <c r="UM80" s="470"/>
      <c r="UN80" s="470"/>
      <c r="UO80" s="470"/>
      <c r="UP80" s="470"/>
      <c r="UQ80" s="470"/>
      <c r="UR80" s="470"/>
      <c r="US80" s="470"/>
      <c r="UT80" s="470"/>
      <c r="UU80" s="470"/>
      <c r="UV80" s="470"/>
      <c r="UW80" s="470"/>
      <c r="UX80" s="470"/>
      <c r="UY80" s="470"/>
      <c r="UZ80" s="470"/>
      <c r="VA80" s="470"/>
      <c r="VB80" s="470"/>
      <c r="VC80" s="470"/>
      <c r="VD80" s="470"/>
      <c r="VE80" s="470"/>
      <c r="VF80" s="470"/>
      <c r="VG80" s="470"/>
      <c r="VH80" s="470"/>
      <c r="VI80" s="470"/>
      <c r="VJ80" s="470"/>
      <c r="VK80" s="470"/>
      <c r="VL80" s="470"/>
      <c r="VM80" s="470"/>
      <c r="VN80" s="470"/>
      <c r="VO80" s="470"/>
      <c r="VP80" s="470"/>
      <c r="VQ80" s="470"/>
      <c r="VR80" s="470"/>
      <c r="VS80" s="470"/>
      <c r="VT80" s="470"/>
      <c r="VU80" s="470"/>
      <c r="VV80" s="470"/>
      <c r="VW80" s="470"/>
      <c r="VX80" s="470"/>
      <c r="VY80" s="470"/>
      <c r="VZ80" s="470"/>
      <c r="WA80" s="470"/>
      <c r="WB80" s="470"/>
      <c r="WC80" s="470"/>
      <c r="WD80" s="470"/>
      <c r="WE80" s="470"/>
      <c r="WF80" s="470"/>
      <c r="WG80" s="470"/>
      <c r="WH80" s="470"/>
      <c r="WI80" s="470"/>
      <c r="WJ80" s="470"/>
      <c r="WK80" s="470"/>
      <c r="WL80" s="470"/>
      <c r="WM80" s="470"/>
      <c r="WN80" s="470"/>
      <c r="WO80" s="470"/>
      <c r="WP80" s="470"/>
      <c r="WQ80" s="470"/>
      <c r="WR80" s="470"/>
      <c r="WS80" s="470"/>
      <c r="WT80" s="470"/>
      <c r="WU80" s="470"/>
      <c r="WV80" s="470"/>
      <c r="WW80" s="470"/>
      <c r="WX80" s="470"/>
      <c r="WY80" s="470"/>
      <c r="WZ80" s="470"/>
      <c r="XA80" s="470"/>
      <c r="XB80" s="470"/>
      <c r="XC80" s="470"/>
      <c r="XD80" s="470"/>
      <c r="XE80" s="470"/>
      <c r="XF80" s="470"/>
      <c r="XG80" s="470"/>
      <c r="XH80" s="470"/>
      <c r="XI80" s="470"/>
      <c r="XJ80" s="470"/>
      <c r="XK80" s="470"/>
      <c r="XL80" s="470"/>
      <c r="XM80" s="470"/>
      <c r="XN80" s="470"/>
      <c r="XO80" s="470"/>
      <c r="XP80" s="470"/>
      <c r="XQ80" s="470"/>
      <c r="XR80" s="313"/>
    </row>
    <row r="81" spans="1:148" s="683" customFormat="1" ht="15" customHeight="1" thickTop="1" thickBot="1" x14ac:dyDescent="0.3">
      <c r="A81" s="615"/>
      <c r="B81" s="676" t="s">
        <v>1542</v>
      </c>
      <c r="C81" s="676" t="s">
        <v>1541</v>
      </c>
      <c r="D81" s="677" t="s">
        <v>1159</v>
      </c>
      <c r="E81" s="678" t="s">
        <v>1549</v>
      </c>
      <c r="F81" s="679">
        <v>43</v>
      </c>
      <c r="G81" s="679" t="s">
        <v>1550</v>
      </c>
      <c r="H81" s="679" t="s">
        <v>35</v>
      </c>
      <c r="I81" s="680"/>
      <c r="J81" s="681"/>
      <c r="K81" s="682"/>
      <c r="L81" s="681"/>
      <c r="M81" s="681"/>
      <c r="N81" s="681"/>
      <c r="O81" s="679" t="s">
        <v>1611</v>
      </c>
      <c r="P81" s="679" t="s">
        <v>1655</v>
      </c>
      <c r="Q81" s="679" t="s">
        <v>1020</v>
      </c>
      <c r="R81" s="679" t="s">
        <v>1019</v>
      </c>
      <c r="S81" s="677" t="s">
        <v>1794</v>
      </c>
      <c r="T81" s="679" t="s">
        <v>1786</v>
      </c>
      <c r="Z81" s="684"/>
      <c r="AA81" s="680"/>
      <c r="AB81" s="680"/>
      <c r="AC81" s="680"/>
      <c r="AD81" s="684"/>
      <c r="AG81" s="680"/>
      <c r="AH81" s="679"/>
      <c r="AI81" s="679"/>
      <c r="AJ81" s="679"/>
      <c r="AK81" s="675"/>
      <c r="AQ81" s="685"/>
      <c r="AR81" s="679"/>
      <c r="AV81" s="699"/>
      <c r="AW81" s="600"/>
      <c r="AX81" s="600"/>
      <c r="AY81" s="620"/>
      <c r="AZ81" s="600"/>
      <c r="BA81" s="600"/>
      <c r="BB81" s="692"/>
      <c r="BC81" s="600"/>
      <c r="BD81" s="600"/>
      <c r="BE81" s="600"/>
      <c r="BF81" s="600"/>
      <c r="BG81" s="600"/>
      <c r="BH81" s="600"/>
      <c r="BI81" s="600"/>
      <c r="BJ81" s="600"/>
      <c r="BK81" s="600"/>
      <c r="BL81" s="600"/>
      <c r="BM81" s="600"/>
      <c r="BN81" s="600"/>
      <c r="BO81" s="600"/>
      <c r="BP81" s="600"/>
      <c r="BQ81" s="600"/>
      <c r="BR81" s="600"/>
      <c r="BS81" s="600"/>
      <c r="BT81" s="600"/>
      <c r="BU81" s="600"/>
      <c r="BV81" s="600"/>
      <c r="BW81" s="600"/>
      <c r="BX81" s="600"/>
      <c r="BY81" s="600"/>
      <c r="BZ81" s="600"/>
      <c r="CA81" s="600"/>
      <c r="CB81" s="600"/>
      <c r="CC81" s="600"/>
      <c r="CD81" s="600"/>
      <c r="CE81" s="600"/>
      <c r="CF81" s="600"/>
      <c r="CG81" s="600"/>
      <c r="CH81" s="600"/>
      <c r="CI81" s="600"/>
      <c r="CJ81" s="600"/>
      <c r="CK81" s="600"/>
      <c r="CL81" s="600"/>
      <c r="CM81" s="600"/>
      <c r="CN81" s="600"/>
      <c r="CO81" s="600"/>
      <c r="CP81" s="600"/>
      <c r="CQ81" s="600"/>
      <c r="CR81" s="600"/>
      <c r="CS81" s="600"/>
      <c r="CT81" s="600"/>
      <c r="CU81" s="600"/>
      <c r="CV81" s="600"/>
      <c r="CW81" s="600"/>
      <c r="CX81" s="600"/>
      <c r="CY81" s="600"/>
      <c r="CZ81" s="600"/>
      <c r="DA81" s="600"/>
      <c r="DB81" s="600"/>
      <c r="DC81" s="600"/>
      <c r="DD81" s="600"/>
      <c r="DE81" s="600"/>
      <c r="DF81" s="600"/>
      <c r="DG81" s="600"/>
      <c r="DH81" s="600"/>
      <c r="DI81" s="600"/>
      <c r="DJ81" s="600"/>
      <c r="DK81" s="600"/>
      <c r="DL81" s="600"/>
      <c r="DM81" s="600"/>
      <c r="DN81" s="600"/>
      <c r="DO81" s="600"/>
      <c r="DP81" s="600"/>
      <c r="DQ81" s="600"/>
      <c r="DR81" s="600"/>
      <c r="DS81" s="600"/>
      <c r="DT81" s="600"/>
      <c r="DU81" s="600"/>
      <c r="DV81" s="600"/>
      <c r="DW81" s="600"/>
      <c r="DX81" s="600"/>
      <c r="DY81" s="600"/>
      <c r="DZ81" s="600"/>
      <c r="EA81" s="600"/>
      <c r="EB81" s="600"/>
      <c r="EC81" s="600"/>
      <c r="ED81" s="600"/>
      <c r="EE81" s="600"/>
      <c r="EF81" s="600"/>
      <c r="EG81" s="600"/>
      <c r="EH81" s="600"/>
      <c r="EI81" s="600"/>
      <c r="EJ81" s="600"/>
      <c r="EK81" s="600"/>
      <c r="EL81" s="600"/>
      <c r="EM81" s="600"/>
      <c r="EN81" s="600"/>
      <c r="EO81" s="600"/>
      <c r="EP81" s="600"/>
      <c r="EQ81" s="600"/>
      <c r="ER81" s="600"/>
    </row>
    <row r="82" spans="1:148" s="475" customFormat="1" ht="15.75" thickTop="1" x14ac:dyDescent="0.25">
      <c r="A82" s="584"/>
      <c r="B82" s="585"/>
      <c r="E82" s="586"/>
      <c r="J82" s="587"/>
      <c r="K82" s="588"/>
      <c r="L82" s="587"/>
      <c r="M82" s="587"/>
      <c r="N82" s="587"/>
      <c r="AQ82" s="24"/>
      <c r="AY82" s="589"/>
      <c r="BB82" s="590"/>
    </row>
    <row r="83" spans="1:148" s="24" customFormat="1" ht="12.75" x14ac:dyDescent="0.2">
      <c r="A83" s="351"/>
      <c r="B83" s="482"/>
      <c r="C83" s="482"/>
      <c r="D83" s="351"/>
      <c r="E83" s="501"/>
      <c r="F83" s="351"/>
      <c r="G83" s="351"/>
      <c r="H83" s="351"/>
      <c r="J83" s="480"/>
      <c r="K83" s="481"/>
      <c r="L83" s="480"/>
      <c r="M83" s="480"/>
      <c r="N83" s="480"/>
      <c r="O83" s="351"/>
      <c r="Q83" s="23"/>
      <c r="R83" s="23"/>
      <c r="S83" s="330"/>
      <c r="T83" s="326"/>
      <c r="U83" s="23"/>
      <c r="V83" s="23"/>
      <c r="AS83" s="330"/>
      <c r="AT83" s="330"/>
      <c r="BB83" s="467"/>
    </row>
    <row r="84" spans="1:148" s="24" customFormat="1" ht="12.75" x14ac:dyDescent="0.2">
      <c r="A84" s="483"/>
      <c r="B84" s="482"/>
      <c r="C84" s="482"/>
      <c r="D84" s="338"/>
      <c r="E84" s="501"/>
      <c r="F84" s="351"/>
      <c r="G84" s="326"/>
      <c r="H84" s="326"/>
      <c r="I84" s="351"/>
      <c r="J84" s="478"/>
      <c r="K84" s="479"/>
      <c r="L84" s="478"/>
      <c r="M84" s="478"/>
      <c r="N84" s="478"/>
      <c r="P84" s="351"/>
      <c r="Q84" s="23"/>
      <c r="R84" s="23"/>
      <c r="T84" s="23"/>
      <c r="AS84" s="23"/>
      <c r="AT84" s="23"/>
      <c r="AZ84" s="532"/>
      <c r="BA84" s="491"/>
      <c r="BB84" s="491"/>
    </row>
    <row r="85" spans="1:148" s="24" customFormat="1" ht="12.75" x14ac:dyDescent="0.2">
      <c r="A85" s="483"/>
      <c r="B85" s="482"/>
      <c r="C85" s="482"/>
      <c r="D85" s="338"/>
      <c r="E85" s="501"/>
      <c r="F85" s="351"/>
      <c r="G85" s="326"/>
      <c r="H85" s="326"/>
      <c r="J85" s="480"/>
      <c r="K85" s="481"/>
      <c r="L85" s="480"/>
      <c r="M85" s="480"/>
      <c r="N85" s="480"/>
      <c r="Q85" s="23"/>
      <c r="R85" s="23"/>
      <c r="T85" s="23"/>
      <c r="U85" s="24" t="s">
        <v>238</v>
      </c>
      <c r="AD85" s="23"/>
      <c r="AG85" s="23"/>
      <c r="AS85" s="23"/>
      <c r="AT85" s="23"/>
      <c r="AZ85" s="532"/>
      <c r="BA85" s="467"/>
      <c r="BB85" s="467"/>
    </row>
    <row r="86" spans="1:148" s="24" customFormat="1" ht="12.75" x14ac:dyDescent="0.2">
      <c r="A86" s="543"/>
      <c r="B86" s="508"/>
      <c r="C86" s="508"/>
      <c r="D86" s="508"/>
      <c r="E86" s="509"/>
      <c r="F86" s="508"/>
      <c r="G86" s="508"/>
      <c r="H86" s="508"/>
      <c r="J86" s="14"/>
      <c r="K86" s="15"/>
      <c r="L86" s="14"/>
      <c r="M86" s="14"/>
      <c r="N86" s="14"/>
      <c r="O86" s="351"/>
      <c r="Q86" s="23"/>
      <c r="R86" s="23"/>
      <c r="T86" s="23"/>
      <c r="AG86" s="23"/>
      <c r="AS86" s="23"/>
      <c r="AT86" s="23"/>
      <c r="AZ86" s="532"/>
      <c r="BA86" s="467"/>
      <c r="BB86" s="467"/>
    </row>
    <row r="87" spans="1:148" s="24" customFormat="1" ht="12.75" x14ac:dyDescent="0.2">
      <c r="A87" s="351"/>
      <c r="B87" s="508"/>
      <c r="C87" s="508"/>
      <c r="D87" s="508"/>
      <c r="E87" s="509"/>
      <c r="F87" s="508"/>
      <c r="G87" s="508"/>
      <c r="H87" s="508"/>
      <c r="I87" s="351"/>
      <c r="J87" s="478"/>
      <c r="K87" s="479"/>
      <c r="L87" s="478"/>
      <c r="M87" s="478"/>
      <c r="N87" s="478"/>
      <c r="O87" s="351"/>
      <c r="P87" s="351"/>
      <c r="Q87" s="23"/>
      <c r="R87" s="23"/>
      <c r="T87" s="23"/>
      <c r="AG87" s="23"/>
      <c r="AS87" s="23"/>
      <c r="AT87" s="23"/>
      <c r="AZ87" s="532"/>
      <c r="BA87" s="467"/>
      <c r="BB87" s="467"/>
    </row>
    <row r="88" spans="1:148" s="24" customFormat="1" ht="12.75" x14ac:dyDescent="0.2">
      <c r="A88" s="483"/>
      <c r="I88" s="351"/>
      <c r="J88" s="478"/>
      <c r="K88" s="479"/>
      <c r="L88" s="478"/>
      <c r="M88" s="478"/>
      <c r="N88" s="478"/>
      <c r="P88" s="351"/>
      <c r="Q88" s="23"/>
      <c r="R88" s="23"/>
      <c r="T88" s="23"/>
      <c r="AG88" s="23"/>
      <c r="AS88" s="23"/>
      <c r="AT88" s="23"/>
      <c r="AZ88" s="532"/>
      <c r="BA88" s="467"/>
      <c r="BB88" s="467"/>
    </row>
    <row r="89" spans="1:148" s="24" customFormat="1" ht="12" thickBot="1" x14ac:dyDescent="0.25">
      <c r="A89" s="362"/>
      <c r="B89" s="362"/>
      <c r="E89" s="544"/>
      <c r="J89" s="14"/>
      <c r="K89" s="15"/>
      <c r="L89" s="14"/>
      <c r="M89" s="14"/>
      <c r="N89" s="14"/>
      <c r="Q89" s="23"/>
      <c r="R89" s="23"/>
      <c r="T89" s="23"/>
      <c r="AG89" s="23"/>
      <c r="AS89" s="23"/>
      <c r="AT89" s="23"/>
      <c r="AZ89" s="536"/>
      <c r="BA89" s="467"/>
    </row>
    <row r="90" spans="1:148" s="24" customFormat="1" ht="11.25" x14ac:dyDescent="0.2">
      <c r="A90" s="362"/>
      <c r="B90" s="362"/>
      <c r="E90" s="544"/>
      <c r="J90" s="14"/>
      <c r="K90" s="15"/>
      <c r="L90" s="14"/>
      <c r="M90" s="14"/>
      <c r="N90" s="14"/>
      <c r="Q90" s="23"/>
      <c r="R90" s="23"/>
      <c r="T90" s="23"/>
      <c r="AG90" s="23"/>
      <c r="AQ90" s="23"/>
      <c r="AS90" s="23"/>
      <c r="AT90" s="23"/>
      <c r="AZ90" s="537"/>
    </row>
    <row r="91" spans="1:148" x14ac:dyDescent="0.25">
      <c r="AD91" s="330"/>
      <c r="AG91" s="330"/>
      <c r="AZ91" s="24"/>
    </row>
    <row r="92" spans="1:148" x14ac:dyDescent="0.25">
      <c r="J92" s="476"/>
      <c r="K92" s="477"/>
      <c r="L92" s="476"/>
      <c r="M92" s="476"/>
      <c r="N92" s="476"/>
      <c r="AD92" s="330"/>
      <c r="AG92" s="330"/>
      <c r="AZ92" s="24"/>
    </row>
    <row r="93" spans="1:148" x14ac:dyDescent="0.25">
      <c r="B93" s="515"/>
      <c r="C93" s="375"/>
      <c r="D93" s="351"/>
      <c r="E93" s="333"/>
      <c r="F93" s="143"/>
      <c r="G93" s="143"/>
      <c r="H93" s="351"/>
      <c r="J93" s="476"/>
      <c r="K93" s="477"/>
      <c r="L93" s="476"/>
      <c r="M93" s="476"/>
      <c r="N93" s="476"/>
      <c r="O93" s="24"/>
      <c r="AD93" s="330"/>
      <c r="AG93" s="330"/>
      <c r="AQ93" s="24"/>
      <c r="AS93" s="24"/>
      <c r="AT93" s="24"/>
      <c r="AZ93" s="24"/>
    </row>
    <row r="94" spans="1:148" s="24" customFormat="1" x14ac:dyDescent="0.25">
      <c r="A94" s="516"/>
      <c r="B94" s="514"/>
      <c r="C94" s="23"/>
      <c r="D94" s="23"/>
      <c r="E94" s="185"/>
      <c r="F94" s="23"/>
      <c r="G94" s="23"/>
      <c r="H94" s="23"/>
      <c r="J94" s="480"/>
      <c r="K94" s="481"/>
      <c r="L94" s="480"/>
      <c r="M94" s="480"/>
      <c r="N94" s="480"/>
      <c r="O94" s="23"/>
      <c r="T94" s="23"/>
      <c r="AD94" s="330"/>
      <c r="AG94" s="330"/>
      <c r="AQ94" s="23"/>
      <c r="AS94" s="23"/>
      <c r="AT94" s="23"/>
    </row>
    <row r="95" spans="1:148" x14ac:dyDescent="0.25">
      <c r="J95" s="476"/>
      <c r="K95" s="477"/>
      <c r="L95" s="476"/>
      <c r="M95" s="476"/>
      <c r="N95" s="476"/>
      <c r="AD95" s="330"/>
      <c r="AG95" s="330"/>
      <c r="AS95" s="24"/>
      <c r="AT95" s="24"/>
      <c r="AZ95" s="24"/>
    </row>
    <row r="96" spans="1:148" x14ac:dyDescent="0.25">
      <c r="J96" s="476"/>
      <c r="K96" s="477"/>
      <c r="L96" s="476"/>
      <c r="M96" s="476"/>
      <c r="N96" s="476"/>
      <c r="O96" s="475"/>
      <c r="AD96" s="332"/>
      <c r="AG96" s="327"/>
      <c r="AZ96" s="24"/>
    </row>
    <row r="97" spans="1:52" x14ac:dyDescent="0.25">
      <c r="H97" s="475"/>
      <c r="I97" s="475"/>
      <c r="P97" s="475"/>
      <c r="AD97" s="24"/>
      <c r="AZ97" s="537"/>
    </row>
    <row r="98" spans="1:52" x14ac:dyDescent="0.25">
      <c r="AD98" s="330"/>
      <c r="AG98" s="330"/>
      <c r="AZ98" s="24"/>
    </row>
    <row r="99" spans="1:52" x14ac:dyDescent="0.25">
      <c r="AD99" s="330"/>
      <c r="AG99" s="330"/>
      <c r="AS99" s="24"/>
      <c r="AT99" s="24"/>
      <c r="AZ99" s="24"/>
    </row>
    <row r="100" spans="1:52" x14ac:dyDescent="0.25">
      <c r="AD100" s="330"/>
      <c r="AG100" s="330"/>
      <c r="AS100" s="24"/>
      <c r="AT100" s="24"/>
      <c r="AZ100" s="24"/>
    </row>
    <row r="101" spans="1:52" x14ac:dyDescent="0.25">
      <c r="A101" s="483"/>
      <c r="AD101" s="24"/>
      <c r="AZ101" s="24"/>
    </row>
    <row r="102" spans="1:52" x14ac:dyDescent="0.25">
      <c r="AD102" s="330"/>
      <c r="AZ102" s="24"/>
    </row>
    <row r="103" spans="1:52" x14ac:dyDescent="0.25">
      <c r="AD103" s="330"/>
      <c r="AG103" s="330"/>
      <c r="AS103" s="24"/>
      <c r="AT103" s="24"/>
      <c r="AZ103" s="24"/>
    </row>
    <row r="104" spans="1:52" x14ac:dyDescent="0.25">
      <c r="AD104" s="38"/>
      <c r="AG104" s="38"/>
      <c r="AS104" s="24"/>
      <c r="AT104" s="24"/>
      <c r="AZ104" s="24"/>
    </row>
    <row r="105" spans="1:52" x14ac:dyDescent="0.25">
      <c r="AD105" s="330"/>
      <c r="AG105" s="330"/>
      <c r="AZ105" s="24"/>
    </row>
    <row r="106" spans="1:52" x14ac:dyDescent="0.25">
      <c r="AD106" s="332"/>
      <c r="AG106" s="327"/>
      <c r="AS106" s="327"/>
      <c r="AT106" s="327"/>
      <c r="AZ106" s="24"/>
    </row>
    <row r="107" spans="1:52" x14ac:dyDescent="0.25">
      <c r="AD107" s="332"/>
      <c r="AG107" s="327"/>
      <c r="AS107" s="327"/>
      <c r="AT107" s="327"/>
      <c r="AZ107" s="24"/>
    </row>
    <row r="108" spans="1:52" x14ac:dyDescent="0.25">
      <c r="AD108" s="332"/>
      <c r="AG108" s="327"/>
      <c r="AS108" s="327"/>
      <c r="AT108" s="327"/>
    </row>
    <row r="109" spans="1:52" x14ac:dyDescent="0.25">
      <c r="AD109" s="332"/>
      <c r="AG109" s="327"/>
    </row>
    <row r="110" spans="1:52" x14ac:dyDescent="0.25">
      <c r="AD110" s="332"/>
      <c r="AG110" s="327"/>
    </row>
    <row r="111" spans="1:52" x14ac:dyDescent="0.25">
      <c r="AD111" s="24"/>
    </row>
    <row r="112" spans="1:52" x14ac:dyDescent="0.25">
      <c r="AD112" s="330"/>
      <c r="AG112" s="330"/>
    </row>
    <row r="113" spans="30:46" x14ac:dyDescent="0.25">
      <c r="AD113" s="330"/>
      <c r="AG113" s="330"/>
      <c r="AS113" s="24"/>
      <c r="AT113" s="24"/>
    </row>
    <row r="114" spans="30:46" x14ac:dyDescent="0.25">
      <c r="AD114" s="330"/>
      <c r="AG114" s="330"/>
    </row>
    <row r="115" spans="30:46" x14ac:dyDescent="0.25">
      <c r="AD115" s="24"/>
    </row>
    <row r="116" spans="30:46" x14ac:dyDescent="0.25">
      <c r="AD116" s="330"/>
      <c r="AG116" s="330"/>
      <c r="AS116" s="24"/>
      <c r="AT116" s="24"/>
    </row>
    <row r="117" spans="30:46" x14ac:dyDescent="0.25">
      <c r="AD117" s="330"/>
      <c r="AG117" s="330"/>
    </row>
    <row r="118" spans="30:46" x14ac:dyDescent="0.25">
      <c r="AD118" s="330"/>
      <c r="AG118" s="330"/>
    </row>
    <row r="119" spans="30:46" x14ac:dyDescent="0.25">
      <c r="AD119" s="24"/>
    </row>
    <row r="120" spans="30:46" x14ac:dyDescent="0.25">
      <c r="AD120" s="24"/>
    </row>
    <row r="121" spans="30:46" x14ac:dyDescent="0.25">
      <c r="AD121" s="24"/>
      <c r="AG121" s="487"/>
    </row>
    <row r="122" spans="30:46" x14ac:dyDescent="0.25">
      <c r="AD122" s="38"/>
      <c r="AG122" s="38"/>
    </row>
    <row r="123" spans="30:46" x14ac:dyDescent="0.25">
      <c r="AD123" s="38"/>
      <c r="AG123" s="38"/>
    </row>
    <row r="124" spans="30:46" x14ac:dyDescent="0.25">
      <c r="AD124" s="330"/>
      <c r="AG124" s="330"/>
      <c r="AS124" s="195"/>
      <c r="AT124" s="195"/>
    </row>
    <row r="125" spans="30:46" x14ac:dyDescent="0.25">
      <c r="AD125" s="24"/>
      <c r="AG125" s="24"/>
    </row>
    <row r="126" spans="30:46" x14ac:dyDescent="0.25">
      <c r="AD126" s="24"/>
      <c r="AG126" s="24"/>
    </row>
    <row r="127" spans="30:46" x14ac:dyDescent="0.25">
      <c r="AD127" s="24"/>
      <c r="AG127" s="24"/>
    </row>
    <row r="128" spans="30:46" x14ac:dyDescent="0.25">
      <c r="AD128" s="330"/>
      <c r="AG128" s="330"/>
    </row>
    <row r="129" spans="1:54" x14ac:dyDescent="0.25">
      <c r="AD129" s="24"/>
      <c r="AG129" s="24"/>
      <c r="AS129" s="24"/>
      <c r="AT129" s="24"/>
    </row>
    <row r="130" spans="1:54" x14ac:dyDescent="0.25">
      <c r="AD130" s="24"/>
      <c r="AG130" s="24"/>
      <c r="AS130" s="24"/>
      <c r="AT130" s="24"/>
    </row>
    <row r="131" spans="1:54" x14ac:dyDescent="0.25">
      <c r="AD131" s="24"/>
    </row>
    <row r="132" spans="1:54" x14ac:dyDescent="0.25">
      <c r="AD132" s="24"/>
    </row>
    <row r="133" spans="1:54" x14ac:dyDescent="0.25">
      <c r="AD133" s="24"/>
    </row>
    <row r="134" spans="1:54" x14ac:dyDescent="0.25">
      <c r="B134" s="331"/>
      <c r="C134" s="331"/>
      <c r="D134" s="331"/>
      <c r="E134" s="365"/>
      <c r="F134" s="366"/>
      <c r="G134" s="331"/>
      <c r="H134" s="331"/>
      <c r="O134" s="331"/>
      <c r="AD134" s="24"/>
      <c r="AG134" s="24"/>
      <c r="AQ134" s="362"/>
    </row>
    <row r="135" spans="1:54" s="362" customFormat="1" ht="12.75" x14ac:dyDescent="0.2">
      <c r="A135" s="361"/>
      <c r="B135" s="514"/>
      <c r="C135" s="23"/>
      <c r="D135" s="23"/>
      <c r="E135" s="185"/>
      <c r="F135" s="23"/>
      <c r="G135" s="23"/>
      <c r="H135" s="23"/>
      <c r="I135" s="363"/>
      <c r="J135" s="367"/>
      <c r="K135" s="368"/>
      <c r="L135" s="367"/>
      <c r="M135" s="367"/>
      <c r="N135" s="367"/>
      <c r="O135" s="23"/>
      <c r="P135" s="331"/>
      <c r="T135" s="514"/>
      <c r="AD135" s="24"/>
      <c r="AG135" s="24"/>
      <c r="AQ135" s="23"/>
      <c r="AS135" s="23"/>
      <c r="AT135" s="23"/>
      <c r="BA135" s="363"/>
      <c r="BB135" s="363"/>
    </row>
    <row r="136" spans="1:54" x14ac:dyDescent="0.25">
      <c r="AD136" s="24"/>
      <c r="AG136" s="24"/>
    </row>
    <row r="137" spans="1:54" x14ac:dyDescent="0.25">
      <c r="AD137" s="24"/>
      <c r="AG137" s="24"/>
    </row>
    <row r="138" spans="1:54" x14ac:dyDescent="0.25">
      <c r="X138" s="327"/>
      <c r="Y138" s="327"/>
      <c r="AD138" s="332"/>
      <c r="AG138" s="327"/>
    </row>
    <row r="139" spans="1:54" x14ac:dyDescent="0.25">
      <c r="X139" s="327"/>
      <c r="Y139" s="327"/>
      <c r="AD139" s="332"/>
      <c r="AG139" s="327"/>
    </row>
    <row r="140" spans="1:54" x14ac:dyDescent="0.25">
      <c r="X140" s="330"/>
      <c r="Y140" s="330"/>
      <c r="AD140" s="330"/>
      <c r="AG140" s="330"/>
      <c r="AS140" s="24"/>
      <c r="AT140" s="24"/>
    </row>
    <row r="141" spans="1:54" x14ac:dyDescent="0.25">
      <c r="S141" s="488"/>
      <c r="T141" s="447"/>
      <c r="U141" s="488"/>
      <c r="X141" s="488"/>
      <c r="Y141" s="488"/>
      <c r="AD141" s="542"/>
      <c r="AG141" s="542"/>
      <c r="AS141" s="487"/>
      <c r="AT141" s="487"/>
    </row>
    <row r="142" spans="1:54" x14ac:dyDescent="0.25">
      <c r="S142" s="158"/>
      <c r="T142" s="158"/>
      <c r="U142" s="158"/>
      <c r="V142" s="29"/>
      <c r="W142" s="29"/>
      <c r="AD142" s="24"/>
      <c r="AE142" s="24"/>
      <c r="AG142" s="24"/>
    </row>
    <row r="143" spans="1:54" x14ac:dyDescent="0.25">
      <c r="S143" s="28"/>
      <c r="T143" s="29"/>
      <c r="U143" s="28"/>
      <c r="V143" s="158"/>
      <c r="W143" s="158"/>
      <c r="X143" s="29"/>
      <c r="Y143" s="29"/>
      <c r="AD143" s="28"/>
      <c r="AE143" s="28"/>
      <c r="AF143" s="29"/>
      <c r="AG143" s="29"/>
      <c r="AH143" s="29"/>
      <c r="AI143" s="29"/>
    </row>
    <row r="144" spans="1:54" x14ac:dyDescent="0.25">
      <c r="B144" s="331"/>
      <c r="C144" s="32"/>
      <c r="D144" s="330"/>
      <c r="E144" s="348"/>
      <c r="F144" s="330"/>
      <c r="G144" s="330"/>
      <c r="H144" s="330"/>
      <c r="O144" s="330"/>
      <c r="S144" s="158"/>
      <c r="T144" s="158"/>
      <c r="U144" s="158"/>
      <c r="V144" s="158"/>
      <c r="W144" s="158"/>
      <c r="X144" s="28"/>
      <c r="Y144" s="28"/>
      <c r="AD144" s="28"/>
      <c r="AE144" s="28"/>
      <c r="AF144" s="28"/>
      <c r="AG144" s="28"/>
      <c r="AH144" s="28"/>
      <c r="AI144" s="28"/>
      <c r="AQ144" s="24"/>
      <c r="AS144" s="24"/>
      <c r="AT144" s="24"/>
    </row>
    <row r="145" spans="1:647" s="24" customFormat="1" ht="15" customHeight="1" x14ac:dyDescent="0.25">
      <c r="A145" s="361"/>
      <c r="B145" s="514"/>
      <c r="C145" s="23"/>
      <c r="D145" s="23"/>
      <c r="E145" s="185"/>
      <c r="F145" s="23"/>
      <c r="G145" s="23"/>
      <c r="H145" s="23"/>
      <c r="I145" s="332"/>
      <c r="J145" s="336"/>
      <c r="K145" s="337"/>
      <c r="L145" s="336"/>
      <c r="M145" s="336"/>
      <c r="N145" s="336"/>
      <c r="O145" s="23"/>
      <c r="P145" s="330"/>
      <c r="S145" s="158"/>
      <c r="T145" s="158"/>
      <c r="U145" s="158"/>
      <c r="V145" s="158"/>
      <c r="W145" s="158"/>
      <c r="X145" s="158"/>
      <c r="Y145" s="158"/>
      <c r="AD145" s="461"/>
      <c r="AE145" s="461"/>
      <c r="AF145" s="158"/>
      <c r="AG145" s="158"/>
      <c r="AH145" s="158"/>
      <c r="AI145" s="158"/>
      <c r="AQ145" s="23"/>
      <c r="AS145" s="23"/>
      <c r="AT145" s="23"/>
      <c r="BA145" s="332"/>
      <c r="BB145" s="332"/>
    </row>
    <row r="146" spans="1:647" x14ac:dyDescent="0.25">
      <c r="S146" s="158"/>
      <c r="T146" s="158"/>
      <c r="U146" s="158"/>
      <c r="V146" s="110"/>
      <c r="W146" s="110"/>
      <c r="X146" s="158"/>
      <c r="Y146" s="158"/>
      <c r="Z146" s="158"/>
      <c r="AA146" s="110"/>
      <c r="AD146" s="461"/>
      <c r="AE146" s="461" t="s">
        <v>238</v>
      </c>
      <c r="AF146" s="158"/>
      <c r="AG146" s="158"/>
      <c r="AH146" s="158"/>
      <c r="AI146" s="158"/>
    </row>
    <row r="147" spans="1:647" x14ac:dyDescent="0.25">
      <c r="S147" s="158"/>
      <c r="T147" s="158"/>
      <c r="U147" s="158"/>
      <c r="V147" s="158"/>
      <c r="W147" s="158"/>
      <c r="X147" s="158"/>
      <c r="Y147" s="158"/>
      <c r="Z147" s="158"/>
      <c r="AA147" s="158"/>
      <c r="AD147" s="461"/>
      <c r="AE147" s="461"/>
      <c r="AF147" s="158"/>
      <c r="AG147" s="158"/>
      <c r="AH147" s="158"/>
      <c r="AI147" s="158"/>
    </row>
    <row r="148" spans="1:647" x14ac:dyDescent="0.25">
      <c r="S148" s="330"/>
      <c r="T148" s="326"/>
      <c r="U148" s="110"/>
      <c r="V148" s="29"/>
      <c r="W148" s="29"/>
      <c r="X148" s="110"/>
      <c r="Y148" s="110"/>
      <c r="Z148" s="110"/>
      <c r="AA148" s="351"/>
      <c r="AD148" s="175"/>
      <c r="AE148" s="175"/>
      <c r="AF148" s="110"/>
      <c r="AG148" s="175"/>
      <c r="AH148" s="528" t="s">
        <v>1640</v>
      </c>
      <c r="AI148" s="484" t="s">
        <v>1654</v>
      </c>
      <c r="AS148" s="110"/>
      <c r="AT148" s="110"/>
    </row>
    <row r="149" spans="1:647" x14ac:dyDescent="0.25">
      <c r="B149" s="362"/>
      <c r="C149" s="24"/>
      <c r="D149" s="24"/>
      <c r="E149" s="544"/>
      <c r="F149" s="24"/>
      <c r="G149" s="24"/>
      <c r="H149" s="24"/>
      <c r="S149" s="158"/>
      <c r="T149" s="158"/>
      <c r="U149" s="158"/>
      <c r="V149" s="28"/>
      <c r="W149" s="28"/>
      <c r="X149" s="158"/>
      <c r="Y149" s="158"/>
      <c r="Z149" s="158"/>
      <c r="AA149" s="351"/>
      <c r="AD149" s="461"/>
      <c r="AE149" s="461"/>
      <c r="AF149" s="158"/>
      <c r="AG149" s="158"/>
      <c r="AH149" s="158"/>
      <c r="AI149" s="158"/>
      <c r="AS149" s="110"/>
      <c r="AT149" s="110"/>
    </row>
    <row r="150" spans="1:647" x14ac:dyDescent="0.25">
      <c r="B150" s="331"/>
      <c r="C150" s="32"/>
      <c r="D150" s="330"/>
      <c r="E150" s="333"/>
      <c r="F150" s="330"/>
      <c r="G150" s="330"/>
      <c r="H150" s="330"/>
      <c r="O150" s="330"/>
      <c r="S150" s="158"/>
      <c r="T150" s="158"/>
      <c r="U150" s="158"/>
      <c r="V150" s="330"/>
      <c r="W150" s="330"/>
      <c r="X150" s="29"/>
      <c r="Y150" s="29"/>
      <c r="Z150" s="351"/>
      <c r="AA150" s="330"/>
      <c r="AD150" s="351"/>
      <c r="AE150" s="351"/>
      <c r="AF150" s="340"/>
      <c r="AG150" s="351"/>
      <c r="AH150" s="351"/>
      <c r="AI150" s="461"/>
      <c r="AJ150" s="330"/>
      <c r="AK150" s="29"/>
    </row>
    <row r="151" spans="1:647" ht="15" hidden="1" customHeight="1" x14ac:dyDescent="0.25">
      <c r="A151" s="483" t="s">
        <v>1159</v>
      </c>
      <c r="B151" s="331"/>
      <c r="C151" s="330"/>
      <c r="D151" s="330"/>
      <c r="E151" s="349"/>
      <c r="F151" s="330"/>
      <c r="G151" s="330"/>
      <c r="H151" s="330"/>
      <c r="I151" s="327"/>
      <c r="J151" s="328"/>
      <c r="K151" s="329"/>
      <c r="L151" s="328"/>
      <c r="M151" s="328"/>
      <c r="N151" s="328"/>
      <c r="O151" s="32"/>
      <c r="P151" s="330"/>
      <c r="S151" s="158"/>
      <c r="T151" s="158"/>
      <c r="U151" s="158"/>
      <c r="V151" s="158"/>
      <c r="W151" s="158"/>
      <c r="X151" s="330"/>
      <c r="Y151" s="330"/>
      <c r="Z151" s="330"/>
      <c r="AA151" s="461"/>
      <c r="AD151" s="461"/>
      <c r="AE151" s="461"/>
      <c r="AF151" s="330"/>
      <c r="AG151" s="28"/>
      <c r="AH151" s="195"/>
      <c r="AI151" s="195"/>
      <c r="AJ151" s="195"/>
      <c r="AK151" s="195"/>
      <c r="AQ151" s="24"/>
      <c r="AS151" s="195"/>
      <c r="AT151" s="195"/>
      <c r="AZ151" s="24"/>
      <c r="BA151" s="332"/>
      <c r="BB151" s="332"/>
      <c r="BE151" s="24"/>
      <c r="BF151" s="24"/>
      <c r="BG151" s="24"/>
      <c r="BH151" s="24"/>
      <c r="BI151" s="24"/>
      <c r="BJ151" s="24"/>
      <c r="BK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4"/>
      <c r="EP151" s="24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4"/>
      <c r="FC151" s="24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4"/>
      <c r="FP151" s="24"/>
      <c r="FQ151" s="24"/>
      <c r="FR151" s="24"/>
      <c r="FS151" s="24"/>
      <c r="FT151" s="24"/>
      <c r="FU151" s="24"/>
      <c r="FV151" s="24"/>
      <c r="FW151" s="24"/>
      <c r="FX151" s="24"/>
      <c r="FY151" s="24"/>
      <c r="FZ151" s="24"/>
      <c r="GA151" s="24"/>
      <c r="GB151" s="24"/>
      <c r="GC151" s="24"/>
      <c r="GD151" s="24"/>
      <c r="GE151" s="24"/>
      <c r="GF151" s="24"/>
      <c r="GG151" s="24"/>
      <c r="GH151" s="24"/>
      <c r="GI151" s="24"/>
      <c r="GJ151" s="24"/>
      <c r="GK151" s="24"/>
      <c r="GL151" s="24"/>
      <c r="GM151" s="24"/>
      <c r="GN151" s="24"/>
      <c r="GO151" s="24"/>
      <c r="GP151" s="24"/>
      <c r="GQ151" s="24"/>
      <c r="GR151" s="24"/>
      <c r="GS151" s="24"/>
      <c r="GT151" s="24"/>
      <c r="GU151" s="24"/>
      <c r="GV151" s="24"/>
      <c r="GW151" s="24"/>
      <c r="GX151" s="24"/>
      <c r="GY151" s="24"/>
      <c r="GZ151" s="24"/>
      <c r="HA151" s="24"/>
      <c r="HB151" s="24"/>
      <c r="HC151" s="24"/>
      <c r="HD151" s="24"/>
      <c r="HE151" s="24"/>
      <c r="HF151" s="24"/>
      <c r="HG151" s="24"/>
      <c r="HH151" s="24"/>
      <c r="HI151" s="24"/>
      <c r="HJ151" s="24"/>
      <c r="HK151" s="24"/>
      <c r="HL151" s="24"/>
      <c r="HM151" s="24"/>
      <c r="HN151" s="24"/>
      <c r="HO151" s="24"/>
      <c r="HP151" s="24"/>
      <c r="HQ151" s="24"/>
      <c r="HR151" s="24"/>
      <c r="HS151" s="24"/>
      <c r="HT151" s="24"/>
      <c r="HU151" s="24"/>
      <c r="HV151" s="24"/>
      <c r="HW151" s="24"/>
      <c r="HX151" s="24"/>
      <c r="HY151" s="24"/>
      <c r="HZ151" s="24"/>
      <c r="IA151" s="24"/>
      <c r="IB151" s="24"/>
      <c r="IC151" s="24"/>
      <c r="ID151" s="24"/>
      <c r="IE151" s="24"/>
      <c r="IF151" s="24"/>
      <c r="IG151" s="24"/>
      <c r="IH151" s="24"/>
      <c r="II151" s="24"/>
      <c r="IJ151" s="24"/>
      <c r="IK151" s="24"/>
      <c r="IL151" s="24"/>
      <c r="IM151" s="24"/>
      <c r="IN151" s="24"/>
      <c r="IO151" s="24"/>
      <c r="IP151" s="24"/>
      <c r="IQ151" s="24"/>
      <c r="IR151" s="24"/>
      <c r="IS151" s="24"/>
      <c r="IT151" s="24"/>
      <c r="IU151" s="24"/>
      <c r="IV151" s="24"/>
      <c r="IW151" s="24"/>
      <c r="IX151" s="24"/>
      <c r="IY151" s="24"/>
      <c r="IZ151" s="24"/>
      <c r="JA151" s="24"/>
      <c r="JB151" s="24"/>
      <c r="JC151" s="24"/>
      <c r="JD151" s="24"/>
      <c r="JE151" s="24"/>
      <c r="JF151" s="24"/>
      <c r="JG151" s="24"/>
      <c r="JH151" s="24"/>
      <c r="JI151" s="24"/>
      <c r="JJ151" s="24"/>
      <c r="JK151" s="24"/>
      <c r="JL151" s="24"/>
      <c r="JM151" s="24"/>
      <c r="JN151" s="24"/>
      <c r="JO151" s="24"/>
      <c r="JP151" s="24"/>
      <c r="JQ151" s="24"/>
      <c r="JR151" s="24"/>
      <c r="JS151" s="24"/>
      <c r="JT151" s="24"/>
      <c r="JU151" s="24"/>
      <c r="JV151" s="24"/>
      <c r="JW151" s="24"/>
      <c r="JX151" s="24"/>
      <c r="JY151" s="24"/>
      <c r="JZ151" s="24"/>
      <c r="KA151" s="24"/>
      <c r="KB151" s="24"/>
      <c r="KC151" s="24"/>
      <c r="KD151" s="24"/>
      <c r="KE151" s="24"/>
      <c r="KF151" s="24"/>
      <c r="KG151" s="24"/>
      <c r="KH151" s="24"/>
      <c r="KI151" s="24"/>
      <c r="KJ151" s="24"/>
      <c r="KK151" s="24"/>
      <c r="KL151" s="24"/>
      <c r="KM151" s="24"/>
      <c r="KN151" s="24"/>
      <c r="KO151" s="24"/>
      <c r="KP151" s="24"/>
      <c r="KQ151" s="24"/>
      <c r="KR151" s="24"/>
      <c r="KS151" s="24"/>
      <c r="KT151" s="24"/>
      <c r="KU151" s="24"/>
      <c r="KV151" s="24"/>
      <c r="KW151" s="24"/>
      <c r="KX151" s="24"/>
      <c r="KY151" s="24"/>
      <c r="KZ151" s="24"/>
      <c r="LA151" s="24"/>
      <c r="LB151" s="24"/>
      <c r="LC151" s="24"/>
      <c r="LD151" s="24"/>
      <c r="LE151" s="24"/>
      <c r="LF151" s="24"/>
      <c r="LG151" s="24"/>
      <c r="LH151" s="24"/>
      <c r="LI151" s="24"/>
      <c r="LJ151" s="24"/>
      <c r="LK151" s="24"/>
      <c r="LL151" s="24"/>
      <c r="LM151" s="24"/>
      <c r="LN151" s="24"/>
      <c r="LO151" s="24"/>
      <c r="LP151" s="24"/>
      <c r="LQ151" s="24"/>
      <c r="LR151" s="24"/>
      <c r="LS151" s="24"/>
      <c r="LT151" s="24"/>
      <c r="LU151" s="24"/>
      <c r="LV151" s="24"/>
      <c r="LW151" s="24"/>
      <c r="LX151" s="24"/>
      <c r="LY151" s="24"/>
      <c r="LZ151" s="24"/>
      <c r="MA151" s="24"/>
      <c r="MB151" s="24"/>
      <c r="MC151" s="24"/>
      <c r="MD151" s="24"/>
      <c r="ME151" s="24"/>
      <c r="MF151" s="24"/>
      <c r="MG151" s="24"/>
      <c r="MH151" s="24"/>
      <c r="MI151" s="24"/>
      <c r="MJ151" s="24"/>
      <c r="MK151" s="24"/>
      <c r="ML151" s="24"/>
      <c r="MM151" s="24"/>
      <c r="MN151" s="24"/>
      <c r="MO151" s="24"/>
      <c r="MP151" s="24"/>
      <c r="MQ151" s="24"/>
      <c r="MR151" s="24"/>
      <c r="MS151" s="24"/>
      <c r="MT151" s="24"/>
      <c r="MU151" s="24"/>
      <c r="MV151" s="24"/>
      <c r="MW151" s="24"/>
      <c r="MX151" s="24"/>
      <c r="MY151" s="24"/>
      <c r="MZ151" s="24"/>
      <c r="NA151" s="24"/>
      <c r="NB151" s="24"/>
      <c r="NC151" s="24"/>
      <c r="ND151" s="24"/>
      <c r="NE151" s="24"/>
      <c r="NF151" s="24"/>
      <c r="NG151" s="24"/>
      <c r="NH151" s="24"/>
      <c r="NI151" s="24"/>
      <c r="NJ151" s="24"/>
      <c r="NK151" s="24"/>
      <c r="NL151" s="24"/>
      <c r="NM151" s="24"/>
      <c r="NN151" s="24"/>
      <c r="NO151" s="24"/>
      <c r="NP151" s="24"/>
      <c r="NQ151" s="24"/>
      <c r="NR151" s="24"/>
      <c r="NS151" s="24"/>
      <c r="NT151" s="24"/>
      <c r="NU151" s="24"/>
      <c r="NV151" s="24"/>
      <c r="NW151" s="24"/>
      <c r="NX151" s="24"/>
      <c r="NY151" s="24"/>
      <c r="NZ151" s="24"/>
      <c r="OA151" s="24"/>
      <c r="OB151" s="24"/>
      <c r="OC151" s="24"/>
      <c r="OD151" s="24"/>
      <c r="OE151" s="24"/>
      <c r="OF151" s="24"/>
      <c r="OG151" s="24"/>
      <c r="OH151" s="24"/>
      <c r="OI151" s="24"/>
      <c r="OJ151" s="24"/>
      <c r="OK151" s="24"/>
      <c r="OL151" s="24"/>
      <c r="OM151" s="24"/>
      <c r="ON151" s="24"/>
      <c r="OO151" s="24"/>
      <c r="OP151" s="24"/>
      <c r="OQ151" s="24"/>
      <c r="OR151" s="24"/>
      <c r="OS151" s="24"/>
      <c r="OT151" s="24"/>
      <c r="OU151" s="24"/>
      <c r="OV151" s="24"/>
      <c r="OW151" s="24"/>
      <c r="OX151" s="24"/>
      <c r="OY151" s="24"/>
      <c r="OZ151" s="24"/>
      <c r="PA151" s="24"/>
      <c r="PB151" s="24"/>
      <c r="PC151" s="24"/>
      <c r="PD151" s="24"/>
      <c r="PE151" s="24"/>
      <c r="PF151" s="24"/>
      <c r="PG151" s="24"/>
      <c r="PH151" s="24"/>
      <c r="PI151" s="24"/>
      <c r="PJ151" s="24"/>
      <c r="PK151" s="24"/>
      <c r="PL151" s="24"/>
      <c r="PM151" s="24"/>
      <c r="PN151" s="24"/>
      <c r="PO151" s="24"/>
      <c r="PP151" s="24"/>
      <c r="PQ151" s="24"/>
      <c r="PR151" s="24"/>
      <c r="PS151" s="24"/>
      <c r="PT151" s="24"/>
      <c r="PU151" s="24"/>
      <c r="PV151" s="24"/>
      <c r="PW151" s="24"/>
      <c r="PX151" s="24"/>
      <c r="PY151" s="24"/>
      <c r="PZ151" s="24"/>
      <c r="QA151" s="24"/>
      <c r="QB151" s="24"/>
      <c r="QC151" s="24"/>
      <c r="QD151" s="24"/>
      <c r="QE151" s="24"/>
      <c r="QF151" s="24"/>
      <c r="QG151" s="24"/>
      <c r="QH151" s="24"/>
      <c r="QI151" s="24"/>
      <c r="QJ151" s="24"/>
      <c r="QK151" s="24"/>
      <c r="QL151" s="24"/>
      <c r="QM151" s="24"/>
      <c r="QN151" s="24"/>
      <c r="QO151" s="24"/>
      <c r="QP151" s="24"/>
      <c r="QQ151" s="24"/>
      <c r="QR151" s="24"/>
      <c r="QS151" s="24"/>
      <c r="QT151" s="24"/>
      <c r="QU151" s="24"/>
      <c r="QV151" s="24"/>
      <c r="QW151" s="24"/>
      <c r="QX151" s="24"/>
      <c r="QY151" s="24"/>
      <c r="QZ151" s="24"/>
      <c r="RA151" s="24"/>
      <c r="RB151" s="24"/>
      <c r="RC151" s="24"/>
      <c r="RD151" s="24"/>
      <c r="RE151" s="24"/>
      <c r="RF151" s="24"/>
      <c r="RG151" s="24"/>
      <c r="RH151" s="24"/>
      <c r="RI151" s="24"/>
      <c r="RJ151" s="24"/>
      <c r="RK151" s="24"/>
      <c r="RL151" s="24"/>
      <c r="RM151" s="24"/>
      <c r="RN151" s="24"/>
      <c r="RO151" s="24"/>
      <c r="RP151" s="24"/>
      <c r="RQ151" s="24"/>
      <c r="RR151" s="24"/>
      <c r="RS151" s="24"/>
      <c r="RT151" s="24"/>
      <c r="RU151" s="24"/>
      <c r="RV151" s="24"/>
      <c r="RW151" s="24"/>
      <c r="RX151" s="24"/>
      <c r="RY151" s="24"/>
      <c r="RZ151" s="24"/>
      <c r="SA151" s="24"/>
      <c r="SB151" s="24"/>
      <c r="SC151" s="24"/>
      <c r="SD151" s="24"/>
      <c r="SE151" s="24"/>
      <c r="SF151" s="24"/>
      <c r="SG151" s="24"/>
      <c r="SH151" s="24"/>
      <c r="SI151" s="24"/>
      <c r="SJ151" s="24"/>
      <c r="SK151" s="24"/>
      <c r="SL151" s="24"/>
      <c r="SM151" s="24"/>
      <c r="SN151" s="24"/>
      <c r="SO151" s="24"/>
      <c r="SP151" s="24"/>
      <c r="SQ151" s="24"/>
      <c r="SR151" s="24"/>
      <c r="SS151" s="24"/>
      <c r="ST151" s="24"/>
      <c r="SU151" s="24"/>
      <c r="SV151" s="24"/>
      <c r="SW151" s="24"/>
      <c r="SX151" s="24"/>
      <c r="SY151" s="24"/>
      <c r="SZ151" s="24"/>
      <c r="TA151" s="24"/>
      <c r="TB151" s="24"/>
      <c r="TC151" s="24"/>
      <c r="TD151" s="24"/>
      <c r="TE151" s="24"/>
      <c r="TF151" s="24"/>
      <c r="TG151" s="24"/>
      <c r="TH151" s="24"/>
      <c r="TI151" s="24"/>
      <c r="TJ151" s="24"/>
      <c r="TK151" s="24"/>
      <c r="TL151" s="24"/>
      <c r="TM151" s="24"/>
      <c r="TN151" s="24"/>
      <c r="TO151" s="24"/>
      <c r="TP151" s="24"/>
      <c r="TQ151" s="24"/>
      <c r="TR151" s="24"/>
      <c r="TS151" s="24"/>
      <c r="TT151" s="24"/>
      <c r="TU151" s="24"/>
      <c r="TV151" s="24"/>
      <c r="TW151" s="24"/>
      <c r="TX151" s="24"/>
      <c r="TY151" s="24"/>
      <c r="TZ151" s="24"/>
      <c r="UA151" s="24"/>
      <c r="UB151" s="24"/>
      <c r="UC151" s="24"/>
      <c r="UD151" s="24"/>
      <c r="UE151" s="24"/>
      <c r="UF151" s="24"/>
      <c r="UG151" s="24"/>
      <c r="UH151" s="24"/>
      <c r="UI151" s="24"/>
      <c r="UJ151" s="24"/>
      <c r="UK151" s="24"/>
      <c r="UL151" s="24"/>
      <c r="UM151" s="24"/>
      <c r="UN151" s="24"/>
      <c r="UO151" s="24"/>
      <c r="UP151" s="24"/>
      <c r="UQ151" s="24"/>
      <c r="UR151" s="24"/>
      <c r="US151" s="24"/>
      <c r="UT151" s="24"/>
      <c r="UU151" s="24"/>
      <c r="UV151" s="24"/>
      <c r="UW151" s="24"/>
      <c r="UX151" s="24"/>
      <c r="UY151" s="24"/>
      <c r="UZ151" s="24"/>
      <c r="VA151" s="24"/>
      <c r="VB151" s="24"/>
      <c r="VC151" s="24"/>
      <c r="VD151" s="24"/>
      <c r="VE151" s="24"/>
      <c r="VF151" s="24"/>
      <c r="VG151" s="24"/>
      <c r="VH151" s="24"/>
      <c r="VI151" s="24"/>
      <c r="VJ151" s="24"/>
      <c r="VK151" s="24"/>
      <c r="VL151" s="24"/>
      <c r="VM151" s="24"/>
      <c r="VN151" s="24"/>
      <c r="VO151" s="24"/>
      <c r="VP151" s="24"/>
      <c r="VQ151" s="24"/>
      <c r="VR151" s="24"/>
      <c r="VS151" s="24"/>
      <c r="VT151" s="24"/>
      <c r="VU151" s="24"/>
      <c r="VV151" s="24"/>
      <c r="VW151" s="24"/>
      <c r="VX151" s="24"/>
      <c r="VY151" s="24"/>
      <c r="VZ151" s="24"/>
      <c r="WA151" s="24"/>
      <c r="WB151" s="24"/>
      <c r="WC151" s="24"/>
      <c r="WD151" s="24"/>
      <c r="WE151" s="24"/>
      <c r="WF151" s="24"/>
      <c r="WG151" s="24"/>
      <c r="WH151" s="24"/>
      <c r="WI151" s="24"/>
      <c r="WJ151" s="24"/>
      <c r="WK151" s="24"/>
      <c r="WL151" s="24"/>
      <c r="WM151" s="24"/>
      <c r="WN151" s="24"/>
      <c r="WO151" s="24"/>
      <c r="WP151" s="24"/>
      <c r="WQ151" s="24"/>
      <c r="WR151" s="24"/>
      <c r="WS151" s="24"/>
      <c r="WT151" s="24"/>
      <c r="WU151" s="24"/>
      <c r="WV151" s="24"/>
      <c r="WW151" s="24"/>
      <c r="WX151" s="24"/>
      <c r="WY151" s="24"/>
      <c r="WZ151" s="24"/>
      <c r="XA151" s="24"/>
      <c r="XB151" s="24"/>
      <c r="XC151" s="24"/>
      <c r="XD151" s="24"/>
      <c r="XE151" s="24"/>
      <c r="XF151" s="24"/>
      <c r="XG151" s="24"/>
      <c r="XH151" s="24"/>
      <c r="XI151" s="24"/>
      <c r="XJ151" s="24"/>
      <c r="XK151" s="24"/>
      <c r="XL151" s="24"/>
      <c r="XM151" s="24"/>
      <c r="XN151" s="24"/>
      <c r="XO151" s="24"/>
      <c r="XP151" s="24"/>
      <c r="XQ151" s="24"/>
      <c r="XR151" s="24"/>
      <c r="XS151" s="24"/>
      <c r="XT151" s="24"/>
      <c r="XU151" s="24"/>
      <c r="XV151" s="24"/>
      <c r="XW151" s="24"/>
    </row>
    <row r="152" spans="1:647" s="24" customFormat="1" ht="15" customHeight="1" x14ac:dyDescent="0.25">
      <c r="A152" s="361"/>
      <c r="B152" s="514"/>
      <c r="C152" s="23"/>
      <c r="D152" s="23"/>
      <c r="E152" s="185"/>
      <c r="F152" s="23"/>
      <c r="G152" s="23"/>
      <c r="H152" s="23"/>
      <c r="I152" s="332"/>
      <c r="J152" s="336"/>
      <c r="K152" s="337"/>
      <c r="L152" s="336"/>
      <c r="M152" s="336"/>
      <c r="N152" s="336"/>
      <c r="O152" s="23"/>
      <c r="P152" s="32"/>
      <c r="S152" s="158"/>
      <c r="T152" s="158"/>
      <c r="U152" s="158"/>
      <c r="V152" s="23"/>
      <c r="W152" s="23"/>
      <c r="X152" s="330"/>
      <c r="Y152" s="330"/>
      <c r="Z152" s="330"/>
      <c r="AD152" s="461"/>
      <c r="AE152" s="461"/>
      <c r="AF152" s="330"/>
      <c r="AG152" s="28"/>
      <c r="AH152" s="195"/>
      <c r="AI152" s="195"/>
      <c r="AJ152" s="195"/>
      <c r="AK152" s="195"/>
      <c r="AQ152" s="23"/>
      <c r="BA152" s="335"/>
      <c r="BB152" s="335"/>
    </row>
    <row r="153" spans="1:647" x14ac:dyDescent="0.25">
      <c r="S153" s="158"/>
      <c r="T153" s="158"/>
      <c r="U153" s="158"/>
      <c r="V153" s="158"/>
      <c r="W153" s="158"/>
      <c r="X153" s="158"/>
      <c r="Y153" s="158"/>
      <c r="Z153" s="158"/>
      <c r="AA153" s="461"/>
      <c r="AD153" s="461"/>
      <c r="AE153" s="461"/>
      <c r="AF153" s="158"/>
      <c r="AG153" s="158"/>
      <c r="AH153" s="110"/>
      <c r="AI153" s="110"/>
      <c r="AJ153" s="110"/>
      <c r="AK153" s="110"/>
      <c r="AS153" s="110"/>
      <c r="AT153" s="110"/>
    </row>
    <row r="154" spans="1:647" x14ac:dyDescent="0.25">
      <c r="V154" s="28"/>
      <c r="W154" s="28"/>
      <c r="X154" s="24"/>
      <c r="AA154" s="28"/>
      <c r="AD154" s="24"/>
      <c r="AE154" s="24"/>
      <c r="AQ154" s="110"/>
    </row>
    <row r="155" spans="1:647" x14ac:dyDescent="0.25">
      <c r="S155" s="29"/>
      <c r="T155" s="29"/>
      <c r="U155" s="29"/>
      <c r="V155" s="158"/>
      <c r="W155" s="158"/>
      <c r="X155" s="110"/>
      <c r="Y155" s="110"/>
      <c r="Z155" s="486"/>
      <c r="AA155" s="158"/>
      <c r="AD155" s="175"/>
      <c r="AE155" s="175"/>
      <c r="AF155" s="158"/>
      <c r="AG155" s="158"/>
      <c r="AH155" s="110"/>
      <c r="AI155" s="110"/>
      <c r="AJ155" s="110"/>
      <c r="AK155" s="110"/>
      <c r="AQ155" s="175"/>
      <c r="AR155" s="175"/>
      <c r="AS155" s="110"/>
      <c r="AT155" s="110"/>
    </row>
    <row r="156" spans="1:647" x14ac:dyDescent="0.25">
      <c r="S156" s="332"/>
      <c r="T156" s="327"/>
      <c r="U156" s="110"/>
      <c r="V156" s="24"/>
      <c r="W156" s="24"/>
      <c r="X156" s="158"/>
      <c r="Y156" s="158"/>
      <c r="Z156" s="158"/>
      <c r="AA156" s="24"/>
      <c r="AD156" s="158"/>
      <c r="AE156" s="158"/>
      <c r="AF156" s="158"/>
      <c r="AG156" s="158"/>
      <c r="AH156" s="158"/>
      <c r="AI156" s="158"/>
      <c r="AJ156" s="158"/>
      <c r="AK156" s="158"/>
      <c r="AR156" s="175"/>
      <c r="AS156" s="110"/>
      <c r="AT156" s="110"/>
    </row>
  </sheetData>
  <sortState xmlns:xlrd2="http://schemas.microsoft.com/office/spreadsheetml/2017/richdata2" ref="A106:N182">
    <sortCondition descending="1" ref="A181:A182"/>
  </sortState>
  <pageMargins left="0.70866141732283472" right="0.70866141732283472" top="0.74803149606299213" bottom="0.74803149606299213" header="0.31496062992125984" footer="0.31496062992125984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FE9C-CADD-4726-A4A8-5CCCCE4A032E}">
  <dimension ref="A1:BD59"/>
  <sheetViews>
    <sheetView workbookViewId="0">
      <selection activeCell="E65" sqref="E65"/>
    </sheetView>
  </sheetViews>
  <sheetFormatPr defaultRowHeight="15" x14ac:dyDescent="0.25"/>
  <cols>
    <col min="1" max="1" width="17.85546875" customWidth="1"/>
    <col min="2" max="2" width="19.7109375" customWidth="1"/>
    <col min="3" max="3" width="14.28515625" customWidth="1"/>
    <col min="4" max="4" width="22.7109375" customWidth="1"/>
    <col min="5" max="5" width="15.5703125" customWidth="1"/>
    <col min="9" max="9" width="32.5703125" hidden="1" customWidth="1"/>
    <col min="10" max="10" width="0.140625" hidden="1" customWidth="1"/>
    <col min="11" max="14" width="8.85546875" hidden="1" customWidth="1"/>
    <col min="17" max="17" width="11.140625" customWidth="1"/>
    <col min="18" max="18" width="12.42578125" customWidth="1"/>
    <col min="19" max="19" width="10" customWidth="1"/>
    <col min="21" max="22" width="10.85546875" customWidth="1"/>
    <col min="25" max="25" width="11.5703125" customWidth="1"/>
    <col min="26" max="26" width="10.28515625" customWidth="1"/>
    <col min="27" max="27" width="11.140625" customWidth="1"/>
    <col min="28" max="28" width="8.7109375" customWidth="1"/>
    <col min="29" max="29" width="12.5703125" customWidth="1"/>
    <col min="30" max="30" width="14.7109375" customWidth="1"/>
    <col min="31" max="31" width="9.5703125" customWidth="1"/>
    <col min="32" max="32" width="13.28515625" customWidth="1"/>
    <col min="33" max="33" width="12.42578125" customWidth="1"/>
    <col min="34" max="34" width="9.28515625" customWidth="1"/>
    <col min="35" max="35" width="12.28515625" customWidth="1"/>
    <col min="36" max="36" width="13" customWidth="1"/>
    <col min="37" max="37" width="10.42578125" customWidth="1"/>
    <col min="38" max="38" width="11.7109375" customWidth="1"/>
    <col min="39" max="40" width="10.7109375" customWidth="1"/>
    <col min="41" max="41" width="12.28515625" customWidth="1"/>
    <col min="46" max="46" width="10.140625" customWidth="1"/>
    <col min="48" max="48" width="12" customWidth="1"/>
    <col min="49" max="49" width="11.85546875" customWidth="1"/>
  </cols>
  <sheetData>
    <row r="1" spans="1:56" ht="93" customHeight="1" x14ac:dyDescent="0.25">
      <c r="A1" s="519" t="e">
        <f>SUM(#REF!)</f>
        <v>#REF!</v>
      </c>
      <c r="B1" s="518" t="s">
        <v>7</v>
      </c>
      <c r="C1" s="370" t="s">
        <v>0</v>
      </c>
      <c r="D1" s="527" t="s">
        <v>8</v>
      </c>
      <c r="E1" s="179" t="s">
        <v>1</v>
      </c>
      <c r="F1" s="16">
        <v>23</v>
      </c>
      <c r="G1" s="17" t="s">
        <v>10</v>
      </c>
      <c r="H1" s="17" t="s">
        <v>9</v>
      </c>
      <c r="I1" s="18" t="s">
        <v>5</v>
      </c>
      <c r="J1" s="5" t="s">
        <v>14</v>
      </c>
      <c r="K1" s="6" t="s">
        <v>2</v>
      </c>
      <c r="L1" s="5" t="s">
        <v>3</v>
      </c>
      <c r="M1" s="5" t="s">
        <v>13</v>
      </c>
      <c r="N1" s="548" t="s">
        <v>12</v>
      </c>
      <c r="O1" s="345" t="s">
        <v>771</v>
      </c>
      <c r="P1" s="345" t="s">
        <v>594</v>
      </c>
      <c r="Q1" s="22" t="s">
        <v>26</v>
      </c>
      <c r="R1" s="22" t="s">
        <v>1018</v>
      </c>
      <c r="S1" s="541" t="s">
        <v>1778</v>
      </c>
      <c r="T1" s="462" t="s">
        <v>1649</v>
      </c>
      <c r="U1" s="463" t="s">
        <v>17</v>
      </c>
      <c r="V1" s="541" t="s">
        <v>1779</v>
      </c>
      <c r="W1" s="465" t="s">
        <v>1650</v>
      </c>
      <c r="X1" s="463" t="s">
        <v>17</v>
      </c>
      <c r="Y1" s="541" t="s">
        <v>1775</v>
      </c>
      <c r="Z1" s="463" t="s">
        <v>19</v>
      </c>
      <c r="AA1" s="463" t="s">
        <v>17</v>
      </c>
      <c r="AB1" s="541" t="s">
        <v>1775</v>
      </c>
      <c r="AC1" s="465" t="s">
        <v>1033</v>
      </c>
      <c r="AD1" s="463" t="s">
        <v>17</v>
      </c>
      <c r="AE1" s="541" t="s">
        <v>1775</v>
      </c>
      <c r="AF1" s="465" t="s">
        <v>1066</v>
      </c>
      <c r="AG1" s="463" t="s">
        <v>17</v>
      </c>
      <c r="AH1" s="541" t="s">
        <v>1775</v>
      </c>
      <c r="AI1" s="465" t="s">
        <v>1032</v>
      </c>
      <c r="AJ1" s="463" t="s">
        <v>17</v>
      </c>
      <c r="AK1" s="541" t="s">
        <v>1775</v>
      </c>
      <c r="AL1" s="465" t="s">
        <v>23</v>
      </c>
      <c r="AM1" s="463" t="s">
        <v>17</v>
      </c>
      <c r="AN1" s="541" t="s">
        <v>1775</v>
      </c>
      <c r="AO1" s="465" t="s">
        <v>24</v>
      </c>
      <c r="AP1" s="463" t="s">
        <v>17</v>
      </c>
      <c r="AQ1" s="541" t="s">
        <v>1775</v>
      </c>
      <c r="AR1" s="465" t="s">
        <v>25</v>
      </c>
      <c r="AS1" s="463" t="s">
        <v>17</v>
      </c>
      <c r="AT1" s="541" t="s">
        <v>1775</v>
      </c>
      <c r="AU1" s="22" t="s">
        <v>27</v>
      </c>
      <c r="AV1" s="463" t="s">
        <v>17</v>
      </c>
      <c r="AW1" s="541" t="s">
        <v>1775</v>
      </c>
      <c r="AX1" s="465" t="s">
        <v>1753</v>
      </c>
      <c r="AY1" s="465" t="s">
        <v>1674</v>
      </c>
      <c r="AZ1" s="345" t="s">
        <v>1629</v>
      </c>
      <c r="BA1" s="463" t="s">
        <v>17</v>
      </c>
      <c r="BB1" s="22" t="s">
        <v>28</v>
      </c>
      <c r="BC1" s="463" t="s">
        <v>17</v>
      </c>
      <c r="BD1" s="22" t="s">
        <v>1624</v>
      </c>
    </row>
    <row r="2" spans="1:56" x14ac:dyDescent="0.25">
      <c r="A2" s="358" t="s">
        <v>1330</v>
      </c>
      <c r="B2" s="513"/>
      <c r="C2" s="371"/>
      <c r="D2" s="23"/>
      <c r="E2" s="185"/>
      <c r="F2" s="23"/>
      <c r="G2" s="23"/>
      <c r="H2" s="23"/>
      <c r="I2" s="23"/>
      <c r="J2" s="476"/>
      <c r="K2" s="477"/>
      <c r="L2" s="476"/>
      <c r="M2" s="476"/>
      <c r="N2" s="476"/>
      <c r="O2" s="23"/>
      <c r="P2" s="23"/>
      <c r="Q2" s="23"/>
      <c r="R2" s="23"/>
      <c r="S2" s="393"/>
      <c r="T2" s="23"/>
      <c r="U2" s="23"/>
      <c r="V2" s="545"/>
      <c r="W2" s="23"/>
      <c r="X2" s="23"/>
      <c r="Y2" s="545"/>
      <c r="Z2" s="23"/>
      <c r="AA2" s="23"/>
      <c r="AB2" s="545"/>
      <c r="AC2" s="23"/>
      <c r="AD2" s="23"/>
      <c r="AE2" s="545"/>
      <c r="AF2" s="23"/>
      <c r="AG2" s="23"/>
      <c r="AH2" s="545"/>
      <c r="AI2" s="23"/>
      <c r="AJ2" s="23"/>
      <c r="AK2" s="393"/>
      <c r="AL2" s="23"/>
      <c r="AM2" s="23"/>
      <c r="AN2" s="545"/>
      <c r="AO2" s="23"/>
      <c r="AP2" s="23"/>
      <c r="AQ2" s="545"/>
      <c r="AR2" s="23"/>
      <c r="AS2" s="23"/>
      <c r="AT2" s="545"/>
      <c r="AU2" s="23"/>
      <c r="AV2" s="23"/>
      <c r="AW2" s="545"/>
      <c r="AX2" s="24"/>
      <c r="AY2" s="24"/>
      <c r="AZ2" s="23"/>
      <c r="BA2" s="23"/>
      <c r="BB2" s="23"/>
      <c r="BC2" s="23"/>
      <c r="BD2" s="110"/>
    </row>
    <row r="3" spans="1:56" x14ac:dyDescent="0.25">
      <c r="A3" s="405" t="s">
        <v>1331</v>
      </c>
      <c r="B3" s="513"/>
      <c r="C3" s="371"/>
      <c r="D3" s="23"/>
      <c r="E3" s="185"/>
      <c r="F3" s="23"/>
      <c r="G3" s="23"/>
      <c r="H3" s="23"/>
      <c r="I3" s="23"/>
      <c r="J3" s="476"/>
      <c r="K3" s="477"/>
      <c r="L3" s="476"/>
      <c r="M3" s="476"/>
      <c r="N3" s="476"/>
      <c r="O3" s="23"/>
      <c r="P3" s="23"/>
      <c r="Q3" s="23"/>
      <c r="R3" s="23"/>
      <c r="S3" s="393"/>
      <c r="T3" s="23"/>
      <c r="U3" s="23"/>
      <c r="V3" s="545"/>
      <c r="W3" s="23"/>
      <c r="X3" s="23"/>
      <c r="Y3" s="545"/>
      <c r="Z3" s="23"/>
      <c r="AA3" s="23"/>
      <c r="AB3" s="545"/>
      <c r="AC3" s="23"/>
      <c r="AD3" s="23"/>
      <c r="AE3" s="545"/>
      <c r="AF3" s="23"/>
      <c r="AG3" s="23"/>
      <c r="AH3" s="545"/>
      <c r="AI3" s="23"/>
      <c r="AJ3" s="23"/>
      <c r="AK3" s="393"/>
      <c r="AL3" s="23"/>
      <c r="AM3" s="23"/>
      <c r="AN3" s="545"/>
      <c r="AO3" s="23"/>
      <c r="AP3" s="23"/>
      <c r="AQ3" s="545"/>
      <c r="AR3" s="23"/>
      <c r="AS3" s="23"/>
      <c r="AT3" s="545"/>
      <c r="AU3" s="23"/>
      <c r="AV3" s="23"/>
      <c r="AW3" s="545"/>
      <c r="AX3" s="24"/>
      <c r="AY3" s="24"/>
      <c r="AZ3" s="23"/>
      <c r="BA3" s="23"/>
      <c r="BB3" s="23"/>
      <c r="BC3" s="23"/>
      <c r="BD3" s="110"/>
    </row>
    <row r="4" spans="1:56" x14ac:dyDescent="0.25">
      <c r="A4" s="549" t="s">
        <v>1774</v>
      </c>
      <c r="B4" s="513"/>
      <c r="C4" s="371"/>
      <c r="D4" s="23"/>
      <c r="E4" s="185"/>
      <c r="F4" s="23"/>
      <c r="G4" s="23"/>
      <c r="H4" s="23"/>
      <c r="I4" s="23"/>
      <c r="J4" s="476"/>
      <c r="K4" s="477"/>
      <c r="L4" s="476"/>
      <c r="M4" s="476"/>
      <c r="N4" s="476"/>
      <c r="O4" s="23"/>
      <c r="P4" s="23"/>
      <c r="Q4" s="23"/>
      <c r="R4" s="23"/>
      <c r="S4" s="393"/>
      <c r="T4" s="23"/>
      <c r="U4" s="23"/>
      <c r="V4" s="545"/>
      <c r="W4" s="23"/>
      <c r="X4" s="23"/>
      <c r="Y4" s="545"/>
      <c r="Z4" s="23"/>
      <c r="AA4" s="23"/>
      <c r="AB4" s="545"/>
      <c r="AC4" s="23"/>
      <c r="AD4" s="23"/>
      <c r="AE4" s="545"/>
      <c r="AF4" s="23"/>
      <c r="AG4" s="24"/>
      <c r="AH4" s="545"/>
      <c r="AI4" s="23"/>
      <c r="AJ4" s="23"/>
      <c r="AK4" s="393"/>
      <c r="AL4" s="23"/>
      <c r="AM4" s="23"/>
      <c r="AN4" s="545"/>
      <c r="AO4" s="23"/>
      <c r="AP4" s="23"/>
      <c r="AQ4" s="545"/>
      <c r="AR4" s="23"/>
      <c r="AS4" s="23"/>
      <c r="AT4" s="545"/>
      <c r="AU4" s="23"/>
      <c r="AV4" s="23"/>
      <c r="AW4" s="545"/>
      <c r="AX4" s="24"/>
      <c r="AY4" s="24"/>
      <c r="AZ4" s="23"/>
      <c r="BA4" s="23"/>
      <c r="BB4" s="23"/>
      <c r="BC4" s="23"/>
      <c r="BD4" s="110"/>
    </row>
    <row r="5" spans="1:56" x14ac:dyDescent="0.25">
      <c r="A5" s="383" t="s">
        <v>1543</v>
      </c>
      <c r="B5" s="514"/>
      <c r="C5" s="23"/>
      <c r="D5" s="23"/>
      <c r="E5" s="185"/>
      <c r="F5" s="23"/>
      <c r="G5" s="23"/>
      <c r="H5" s="23"/>
      <c r="I5" s="23"/>
      <c r="J5" s="476"/>
      <c r="K5" s="477"/>
      <c r="L5" s="476"/>
      <c r="M5" s="476"/>
      <c r="N5" s="476"/>
      <c r="O5" s="23"/>
      <c r="P5" s="23"/>
      <c r="Q5" s="23"/>
      <c r="R5" s="23"/>
      <c r="S5" s="393"/>
      <c r="T5" s="23"/>
      <c r="U5" s="23"/>
      <c r="V5" s="545"/>
      <c r="W5" s="23"/>
      <c r="X5" s="23"/>
      <c r="Y5" s="545"/>
      <c r="Z5" s="23"/>
      <c r="AA5" s="23"/>
      <c r="AB5" s="545"/>
      <c r="AC5" s="23"/>
      <c r="AD5" s="23"/>
      <c r="AE5" s="545"/>
      <c r="AF5" s="23"/>
      <c r="AG5" s="23"/>
      <c r="AH5" s="545"/>
      <c r="AI5" s="23"/>
      <c r="AJ5" s="23"/>
      <c r="AK5" s="393"/>
      <c r="AL5" s="23"/>
      <c r="AM5" s="23"/>
      <c r="AN5" s="545"/>
      <c r="AO5" s="23"/>
      <c r="AP5" s="23"/>
      <c r="AQ5" s="545"/>
      <c r="AR5" s="23"/>
      <c r="AS5" s="23"/>
      <c r="AT5" s="545"/>
      <c r="AU5" s="326"/>
      <c r="AV5" s="326"/>
      <c r="AW5" s="545"/>
      <c r="AX5" s="24"/>
      <c r="AY5" s="24"/>
      <c r="AZ5" s="23"/>
      <c r="BA5" s="23"/>
      <c r="BB5" s="23"/>
      <c r="BC5" s="23"/>
      <c r="BD5" s="110"/>
    </row>
    <row r="6" spans="1:56" x14ac:dyDescent="0.25">
      <c r="A6" s="351" t="s">
        <v>1536</v>
      </c>
      <c r="B6" s="514"/>
      <c r="C6" s="23"/>
      <c r="D6" s="23"/>
      <c r="E6" s="185"/>
      <c r="F6" s="23"/>
      <c r="G6" s="23"/>
      <c r="H6" s="23"/>
      <c r="I6" s="23"/>
      <c r="J6" s="476"/>
      <c r="K6" s="477"/>
      <c r="L6" s="476"/>
      <c r="M6" s="476"/>
      <c r="N6" s="476"/>
      <c r="O6" s="23"/>
      <c r="P6" s="23"/>
      <c r="Q6" s="23"/>
      <c r="R6" s="23"/>
      <c r="S6" s="393"/>
      <c r="T6" s="23"/>
      <c r="U6" s="23"/>
      <c r="V6" s="545"/>
      <c r="W6" s="23"/>
      <c r="X6" s="23"/>
      <c r="Y6" s="545"/>
      <c r="Z6" s="23"/>
      <c r="AA6" s="23"/>
      <c r="AB6" s="545"/>
      <c r="AC6" s="23"/>
      <c r="AD6" s="23"/>
      <c r="AE6" s="545"/>
      <c r="AF6" s="23"/>
      <c r="AG6" s="23"/>
      <c r="AH6" s="545"/>
      <c r="AI6" s="23"/>
      <c r="AJ6" s="23"/>
      <c r="AK6" s="393"/>
      <c r="AL6" s="23"/>
      <c r="AM6" s="23"/>
      <c r="AN6" s="545"/>
      <c r="AO6" s="23"/>
      <c r="AP6" s="23"/>
      <c r="AQ6" s="545"/>
      <c r="AR6" s="23"/>
      <c r="AS6" s="23"/>
      <c r="AT6" s="545"/>
      <c r="AU6" s="330"/>
      <c r="AV6" s="330"/>
      <c r="AW6" s="545"/>
      <c r="AX6" s="24"/>
      <c r="AY6" s="24"/>
      <c r="AZ6" s="23"/>
      <c r="BA6" s="23"/>
      <c r="BB6" s="23"/>
      <c r="BC6" s="23"/>
      <c r="BD6" s="110"/>
    </row>
    <row r="7" spans="1:56" x14ac:dyDescent="0.25">
      <c r="A7" s="362"/>
      <c r="B7" s="512"/>
      <c r="C7" s="369"/>
      <c r="D7" s="339"/>
      <c r="E7" s="185"/>
      <c r="F7" s="23"/>
      <c r="G7" s="23"/>
      <c r="H7" s="23"/>
      <c r="I7" s="23"/>
      <c r="J7" s="476"/>
      <c r="K7" s="477"/>
      <c r="L7" s="476"/>
      <c r="M7" s="476"/>
      <c r="N7" s="476"/>
      <c r="O7" s="23"/>
      <c r="P7" s="23"/>
      <c r="Q7" s="23"/>
      <c r="R7" s="23"/>
      <c r="S7" s="393"/>
      <c r="T7" s="23"/>
      <c r="U7" s="23"/>
      <c r="V7" s="545"/>
      <c r="W7" s="23"/>
      <c r="X7" s="23"/>
      <c r="Y7" s="545"/>
      <c r="Z7" s="23"/>
      <c r="AA7" s="23"/>
      <c r="AB7" s="545"/>
      <c r="AC7" s="23"/>
      <c r="AD7" s="23"/>
      <c r="AE7" s="545"/>
      <c r="AF7" s="23"/>
      <c r="AG7" s="23"/>
      <c r="AH7" s="545"/>
      <c r="AI7" s="23"/>
      <c r="AJ7" s="23"/>
      <c r="AK7" s="393"/>
      <c r="AL7" s="23"/>
      <c r="AM7" s="23"/>
      <c r="AN7" s="545"/>
      <c r="AO7" s="23"/>
      <c r="AP7" s="23"/>
      <c r="AQ7" s="545"/>
      <c r="AR7" s="23"/>
      <c r="AS7" s="23"/>
      <c r="AT7" s="545"/>
      <c r="AU7" s="330"/>
      <c r="AV7" s="330"/>
      <c r="AW7" s="545"/>
      <c r="AX7" s="24"/>
      <c r="AY7" s="24"/>
      <c r="AZ7" s="23"/>
      <c r="BA7" s="23"/>
      <c r="BB7" s="23"/>
      <c r="BC7" s="23"/>
      <c r="BD7" s="110"/>
    </row>
    <row r="8" spans="1:56" x14ac:dyDescent="0.25">
      <c r="A8" s="483" t="s">
        <v>1453</v>
      </c>
      <c r="B8" s="369" t="s">
        <v>875</v>
      </c>
      <c r="C8" s="498" t="s">
        <v>65</v>
      </c>
      <c r="D8" s="339" t="s">
        <v>1160</v>
      </c>
      <c r="E8" s="499" t="s">
        <v>296</v>
      </c>
      <c r="F8" s="340">
        <v>60</v>
      </c>
      <c r="G8" s="340" t="s">
        <v>183</v>
      </c>
      <c r="H8" s="326" t="s">
        <v>35</v>
      </c>
      <c r="I8" s="327"/>
      <c r="J8" s="550"/>
      <c r="K8" s="551"/>
      <c r="L8" s="550"/>
      <c r="M8" s="550"/>
      <c r="N8" s="550"/>
      <c r="O8" s="442" t="s">
        <v>1611</v>
      </c>
      <c r="P8" s="442" t="s">
        <v>1612</v>
      </c>
      <c r="Q8" s="442" t="s">
        <v>1573</v>
      </c>
      <c r="R8" s="534" t="s">
        <v>1519</v>
      </c>
      <c r="S8" s="389" t="s">
        <v>1759</v>
      </c>
      <c r="T8" s="330"/>
      <c r="U8" s="330"/>
      <c r="V8" s="545"/>
      <c r="W8" s="330"/>
      <c r="X8" s="330"/>
      <c r="Y8" s="545"/>
      <c r="Z8" s="330"/>
      <c r="AA8" s="330"/>
      <c r="AB8" s="545"/>
      <c r="AC8" s="330"/>
      <c r="AD8" s="330"/>
      <c r="AE8" s="545"/>
      <c r="AF8" s="330"/>
      <c r="AG8" s="330"/>
      <c r="AH8" s="545"/>
      <c r="AI8" s="354" t="s">
        <v>1758</v>
      </c>
      <c r="AJ8" s="395" t="s">
        <v>1584</v>
      </c>
      <c r="AK8" s="389" t="s">
        <v>1771</v>
      </c>
      <c r="AL8" s="330"/>
      <c r="AM8" s="330"/>
      <c r="AN8" s="545"/>
      <c r="AO8" s="330"/>
      <c r="AP8" s="330"/>
      <c r="AQ8" s="545"/>
      <c r="AR8" s="330"/>
      <c r="AS8" s="330"/>
      <c r="AT8" s="545"/>
      <c r="AU8" s="354" t="s">
        <v>1575</v>
      </c>
      <c r="AV8" s="395" t="s">
        <v>1682</v>
      </c>
      <c r="AW8" s="545"/>
      <c r="AX8" s="28" t="s">
        <v>1754</v>
      </c>
      <c r="AY8" s="330" t="s">
        <v>1608</v>
      </c>
      <c r="AZ8" s="442" t="s">
        <v>1635</v>
      </c>
      <c r="BA8" s="24"/>
      <c r="BB8" s="330"/>
      <c r="BC8" s="330"/>
      <c r="BD8" s="158"/>
    </row>
    <row r="9" spans="1:56" x14ac:dyDescent="0.25">
      <c r="A9" s="483" t="s">
        <v>1454</v>
      </c>
      <c r="B9" s="482" t="s">
        <v>1030</v>
      </c>
      <c r="C9" s="500" t="s">
        <v>62</v>
      </c>
      <c r="D9" s="339" t="s">
        <v>1160</v>
      </c>
      <c r="E9" s="501" t="s">
        <v>292</v>
      </c>
      <c r="F9" s="351">
        <v>46</v>
      </c>
      <c r="G9" s="351" t="s">
        <v>183</v>
      </c>
      <c r="H9" s="330" t="s">
        <v>35</v>
      </c>
      <c r="I9" s="332"/>
      <c r="J9" s="552"/>
      <c r="K9" s="553"/>
      <c r="L9" s="552"/>
      <c r="M9" s="552"/>
      <c r="N9" s="552"/>
      <c r="O9" s="442" t="s">
        <v>1613</v>
      </c>
      <c r="P9" s="442" t="s">
        <v>1614</v>
      </c>
      <c r="Q9" s="354" t="s">
        <v>1574</v>
      </c>
      <c r="R9" s="442" t="s">
        <v>1019</v>
      </c>
      <c r="S9" s="389" t="s">
        <v>1704</v>
      </c>
      <c r="T9" s="330"/>
      <c r="U9" s="330"/>
      <c r="V9" s="545"/>
      <c r="W9" s="330"/>
      <c r="X9" s="330"/>
      <c r="Y9" s="545"/>
      <c r="Z9" s="330"/>
      <c r="AA9" s="330"/>
      <c r="AB9" s="545"/>
      <c r="AC9" s="354" t="s">
        <v>1727</v>
      </c>
      <c r="AD9" s="395" t="s">
        <v>1403</v>
      </c>
      <c r="AE9" s="545"/>
      <c r="AF9" s="330"/>
      <c r="AG9" s="330"/>
      <c r="AH9" s="545"/>
      <c r="AI9" s="330"/>
      <c r="AJ9" s="330"/>
      <c r="AK9" s="389" t="s">
        <v>1773</v>
      </c>
      <c r="AL9" s="330"/>
      <c r="AM9" s="330"/>
      <c r="AN9" s="545"/>
      <c r="AO9" s="330"/>
      <c r="AP9" s="330"/>
      <c r="AQ9" s="545"/>
      <c r="AR9" s="330"/>
      <c r="AS9" s="330"/>
      <c r="AT9" s="545"/>
      <c r="AU9" s="354" t="s">
        <v>1727</v>
      </c>
      <c r="AV9" s="395" t="s">
        <v>1403</v>
      </c>
      <c r="AW9" s="545"/>
      <c r="AX9" s="28" t="s">
        <v>1754</v>
      </c>
      <c r="AY9" s="330" t="s">
        <v>1576</v>
      </c>
      <c r="AZ9" s="345" t="s">
        <v>1642</v>
      </c>
      <c r="BA9" s="23"/>
      <c r="BB9" s="330"/>
      <c r="BC9" s="330"/>
      <c r="BD9" s="110"/>
    </row>
    <row r="10" spans="1:56" x14ac:dyDescent="0.25">
      <c r="A10" s="483" t="s">
        <v>1455</v>
      </c>
      <c r="B10" s="482" t="s">
        <v>862</v>
      </c>
      <c r="C10" s="500" t="s">
        <v>63</v>
      </c>
      <c r="D10" s="339" t="s">
        <v>1160</v>
      </c>
      <c r="E10" s="507" t="s">
        <v>1362</v>
      </c>
      <c r="F10" s="351">
        <v>51</v>
      </c>
      <c r="G10" s="351" t="s">
        <v>183</v>
      </c>
      <c r="H10" s="330" t="s">
        <v>35</v>
      </c>
      <c r="I10" s="332"/>
      <c r="J10" s="552"/>
      <c r="K10" s="553"/>
      <c r="L10" s="552"/>
      <c r="M10" s="552"/>
      <c r="N10" s="552"/>
      <c r="O10" s="354" t="s">
        <v>1662</v>
      </c>
      <c r="P10" s="354" t="s">
        <v>1663</v>
      </c>
      <c r="Q10" s="354" t="s">
        <v>930</v>
      </c>
      <c r="R10" s="354" t="s">
        <v>1019</v>
      </c>
      <c r="S10" s="394" t="s">
        <v>1052</v>
      </c>
      <c r="T10" s="330"/>
      <c r="U10" s="330"/>
      <c r="V10" s="545"/>
      <c r="W10" s="330"/>
      <c r="X10" s="330"/>
      <c r="Y10" s="545"/>
      <c r="Z10" s="330"/>
      <c r="AA10" s="330"/>
      <c r="AB10" s="545"/>
      <c r="AC10" s="330"/>
      <c r="AD10" s="330"/>
      <c r="AE10" s="545"/>
      <c r="AF10" s="330"/>
      <c r="AG10" s="330"/>
      <c r="AH10" s="545"/>
      <c r="AI10" s="442" t="s">
        <v>1757</v>
      </c>
      <c r="AJ10" s="395" t="s">
        <v>1761</v>
      </c>
      <c r="AK10" s="389" t="s">
        <v>1582</v>
      </c>
      <c r="AL10" s="330"/>
      <c r="AM10" s="330"/>
      <c r="AN10" s="545"/>
      <c r="AO10" s="330"/>
      <c r="AP10" s="330"/>
      <c r="AQ10" s="545"/>
      <c r="AR10" s="330"/>
      <c r="AS10" s="330"/>
      <c r="AT10" s="545"/>
      <c r="AU10" s="354" t="s">
        <v>1645</v>
      </c>
      <c r="AV10" s="395" t="s">
        <v>1645</v>
      </c>
      <c r="AW10" s="545"/>
      <c r="AX10" s="28" t="s">
        <v>1754</v>
      </c>
      <c r="AY10" s="330" t="s">
        <v>1576</v>
      </c>
      <c r="AZ10" s="345" t="s">
        <v>1588</v>
      </c>
      <c r="BA10" s="24"/>
      <c r="BB10" s="332"/>
      <c r="BC10" s="330"/>
      <c r="BD10" s="24"/>
    </row>
    <row r="11" spans="1:56" x14ac:dyDescent="0.25">
      <c r="A11" s="483" t="s">
        <v>1456</v>
      </c>
      <c r="B11" s="369" t="s">
        <v>1451</v>
      </c>
      <c r="C11" s="498" t="s">
        <v>63</v>
      </c>
      <c r="D11" s="339" t="s">
        <v>1160</v>
      </c>
      <c r="E11" s="499" t="s">
        <v>348</v>
      </c>
      <c r="F11" s="340">
        <v>49</v>
      </c>
      <c r="G11" s="340" t="s">
        <v>183</v>
      </c>
      <c r="H11" s="326" t="s">
        <v>35</v>
      </c>
      <c r="I11" s="327"/>
      <c r="J11" s="550"/>
      <c r="K11" s="551"/>
      <c r="L11" s="550"/>
      <c r="M11" s="550"/>
      <c r="N11" s="550"/>
      <c r="O11" s="442" t="s">
        <v>1561</v>
      </c>
      <c r="P11" s="442" t="s">
        <v>1562</v>
      </c>
      <c r="Q11" s="354" t="s">
        <v>1703</v>
      </c>
      <c r="R11" s="442" t="s">
        <v>1019</v>
      </c>
      <c r="S11" s="394" t="s">
        <v>1705</v>
      </c>
      <c r="T11" s="354"/>
      <c r="U11" s="330"/>
      <c r="V11" s="545"/>
      <c r="W11" s="330"/>
      <c r="X11" s="330"/>
      <c r="Y11" s="545"/>
      <c r="Z11" s="330"/>
      <c r="AA11" s="330"/>
      <c r="AB11" s="545"/>
      <c r="AC11" s="330"/>
      <c r="AD11" s="330"/>
      <c r="AE11" s="545"/>
      <c r="AF11" s="354" t="s">
        <v>1757</v>
      </c>
      <c r="AG11" s="395" t="s">
        <v>1734</v>
      </c>
      <c r="AH11" s="545"/>
      <c r="AI11" s="23"/>
      <c r="AJ11" s="23"/>
      <c r="AK11" s="389" t="s">
        <v>1772</v>
      </c>
      <c r="AL11" s="330"/>
      <c r="AM11" s="330"/>
      <c r="AN11" s="545"/>
      <c r="AO11" s="330"/>
      <c r="AP11" s="330"/>
      <c r="AQ11" s="545"/>
      <c r="AR11" s="330"/>
      <c r="AS11" s="330"/>
      <c r="AT11" s="545"/>
      <c r="AU11" s="354" t="s">
        <v>1757</v>
      </c>
      <c r="AV11" s="395" t="s">
        <v>1761</v>
      </c>
      <c r="AW11" s="545"/>
      <c r="AX11" s="28" t="s">
        <v>1754</v>
      </c>
      <c r="AY11" s="330" t="s">
        <v>1576</v>
      </c>
      <c r="AZ11" s="178"/>
      <c r="BA11" s="24"/>
      <c r="BB11" s="330"/>
      <c r="BC11" s="330"/>
      <c r="BD11" s="110"/>
    </row>
    <row r="12" spans="1:56" x14ac:dyDescent="0.25">
      <c r="A12" s="483" t="s">
        <v>1457</v>
      </c>
      <c r="B12" s="482" t="s">
        <v>890</v>
      </c>
      <c r="C12" s="500" t="s">
        <v>70</v>
      </c>
      <c r="D12" s="339" t="s">
        <v>1160</v>
      </c>
      <c r="E12" s="501" t="s">
        <v>272</v>
      </c>
      <c r="F12" s="351">
        <v>52</v>
      </c>
      <c r="G12" s="351" t="s">
        <v>183</v>
      </c>
      <c r="H12" s="330" t="s">
        <v>35</v>
      </c>
      <c r="I12" s="332"/>
      <c r="J12" s="552"/>
      <c r="K12" s="553"/>
      <c r="L12" s="552"/>
      <c r="M12" s="552"/>
      <c r="N12" s="552"/>
      <c r="O12" s="355" t="s">
        <v>1552</v>
      </c>
      <c r="P12" s="354" t="s">
        <v>1553</v>
      </c>
      <c r="Q12" s="442" t="s">
        <v>1677</v>
      </c>
      <c r="R12" s="534" t="s">
        <v>1538</v>
      </c>
      <c r="S12" s="394" t="s">
        <v>1678</v>
      </c>
      <c r="T12" s="24"/>
      <c r="U12" s="330"/>
      <c r="V12" s="545"/>
      <c r="W12" s="330"/>
      <c r="X12" s="330"/>
      <c r="Y12" s="545"/>
      <c r="Z12" s="330"/>
      <c r="AA12" s="330"/>
      <c r="AB12" s="545"/>
      <c r="AC12" s="330"/>
      <c r="AD12" s="330"/>
      <c r="AE12" s="545"/>
      <c r="AF12" s="330"/>
      <c r="AG12" s="330"/>
      <c r="AH12" s="545"/>
      <c r="AI12" s="442" t="s">
        <v>1097</v>
      </c>
      <c r="AJ12" s="395" t="s">
        <v>1715</v>
      </c>
      <c r="AK12" s="389"/>
      <c r="AL12" s="330"/>
      <c r="AM12" s="330"/>
      <c r="AN12" s="545"/>
      <c r="AO12" s="330"/>
      <c r="AP12" s="330"/>
      <c r="AQ12" s="545"/>
      <c r="AR12" s="330"/>
      <c r="AS12" s="330"/>
      <c r="AT12" s="545"/>
      <c r="AU12" s="442" t="s">
        <v>1537</v>
      </c>
      <c r="AV12" s="395" t="s">
        <v>1760</v>
      </c>
      <c r="AW12" s="545"/>
      <c r="AX12" s="28" t="s">
        <v>1754</v>
      </c>
      <c r="AY12" s="330" t="s">
        <v>1575</v>
      </c>
      <c r="AZ12" s="178"/>
      <c r="BA12" s="24"/>
      <c r="BB12" s="330"/>
      <c r="BC12" s="330"/>
      <c r="BD12" s="24"/>
    </row>
    <row r="13" spans="1:56" x14ac:dyDescent="0.25">
      <c r="A13" s="483" t="s">
        <v>1458</v>
      </c>
      <c r="B13" s="482" t="s">
        <v>830</v>
      </c>
      <c r="C13" s="482" t="s">
        <v>791</v>
      </c>
      <c r="D13" s="339" t="s">
        <v>1160</v>
      </c>
      <c r="E13" s="501" t="s">
        <v>1380</v>
      </c>
      <c r="F13" s="340">
        <v>53</v>
      </c>
      <c r="G13" s="340" t="s">
        <v>183</v>
      </c>
      <c r="H13" s="326" t="s">
        <v>35</v>
      </c>
      <c r="I13" s="327"/>
      <c r="J13" s="550"/>
      <c r="K13" s="551"/>
      <c r="L13" s="550"/>
      <c r="M13" s="550"/>
      <c r="N13" s="550"/>
      <c r="O13" s="442" t="s">
        <v>1659</v>
      </c>
      <c r="P13" s="442" t="s">
        <v>1660</v>
      </c>
      <c r="Q13" s="354" t="s">
        <v>1745</v>
      </c>
      <c r="R13" s="442" t="s">
        <v>1019</v>
      </c>
      <c r="S13" s="389" t="s">
        <v>1746</v>
      </c>
      <c r="T13" s="442" t="s">
        <v>1723</v>
      </c>
      <c r="U13" s="395" t="s">
        <v>1560</v>
      </c>
      <c r="V13" s="545" t="s">
        <v>1783</v>
      </c>
      <c r="W13" s="327"/>
      <c r="X13" s="327"/>
      <c r="Y13" s="545"/>
      <c r="Z13" s="327"/>
      <c r="AA13" s="327"/>
      <c r="AB13" s="545"/>
      <c r="AC13" s="332"/>
      <c r="AD13" s="326"/>
      <c r="AE13" s="545"/>
      <c r="AF13" s="327"/>
      <c r="AG13" s="326"/>
      <c r="AH13" s="545"/>
      <c r="AI13" s="327"/>
      <c r="AJ13" s="326"/>
      <c r="AK13" s="390"/>
      <c r="AL13" s="327"/>
      <c r="AM13" s="327"/>
      <c r="AN13" s="545"/>
      <c r="AO13" s="327"/>
      <c r="AP13" s="327"/>
      <c r="AQ13" s="545"/>
      <c r="AR13" s="330"/>
      <c r="AS13" s="331"/>
      <c r="AT13" s="545"/>
      <c r="AU13" s="354" t="s">
        <v>1723</v>
      </c>
      <c r="AV13" s="395" t="s">
        <v>1560</v>
      </c>
      <c r="AW13" s="545"/>
      <c r="AX13" s="28" t="s">
        <v>1754</v>
      </c>
      <c r="AY13" s="330"/>
      <c r="AZ13" s="442" t="s">
        <v>725</v>
      </c>
      <c r="BA13" s="24"/>
      <c r="BB13" s="330"/>
      <c r="BC13" s="330"/>
      <c r="BD13" s="110"/>
    </row>
    <row r="14" spans="1:56" x14ac:dyDescent="0.25">
      <c r="A14" s="483" t="s">
        <v>1459</v>
      </c>
      <c r="B14" s="369" t="s">
        <v>1341</v>
      </c>
      <c r="C14" s="369" t="s">
        <v>73</v>
      </c>
      <c r="D14" s="339" t="s">
        <v>1160</v>
      </c>
      <c r="E14" s="499" t="s">
        <v>1354</v>
      </c>
      <c r="F14" s="340">
        <v>45</v>
      </c>
      <c r="G14" s="340" t="s">
        <v>183</v>
      </c>
      <c r="H14" s="326" t="s">
        <v>35</v>
      </c>
      <c r="I14" s="23"/>
      <c r="J14" s="476"/>
      <c r="K14" s="477"/>
      <c r="L14" s="476"/>
      <c r="M14" s="476"/>
      <c r="N14" s="476"/>
      <c r="O14" s="442" t="s">
        <v>1452</v>
      </c>
      <c r="P14" s="442" t="s">
        <v>1539</v>
      </c>
      <c r="Q14" s="495" t="s">
        <v>1574</v>
      </c>
      <c r="R14" s="442" t="s">
        <v>1019</v>
      </c>
      <c r="S14" s="389" t="s">
        <v>1704</v>
      </c>
      <c r="T14" s="23"/>
      <c r="U14" s="23"/>
      <c r="V14" s="545"/>
      <c r="W14" s="23"/>
      <c r="X14" s="23"/>
      <c r="Y14" s="545"/>
      <c r="Z14" s="23"/>
      <c r="AA14" s="23"/>
      <c r="AB14" s="545"/>
      <c r="AC14" s="23"/>
      <c r="AD14" s="23"/>
      <c r="AE14" s="545"/>
      <c r="AF14" s="354" t="s">
        <v>1757</v>
      </c>
      <c r="AG14" s="395" t="s">
        <v>1761</v>
      </c>
      <c r="AH14" s="545"/>
      <c r="AI14" s="23"/>
      <c r="AJ14" s="23"/>
      <c r="AK14" s="393"/>
      <c r="AL14" s="23"/>
      <c r="AM14" s="23"/>
      <c r="AN14" s="545"/>
      <c r="AO14" s="23"/>
      <c r="AP14" s="23"/>
      <c r="AQ14" s="545"/>
      <c r="AR14" s="23"/>
      <c r="AS14" s="23"/>
      <c r="AT14" s="545"/>
      <c r="AU14" s="354" t="s">
        <v>1757</v>
      </c>
      <c r="AV14" s="395" t="s">
        <v>1761</v>
      </c>
      <c r="AW14" s="545"/>
      <c r="AX14" s="28" t="s">
        <v>1754</v>
      </c>
      <c r="AY14" s="330"/>
      <c r="AZ14" s="178"/>
      <c r="BA14" s="23"/>
      <c r="BB14" s="351"/>
      <c r="BC14" s="24"/>
      <c r="BD14" s="110"/>
    </row>
    <row r="15" spans="1:56" x14ac:dyDescent="0.25">
      <c r="A15" s="483" t="s">
        <v>1460</v>
      </c>
      <c r="B15" s="369" t="s">
        <v>842</v>
      </c>
      <c r="C15" s="498" t="s">
        <v>74</v>
      </c>
      <c r="D15" s="339" t="s">
        <v>1160</v>
      </c>
      <c r="E15" s="499" t="s">
        <v>329</v>
      </c>
      <c r="F15" s="340">
        <v>52</v>
      </c>
      <c r="G15" s="340" t="s">
        <v>183</v>
      </c>
      <c r="H15" s="326" t="s">
        <v>35</v>
      </c>
      <c r="I15" s="327"/>
      <c r="J15" s="550"/>
      <c r="K15" s="551"/>
      <c r="L15" s="550"/>
      <c r="M15" s="550"/>
      <c r="N15" s="550"/>
      <c r="O15" s="442" t="s">
        <v>1637</v>
      </c>
      <c r="P15" s="442" t="s">
        <v>1610</v>
      </c>
      <c r="Q15" s="354" t="s">
        <v>1574</v>
      </c>
      <c r="R15" s="442" t="s">
        <v>1019</v>
      </c>
      <c r="S15" s="389" t="s">
        <v>1704</v>
      </c>
      <c r="T15" s="442" t="s">
        <v>1573</v>
      </c>
      <c r="U15" s="395" t="s">
        <v>1563</v>
      </c>
      <c r="V15" s="545" t="s">
        <v>1782</v>
      </c>
      <c r="W15" s="330"/>
      <c r="X15" s="330"/>
      <c r="Y15" s="545"/>
      <c r="Z15" s="330"/>
      <c r="AA15" s="330"/>
      <c r="AB15" s="545"/>
      <c r="AC15" s="330"/>
      <c r="AD15" s="330"/>
      <c r="AE15" s="545"/>
      <c r="AF15" s="330"/>
      <c r="AG15" s="330"/>
      <c r="AH15" s="545"/>
      <c r="AI15" s="354" t="s">
        <v>1651</v>
      </c>
      <c r="AJ15" s="395" t="s">
        <v>1652</v>
      </c>
      <c r="AK15" s="389"/>
      <c r="AL15" s="330"/>
      <c r="AM15" s="330"/>
      <c r="AN15" s="545"/>
      <c r="AO15" s="330"/>
      <c r="AP15" s="330"/>
      <c r="AQ15" s="545"/>
      <c r="AR15" s="330"/>
      <c r="AS15" s="330"/>
      <c r="AT15" s="545"/>
      <c r="AU15" s="354" t="s">
        <v>1575</v>
      </c>
      <c r="AV15" s="395" t="s">
        <v>1581</v>
      </c>
      <c r="AW15" s="545"/>
      <c r="AX15" s="28" t="s">
        <v>1754</v>
      </c>
      <c r="AY15" s="330" t="s">
        <v>1575</v>
      </c>
      <c r="AZ15" s="345" t="s">
        <v>1644</v>
      </c>
      <c r="BA15" s="24"/>
      <c r="BB15" s="330"/>
      <c r="BC15" s="330"/>
      <c r="BD15" s="110"/>
    </row>
    <row r="16" spans="1:56" x14ac:dyDescent="0.25">
      <c r="A16" s="483" t="s">
        <v>1461</v>
      </c>
      <c r="B16" s="482" t="s">
        <v>1029</v>
      </c>
      <c r="C16" s="500" t="s">
        <v>1048</v>
      </c>
      <c r="D16" s="339" t="s">
        <v>1160</v>
      </c>
      <c r="E16" s="501" t="s">
        <v>343</v>
      </c>
      <c r="F16" s="351">
        <v>41</v>
      </c>
      <c r="G16" s="351" t="s">
        <v>183</v>
      </c>
      <c r="H16" s="330" t="s">
        <v>35</v>
      </c>
      <c r="I16" s="332"/>
      <c r="J16" s="552"/>
      <c r="K16" s="553"/>
      <c r="L16" s="552"/>
      <c r="M16" s="552"/>
      <c r="N16" s="552"/>
      <c r="O16" s="442" t="s">
        <v>1452</v>
      </c>
      <c r="P16" s="442" t="s">
        <v>1482</v>
      </c>
      <c r="Q16" s="354" t="s">
        <v>1574</v>
      </c>
      <c r="R16" s="442" t="s">
        <v>1019</v>
      </c>
      <c r="S16" s="389" t="s">
        <v>1704</v>
      </c>
      <c r="T16" s="330"/>
      <c r="U16" s="330"/>
      <c r="V16" s="545"/>
      <c r="W16" s="330"/>
      <c r="X16" s="330"/>
      <c r="Y16" s="545"/>
      <c r="Z16" s="330"/>
      <c r="AA16" s="330"/>
      <c r="AB16" s="545"/>
      <c r="AC16" s="330"/>
      <c r="AD16" s="330"/>
      <c r="AE16" s="545"/>
      <c r="AF16" s="442" t="s">
        <v>1726</v>
      </c>
      <c r="AG16" s="395" t="s">
        <v>1105</v>
      </c>
      <c r="AH16" s="545"/>
      <c r="AI16" s="23"/>
      <c r="AJ16" s="23"/>
      <c r="AK16" s="389"/>
      <c r="AL16" s="330"/>
      <c r="AM16" s="330"/>
      <c r="AN16" s="545"/>
      <c r="AO16" s="330"/>
      <c r="AP16" s="330"/>
      <c r="AQ16" s="545"/>
      <c r="AR16" s="330"/>
      <c r="AS16" s="330"/>
      <c r="AT16" s="545"/>
      <c r="AU16" s="354" t="s">
        <v>1726</v>
      </c>
      <c r="AV16" s="395" t="s">
        <v>1105</v>
      </c>
      <c r="AW16" s="545"/>
      <c r="AX16" s="28" t="s">
        <v>1754</v>
      </c>
      <c r="AY16" s="330" t="s">
        <v>1575</v>
      </c>
      <c r="AZ16" s="178"/>
      <c r="BA16" s="24"/>
      <c r="BB16" s="330"/>
      <c r="BC16" s="330"/>
      <c r="BD16" s="24"/>
    </row>
    <row r="17" spans="1:56" x14ac:dyDescent="0.25">
      <c r="A17" s="483" t="s">
        <v>1462</v>
      </c>
      <c r="B17" s="482" t="s">
        <v>805</v>
      </c>
      <c r="C17" s="500" t="s">
        <v>76</v>
      </c>
      <c r="D17" s="339" t="s">
        <v>1160</v>
      </c>
      <c r="E17" s="501">
        <v>7909286036087</v>
      </c>
      <c r="F17" s="351">
        <v>46</v>
      </c>
      <c r="G17" s="351" t="s">
        <v>183</v>
      </c>
      <c r="H17" s="330" t="s">
        <v>35</v>
      </c>
      <c r="I17" s="332"/>
      <c r="J17" s="552"/>
      <c r="K17" s="553"/>
      <c r="L17" s="552"/>
      <c r="M17" s="552"/>
      <c r="N17" s="552"/>
      <c r="O17" s="442" t="s">
        <v>1452</v>
      </c>
      <c r="P17" s="442" t="s">
        <v>1661</v>
      </c>
      <c r="Q17" s="354" t="s">
        <v>1665</v>
      </c>
      <c r="R17" s="442" t="s">
        <v>1019</v>
      </c>
      <c r="S17" s="389" t="s">
        <v>1666</v>
      </c>
      <c r="T17" s="354" t="s">
        <v>1726</v>
      </c>
      <c r="U17" s="558" t="s">
        <v>1105</v>
      </c>
      <c r="V17" s="545" t="s">
        <v>1627</v>
      </c>
      <c r="W17" s="330"/>
      <c r="X17" s="330"/>
      <c r="Y17" s="545"/>
      <c r="Z17" s="330"/>
      <c r="AA17" s="330"/>
      <c r="AB17" s="545"/>
      <c r="AC17" s="330"/>
      <c r="AD17" s="330"/>
      <c r="AE17" s="545"/>
      <c r="AF17" s="330"/>
      <c r="AG17" s="330"/>
      <c r="AH17" s="545"/>
      <c r="AI17" s="23"/>
      <c r="AJ17" s="23"/>
      <c r="AK17" s="389"/>
      <c r="AL17" s="330"/>
      <c r="AM17" s="330"/>
      <c r="AN17" s="545"/>
      <c r="AO17" s="330"/>
      <c r="AP17" s="330"/>
      <c r="AQ17" s="545"/>
      <c r="AR17" s="330"/>
      <c r="AS17" s="330"/>
      <c r="AT17" s="545"/>
      <c r="AU17" s="354" t="s">
        <v>1667</v>
      </c>
      <c r="AV17" s="395" t="s">
        <v>1105</v>
      </c>
      <c r="AW17" s="545"/>
      <c r="AX17" s="28" t="s">
        <v>1754</v>
      </c>
      <c r="AY17" s="330" t="s">
        <v>1675</v>
      </c>
      <c r="AZ17" s="345" t="s">
        <v>1646</v>
      </c>
      <c r="BA17" s="24"/>
      <c r="BB17" s="330"/>
      <c r="BC17" s="330"/>
      <c r="BD17" s="24"/>
    </row>
    <row r="18" spans="1:56" x14ac:dyDescent="0.25">
      <c r="A18" s="483" t="s">
        <v>1463</v>
      </c>
      <c r="B18" s="369" t="s">
        <v>207</v>
      </c>
      <c r="C18" s="369" t="s">
        <v>76</v>
      </c>
      <c r="D18" s="339" t="s">
        <v>1160</v>
      </c>
      <c r="E18" s="499" t="s">
        <v>1366</v>
      </c>
      <c r="F18" s="340">
        <v>41</v>
      </c>
      <c r="G18" s="340" t="s">
        <v>183</v>
      </c>
      <c r="H18" s="326" t="s">
        <v>35</v>
      </c>
      <c r="I18" s="340"/>
      <c r="J18" s="554"/>
      <c r="K18" s="555"/>
      <c r="L18" s="554"/>
      <c r="M18" s="554"/>
      <c r="N18" s="554"/>
      <c r="O18" s="442" t="s">
        <v>1692</v>
      </c>
      <c r="P18" s="442" t="s">
        <v>1762</v>
      </c>
      <c r="Q18" s="354" t="s">
        <v>930</v>
      </c>
      <c r="R18" s="442" t="s">
        <v>1019</v>
      </c>
      <c r="S18" s="389" t="s">
        <v>1052</v>
      </c>
      <c r="T18" s="340"/>
      <c r="U18" s="340"/>
      <c r="V18" s="545"/>
      <c r="W18" s="340"/>
      <c r="X18" s="340"/>
      <c r="Y18" s="545"/>
      <c r="Z18" s="340"/>
      <c r="AA18" s="340"/>
      <c r="AB18" s="545"/>
      <c r="AC18" s="340"/>
      <c r="AD18" s="340"/>
      <c r="AE18" s="545"/>
      <c r="AF18" s="354" t="s">
        <v>1097</v>
      </c>
      <c r="AG18" s="395" t="s">
        <v>1715</v>
      </c>
      <c r="AH18" s="545"/>
      <c r="AI18" s="330"/>
      <c r="AJ18" s="330"/>
      <c r="AK18" s="393"/>
      <c r="AL18" s="23"/>
      <c r="AM18" s="23"/>
      <c r="AN18" s="545"/>
      <c r="AO18" s="340"/>
      <c r="AP18" s="340"/>
      <c r="AQ18" s="545"/>
      <c r="AR18" s="23"/>
      <c r="AS18" s="23"/>
      <c r="AT18" s="545"/>
      <c r="AU18" s="354" t="s">
        <v>1097</v>
      </c>
      <c r="AV18" s="395" t="s">
        <v>1715</v>
      </c>
      <c r="AW18" s="545"/>
      <c r="AX18" s="28" t="s">
        <v>1754</v>
      </c>
      <c r="AY18" s="330"/>
      <c r="AZ18" s="178"/>
      <c r="BA18" s="23"/>
      <c r="BB18" s="351"/>
      <c r="BC18" s="330"/>
      <c r="BD18" s="110"/>
    </row>
    <row r="19" spans="1:56" x14ac:dyDescent="0.25">
      <c r="A19" s="483" t="s">
        <v>1464</v>
      </c>
      <c r="B19" s="369" t="s">
        <v>1444</v>
      </c>
      <c r="C19" s="369" t="s">
        <v>76</v>
      </c>
      <c r="D19" s="339" t="s">
        <v>1160</v>
      </c>
      <c r="E19" s="499" t="s">
        <v>1445</v>
      </c>
      <c r="F19" s="340">
        <v>37</v>
      </c>
      <c r="G19" s="340" t="s">
        <v>183</v>
      </c>
      <c r="H19" s="326" t="s">
        <v>35</v>
      </c>
      <c r="I19" s="23"/>
      <c r="J19" s="476"/>
      <c r="K19" s="477"/>
      <c r="L19" s="476"/>
      <c r="M19" s="476"/>
      <c r="N19" s="476"/>
      <c r="O19" s="442" t="s">
        <v>1735</v>
      </c>
      <c r="P19" s="442" t="s">
        <v>1736</v>
      </c>
      <c r="Q19" s="354" t="s">
        <v>1689</v>
      </c>
      <c r="R19" s="442" t="s">
        <v>1019</v>
      </c>
      <c r="S19" s="389" t="s">
        <v>1690</v>
      </c>
      <c r="T19" s="23"/>
      <c r="U19" s="23"/>
      <c r="V19" s="545"/>
      <c r="W19" s="23"/>
      <c r="X19" s="23"/>
      <c r="Y19" s="545"/>
      <c r="Z19" s="330"/>
      <c r="AA19" s="330"/>
      <c r="AB19" s="545"/>
      <c r="AC19" s="23"/>
      <c r="AD19" s="23"/>
      <c r="AE19" s="545"/>
      <c r="AF19" s="442" t="s">
        <v>1737</v>
      </c>
      <c r="AG19" s="395" t="s">
        <v>1738</v>
      </c>
      <c r="AH19" s="545"/>
      <c r="AI19" s="24"/>
      <c r="AJ19" s="38"/>
      <c r="AK19" s="389"/>
      <c r="AL19" s="23"/>
      <c r="AM19" s="23"/>
      <c r="AN19" s="545"/>
      <c r="AO19" s="23"/>
      <c r="AP19" s="23"/>
      <c r="AQ19" s="545"/>
      <c r="AR19" s="23"/>
      <c r="AS19" s="23"/>
      <c r="AT19" s="545"/>
      <c r="AU19" s="354" t="s">
        <v>1576</v>
      </c>
      <c r="AV19" s="395" t="s">
        <v>1580</v>
      </c>
      <c r="AW19" s="545"/>
      <c r="AX19" s="28" t="s">
        <v>1754</v>
      </c>
      <c r="AY19" s="330" t="s">
        <v>1576</v>
      </c>
      <c r="AZ19" s="345" t="s">
        <v>1641</v>
      </c>
      <c r="BA19" s="23"/>
      <c r="BB19" s="24"/>
      <c r="BC19" s="24"/>
      <c r="BD19" s="110"/>
    </row>
    <row r="20" spans="1:56" x14ac:dyDescent="0.25">
      <c r="A20" s="483" t="s">
        <v>1465</v>
      </c>
      <c r="B20" s="482" t="s">
        <v>806</v>
      </c>
      <c r="C20" s="482" t="s">
        <v>79</v>
      </c>
      <c r="D20" s="339" t="s">
        <v>1160</v>
      </c>
      <c r="E20" s="501" t="s">
        <v>334</v>
      </c>
      <c r="F20" s="351">
        <v>52</v>
      </c>
      <c r="G20" s="351" t="s">
        <v>183</v>
      </c>
      <c r="H20" s="330" t="s">
        <v>35</v>
      </c>
      <c r="I20" s="332"/>
      <c r="J20" s="552"/>
      <c r="K20" s="553"/>
      <c r="L20" s="552"/>
      <c r="M20" s="552"/>
      <c r="N20" s="552"/>
      <c r="O20" s="496" t="s">
        <v>1680</v>
      </c>
      <c r="P20" s="442" t="s">
        <v>1681</v>
      </c>
      <c r="Q20" s="354" t="s">
        <v>1668</v>
      </c>
      <c r="R20" s="533" t="s">
        <v>1538</v>
      </c>
      <c r="S20" s="389" t="s">
        <v>1669</v>
      </c>
      <c r="T20" s="330"/>
      <c r="U20" s="330"/>
      <c r="V20" s="545"/>
      <c r="W20" s="330"/>
      <c r="X20" s="330"/>
      <c r="Y20" s="545"/>
      <c r="Z20" s="40"/>
      <c r="AA20" s="38"/>
      <c r="AB20" s="545"/>
      <c r="AC20" s="330"/>
      <c r="AD20" s="330"/>
      <c r="AE20" s="545"/>
      <c r="AF20" s="354" t="s">
        <v>1600</v>
      </c>
      <c r="AG20" s="395" t="s">
        <v>1739</v>
      </c>
      <c r="AH20" s="545"/>
      <c r="AI20" s="330"/>
      <c r="AJ20" s="330"/>
      <c r="AK20" s="389"/>
      <c r="AL20" s="330"/>
      <c r="AM20" s="330"/>
      <c r="AN20" s="545"/>
      <c r="AO20" s="330"/>
      <c r="AP20" s="330"/>
      <c r="AQ20" s="545"/>
      <c r="AR20" s="330"/>
      <c r="AS20" s="330" t="s">
        <v>238</v>
      </c>
      <c r="AT20" s="545"/>
      <c r="AU20" s="442" t="s">
        <v>1600</v>
      </c>
      <c r="AV20" s="395" t="s">
        <v>1739</v>
      </c>
      <c r="AW20" s="545"/>
      <c r="AX20" s="28" t="s">
        <v>1754</v>
      </c>
      <c r="AY20" s="330" t="s">
        <v>1586</v>
      </c>
      <c r="AZ20" s="24"/>
      <c r="BA20" s="24"/>
      <c r="BB20" s="330"/>
      <c r="BC20" s="330"/>
      <c r="BD20" s="24"/>
    </row>
    <row r="21" spans="1:56" ht="24" x14ac:dyDescent="0.25">
      <c r="A21" s="483" t="s">
        <v>1466</v>
      </c>
      <c r="B21" s="482" t="s">
        <v>151</v>
      </c>
      <c r="C21" s="500" t="s">
        <v>78</v>
      </c>
      <c r="D21" s="339" t="s">
        <v>1160</v>
      </c>
      <c r="E21" s="501" t="s">
        <v>386</v>
      </c>
      <c r="F21" s="351">
        <v>53</v>
      </c>
      <c r="G21" s="351" t="s">
        <v>183</v>
      </c>
      <c r="H21" s="330" t="s">
        <v>35</v>
      </c>
      <c r="I21" s="332"/>
      <c r="J21" s="552"/>
      <c r="K21" s="553"/>
      <c r="L21" s="552"/>
      <c r="M21" s="552"/>
      <c r="N21" s="552"/>
      <c r="O21" s="496" t="s">
        <v>1617</v>
      </c>
      <c r="P21" s="496" t="s">
        <v>1618</v>
      </c>
      <c r="Q21" s="357" t="s">
        <v>930</v>
      </c>
      <c r="R21" s="354" t="s">
        <v>1019</v>
      </c>
      <c r="S21" s="546" t="s">
        <v>1052</v>
      </c>
      <c r="T21" s="38"/>
      <c r="U21" s="39"/>
      <c r="V21" s="545"/>
      <c r="W21" s="38"/>
      <c r="X21" s="39"/>
      <c r="Y21" s="545"/>
      <c r="Z21" s="330"/>
      <c r="AA21" s="330"/>
      <c r="AB21" s="545"/>
      <c r="AC21" s="38"/>
      <c r="AD21" s="38"/>
      <c r="AE21" s="545"/>
      <c r="AF21" s="510" t="s">
        <v>1763</v>
      </c>
      <c r="AG21" s="396" t="s">
        <v>1764</v>
      </c>
      <c r="AH21" s="545"/>
      <c r="AI21" s="330"/>
      <c r="AJ21" s="330"/>
      <c r="AK21" s="540"/>
      <c r="AL21" s="38"/>
      <c r="AM21" s="38"/>
      <c r="AN21" s="545"/>
      <c r="AO21" s="38"/>
      <c r="AP21" s="38"/>
      <c r="AQ21" s="545"/>
      <c r="AR21" s="38"/>
      <c r="AS21" s="38"/>
      <c r="AT21" s="545"/>
      <c r="AU21" s="357" t="s">
        <v>1575</v>
      </c>
      <c r="AV21" s="490" t="s">
        <v>1581</v>
      </c>
      <c r="AW21" s="545"/>
      <c r="AX21" s="28" t="s">
        <v>1754</v>
      </c>
      <c r="AY21" s="330" t="s">
        <v>1575</v>
      </c>
      <c r="AZ21" s="178"/>
      <c r="BA21" s="24"/>
      <c r="BB21" s="38"/>
      <c r="BC21" s="39"/>
      <c r="BD21" s="24"/>
    </row>
    <row r="22" spans="1:56" x14ac:dyDescent="0.25">
      <c r="A22" s="502" t="s">
        <v>1467</v>
      </c>
      <c r="B22" s="369" t="s">
        <v>865</v>
      </c>
      <c r="C22" s="498" t="s">
        <v>78</v>
      </c>
      <c r="D22" s="339" t="s">
        <v>1160</v>
      </c>
      <c r="E22" s="499" t="s">
        <v>333</v>
      </c>
      <c r="F22" s="340">
        <v>53</v>
      </c>
      <c r="G22" s="340" t="s">
        <v>183</v>
      </c>
      <c r="H22" s="326" t="s">
        <v>35</v>
      </c>
      <c r="I22" s="327"/>
      <c r="J22" s="550"/>
      <c r="K22" s="551"/>
      <c r="L22" s="550"/>
      <c r="M22" s="550"/>
      <c r="N22" s="550"/>
      <c r="O22" s="442" t="s">
        <v>1664</v>
      </c>
      <c r="P22" s="442" t="s">
        <v>1628</v>
      </c>
      <c r="Q22" s="354" t="s">
        <v>1747</v>
      </c>
      <c r="R22" s="442" t="s">
        <v>1019</v>
      </c>
      <c r="S22" s="389" t="s">
        <v>1751</v>
      </c>
      <c r="T22" s="354" t="s">
        <v>1578</v>
      </c>
      <c r="U22" s="395" t="s">
        <v>1579</v>
      </c>
      <c r="V22" s="545"/>
      <c r="W22" s="330"/>
      <c r="X22" s="330"/>
      <c r="Y22" s="545"/>
      <c r="Z22" s="327"/>
      <c r="AA22" s="327"/>
      <c r="AB22" s="545"/>
      <c r="AC22" s="330"/>
      <c r="AD22" s="330"/>
      <c r="AE22" s="545"/>
      <c r="AF22" s="330"/>
      <c r="AG22" s="330"/>
      <c r="AH22" s="545"/>
      <c r="AI22" s="330"/>
      <c r="AJ22" s="330"/>
      <c r="AK22" s="389"/>
      <c r="AL22" s="330"/>
      <c r="AM22" s="330"/>
      <c r="AN22" s="545"/>
      <c r="AO22" s="330"/>
      <c r="AP22" s="330"/>
      <c r="AQ22" s="545"/>
      <c r="AR22" s="330"/>
      <c r="AS22" s="330"/>
      <c r="AT22" s="545"/>
      <c r="AU22" s="442" t="s">
        <v>1763</v>
      </c>
      <c r="AV22" s="395" t="s">
        <v>1764</v>
      </c>
      <c r="AW22" s="545"/>
      <c r="AX22" s="28" t="s">
        <v>1754</v>
      </c>
      <c r="AY22" s="330" t="s">
        <v>1679</v>
      </c>
      <c r="AZ22" s="442" t="s">
        <v>1643</v>
      </c>
      <c r="BA22" s="24"/>
      <c r="BB22" s="330"/>
      <c r="BC22" s="330"/>
      <c r="BD22" s="110"/>
    </row>
    <row r="23" spans="1:56" x14ac:dyDescent="0.25">
      <c r="A23" s="483" t="s">
        <v>1468</v>
      </c>
      <c r="B23" s="369" t="s">
        <v>44</v>
      </c>
      <c r="C23" s="369" t="s">
        <v>82</v>
      </c>
      <c r="D23" s="339" t="s">
        <v>1160</v>
      </c>
      <c r="E23" s="499" t="s">
        <v>338</v>
      </c>
      <c r="F23" s="340">
        <v>44</v>
      </c>
      <c r="G23" s="340" t="s">
        <v>183</v>
      </c>
      <c r="H23" s="326" t="s">
        <v>35</v>
      </c>
      <c r="I23" s="327"/>
      <c r="J23" s="550"/>
      <c r="K23" s="551"/>
      <c r="L23" s="550"/>
      <c r="M23" s="550"/>
      <c r="N23" s="550"/>
      <c r="O23" s="442" t="s">
        <v>1452</v>
      </c>
      <c r="P23" s="442" t="s">
        <v>1619</v>
      </c>
      <c r="Q23" s="354" t="s">
        <v>1703</v>
      </c>
      <c r="R23" s="354" t="s">
        <v>1019</v>
      </c>
      <c r="S23" s="389" t="s">
        <v>1705</v>
      </c>
      <c r="T23" s="442" t="s">
        <v>1620</v>
      </c>
      <c r="U23" s="395" t="s">
        <v>1621</v>
      </c>
      <c r="V23" s="545"/>
      <c r="W23" s="327"/>
      <c r="X23" s="327"/>
      <c r="Y23" s="545"/>
      <c r="Z23" s="327"/>
      <c r="AA23" s="327"/>
      <c r="AB23" s="545"/>
      <c r="AC23" s="327"/>
      <c r="AD23" s="327"/>
      <c r="AE23" s="545"/>
      <c r="AF23" s="354" t="s">
        <v>1732</v>
      </c>
      <c r="AG23" s="395" t="s">
        <v>1733</v>
      </c>
      <c r="AH23" s="545"/>
      <c r="AI23" s="330"/>
      <c r="AJ23" s="330"/>
      <c r="AK23" s="390"/>
      <c r="AL23" s="327"/>
      <c r="AM23" s="327"/>
      <c r="AN23" s="545"/>
      <c r="AO23" s="327"/>
      <c r="AP23" s="327"/>
      <c r="AQ23" s="545"/>
      <c r="AR23" s="327"/>
      <c r="AS23" s="327"/>
      <c r="AT23" s="545"/>
      <c r="AU23" s="442" t="s">
        <v>1723</v>
      </c>
      <c r="AV23" s="395" t="s">
        <v>1560</v>
      </c>
      <c r="AW23" s="545"/>
      <c r="AX23" s="330" t="s">
        <v>1754</v>
      </c>
      <c r="AY23" s="330" t="s">
        <v>1575</v>
      </c>
      <c r="AZ23" s="442" t="s">
        <v>1636</v>
      </c>
      <c r="BA23" s="327"/>
      <c r="BB23" s="330"/>
      <c r="BC23" s="332"/>
      <c r="BD23" s="327"/>
    </row>
    <row r="24" spans="1:56" x14ac:dyDescent="0.25">
      <c r="A24" s="483" t="s">
        <v>1469</v>
      </c>
      <c r="B24" s="369" t="s">
        <v>1156</v>
      </c>
      <c r="C24" s="369" t="s">
        <v>83</v>
      </c>
      <c r="D24" s="339" t="s">
        <v>1160</v>
      </c>
      <c r="E24" s="499" t="s">
        <v>339</v>
      </c>
      <c r="F24" s="340">
        <v>48</v>
      </c>
      <c r="G24" s="340" t="s">
        <v>183</v>
      </c>
      <c r="H24" s="326" t="s">
        <v>35</v>
      </c>
      <c r="I24" s="327"/>
      <c r="J24" s="550"/>
      <c r="K24" s="551"/>
      <c r="L24" s="550"/>
      <c r="M24" s="550"/>
      <c r="N24" s="550"/>
      <c r="O24" s="442" t="s">
        <v>1596</v>
      </c>
      <c r="P24" s="442" t="s">
        <v>1597</v>
      </c>
      <c r="Q24" s="354" t="s">
        <v>893</v>
      </c>
      <c r="R24" s="354" t="s">
        <v>1019</v>
      </c>
      <c r="S24" s="389" t="s">
        <v>1686</v>
      </c>
      <c r="T24" s="442"/>
      <c r="U24" s="395"/>
      <c r="V24" s="545"/>
      <c r="W24" s="442" t="s">
        <v>1590</v>
      </c>
      <c r="X24" s="395" t="s">
        <v>1591</v>
      </c>
      <c r="Y24" s="545"/>
      <c r="Z24" s="442" t="s">
        <v>1713</v>
      </c>
      <c r="AA24" s="395" t="s">
        <v>1714</v>
      </c>
      <c r="AB24" s="545"/>
      <c r="AC24" s="327"/>
      <c r="AD24" s="327"/>
      <c r="AE24" s="545"/>
      <c r="AF24" s="327"/>
      <c r="AG24" s="327"/>
      <c r="AH24" s="545"/>
      <c r="AI24" s="330"/>
      <c r="AJ24" s="330"/>
      <c r="AK24" s="390"/>
      <c r="AL24" s="327"/>
      <c r="AM24" s="327"/>
      <c r="AN24" s="545"/>
      <c r="AO24" s="327"/>
      <c r="AP24" s="327"/>
      <c r="AQ24" s="545"/>
      <c r="AR24" s="327"/>
      <c r="AS24" s="327"/>
      <c r="AT24" s="545"/>
      <c r="AU24" s="442" t="s">
        <v>1765</v>
      </c>
      <c r="AV24" s="395" t="s">
        <v>1714</v>
      </c>
      <c r="AW24" s="545"/>
      <c r="AX24" s="330" t="s">
        <v>1754</v>
      </c>
      <c r="AY24" s="330" t="s">
        <v>1671</v>
      </c>
      <c r="AZ24" s="530"/>
      <c r="BA24" s="327"/>
      <c r="BB24" s="330"/>
      <c r="BC24" s="332"/>
      <c r="BD24" s="327"/>
    </row>
    <row r="25" spans="1:56" x14ac:dyDescent="0.25">
      <c r="A25" s="483" t="s">
        <v>1470</v>
      </c>
      <c r="B25" s="369" t="s">
        <v>1565</v>
      </c>
      <c r="C25" s="369" t="s">
        <v>85</v>
      </c>
      <c r="D25" s="339" t="s">
        <v>1160</v>
      </c>
      <c r="E25" s="499">
        <v>8205225426086</v>
      </c>
      <c r="F25" s="340">
        <v>42</v>
      </c>
      <c r="G25" s="340" t="s">
        <v>183</v>
      </c>
      <c r="H25" s="326" t="s">
        <v>35</v>
      </c>
      <c r="I25" s="327"/>
      <c r="J25" s="550"/>
      <c r="K25" s="551"/>
      <c r="L25" s="550"/>
      <c r="M25" s="550"/>
      <c r="N25" s="550"/>
      <c r="O25" s="442" t="s">
        <v>1532</v>
      </c>
      <c r="P25" s="442" t="s">
        <v>1766</v>
      </c>
      <c r="Q25" s="354" t="s">
        <v>1691</v>
      </c>
      <c r="R25" s="354" t="s">
        <v>1019</v>
      </c>
      <c r="S25" s="547" t="s">
        <v>1692</v>
      </c>
      <c r="T25" s="442" t="s">
        <v>1757</v>
      </c>
      <c r="U25" s="395" t="s">
        <v>1761</v>
      </c>
      <c r="V25" s="545"/>
      <c r="W25" s="442"/>
      <c r="X25" s="395"/>
      <c r="Y25" s="545"/>
      <c r="Z25" s="327"/>
      <c r="AA25" s="327"/>
      <c r="AB25" s="545"/>
      <c r="AC25" s="327"/>
      <c r="AD25" s="327"/>
      <c r="AE25" s="545"/>
      <c r="AF25" s="327"/>
      <c r="AG25" s="327"/>
      <c r="AH25" s="545"/>
      <c r="AI25" s="330"/>
      <c r="AJ25" s="330"/>
      <c r="AK25" s="390"/>
      <c r="AL25" s="327"/>
      <c r="AM25" s="327"/>
      <c r="AN25" s="545"/>
      <c r="AO25" s="327"/>
      <c r="AP25" s="327"/>
      <c r="AQ25" s="545"/>
      <c r="AR25" s="327"/>
      <c r="AS25" s="327"/>
      <c r="AT25" s="545"/>
      <c r="AU25" s="442" t="s">
        <v>1757</v>
      </c>
      <c r="AV25" s="395" t="s">
        <v>1761</v>
      </c>
      <c r="AW25" s="545"/>
      <c r="AX25" s="330" t="s">
        <v>1754</v>
      </c>
      <c r="AY25" s="330" t="s">
        <v>1575</v>
      </c>
      <c r="AZ25" s="442" t="s">
        <v>1642</v>
      </c>
      <c r="BA25" s="327"/>
      <c r="BB25" s="330"/>
      <c r="BC25" s="332"/>
      <c r="BD25" s="327"/>
    </row>
    <row r="26" spans="1:56" x14ac:dyDescent="0.25">
      <c r="A26" s="483" t="s">
        <v>1471</v>
      </c>
      <c r="B26" s="369" t="s">
        <v>171</v>
      </c>
      <c r="C26" s="498" t="s">
        <v>121</v>
      </c>
      <c r="D26" s="339" t="s">
        <v>1160</v>
      </c>
      <c r="E26" s="499" t="s">
        <v>1367</v>
      </c>
      <c r="F26" s="340">
        <v>45</v>
      </c>
      <c r="G26" s="340" t="s">
        <v>183</v>
      </c>
      <c r="H26" s="326" t="s">
        <v>35</v>
      </c>
      <c r="I26" s="327"/>
      <c r="J26" s="550"/>
      <c r="K26" s="551"/>
      <c r="L26" s="550"/>
      <c r="M26" s="550"/>
      <c r="N26" s="550"/>
      <c r="O26" s="495" t="s">
        <v>1488</v>
      </c>
      <c r="P26" s="442" t="s">
        <v>1489</v>
      </c>
      <c r="Q26" s="354" t="s">
        <v>1588</v>
      </c>
      <c r="R26" s="354" t="s">
        <v>1019</v>
      </c>
      <c r="S26" s="389" t="s">
        <v>1589</v>
      </c>
      <c r="T26" s="327"/>
      <c r="U26" s="327"/>
      <c r="V26" s="545"/>
      <c r="W26" s="327"/>
      <c r="X26" s="327"/>
      <c r="Y26" s="545"/>
      <c r="Z26" s="327"/>
      <c r="AA26" s="327"/>
      <c r="AB26" s="545"/>
      <c r="AC26" s="327"/>
      <c r="AD26" s="327"/>
      <c r="AE26" s="545"/>
      <c r="AF26" s="326"/>
      <c r="AG26" s="326"/>
      <c r="AH26" s="545"/>
      <c r="AI26" s="23"/>
      <c r="AJ26" s="23"/>
      <c r="AK26" s="390"/>
      <c r="AL26" s="327"/>
      <c r="AM26" s="327"/>
      <c r="AN26" s="545"/>
      <c r="AO26" s="327"/>
      <c r="AP26" s="327"/>
      <c r="AQ26" s="545"/>
      <c r="AR26" s="327"/>
      <c r="AS26" s="327"/>
      <c r="AT26" s="545"/>
      <c r="AU26" s="442" t="s">
        <v>1530</v>
      </c>
      <c r="AV26" s="395" t="s">
        <v>1609</v>
      </c>
      <c r="AW26" s="545"/>
      <c r="AX26" s="28" t="s">
        <v>1754</v>
      </c>
      <c r="AY26" s="330"/>
      <c r="AZ26" s="178"/>
      <c r="BA26" s="23"/>
      <c r="BB26" s="330"/>
      <c r="BC26" s="330"/>
      <c r="BD26" s="110"/>
    </row>
    <row r="27" spans="1:56" x14ac:dyDescent="0.25">
      <c r="A27" s="483" t="s">
        <v>1472</v>
      </c>
      <c r="B27" s="369" t="s">
        <v>47</v>
      </c>
      <c r="C27" s="498" t="s">
        <v>88</v>
      </c>
      <c r="D27" s="339" t="s">
        <v>1160</v>
      </c>
      <c r="E27" s="499">
        <v>7807125832080</v>
      </c>
      <c r="F27" s="340">
        <v>46</v>
      </c>
      <c r="G27" s="340" t="s">
        <v>183</v>
      </c>
      <c r="H27" s="326" t="s">
        <v>35</v>
      </c>
      <c r="I27" s="327"/>
      <c r="J27" s="550"/>
      <c r="K27" s="551"/>
      <c r="L27" s="550"/>
      <c r="M27" s="550"/>
      <c r="N27" s="550"/>
      <c r="O27" s="495" t="s">
        <v>1767</v>
      </c>
      <c r="P27" s="442" t="s">
        <v>1768</v>
      </c>
      <c r="Q27" s="354" t="s">
        <v>1672</v>
      </c>
      <c r="R27" s="454" t="s">
        <v>1019</v>
      </c>
      <c r="S27" s="389" t="s">
        <v>1673</v>
      </c>
      <c r="T27" s="442" t="s">
        <v>1615</v>
      </c>
      <c r="U27" s="395" t="s">
        <v>1052</v>
      </c>
      <c r="V27" s="545"/>
      <c r="W27" s="327"/>
      <c r="X27" s="327"/>
      <c r="Y27" s="545"/>
      <c r="Z27" s="442" t="s">
        <v>1594</v>
      </c>
      <c r="AA27" s="395" t="s">
        <v>1595</v>
      </c>
      <c r="AB27" s="545"/>
      <c r="AC27" s="327"/>
      <c r="AD27" s="327"/>
      <c r="AE27" s="545"/>
      <c r="AF27" s="326"/>
      <c r="AG27" s="326"/>
      <c r="AH27" s="545"/>
      <c r="AI27" s="330"/>
      <c r="AJ27" s="330"/>
      <c r="AK27" s="390"/>
      <c r="AL27" s="327"/>
      <c r="AM27" s="327"/>
      <c r="AN27" s="545"/>
      <c r="AO27" s="327"/>
      <c r="AP27" s="327"/>
      <c r="AQ27" s="545"/>
      <c r="AR27" s="327"/>
      <c r="AS27" s="327"/>
      <c r="AT27" s="545"/>
      <c r="AU27" s="354" t="s">
        <v>1615</v>
      </c>
      <c r="AV27" s="395" t="s">
        <v>1052</v>
      </c>
      <c r="AW27" s="545"/>
      <c r="AX27" s="28" t="s">
        <v>1754</v>
      </c>
      <c r="AY27" s="330" t="s">
        <v>1608</v>
      </c>
      <c r="AZ27" s="345" t="s">
        <v>1642</v>
      </c>
      <c r="BA27" s="23"/>
      <c r="BB27" s="330"/>
      <c r="BC27" s="330"/>
      <c r="BD27" s="110"/>
    </row>
    <row r="28" spans="1:56" x14ac:dyDescent="0.25">
      <c r="A28" s="483" t="s">
        <v>1473</v>
      </c>
      <c r="B28" s="369" t="s">
        <v>265</v>
      </c>
      <c r="C28" s="369" t="s">
        <v>187</v>
      </c>
      <c r="D28" s="339" t="s">
        <v>1160</v>
      </c>
      <c r="E28" s="499" t="s">
        <v>1528</v>
      </c>
      <c r="F28" s="340">
        <v>49</v>
      </c>
      <c r="G28" s="340" t="s">
        <v>183</v>
      </c>
      <c r="H28" s="326" t="s">
        <v>35</v>
      </c>
      <c r="I28" s="23"/>
      <c r="J28" s="476"/>
      <c r="K28" s="477"/>
      <c r="L28" s="476"/>
      <c r="M28" s="476"/>
      <c r="N28" s="476"/>
      <c r="O28" s="442" t="s">
        <v>1748</v>
      </c>
      <c r="P28" s="442" t="s">
        <v>1749</v>
      </c>
      <c r="Q28" s="354" t="s">
        <v>1745</v>
      </c>
      <c r="R28" s="357" t="s">
        <v>1019</v>
      </c>
      <c r="S28" s="389" t="s">
        <v>1746</v>
      </c>
      <c r="T28" s="23"/>
      <c r="U28" s="23"/>
      <c r="V28" s="545"/>
      <c r="W28" s="23"/>
      <c r="X28" s="23"/>
      <c r="Y28" s="545"/>
      <c r="Z28" s="330"/>
      <c r="AA28" s="330"/>
      <c r="AB28" s="545"/>
      <c r="AC28" s="23"/>
      <c r="AD28" s="23"/>
      <c r="AE28" s="545"/>
      <c r="AF28" s="354" t="s">
        <v>1716</v>
      </c>
      <c r="AG28" s="395" t="s">
        <v>1750</v>
      </c>
      <c r="AH28" s="545"/>
      <c r="AI28" s="330"/>
      <c r="AJ28" s="330"/>
      <c r="AK28" s="393"/>
      <c r="AL28" s="23"/>
      <c r="AM28" s="23"/>
      <c r="AN28" s="545"/>
      <c r="AO28" s="23"/>
      <c r="AP28" s="23"/>
      <c r="AQ28" s="545"/>
      <c r="AR28" s="23"/>
      <c r="AS28" s="23"/>
      <c r="AT28" s="545"/>
      <c r="AU28" s="354" t="s">
        <v>1716</v>
      </c>
      <c r="AV28" s="395" t="s">
        <v>1750</v>
      </c>
      <c r="AW28" s="545"/>
      <c r="AX28" s="28" t="s">
        <v>1754</v>
      </c>
      <c r="AY28" s="330"/>
      <c r="AZ28" s="178"/>
      <c r="BA28" s="23"/>
      <c r="BB28" s="24"/>
      <c r="BC28" s="24"/>
      <c r="BD28" s="110"/>
    </row>
    <row r="29" spans="1:56" x14ac:dyDescent="0.25">
      <c r="A29" s="483" t="s">
        <v>1474</v>
      </c>
      <c r="B29" s="482" t="s">
        <v>870</v>
      </c>
      <c r="C29" s="500" t="s">
        <v>90</v>
      </c>
      <c r="D29" s="339" t="s">
        <v>1160</v>
      </c>
      <c r="E29" s="499" t="s">
        <v>351</v>
      </c>
      <c r="F29" s="340">
        <v>54</v>
      </c>
      <c r="G29" s="340" t="s">
        <v>1412</v>
      </c>
      <c r="H29" s="326" t="s">
        <v>35</v>
      </c>
      <c r="I29" s="327"/>
      <c r="J29" s="550"/>
      <c r="K29" s="551"/>
      <c r="L29" s="550"/>
      <c r="M29" s="550"/>
      <c r="N29" s="550"/>
      <c r="O29" s="354" t="s">
        <v>1582</v>
      </c>
      <c r="P29" s="442" t="s">
        <v>1583</v>
      </c>
      <c r="Q29" s="354" t="s">
        <v>1574</v>
      </c>
      <c r="R29" s="533" t="s">
        <v>1023</v>
      </c>
      <c r="S29" s="389" t="s">
        <v>1704</v>
      </c>
      <c r="T29" s="330"/>
      <c r="U29" s="330"/>
      <c r="V29" s="545"/>
      <c r="W29" s="330"/>
      <c r="X29" s="330"/>
      <c r="Y29" s="545"/>
      <c r="Z29" s="330"/>
      <c r="AA29" s="330"/>
      <c r="AB29" s="545"/>
      <c r="AC29" s="330"/>
      <c r="AD29" s="330"/>
      <c r="AE29" s="545"/>
      <c r="AF29" s="23"/>
      <c r="AG29" s="23"/>
      <c r="AH29" s="545"/>
      <c r="AI29" s="330"/>
      <c r="AJ29" s="330"/>
      <c r="AK29" s="389"/>
      <c r="AL29" s="330"/>
      <c r="AM29" s="330"/>
      <c r="AN29" s="545"/>
      <c r="AO29" s="330"/>
      <c r="AP29" s="330"/>
      <c r="AQ29" s="545"/>
      <c r="AR29" s="330"/>
      <c r="AS29" s="330"/>
      <c r="AT29" s="545"/>
      <c r="AU29" s="442" t="s">
        <v>1576</v>
      </c>
      <c r="AV29" s="395" t="s">
        <v>1580</v>
      </c>
      <c r="AW29" s="545"/>
      <c r="AX29" s="28" t="s">
        <v>1754</v>
      </c>
      <c r="AY29" s="330" t="s">
        <v>1576</v>
      </c>
      <c r="AZ29" s="345" t="s">
        <v>1642</v>
      </c>
      <c r="BA29" s="23"/>
      <c r="BB29" s="330"/>
      <c r="BC29" s="330"/>
      <c r="BD29" s="110"/>
    </row>
    <row r="30" spans="1:56" x14ac:dyDescent="0.25">
      <c r="A30" s="483" t="s">
        <v>1545</v>
      </c>
      <c r="B30" s="482" t="s">
        <v>813</v>
      </c>
      <c r="C30" s="500" t="s">
        <v>93</v>
      </c>
      <c r="D30" s="339" t="s">
        <v>1160</v>
      </c>
      <c r="E30" s="501" t="s">
        <v>361</v>
      </c>
      <c r="F30" s="351">
        <v>40</v>
      </c>
      <c r="G30" s="351" t="s">
        <v>183</v>
      </c>
      <c r="H30" s="330" t="s">
        <v>35</v>
      </c>
      <c r="I30" s="332"/>
      <c r="J30" s="552"/>
      <c r="K30" s="553"/>
      <c r="L30" s="552"/>
      <c r="M30" s="552"/>
      <c r="N30" s="552"/>
      <c r="O30" s="496" t="s">
        <v>1755</v>
      </c>
      <c r="P30" s="442" t="s">
        <v>1756</v>
      </c>
      <c r="Q30" s="354" t="s">
        <v>1531</v>
      </c>
      <c r="R30" s="354" t="s">
        <v>1019</v>
      </c>
      <c r="S30" s="394" t="s">
        <v>1587</v>
      </c>
      <c r="T30" s="354" t="s">
        <v>1531</v>
      </c>
      <c r="U30" s="395" t="s">
        <v>899</v>
      </c>
      <c r="V30" s="545"/>
      <c r="W30" s="330"/>
      <c r="X30" s="330"/>
      <c r="Y30" s="545"/>
      <c r="Z30" s="330"/>
      <c r="AA30" s="330"/>
      <c r="AB30" s="545"/>
      <c r="AC30" s="330"/>
      <c r="AD30" s="330"/>
      <c r="AE30" s="545"/>
      <c r="AF30" s="442" t="s">
        <v>1744</v>
      </c>
      <c r="AG30" s="395" t="s">
        <v>1639</v>
      </c>
      <c r="AH30" s="545"/>
      <c r="AI30" s="330"/>
      <c r="AJ30" s="330"/>
      <c r="AK30" s="389"/>
      <c r="AL30" s="330"/>
      <c r="AM30" s="330"/>
      <c r="AN30" s="545"/>
      <c r="AO30" s="330"/>
      <c r="AP30" s="330"/>
      <c r="AQ30" s="545"/>
      <c r="AR30" s="330"/>
      <c r="AS30" s="330"/>
      <c r="AT30" s="545"/>
      <c r="AU30" s="354" t="s">
        <v>1676</v>
      </c>
      <c r="AV30" s="395" t="s">
        <v>1638</v>
      </c>
      <c r="AW30" s="545"/>
      <c r="AX30" s="28" t="s">
        <v>1754</v>
      </c>
      <c r="AY30" s="330"/>
      <c r="AZ30" s="178"/>
      <c r="BA30" s="24"/>
      <c r="BB30" s="330"/>
      <c r="BC30" s="330"/>
      <c r="BD30" s="24"/>
    </row>
    <row r="31" spans="1:56" x14ac:dyDescent="0.25">
      <c r="A31" s="483" t="s">
        <v>1475</v>
      </c>
      <c r="B31" s="369" t="s">
        <v>815</v>
      </c>
      <c r="C31" s="498" t="s">
        <v>93</v>
      </c>
      <c r="D31" s="339" t="s">
        <v>1160</v>
      </c>
      <c r="E31" s="499" t="s">
        <v>363</v>
      </c>
      <c r="F31" s="340">
        <v>47</v>
      </c>
      <c r="G31" s="340" t="s">
        <v>183</v>
      </c>
      <c r="H31" s="326" t="s">
        <v>35</v>
      </c>
      <c r="I31" s="327"/>
      <c r="J31" s="550"/>
      <c r="K31" s="551"/>
      <c r="L31" s="550"/>
      <c r="M31" s="550"/>
      <c r="N31" s="550"/>
      <c r="O31" s="442" t="s">
        <v>1521</v>
      </c>
      <c r="P31" s="442" t="s">
        <v>1480</v>
      </c>
      <c r="Q31" s="354" t="s">
        <v>1097</v>
      </c>
      <c r="R31" s="354" t="s">
        <v>1019</v>
      </c>
      <c r="S31" s="389" t="s">
        <v>1664</v>
      </c>
      <c r="T31" s="330"/>
      <c r="U31" s="330"/>
      <c r="V31" s="545"/>
      <c r="W31" s="330"/>
      <c r="X31" s="330"/>
      <c r="Y31" s="545"/>
      <c r="Z31" s="23"/>
      <c r="AA31" s="23"/>
      <c r="AB31" s="545"/>
      <c r="AC31" s="442" t="s">
        <v>1640</v>
      </c>
      <c r="AD31" s="395" t="s">
        <v>1654</v>
      </c>
      <c r="AE31" s="545"/>
      <c r="AF31" s="330"/>
      <c r="AG31" s="395" t="s">
        <v>1105</v>
      </c>
      <c r="AH31" s="545"/>
      <c r="AI31" s="330"/>
      <c r="AJ31" s="330"/>
      <c r="AK31" s="389"/>
      <c r="AL31" s="330"/>
      <c r="AM31" s="330"/>
      <c r="AN31" s="545"/>
      <c r="AO31" s="330"/>
      <c r="AP31" s="330"/>
      <c r="AQ31" s="545"/>
      <c r="AR31" s="330"/>
      <c r="AS31" s="330"/>
      <c r="AT31" s="545"/>
      <c r="AU31" s="442" t="s">
        <v>1643</v>
      </c>
      <c r="AV31" s="395" t="s">
        <v>1656</v>
      </c>
      <c r="AW31" s="545"/>
      <c r="AX31" s="28" t="s">
        <v>1754</v>
      </c>
      <c r="AY31" s="330"/>
      <c r="AZ31" s="345" t="s">
        <v>1693</v>
      </c>
      <c r="BA31" s="24"/>
      <c r="BB31" s="330"/>
      <c r="BC31" s="330"/>
      <c r="BD31" s="175"/>
    </row>
    <row r="32" spans="1:56" x14ac:dyDescent="0.25">
      <c r="A32" s="361" t="s">
        <v>1476</v>
      </c>
      <c r="B32" s="369" t="s">
        <v>144</v>
      </c>
      <c r="C32" s="369" t="s">
        <v>858</v>
      </c>
      <c r="D32" s="339" t="s">
        <v>1160</v>
      </c>
      <c r="E32" s="503">
        <v>7908285561087</v>
      </c>
      <c r="F32" s="340">
        <v>45</v>
      </c>
      <c r="G32" s="340" t="s">
        <v>183</v>
      </c>
      <c r="H32" s="326" t="s">
        <v>35</v>
      </c>
      <c r="I32" s="23"/>
      <c r="J32" s="476"/>
      <c r="K32" s="477"/>
      <c r="L32" s="476"/>
      <c r="M32" s="476"/>
      <c r="N32" s="476"/>
      <c r="O32" s="442" t="s">
        <v>1627</v>
      </c>
      <c r="P32" s="442" t="s">
        <v>1743</v>
      </c>
      <c r="Q32" s="442" t="s">
        <v>1606</v>
      </c>
      <c r="R32" s="354" t="s">
        <v>1019</v>
      </c>
      <c r="S32" s="389" t="s">
        <v>1607</v>
      </c>
      <c r="T32" s="23"/>
      <c r="U32" s="23"/>
      <c r="V32" s="545"/>
      <c r="W32" s="24"/>
      <c r="X32" s="23"/>
      <c r="Y32" s="545"/>
      <c r="Z32" s="330"/>
      <c r="AA32" s="330"/>
      <c r="AB32" s="545"/>
      <c r="AC32" s="23"/>
      <c r="AD32" s="23"/>
      <c r="AE32" s="545"/>
      <c r="AF32" s="354" t="s">
        <v>1726</v>
      </c>
      <c r="AG32" s="395" t="s">
        <v>1648</v>
      </c>
      <c r="AH32" s="545"/>
      <c r="AI32" s="330"/>
      <c r="AJ32" s="330"/>
      <c r="AK32" s="393"/>
      <c r="AL32" s="23"/>
      <c r="AM32" s="23"/>
      <c r="AN32" s="545"/>
      <c r="AO32" s="23"/>
      <c r="AP32" s="23"/>
      <c r="AQ32" s="545"/>
      <c r="AR32" s="23"/>
      <c r="AS32" s="23"/>
      <c r="AT32" s="545"/>
      <c r="AU32" s="442" t="s">
        <v>1726</v>
      </c>
      <c r="AV32" s="395" t="s">
        <v>1105</v>
      </c>
      <c r="AW32" s="545"/>
      <c r="AX32" s="28" t="s">
        <v>1754</v>
      </c>
      <c r="AY32" s="330" t="s">
        <v>1576</v>
      </c>
      <c r="AZ32" s="442" t="s">
        <v>725</v>
      </c>
      <c r="BA32" s="23"/>
      <c r="BB32" s="23"/>
      <c r="BC32" s="23"/>
      <c r="BD32" s="110"/>
    </row>
    <row r="33" spans="1:56" x14ac:dyDescent="0.25">
      <c r="A33" s="516" t="s">
        <v>1490</v>
      </c>
      <c r="B33" s="369" t="s">
        <v>197</v>
      </c>
      <c r="C33" s="369" t="s">
        <v>108</v>
      </c>
      <c r="D33" s="339" t="s">
        <v>1160</v>
      </c>
      <c r="E33" s="499" t="s">
        <v>380</v>
      </c>
      <c r="F33" s="340">
        <v>53</v>
      </c>
      <c r="G33" s="340" t="s">
        <v>183</v>
      </c>
      <c r="H33" s="326" t="s">
        <v>35</v>
      </c>
      <c r="I33" s="327"/>
      <c r="J33" s="550"/>
      <c r="K33" s="551"/>
      <c r="L33" s="550"/>
      <c r="M33" s="550"/>
      <c r="N33" s="550"/>
      <c r="O33" s="442" t="s">
        <v>1780</v>
      </c>
      <c r="P33" s="442" t="s">
        <v>1781</v>
      </c>
      <c r="Q33" s="442" t="s">
        <v>1580</v>
      </c>
      <c r="R33" s="442" t="s">
        <v>1019</v>
      </c>
      <c r="S33" s="389" t="s">
        <v>1752</v>
      </c>
      <c r="T33" s="330"/>
      <c r="U33" s="330"/>
      <c r="V33" s="545"/>
      <c r="W33" s="330"/>
      <c r="X33" s="330"/>
      <c r="Y33" s="545"/>
      <c r="Z33" s="330"/>
      <c r="AA33" s="330"/>
      <c r="AB33" s="545"/>
      <c r="AC33" s="330"/>
      <c r="AD33" s="330"/>
      <c r="AE33" s="545"/>
      <c r="AF33" s="354" t="s">
        <v>1585</v>
      </c>
      <c r="AG33" s="330"/>
      <c r="AH33" s="545"/>
      <c r="AI33" s="23"/>
      <c r="AJ33" s="23"/>
      <c r="AK33" s="389"/>
      <c r="AL33" s="330"/>
      <c r="AM33" s="330"/>
      <c r="AN33" s="545"/>
      <c r="AO33" s="330"/>
      <c r="AP33" s="330"/>
      <c r="AQ33" s="545"/>
      <c r="AR33" s="330"/>
      <c r="AS33" s="330"/>
      <c r="AT33" s="545"/>
      <c r="AU33" s="442" t="s">
        <v>1575</v>
      </c>
      <c r="AV33" s="395" t="s">
        <v>1581</v>
      </c>
      <c r="AW33" s="545"/>
      <c r="AX33" s="28" t="s">
        <v>1754</v>
      </c>
      <c r="AY33" s="330"/>
      <c r="AZ33" s="345" t="s">
        <v>1641</v>
      </c>
      <c r="BA33" s="24"/>
      <c r="BB33" s="330"/>
      <c r="BC33" s="330"/>
      <c r="BD33" s="24"/>
    </row>
    <row r="34" spans="1:56" x14ac:dyDescent="0.25">
      <c r="A34" s="516" t="s">
        <v>1525</v>
      </c>
      <c r="B34" s="369" t="s">
        <v>275</v>
      </c>
      <c r="C34" s="498" t="s">
        <v>123</v>
      </c>
      <c r="D34" s="339" t="s">
        <v>1160</v>
      </c>
      <c r="E34" s="499" t="s">
        <v>276</v>
      </c>
      <c r="F34" s="340">
        <v>57</v>
      </c>
      <c r="G34" s="340" t="s">
        <v>183</v>
      </c>
      <c r="H34" s="326" t="s">
        <v>35</v>
      </c>
      <c r="I34" s="327"/>
      <c r="J34" s="550"/>
      <c r="K34" s="551"/>
      <c r="L34" s="550"/>
      <c r="M34" s="550"/>
      <c r="N34" s="550"/>
      <c r="O34" s="442" t="s">
        <v>1563</v>
      </c>
      <c r="P34" s="442" t="s">
        <v>1564</v>
      </c>
      <c r="Q34" s="442" t="s">
        <v>1606</v>
      </c>
      <c r="R34" s="442" t="s">
        <v>1019</v>
      </c>
      <c r="S34" s="394" t="s">
        <v>1607</v>
      </c>
      <c r="T34" s="330"/>
      <c r="U34" s="330"/>
      <c r="V34" s="545"/>
      <c r="W34" s="330"/>
      <c r="X34" s="330"/>
      <c r="Y34" s="545"/>
      <c r="Z34" s="23"/>
      <c r="AA34" s="23"/>
      <c r="AB34" s="545"/>
      <c r="AC34" s="330"/>
      <c r="AD34" s="330"/>
      <c r="AE34" s="545"/>
      <c r="AF34" s="354" t="s">
        <v>1647</v>
      </c>
      <c r="AG34" s="23"/>
      <c r="AH34" s="545"/>
      <c r="AI34" s="23"/>
      <c r="AJ34" s="23"/>
      <c r="AK34" s="389"/>
      <c r="AL34" s="330"/>
      <c r="AM34" s="330"/>
      <c r="AN34" s="545"/>
      <c r="AO34" s="330"/>
      <c r="AP34" s="330"/>
      <c r="AQ34" s="545"/>
      <c r="AR34" s="330"/>
      <c r="AS34" s="330"/>
      <c r="AT34" s="545"/>
      <c r="AU34" s="442" t="s">
        <v>1520</v>
      </c>
      <c r="AV34" s="395" t="s">
        <v>1529</v>
      </c>
      <c r="AW34" s="545"/>
      <c r="AX34" s="28" t="s">
        <v>1754</v>
      </c>
      <c r="AY34" s="330"/>
      <c r="AZ34" s="178"/>
      <c r="BA34" s="23"/>
      <c r="BB34" s="330"/>
      <c r="BC34" s="330"/>
      <c r="BD34" s="110"/>
    </row>
    <row r="35" spans="1:56" s="470" customFormat="1" x14ac:dyDescent="0.25">
      <c r="A35" s="483" t="s">
        <v>1540</v>
      </c>
      <c r="B35" s="482" t="s">
        <v>1243</v>
      </c>
      <c r="C35" s="482" t="s">
        <v>123</v>
      </c>
      <c r="D35" s="339" t="s">
        <v>1160</v>
      </c>
      <c r="E35" s="501" t="s">
        <v>403</v>
      </c>
      <c r="F35" s="351">
        <v>49</v>
      </c>
      <c r="G35" s="351" t="s">
        <v>183</v>
      </c>
      <c r="H35" s="330" t="s">
        <v>35</v>
      </c>
      <c r="I35" s="332"/>
      <c r="J35" s="552"/>
      <c r="K35" s="553"/>
      <c r="L35" s="552"/>
      <c r="M35" s="552"/>
      <c r="N35" s="552"/>
      <c r="O35" s="442" t="s">
        <v>1569</v>
      </c>
      <c r="P35" s="442" t="s">
        <v>1616</v>
      </c>
      <c r="Q35" s="442" t="s">
        <v>936</v>
      </c>
      <c r="R35" s="442" t="s">
        <v>1019</v>
      </c>
      <c r="S35" s="389" t="s">
        <v>1574</v>
      </c>
      <c r="T35" s="442" t="s">
        <v>930</v>
      </c>
      <c r="U35" s="395" t="s">
        <v>1615</v>
      </c>
      <c r="V35" s="545"/>
      <c r="W35" s="330"/>
      <c r="X35" s="330"/>
      <c r="Y35" s="545"/>
      <c r="Z35" s="24"/>
      <c r="AA35" s="24"/>
      <c r="AB35" s="545"/>
      <c r="AC35" s="330"/>
      <c r="AD35" s="330"/>
      <c r="AE35" s="545"/>
      <c r="AF35" s="330"/>
      <c r="AG35" s="24"/>
      <c r="AH35" s="545"/>
      <c r="AI35" s="24"/>
      <c r="AJ35" s="24"/>
      <c r="AK35" s="389"/>
      <c r="AL35" s="330"/>
      <c r="AM35" s="330"/>
      <c r="AN35" s="545"/>
      <c r="AO35" s="330"/>
      <c r="AP35" s="330"/>
      <c r="AQ35" s="545"/>
      <c r="AR35" s="330"/>
      <c r="AS35" s="330"/>
      <c r="AT35" s="175"/>
      <c r="AU35" s="330" t="s">
        <v>1575</v>
      </c>
      <c r="AV35" s="330" t="s">
        <v>1581</v>
      </c>
      <c r="AW35" s="175"/>
      <c r="AX35" s="28" t="s">
        <v>1754</v>
      </c>
      <c r="AY35" s="330" t="s">
        <v>1575</v>
      </c>
      <c r="AZ35" s="28" t="s">
        <v>1642</v>
      </c>
      <c r="BA35" s="24"/>
      <c r="BB35" s="330"/>
      <c r="BC35" s="330"/>
      <c r="BD35" s="175"/>
    </row>
    <row r="36" spans="1:56" x14ac:dyDescent="0.25">
      <c r="A36" s="502"/>
      <c r="B36" s="23"/>
      <c r="C36" s="23"/>
      <c r="D36" s="23"/>
      <c r="E36" s="185"/>
      <c r="F36" s="23"/>
      <c r="G36" s="23"/>
      <c r="H36" s="23"/>
      <c r="I36" s="23"/>
      <c r="J36" s="476"/>
      <c r="K36" s="477"/>
      <c r="L36" s="476"/>
      <c r="M36" s="476"/>
      <c r="N36" s="476"/>
      <c r="O36" s="23"/>
      <c r="P36" s="23"/>
      <c r="Q36" s="23"/>
      <c r="R36" s="23"/>
      <c r="S36" s="393"/>
      <c r="T36" s="23"/>
      <c r="U36" s="23"/>
      <c r="V36" s="545"/>
      <c r="W36" s="23"/>
      <c r="X36" s="23"/>
      <c r="Y36" s="545"/>
      <c r="Z36" s="24"/>
      <c r="AA36" s="24"/>
      <c r="AB36" s="545"/>
      <c r="AC36" s="23"/>
      <c r="AD36" s="23"/>
      <c r="AE36" s="545"/>
      <c r="AF36" s="23"/>
      <c r="AG36" s="24"/>
      <c r="AH36" s="545"/>
      <c r="AI36" s="38"/>
      <c r="AJ36" s="38"/>
      <c r="AK36" s="393"/>
      <c r="AL36" s="23"/>
      <c r="AM36" s="23"/>
      <c r="AN36" s="545"/>
      <c r="AO36" s="23"/>
      <c r="AP36" s="23"/>
      <c r="AQ36" s="545"/>
      <c r="AR36" s="23"/>
      <c r="AS36" s="23"/>
      <c r="AT36" s="545"/>
      <c r="AU36" s="23"/>
      <c r="AV36" s="23"/>
      <c r="AW36" s="545"/>
      <c r="AX36" s="23"/>
      <c r="AY36" s="330"/>
      <c r="AZ36" s="23"/>
      <c r="BA36" s="23"/>
      <c r="BB36" s="23"/>
      <c r="BC36" s="23"/>
      <c r="BD36" s="110"/>
    </row>
    <row r="37" spans="1:56" x14ac:dyDescent="0.25">
      <c r="A37" s="504" t="s">
        <v>1344</v>
      </c>
      <c r="B37" s="504" t="s">
        <v>1523</v>
      </c>
      <c r="C37" s="504"/>
      <c r="D37" s="504" t="s">
        <v>1524</v>
      </c>
      <c r="E37" s="505" t="s">
        <v>1524</v>
      </c>
      <c r="F37" s="489"/>
      <c r="G37" s="489"/>
      <c r="H37" s="489"/>
      <c r="I37" s="487"/>
      <c r="J37" s="559"/>
      <c r="K37" s="560"/>
      <c r="L37" s="559"/>
      <c r="M37" s="559"/>
      <c r="N37" s="559"/>
      <c r="O37" s="487"/>
      <c r="P37" s="487"/>
      <c r="Q37" s="487"/>
      <c r="R37" s="487"/>
      <c r="S37" s="487"/>
      <c r="T37" s="487"/>
      <c r="U37" s="487"/>
      <c r="V37" s="529"/>
      <c r="W37" s="487"/>
      <c r="X37" s="487"/>
      <c r="Y37" s="538"/>
      <c r="Z37" s="539"/>
      <c r="AA37" s="487"/>
      <c r="AB37" s="487"/>
      <c r="AC37" s="539"/>
      <c r="AD37" s="539"/>
      <c r="AE37" s="529"/>
      <c r="AF37" s="539"/>
      <c r="AG37" s="487"/>
      <c r="AH37" s="529"/>
      <c r="AI37" s="487"/>
      <c r="AJ37" s="487"/>
      <c r="AK37" s="487"/>
      <c r="AL37" s="23"/>
      <c r="AM37" s="23"/>
      <c r="AN37" s="545"/>
      <c r="AO37" s="23"/>
      <c r="AP37" s="23"/>
      <c r="AQ37" s="393"/>
      <c r="AR37" s="23"/>
      <c r="AS37" s="23"/>
      <c r="AT37" s="545"/>
      <c r="AU37" s="23"/>
      <c r="AV37" s="110"/>
      <c r="AW37" s="545"/>
      <c r="AX37" s="110"/>
      <c r="AY37" s="110"/>
      <c r="AZ37" s="110"/>
      <c r="BA37" s="110"/>
      <c r="BB37" s="23"/>
      <c r="BC37" s="330"/>
      <c r="BD37" s="110"/>
    </row>
    <row r="38" spans="1:56" x14ac:dyDescent="0.25">
      <c r="A38" s="483" t="s">
        <v>1453</v>
      </c>
      <c r="B38" s="482" t="s">
        <v>774</v>
      </c>
      <c r="C38" s="498" t="s">
        <v>116</v>
      </c>
      <c r="D38" s="338" t="s">
        <v>1159</v>
      </c>
      <c r="E38" s="499" t="s">
        <v>307</v>
      </c>
      <c r="F38" s="326">
        <v>45</v>
      </c>
      <c r="G38" s="326" t="s">
        <v>183</v>
      </c>
      <c r="H38" s="326" t="s">
        <v>35</v>
      </c>
      <c r="I38" s="110"/>
      <c r="J38" s="110"/>
      <c r="K38" s="110"/>
      <c r="L38" s="110"/>
      <c r="M38" s="110"/>
      <c r="N38" s="110"/>
      <c r="O38" s="354" t="s">
        <v>1308</v>
      </c>
      <c r="P38" s="442" t="s">
        <v>1539</v>
      </c>
      <c r="Q38" s="357" t="s">
        <v>1580</v>
      </c>
      <c r="R38" s="535" t="s">
        <v>1519</v>
      </c>
      <c r="S38" s="557" t="s">
        <v>1752</v>
      </c>
      <c r="T38" s="110"/>
      <c r="U38" s="110"/>
      <c r="V38" s="110"/>
      <c r="W38" s="23"/>
      <c r="X38" s="23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</row>
    <row r="39" spans="1:56" x14ac:dyDescent="0.25">
      <c r="A39" s="483" t="s">
        <v>1454</v>
      </c>
      <c r="B39" s="482" t="s">
        <v>203</v>
      </c>
      <c r="C39" s="498" t="s">
        <v>116</v>
      </c>
      <c r="D39" s="338" t="s">
        <v>1159</v>
      </c>
      <c r="E39" s="499">
        <v>9311095574085</v>
      </c>
      <c r="F39" s="326">
        <v>32</v>
      </c>
      <c r="G39" s="326" t="s">
        <v>183</v>
      </c>
      <c r="H39" s="326" t="s">
        <v>35</v>
      </c>
      <c r="I39" s="110"/>
      <c r="J39" s="110"/>
      <c r="K39" s="110"/>
      <c r="L39" s="110"/>
      <c r="M39" s="110"/>
      <c r="N39" s="110"/>
      <c r="O39" s="354"/>
      <c r="P39" s="442"/>
      <c r="Q39" s="357" t="s">
        <v>1689</v>
      </c>
      <c r="R39" s="357" t="s">
        <v>1019</v>
      </c>
      <c r="S39" s="557" t="s">
        <v>1690</v>
      </c>
      <c r="T39" s="110"/>
      <c r="U39" s="110"/>
      <c r="V39" s="110"/>
      <c r="W39" s="23"/>
      <c r="X39" s="23" t="s">
        <v>238</v>
      </c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</row>
    <row r="40" spans="1:56" x14ac:dyDescent="0.25">
      <c r="A40" s="483" t="s">
        <v>1455</v>
      </c>
      <c r="B40" s="369" t="s">
        <v>779</v>
      </c>
      <c r="C40" s="498" t="s">
        <v>65</v>
      </c>
      <c r="D40" s="338" t="s">
        <v>1159</v>
      </c>
      <c r="E40" s="499" t="s">
        <v>1375</v>
      </c>
      <c r="F40" s="326">
        <v>37</v>
      </c>
      <c r="G40" s="326" t="s">
        <v>183</v>
      </c>
      <c r="H40" s="326" t="s">
        <v>35</v>
      </c>
      <c r="I40" s="110"/>
      <c r="J40" s="110"/>
      <c r="K40" s="110"/>
      <c r="L40" s="110"/>
      <c r="M40" s="110"/>
      <c r="N40" s="110"/>
      <c r="O40" s="442" t="s">
        <v>238</v>
      </c>
      <c r="P40" s="442" t="s">
        <v>1634</v>
      </c>
      <c r="Q40" s="354" t="s">
        <v>1724</v>
      </c>
      <c r="R40" s="354" t="s">
        <v>1019</v>
      </c>
      <c r="S40" s="389" t="s">
        <v>1725</v>
      </c>
      <c r="T40" s="110"/>
      <c r="U40" s="110"/>
      <c r="V40" s="110"/>
      <c r="W40" s="354" t="s">
        <v>1653</v>
      </c>
      <c r="X40" s="395" t="s">
        <v>903</v>
      </c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38"/>
      <c r="AM40" s="38"/>
      <c r="AN40" s="545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</row>
    <row r="41" spans="1:56" x14ac:dyDescent="0.25">
      <c r="A41" s="331" t="s">
        <v>1457</v>
      </c>
      <c r="B41" s="369" t="s">
        <v>795</v>
      </c>
      <c r="C41" s="369" t="s">
        <v>62</v>
      </c>
      <c r="D41" s="338" t="s">
        <v>1159</v>
      </c>
      <c r="E41" s="499">
        <v>8610235438080</v>
      </c>
      <c r="F41" s="326">
        <v>38</v>
      </c>
      <c r="G41" s="326" t="s">
        <v>183</v>
      </c>
      <c r="H41" s="326" t="s">
        <v>35</v>
      </c>
      <c r="I41" s="110"/>
      <c r="J41" s="110"/>
      <c r="K41" s="110"/>
      <c r="L41" s="110"/>
      <c r="M41" s="110"/>
      <c r="N41" s="110"/>
      <c r="O41" s="354" t="s">
        <v>1604</v>
      </c>
      <c r="P41" s="442" t="s">
        <v>1605</v>
      </c>
      <c r="Q41" s="442" t="s">
        <v>1684</v>
      </c>
      <c r="R41" s="354" t="s">
        <v>1019</v>
      </c>
      <c r="S41" s="389" t="s">
        <v>1685</v>
      </c>
      <c r="T41" s="110"/>
      <c r="U41" s="110"/>
      <c r="V41" s="110"/>
      <c r="W41" s="442" t="s">
        <v>1566</v>
      </c>
      <c r="X41" s="395" t="s">
        <v>1567</v>
      </c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38"/>
      <c r="AM41" s="38"/>
      <c r="AN41" s="545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</row>
    <row r="42" spans="1:56" x14ac:dyDescent="0.25">
      <c r="A42" s="331" t="s">
        <v>1458</v>
      </c>
      <c r="B42" s="482" t="s">
        <v>1699</v>
      </c>
      <c r="C42" s="369" t="s">
        <v>1700</v>
      </c>
      <c r="D42" s="338" t="s">
        <v>1159</v>
      </c>
      <c r="E42" s="499">
        <v>8109036195080</v>
      </c>
      <c r="F42" s="326">
        <v>44</v>
      </c>
      <c r="G42" s="326" t="s">
        <v>183</v>
      </c>
      <c r="H42" s="326" t="s">
        <v>35</v>
      </c>
      <c r="I42" s="110"/>
      <c r="J42" s="110"/>
      <c r="K42" s="110"/>
      <c r="L42" s="110"/>
      <c r="M42" s="110"/>
      <c r="N42" s="110"/>
      <c r="O42" s="354"/>
      <c r="P42" s="442"/>
      <c r="Q42" s="442" t="s">
        <v>1701</v>
      </c>
      <c r="R42" s="354" t="s">
        <v>1019</v>
      </c>
      <c r="S42" s="389" t="s">
        <v>1702</v>
      </c>
      <c r="T42" s="110"/>
      <c r="U42" s="110"/>
      <c r="V42" s="110"/>
      <c r="W42" s="345"/>
      <c r="X42" s="34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330"/>
      <c r="AM42" s="330"/>
      <c r="AN42" s="545"/>
      <c r="AO42" s="110"/>
      <c r="AP42" s="110"/>
      <c r="AQ42" s="110"/>
      <c r="AR42" s="110"/>
      <c r="AS42" s="110"/>
      <c r="AT42" s="110"/>
      <c r="AU42" s="110"/>
      <c r="AV42" s="110"/>
      <c r="AW42" s="110"/>
      <c r="AX42" s="110"/>
      <c r="AY42" s="110"/>
      <c r="AZ42" s="110"/>
      <c r="BA42" s="110"/>
      <c r="BB42" s="110"/>
      <c r="BC42" s="110"/>
      <c r="BD42" s="110"/>
    </row>
    <row r="43" spans="1:56" x14ac:dyDescent="0.25">
      <c r="A43" s="331" t="s">
        <v>1459</v>
      </c>
      <c r="B43" s="369" t="s">
        <v>1418</v>
      </c>
      <c r="C43" s="369" t="s">
        <v>68</v>
      </c>
      <c r="D43" s="338" t="s">
        <v>1159</v>
      </c>
      <c r="E43" s="499" t="s">
        <v>1436</v>
      </c>
      <c r="F43" s="326">
        <v>37</v>
      </c>
      <c r="G43" s="326" t="s">
        <v>183</v>
      </c>
      <c r="H43" s="326" t="s">
        <v>35</v>
      </c>
      <c r="I43" s="110"/>
      <c r="J43" s="110"/>
      <c r="K43" s="110"/>
      <c r="L43" s="110"/>
      <c r="M43" s="110"/>
      <c r="N43" s="110"/>
      <c r="O43" s="354" t="s">
        <v>1711</v>
      </c>
      <c r="P43" s="442" t="s">
        <v>1712</v>
      </c>
      <c r="Q43" s="442" t="s">
        <v>1689</v>
      </c>
      <c r="R43" s="442" t="s">
        <v>1527</v>
      </c>
      <c r="S43" s="389" t="s">
        <v>1690</v>
      </c>
      <c r="T43" s="110"/>
      <c r="U43" s="110"/>
      <c r="V43" s="110"/>
      <c r="W43" s="354" t="s">
        <v>903</v>
      </c>
      <c r="X43" s="395" t="s">
        <v>1658</v>
      </c>
      <c r="Y43" s="110"/>
      <c r="Z43" s="110"/>
      <c r="AA43" s="110"/>
      <c r="AB43" s="110"/>
      <c r="AC43" s="110"/>
      <c r="AD43" s="110"/>
      <c r="AE43" s="110"/>
      <c r="AF43" s="110"/>
      <c r="AG43" s="110"/>
      <c r="AH43" s="110"/>
      <c r="AI43" s="110"/>
      <c r="AJ43" s="110"/>
      <c r="AK43" s="110"/>
      <c r="AL43" s="24"/>
      <c r="AM43" s="24"/>
      <c r="AN43" s="545"/>
      <c r="AO43" s="110"/>
      <c r="AP43" s="110"/>
      <c r="AQ43" s="110"/>
      <c r="AR43" s="110"/>
      <c r="AS43" s="110"/>
      <c r="AT43" s="110"/>
      <c r="AU43" s="110"/>
      <c r="AV43" s="110"/>
      <c r="AW43" s="110"/>
      <c r="AX43" s="110"/>
      <c r="AY43" s="110"/>
      <c r="AZ43" s="110"/>
      <c r="BA43" s="110"/>
      <c r="BB43" s="110"/>
      <c r="BC43" s="110"/>
      <c r="BD43" s="110"/>
    </row>
    <row r="44" spans="1:56" x14ac:dyDescent="0.25">
      <c r="A44" s="331" t="s">
        <v>1460</v>
      </c>
      <c r="B44" s="482" t="s">
        <v>831</v>
      </c>
      <c r="C44" s="482" t="s">
        <v>72</v>
      </c>
      <c r="D44" s="338" t="s">
        <v>1159</v>
      </c>
      <c r="E44" s="499" t="s">
        <v>278</v>
      </c>
      <c r="F44" s="326">
        <v>45</v>
      </c>
      <c r="G44" s="326" t="s">
        <v>183</v>
      </c>
      <c r="H44" s="326" t="s">
        <v>35</v>
      </c>
      <c r="I44" s="110"/>
      <c r="J44" s="110"/>
      <c r="K44" s="110"/>
      <c r="L44" s="110"/>
      <c r="M44" s="110"/>
      <c r="N44" s="110"/>
      <c r="O44" s="495" t="s">
        <v>1452</v>
      </c>
      <c r="P44" s="497" t="s">
        <v>1487</v>
      </c>
      <c r="Q44" s="354" t="s">
        <v>1603</v>
      </c>
      <c r="R44" s="354" t="s">
        <v>1019</v>
      </c>
      <c r="S44" s="389" t="s">
        <v>1424</v>
      </c>
      <c r="T44" s="110"/>
      <c r="U44" s="110"/>
      <c r="V44" s="110"/>
      <c r="W44" s="442" t="s">
        <v>1585</v>
      </c>
      <c r="X44" s="395" t="s">
        <v>1657</v>
      </c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24"/>
      <c r="AM44" s="24"/>
      <c r="AN44" s="545"/>
      <c r="AO44" s="110"/>
      <c r="AP44" s="110"/>
      <c r="AQ44" s="110"/>
      <c r="AR44" s="110"/>
      <c r="AS44" s="110"/>
      <c r="AT44" s="110"/>
      <c r="AU44" s="110"/>
      <c r="AV44" s="110"/>
      <c r="AW44" s="110"/>
      <c r="AX44" s="110"/>
      <c r="AY44" s="110"/>
      <c r="AZ44" s="110"/>
      <c r="BA44" s="110"/>
      <c r="BB44" s="110"/>
      <c r="BC44" s="110"/>
      <c r="BD44" s="110"/>
    </row>
    <row r="45" spans="1:56" x14ac:dyDescent="0.25">
      <c r="A45" s="331" t="s">
        <v>1461</v>
      </c>
      <c r="B45" s="482" t="s">
        <v>1418</v>
      </c>
      <c r="C45" s="482" t="s">
        <v>1417</v>
      </c>
      <c r="D45" s="338" t="s">
        <v>1159</v>
      </c>
      <c r="E45" s="501">
        <v>9305215896089</v>
      </c>
      <c r="F45" s="330">
        <v>31</v>
      </c>
      <c r="G45" s="326" t="s">
        <v>183</v>
      </c>
      <c r="H45" s="326" t="s">
        <v>35</v>
      </c>
      <c r="I45" s="110"/>
      <c r="J45" s="110"/>
      <c r="K45" s="110"/>
      <c r="L45" s="110"/>
      <c r="M45" s="110"/>
      <c r="N45" s="110"/>
      <c r="O45" s="354" t="s">
        <v>1558</v>
      </c>
      <c r="P45" s="354" t="s">
        <v>1559</v>
      </c>
      <c r="Q45" s="442" t="s">
        <v>1684</v>
      </c>
      <c r="R45" s="354" t="s">
        <v>1019</v>
      </c>
      <c r="S45" s="389" t="s">
        <v>1685</v>
      </c>
      <c r="T45" s="110"/>
      <c r="U45" s="110"/>
      <c r="V45" s="110"/>
      <c r="W45" s="330"/>
      <c r="X45" s="330"/>
      <c r="Y45" s="110"/>
      <c r="Z45" s="110"/>
      <c r="AA45" s="110"/>
      <c r="AB45" s="110"/>
      <c r="AC45" s="110"/>
      <c r="AD45" s="110"/>
      <c r="AE45" s="110"/>
      <c r="AF45" s="110"/>
      <c r="AG45" s="110"/>
      <c r="AH45" s="110"/>
      <c r="AI45" s="110"/>
      <c r="AJ45" s="110"/>
      <c r="AK45" s="110"/>
      <c r="AL45" s="24"/>
      <c r="AM45" s="24"/>
      <c r="AN45" s="545"/>
      <c r="AO45" s="110"/>
      <c r="AP45" s="110"/>
      <c r="AQ45" s="110"/>
      <c r="AR45" s="110"/>
      <c r="AS45" s="110"/>
      <c r="AT45" s="110"/>
      <c r="AU45" s="110"/>
      <c r="AV45" s="110"/>
      <c r="AW45" s="110"/>
      <c r="AX45" s="110"/>
      <c r="AY45" s="110"/>
      <c r="AZ45" s="110"/>
      <c r="BA45" s="110"/>
      <c r="BB45" s="110"/>
      <c r="BC45" s="110"/>
      <c r="BD45" s="110"/>
    </row>
    <row r="46" spans="1:56" x14ac:dyDescent="0.25">
      <c r="A46" s="331" t="s">
        <v>1463</v>
      </c>
      <c r="B46" s="482" t="s">
        <v>1698</v>
      </c>
      <c r="C46" s="482" t="s">
        <v>84</v>
      </c>
      <c r="D46" s="338" t="s">
        <v>1159</v>
      </c>
      <c r="E46" s="501">
        <v>8409075839089</v>
      </c>
      <c r="F46" s="330">
        <v>40</v>
      </c>
      <c r="G46" s="326" t="s">
        <v>183</v>
      </c>
      <c r="H46" s="326" t="s">
        <v>35</v>
      </c>
      <c r="I46" s="110"/>
      <c r="J46" s="110"/>
      <c r="K46" s="110"/>
      <c r="L46" s="110"/>
      <c r="M46" s="110"/>
      <c r="N46" s="110"/>
      <c r="O46" s="354" t="s">
        <v>1560</v>
      </c>
      <c r="P46" s="354" t="s">
        <v>1729</v>
      </c>
      <c r="Q46" s="442" t="s">
        <v>1568</v>
      </c>
      <c r="R46" s="354" t="s">
        <v>1019</v>
      </c>
      <c r="S46" s="389" t="s">
        <v>1697</v>
      </c>
      <c r="T46" s="110"/>
      <c r="U46" s="110"/>
      <c r="V46" s="110"/>
      <c r="W46" s="330"/>
      <c r="X46" s="33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330"/>
      <c r="AM46" s="330"/>
      <c r="AN46" s="545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</row>
    <row r="47" spans="1:56" x14ac:dyDescent="0.25">
      <c r="A47" s="331" t="s">
        <v>1464</v>
      </c>
      <c r="B47" s="369" t="s">
        <v>1429</v>
      </c>
      <c r="C47" s="369" t="s">
        <v>84</v>
      </c>
      <c r="D47" s="338" t="s">
        <v>1159</v>
      </c>
      <c r="E47" s="499" t="s">
        <v>1434</v>
      </c>
      <c r="F47" s="326">
        <v>38</v>
      </c>
      <c r="G47" s="326" t="s">
        <v>183</v>
      </c>
      <c r="H47" s="326" t="s">
        <v>35</v>
      </c>
      <c r="I47" s="110"/>
      <c r="J47" s="110"/>
      <c r="K47" s="110"/>
      <c r="L47" s="110"/>
      <c r="M47" s="110"/>
      <c r="N47" s="110"/>
      <c r="O47" s="354" t="s">
        <v>1632</v>
      </c>
      <c r="P47" s="442" t="s">
        <v>1633</v>
      </c>
      <c r="Q47" s="442" t="s">
        <v>1603</v>
      </c>
      <c r="R47" s="354" t="s">
        <v>1019</v>
      </c>
      <c r="S47" s="389" t="s">
        <v>1424</v>
      </c>
      <c r="T47" s="110"/>
      <c r="U47" s="110"/>
      <c r="V47" s="110"/>
      <c r="W47" s="442" t="s">
        <v>1598</v>
      </c>
      <c r="X47" s="395" t="s">
        <v>1599</v>
      </c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24"/>
      <c r="AM47" s="24"/>
      <c r="AN47" s="545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</row>
    <row r="48" spans="1:56" x14ac:dyDescent="0.25">
      <c r="A48" s="331" t="s">
        <v>1465</v>
      </c>
      <c r="B48" s="369" t="s">
        <v>1351</v>
      </c>
      <c r="C48" s="369" t="s">
        <v>1352</v>
      </c>
      <c r="D48" s="338" t="s">
        <v>1159</v>
      </c>
      <c r="E48" s="499" t="s">
        <v>1394</v>
      </c>
      <c r="F48" s="326">
        <v>47</v>
      </c>
      <c r="G48" s="326" t="s">
        <v>183</v>
      </c>
      <c r="H48" s="326" t="s">
        <v>35</v>
      </c>
      <c r="I48" s="110"/>
      <c r="J48" s="110"/>
      <c r="K48" s="110"/>
      <c r="L48" s="110"/>
      <c r="M48" s="110"/>
      <c r="N48" s="110"/>
      <c r="O48" s="354" t="s">
        <v>1630</v>
      </c>
      <c r="P48" s="442" t="s">
        <v>1631</v>
      </c>
      <c r="Q48" s="442" t="s">
        <v>1721</v>
      </c>
      <c r="R48" s="354" t="s">
        <v>1019</v>
      </c>
      <c r="S48" s="389" t="s">
        <v>1709</v>
      </c>
      <c r="T48" s="110"/>
      <c r="U48" s="110"/>
      <c r="V48" s="110"/>
      <c r="W48" s="442" t="s">
        <v>1741</v>
      </c>
      <c r="X48" s="442" t="s">
        <v>1742</v>
      </c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24"/>
      <c r="AM48" s="24"/>
      <c r="AN48" s="545"/>
      <c r="AO48" s="110"/>
      <c r="AP48" s="110"/>
      <c r="AQ48" s="110"/>
      <c r="AR48" s="110"/>
      <c r="AS48" s="110"/>
      <c r="AT48" s="110"/>
      <c r="AU48" s="110"/>
      <c r="AV48" s="110"/>
      <c r="AW48" s="110"/>
      <c r="AX48" s="110"/>
      <c r="AY48" s="110"/>
      <c r="AZ48" s="110"/>
      <c r="BA48" s="110"/>
      <c r="BB48" s="110"/>
      <c r="BC48" s="110"/>
      <c r="BD48" s="110"/>
    </row>
    <row r="49" spans="1:56" x14ac:dyDescent="0.25">
      <c r="A49" s="331" t="s">
        <v>1467</v>
      </c>
      <c r="B49" s="369" t="s">
        <v>1353</v>
      </c>
      <c r="C49" s="369" t="s">
        <v>93</v>
      </c>
      <c r="D49" s="338" t="s">
        <v>1159</v>
      </c>
      <c r="E49" s="499" t="s">
        <v>1397</v>
      </c>
      <c r="F49" s="326">
        <v>36</v>
      </c>
      <c r="G49" s="326" t="s">
        <v>183</v>
      </c>
      <c r="H49" s="326" t="s">
        <v>35</v>
      </c>
      <c r="I49" s="110"/>
      <c r="J49" s="110"/>
      <c r="K49" s="110"/>
      <c r="L49" s="110"/>
      <c r="M49" s="110"/>
      <c r="N49" s="110"/>
      <c r="O49" s="442" t="s">
        <v>1687</v>
      </c>
      <c r="P49" s="442" t="s">
        <v>1688</v>
      </c>
      <c r="Q49" s="442" t="s">
        <v>1577</v>
      </c>
      <c r="R49" s="354" t="s">
        <v>1019</v>
      </c>
      <c r="S49" s="389" t="s">
        <v>1580</v>
      </c>
      <c r="T49" s="110"/>
      <c r="U49" s="110"/>
      <c r="V49" s="110"/>
      <c r="W49" s="327"/>
      <c r="X49" s="327"/>
      <c r="Y49" s="110"/>
      <c r="Z49" s="110"/>
      <c r="AA49" s="110"/>
      <c r="AB49" s="110"/>
      <c r="AC49" s="110"/>
      <c r="AD49" s="110"/>
      <c r="AE49" s="110"/>
      <c r="AF49" s="110"/>
      <c r="AG49" s="110"/>
      <c r="AH49" s="110"/>
      <c r="AI49" s="110"/>
      <c r="AJ49" s="110"/>
      <c r="AK49" s="110"/>
      <c r="AL49" s="24"/>
      <c r="AM49" s="23"/>
      <c r="AN49" s="545"/>
      <c r="AO49" s="110"/>
      <c r="AP49" s="110"/>
      <c r="AQ49" s="110"/>
      <c r="AR49" s="110"/>
      <c r="AS49" s="110"/>
      <c r="AT49" s="110"/>
      <c r="AU49" s="110"/>
      <c r="AV49" s="110"/>
      <c r="AW49" s="110"/>
      <c r="AX49" s="110"/>
      <c r="AY49" s="110"/>
      <c r="AZ49" s="110"/>
      <c r="BA49" s="110"/>
      <c r="BB49" s="110"/>
      <c r="BC49" s="110"/>
      <c r="BD49" s="110"/>
    </row>
    <row r="50" spans="1:56" x14ac:dyDescent="0.25">
      <c r="A50" s="331" t="s">
        <v>1469</v>
      </c>
      <c r="B50" s="369" t="s">
        <v>160</v>
      </c>
      <c r="C50" s="369" t="s">
        <v>96</v>
      </c>
      <c r="D50" s="338" t="s">
        <v>1159</v>
      </c>
      <c r="E50" s="499" t="s">
        <v>1433</v>
      </c>
      <c r="F50" s="326">
        <v>49</v>
      </c>
      <c r="G50" s="326" t="s">
        <v>183</v>
      </c>
      <c r="H50" s="326" t="s">
        <v>35</v>
      </c>
      <c r="I50" s="110"/>
      <c r="J50" s="110"/>
      <c r="K50" s="110"/>
      <c r="L50" s="110"/>
      <c r="M50" s="110"/>
      <c r="N50" s="110"/>
      <c r="O50" s="354" t="s">
        <v>1627</v>
      </c>
      <c r="P50" s="442" t="s">
        <v>1628</v>
      </c>
      <c r="Q50" s="442" t="s">
        <v>1603</v>
      </c>
      <c r="R50" s="533" t="s">
        <v>1519</v>
      </c>
      <c r="S50" s="389" t="s">
        <v>1424</v>
      </c>
      <c r="T50" s="110"/>
      <c r="U50" s="110"/>
      <c r="V50" s="110"/>
      <c r="W50" s="442" t="s">
        <v>1622</v>
      </c>
      <c r="X50" s="395" t="s">
        <v>1623</v>
      </c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24"/>
      <c r="AM50" s="23"/>
      <c r="AN50" s="545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</row>
    <row r="51" spans="1:56" x14ac:dyDescent="0.25">
      <c r="A51" s="331" t="s">
        <v>1472</v>
      </c>
      <c r="B51" s="369" t="s">
        <v>845</v>
      </c>
      <c r="C51" s="498" t="s">
        <v>102</v>
      </c>
      <c r="D51" s="338" t="s">
        <v>1159</v>
      </c>
      <c r="E51" s="499" t="s">
        <v>1388</v>
      </c>
      <c r="F51" s="326">
        <v>47</v>
      </c>
      <c r="G51" s="326" t="s">
        <v>183</v>
      </c>
      <c r="H51" s="326" t="s">
        <v>35</v>
      </c>
      <c r="I51" s="110"/>
      <c r="J51" s="110"/>
      <c r="K51" s="110"/>
      <c r="L51" s="110"/>
      <c r="M51" s="110"/>
      <c r="N51" s="110"/>
      <c r="O51" s="354" t="s">
        <v>1479</v>
      </c>
      <c r="P51" s="442" t="s">
        <v>1480</v>
      </c>
      <c r="Q51" s="354" t="s">
        <v>1603</v>
      </c>
      <c r="R51" s="354" t="s">
        <v>1019</v>
      </c>
      <c r="S51" s="389" t="s">
        <v>1424</v>
      </c>
      <c r="T51" s="110"/>
      <c r="U51" s="110"/>
      <c r="V51" s="110"/>
      <c r="W51" s="23"/>
      <c r="X51" s="23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24"/>
      <c r="AM51" s="23"/>
      <c r="AN51" s="545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</row>
    <row r="52" spans="1:56" x14ac:dyDescent="0.25">
      <c r="A52" s="331" t="s">
        <v>1474</v>
      </c>
      <c r="B52" s="369" t="s">
        <v>1343</v>
      </c>
      <c r="C52" s="498" t="s">
        <v>108</v>
      </c>
      <c r="D52" s="338" t="s">
        <v>1159</v>
      </c>
      <c r="E52" s="499" t="s">
        <v>1389</v>
      </c>
      <c r="F52" s="326">
        <v>45</v>
      </c>
      <c r="G52" s="326" t="s">
        <v>183</v>
      </c>
      <c r="H52" s="326" t="s">
        <v>35</v>
      </c>
      <c r="I52" s="110"/>
      <c r="J52" s="110"/>
      <c r="K52" s="110"/>
      <c r="L52" s="110"/>
      <c r="M52" s="110"/>
      <c r="N52" s="110"/>
      <c r="O52" s="442" t="s">
        <v>1592</v>
      </c>
      <c r="P52" s="442" t="s">
        <v>1593</v>
      </c>
      <c r="Q52" s="442" t="s">
        <v>1603</v>
      </c>
      <c r="R52" s="354" t="s">
        <v>1019</v>
      </c>
      <c r="S52" s="389" t="s">
        <v>1424</v>
      </c>
      <c r="T52" s="110"/>
      <c r="U52" s="110"/>
      <c r="V52" s="110"/>
      <c r="W52" s="442" t="s">
        <v>1590</v>
      </c>
      <c r="X52" s="395" t="s">
        <v>1591</v>
      </c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24"/>
      <c r="AM52" s="24"/>
      <c r="AN52" s="545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</row>
    <row r="53" spans="1:56" x14ac:dyDescent="0.25">
      <c r="A53" s="41" t="s">
        <v>1475</v>
      </c>
      <c r="B53" s="369" t="s">
        <v>1341</v>
      </c>
      <c r="C53" s="498" t="s">
        <v>106</v>
      </c>
      <c r="D53" s="338" t="s">
        <v>1159</v>
      </c>
      <c r="E53" s="499">
        <v>8203205792080</v>
      </c>
      <c r="F53" s="326">
        <v>42</v>
      </c>
      <c r="G53" s="326" t="s">
        <v>183</v>
      </c>
      <c r="H53" s="326" t="s">
        <v>35</v>
      </c>
      <c r="I53" s="110"/>
      <c r="J53" s="110"/>
      <c r="K53" s="110"/>
      <c r="L53" s="110"/>
      <c r="M53" s="110"/>
      <c r="N53" s="110"/>
      <c r="O53" s="442" t="s">
        <v>1731</v>
      </c>
      <c r="P53" s="442" t="s">
        <v>1602</v>
      </c>
      <c r="Q53" s="442" t="s">
        <v>1706</v>
      </c>
      <c r="R53" s="354" t="s">
        <v>1019</v>
      </c>
      <c r="S53" s="389" t="s">
        <v>1707</v>
      </c>
      <c r="T53" s="110"/>
      <c r="U53" s="110"/>
      <c r="V53" s="110"/>
      <c r="W53" s="24"/>
      <c r="X53" s="23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442" t="s">
        <v>1740</v>
      </c>
      <c r="AM53" s="395" t="s">
        <v>1738</v>
      </c>
      <c r="AN53" s="556" t="s">
        <v>1613</v>
      </c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</row>
    <row r="54" spans="1:56" x14ac:dyDescent="0.25">
      <c r="A54" s="189" t="s">
        <v>1476</v>
      </c>
      <c r="B54" s="369" t="s">
        <v>880</v>
      </c>
      <c r="C54" s="498" t="s">
        <v>796</v>
      </c>
      <c r="D54" s="338" t="s">
        <v>1159</v>
      </c>
      <c r="E54" s="506" t="s">
        <v>1390</v>
      </c>
      <c r="F54" s="326">
        <v>56</v>
      </c>
      <c r="G54" s="326" t="s">
        <v>183</v>
      </c>
      <c r="H54" s="326" t="s">
        <v>35</v>
      </c>
      <c r="I54" s="110"/>
      <c r="J54" s="110"/>
      <c r="K54" s="110"/>
      <c r="L54" s="110"/>
      <c r="M54" s="110"/>
      <c r="N54" s="110"/>
      <c r="O54" s="442" t="s">
        <v>1600</v>
      </c>
      <c r="P54" s="442" t="s">
        <v>1601</v>
      </c>
      <c r="Q54" s="354" t="s">
        <v>1708</v>
      </c>
      <c r="R54" s="354" t="s">
        <v>1019</v>
      </c>
      <c r="S54" s="389" t="s">
        <v>1709</v>
      </c>
      <c r="T54" s="110"/>
      <c r="U54" s="110"/>
      <c r="V54" s="110"/>
      <c r="W54" s="330"/>
      <c r="X54" s="33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24"/>
      <c r="AM54" s="24"/>
      <c r="AN54" s="545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</row>
    <row r="55" spans="1:56" x14ac:dyDescent="0.25">
      <c r="A55" s="189" t="s">
        <v>1490</v>
      </c>
      <c r="B55" s="369" t="s">
        <v>1554</v>
      </c>
      <c r="C55" s="498" t="s">
        <v>1555</v>
      </c>
      <c r="D55" s="338" t="s">
        <v>1159</v>
      </c>
      <c r="E55" s="506">
        <v>6707276100165</v>
      </c>
      <c r="F55" s="326">
        <v>57</v>
      </c>
      <c r="G55" s="326" t="s">
        <v>183</v>
      </c>
      <c r="H55" s="326" t="s">
        <v>35</v>
      </c>
      <c r="I55" s="110"/>
      <c r="J55" s="110"/>
      <c r="K55" s="110"/>
      <c r="L55" s="110"/>
      <c r="M55" s="110"/>
      <c r="N55" s="110"/>
      <c r="O55" s="442" t="s">
        <v>1556</v>
      </c>
      <c r="P55" s="442" t="s">
        <v>1557</v>
      </c>
      <c r="Q55" s="354" t="s">
        <v>1684</v>
      </c>
      <c r="R55" s="354" t="s">
        <v>1019</v>
      </c>
      <c r="S55" s="389" t="s">
        <v>1685</v>
      </c>
      <c r="T55" s="110"/>
      <c r="U55" s="110"/>
      <c r="V55" s="110"/>
      <c r="W55" s="330"/>
      <c r="X55" s="33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  <c r="AJ55" s="110"/>
      <c r="AK55" s="110"/>
      <c r="AL55" s="24"/>
      <c r="AM55" s="23"/>
      <c r="AN55" s="545"/>
      <c r="AO55" s="110"/>
      <c r="AP55" s="110"/>
      <c r="AQ55" s="110"/>
      <c r="AR55" s="110"/>
      <c r="AS55" s="110"/>
      <c r="AT55" s="110"/>
      <c r="AU55" s="110"/>
      <c r="AV55" s="110"/>
      <c r="AW55" s="110"/>
      <c r="AX55" s="110"/>
      <c r="AY55" s="110"/>
      <c r="AZ55" s="110"/>
      <c r="BA55" s="110"/>
      <c r="BB55" s="110"/>
      <c r="BC55" s="110"/>
      <c r="BD55" s="110"/>
    </row>
    <row r="56" spans="1:56" x14ac:dyDescent="0.25">
      <c r="A56" s="189" t="s">
        <v>1525</v>
      </c>
      <c r="B56" s="482" t="s">
        <v>787</v>
      </c>
      <c r="C56" s="482" t="s">
        <v>1694</v>
      </c>
      <c r="D56" s="338" t="s">
        <v>1159</v>
      </c>
      <c r="E56" s="501" t="s">
        <v>1695</v>
      </c>
      <c r="F56" s="330">
        <v>40</v>
      </c>
      <c r="G56" s="330" t="s">
        <v>183</v>
      </c>
      <c r="H56" s="330" t="s">
        <v>35</v>
      </c>
      <c r="I56" s="110"/>
      <c r="J56" s="110"/>
      <c r="K56" s="110"/>
      <c r="L56" s="110"/>
      <c r="M56" s="110"/>
      <c r="N56" s="110"/>
      <c r="O56" s="442" t="s">
        <v>1696</v>
      </c>
      <c r="P56" s="330"/>
      <c r="Q56" s="354" t="s">
        <v>1568</v>
      </c>
      <c r="R56" s="354" t="s">
        <v>1019</v>
      </c>
      <c r="S56" s="389" t="s">
        <v>1697</v>
      </c>
      <c r="T56" s="110"/>
      <c r="U56" s="110"/>
      <c r="V56" s="110"/>
      <c r="W56" s="330"/>
      <c r="X56" s="33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332"/>
      <c r="AM56" s="327"/>
      <c r="AN56" s="545"/>
      <c r="AO56" s="110"/>
      <c r="AP56" s="110"/>
      <c r="AQ56" s="110"/>
      <c r="AR56" s="110"/>
      <c r="AS56" s="110"/>
      <c r="AT56" s="110"/>
      <c r="AU56" s="110"/>
      <c r="AV56" s="110"/>
      <c r="AW56" s="110"/>
      <c r="AX56" s="110"/>
      <c r="AY56" s="110"/>
      <c r="AZ56" s="110"/>
      <c r="BA56" s="110"/>
      <c r="BB56" s="110"/>
      <c r="BC56" s="110"/>
      <c r="BD56" s="110"/>
    </row>
    <row r="57" spans="1:56" x14ac:dyDescent="0.25">
      <c r="AL57" s="639"/>
      <c r="AM57" s="622"/>
      <c r="AN57" s="640"/>
    </row>
    <row r="58" spans="1:56" x14ac:dyDescent="0.25">
      <c r="AL58" s="330"/>
      <c r="AM58" s="330"/>
      <c r="AN58" s="545"/>
    </row>
    <row r="59" spans="1:56" x14ac:dyDescent="0.25">
      <c r="AL59" s="24"/>
      <c r="AM59" s="24"/>
      <c r="AN59" s="545"/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EBC2-0581-4B07-9985-5446D4D7E257}">
  <dimension ref="A1:AT12"/>
  <sheetViews>
    <sheetView workbookViewId="0">
      <selection activeCell="P4" sqref="P4"/>
    </sheetView>
  </sheetViews>
  <sheetFormatPr defaultRowHeight="15" x14ac:dyDescent="0.25"/>
  <cols>
    <col min="1" max="1" width="20.140625" customWidth="1"/>
    <col min="2" max="2" width="13.28515625" customWidth="1"/>
    <col min="3" max="3" width="14" customWidth="1"/>
    <col min="5" max="5" width="13.5703125" customWidth="1"/>
    <col min="17" max="17" width="11.5703125" customWidth="1"/>
    <col min="18" max="18" width="10.5703125" customWidth="1"/>
    <col min="32" max="32" width="10.28515625" customWidth="1"/>
    <col min="33" max="33" width="10.140625" customWidth="1"/>
    <col min="36" max="36" width="10.85546875" customWidth="1"/>
    <col min="37" max="37" width="11.42578125" customWidth="1"/>
  </cols>
  <sheetData>
    <row r="1" spans="1:46" x14ac:dyDescent="0.25">
      <c r="A1" s="360" t="s">
        <v>1329</v>
      </c>
      <c r="B1" s="370" t="s">
        <v>7</v>
      </c>
      <c r="C1" s="370" t="s">
        <v>0</v>
      </c>
      <c r="D1" s="16" t="s">
        <v>8</v>
      </c>
      <c r="E1" s="179" t="s">
        <v>1</v>
      </c>
      <c r="F1" s="16" t="s">
        <v>11</v>
      </c>
      <c r="G1" s="17" t="s">
        <v>10</v>
      </c>
      <c r="H1" s="17" t="s">
        <v>9</v>
      </c>
    </row>
    <row r="2" spans="1:46" ht="56.25" x14ac:dyDescent="0.25">
      <c r="A2" s="353" t="s">
        <v>1330</v>
      </c>
      <c r="B2" s="371"/>
      <c r="C2" s="371"/>
      <c r="D2" s="23"/>
      <c r="E2" s="185"/>
      <c r="F2" s="23"/>
      <c r="G2" s="23"/>
      <c r="H2" s="23"/>
      <c r="I2" s="561" t="s">
        <v>771</v>
      </c>
      <c r="J2" s="561" t="s">
        <v>594</v>
      </c>
      <c r="K2" s="22" t="s">
        <v>26</v>
      </c>
      <c r="L2" s="22" t="s">
        <v>1018</v>
      </c>
      <c r="M2" s="20" t="s">
        <v>6</v>
      </c>
      <c r="N2" s="632" t="s">
        <v>1799</v>
      </c>
      <c r="O2" s="21" t="s">
        <v>1034</v>
      </c>
      <c r="P2" s="20" t="s">
        <v>17</v>
      </c>
      <c r="Q2" s="633" t="s">
        <v>1775</v>
      </c>
      <c r="R2" s="19" t="s">
        <v>18</v>
      </c>
      <c r="S2" s="20" t="s">
        <v>17</v>
      </c>
      <c r="T2" s="19" t="s">
        <v>19</v>
      </c>
      <c r="U2" s="20" t="s">
        <v>17</v>
      </c>
      <c r="V2" s="19" t="s">
        <v>1033</v>
      </c>
      <c r="W2" s="20" t="s">
        <v>17</v>
      </c>
      <c r="X2" s="19" t="s">
        <v>1066</v>
      </c>
      <c r="Y2" s="20" t="s">
        <v>17</v>
      </c>
      <c r="Z2" s="19" t="s">
        <v>1032</v>
      </c>
      <c r="AA2" s="20" t="s">
        <v>17</v>
      </c>
      <c r="AB2" s="19"/>
      <c r="AC2" s="20" t="s">
        <v>17</v>
      </c>
      <c r="AD2" s="19" t="s">
        <v>23</v>
      </c>
      <c r="AE2" s="20" t="s">
        <v>17</v>
      </c>
      <c r="AF2" s="19" t="s">
        <v>24</v>
      </c>
      <c r="AG2" s="20" t="s">
        <v>17</v>
      </c>
      <c r="AH2" s="19" t="s">
        <v>25</v>
      </c>
      <c r="AI2" s="20" t="s">
        <v>17</v>
      </c>
      <c r="AM2" s="22" t="s">
        <v>27</v>
      </c>
      <c r="AN2" s="20" t="s">
        <v>17</v>
      </c>
      <c r="AO2" s="22" t="s">
        <v>28</v>
      </c>
      <c r="AP2" s="20" t="s">
        <v>17</v>
      </c>
      <c r="AS2" s="22" t="s">
        <v>29</v>
      </c>
      <c r="AT2" s="20" t="s">
        <v>17</v>
      </c>
    </row>
    <row r="3" spans="1:46" x14ac:dyDescent="0.25">
      <c r="A3" s="350" t="s">
        <v>1331</v>
      </c>
      <c r="B3" s="371"/>
      <c r="C3" s="371"/>
      <c r="D3" s="23"/>
      <c r="E3" s="185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</row>
    <row r="4" spans="1:46" x14ac:dyDescent="0.25">
      <c r="A4" s="445" t="s">
        <v>1332</v>
      </c>
      <c r="B4" s="446"/>
      <c r="C4" s="446"/>
      <c r="D4" s="447"/>
      <c r="E4" s="448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</row>
    <row r="5" spans="1:46" s="110" customFormat="1" x14ac:dyDescent="0.25">
      <c r="A5" s="545" t="s">
        <v>1790</v>
      </c>
      <c r="AF5" s="175"/>
    </row>
    <row r="6" spans="1:46" s="110" customFormat="1" x14ac:dyDescent="0.25">
      <c r="A6" s="437"/>
      <c r="B6" s="158"/>
      <c r="C6" s="158"/>
      <c r="D6" s="158"/>
      <c r="E6" s="449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461"/>
      <c r="R6" s="461"/>
      <c r="AF6" s="175"/>
    </row>
    <row r="7" spans="1:46" s="110" customFormat="1" x14ac:dyDescent="0.25">
      <c r="A7" s="437"/>
      <c r="B7" s="158"/>
      <c r="C7" s="158"/>
      <c r="D7" s="158"/>
      <c r="E7" s="449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461"/>
      <c r="R7" s="461"/>
      <c r="AF7" s="175"/>
    </row>
    <row r="8" spans="1:46" s="110" customFormat="1" x14ac:dyDescent="0.25">
      <c r="AF8" s="175"/>
    </row>
    <row r="9" spans="1:46" s="110" customFormat="1" x14ac:dyDescent="0.25"/>
    <row r="10" spans="1:46" s="110" customFormat="1" x14ac:dyDescent="0.25"/>
    <row r="11" spans="1:46" s="110" customFormat="1" x14ac:dyDescent="0.25"/>
    <row r="12" spans="1:46" s="110" customForma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30D5-094C-4C0B-B0E3-E79C3E0A97A9}">
  <dimension ref="A1:XT25"/>
  <sheetViews>
    <sheetView topLeftCell="C6" workbookViewId="0">
      <selection activeCell="Q18" sqref="Q18"/>
    </sheetView>
  </sheetViews>
  <sheetFormatPr defaultRowHeight="15" x14ac:dyDescent="0.25"/>
  <cols>
    <col min="1" max="1" width="13.28515625" customWidth="1"/>
    <col min="2" max="2" width="17.7109375" customWidth="1"/>
    <col min="3" max="3" width="16.42578125" customWidth="1"/>
    <col min="4" max="4" width="21.140625" customWidth="1"/>
    <col min="5" max="5" width="16.7109375" customWidth="1"/>
    <col min="6" max="6" width="9" customWidth="1"/>
    <col min="11" max="11" width="13" customWidth="1"/>
    <col min="12" max="12" width="10.140625" customWidth="1"/>
    <col min="17" max="17" width="11.140625" customWidth="1"/>
    <col min="18" max="18" width="10.85546875" customWidth="1"/>
    <col min="19" max="19" width="12.140625" customWidth="1"/>
    <col min="22" max="22" width="8.5703125" customWidth="1"/>
    <col min="23" max="23" width="12.140625" customWidth="1"/>
    <col min="24" max="24" width="11.140625" customWidth="1"/>
    <col min="29" max="29" width="10.140625" customWidth="1"/>
    <col min="30" max="30" width="13" customWidth="1"/>
    <col min="31" max="31" width="10.85546875" customWidth="1"/>
    <col min="32" max="32" width="13.140625" customWidth="1"/>
    <col min="33" max="33" width="12.140625" customWidth="1"/>
    <col min="34" max="35" width="11.42578125" customWidth="1"/>
    <col min="36" max="36" width="11" customWidth="1"/>
  </cols>
  <sheetData>
    <row r="1" spans="1:641" s="23" customFormat="1" ht="41.25" customHeight="1" x14ac:dyDescent="0.2">
      <c r="A1" s="360" t="s">
        <v>1329</v>
      </c>
      <c r="B1" s="370" t="s">
        <v>7</v>
      </c>
      <c r="C1" s="370" t="s">
        <v>0</v>
      </c>
      <c r="D1" s="16" t="s">
        <v>8</v>
      </c>
      <c r="E1" s="179" t="s">
        <v>1</v>
      </c>
      <c r="F1" s="16" t="s">
        <v>11</v>
      </c>
      <c r="G1" s="17" t="s">
        <v>10</v>
      </c>
      <c r="H1" s="17" t="s">
        <v>9</v>
      </c>
      <c r="I1" s="464" t="s">
        <v>1034</v>
      </c>
      <c r="J1" s="463" t="s">
        <v>17</v>
      </c>
      <c r="K1" s="22" t="s">
        <v>18</v>
      </c>
      <c r="L1" s="463" t="s">
        <v>17</v>
      </c>
      <c r="M1" s="22" t="s">
        <v>19</v>
      </c>
      <c r="N1" s="463" t="s">
        <v>17</v>
      </c>
      <c r="O1" s="22" t="s">
        <v>1033</v>
      </c>
      <c r="P1" s="463" t="s">
        <v>17</v>
      </c>
      <c r="Q1" s="22" t="s">
        <v>1066</v>
      </c>
      <c r="R1" s="463" t="s">
        <v>17</v>
      </c>
      <c r="S1" s="22" t="s">
        <v>1032</v>
      </c>
      <c r="T1" s="463" t="s">
        <v>17</v>
      </c>
      <c r="U1" s="22" t="s">
        <v>1031</v>
      </c>
      <c r="V1" s="463" t="s">
        <v>17</v>
      </c>
      <c r="W1" s="22" t="s">
        <v>23</v>
      </c>
      <c r="X1" s="463" t="s">
        <v>17</v>
      </c>
      <c r="Y1" s="22" t="s">
        <v>24</v>
      </c>
      <c r="Z1" s="463" t="s">
        <v>17</v>
      </c>
      <c r="AA1" s="22" t="s">
        <v>25</v>
      </c>
      <c r="AB1" s="463" t="s">
        <v>17</v>
      </c>
      <c r="AC1" s="22" t="s">
        <v>26</v>
      </c>
      <c r="AD1" s="22" t="s">
        <v>1018</v>
      </c>
      <c r="AE1" s="463" t="s">
        <v>6</v>
      </c>
      <c r="AF1" s="22" t="s">
        <v>27</v>
      </c>
      <c r="AG1" s="463" t="s">
        <v>17</v>
      </c>
      <c r="AH1" s="22" t="s">
        <v>28</v>
      </c>
      <c r="AI1" s="463" t="s">
        <v>17</v>
      </c>
      <c r="AJ1" s="345" t="s">
        <v>771</v>
      </c>
      <c r="AK1" s="34" t="s">
        <v>594</v>
      </c>
      <c r="AL1" s="22" t="s">
        <v>29</v>
      </c>
      <c r="AM1" s="463" t="s">
        <v>17</v>
      </c>
      <c r="AN1" s="472"/>
      <c r="AO1" s="468"/>
      <c r="AP1" s="468"/>
      <c r="AQ1" s="468"/>
      <c r="AR1" s="468"/>
      <c r="AS1" s="468"/>
      <c r="AT1" s="468"/>
      <c r="AU1" s="468"/>
      <c r="AV1" s="469"/>
      <c r="AW1" s="469"/>
      <c r="AX1" s="469"/>
      <c r="AY1" s="469"/>
      <c r="AZ1" s="468"/>
      <c r="BA1" s="468"/>
      <c r="BB1" s="468"/>
      <c r="BC1" s="468"/>
      <c r="BD1" s="468"/>
      <c r="BE1" s="469"/>
      <c r="BF1" s="469"/>
      <c r="BG1" s="469"/>
      <c r="BH1" s="469"/>
      <c r="BI1" s="468"/>
      <c r="BJ1" s="468"/>
      <c r="BK1" s="468"/>
      <c r="BL1" s="468"/>
      <c r="BM1" s="468"/>
      <c r="BN1" s="468"/>
      <c r="BO1" s="468"/>
      <c r="BP1" s="468"/>
      <c r="BQ1" s="468"/>
      <c r="BR1" s="468"/>
      <c r="BS1" s="468"/>
      <c r="BT1" s="468"/>
      <c r="BU1" s="468"/>
      <c r="BV1" s="468"/>
      <c r="BW1" s="468"/>
      <c r="BX1" s="468"/>
      <c r="BY1" s="468"/>
      <c r="BZ1" s="468"/>
      <c r="CA1" s="468"/>
      <c r="CB1" s="468"/>
      <c r="CC1" s="468"/>
      <c r="CD1" s="468"/>
      <c r="CE1" s="468"/>
      <c r="CF1" s="468"/>
      <c r="CG1" s="468"/>
      <c r="CH1" s="468"/>
      <c r="CI1" s="468"/>
      <c r="CJ1" s="468"/>
      <c r="CK1" s="468"/>
      <c r="CL1" s="468"/>
      <c r="CM1" s="468"/>
      <c r="CN1" s="468"/>
      <c r="CO1" s="468"/>
      <c r="CP1" s="468"/>
      <c r="CQ1" s="468"/>
      <c r="CR1" s="468"/>
      <c r="CS1" s="468"/>
      <c r="CT1" s="468"/>
      <c r="CU1" s="468"/>
      <c r="CV1" s="468"/>
      <c r="CW1" s="468"/>
      <c r="CX1" s="468"/>
      <c r="CY1" s="468"/>
      <c r="CZ1" s="468"/>
      <c r="DA1" s="468"/>
      <c r="DB1" s="468"/>
      <c r="DC1" s="468"/>
      <c r="DD1" s="468"/>
      <c r="DE1" s="468"/>
      <c r="DF1" s="468"/>
      <c r="DG1" s="468"/>
      <c r="DH1" s="468"/>
      <c r="DI1" s="468"/>
      <c r="DJ1" s="468"/>
      <c r="DK1" s="468"/>
      <c r="DL1" s="468"/>
      <c r="DM1" s="468"/>
      <c r="DN1" s="468"/>
      <c r="DO1" s="468"/>
      <c r="DP1" s="468"/>
      <c r="DQ1" s="468"/>
      <c r="DR1" s="468"/>
      <c r="DS1" s="468"/>
      <c r="DT1" s="468"/>
      <c r="DU1" s="468"/>
      <c r="DV1" s="468"/>
      <c r="DW1" s="468"/>
      <c r="DX1" s="468"/>
      <c r="DY1" s="468"/>
      <c r="DZ1" s="468"/>
      <c r="EA1" s="468"/>
      <c r="EB1" s="468"/>
      <c r="EC1" s="468"/>
      <c r="ED1" s="468"/>
      <c r="EE1" s="468"/>
      <c r="EF1" s="468"/>
      <c r="EG1" s="468"/>
      <c r="EH1" s="468"/>
      <c r="EI1" s="468"/>
      <c r="EJ1" s="468"/>
      <c r="EK1" s="468"/>
      <c r="EL1" s="468"/>
      <c r="EM1" s="468"/>
      <c r="EN1" s="468"/>
      <c r="EO1" s="468"/>
      <c r="EP1" s="468"/>
      <c r="EQ1" s="468"/>
      <c r="ER1" s="468"/>
      <c r="ES1" s="468"/>
      <c r="ET1" s="468"/>
      <c r="EU1" s="468"/>
      <c r="EV1" s="468"/>
      <c r="EW1" s="468"/>
      <c r="EX1" s="468"/>
      <c r="EY1" s="468"/>
      <c r="EZ1" s="468"/>
      <c r="FA1" s="468"/>
      <c r="FB1" s="468"/>
      <c r="FC1" s="468"/>
      <c r="FD1" s="468"/>
      <c r="FE1" s="468"/>
      <c r="FF1" s="468"/>
      <c r="FG1" s="468"/>
      <c r="FH1" s="468"/>
      <c r="FI1" s="468"/>
      <c r="FJ1" s="468"/>
      <c r="FK1" s="468"/>
      <c r="FL1" s="468"/>
      <c r="FM1" s="468"/>
      <c r="FN1" s="468"/>
      <c r="FO1" s="468"/>
      <c r="FP1" s="468"/>
      <c r="FQ1" s="468"/>
      <c r="FR1" s="468"/>
      <c r="FS1" s="468"/>
      <c r="FT1" s="468"/>
      <c r="FU1" s="468"/>
      <c r="FV1" s="468"/>
      <c r="FW1" s="468"/>
      <c r="FX1" s="468"/>
      <c r="FY1" s="468"/>
      <c r="FZ1" s="468"/>
      <c r="GA1" s="468"/>
      <c r="GB1" s="468"/>
      <c r="GC1" s="468"/>
      <c r="GD1" s="468"/>
      <c r="GE1" s="468"/>
      <c r="GF1" s="468"/>
      <c r="GG1" s="468"/>
      <c r="GH1" s="468"/>
      <c r="GI1" s="468"/>
      <c r="GJ1" s="468"/>
      <c r="GK1" s="468"/>
      <c r="GL1" s="468"/>
      <c r="GM1" s="468"/>
      <c r="GN1" s="468"/>
      <c r="GO1" s="468"/>
      <c r="GP1" s="468"/>
      <c r="GQ1" s="468"/>
      <c r="GR1" s="468"/>
      <c r="GS1" s="468"/>
      <c r="GT1" s="468"/>
      <c r="GU1" s="468"/>
      <c r="GV1" s="468"/>
      <c r="GW1" s="468"/>
      <c r="GX1" s="468"/>
      <c r="GY1" s="468"/>
      <c r="GZ1" s="468"/>
      <c r="HA1" s="468"/>
      <c r="HB1" s="468"/>
      <c r="HC1" s="468"/>
      <c r="HD1" s="468"/>
      <c r="HE1" s="468"/>
      <c r="HF1" s="468"/>
      <c r="HG1" s="468"/>
      <c r="HH1" s="468"/>
      <c r="HI1" s="468"/>
      <c r="HJ1" s="468"/>
      <c r="HK1" s="468"/>
      <c r="HL1" s="468"/>
      <c r="HM1" s="468"/>
      <c r="HN1" s="468"/>
      <c r="HO1" s="468"/>
      <c r="HP1" s="468"/>
      <c r="HQ1" s="468"/>
      <c r="HR1" s="468"/>
      <c r="HS1" s="468"/>
      <c r="HT1" s="468"/>
      <c r="HU1" s="468"/>
      <c r="HV1" s="468"/>
      <c r="HW1" s="468"/>
      <c r="HX1" s="468"/>
      <c r="HY1" s="468"/>
      <c r="HZ1" s="468"/>
      <c r="IA1" s="468"/>
      <c r="IB1" s="468"/>
      <c r="IC1" s="468"/>
      <c r="ID1" s="468"/>
      <c r="IE1" s="468"/>
      <c r="IF1" s="468"/>
      <c r="IG1" s="468"/>
      <c r="IH1" s="468"/>
      <c r="II1" s="468"/>
      <c r="IJ1" s="468"/>
      <c r="IK1" s="468"/>
      <c r="IL1" s="468"/>
      <c r="IM1" s="468"/>
      <c r="IN1" s="468"/>
      <c r="IO1" s="468"/>
      <c r="IP1" s="468"/>
      <c r="IQ1" s="468"/>
      <c r="IR1" s="468"/>
      <c r="IS1" s="468"/>
      <c r="IT1" s="468"/>
      <c r="IU1" s="468"/>
      <c r="IV1" s="468"/>
      <c r="IW1" s="468"/>
      <c r="IX1" s="468"/>
      <c r="IY1" s="468"/>
      <c r="IZ1" s="468"/>
      <c r="JA1" s="468"/>
      <c r="JB1" s="468"/>
      <c r="JC1" s="468"/>
      <c r="JD1" s="468"/>
      <c r="JE1" s="468"/>
      <c r="JF1" s="468"/>
      <c r="JG1" s="468"/>
      <c r="JH1" s="468"/>
      <c r="JI1" s="468"/>
      <c r="JJ1" s="468"/>
      <c r="JK1" s="468"/>
      <c r="JL1" s="468"/>
      <c r="JM1" s="468"/>
      <c r="JN1" s="468"/>
      <c r="JO1" s="468"/>
      <c r="JP1" s="468"/>
      <c r="JQ1" s="468"/>
      <c r="JR1" s="468"/>
      <c r="JS1" s="468"/>
      <c r="JT1" s="468"/>
      <c r="JU1" s="468"/>
      <c r="JV1" s="468"/>
      <c r="JW1" s="468"/>
      <c r="JX1" s="468"/>
      <c r="JY1" s="468"/>
      <c r="JZ1" s="468"/>
      <c r="KA1" s="468"/>
      <c r="KB1" s="468"/>
      <c r="KC1" s="468"/>
      <c r="KD1" s="468"/>
      <c r="KE1" s="468"/>
      <c r="KF1" s="468"/>
      <c r="KG1" s="468"/>
      <c r="KH1" s="468"/>
      <c r="KI1" s="468"/>
      <c r="KJ1" s="468"/>
      <c r="KK1" s="468"/>
      <c r="KL1" s="468"/>
      <c r="KM1" s="468"/>
      <c r="KN1" s="468"/>
      <c r="KO1" s="468"/>
      <c r="KP1" s="468"/>
      <c r="KQ1" s="468"/>
      <c r="KR1" s="468"/>
      <c r="KS1" s="468"/>
      <c r="KT1" s="468"/>
      <c r="KU1" s="468"/>
      <c r="KV1" s="468"/>
      <c r="KW1" s="468"/>
      <c r="KX1" s="468"/>
      <c r="KY1" s="468"/>
      <c r="KZ1" s="468"/>
      <c r="LA1" s="468"/>
      <c r="LB1" s="468"/>
      <c r="LC1" s="468"/>
      <c r="LD1" s="468"/>
      <c r="LE1" s="468"/>
      <c r="LF1" s="468"/>
      <c r="LG1" s="468"/>
      <c r="LH1" s="468"/>
      <c r="LI1" s="468"/>
      <c r="LJ1" s="468"/>
      <c r="LK1" s="468"/>
      <c r="LL1" s="468"/>
      <c r="LM1" s="468"/>
      <c r="LN1" s="468"/>
      <c r="LO1" s="468"/>
      <c r="LP1" s="468"/>
      <c r="LQ1" s="468"/>
      <c r="LR1" s="468"/>
      <c r="LS1" s="468"/>
      <c r="LT1" s="468"/>
      <c r="LU1" s="468"/>
      <c r="LV1" s="468"/>
      <c r="LW1" s="468"/>
      <c r="LX1" s="468"/>
      <c r="LY1" s="468"/>
      <c r="LZ1" s="468"/>
      <c r="MA1" s="468"/>
      <c r="MB1" s="468"/>
      <c r="MC1" s="468"/>
      <c r="MD1" s="468"/>
      <c r="ME1" s="468"/>
      <c r="MF1" s="468"/>
      <c r="MG1" s="468"/>
      <c r="MH1" s="468"/>
      <c r="MI1" s="468"/>
      <c r="MJ1" s="468"/>
      <c r="MK1" s="468"/>
      <c r="ML1" s="468"/>
      <c r="MM1" s="468"/>
      <c r="MN1" s="468"/>
      <c r="MO1" s="468"/>
      <c r="MP1" s="468"/>
      <c r="MQ1" s="468"/>
      <c r="MR1" s="468"/>
      <c r="MS1" s="468"/>
      <c r="MT1" s="468"/>
      <c r="MU1" s="468"/>
      <c r="MV1" s="468"/>
      <c r="MW1" s="468"/>
      <c r="MX1" s="468"/>
      <c r="MY1" s="468"/>
      <c r="MZ1" s="468"/>
      <c r="NA1" s="468"/>
      <c r="NB1" s="468"/>
      <c r="NC1" s="468"/>
      <c r="ND1" s="468"/>
      <c r="NE1" s="468"/>
      <c r="NF1" s="468"/>
      <c r="NG1" s="468"/>
      <c r="NH1" s="468"/>
      <c r="NI1" s="468"/>
      <c r="NJ1" s="468"/>
      <c r="NK1" s="468"/>
      <c r="NL1" s="468"/>
      <c r="NM1" s="468"/>
      <c r="NN1" s="468"/>
      <c r="NO1" s="468"/>
      <c r="NP1" s="468"/>
      <c r="NQ1" s="468"/>
      <c r="NR1" s="468"/>
      <c r="NS1" s="468"/>
      <c r="NT1" s="468"/>
      <c r="NU1" s="468"/>
      <c r="NV1" s="468"/>
      <c r="NW1" s="468"/>
      <c r="NX1" s="468"/>
      <c r="NY1" s="468"/>
      <c r="NZ1" s="468"/>
      <c r="OA1" s="468"/>
      <c r="OB1" s="468"/>
      <c r="OC1" s="468"/>
      <c r="OD1" s="468"/>
      <c r="OE1" s="468"/>
      <c r="OF1" s="468"/>
      <c r="OG1" s="468"/>
      <c r="OH1" s="468"/>
      <c r="OI1" s="468"/>
      <c r="OJ1" s="468"/>
      <c r="OK1" s="468"/>
      <c r="OL1" s="468"/>
      <c r="OM1" s="468"/>
      <c r="ON1" s="468"/>
      <c r="OO1" s="468"/>
      <c r="OP1" s="468"/>
      <c r="OQ1" s="468"/>
      <c r="OR1" s="468"/>
      <c r="OS1" s="468"/>
      <c r="OT1" s="468"/>
      <c r="OU1" s="468"/>
      <c r="OV1" s="468"/>
      <c r="OW1" s="468"/>
      <c r="OX1" s="468"/>
      <c r="OY1" s="468"/>
      <c r="OZ1" s="468"/>
      <c r="PA1" s="468"/>
      <c r="PB1" s="468"/>
      <c r="PC1" s="468"/>
      <c r="PD1" s="468"/>
      <c r="PE1" s="468"/>
      <c r="PF1" s="468"/>
      <c r="PG1" s="468"/>
      <c r="PH1" s="468"/>
      <c r="PI1" s="468"/>
      <c r="PJ1" s="468"/>
      <c r="PK1" s="468"/>
      <c r="PL1" s="468"/>
      <c r="PM1" s="468"/>
      <c r="PN1" s="468"/>
      <c r="PO1" s="468"/>
      <c r="PP1" s="468"/>
      <c r="PQ1" s="468"/>
      <c r="PR1" s="468"/>
      <c r="PS1" s="468"/>
      <c r="PT1" s="468"/>
      <c r="PU1" s="468"/>
      <c r="PV1" s="468"/>
      <c r="PW1" s="468"/>
      <c r="PX1" s="468"/>
      <c r="PY1" s="468"/>
      <c r="PZ1" s="468"/>
      <c r="QA1" s="468"/>
      <c r="QB1" s="468"/>
      <c r="QC1" s="468"/>
      <c r="QD1" s="468"/>
      <c r="QE1" s="468"/>
      <c r="QF1" s="468"/>
      <c r="QG1" s="468"/>
      <c r="QH1" s="468"/>
      <c r="QI1" s="468"/>
      <c r="QJ1" s="468"/>
      <c r="QK1" s="468"/>
      <c r="QL1" s="468"/>
      <c r="QM1" s="468"/>
      <c r="QN1" s="468"/>
      <c r="QO1" s="468"/>
      <c r="QP1" s="468"/>
      <c r="QQ1" s="468"/>
      <c r="QR1" s="468"/>
      <c r="QS1" s="468"/>
      <c r="QT1" s="468"/>
      <c r="QU1" s="468"/>
      <c r="QV1" s="468"/>
      <c r="QW1" s="468"/>
      <c r="QX1" s="468"/>
      <c r="QY1" s="468"/>
      <c r="QZ1" s="468"/>
      <c r="RA1" s="468"/>
      <c r="RB1" s="468"/>
      <c r="RC1" s="468"/>
      <c r="RD1" s="468"/>
      <c r="RE1" s="468"/>
      <c r="RF1" s="468"/>
      <c r="RG1" s="468"/>
      <c r="RH1" s="468"/>
      <c r="RI1" s="468"/>
      <c r="RJ1" s="468"/>
      <c r="RK1" s="468"/>
      <c r="RL1" s="468"/>
      <c r="RM1" s="468"/>
      <c r="RN1" s="468"/>
      <c r="RO1" s="468"/>
      <c r="RP1" s="468"/>
      <c r="RQ1" s="468"/>
      <c r="RR1" s="468"/>
      <c r="RS1" s="468"/>
      <c r="RT1" s="468"/>
      <c r="RU1" s="468"/>
      <c r="RV1" s="468"/>
      <c r="RW1" s="468"/>
      <c r="RX1" s="468"/>
      <c r="RY1" s="468"/>
      <c r="RZ1" s="468"/>
      <c r="SA1" s="468"/>
      <c r="SB1" s="468"/>
      <c r="SC1" s="468"/>
      <c r="SD1" s="468"/>
      <c r="SE1" s="468"/>
      <c r="SF1" s="468"/>
      <c r="SG1" s="468"/>
      <c r="SH1" s="468"/>
      <c r="SI1" s="468"/>
      <c r="SJ1" s="468"/>
      <c r="SK1" s="468"/>
      <c r="SL1" s="468"/>
      <c r="SM1" s="468"/>
      <c r="SN1" s="468"/>
      <c r="SO1" s="468"/>
      <c r="SP1" s="468"/>
      <c r="SQ1" s="468"/>
      <c r="SR1" s="468"/>
      <c r="SS1" s="468"/>
      <c r="ST1" s="468"/>
      <c r="SU1" s="468"/>
      <c r="SV1" s="468"/>
      <c r="SW1" s="468"/>
      <c r="SX1" s="468"/>
      <c r="SY1" s="468"/>
      <c r="SZ1" s="468"/>
      <c r="TA1" s="468"/>
      <c r="TB1" s="468"/>
      <c r="TC1" s="468"/>
      <c r="TD1" s="468"/>
      <c r="TE1" s="468"/>
      <c r="TF1" s="468"/>
      <c r="TG1" s="468"/>
      <c r="TH1" s="468"/>
      <c r="TI1" s="468"/>
      <c r="TJ1" s="468"/>
      <c r="TK1" s="468"/>
      <c r="TL1" s="468"/>
      <c r="TM1" s="468"/>
      <c r="TN1" s="468"/>
      <c r="TO1" s="468"/>
      <c r="TP1" s="468"/>
      <c r="TQ1" s="468"/>
      <c r="TR1" s="468"/>
      <c r="TS1" s="468"/>
      <c r="TT1" s="468"/>
      <c r="TU1" s="468"/>
      <c r="TV1" s="468"/>
      <c r="TW1" s="468"/>
      <c r="TX1" s="468"/>
      <c r="TY1" s="468"/>
      <c r="TZ1" s="468"/>
      <c r="UA1" s="468"/>
      <c r="UB1" s="468"/>
      <c r="UC1" s="468"/>
      <c r="UD1" s="468"/>
      <c r="UE1" s="468"/>
      <c r="UF1" s="468"/>
      <c r="UG1" s="468"/>
      <c r="UH1" s="468"/>
      <c r="UI1" s="468"/>
      <c r="UJ1" s="468"/>
      <c r="UK1" s="468"/>
      <c r="UL1" s="468"/>
      <c r="UM1" s="468"/>
      <c r="UN1" s="468"/>
      <c r="UO1" s="468"/>
      <c r="UP1" s="468"/>
      <c r="UQ1" s="468"/>
      <c r="UR1" s="468"/>
      <c r="US1" s="468"/>
      <c r="UT1" s="468"/>
      <c r="UU1" s="468"/>
      <c r="UV1" s="468"/>
      <c r="UW1" s="468"/>
      <c r="UX1" s="468"/>
      <c r="UY1" s="468"/>
      <c r="UZ1" s="468"/>
      <c r="VA1" s="468"/>
      <c r="VB1" s="468"/>
      <c r="VC1" s="468"/>
      <c r="VD1" s="468"/>
      <c r="VE1" s="468"/>
      <c r="VF1" s="468"/>
      <c r="VG1" s="468"/>
      <c r="VH1" s="468"/>
      <c r="VI1" s="468"/>
      <c r="VJ1" s="468"/>
      <c r="VK1" s="468"/>
      <c r="VL1" s="468"/>
      <c r="VM1" s="468"/>
      <c r="VN1" s="468"/>
      <c r="VO1" s="468"/>
      <c r="VP1" s="468"/>
      <c r="VQ1" s="468"/>
      <c r="VR1" s="468"/>
      <c r="VS1" s="468"/>
      <c r="VT1" s="468"/>
      <c r="VU1" s="468"/>
      <c r="VV1" s="468"/>
      <c r="VW1" s="468"/>
      <c r="VX1" s="468"/>
      <c r="VY1" s="468"/>
      <c r="VZ1" s="468"/>
      <c r="WA1" s="468"/>
      <c r="WB1" s="468"/>
      <c r="WC1" s="468"/>
      <c r="WD1" s="468"/>
      <c r="WE1" s="468"/>
      <c r="WF1" s="468"/>
      <c r="WG1" s="468"/>
      <c r="WH1" s="468"/>
      <c r="WI1" s="468"/>
      <c r="WJ1" s="468"/>
      <c r="WK1" s="468"/>
      <c r="WL1" s="468"/>
      <c r="WM1" s="468"/>
      <c r="WN1" s="468"/>
      <c r="WO1" s="468"/>
      <c r="WP1" s="468"/>
      <c r="WQ1" s="468"/>
      <c r="WR1" s="468"/>
      <c r="WS1" s="468"/>
      <c r="WT1" s="468"/>
      <c r="WU1" s="468"/>
      <c r="WV1" s="468"/>
      <c r="WW1" s="468"/>
      <c r="WX1" s="468"/>
      <c r="WY1" s="468"/>
      <c r="WZ1" s="468"/>
      <c r="XA1" s="468"/>
      <c r="XB1" s="468"/>
      <c r="XC1" s="468"/>
      <c r="XD1" s="468"/>
      <c r="XE1" s="468"/>
      <c r="XF1" s="468"/>
      <c r="XG1" s="468"/>
      <c r="XH1" s="468"/>
      <c r="XI1" s="468"/>
      <c r="XJ1" s="468"/>
      <c r="XK1" s="468"/>
      <c r="XL1" s="468"/>
      <c r="XM1" s="468"/>
      <c r="XN1" s="468"/>
      <c r="XO1" s="468"/>
      <c r="XP1" s="468"/>
      <c r="XQ1" s="466"/>
    </row>
    <row r="2" spans="1:641" s="23" customFormat="1" ht="18.75" customHeight="1" x14ac:dyDescent="0.2">
      <c r="A2" s="353" t="s">
        <v>1330</v>
      </c>
      <c r="B2" s="45"/>
      <c r="C2" s="45"/>
      <c r="D2" s="29"/>
      <c r="E2" s="183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472"/>
      <c r="AO2" s="468"/>
      <c r="AP2" s="468"/>
      <c r="AQ2" s="468"/>
      <c r="AR2" s="468"/>
      <c r="AS2" s="468"/>
      <c r="AT2" s="468"/>
      <c r="AU2" s="468"/>
      <c r="AV2" s="468"/>
      <c r="AW2" s="468"/>
      <c r="AX2" s="468"/>
      <c r="AY2" s="468"/>
      <c r="AZ2" s="468"/>
      <c r="BA2" s="468"/>
      <c r="BB2" s="468"/>
      <c r="BC2" s="468"/>
      <c r="BD2" s="468"/>
      <c r="BE2" s="468"/>
      <c r="BF2" s="468"/>
      <c r="BG2" s="468"/>
      <c r="BH2" s="468"/>
      <c r="BI2" s="468"/>
      <c r="BJ2" s="468"/>
      <c r="BK2" s="468"/>
      <c r="BL2" s="468"/>
      <c r="BM2" s="468"/>
      <c r="BN2" s="468"/>
      <c r="BO2" s="468"/>
      <c r="BP2" s="468"/>
      <c r="BQ2" s="468"/>
      <c r="BR2" s="468"/>
      <c r="BS2" s="468"/>
      <c r="BT2" s="468"/>
      <c r="BU2" s="468"/>
      <c r="BV2" s="468"/>
      <c r="BW2" s="468"/>
      <c r="BX2" s="468"/>
      <c r="BY2" s="468"/>
      <c r="BZ2" s="468"/>
      <c r="CA2" s="468"/>
      <c r="CB2" s="468"/>
      <c r="CC2" s="468"/>
      <c r="CD2" s="468"/>
      <c r="CE2" s="468"/>
      <c r="CF2" s="468"/>
      <c r="CG2" s="468"/>
      <c r="CH2" s="468"/>
      <c r="CI2" s="468"/>
      <c r="CJ2" s="468"/>
      <c r="CK2" s="468"/>
      <c r="CL2" s="468"/>
      <c r="CM2" s="468"/>
      <c r="CN2" s="468"/>
      <c r="CO2" s="468"/>
      <c r="CP2" s="468"/>
      <c r="CQ2" s="468"/>
      <c r="CR2" s="468"/>
      <c r="CS2" s="468"/>
      <c r="CT2" s="468"/>
      <c r="CU2" s="468"/>
      <c r="CV2" s="468"/>
      <c r="CW2" s="468"/>
      <c r="CX2" s="468"/>
      <c r="CY2" s="468"/>
      <c r="CZ2" s="468"/>
      <c r="DA2" s="468"/>
      <c r="DB2" s="468"/>
      <c r="DC2" s="468"/>
      <c r="DD2" s="468"/>
      <c r="DE2" s="468"/>
      <c r="DF2" s="468"/>
      <c r="DG2" s="468"/>
      <c r="DH2" s="468"/>
      <c r="DI2" s="468"/>
      <c r="DJ2" s="468"/>
      <c r="DK2" s="468"/>
      <c r="DL2" s="468"/>
      <c r="DM2" s="468"/>
      <c r="DN2" s="468"/>
      <c r="DO2" s="468"/>
      <c r="DP2" s="468"/>
      <c r="DQ2" s="468"/>
      <c r="DR2" s="468"/>
      <c r="DS2" s="468"/>
      <c r="DT2" s="468"/>
      <c r="DU2" s="468"/>
      <c r="DV2" s="468"/>
      <c r="DW2" s="468"/>
      <c r="DX2" s="468"/>
      <c r="DY2" s="468"/>
      <c r="DZ2" s="468"/>
      <c r="EA2" s="468"/>
      <c r="EB2" s="468"/>
      <c r="EC2" s="468"/>
      <c r="ED2" s="468"/>
      <c r="EE2" s="468"/>
      <c r="EF2" s="468"/>
      <c r="EG2" s="468"/>
      <c r="EH2" s="468"/>
      <c r="EI2" s="468"/>
      <c r="EJ2" s="468"/>
      <c r="EK2" s="468"/>
      <c r="EL2" s="468"/>
      <c r="EM2" s="468"/>
      <c r="EN2" s="468"/>
      <c r="EO2" s="468"/>
      <c r="EP2" s="468"/>
      <c r="EQ2" s="468"/>
      <c r="ER2" s="468"/>
      <c r="ES2" s="468"/>
      <c r="ET2" s="468"/>
      <c r="EU2" s="468"/>
      <c r="EV2" s="468"/>
      <c r="EW2" s="468"/>
      <c r="EX2" s="468"/>
      <c r="EY2" s="468"/>
      <c r="EZ2" s="468"/>
      <c r="FA2" s="468"/>
      <c r="FB2" s="468"/>
      <c r="FC2" s="468"/>
      <c r="FD2" s="468"/>
      <c r="FE2" s="468"/>
      <c r="FF2" s="468"/>
      <c r="FG2" s="468"/>
      <c r="FH2" s="468"/>
      <c r="FI2" s="468"/>
      <c r="FJ2" s="468"/>
      <c r="FK2" s="468"/>
      <c r="FL2" s="468"/>
      <c r="FM2" s="468"/>
      <c r="FN2" s="468"/>
      <c r="FO2" s="468"/>
      <c r="FP2" s="468"/>
      <c r="FQ2" s="468"/>
      <c r="FR2" s="468"/>
      <c r="FS2" s="468"/>
      <c r="FT2" s="468"/>
      <c r="FU2" s="468"/>
      <c r="FV2" s="468"/>
      <c r="FW2" s="468"/>
      <c r="FX2" s="468"/>
      <c r="FY2" s="468"/>
      <c r="FZ2" s="468"/>
      <c r="GA2" s="468"/>
      <c r="GB2" s="468"/>
      <c r="GC2" s="468"/>
      <c r="GD2" s="468"/>
      <c r="GE2" s="468"/>
      <c r="GF2" s="468"/>
      <c r="GG2" s="468"/>
      <c r="GH2" s="468"/>
      <c r="GI2" s="468"/>
      <c r="GJ2" s="468"/>
      <c r="GK2" s="468"/>
      <c r="GL2" s="468"/>
      <c r="GM2" s="468"/>
      <c r="GN2" s="468"/>
      <c r="GO2" s="468"/>
      <c r="GP2" s="468"/>
      <c r="GQ2" s="468"/>
      <c r="GR2" s="468"/>
      <c r="GS2" s="468"/>
      <c r="GT2" s="468"/>
      <c r="GU2" s="468"/>
      <c r="GV2" s="468"/>
      <c r="GW2" s="468"/>
      <c r="GX2" s="468"/>
      <c r="GY2" s="468"/>
      <c r="GZ2" s="468"/>
      <c r="HA2" s="468"/>
      <c r="HB2" s="468"/>
      <c r="HC2" s="468"/>
      <c r="HD2" s="468"/>
      <c r="HE2" s="468"/>
      <c r="HF2" s="468"/>
      <c r="HG2" s="468"/>
      <c r="HH2" s="468"/>
      <c r="HI2" s="468"/>
      <c r="HJ2" s="468"/>
      <c r="HK2" s="468"/>
      <c r="HL2" s="468"/>
      <c r="HM2" s="468"/>
      <c r="HN2" s="468"/>
      <c r="HO2" s="468"/>
      <c r="HP2" s="468"/>
      <c r="HQ2" s="468"/>
      <c r="HR2" s="468"/>
      <c r="HS2" s="468"/>
      <c r="HT2" s="468"/>
      <c r="HU2" s="468"/>
      <c r="HV2" s="468"/>
      <c r="HW2" s="468"/>
      <c r="HX2" s="468"/>
      <c r="HY2" s="468"/>
      <c r="HZ2" s="468"/>
      <c r="IA2" s="468"/>
      <c r="IB2" s="468"/>
      <c r="IC2" s="468"/>
      <c r="ID2" s="468"/>
      <c r="IE2" s="468"/>
      <c r="IF2" s="468"/>
      <c r="IG2" s="468"/>
      <c r="IH2" s="468"/>
      <c r="II2" s="468"/>
      <c r="IJ2" s="468"/>
      <c r="IK2" s="468"/>
      <c r="IL2" s="468"/>
      <c r="IM2" s="468"/>
      <c r="IN2" s="468"/>
      <c r="IO2" s="468"/>
      <c r="IP2" s="468"/>
      <c r="IQ2" s="468"/>
      <c r="IR2" s="468"/>
      <c r="IS2" s="468"/>
      <c r="IT2" s="468"/>
      <c r="IU2" s="468"/>
      <c r="IV2" s="468"/>
      <c r="IW2" s="468"/>
      <c r="IX2" s="468"/>
      <c r="IY2" s="468"/>
      <c r="IZ2" s="468"/>
      <c r="JA2" s="468"/>
      <c r="JB2" s="468"/>
      <c r="JC2" s="468"/>
      <c r="JD2" s="468"/>
      <c r="JE2" s="468"/>
      <c r="JF2" s="468"/>
      <c r="JG2" s="468"/>
      <c r="JH2" s="468"/>
      <c r="JI2" s="468"/>
      <c r="JJ2" s="468"/>
      <c r="JK2" s="468"/>
      <c r="JL2" s="468"/>
      <c r="JM2" s="468"/>
      <c r="JN2" s="468"/>
      <c r="JO2" s="468"/>
      <c r="JP2" s="468"/>
      <c r="JQ2" s="468"/>
      <c r="JR2" s="468"/>
      <c r="JS2" s="468"/>
      <c r="JT2" s="468"/>
      <c r="JU2" s="468"/>
      <c r="JV2" s="468"/>
      <c r="JW2" s="468"/>
      <c r="JX2" s="468"/>
      <c r="JY2" s="468"/>
      <c r="JZ2" s="468"/>
      <c r="KA2" s="468"/>
      <c r="KB2" s="468"/>
      <c r="KC2" s="468"/>
      <c r="KD2" s="468"/>
      <c r="KE2" s="468"/>
      <c r="KF2" s="468"/>
      <c r="KG2" s="468"/>
      <c r="KH2" s="468"/>
      <c r="KI2" s="468"/>
      <c r="KJ2" s="468"/>
      <c r="KK2" s="468"/>
      <c r="KL2" s="468"/>
      <c r="KM2" s="468"/>
      <c r="KN2" s="468"/>
      <c r="KO2" s="468"/>
      <c r="KP2" s="468"/>
      <c r="KQ2" s="468"/>
      <c r="KR2" s="468"/>
      <c r="KS2" s="468"/>
      <c r="KT2" s="468"/>
      <c r="KU2" s="468"/>
      <c r="KV2" s="468"/>
      <c r="KW2" s="468"/>
      <c r="KX2" s="468"/>
      <c r="KY2" s="468"/>
      <c r="KZ2" s="468"/>
      <c r="LA2" s="468"/>
      <c r="LB2" s="468"/>
      <c r="LC2" s="468"/>
      <c r="LD2" s="468"/>
      <c r="LE2" s="468"/>
      <c r="LF2" s="468"/>
      <c r="LG2" s="468"/>
      <c r="LH2" s="468"/>
      <c r="LI2" s="468"/>
      <c r="LJ2" s="468"/>
      <c r="LK2" s="468"/>
      <c r="LL2" s="468"/>
      <c r="LM2" s="468"/>
      <c r="LN2" s="468"/>
      <c r="LO2" s="468"/>
      <c r="LP2" s="468"/>
      <c r="LQ2" s="468"/>
      <c r="LR2" s="468"/>
      <c r="LS2" s="468"/>
      <c r="LT2" s="468"/>
      <c r="LU2" s="468"/>
      <c r="LV2" s="468"/>
      <c r="LW2" s="468"/>
      <c r="LX2" s="468"/>
      <c r="LY2" s="468"/>
      <c r="LZ2" s="468"/>
      <c r="MA2" s="468"/>
      <c r="MB2" s="468"/>
      <c r="MC2" s="468"/>
      <c r="MD2" s="468"/>
      <c r="ME2" s="468"/>
      <c r="MF2" s="468"/>
      <c r="MG2" s="468"/>
      <c r="MH2" s="468"/>
      <c r="MI2" s="468"/>
      <c r="MJ2" s="468"/>
      <c r="MK2" s="468"/>
      <c r="ML2" s="468"/>
      <c r="MM2" s="468"/>
      <c r="MN2" s="468"/>
      <c r="MO2" s="468"/>
      <c r="MP2" s="468"/>
      <c r="MQ2" s="468"/>
      <c r="MR2" s="468"/>
      <c r="MS2" s="468"/>
      <c r="MT2" s="468"/>
      <c r="MU2" s="468"/>
      <c r="MV2" s="468"/>
      <c r="MW2" s="468"/>
      <c r="MX2" s="468"/>
      <c r="MY2" s="468"/>
      <c r="MZ2" s="468"/>
      <c r="NA2" s="468"/>
      <c r="NB2" s="468"/>
      <c r="NC2" s="468"/>
      <c r="ND2" s="468"/>
      <c r="NE2" s="468"/>
      <c r="NF2" s="468"/>
      <c r="NG2" s="468"/>
      <c r="NH2" s="468"/>
      <c r="NI2" s="468"/>
      <c r="NJ2" s="468"/>
      <c r="NK2" s="468"/>
      <c r="NL2" s="468"/>
      <c r="NM2" s="468"/>
      <c r="NN2" s="468"/>
      <c r="NO2" s="468"/>
      <c r="NP2" s="468"/>
      <c r="NQ2" s="468"/>
      <c r="NR2" s="468"/>
      <c r="NS2" s="468"/>
      <c r="NT2" s="468"/>
      <c r="NU2" s="468"/>
      <c r="NV2" s="468"/>
      <c r="NW2" s="468"/>
      <c r="NX2" s="468"/>
      <c r="NY2" s="468"/>
      <c r="NZ2" s="468"/>
      <c r="OA2" s="468"/>
      <c r="OB2" s="468"/>
      <c r="OC2" s="468"/>
      <c r="OD2" s="468"/>
      <c r="OE2" s="468"/>
      <c r="OF2" s="468"/>
      <c r="OG2" s="468"/>
      <c r="OH2" s="468"/>
      <c r="OI2" s="468"/>
      <c r="OJ2" s="468"/>
      <c r="OK2" s="468"/>
      <c r="OL2" s="468"/>
      <c r="OM2" s="468"/>
      <c r="ON2" s="468"/>
      <c r="OO2" s="468"/>
      <c r="OP2" s="468"/>
      <c r="OQ2" s="468"/>
      <c r="OR2" s="468"/>
      <c r="OS2" s="468"/>
      <c r="OT2" s="468"/>
      <c r="OU2" s="468"/>
      <c r="OV2" s="468"/>
      <c r="OW2" s="468"/>
      <c r="OX2" s="468"/>
      <c r="OY2" s="468"/>
      <c r="OZ2" s="468"/>
      <c r="PA2" s="468"/>
      <c r="PB2" s="468"/>
      <c r="PC2" s="468"/>
      <c r="PD2" s="468"/>
      <c r="PE2" s="468"/>
      <c r="PF2" s="468"/>
      <c r="PG2" s="468"/>
      <c r="PH2" s="468"/>
      <c r="PI2" s="468"/>
      <c r="PJ2" s="468"/>
      <c r="PK2" s="468"/>
      <c r="PL2" s="468"/>
      <c r="PM2" s="468"/>
      <c r="PN2" s="468"/>
      <c r="PO2" s="468"/>
      <c r="PP2" s="468"/>
      <c r="PQ2" s="468"/>
      <c r="PR2" s="468"/>
      <c r="PS2" s="468"/>
      <c r="PT2" s="468"/>
      <c r="PU2" s="468"/>
      <c r="PV2" s="468"/>
      <c r="PW2" s="468"/>
      <c r="PX2" s="468"/>
      <c r="PY2" s="468"/>
      <c r="PZ2" s="468"/>
      <c r="QA2" s="468"/>
      <c r="QB2" s="468"/>
      <c r="QC2" s="468"/>
      <c r="QD2" s="468"/>
      <c r="QE2" s="468"/>
      <c r="QF2" s="468"/>
      <c r="QG2" s="468"/>
      <c r="QH2" s="468"/>
      <c r="QI2" s="468"/>
      <c r="QJ2" s="468"/>
      <c r="QK2" s="468"/>
      <c r="QL2" s="468"/>
      <c r="QM2" s="468"/>
      <c r="QN2" s="468"/>
      <c r="QO2" s="468"/>
      <c r="QP2" s="468"/>
      <c r="QQ2" s="468"/>
      <c r="QR2" s="468"/>
      <c r="QS2" s="468"/>
      <c r="QT2" s="468"/>
      <c r="QU2" s="468"/>
      <c r="QV2" s="468"/>
      <c r="QW2" s="468"/>
      <c r="QX2" s="468"/>
      <c r="QY2" s="468"/>
      <c r="QZ2" s="468"/>
      <c r="RA2" s="468"/>
      <c r="RB2" s="468"/>
      <c r="RC2" s="468"/>
      <c r="RD2" s="468"/>
      <c r="RE2" s="468"/>
      <c r="RF2" s="468"/>
      <c r="RG2" s="468"/>
      <c r="RH2" s="468"/>
      <c r="RI2" s="468"/>
      <c r="RJ2" s="468"/>
      <c r="RK2" s="468"/>
      <c r="RL2" s="468"/>
      <c r="RM2" s="468"/>
      <c r="RN2" s="468"/>
      <c r="RO2" s="468"/>
      <c r="RP2" s="468"/>
      <c r="RQ2" s="468"/>
      <c r="RR2" s="468"/>
      <c r="RS2" s="468"/>
      <c r="RT2" s="468"/>
      <c r="RU2" s="468"/>
      <c r="RV2" s="468"/>
      <c r="RW2" s="468"/>
      <c r="RX2" s="468"/>
      <c r="RY2" s="468"/>
      <c r="RZ2" s="468"/>
      <c r="SA2" s="468"/>
      <c r="SB2" s="468"/>
      <c r="SC2" s="468"/>
      <c r="SD2" s="468"/>
      <c r="SE2" s="468"/>
      <c r="SF2" s="468"/>
      <c r="SG2" s="468"/>
      <c r="SH2" s="468"/>
      <c r="SI2" s="468"/>
      <c r="SJ2" s="468"/>
      <c r="SK2" s="468"/>
      <c r="SL2" s="468"/>
      <c r="SM2" s="468"/>
      <c r="SN2" s="468"/>
      <c r="SO2" s="468"/>
      <c r="SP2" s="468"/>
      <c r="SQ2" s="468"/>
      <c r="SR2" s="468"/>
      <c r="SS2" s="468"/>
      <c r="ST2" s="468"/>
      <c r="SU2" s="468"/>
      <c r="SV2" s="468"/>
      <c r="SW2" s="468"/>
      <c r="SX2" s="468"/>
      <c r="SY2" s="468"/>
      <c r="SZ2" s="468"/>
      <c r="TA2" s="468"/>
      <c r="TB2" s="468"/>
      <c r="TC2" s="468"/>
      <c r="TD2" s="468"/>
      <c r="TE2" s="468"/>
      <c r="TF2" s="468"/>
      <c r="TG2" s="468"/>
      <c r="TH2" s="468"/>
      <c r="TI2" s="468"/>
      <c r="TJ2" s="468"/>
      <c r="TK2" s="468"/>
      <c r="TL2" s="468"/>
      <c r="TM2" s="468"/>
      <c r="TN2" s="468"/>
      <c r="TO2" s="468"/>
      <c r="TP2" s="468"/>
      <c r="TQ2" s="468"/>
      <c r="TR2" s="468"/>
      <c r="TS2" s="468"/>
      <c r="TT2" s="468"/>
      <c r="TU2" s="468"/>
      <c r="TV2" s="468"/>
      <c r="TW2" s="468"/>
      <c r="TX2" s="468"/>
      <c r="TY2" s="468"/>
      <c r="TZ2" s="468"/>
      <c r="UA2" s="468"/>
      <c r="UB2" s="468"/>
      <c r="UC2" s="468"/>
      <c r="UD2" s="468"/>
      <c r="UE2" s="468"/>
      <c r="UF2" s="468"/>
      <c r="UG2" s="468"/>
      <c r="UH2" s="468"/>
      <c r="UI2" s="468"/>
      <c r="UJ2" s="468"/>
      <c r="UK2" s="468"/>
      <c r="UL2" s="468"/>
      <c r="UM2" s="468"/>
      <c r="UN2" s="468"/>
      <c r="UO2" s="468"/>
      <c r="UP2" s="468"/>
      <c r="UQ2" s="468"/>
      <c r="UR2" s="468"/>
      <c r="US2" s="468"/>
      <c r="UT2" s="468"/>
      <c r="UU2" s="468"/>
      <c r="UV2" s="468"/>
      <c r="UW2" s="468"/>
      <c r="UX2" s="468"/>
      <c r="UY2" s="468"/>
      <c r="UZ2" s="468"/>
      <c r="VA2" s="468"/>
      <c r="VB2" s="468"/>
      <c r="VC2" s="468"/>
      <c r="VD2" s="468"/>
      <c r="VE2" s="468"/>
      <c r="VF2" s="468"/>
      <c r="VG2" s="468"/>
      <c r="VH2" s="468"/>
      <c r="VI2" s="468"/>
      <c r="VJ2" s="468"/>
      <c r="VK2" s="468"/>
      <c r="VL2" s="468"/>
      <c r="VM2" s="468"/>
      <c r="VN2" s="468"/>
      <c r="VO2" s="468"/>
      <c r="VP2" s="468"/>
      <c r="VQ2" s="468"/>
      <c r="VR2" s="468"/>
      <c r="VS2" s="468"/>
      <c r="VT2" s="468"/>
      <c r="VU2" s="468"/>
      <c r="VV2" s="468"/>
      <c r="VW2" s="468"/>
      <c r="VX2" s="468"/>
      <c r="VY2" s="468"/>
      <c r="VZ2" s="468"/>
      <c r="WA2" s="468"/>
      <c r="WB2" s="468"/>
      <c r="WC2" s="468"/>
      <c r="WD2" s="468"/>
      <c r="WE2" s="468"/>
      <c r="WF2" s="468"/>
      <c r="WG2" s="468"/>
      <c r="WH2" s="468"/>
      <c r="WI2" s="468"/>
      <c r="WJ2" s="468"/>
      <c r="WK2" s="468"/>
      <c r="WL2" s="468"/>
      <c r="WM2" s="468"/>
      <c r="WN2" s="468"/>
      <c r="WO2" s="468"/>
      <c r="WP2" s="468"/>
      <c r="WQ2" s="468"/>
      <c r="WR2" s="468"/>
      <c r="WS2" s="468"/>
      <c r="WT2" s="468"/>
      <c r="WU2" s="468"/>
      <c r="WV2" s="468"/>
      <c r="WW2" s="468"/>
      <c r="WX2" s="468"/>
      <c r="WY2" s="468"/>
      <c r="WZ2" s="468"/>
      <c r="XA2" s="468"/>
      <c r="XB2" s="468"/>
      <c r="XC2" s="468"/>
      <c r="XD2" s="468"/>
      <c r="XE2" s="468"/>
      <c r="XF2" s="468"/>
      <c r="XG2" s="468"/>
      <c r="XH2" s="468"/>
      <c r="XI2" s="468"/>
      <c r="XJ2" s="468"/>
      <c r="XK2" s="468"/>
      <c r="XL2" s="468"/>
      <c r="XM2" s="468"/>
      <c r="XN2" s="468"/>
      <c r="XO2" s="468"/>
      <c r="XP2" s="468"/>
      <c r="XQ2" s="466"/>
    </row>
    <row r="3" spans="1:641" s="23" customFormat="1" ht="21.75" customHeight="1" x14ac:dyDescent="0.2">
      <c r="A3" s="350" t="s">
        <v>1331</v>
      </c>
      <c r="B3" s="45"/>
      <c r="C3" s="45"/>
      <c r="D3" s="29"/>
      <c r="E3" s="183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472"/>
      <c r="AO3" s="468"/>
      <c r="AP3" s="468"/>
      <c r="AQ3" s="468"/>
      <c r="AR3" s="468"/>
      <c r="AS3" s="468"/>
      <c r="AT3" s="468"/>
      <c r="AU3" s="468"/>
      <c r="AV3" s="468"/>
      <c r="AW3" s="468"/>
      <c r="AX3" s="468"/>
      <c r="AY3" s="468"/>
      <c r="AZ3" s="468"/>
      <c r="BA3" s="468"/>
      <c r="BB3" s="468"/>
      <c r="BC3" s="468"/>
      <c r="BD3" s="468"/>
      <c r="BE3" s="468"/>
      <c r="BF3" s="468"/>
      <c r="BG3" s="468"/>
      <c r="BH3" s="468"/>
      <c r="BI3" s="468"/>
      <c r="BJ3" s="468"/>
      <c r="BK3" s="468"/>
      <c r="BL3" s="468"/>
      <c r="BM3" s="468"/>
      <c r="BN3" s="468"/>
      <c r="BO3" s="468"/>
      <c r="BP3" s="468"/>
      <c r="BQ3" s="468"/>
      <c r="BR3" s="468"/>
      <c r="BS3" s="468"/>
      <c r="BT3" s="468"/>
      <c r="BU3" s="468"/>
      <c r="BV3" s="468"/>
      <c r="BW3" s="468"/>
      <c r="BX3" s="468"/>
      <c r="BY3" s="468"/>
      <c r="BZ3" s="468"/>
      <c r="CA3" s="468"/>
      <c r="CB3" s="468"/>
      <c r="CC3" s="468"/>
      <c r="CD3" s="468"/>
      <c r="CE3" s="468"/>
      <c r="CF3" s="468"/>
      <c r="CG3" s="468"/>
      <c r="CH3" s="468"/>
      <c r="CI3" s="468"/>
      <c r="CJ3" s="468"/>
      <c r="CK3" s="468"/>
      <c r="CL3" s="468"/>
      <c r="CM3" s="468"/>
      <c r="CN3" s="468"/>
      <c r="CO3" s="468"/>
      <c r="CP3" s="468"/>
      <c r="CQ3" s="468"/>
      <c r="CR3" s="468"/>
      <c r="CS3" s="468"/>
      <c r="CT3" s="468"/>
      <c r="CU3" s="468"/>
      <c r="CV3" s="468"/>
      <c r="CW3" s="468"/>
      <c r="CX3" s="468"/>
      <c r="CY3" s="468"/>
      <c r="CZ3" s="468"/>
      <c r="DA3" s="468"/>
      <c r="DB3" s="468"/>
      <c r="DC3" s="468"/>
      <c r="DD3" s="468"/>
      <c r="DE3" s="468"/>
      <c r="DF3" s="468"/>
      <c r="DG3" s="468"/>
      <c r="DH3" s="468"/>
      <c r="DI3" s="468"/>
      <c r="DJ3" s="468"/>
      <c r="DK3" s="468"/>
      <c r="DL3" s="468"/>
      <c r="DM3" s="468"/>
      <c r="DN3" s="468"/>
      <c r="DO3" s="468"/>
      <c r="DP3" s="468"/>
      <c r="DQ3" s="468"/>
      <c r="DR3" s="468"/>
      <c r="DS3" s="468"/>
      <c r="DT3" s="468"/>
      <c r="DU3" s="468"/>
      <c r="DV3" s="468"/>
      <c r="DW3" s="468"/>
      <c r="DX3" s="468"/>
      <c r="DY3" s="468"/>
      <c r="DZ3" s="468"/>
      <c r="EA3" s="468"/>
      <c r="EB3" s="468"/>
      <c r="EC3" s="468"/>
      <c r="ED3" s="468"/>
      <c r="EE3" s="468"/>
      <c r="EF3" s="468"/>
      <c r="EG3" s="468"/>
      <c r="EH3" s="468"/>
      <c r="EI3" s="468"/>
      <c r="EJ3" s="468"/>
      <c r="EK3" s="468"/>
      <c r="EL3" s="468"/>
      <c r="EM3" s="468"/>
      <c r="EN3" s="468"/>
      <c r="EO3" s="468"/>
      <c r="EP3" s="468"/>
      <c r="EQ3" s="468"/>
      <c r="ER3" s="468"/>
      <c r="ES3" s="468"/>
      <c r="ET3" s="468"/>
      <c r="EU3" s="468"/>
      <c r="EV3" s="468"/>
      <c r="EW3" s="468"/>
      <c r="EX3" s="468"/>
      <c r="EY3" s="468"/>
      <c r="EZ3" s="468"/>
      <c r="FA3" s="468"/>
      <c r="FB3" s="468"/>
      <c r="FC3" s="468"/>
      <c r="FD3" s="468"/>
      <c r="FE3" s="468"/>
      <c r="FF3" s="468"/>
      <c r="FG3" s="468"/>
      <c r="FH3" s="468"/>
      <c r="FI3" s="468"/>
      <c r="FJ3" s="468"/>
      <c r="FK3" s="468"/>
      <c r="FL3" s="468"/>
      <c r="FM3" s="468"/>
      <c r="FN3" s="468"/>
      <c r="FO3" s="468"/>
      <c r="FP3" s="468"/>
      <c r="FQ3" s="468"/>
      <c r="FR3" s="468"/>
      <c r="FS3" s="468"/>
      <c r="FT3" s="468"/>
      <c r="FU3" s="468"/>
      <c r="FV3" s="468"/>
      <c r="FW3" s="468"/>
      <c r="FX3" s="468"/>
      <c r="FY3" s="468"/>
      <c r="FZ3" s="468"/>
      <c r="GA3" s="468"/>
      <c r="GB3" s="468"/>
      <c r="GC3" s="468"/>
      <c r="GD3" s="468"/>
      <c r="GE3" s="468"/>
      <c r="GF3" s="468"/>
      <c r="GG3" s="468"/>
      <c r="GH3" s="468"/>
      <c r="GI3" s="468"/>
      <c r="GJ3" s="468"/>
      <c r="GK3" s="468"/>
      <c r="GL3" s="468"/>
      <c r="GM3" s="468"/>
      <c r="GN3" s="468"/>
      <c r="GO3" s="468"/>
      <c r="GP3" s="468"/>
      <c r="GQ3" s="468"/>
      <c r="GR3" s="468"/>
      <c r="GS3" s="468"/>
      <c r="GT3" s="468"/>
      <c r="GU3" s="468"/>
      <c r="GV3" s="468"/>
      <c r="GW3" s="468"/>
      <c r="GX3" s="468"/>
      <c r="GY3" s="468"/>
      <c r="GZ3" s="468"/>
      <c r="HA3" s="468"/>
      <c r="HB3" s="468"/>
      <c r="HC3" s="468"/>
      <c r="HD3" s="468"/>
      <c r="HE3" s="468"/>
      <c r="HF3" s="468"/>
      <c r="HG3" s="468"/>
      <c r="HH3" s="468"/>
      <c r="HI3" s="468"/>
      <c r="HJ3" s="468"/>
      <c r="HK3" s="468"/>
      <c r="HL3" s="468"/>
      <c r="HM3" s="468"/>
      <c r="HN3" s="468"/>
      <c r="HO3" s="468"/>
      <c r="HP3" s="468"/>
      <c r="HQ3" s="468"/>
      <c r="HR3" s="468"/>
      <c r="HS3" s="468"/>
      <c r="HT3" s="468"/>
      <c r="HU3" s="468"/>
      <c r="HV3" s="468"/>
      <c r="HW3" s="468"/>
      <c r="HX3" s="468"/>
      <c r="HY3" s="468"/>
      <c r="HZ3" s="468"/>
      <c r="IA3" s="468"/>
      <c r="IB3" s="468"/>
      <c r="IC3" s="468"/>
      <c r="ID3" s="468"/>
      <c r="IE3" s="468"/>
      <c r="IF3" s="468"/>
      <c r="IG3" s="468"/>
      <c r="IH3" s="468"/>
      <c r="II3" s="468"/>
      <c r="IJ3" s="468"/>
      <c r="IK3" s="468"/>
      <c r="IL3" s="468"/>
      <c r="IM3" s="468"/>
      <c r="IN3" s="468"/>
      <c r="IO3" s="468"/>
      <c r="IP3" s="468"/>
      <c r="IQ3" s="468"/>
      <c r="IR3" s="468"/>
      <c r="IS3" s="468"/>
      <c r="IT3" s="468"/>
      <c r="IU3" s="468"/>
      <c r="IV3" s="468"/>
      <c r="IW3" s="468"/>
      <c r="IX3" s="468"/>
      <c r="IY3" s="468"/>
      <c r="IZ3" s="468"/>
      <c r="JA3" s="468"/>
      <c r="JB3" s="468"/>
      <c r="JC3" s="468"/>
      <c r="JD3" s="468"/>
      <c r="JE3" s="468"/>
      <c r="JF3" s="468"/>
      <c r="JG3" s="468"/>
      <c r="JH3" s="468"/>
      <c r="JI3" s="468"/>
      <c r="JJ3" s="468"/>
      <c r="JK3" s="468"/>
      <c r="JL3" s="468"/>
      <c r="JM3" s="468"/>
      <c r="JN3" s="468"/>
      <c r="JO3" s="468"/>
      <c r="JP3" s="468"/>
      <c r="JQ3" s="468"/>
      <c r="JR3" s="468"/>
      <c r="JS3" s="468"/>
      <c r="JT3" s="468"/>
      <c r="JU3" s="468"/>
      <c r="JV3" s="468"/>
      <c r="JW3" s="468"/>
      <c r="JX3" s="468"/>
      <c r="JY3" s="468"/>
      <c r="JZ3" s="468"/>
      <c r="KA3" s="468"/>
      <c r="KB3" s="468"/>
      <c r="KC3" s="468"/>
      <c r="KD3" s="468"/>
      <c r="KE3" s="468"/>
      <c r="KF3" s="468"/>
      <c r="KG3" s="468"/>
      <c r="KH3" s="468"/>
      <c r="KI3" s="468"/>
      <c r="KJ3" s="468"/>
      <c r="KK3" s="468"/>
      <c r="KL3" s="468"/>
      <c r="KM3" s="468"/>
      <c r="KN3" s="468"/>
      <c r="KO3" s="468"/>
      <c r="KP3" s="468"/>
      <c r="KQ3" s="468"/>
      <c r="KR3" s="468"/>
      <c r="KS3" s="468"/>
      <c r="KT3" s="468"/>
      <c r="KU3" s="468"/>
      <c r="KV3" s="468"/>
      <c r="KW3" s="468"/>
      <c r="KX3" s="468"/>
      <c r="KY3" s="468"/>
      <c r="KZ3" s="468"/>
      <c r="LA3" s="468"/>
      <c r="LB3" s="468"/>
      <c r="LC3" s="468"/>
      <c r="LD3" s="468"/>
      <c r="LE3" s="468"/>
      <c r="LF3" s="468"/>
      <c r="LG3" s="468"/>
      <c r="LH3" s="468"/>
      <c r="LI3" s="468"/>
      <c r="LJ3" s="468"/>
      <c r="LK3" s="468"/>
      <c r="LL3" s="468"/>
      <c r="LM3" s="468"/>
      <c r="LN3" s="468"/>
      <c r="LO3" s="468"/>
      <c r="LP3" s="468"/>
      <c r="LQ3" s="468"/>
      <c r="LR3" s="468"/>
      <c r="LS3" s="468"/>
      <c r="LT3" s="468"/>
      <c r="LU3" s="468"/>
      <c r="LV3" s="468"/>
      <c r="LW3" s="468"/>
      <c r="LX3" s="468"/>
      <c r="LY3" s="468"/>
      <c r="LZ3" s="468"/>
      <c r="MA3" s="468"/>
      <c r="MB3" s="468"/>
      <c r="MC3" s="468"/>
      <c r="MD3" s="468"/>
      <c r="ME3" s="468"/>
      <c r="MF3" s="468"/>
      <c r="MG3" s="468"/>
      <c r="MH3" s="468"/>
      <c r="MI3" s="468"/>
      <c r="MJ3" s="468"/>
      <c r="MK3" s="468"/>
      <c r="ML3" s="468"/>
      <c r="MM3" s="468"/>
      <c r="MN3" s="468"/>
      <c r="MO3" s="468"/>
      <c r="MP3" s="468"/>
      <c r="MQ3" s="468"/>
      <c r="MR3" s="468"/>
      <c r="MS3" s="468"/>
      <c r="MT3" s="468"/>
      <c r="MU3" s="468"/>
      <c r="MV3" s="468"/>
      <c r="MW3" s="468"/>
      <c r="MX3" s="468"/>
      <c r="MY3" s="468"/>
      <c r="MZ3" s="468"/>
      <c r="NA3" s="468"/>
      <c r="NB3" s="468"/>
      <c r="NC3" s="468"/>
      <c r="ND3" s="468"/>
      <c r="NE3" s="468"/>
      <c r="NF3" s="468"/>
      <c r="NG3" s="468"/>
      <c r="NH3" s="468"/>
      <c r="NI3" s="468"/>
      <c r="NJ3" s="468"/>
      <c r="NK3" s="468"/>
      <c r="NL3" s="468"/>
      <c r="NM3" s="468"/>
      <c r="NN3" s="468"/>
      <c r="NO3" s="468"/>
      <c r="NP3" s="468"/>
      <c r="NQ3" s="468"/>
      <c r="NR3" s="468"/>
      <c r="NS3" s="468"/>
      <c r="NT3" s="468"/>
      <c r="NU3" s="468"/>
      <c r="NV3" s="468"/>
      <c r="NW3" s="468"/>
      <c r="NX3" s="468"/>
      <c r="NY3" s="468"/>
      <c r="NZ3" s="468"/>
      <c r="OA3" s="468"/>
      <c r="OB3" s="468"/>
      <c r="OC3" s="468"/>
      <c r="OD3" s="468"/>
      <c r="OE3" s="468"/>
      <c r="OF3" s="468"/>
      <c r="OG3" s="468"/>
      <c r="OH3" s="468"/>
      <c r="OI3" s="468"/>
      <c r="OJ3" s="468"/>
      <c r="OK3" s="468"/>
      <c r="OL3" s="468"/>
      <c r="OM3" s="468"/>
      <c r="ON3" s="468"/>
      <c r="OO3" s="468"/>
      <c r="OP3" s="468"/>
      <c r="OQ3" s="468"/>
      <c r="OR3" s="468"/>
      <c r="OS3" s="468"/>
      <c r="OT3" s="468"/>
      <c r="OU3" s="468"/>
      <c r="OV3" s="468"/>
      <c r="OW3" s="468"/>
      <c r="OX3" s="468"/>
      <c r="OY3" s="468"/>
      <c r="OZ3" s="468"/>
      <c r="PA3" s="468"/>
      <c r="PB3" s="468"/>
      <c r="PC3" s="468"/>
      <c r="PD3" s="468"/>
      <c r="PE3" s="468"/>
      <c r="PF3" s="468"/>
      <c r="PG3" s="468"/>
      <c r="PH3" s="468"/>
      <c r="PI3" s="468"/>
      <c r="PJ3" s="468"/>
      <c r="PK3" s="468"/>
      <c r="PL3" s="468"/>
      <c r="PM3" s="468"/>
      <c r="PN3" s="468"/>
      <c r="PO3" s="468"/>
      <c r="PP3" s="468"/>
      <c r="PQ3" s="468"/>
      <c r="PR3" s="468"/>
      <c r="PS3" s="468"/>
      <c r="PT3" s="468"/>
      <c r="PU3" s="468"/>
      <c r="PV3" s="468"/>
      <c r="PW3" s="468"/>
      <c r="PX3" s="468"/>
      <c r="PY3" s="468"/>
      <c r="PZ3" s="468"/>
      <c r="QA3" s="468"/>
      <c r="QB3" s="468"/>
      <c r="QC3" s="468"/>
      <c r="QD3" s="468"/>
      <c r="QE3" s="468"/>
      <c r="QF3" s="468"/>
      <c r="QG3" s="468"/>
      <c r="QH3" s="468"/>
      <c r="QI3" s="468"/>
      <c r="QJ3" s="468"/>
      <c r="QK3" s="468"/>
      <c r="QL3" s="468"/>
      <c r="QM3" s="468"/>
      <c r="QN3" s="468"/>
      <c r="QO3" s="468"/>
      <c r="QP3" s="468"/>
      <c r="QQ3" s="468"/>
      <c r="QR3" s="468"/>
      <c r="QS3" s="468"/>
      <c r="QT3" s="468"/>
      <c r="QU3" s="468"/>
      <c r="QV3" s="468"/>
      <c r="QW3" s="468"/>
      <c r="QX3" s="468"/>
      <c r="QY3" s="468"/>
      <c r="QZ3" s="468"/>
      <c r="RA3" s="468"/>
      <c r="RB3" s="468"/>
      <c r="RC3" s="468"/>
      <c r="RD3" s="468"/>
      <c r="RE3" s="468"/>
      <c r="RF3" s="468"/>
      <c r="RG3" s="468"/>
      <c r="RH3" s="468"/>
      <c r="RI3" s="468"/>
      <c r="RJ3" s="468"/>
      <c r="RK3" s="468"/>
      <c r="RL3" s="468"/>
      <c r="RM3" s="468"/>
      <c r="RN3" s="468"/>
      <c r="RO3" s="468"/>
      <c r="RP3" s="468"/>
      <c r="RQ3" s="468"/>
      <c r="RR3" s="468"/>
      <c r="RS3" s="468"/>
      <c r="RT3" s="468"/>
      <c r="RU3" s="468"/>
      <c r="RV3" s="468"/>
      <c r="RW3" s="468"/>
      <c r="RX3" s="468"/>
      <c r="RY3" s="468"/>
      <c r="RZ3" s="468"/>
      <c r="SA3" s="468"/>
      <c r="SB3" s="468"/>
      <c r="SC3" s="468"/>
      <c r="SD3" s="468"/>
      <c r="SE3" s="468"/>
      <c r="SF3" s="468"/>
      <c r="SG3" s="468"/>
      <c r="SH3" s="468"/>
      <c r="SI3" s="468"/>
      <c r="SJ3" s="468"/>
      <c r="SK3" s="468"/>
      <c r="SL3" s="468"/>
      <c r="SM3" s="468"/>
      <c r="SN3" s="468"/>
      <c r="SO3" s="468"/>
      <c r="SP3" s="468"/>
      <c r="SQ3" s="468"/>
      <c r="SR3" s="468"/>
      <c r="SS3" s="468"/>
      <c r="ST3" s="468"/>
      <c r="SU3" s="468"/>
      <c r="SV3" s="468"/>
      <c r="SW3" s="468"/>
      <c r="SX3" s="468"/>
      <c r="SY3" s="468"/>
      <c r="SZ3" s="468"/>
      <c r="TA3" s="468"/>
      <c r="TB3" s="468"/>
      <c r="TC3" s="468"/>
      <c r="TD3" s="468"/>
      <c r="TE3" s="468"/>
      <c r="TF3" s="468"/>
      <c r="TG3" s="468"/>
      <c r="TH3" s="468"/>
      <c r="TI3" s="468"/>
      <c r="TJ3" s="468"/>
      <c r="TK3" s="468"/>
      <c r="TL3" s="468"/>
      <c r="TM3" s="468"/>
      <c r="TN3" s="468"/>
      <c r="TO3" s="468"/>
      <c r="TP3" s="468"/>
      <c r="TQ3" s="468"/>
      <c r="TR3" s="468"/>
      <c r="TS3" s="468"/>
      <c r="TT3" s="468"/>
      <c r="TU3" s="468"/>
      <c r="TV3" s="468"/>
      <c r="TW3" s="468"/>
      <c r="TX3" s="468"/>
      <c r="TY3" s="468"/>
      <c r="TZ3" s="468"/>
      <c r="UA3" s="468"/>
      <c r="UB3" s="468"/>
      <c r="UC3" s="468"/>
      <c r="UD3" s="468"/>
      <c r="UE3" s="468"/>
      <c r="UF3" s="468"/>
      <c r="UG3" s="468"/>
      <c r="UH3" s="468"/>
      <c r="UI3" s="468"/>
      <c r="UJ3" s="468"/>
      <c r="UK3" s="468"/>
      <c r="UL3" s="468"/>
      <c r="UM3" s="468"/>
      <c r="UN3" s="468"/>
      <c r="UO3" s="468"/>
      <c r="UP3" s="468"/>
      <c r="UQ3" s="468"/>
      <c r="UR3" s="468"/>
      <c r="US3" s="468"/>
      <c r="UT3" s="468"/>
      <c r="UU3" s="468"/>
      <c r="UV3" s="468"/>
      <c r="UW3" s="468"/>
      <c r="UX3" s="468"/>
      <c r="UY3" s="468"/>
      <c r="UZ3" s="468"/>
      <c r="VA3" s="468"/>
      <c r="VB3" s="468"/>
      <c r="VC3" s="468"/>
      <c r="VD3" s="468"/>
      <c r="VE3" s="468"/>
      <c r="VF3" s="468"/>
      <c r="VG3" s="468"/>
      <c r="VH3" s="468"/>
      <c r="VI3" s="468"/>
      <c r="VJ3" s="468"/>
      <c r="VK3" s="468"/>
      <c r="VL3" s="468"/>
      <c r="VM3" s="468"/>
      <c r="VN3" s="468"/>
      <c r="VO3" s="468"/>
      <c r="VP3" s="468"/>
      <c r="VQ3" s="468"/>
      <c r="VR3" s="468"/>
      <c r="VS3" s="468"/>
      <c r="VT3" s="468"/>
      <c r="VU3" s="468"/>
      <c r="VV3" s="468"/>
      <c r="VW3" s="468"/>
      <c r="VX3" s="468"/>
      <c r="VY3" s="468"/>
      <c r="VZ3" s="468"/>
      <c r="WA3" s="468"/>
      <c r="WB3" s="468"/>
      <c r="WC3" s="468"/>
      <c r="WD3" s="468"/>
      <c r="WE3" s="468"/>
      <c r="WF3" s="468"/>
      <c r="WG3" s="468"/>
      <c r="WH3" s="468"/>
      <c r="WI3" s="468"/>
      <c r="WJ3" s="468"/>
      <c r="WK3" s="468"/>
      <c r="WL3" s="468"/>
      <c r="WM3" s="468"/>
      <c r="WN3" s="468"/>
      <c r="WO3" s="468"/>
      <c r="WP3" s="468"/>
      <c r="WQ3" s="468"/>
      <c r="WR3" s="468"/>
      <c r="WS3" s="468"/>
      <c r="WT3" s="468"/>
      <c r="WU3" s="468"/>
      <c r="WV3" s="468"/>
      <c r="WW3" s="468"/>
      <c r="WX3" s="468"/>
      <c r="WY3" s="468"/>
      <c r="WZ3" s="468"/>
      <c r="XA3" s="468"/>
      <c r="XB3" s="468"/>
      <c r="XC3" s="468"/>
      <c r="XD3" s="468"/>
      <c r="XE3" s="468"/>
      <c r="XF3" s="468"/>
      <c r="XG3" s="468"/>
      <c r="XH3" s="468"/>
      <c r="XI3" s="468"/>
      <c r="XJ3" s="468"/>
      <c r="XK3" s="468"/>
      <c r="XL3" s="468"/>
      <c r="XM3" s="468"/>
      <c r="XN3" s="468"/>
      <c r="XO3" s="468"/>
      <c r="XP3" s="468"/>
      <c r="XQ3" s="466"/>
    </row>
    <row r="4" spans="1:641" s="23" customFormat="1" ht="16.5" customHeight="1" x14ac:dyDescent="0.2">
      <c r="A4" s="352" t="s">
        <v>1332</v>
      </c>
      <c r="B4" s="45"/>
      <c r="C4" s="45"/>
      <c r="D4" s="29"/>
      <c r="E4" s="183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472"/>
      <c r="AO4" s="468"/>
      <c r="AP4" s="468"/>
      <c r="AQ4" s="468"/>
      <c r="AR4" s="468"/>
      <c r="AS4" s="468"/>
      <c r="AT4" s="468"/>
      <c r="AU4" s="468"/>
      <c r="AV4" s="468"/>
      <c r="AW4" s="468"/>
      <c r="AX4" s="468"/>
      <c r="AY4" s="468"/>
      <c r="AZ4" s="468"/>
      <c r="BA4" s="468"/>
      <c r="BB4" s="468"/>
      <c r="BC4" s="468"/>
      <c r="BD4" s="468"/>
      <c r="BE4" s="468"/>
      <c r="BF4" s="468"/>
      <c r="BG4" s="468"/>
      <c r="BH4" s="468"/>
      <c r="BI4" s="468"/>
      <c r="BJ4" s="468"/>
      <c r="BK4" s="468"/>
      <c r="BL4" s="468"/>
      <c r="BM4" s="468"/>
      <c r="BN4" s="468"/>
      <c r="BO4" s="468"/>
      <c r="BP4" s="468"/>
      <c r="BQ4" s="468"/>
      <c r="BR4" s="468"/>
      <c r="BS4" s="468"/>
      <c r="BT4" s="468"/>
      <c r="BU4" s="468"/>
      <c r="BV4" s="468"/>
      <c r="BW4" s="468"/>
      <c r="BX4" s="468"/>
      <c r="BY4" s="468"/>
      <c r="BZ4" s="468"/>
      <c r="CA4" s="468"/>
      <c r="CB4" s="468"/>
      <c r="CC4" s="468"/>
      <c r="CD4" s="468"/>
      <c r="CE4" s="468"/>
      <c r="CF4" s="468"/>
      <c r="CG4" s="468"/>
      <c r="CH4" s="468"/>
      <c r="CI4" s="468"/>
      <c r="CJ4" s="468"/>
      <c r="CK4" s="468"/>
      <c r="CL4" s="468"/>
      <c r="CM4" s="468"/>
      <c r="CN4" s="468"/>
      <c r="CO4" s="468"/>
      <c r="CP4" s="468"/>
      <c r="CQ4" s="468"/>
      <c r="CR4" s="468"/>
      <c r="CS4" s="468"/>
      <c r="CT4" s="468"/>
      <c r="CU4" s="468"/>
      <c r="CV4" s="468"/>
      <c r="CW4" s="468"/>
      <c r="CX4" s="468"/>
      <c r="CY4" s="468"/>
      <c r="CZ4" s="468"/>
      <c r="DA4" s="468"/>
      <c r="DB4" s="468"/>
      <c r="DC4" s="468"/>
      <c r="DD4" s="468"/>
      <c r="DE4" s="468"/>
      <c r="DF4" s="468"/>
      <c r="DG4" s="468"/>
      <c r="DH4" s="468"/>
      <c r="DI4" s="468"/>
      <c r="DJ4" s="468"/>
      <c r="DK4" s="468"/>
      <c r="DL4" s="468"/>
      <c r="DM4" s="468"/>
      <c r="DN4" s="468"/>
      <c r="DO4" s="468"/>
      <c r="DP4" s="468"/>
      <c r="DQ4" s="468"/>
      <c r="DR4" s="468"/>
      <c r="DS4" s="468"/>
      <c r="DT4" s="468"/>
      <c r="DU4" s="468"/>
      <c r="DV4" s="468"/>
      <c r="DW4" s="468"/>
      <c r="DX4" s="468"/>
      <c r="DY4" s="468"/>
      <c r="DZ4" s="468"/>
      <c r="EA4" s="468"/>
      <c r="EB4" s="468"/>
      <c r="EC4" s="468"/>
      <c r="ED4" s="468"/>
      <c r="EE4" s="468"/>
      <c r="EF4" s="468"/>
      <c r="EG4" s="468"/>
      <c r="EH4" s="468"/>
      <c r="EI4" s="468"/>
      <c r="EJ4" s="468"/>
      <c r="EK4" s="468"/>
      <c r="EL4" s="468"/>
      <c r="EM4" s="468"/>
      <c r="EN4" s="468"/>
      <c r="EO4" s="468"/>
      <c r="EP4" s="468"/>
      <c r="EQ4" s="468"/>
      <c r="ER4" s="468"/>
      <c r="ES4" s="468"/>
      <c r="ET4" s="468"/>
      <c r="EU4" s="468"/>
      <c r="EV4" s="468"/>
      <c r="EW4" s="468"/>
      <c r="EX4" s="468"/>
      <c r="EY4" s="468"/>
      <c r="EZ4" s="468"/>
      <c r="FA4" s="468"/>
      <c r="FB4" s="468"/>
      <c r="FC4" s="468"/>
      <c r="FD4" s="468"/>
      <c r="FE4" s="468"/>
      <c r="FF4" s="468"/>
      <c r="FG4" s="468"/>
      <c r="FH4" s="468"/>
      <c r="FI4" s="468"/>
      <c r="FJ4" s="468"/>
      <c r="FK4" s="468"/>
      <c r="FL4" s="468"/>
      <c r="FM4" s="468"/>
      <c r="FN4" s="468"/>
      <c r="FO4" s="468"/>
      <c r="FP4" s="468"/>
      <c r="FQ4" s="468"/>
      <c r="FR4" s="468"/>
      <c r="FS4" s="468"/>
      <c r="FT4" s="468"/>
      <c r="FU4" s="468"/>
      <c r="FV4" s="468"/>
      <c r="FW4" s="468"/>
      <c r="FX4" s="468"/>
      <c r="FY4" s="468"/>
      <c r="FZ4" s="468"/>
      <c r="GA4" s="468"/>
      <c r="GB4" s="468"/>
      <c r="GC4" s="468"/>
      <c r="GD4" s="468"/>
      <c r="GE4" s="468"/>
      <c r="GF4" s="468"/>
      <c r="GG4" s="468"/>
      <c r="GH4" s="468"/>
      <c r="GI4" s="468"/>
      <c r="GJ4" s="468"/>
      <c r="GK4" s="468"/>
      <c r="GL4" s="468"/>
      <c r="GM4" s="468"/>
      <c r="GN4" s="468"/>
      <c r="GO4" s="468"/>
      <c r="GP4" s="468"/>
      <c r="GQ4" s="468"/>
      <c r="GR4" s="468"/>
      <c r="GS4" s="468"/>
      <c r="GT4" s="468"/>
      <c r="GU4" s="468"/>
      <c r="GV4" s="468"/>
      <c r="GW4" s="468"/>
      <c r="GX4" s="468"/>
      <c r="GY4" s="468"/>
      <c r="GZ4" s="468"/>
      <c r="HA4" s="468"/>
      <c r="HB4" s="468"/>
      <c r="HC4" s="468"/>
      <c r="HD4" s="468"/>
      <c r="HE4" s="468"/>
      <c r="HF4" s="468"/>
      <c r="HG4" s="468"/>
      <c r="HH4" s="468"/>
      <c r="HI4" s="468"/>
      <c r="HJ4" s="468"/>
      <c r="HK4" s="468"/>
      <c r="HL4" s="468"/>
      <c r="HM4" s="468"/>
      <c r="HN4" s="468"/>
      <c r="HO4" s="468"/>
      <c r="HP4" s="468"/>
      <c r="HQ4" s="468"/>
      <c r="HR4" s="468"/>
      <c r="HS4" s="468"/>
      <c r="HT4" s="468"/>
      <c r="HU4" s="468"/>
      <c r="HV4" s="468"/>
      <c r="HW4" s="468"/>
      <c r="HX4" s="468"/>
      <c r="HY4" s="468"/>
      <c r="HZ4" s="468"/>
      <c r="IA4" s="468"/>
      <c r="IB4" s="468"/>
      <c r="IC4" s="468"/>
      <c r="ID4" s="468"/>
      <c r="IE4" s="468"/>
      <c r="IF4" s="468"/>
      <c r="IG4" s="468"/>
      <c r="IH4" s="468"/>
      <c r="II4" s="468"/>
      <c r="IJ4" s="468"/>
      <c r="IK4" s="468"/>
      <c r="IL4" s="468"/>
      <c r="IM4" s="468"/>
      <c r="IN4" s="468"/>
      <c r="IO4" s="468"/>
      <c r="IP4" s="468"/>
      <c r="IQ4" s="468"/>
      <c r="IR4" s="468"/>
      <c r="IS4" s="468"/>
      <c r="IT4" s="468"/>
      <c r="IU4" s="468"/>
      <c r="IV4" s="468"/>
      <c r="IW4" s="468"/>
      <c r="IX4" s="468"/>
      <c r="IY4" s="468"/>
      <c r="IZ4" s="468"/>
      <c r="JA4" s="468"/>
      <c r="JB4" s="468"/>
      <c r="JC4" s="468"/>
      <c r="JD4" s="468"/>
      <c r="JE4" s="468"/>
      <c r="JF4" s="468"/>
      <c r="JG4" s="468"/>
      <c r="JH4" s="468"/>
      <c r="JI4" s="468"/>
      <c r="JJ4" s="468"/>
      <c r="JK4" s="468"/>
      <c r="JL4" s="468"/>
      <c r="JM4" s="468"/>
      <c r="JN4" s="468"/>
      <c r="JO4" s="468"/>
      <c r="JP4" s="468"/>
      <c r="JQ4" s="468"/>
      <c r="JR4" s="468"/>
      <c r="JS4" s="468"/>
      <c r="JT4" s="468"/>
      <c r="JU4" s="468"/>
      <c r="JV4" s="468"/>
      <c r="JW4" s="468"/>
      <c r="JX4" s="468"/>
      <c r="JY4" s="468"/>
      <c r="JZ4" s="468"/>
      <c r="KA4" s="468"/>
      <c r="KB4" s="468"/>
      <c r="KC4" s="468"/>
      <c r="KD4" s="468"/>
      <c r="KE4" s="468"/>
      <c r="KF4" s="468"/>
      <c r="KG4" s="468"/>
      <c r="KH4" s="468"/>
      <c r="KI4" s="468"/>
      <c r="KJ4" s="468"/>
      <c r="KK4" s="468"/>
      <c r="KL4" s="468"/>
      <c r="KM4" s="468"/>
      <c r="KN4" s="468"/>
      <c r="KO4" s="468"/>
      <c r="KP4" s="468"/>
      <c r="KQ4" s="468"/>
      <c r="KR4" s="468"/>
      <c r="KS4" s="468"/>
      <c r="KT4" s="468"/>
      <c r="KU4" s="468"/>
      <c r="KV4" s="468"/>
      <c r="KW4" s="468"/>
      <c r="KX4" s="468"/>
      <c r="KY4" s="468"/>
      <c r="KZ4" s="468"/>
      <c r="LA4" s="468"/>
      <c r="LB4" s="468"/>
      <c r="LC4" s="468"/>
      <c r="LD4" s="468"/>
      <c r="LE4" s="468"/>
      <c r="LF4" s="468"/>
      <c r="LG4" s="468"/>
      <c r="LH4" s="468"/>
      <c r="LI4" s="468"/>
      <c r="LJ4" s="468"/>
      <c r="LK4" s="468"/>
      <c r="LL4" s="468"/>
      <c r="LM4" s="468"/>
      <c r="LN4" s="468"/>
      <c r="LO4" s="468"/>
      <c r="LP4" s="468"/>
      <c r="LQ4" s="468"/>
      <c r="LR4" s="468"/>
      <c r="LS4" s="468"/>
      <c r="LT4" s="468"/>
      <c r="LU4" s="468"/>
      <c r="LV4" s="468"/>
      <c r="LW4" s="468"/>
      <c r="LX4" s="468"/>
      <c r="LY4" s="468"/>
      <c r="LZ4" s="468"/>
      <c r="MA4" s="468"/>
      <c r="MB4" s="468"/>
      <c r="MC4" s="468"/>
      <c r="MD4" s="468"/>
      <c r="ME4" s="468"/>
      <c r="MF4" s="468"/>
      <c r="MG4" s="468"/>
      <c r="MH4" s="468"/>
      <c r="MI4" s="468"/>
      <c r="MJ4" s="468"/>
      <c r="MK4" s="468"/>
      <c r="ML4" s="468"/>
      <c r="MM4" s="468"/>
      <c r="MN4" s="468"/>
      <c r="MO4" s="468"/>
      <c r="MP4" s="468"/>
      <c r="MQ4" s="468"/>
      <c r="MR4" s="468"/>
      <c r="MS4" s="468"/>
      <c r="MT4" s="468"/>
      <c r="MU4" s="468"/>
      <c r="MV4" s="468"/>
      <c r="MW4" s="468"/>
      <c r="MX4" s="468"/>
      <c r="MY4" s="468"/>
      <c r="MZ4" s="468"/>
      <c r="NA4" s="468"/>
      <c r="NB4" s="468"/>
      <c r="NC4" s="468"/>
      <c r="ND4" s="468"/>
      <c r="NE4" s="468"/>
      <c r="NF4" s="468"/>
      <c r="NG4" s="468"/>
      <c r="NH4" s="468"/>
      <c r="NI4" s="468"/>
      <c r="NJ4" s="468"/>
      <c r="NK4" s="468"/>
      <c r="NL4" s="468"/>
      <c r="NM4" s="468"/>
      <c r="NN4" s="468"/>
      <c r="NO4" s="468"/>
      <c r="NP4" s="468"/>
      <c r="NQ4" s="468"/>
      <c r="NR4" s="468"/>
      <c r="NS4" s="468"/>
      <c r="NT4" s="468"/>
      <c r="NU4" s="468"/>
      <c r="NV4" s="468"/>
      <c r="NW4" s="468"/>
      <c r="NX4" s="468"/>
      <c r="NY4" s="468"/>
      <c r="NZ4" s="468"/>
      <c r="OA4" s="468"/>
      <c r="OB4" s="468"/>
      <c r="OC4" s="468"/>
      <c r="OD4" s="468"/>
      <c r="OE4" s="468"/>
      <c r="OF4" s="468"/>
      <c r="OG4" s="468"/>
      <c r="OH4" s="468"/>
      <c r="OI4" s="468"/>
      <c r="OJ4" s="468"/>
      <c r="OK4" s="468"/>
      <c r="OL4" s="468"/>
      <c r="OM4" s="468"/>
      <c r="ON4" s="468"/>
      <c r="OO4" s="468"/>
      <c r="OP4" s="468"/>
      <c r="OQ4" s="468"/>
      <c r="OR4" s="468"/>
      <c r="OS4" s="468"/>
      <c r="OT4" s="468"/>
      <c r="OU4" s="468"/>
      <c r="OV4" s="468"/>
      <c r="OW4" s="468"/>
      <c r="OX4" s="468"/>
      <c r="OY4" s="468"/>
      <c r="OZ4" s="468"/>
      <c r="PA4" s="468"/>
      <c r="PB4" s="468"/>
      <c r="PC4" s="468"/>
      <c r="PD4" s="468"/>
      <c r="PE4" s="468"/>
      <c r="PF4" s="468"/>
      <c r="PG4" s="468"/>
      <c r="PH4" s="468"/>
      <c r="PI4" s="468"/>
      <c r="PJ4" s="468"/>
      <c r="PK4" s="468"/>
      <c r="PL4" s="468"/>
      <c r="PM4" s="468"/>
      <c r="PN4" s="468"/>
      <c r="PO4" s="468"/>
      <c r="PP4" s="468"/>
      <c r="PQ4" s="468"/>
      <c r="PR4" s="468"/>
      <c r="PS4" s="468"/>
      <c r="PT4" s="468"/>
      <c r="PU4" s="468"/>
      <c r="PV4" s="468"/>
      <c r="PW4" s="468"/>
      <c r="PX4" s="468"/>
      <c r="PY4" s="468"/>
      <c r="PZ4" s="468"/>
      <c r="QA4" s="468"/>
      <c r="QB4" s="468"/>
      <c r="QC4" s="468"/>
      <c r="QD4" s="468"/>
      <c r="QE4" s="468"/>
      <c r="QF4" s="468"/>
      <c r="QG4" s="468"/>
      <c r="QH4" s="468"/>
      <c r="QI4" s="468"/>
      <c r="QJ4" s="468"/>
      <c r="QK4" s="468"/>
      <c r="QL4" s="468"/>
      <c r="QM4" s="468"/>
      <c r="QN4" s="468"/>
      <c r="QO4" s="468"/>
      <c r="QP4" s="468"/>
      <c r="QQ4" s="468"/>
      <c r="QR4" s="468"/>
      <c r="QS4" s="468"/>
      <c r="QT4" s="468"/>
      <c r="QU4" s="468"/>
      <c r="QV4" s="468"/>
      <c r="QW4" s="468"/>
      <c r="QX4" s="468"/>
      <c r="QY4" s="468"/>
      <c r="QZ4" s="468"/>
      <c r="RA4" s="468"/>
      <c r="RB4" s="468"/>
      <c r="RC4" s="468"/>
      <c r="RD4" s="468"/>
      <c r="RE4" s="468"/>
      <c r="RF4" s="468"/>
      <c r="RG4" s="468"/>
      <c r="RH4" s="468"/>
      <c r="RI4" s="468"/>
      <c r="RJ4" s="468"/>
      <c r="RK4" s="468"/>
      <c r="RL4" s="468"/>
      <c r="RM4" s="468"/>
      <c r="RN4" s="468"/>
      <c r="RO4" s="468"/>
      <c r="RP4" s="468"/>
      <c r="RQ4" s="468"/>
      <c r="RR4" s="468"/>
      <c r="RS4" s="468"/>
      <c r="RT4" s="468"/>
      <c r="RU4" s="468"/>
      <c r="RV4" s="468"/>
      <c r="RW4" s="468"/>
      <c r="RX4" s="468"/>
      <c r="RY4" s="468"/>
      <c r="RZ4" s="468"/>
      <c r="SA4" s="468"/>
      <c r="SB4" s="468"/>
      <c r="SC4" s="468"/>
      <c r="SD4" s="468"/>
      <c r="SE4" s="468"/>
      <c r="SF4" s="468"/>
      <c r="SG4" s="468"/>
      <c r="SH4" s="468"/>
      <c r="SI4" s="468"/>
      <c r="SJ4" s="468"/>
      <c r="SK4" s="468"/>
      <c r="SL4" s="468"/>
      <c r="SM4" s="468"/>
      <c r="SN4" s="468"/>
      <c r="SO4" s="468"/>
      <c r="SP4" s="468"/>
      <c r="SQ4" s="468"/>
      <c r="SR4" s="468"/>
      <c r="SS4" s="468"/>
      <c r="ST4" s="468"/>
      <c r="SU4" s="468"/>
      <c r="SV4" s="468"/>
      <c r="SW4" s="468"/>
      <c r="SX4" s="468"/>
      <c r="SY4" s="468"/>
      <c r="SZ4" s="468"/>
      <c r="TA4" s="468"/>
      <c r="TB4" s="468"/>
      <c r="TC4" s="468"/>
      <c r="TD4" s="468"/>
      <c r="TE4" s="468"/>
      <c r="TF4" s="468"/>
      <c r="TG4" s="468"/>
      <c r="TH4" s="468"/>
      <c r="TI4" s="468"/>
      <c r="TJ4" s="468"/>
      <c r="TK4" s="468"/>
      <c r="TL4" s="468"/>
      <c r="TM4" s="468"/>
      <c r="TN4" s="468"/>
      <c r="TO4" s="468"/>
      <c r="TP4" s="468"/>
      <c r="TQ4" s="468"/>
      <c r="TR4" s="468"/>
      <c r="TS4" s="468"/>
      <c r="TT4" s="468"/>
      <c r="TU4" s="468"/>
      <c r="TV4" s="468"/>
      <c r="TW4" s="468"/>
      <c r="TX4" s="468"/>
      <c r="TY4" s="468"/>
      <c r="TZ4" s="468"/>
      <c r="UA4" s="468"/>
      <c r="UB4" s="468"/>
      <c r="UC4" s="468"/>
      <c r="UD4" s="468"/>
      <c r="UE4" s="468"/>
      <c r="UF4" s="468"/>
      <c r="UG4" s="468"/>
      <c r="UH4" s="468"/>
      <c r="UI4" s="468"/>
      <c r="UJ4" s="468"/>
      <c r="UK4" s="468"/>
      <c r="UL4" s="468"/>
      <c r="UM4" s="468"/>
      <c r="UN4" s="468"/>
      <c r="UO4" s="468"/>
      <c r="UP4" s="468"/>
      <c r="UQ4" s="468"/>
      <c r="UR4" s="468"/>
      <c r="US4" s="468"/>
      <c r="UT4" s="468"/>
      <c r="UU4" s="468"/>
      <c r="UV4" s="468"/>
      <c r="UW4" s="468"/>
      <c r="UX4" s="468"/>
      <c r="UY4" s="468"/>
      <c r="UZ4" s="468"/>
      <c r="VA4" s="468"/>
      <c r="VB4" s="468"/>
      <c r="VC4" s="468"/>
      <c r="VD4" s="468"/>
      <c r="VE4" s="468"/>
      <c r="VF4" s="468"/>
      <c r="VG4" s="468"/>
      <c r="VH4" s="468"/>
      <c r="VI4" s="468"/>
      <c r="VJ4" s="468"/>
      <c r="VK4" s="468"/>
      <c r="VL4" s="468"/>
      <c r="VM4" s="468"/>
      <c r="VN4" s="468"/>
      <c r="VO4" s="468"/>
      <c r="VP4" s="468"/>
      <c r="VQ4" s="468"/>
      <c r="VR4" s="468"/>
      <c r="VS4" s="468"/>
      <c r="VT4" s="468"/>
      <c r="VU4" s="468"/>
      <c r="VV4" s="468"/>
      <c r="VW4" s="468"/>
      <c r="VX4" s="468"/>
      <c r="VY4" s="468"/>
      <c r="VZ4" s="468"/>
      <c r="WA4" s="468"/>
      <c r="WB4" s="468"/>
      <c r="WC4" s="468"/>
      <c r="WD4" s="468"/>
      <c r="WE4" s="468"/>
      <c r="WF4" s="468"/>
      <c r="WG4" s="468"/>
      <c r="WH4" s="468"/>
      <c r="WI4" s="468"/>
      <c r="WJ4" s="468"/>
      <c r="WK4" s="468"/>
      <c r="WL4" s="468"/>
      <c r="WM4" s="468"/>
      <c r="WN4" s="468"/>
      <c r="WO4" s="468"/>
      <c r="WP4" s="468"/>
      <c r="WQ4" s="468"/>
      <c r="WR4" s="468"/>
      <c r="WS4" s="468"/>
      <c r="WT4" s="468"/>
      <c r="WU4" s="468"/>
      <c r="WV4" s="468"/>
      <c r="WW4" s="468"/>
      <c r="WX4" s="468"/>
      <c r="WY4" s="468"/>
      <c r="WZ4" s="468"/>
      <c r="XA4" s="468"/>
      <c r="XB4" s="468"/>
      <c r="XC4" s="468"/>
      <c r="XD4" s="468"/>
      <c r="XE4" s="468"/>
      <c r="XF4" s="468"/>
      <c r="XG4" s="468"/>
      <c r="XH4" s="468"/>
      <c r="XI4" s="468"/>
      <c r="XJ4" s="468"/>
      <c r="XK4" s="468"/>
      <c r="XL4" s="468"/>
      <c r="XM4" s="468"/>
      <c r="XN4" s="468"/>
      <c r="XO4" s="468"/>
      <c r="XP4" s="468"/>
      <c r="XQ4" s="466"/>
    </row>
    <row r="5" spans="1:641" x14ac:dyDescent="0.25">
      <c r="A5" s="456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58"/>
      <c r="AC5" s="158"/>
      <c r="AD5" s="158"/>
      <c r="AE5" s="158"/>
      <c r="AF5" s="158"/>
      <c r="AG5" s="158"/>
      <c r="AH5" s="158"/>
      <c r="AI5" s="158"/>
      <c r="AJ5" s="158"/>
      <c r="AK5" s="158"/>
      <c r="AL5" s="158"/>
      <c r="AM5" s="158"/>
      <c r="AN5" s="473"/>
      <c r="AO5" s="470"/>
      <c r="AP5" s="470"/>
      <c r="AQ5" s="470"/>
      <c r="AR5" s="470"/>
      <c r="AS5" s="470"/>
      <c r="AT5" s="470"/>
      <c r="AU5" s="470"/>
      <c r="AV5" s="470"/>
      <c r="AW5" s="470"/>
      <c r="AX5" s="470"/>
      <c r="AY5" s="470"/>
      <c r="AZ5" s="470"/>
      <c r="BA5" s="470"/>
      <c r="BB5" s="470"/>
      <c r="BC5" s="470"/>
      <c r="BD5" s="470"/>
      <c r="BE5" s="470"/>
      <c r="BF5" s="470"/>
      <c r="BG5" s="470"/>
      <c r="BH5" s="470"/>
      <c r="BI5" s="470"/>
      <c r="BJ5" s="470"/>
      <c r="BK5" s="470"/>
      <c r="BL5" s="470"/>
      <c r="BM5" s="470"/>
      <c r="BN5" s="470"/>
      <c r="BO5" s="470"/>
      <c r="BP5" s="470"/>
      <c r="BQ5" s="470"/>
      <c r="BR5" s="470"/>
      <c r="BS5" s="470"/>
      <c r="BT5" s="470"/>
      <c r="BU5" s="470"/>
      <c r="BV5" s="470"/>
      <c r="BW5" s="470"/>
      <c r="BX5" s="470"/>
      <c r="BY5" s="470"/>
      <c r="BZ5" s="470"/>
      <c r="CA5" s="470"/>
      <c r="CB5" s="470"/>
      <c r="CC5" s="470"/>
      <c r="CD5" s="470"/>
      <c r="CE5" s="470"/>
      <c r="CF5" s="470"/>
      <c r="CG5" s="470"/>
      <c r="CH5" s="470"/>
      <c r="CI5" s="470"/>
      <c r="CJ5" s="470"/>
      <c r="CK5" s="470"/>
      <c r="CL5" s="470"/>
      <c r="CM5" s="470"/>
      <c r="CN5" s="470"/>
      <c r="CO5" s="470"/>
      <c r="CP5" s="470"/>
      <c r="CQ5" s="470"/>
      <c r="CR5" s="470"/>
      <c r="CS5" s="470"/>
      <c r="CT5" s="470"/>
      <c r="CU5" s="470"/>
      <c r="CV5" s="470"/>
      <c r="CW5" s="470"/>
      <c r="CX5" s="470"/>
      <c r="CY5" s="470"/>
      <c r="CZ5" s="470"/>
      <c r="DA5" s="470"/>
      <c r="DB5" s="470"/>
      <c r="DC5" s="470"/>
      <c r="DD5" s="470"/>
      <c r="DE5" s="470"/>
      <c r="DF5" s="470"/>
      <c r="DG5" s="470"/>
      <c r="DH5" s="470"/>
      <c r="DI5" s="470"/>
      <c r="DJ5" s="470"/>
      <c r="DK5" s="470"/>
      <c r="DL5" s="470"/>
      <c r="DM5" s="470"/>
      <c r="DN5" s="470"/>
      <c r="DO5" s="470"/>
      <c r="DP5" s="470"/>
      <c r="DQ5" s="470"/>
      <c r="DR5" s="470"/>
      <c r="DS5" s="470"/>
      <c r="DT5" s="470"/>
      <c r="DU5" s="470"/>
      <c r="DV5" s="470"/>
      <c r="DW5" s="470"/>
      <c r="DX5" s="470"/>
      <c r="DY5" s="470"/>
      <c r="DZ5" s="470"/>
      <c r="EA5" s="470"/>
      <c r="EB5" s="470"/>
      <c r="EC5" s="470"/>
      <c r="ED5" s="470"/>
      <c r="EE5" s="470"/>
      <c r="EF5" s="470"/>
      <c r="EG5" s="470"/>
      <c r="EH5" s="470"/>
      <c r="EI5" s="470"/>
      <c r="EJ5" s="470"/>
      <c r="EK5" s="470"/>
      <c r="EL5" s="470"/>
      <c r="EM5" s="470"/>
      <c r="EN5" s="470"/>
      <c r="EO5" s="470"/>
      <c r="EP5" s="470"/>
      <c r="EQ5" s="470"/>
      <c r="ER5" s="470"/>
      <c r="ES5" s="470"/>
      <c r="ET5" s="470"/>
      <c r="EU5" s="470"/>
      <c r="EV5" s="470"/>
      <c r="EW5" s="470"/>
      <c r="EX5" s="470"/>
      <c r="EY5" s="470"/>
      <c r="EZ5" s="470"/>
      <c r="FA5" s="470"/>
      <c r="FB5" s="470"/>
      <c r="FC5" s="470"/>
      <c r="FD5" s="470"/>
      <c r="FE5" s="470"/>
      <c r="FF5" s="470"/>
      <c r="FG5" s="470"/>
      <c r="FH5" s="470"/>
      <c r="FI5" s="470"/>
      <c r="FJ5" s="470"/>
      <c r="FK5" s="470"/>
      <c r="FL5" s="470"/>
      <c r="FM5" s="470"/>
      <c r="FN5" s="470"/>
      <c r="FO5" s="470"/>
      <c r="FP5" s="470"/>
      <c r="FQ5" s="470"/>
      <c r="FR5" s="470"/>
      <c r="FS5" s="470"/>
      <c r="FT5" s="470"/>
      <c r="FU5" s="470"/>
      <c r="FV5" s="470"/>
      <c r="FW5" s="470"/>
      <c r="FX5" s="470"/>
      <c r="FY5" s="470"/>
      <c r="FZ5" s="470"/>
      <c r="GA5" s="470"/>
      <c r="GB5" s="470"/>
      <c r="GC5" s="470"/>
      <c r="GD5" s="470"/>
      <c r="GE5" s="470"/>
      <c r="GF5" s="470"/>
      <c r="GG5" s="470"/>
      <c r="GH5" s="470"/>
      <c r="GI5" s="470"/>
      <c r="GJ5" s="470"/>
      <c r="GK5" s="470"/>
      <c r="GL5" s="470"/>
      <c r="GM5" s="470"/>
      <c r="GN5" s="470"/>
      <c r="GO5" s="470"/>
      <c r="GP5" s="470"/>
      <c r="GQ5" s="470"/>
      <c r="GR5" s="470"/>
      <c r="GS5" s="470"/>
      <c r="GT5" s="470"/>
      <c r="GU5" s="470"/>
      <c r="GV5" s="470"/>
      <c r="GW5" s="470"/>
      <c r="GX5" s="470"/>
      <c r="GY5" s="470"/>
      <c r="GZ5" s="470"/>
      <c r="HA5" s="470"/>
      <c r="HB5" s="470"/>
      <c r="HC5" s="470"/>
      <c r="HD5" s="470"/>
      <c r="HE5" s="470"/>
      <c r="HF5" s="470"/>
      <c r="HG5" s="470"/>
      <c r="HH5" s="470"/>
      <c r="HI5" s="470"/>
      <c r="HJ5" s="470"/>
      <c r="HK5" s="470"/>
      <c r="HL5" s="470"/>
      <c r="HM5" s="470"/>
      <c r="HN5" s="470"/>
      <c r="HO5" s="470"/>
      <c r="HP5" s="470"/>
      <c r="HQ5" s="470"/>
      <c r="HR5" s="470"/>
      <c r="HS5" s="470"/>
      <c r="HT5" s="470"/>
      <c r="HU5" s="470"/>
      <c r="HV5" s="470"/>
      <c r="HW5" s="470"/>
      <c r="HX5" s="470"/>
      <c r="HY5" s="470"/>
      <c r="HZ5" s="470"/>
      <c r="IA5" s="470"/>
      <c r="IB5" s="470"/>
      <c r="IC5" s="470"/>
      <c r="ID5" s="470"/>
      <c r="IE5" s="470"/>
      <c r="IF5" s="470"/>
      <c r="IG5" s="470"/>
      <c r="IH5" s="470"/>
      <c r="II5" s="470"/>
      <c r="IJ5" s="470"/>
      <c r="IK5" s="470"/>
      <c r="IL5" s="470"/>
      <c r="IM5" s="470"/>
      <c r="IN5" s="470"/>
      <c r="IO5" s="470"/>
      <c r="IP5" s="470"/>
      <c r="IQ5" s="470"/>
      <c r="IR5" s="470"/>
      <c r="IS5" s="470"/>
      <c r="IT5" s="470"/>
      <c r="IU5" s="470"/>
      <c r="IV5" s="470"/>
      <c r="IW5" s="470"/>
      <c r="IX5" s="470"/>
      <c r="IY5" s="470"/>
      <c r="IZ5" s="470"/>
      <c r="JA5" s="470"/>
      <c r="JB5" s="470"/>
      <c r="JC5" s="470"/>
      <c r="JD5" s="470"/>
      <c r="JE5" s="470"/>
      <c r="JF5" s="470"/>
      <c r="JG5" s="470"/>
      <c r="JH5" s="470"/>
      <c r="JI5" s="470"/>
      <c r="JJ5" s="470"/>
      <c r="JK5" s="470"/>
      <c r="JL5" s="470"/>
      <c r="JM5" s="470"/>
      <c r="JN5" s="470"/>
      <c r="JO5" s="470"/>
      <c r="JP5" s="470"/>
      <c r="JQ5" s="470"/>
      <c r="JR5" s="470"/>
      <c r="JS5" s="470"/>
      <c r="JT5" s="470"/>
      <c r="JU5" s="470"/>
      <c r="JV5" s="470"/>
      <c r="JW5" s="470"/>
      <c r="JX5" s="470"/>
      <c r="JY5" s="470"/>
      <c r="JZ5" s="470"/>
      <c r="KA5" s="470"/>
      <c r="KB5" s="470"/>
      <c r="KC5" s="470"/>
      <c r="KD5" s="470"/>
      <c r="KE5" s="470"/>
      <c r="KF5" s="470"/>
      <c r="KG5" s="470"/>
      <c r="KH5" s="470"/>
      <c r="KI5" s="470"/>
      <c r="KJ5" s="470"/>
      <c r="KK5" s="470"/>
      <c r="KL5" s="470"/>
      <c r="KM5" s="470"/>
      <c r="KN5" s="470"/>
      <c r="KO5" s="470"/>
      <c r="KP5" s="470"/>
      <c r="KQ5" s="470"/>
      <c r="KR5" s="470"/>
      <c r="KS5" s="470"/>
      <c r="KT5" s="470"/>
      <c r="KU5" s="470"/>
      <c r="KV5" s="470"/>
      <c r="KW5" s="470"/>
      <c r="KX5" s="470"/>
      <c r="KY5" s="470"/>
      <c r="KZ5" s="470"/>
      <c r="LA5" s="470"/>
      <c r="LB5" s="470"/>
      <c r="LC5" s="470"/>
      <c r="LD5" s="470"/>
      <c r="LE5" s="470"/>
      <c r="LF5" s="470"/>
      <c r="LG5" s="470"/>
      <c r="LH5" s="470"/>
      <c r="LI5" s="470"/>
      <c r="LJ5" s="470"/>
      <c r="LK5" s="470"/>
      <c r="LL5" s="470"/>
      <c r="LM5" s="470"/>
      <c r="LN5" s="470"/>
      <c r="LO5" s="470"/>
      <c r="LP5" s="470"/>
      <c r="LQ5" s="470"/>
      <c r="LR5" s="470"/>
      <c r="LS5" s="470"/>
      <c r="LT5" s="470"/>
      <c r="LU5" s="470"/>
      <c r="LV5" s="470"/>
      <c r="LW5" s="470"/>
      <c r="LX5" s="470"/>
      <c r="LY5" s="470"/>
      <c r="LZ5" s="470"/>
      <c r="MA5" s="470"/>
      <c r="MB5" s="470"/>
      <c r="MC5" s="470"/>
      <c r="MD5" s="470"/>
      <c r="ME5" s="470"/>
      <c r="MF5" s="470"/>
      <c r="MG5" s="470"/>
      <c r="MH5" s="470"/>
      <c r="MI5" s="470"/>
      <c r="MJ5" s="470"/>
      <c r="MK5" s="470"/>
      <c r="ML5" s="470"/>
      <c r="MM5" s="470"/>
      <c r="MN5" s="470"/>
      <c r="MO5" s="470"/>
      <c r="MP5" s="470"/>
      <c r="MQ5" s="470"/>
      <c r="MR5" s="470"/>
      <c r="MS5" s="470"/>
      <c r="MT5" s="470"/>
      <c r="MU5" s="470"/>
      <c r="MV5" s="470"/>
      <c r="MW5" s="470"/>
      <c r="MX5" s="470"/>
      <c r="MY5" s="470"/>
      <c r="MZ5" s="470"/>
      <c r="NA5" s="470"/>
      <c r="NB5" s="470"/>
      <c r="NC5" s="470"/>
      <c r="ND5" s="470"/>
      <c r="NE5" s="470"/>
      <c r="NF5" s="470"/>
      <c r="NG5" s="470"/>
      <c r="NH5" s="470"/>
      <c r="NI5" s="470"/>
      <c r="NJ5" s="470"/>
      <c r="NK5" s="470"/>
      <c r="NL5" s="470"/>
      <c r="NM5" s="470"/>
      <c r="NN5" s="470"/>
      <c r="NO5" s="470"/>
      <c r="NP5" s="470"/>
      <c r="NQ5" s="470"/>
      <c r="NR5" s="470"/>
      <c r="NS5" s="470"/>
      <c r="NT5" s="470"/>
      <c r="NU5" s="470"/>
      <c r="NV5" s="470"/>
      <c r="NW5" s="470"/>
      <c r="NX5" s="470"/>
      <c r="NY5" s="470"/>
      <c r="NZ5" s="470"/>
      <c r="OA5" s="470"/>
      <c r="OB5" s="470"/>
      <c r="OC5" s="470"/>
      <c r="OD5" s="470"/>
      <c r="OE5" s="470"/>
      <c r="OF5" s="470"/>
      <c r="OG5" s="470"/>
      <c r="OH5" s="470"/>
      <c r="OI5" s="470"/>
      <c r="OJ5" s="470"/>
      <c r="OK5" s="470"/>
      <c r="OL5" s="470"/>
      <c r="OM5" s="470"/>
      <c r="ON5" s="470"/>
      <c r="OO5" s="470"/>
      <c r="OP5" s="470"/>
      <c r="OQ5" s="470"/>
      <c r="OR5" s="470"/>
      <c r="OS5" s="470"/>
      <c r="OT5" s="470"/>
      <c r="OU5" s="470"/>
      <c r="OV5" s="470"/>
      <c r="OW5" s="470"/>
      <c r="OX5" s="470"/>
      <c r="OY5" s="470"/>
      <c r="OZ5" s="470"/>
      <c r="PA5" s="470"/>
      <c r="PB5" s="470"/>
      <c r="PC5" s="470"/>
      <c r="PD5" s="470"/>
      <c r="PE5" s="470"/>
      <c r="PF5" s="470"/>
      <c r="PG5" s="470"/>
      <c r="PH5" s="470"/>
      <c r="PI5" s="470"/>
      <c r="PJ5" s="470"/>
      <c r="PK5" s="470"/>
      <c r="PL5" s="470"/>
      <c r="PM5" s="470"/>
      <c r="PN5" s="470"/>
      <c r="PO5" s="470"/>
      <c r="PP5" s="470"/>
      <c r="PQ5" s="470"/>
      <c r="PR5" s="470"/>
      <c r="PS5" s="470"/>
      <c r="PT5" s="470"/>
      <c r="PU5" s="470"/>
      <c r="PV5" s="470"/>
      <c r="PW5" s="470"/>
      <c r="PX5" s="470"/>
      <c r="PY5" s="470"/>
      <c r="PZ5" s="470"/>
      <c r="QA5" s="470"/>
      <c r="QB5" s="470"/>
      <c r="QC5" s="470"/>
      <c r="QD5" s="470"/>
      <c r="QE5" s="470"/>
      <c r="QF5" s="470"/>
      <c r="QG5" s="470"/>
      <c r="QH5" s="470"/>
      <c r="QI5" s="470"/>
      <c r="QJ5" s="470"/>
      <c r="QK5" s="470"/>
      <c r="QL5" s="470"/>
      <c r="QM5" s="470"/>
      <c r="QN5" s="470"/>
      <c r="QO5" s="470"/>
      <c r="QP5" s="470"/>
      <c r="QQ5" s="470"/>
      <c r="QR5" s="470"/>
      <c r="QS5" s="470"/>
      <c r="QT5" s="470"/>
      <c r="QU5" s="470"/>
      <c r="QV5" s="470"/>
      <c r="QW5" s="470"/>
      <c r="QX5" s="470"/>
      <c r="QY5" s="470"/>
      <c r="QZ5" s="470"/>
      <c r="RA5" s="470"/>
      <c r="RB5" s="470"/>
      <c r="RC5" s="470"/>
      <c r="RD5" s="470"/>
      <c r="RE5" s="470"/>
      <c r="RF5" s="470"/>
      <c r="RG5" s="470"/>
      <c r="RH5" s="470"/>
      <c r="RI5" s="470"/>
      <c r="RJ5" s="470"/>
      <c r="RK5" s="470"/>
      <c r="RL5" s="470"/>
      <c r="RM5" s="470"/>
      <c r="RN5" s="470"/>
      <c r="RO5" s="470"/>
      <c r="RP5" s="470"/>
      <c r="RQ5" s="470"/>
      <c r="RR5" s="470"/>
      <c r="RS5" s="470"/>
      <c r="RT5" s="470"/>
      <c r="RU5" s="470"/>
      <c r="RV5" s="470"/>
      <c r="RW5" s="470"/>
      <c r="RX5" s="470"/>
      <c r="RY5" s="470"/>
      <c r="RZ5" s="470"/>
      <c r="SA5" s="470"/>
      <c r="SB5" s="470"/>
      <c r="SC5" s="470"/>
      <c r="SD5" s="470"/>
      <c r="SE5" s="470"/>
      <c r="SF5" s="470"/>
      <c r="SG5" s="470"/>
      <c r="SH5" s="470"/>
      <c r="SI5" s="470"/>
      <c r="SJ5" s="470"/>
      <c r="SK5" s="470"/>
      <c r="SL5" s="470"/>
      <c r="SM5" s="470"/>
      <c r="SN5" s="470"/>
      <c r="SO5" s="470"/>
      <c r="SP5" s="470"/>
      <c r="SQ5" s="470"/>
      <c r="SR5" s="470"/>
      <c r="SS5" s="470"/>
      <c r="ST5" s="470"/>
      <c r="SU5" s="470"/>
      <c r="SV5" s="470"/>
      <c r="SW5" s="470"/>
      <c r="SX5" s="470"/>
      <c r="SY5" s="470"/>
      <c r="SZ5" s="470"/>
      <c r="TA5" s="470"/>
      <c r="TB5" s="470"/>
      <c r="TC5" s="470"/>
      <c r="TD5" s="470"/>
      <c r="TE5" s="470"/>
      <c r="TF5" s="470"/>
      <c r="TG5" s="470"/>
      <c r="TH5" s="470"/>
      <c r="TI5" s="470"/>
      <c r="TJ5" s="470"/>
      <c r="TK5" s="470"/>
      <c r="TL5" s="470"/>
      <c r="TM5" s="470"/>
      <c r="TN5" s="470"/>
      <c r="TO5" s="470"/>
      <c r="TP5" s="470"/>
      <c r="TQ5" s="470"/>
      <c r="TR5" s="470"/>
      <c r="TS5" s="470"/>
      <c r="TT5" s="470"/>
      <c r="TU5" s="470"/>
      <c r="TV5" s="470"/>
      <c r="TW5" s="470"/>
      <c r="TX5" s="470"/>
      <c r="TY5" s="470"/>
      <c r="TZ5" s="470"/>
      <c r="UA5" s="470"/>
      <c r="UB5" s="470"/>
      <c r="UC5" s="470"/>
      <c r="UD5" s="470"/>
      <c r="UE5" s="470"/>
      <c r="UF5" s="470"/>
      <c r="UG5" s="470"/>
      <c r="UH5" s="470"/>
      <c r="UI5" s="470"/>
      <c r="UJ5" s="470"/>
      <c r="UK5" s="470"/>
      <c r="UL5" s="470"/>
      <c r="UM5" s="470"/>
      <c r="UN5" s="470"/>
      <c r="UO5" s="470"/>
      <c r="UP5" s="470"/>
      <c r="UQ5" s="470"/>
      <c r="UR5" s="470"/>
      <c r="US5" s="470"/>
      <c r="UT5" s="470"/>
      <c r="UU5" s="470"/>
      <c r="UV5" s="470"/>
      <c r="UW5" s="470"/>
      <c r="UX5" s="470"/>
      <c r="UY5" s="470"/>
      <c r="UZ5" s="470"/>
      <c r="VA5" s="470"/>
      <c r="VB5" s="470"/>
      <c r="VC5" s="470"/>
      <c r="VD5" s="470"/>
      <c r="VE5" s="470"/>
      <c r="VF5" s="470"/>
      <c r="VG5" s="470"/>
      <c r="VH5" s="470"/>
      <c r="VI5" s="470"/>
      <c r="VJ5" s="470"/>
      <c r="VK5" s="470"/>
      <c r="VL5" s="470"/>
      <c r="VM5" s="470"/>
      <c r="VN5" s="470"/>
      <c r="VO5" s="470"/>
      <c r="VP5" s="470"/>
      <c r="VQ5" s="470"/>
      <c r="VR5" s="470"/>
      <c r="VS5" s="470"/>
      <c r="VT5" s="470"/>
      <c r="VU5" s="470"/>
      <c r="VV5" s="470"/>
      <c r="VW5" s="470"/>
      <c r="VX5" s="470"/>
      <c r="VY5" s="470"/>
      <c r="VZ5" s="470"/>
      <c r="WA5" s="470"/>
      <c r="WB5" s="470"/>
      <c r="WC5" s="470"/>
      <c r="WD5" s="470"/>
      <c r="WE5" s="470"/>
      <c r="WF5" s="470"/>
      <c r="WG5" s="470"/>
      <c r="WH5" s="470"/>
      <c r="WI5" s="470"/>
      <c r="WJ5" s="470"/>
      <c r="WK5" s="470"/>
      <c r="WL5" s="470"/>
      <c r="WM5" s="470"/>
      <c r="WN5" s="470"/>
      <c r="WO5" s="470"/>
      <c r="WP5" s="470"/>
      <c r="WQ5" s="470"/>
      <c r="WR5" s="470"/>
      <c r="WS5" s="470"/>
      <c r="WT5" s="470"/>
      <c r="WU5" s="470"/>
      <c r="WV5" s="470"/>
      <c r="WW5" s="470"/>
      <c r="WX5" s="470"/>
      <c r="WY5" s="470"/>
      <c r="WZ5" s="470"/>
      <c r="XA5" s="470"/>
      <c r="XB5" s="470"/>
      <c r="XC5" s="470"/>
      <c r="XD5" s="470"/>
      <c r="XE5" s="470"/>
      <c r="XF5" s="470"/>
      <c r="XG5" s="470"/>
      <c r="XH5" s="470"/>
      <c r="XI5" s="470"/>
      <c r="XJ5" s="470"/>
      <c r="XK5" s="470"/>
      <c r="XL5" s="470"/>
      <c r="XM5" s="470"/>
      <c r="XN5" s="470"/>
      <c r="XO5" s="470"/>
      <c r="XP5" s="470"/>
    </row>
    <row r="6" spans="1:641" x14ac:dyDescent="0.25">
      <c r="A6" s="456" t="s">
        <v>1453</v>
      </c>
      <c r="B6" s="158" t="s">
        <v>1446</v>
      </c>
      <c r="C6" s="158" t="s">
        <v>1447</v>
      </c>
      <c r="D6" s="437" t="s">
        <v>1160</v>
      </c>
      <c r="E6" s="449" t="s">
        <v>1492</v>
      </c>
      <c r="F6" s="155">
        <v>45</v>
      </c>
      <c r="G6" s="155" t="s">
        <v>54</v>
      </c>
      <c r="H6" s="155" t="s">
        <v>35</v>
      </c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158"/>
      <c r="AK6" s="158"/>
      <c r="AL6" s="158"/>
      <c r="AM6" s="158"/>
      <c r="AN6" s="473"/>
      <c r="AO6" s="470"/>
      <c r="AP6" s="470"/>
      <c r="AQ6" s="470"/>
      <c r="AR6" s="470"/>
      <c r="AS6" s="470"/>
      <c r="AT6" s="470"/>
      <c r="AU6" s="470"/>
      <c r="AV6" s="470"/>
      <c r="AW6" s="470"/>
      <c r="AX6" s="470"/>
      <c r="AY6" s="470"/>
      <c r="AZ6" s="470"/>
      <c r="BA6" s="470"/>
      <c r="BB6" s="470"/>
      <c r="BC6" s="470"/>
      <c r="BD6" s="470"/>
      <c r="BE6" s="470"/>
      <c r="BF6" s="470"/>
      <c r="BG6" s="470"/>
      <c r="BH6" s="470"/>
      <c r="BI6" s="470"/>
      <c r="BJ6" s="470"/>
      <c r="BK6" s="470"/>
      <c r="BL6" s="470"/>
      <c r="BM6" s="470"/>
      <c r="BN6" s="470"/>
      <c r="BO6" s="470"/>
      <c r="BP6" s="470"/>
      <c r="BQ6" s="470"/>
      <c r="BR6" s="470"/>
      <c r="BS6" s="470"/>
      <c r="BT6" s="470"/>
      <c r="BU6" s="470"/>
      <c r="BV6" s="470"/>
      <c r="BW6" s="470"/>
      <c r="BX6" s="470"/>
      <c r="BY6" s="470"/>
      <c r="BZ6" s="470"/>
      <c r="CA6" s="470"/>
      <c r="CB6" s="470"/>
      <c r="CC6" s="470"/>
      <c r="CD6" s="470"/>
      <c r="CE6" s="470"/>
      <c r="CF6" s="470"/>
      <c r="CG6" s="470"/>
      <c r="CH6" s="470"/>
      <c r="CI6" s="470"/>
      <c r="CJ6" s="470"/>
      <c r="CK6" s="470"/>
      <c r="CL6" s="470"/>
      <c r="CM6" s="470"/>
      <c r="CN6" s="470"/>
      <c r="CO6" s="470"/>
      <c r="CP6" s="470"/>
      <c r="CQ6" s="470"/>
      <c r="CR6" s="470"/>
      <c r="CS6" s="470"/>
      <c r="CT6" s="470"/>
      <c r="CU6" s="470"/>
      <c r="CV6" s="470"/>
      <c r="CW6" s="470"/>
      <c r="CX6" s="470"/>
      <c r="CY6" s="470"/>
      <c r="CZ6" s="470"/>
      <c r="DA6" s="470"/>
      <c r="DB6" s="470"/>
      <c r="DC6" s="470"/>
      <c r="DD6" s="470"/>
      <c r="DE6" s="470"/>
      <c r="DF6" s="470"/>
      <c r="DG6" s="470"/>
      <c r="DH6" s="470"/>
      <c r="DI6" s="470"/>
      <c r="DJ6" s="470"/>
      <c r="DK6" s="470"/>
      <c r="DL6" s="470"/>
      <c r="DM6" s="470"/>
      <c r="DN6" s="470"/>
      <c r="DO6" s="470"/>
      <c r="DP6" s="470"/>
      <c r="DQ6" s="470"/>
      <c r="DR6" s="470"/>
      <c r="DS6" s="470"/>
      <c r="DT6" s="470"/>
      <c r="DU6" s="470"/>
      <c r="DV6" s="470"/>
      <c r="DW6" s="470"/>
      <c r="DX6" s="470"/>
      <c r="DY6" s="470"/>
      <c r="DZ6" s="470"/>
      <c r="EA6" s="470"/>
      <c r="EB6" s="470"/>
      <c r="EC6" s="470"/>
      <c r="ED6" s="470"/>
      <c r="EE6" s="470"/>
      <c r="EF6" s="470"/>
      <c r="EG6" s="470"/>
      <c r="EH6" s="470"/>
      <c r="EI6" s="470"/>
      <c r="EJ6" s="470"/>
      <c r="EK6" s="470"/>
      <c r="EL6" s="470"/>
      <c r="EM6" s="470"/>
      <c r="EN6" s="470"/>
      <c r="EO6" s="470"/>
      <c r="EP6" s="470"/>
      <c r="EQ6" s="470"/>
      <c r="ER6" s="470"/>
      <c r="ES6" s="470"/>
      <c r="ET6" s="470"/>
      <c r="EU6" s="470"/>
      <c r="EV6" s="470"/>
      <c r="EW6" s="470"/>
      <c r="EX6" s="470"/>
      <c r="EY6" s="470"/>
      <c r="EZ6" s="470"/>
      <c r="FA6" s="470"/>
      <c r="FB6" s="470"/>
      <c r="FC6" s="470"/>
      <c r="FD6" s="470"/>
      <c r="FE6" s="470"/>
      <c r="FF6" s="470"/>
      <c r="FG6" s="470"/>
      <c r="FH6" s="470"/>
      <c r="FI6" s="470"/>
      <c r="FJ6" s="470"/>
      <c r="FK6" s="470"/>
      <c r="FL6" s="470"/>
      <c r="FM6" s="470"/>
      <c r="FN6" s="470"/>
      <c r="FO6" s="470"/>
      <c r="FP6" s="470"/>
      <c r="FQ6" s="470"/>
      <c r="FR6" s="470"/>
      <c r="FS6" s="470"/>
      <c r="FT6" s="470"/>
      <c r="FU6" s="470"/>
      <c r="FV6" s="470"/>
      <c r="FW6" s="470"/>
      <c r="FX6" s="470"/>
      <c r="FY6" s="470"/>
      <c r="FZ6" s="470"/>
      <c r="GA6" s="470"/>
      <c r="GB6" s="470"/>
      <c r="GC6" s="470"/>
      <c r="GD6" s="470"/>
      <c r="GE6" s="470"/>
      <c r="GF6" s="470"/>
      <c r="GG6" s="470"/>
      <c r="GH6" s="470"/>
      <c r="GI6" s="470"/>
      <c r="GJ6" s="470"/>
      <c r="GK6" s="470"/>
      <c r="GL6" s="470"/>
      <c r="GM6" s="470"/>
      <c r="GN6" s="470"/>
      <c r="GO6" s="470"/>
      <c r="GP6" s="470"/>
      <c r="GQ6" s="470"/>
      <c r="GR6" s="470"/>
      <c r="GS6" s="470"/>
      <c r="GT6" s="470"/>
      <c r="GU6" s="470"/>
      <c r="GV6" s="470"/>
      <c r="GW6" s="470"/>
      <c r="GX6" s="470"/>
      <c r="GY6" s="470"/>
      <c r="GZ6" s="470"/>
      <c r="HA6" s="470"/>
      <c r="HB6" s="470"/>
      <c r="HC6" s="470"/>
      <c r="HD6" s="470"/>
      <c r="HE6" s="470"/>
      <c r="HF6" s="470"/>
      <c r="HG6" s="470"/>
      <c r="HH6" s="470"/>
      <c r="HI6" s="470"/>
      <c r="HJ6" s="470"/>
      <c r="HK6" s="470"/>
      <c r="HL6" s="470"/>
      <c r="HM6" s="470"/>
      <c r="HN6" s="470"/>
      <c r="HO6" s="470"/>
      <c r="HP6" s="470"/>
      <c r="HQ6" s="470"/>
      <c r="HR6" s="470"/>
      <c r="HS6" s="470"/>
      <c r="HT6" s="470"/>
      <c r="HU6" s="470"/>
      <c r="HV6" s="470"/>
      <c r="HW6" s="470"/>
      <c r="HX6" s="470"/>
      <c r="HY6" s="470"/>
      <c r="HZ6" s="470"/>
      <c r="IA6" s="470"/>
      <c r="IB6" s="470"/>
      <c r="IC6" s="470"/>
      <c r="ID6" s="470"/>
      <c r="IE6" s="470"/>
      <c r="IF6" s="470"/>
      <c r="IG6" s="470"/>
      <c r="IH6" s="470"/>
      <c r="II6" s="470"/>
      <c r="IJ6" s="470"/>
      <c r="IK6" s="470"/>
      <c r="IL6" s="470"/>
      <c r="IM6" s="470"/>
      <c r="IN6" s="470"/>
      <c r="IO6" s="470"/>
      <c r="IP6" s="470"/>
      <c r="IQ6" s="470"/>
      <c r="IR6" s="470"/>
      <c r="IS6" s="470"/>
      <c r="IT6" s="470"/>
      <c r="IU6" s="470"/>
      <c r="IV6" s="470"/>
      <c r="IW6" s="470"/>
      <c r="IX6" s="470"/>
      <c r="IY6" s="470"/>
      <c r="IZ6" s="470"/>
      <c r="JA6" s="470"/>
      <c r="JB6" s="470"/>
      <c r="JC6" s="470"/>
      <c r="JD6" s="470"/>
      <c r="JE6" s="470"/>
      <c r="JF6" s="470"/>
      <c r="JG6" s="470"/>
      <c r="JH6" s="470"/>
      <c r="JI6" s="470"/>
      <c r="JJ6" s="470"/>
      <c r="JK6" s="470"/>
      <c r="JL6" s="470"/>
      <c r="JM6" s="470"/>
      <c r="JN6" s="470"/>
      <c r="JO6" s="470"/>
      <c r="JP6" s="470"/>
      <c r="JQ6" s="470"/>
      <c r="JR6" s="470"/>
      <c r="JS6" s="470"/>
      <c r="JT6" s="470"/>
      <c r="JU6" s="470"/>
      <c r="JV6" s="470"/>
      <c r="JW6" s="470"/>
      <c r="JX6" s="470"/>
      <c r="JY6" s="470"/>
      <c r="JZ6" s="470"/>
      <c r="KA6" s="470"/>
      <c r="KB6" s="470"/>
      <c r="KC6" s="470"/>
      <c r="KD6" s="470"/>
      <c r="KE6" s="470"/>
      <c r="KF6" s="470"/>
      <c r="KG6" s="470"/>
      <c r="KH6" s="470"/>
      <c r="KI6" s="470"/>
      <c r="KJ6" s="470"/>
      <c r="KK6" s="470"/>
      <c r="KL6" s="470"/>
      <c r="KM6" s="470"/>
      <c r="KN6" s="470"/>
      <c r="KO6" s="470"/>
      <c r="KP6" s="470"/>
      <c r="KQ6" s="470"/>
      <c r="KR6" s="470"/>
      <c r="KS6" s="470"/>
      <c r="KT6" s="470"/>
      <c r="KU6" s="470"/>
      <c r="KV6" s="470"/>
      <c r="KW6" s="470"/>
      <c r="KX6" s="470"/>
      <c r="KY6" s="470"/>
      <c r="KZ6" s="470"/>
      <c r="LA6" s="470"/>
      <c r="LB6" s="470"/>
      <c r="LC6" s="470"/>
      <c r="LD6" s="470"/>
      <c r="LE6" s="470"/>
      <c r="LF6" s="470"/>
      <c r="LG6" s="470"/>
      <c r="LH6" s="470"/>
      <c r="LI6" s="470"/>
      <c r="LJ6" s="470"/>
      <c r="LK6" s="470"/>
      <c r="LL6" s="470"/>
      <c r="LM6" s="470"/>
      <c r="LN6" s="470"/>
      <c r="LO6" s="470"/>
      <c r="LP6" s="470"/>
      <c r="LQ6" s="470"/>
      <c r="LR6" s="470"/>
      <c r="LS6" s="470"/>
      <c r="LT6" s="470"/>
      <c r="LU6" s="470"/>
      <c r="LV6" s="470"/>
      <c r="LW6" s="470"/>
      <c r="LX6" s="470"/>
      <c r="LY6" s="470"/>
      <c r="LZ6" s="470"/>
      <c r="MA6" s="470"/>
      <c r="MB6" s="470"/>
      <c r="MC6" s="470"/>
      <c r="MD6" s="470"/>
      <c r="ME6" s="470"/>
      <c r="MF6" s="470"/>
      <c r="MG6" s="470"/>
      <c r="MH6" s="470"/>
      <c r="MI6" s="470"/>
      <c r="MJ6" s="470"/>
      <c r="MK6" s="470"/>
      <c r="ML6" s="470"/>
      <c r="MM6" s="470"/>
      <c r="MN6" s="470"/>
      <c r="MO6" s="470"/>
      <c r="MP6" s="470"/>
      <c r="MQ6" s="470"/>
      <c r="MR6" s="470"/>
      <c r="MS6" s="470"/>
      <c r="MT6" s="470"/>
      <c r="MU6" s="470"/>
      <c r="MV6" s="470"/>
      <c r="MW6" s="470"/>
      <c r="MX6" s="470"/>
      <c r="MY6" s="470"/>
      <c r="MZ6" s="470"/>
      <c r="NA6" s="470"/>
      <c r="NB6" s="470"/>
      <c r="NC6" s="470"/>
      <c r="ND6" s="470"/>
      <c r="NE6" s="470"/>
      <c r="NF6" s="470"/>
      <c r="NG6" s="470"/>
      <c r="NH6" s="470"/>
      <c r="NI6" s="470"/>
      <c r="NJ6" s="470"/>
      <c r="NK6" s="470"/>
      <c r="NL6" s="470"/>
      <c r="NM6" s="470"/>
      <c r="NN6" s="470"/>
      <c r="NO6" s="470"/>
      <c r="NP6" s="470"/>
      <c r="NQ6" s="470"/>
      <c r="NR6" s="470"/>
      <c r="NS6" s="470"/>
      <c r="NT6" s="470"/>
      <c r="NU6" s="470"/>
      <c r="NV6" s="470"/>
      <c r="NW6" s="470"/>
      <c r="NX6" s="470"/>
      <c r="NY6" s="470"/>
      <c r="NZ6" s="470"/>
      <c r="OA6" s="470"/>
      <c r="OB6" s="470"/>
      <c r="OC6" s="470"/>
      <c r="OD6" s="470"/>
      <c r="OE6" s="470"/>
      <c r="OF6" s="470"/>
      <c r="OG6" s="470"/>
      <c r="OH6" s="470"/>
      <c r="OI6" s="470"/>
      <c r="OJ6" s="470"/>
      <c r="OK6" s="470"/>
      <c r="OL6" s="470"/>
      <c r="OM6" s="470"/>
      <c r="ON6" s="470"/>
      <c r="OO6" s="470"/>
      <c r="OP6" s="470"/>
      <c r="OQ6" s="470"/>
      <c r="OR6" s="470"/>
      <c r="OS6" s="470"/>
      <c r="OT6" s="470"/>
      <c r="OU6" s="470"/>
      <c r="OV6" s="470"/>
      <c r="OW6" s="470"/>
      <c r="OX6" s="470"/>
      <c r="OY6" s="470"/>
      <c r="OZ6" s="470"/>
      <c r="PA6" s="470"/>
      <c r="PB6" s="470"/>
      <c r="PC6" s="470"/>
      <c r="PD6" s="470"/>
      <c r="PE6" s="470"/>
      <c r="PF6" s="470"/>
      <c r="PG6" s="470"/>
      <c r="PH6" s="470"/>
      <c r="PI6" s="470"/>
      <c r="PJ6" s="470"/>
      <c r="PK6" s="470"/>
      <c r="PL6" s="470"/>
      <c r="PM6" s="470"/>
      <c r="PN6" s="470"/>
      <c r="PO6" s="470"/>
      <c r="PP6" s="470"/>
      <c r="PQ6" s="470"/>
      <c r="PR6" s="470"/>
      <c r="PS6" s="470"/>
      <c r="PT6" s="470"/>
      <c r="PU6" s="470"/>
      <c r="PV6" s="470"/>
      <c r="PW6" s="470"/>
      <c r="PX6" s="470"/>
      <c r="PY6" s="470"/>
      <c r="PZ6" s="470"/>
      <c r="QA6" s="470"/>
      <c r="QB6" s="470"/>
      <c r="QC6" s="470"/>
      <c r="QD6" s="470"/>
      <c r="QE6" s="470"/>
      <c r="QF6" s="470"/>
      <c r="QG6" s="470"/>
      <c r="QH6" s="470"/>
      <c r="QI6" s="470"/>
      <c r="QJ6" s="470"/>
      <c r="QK6" s="470"/>
      <c r="QL6" s="470"/>
      <c r="QM6" s="470"/>
      <c r="QN6" s="470"/>
      <c r="QO6" s="470"/>
      <c r="QP6" s="470"/>
      <c r="QQ6" s="470"/>
      <c r="QR6" s="470"/>
      <c r="QS6" s="470"/>
      <c r="QT6" s="470"/>
      <c r="QU6" s="470"/>
      <c r="QV6" s="470"/>
      <c r="QW6" s="470"/>
      <c r="QX6" s="470"/>
      <c r="QY6" s="470"/>
      <c r="QZ6" s="470"/>
      <c r="RA6" s="470"/>
      <c r="RB6" s="470"/>
      <c r="RC6" s="470"/>
      <c r="RD6" s="470"/>
      <c r="RE6" s="470"/>
      <c r="RF6" s="470"/>
      <c r="RG6" s="470"/>
      <c r="RH6" s="470"/>
      <c r="RI6" s="470"/>
      <c r="RJ6" s="470"/>
      <c r="RK6" s="470"/>
      <c r="RL6" s="470"/>
      <c r="RM6" s="470"/>
      <c r="RN6" s="470"/>
      <c r="RO6" s="470"/>
      <c r="RP6" s="470"/>
      <c r="RQ6" s="470"/>
      <c r="RR6" s="470"/>
      <c r="RS6" s="470"/>
      <c r="RT6" s="470"/>
      <c r="RU6" s="470"/>
      <c r="RV6" s="470"/>
      <c r="RW6" s="470"/>
      <c r="RX6" s="470"/>
      <c r="RY6" s="470"/>
      <c r="RZ6" s="470"/>
      <c r="SA6" s="470"/>
      <c r="SB6" s="470"/>
      <c r="SC6" s="470"/>
      <c r="SD6" s="470"/>
      <c r="SE6" s="470"/>
      <c r="SF6" s="470"/>
      <c r="SG6" s="470"/>
      <c r="SH6" s="470"/>
      <c r="SI6" s="470"/>
      <c r="SJ6" s="470"/>
      <c r="SK6" s="470"/>
      <c r="SL6" s="470"/>
      <c r="SM6" s="470"/>
      <c r="SN6" s="470"/>
      <c r="SO6" s="470"/>
      <c r="SP6" s="470"/>
      <c r="SQ6" s="470"/>
      <c r="SR6" s="470"/>
      <c r="SS6" s="470"/>
      <c r="ST6" s="470"/>
      <c r="SU6" s="470"/>
      <c r="SV6" s="470"/>
      <c r="SW6" s="470"/>
      <c r="SX6" s="470"/>
      <c r="SY6" s="470"/>
      <c r="SZ6" s="470"/>
      <c r="TA6" s="470"/>
      <c r="TB6" s="470"/>
      <c r="TC6" s="470"/>
      <c r="TD6" s="470"/>
      <c r="TE6" s="470"/>
      <c r="TF6" s="470"/>
      <c r="TG6" s="470"/>
      <c r="TH6" s="470"/>
      <c r="TI6" s="470"/>
      <c r="TJ6" s="470"/>
      <c r="TK6" s="470"/>
      <c r="TL6" s="470"/>
      <c r="TM6" s="470"/>
      <c r="TN6" s="470"/>
      <c r="TO6" s="470"/>
      <c r="TP6" s="470"/>
      <c r="TQ6" s="470"/>
      <c r="TR6" s="470"/>
      <c r="TS6" s="470"/>
      <c r="TT6" s="470"/>
      <c r="TU6" s="470"/>
      <c r="TV6" s="470"/>
      <c r="TW6" s="470"/>
      <c r="TX6" s="470"/>
      <c r="TY6" s="470"/>
      <c r="TZ6" s="470"/>
      <c r="UA6" s="470"/>
      <c r="UB6" s="470"/>
      <c r="UC6" s="470"/>
      <c r="UD6" s="470"/>
      <c r="UE6" s="470"/>
      <c r="UF6" s="470"/>
      <c r="UG6" s="470"/>
      <c r="UH6" s="470"/>
      <c r="UI6" s="470"/>
      <c r="UJ6" s="470"/>
      <c r="UK6" s="470"/>
      <c r="UL6" s="470"/>
      <c r="UM6" s="470"/>
      <c r="UN6" s="470"/>
      <c r="UO6" s="470"/>
      <c r="UP6" s="470"/>
      <c r="UQ6" s="470"/>
      <c r="UR6" s="470"/>
      <c r="US6" s="470"/>
      <c r="UT6" s="470"/>
      <c r="UU6" s="470"/>
      <c r="UV6" s="470"/>
      <c r="UW6" s="470"/>
      <c r="UX6" s="470"/>
      <c r="UY6" s="470"/>
      <c r="UZ6" s="470"/>
      <c r="VA6" s="470"/>
      <c r="VB6" s="470"/>
      <c r="VC6" s="470"/>
      <c r="VD6" s="470"/>
      <c r="VE6" s="470"/>
      <c r="VF6" s="470"/>
      <c r="VG6" s="470"/>
      <c r="VH6" s="470"/>
      <c r="VI6" s="470"/>
      <c r="VJ6" s="470"/>
      <c r="VK6" s="470"/>
      <c r="VL6" s="470"/>
      <c r="VM6" s="470"/>
      <c r="VN6" s="470"/>
      <c r="VO6" s="470"/>
      <c r="VP6" s="470"/>
      <c r="VQ6" s="470"/>
      <c r="VR6" s="470"/>
      <c r="VS6" s="470"/>
      <c r="VT6" s="470"/>
      <c r="VU6" s="470"/>
      <c r="VV6" s="470"/>
      <c r="VW6" s="470"/>
      <c r="VX6" s="470"/>
      <c r="VY6" s="470"/>
      <c r="VZ6" s="470"/>
      <c r="WA6" s="470"/>
      <c r="WB6" s="470"/>
      <c r="WC6" s="470"/>
      <c r="WD6" s="470"/>
      <c r="WE6" s="470"/>
      <c r="WF6" s="470"/>
      <c r="WG6" s="470"/>
      <c r="WH6" s="470"/>
      <c r="WI6" s="470"/>
      <c r="WJ6" s="470"/>
      <c r="WK6" s="470"/>
      <c r="WL6" s="470"/>
      <c r="WM6" s="470"/>
      <c r="WN6" s="470"/>
      <c r="WO6" s="470"/>
      <c r="WP6" s="470"/>
      <c r="WQ6" s="470"/>
      <c r="WR6" s="470"/>
      <c r="WS6" s="470"/>
      <c r="WT6" s="470"/>
      <c r="WU6" s="470"/>
      <c r="WV6" s="470"/>
      <c r="WW6" s="470"/>
      <c r="WX6" s="470"/>
      <c r="WY6" s="470"/>
      <c r="WZ6" s="470"/>
      <c r="XA6" s="470"/>
      <c r="XB6" s="470"/>
      <c r="XC6" s="470"/>
      <c r="XD6" s="470"/>
      <c r="XE6" s="470"/>
      <c r="XF6" s="470"/>
      <c r="XG6" s="470"/>
      <c r="XH6" s="470"/>
      <c r="XI6" s="470"/>
      <c r="XJ6" s="470"/>
      <c r="XK6" s="470"/>
      <c r="XL6" s="470"/>
      <c r="XM6" s="470"/>
      <c r="XN6" s="470"/>
      <c r="XO6" s="470"/>
      <c r="XP6" s="470"/>
    </row>
    <row r="7" spans="1:641" x14ac:dyDescent="0.25">
      <c r="A7" s="456" t="s">
        <v>1454</v>
      </c>
      <c r="B7" s="158" t="s">
        <v>1448</v>
      </c>
      <c r="C7" s="158" t="s">
        <v>1449</v>
      </c>
      <c r="D7" s="437" t="s">
        <v>1160</v>
      </c>
      <c r="E7" s="449" t="s">
        <v>1493</v>
      </c>
      <c r="F7" s="155">
        <v>44</v>
      </c>
      <c r="G7" s="155" t="s">
        <v>54</v>
      </c>
      <c r="H7" s="155" t="s">
        <v>35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473"/>
      <c r="AO7" s="470"/>
      <c r="AP7" s="470"/>
      <c r="AQ7" s="470"/>
      <c r="AR7" s="470"/>
      <c r="AS7" s="470"/>
      <c r="AT7" s="470"/>
      <c r="AU7" s="470"/>
      <c r="AV7" s="470"/>
      <c r="AW7" s="470"/>
      <c r="AX7" s="470"/>
      <c r="AY7" s="470"/>
      <c r="AZ7" s="470"/>
      <c r="BA7" s="470"/>
      <c r="BB7" s="470"/>
      <c r="BC7" s="470"/>
      <c r="BD7" s="470"/>
      <c r="BE7" s="470"/>
      <c r="BF7" s="470"/>
      <c r="BG7" s="470"/>
      <c r="BH7" s="470"/>
      <c r="BI7" s="470"/>
      <c r="BJ7" s="470"/>
      <c r="BK7" s="470"/>
      <c r="BL7" s="470"/>
      <c r="BM7" s="470"/>
      <c r="BN7" s="470"/>
      <c r="BO7" s="470"/>
      <c r="BP7" s="470"/>
      <c r="BQ7" s="470"/>
      <c r="BR7" s="470"/>
      <c r="BS7" s="470"/>
      <c r="BT7" s="470"/>
      <c r="BU7" s="470"/>
      <c r="BV7" s="470"/>
      <c r="BW7" s="470"/>
      <c r="BX7" s="470"/>
      <c r="BY7" s="470"/>
      <c r="BZ7" s="470"/>
      <c r="CA7" s="470"/>
      <c r="CB7" s="470"/>
      <c r="CC7" s="470"/>
      <c r="CD7" s="470"/>
      <c r="CE7" s="470"/>
      <c r="CF7" s="470"/>
      <c r="CG7" s="470"/>
      <c r="CH7" s="470"/>
      <c r="CI7" s="470"/>
      <c r="CJ7" s="470"/>
      <c r="CK7" s="470"/>
      <c r="CL7" s="470"/>
      <c r="CM7" s="470"/>
      <c r="CN7" s="470"/>
      <c r="CO7" s="470"/>
      <c r="CP7" s="470"/>
      <c r="CQ7" s="470"/>
      <c r="CR7" s="470"/>
      <c r="CS7" s="470"/>
      <c r="CT7" s="470"/>
      <c r="CU7" s="470"/>
      <c r="CV7" s="470"/>
      <c r="CW7" s="470"/>
      <c r="CX7" s="470"/>
      <c r="CY7" s="470"/>
      <c r="CZ7" s="470"/>
      <c r="DA7" s="470"/>
      <c r="DB7" s="470"/>
      <c r="DC7" s="470"/>
      <c r="DD7" s="470"/>
      <c r="DE7" s="470"/>
      <c r="DF7" s="470"/>
      <c r="DG7" s="470"/>
      <c r="DH7" s="470"/>
      <c r="DI7" s="470"/>
      <c r="DJ7" s="470"/>
      <c r="DK7" s="470"/>
      <c r="DL7" s="470"/>
      <c r="DM7" s="470"/>
      <c r="DN7" s="470"/>
      <c r="DO7" s="470"/>
      <c r="DP7" s="470"/>
      <c r="DQ7" s="470"/>
      <c r="DR7" s="470"/>
      <c r="DS7" s="470"/>
      <c r="DT7" s="470"/>
      <c r="DU7" s="470"/>
      <c r="DV7" s="470"/>
      <c r="DW7" s="470"/>
      <c r="DX7" s="470"/>
      <c r="DY7" s="470"/>
      <c r="DZ7" s="470"/>
      <c r="EA7" s="470"/>
      <c r="EB7" s="470"/>
      <c r="EC7" s="470"/>
      <c r="ED7" s="470"/>
      <c r="EE7" s="470"/>
      <c r="EF7" s="470"/>
      <c r="EG7" s="470"/>
      <c r="EH7" s="470"/>
      <c r="EI7" s="470"/>
      <c r="EJ7" s="470"/>
      <c r="EK7" s="470"/>
      <c r="EL7" s="470"/>
      <c r="EM7" s="470"/>
      <c r="EN7" s="470"/>
      <c r="EO7" s="470"/>
      <c r="EP7" s="470"/>
      <c r="EQ7" s="470"/>
      <c r="ER7" s="470"/>
      <c r="ES7" s="470"/>
      <c r="ET7" s="470"/>
      <c r="EU7" s="470"/>
      <c r="EV7" s="470"/>
      <c r="EW7" s="470"/>
      <c r="EX7" s="470"/>
      <c r="EY7" s="470"/>
      <c r="EZ7" s="470"/>
      <c r="FA7" s="470"/>
      <c r="FB7" s="470"/>
      <c r="FC7" s="470"/>
      <c r="FD7" s="470"/>
      <c r="FE7" s="470"/>
      <c r="FF7" s="470"/>
      <c r="FG7" s="470"/>
      <c r="FH7" s="470"/>
      <c r="FI7" s="470"/>
      <c r="FJ7" s="470"/>
      <c r="FK7" s="470"/>
      <c r="FL7" s="470"/>
      <c r="FM7" s="470"/>
      <c r="FN7" s="470"/>
      <c r="FO7" s="470"/>
      <c r="FP7" s="470"/>
      <c r="FQ7" s="470"/>
      <c r="FR7" s="470"/>
      <c r="FS7" s="470"/>
      <c r="FT7" s="470"/>
      <c r="FU7" s="470"/>
      <c r="FV7" s="470"/>
      <c r="FW7" s="470"/>
      <c r="FX7" s="470"/>
      <c r="FY7" s="470"/>
      <c r="FZ7" s="470"/>
      <c r="GA7" s="470"/>
      <c r="GB7" s="470"/>
      <c r="GC7" s="470"/>
      <c r="GD7" s="470"/>
      <c r="GE7" s="470"/>
      <c r="GF7" s="470"/>
      <c r="GG7" s="470"/>
      <c r="GH7" s="470"/>
      <c r="GI7" s="470"/>
      <c r="GJ7" s="470"/>
      <c r="GK7" s="470"/>
      <c r="GL7" s="470"/>
      <c r="GM7" s="470"/>
      <c r="GN7" s="470"/>
      <c r="GO7" s="470"/>
      <c r="GP7" s="470"/>
      <c r="GQ7" s="470"/>
      <c r="GR7" s="470"/>
      <c r="GS7" s="470"/>
      <c r="GT7" s="470"/>
      <c r="GU7" s="470"/>
      <c r="GV7" s="470"/>
      <c r="GW7" s="470"/>
      <c r="GX7" s="470"/>
      <c r="GY7" s="470"/>
      <c r="GZ7" s="470"/>
      <c r="HA7" s="470"/>
      <c r="HB7" s="470"/>
      <c r="HC7" s="470"/>
      <c r="HD7" s="470"/>
      <c r="HE7" s="470"/>
      <c r="HF7" s="470"/>
      <c r="HG7" s="470"/>
      <c r="HH7" s="470"/>
      <c r="HI7" s="470"/>
      <c r="HJ7" s="470"/>
      <c r="HK7" s="470"/>
      <c r="HL7" s="470"/>
      <c r="HM7" s="470"/>
      <c r="HN7" s="470"/>
      <c r="HO7" s="470"/>
      <c r="HP7" s="470"/>
      <c r="HQ7" s="470"/>
      <c r="HR7" s="470"/>
      <c r="HS7" s="470"/>
      <c r="HT7" s="470"/>
      <c r="HU7" s="470"/>
      <c r="HV7" s="470"/>
      <c r="HW7" s="470"/>
      <c r="HX7" s="470"/>
      <c r="HY7" s="470"/>
      <c r="HZ7" s="470"/>
      <c r="IA7" s="470"/>
      <c r="IB7" s="470"/>
      <c r="IC7" s="470"/>
      <c r="ID7" s="470"/>
      <c r="IE7" s="470"/>
      <c r="IF7" s="470"/>
      <c r="IG7" s="470"/>
      <c r="IH7" s="470"/>
      <c r="II7" s="470"/>
      <c r="IJ7" s="470"/>
      <c r="IK7" s="470"/>
      <c r="IL7" s="470"/>
      <c r="IM7" s="470"/>
      <c r="IN7" s="470"/>
      <c r="IO7" s="470"/>
      <c r="IP7" s="470"/>
      <c r="IQ7" s="470"/>
      <c r="IR7" s="470"/>
      <c r="IS7" s="470"/>
      <c r="IT7" s="470"/>
      <c r="IU7" s="470"/>
      <c r="IV7" s="470"/>
      <c r="IW7" s="470"/>
      <c r="IX7" s="470"/>
      <c r="IY7" s="470"/>
      <c r="IZ7" s="470"/>
      <c r="JA7" s="470"/>
      <c r="JB7" s="470"/>
      <c r="JC7" s="470"/>
      <c r="JD7" s="470"/>
      <c r="JE7" s="470"/>
      <c r="JF7" s="470"/>
      <c r="JG7" s="470"/>
      <c r="JH7" s="470"/>
      <c r="JI7" s="470"/>
      <c r="JJ7" s="470"/>
      <c r="JK7" s="470"/>
      <c r="JL7" s="470"/>
      <c r="JM7" s="470"/>
      <c r="JN7" s="470"/>
      <c r="JO7" s="470"/>
      <c r="JP7" s="470"/>
      <c r="JQ7" s="470"/>
      <c r="JR7" s="470"/>
      <c r="JS7" s="470"/>
      <c r="JT7" s="470"/>
      <c r="JU7" s="470"/>
      <c r="JV7" s="470"/>
      <c r="JW7" s="470"/>
      <c r="JX7" s="470"/>
      <c r="JY7" s="470"/>
      <c r="JZ7" s="470"/>
      <c r="KA7" s="470"/>
      <c r="KB7" s="470"/>
      <c r="KC7" s="470"/>
      <c r="KD7" s="470"/>
      <c r="KE7" s="470"/>
      <c r="KF7" s="470"/>
      <c r="KG7" s="470"/>
      <c r="KH7" s="470"/>
      <c r="KI7" s="470"/>
      <c r="KJ7" s="470"/>
      <c r="KK7" s="470"/>
      <c r="KL7" s="470"/>
      <c r="KM7" s="470"/>
      <c r="KN7" s="470"/>
      <c r="KO7" s="470"/>
      <c r="KP7" s="470"/>
      <c r="KQ7" s="470"/>
      <c r="KR7" s="470"/>
      <c r="KS7" s="470"/>
      <c r="KT7" s="470"/>
      <c r="KU7" s="470"/>
      <c r="KV7" s="470"/>
      <c r="KW7" s="470"/>
      <c r="KX7" s="470"/>
      <c r="KY7" s="470"/>
      <c r="KZ7" s="470"/>
      <c r="LA7" s="470"/>
      <c r="LB7" s="470"/>
      <c r="LC7" s="470"/>
      <c r="LD7" s="470"/>
      <c r="LE7" s="470"/>
      <c r="LF7" s="470"/>
      <c r="LG7" s="470"/>
      <c r="LH7" s="470"/>
      <c r="LI7" s="470"/>
      <c r="LJ7" s="470"/>
      <c r="LK7" s="470"/>
      <c r="LL7" s="470"/>
      <c r="LM7" s="470"/>
      <c r="LN7" s="470"/>
      <c r="LO7" s="470"/>
      <c r="LP7" s="470"/>
      <c r="LQ7" s="470"/>
      <c r="LR7" s="470"/>
      <c r="LS7" s="470"/>
      <c r="LT7" s="470"/>
      <c r="LU7" s="470"/>
      <c r="LV7" s="470"/>
      <c r="LW7" s="470"/>
      <c r="LX7" s="470"/>
      <c r="LY7" s="470"/>
      <c r="LZ7" s="470"/>
      <c r="MA7" s="470"/>
      <c r="MB7" s="470"/>
      <c r="MC7" s="470"/>
      <c r="MD7" s="470"/>
      <c r="ME7" s="470"/>
      <c r="MF7" s="470"/>
      <c r="MG7" s="470"/>
      <c r="MH7" s="470"/>
      <c r="MI7" s="470"/>
      <c r="MJ7" s="470"/>
      <c r="MK7" s="470"/>
      <c r="ML7" s="470"/>
      <c r="MM7" s="470"/>
      <c r="MN7" s="470"/>
      <c r="MO7" s="470"/>
      <c r="MP7" s="470"/>
      <c r="MQ7" s="470"/>
      <c r="MR7" s="470"/>
      <c r="MS7" s="470"/>
      <c r="MT7" s="470"/>
      <c r="MU7" s="470"/>
      <c r="MV7" s="470"/>
      <c r="MW7" s="470"/>
      <c r="MX7" s="470"/>
      <c r="MY7" s="470"/>
      <c r="MZ7" s="470"/>
      <c r="NA7" s="470"/>
      <c r="NB7" s="470"/>
      <c r="NC7" s="470"/>
      <c r="ND7" s="470"/>
      <c r="NE7" s="470"/>
      <c r="NF7" s="470"/>
      <c r="NG7" s="470"/>
      <c r="NH7" s="470"/>
      <c r="NI7" s="470"/>
      <c r="NJ7" s="470"/>
      <c r="NK7" s="470"/>
      <c r="NL7" s="470"/>
      <c r="NM7" s="470"/>
      <c r="NN7" s="470"/>
      <c r="NO7" s="470"/>
      <c r="NP7" s="470"/>
      <c r="NQ7" s="470"/>
      <c r="NR7" s="470"/>
      <c r="NS7" s="470"/>
      <c r="NT7" s="470"/>
      <c r="NU7" s="470"/>
      <c r="NV7" s="470"/>
      <c r="NW7" s="470"/>
      <c r="NX7" s="470"/>
      <c r="NY7" s="470"/>
      <c r="NZ7" s="470"/>
      <c r="OA7" s="470"/>
      <c r="OB7" s="470"/>
      <c r="OC7" s="470"/>
      <c r="OD7" s="470"/>
      <c r="OE7" s="470"/>
      <c r="OF7" s="470"/>
      <c r="OG7" s="470"/>
      <c r="OH7" s="470"/>
      <c r="OI7" s="470"/>
      <c r="OJ7" s="470"/>
      <c r="OK7" s="470"/>
      <c r="OL7" s="470"/>
      <c r="OM7" s="470"/>
      <c r="ON7" s="470"/>
      <c r="OO7" s="470"/>
      <c r="OP7" s="470"/>
      <c r="OQ7" s="470"/>
      <c r="OR7" s="470"/>
      <c r="OS7" s="470"/>
      <c r="OT7" s="470"/>
      <c r="OU7" s="470"/>
      <c r="OV7" s="470"/>
      <c r="OW7" s="470"/>
      <c r="OX7" s="470"/>
      <c r="OY7" s="470"/>
      <c r="OZ7" s="470"/>
      <c r="PA7" s="470"/>
      <c r="PB7" s="470"/>
      <c r="PC7" s="470"/>
      <c r="PD7" s="470"/>
      <c r="PE7" s="470"/>
      <c r="PF7" s="470"/>
      <c r="PG7" s="470"/>
      <c r="PH7" s="470"/>
      <c r="PI7" s="470"/>
      <c r="PJ7" s="470"/>
      <c r="PK7" s="470"/>
      <c r="PL7" s="470"/>
      <c r="PM7" s="470"/>
      <c r="PN7" s="470"/>
      <c r="PO7" s="470"/>
      <c r="PP7" s="470"/>
      <c r="PQ7" s="470"/>
      <c r="PR7" s="470"/>
      <c r="PS7" s="470"/>
      <c r="PT7" s="470"/>
      <c r="PU7" s="470"/>
      <c r="PV7" s="470"/>
      <c r="PW7" s="470"/>
      <c r="PX7" s="470"/>
      <c r="PY7" s="470"/>
      <c r="PZ7" s="470"/>
      <c r="QA7" s="470"/>
      <c r="QB7" s="470"/>
      <c r="QC7" s="470"/>
      <c r="QD7" s="470"/>
      <c r="QE7" s="470"/>
      <c r="QF7" s="470"/>
      <c r="QG7" s="470"/>
      <c r="QH7" s="470"/>
      <c r="QI7" s="470"/>
      <c r="QJ7" s="470"/>
      <c r="QK7" s="470"/>
      <c r="QL7" s="470"/>
      <c r="QM7" s="470"/>
      <c r="QN7" s="470"/>
      <c r="QO7" s="470"/>
      <c r="QP7" s="470"/>
      <c r="QQ7" s="470"/>
      <c r="QR7" s="470"/>
      <c r="QS7" s="470"/>
      <c r="QT7" s="470"/>
      <c r="QU7" s="470"/>
      <c r="QV7" s="470"/>
      <c r="QW7" s="470"/>
      <c r="QX7" s="470"/>
      <c r="QY7" s="470"/>
      <c r="QZ7" s="470"/>
      <c r="RA7" s="470"/>
      <c r="RB7" s="470"/>
      <c r="RC7" s="470"/>
      <c r="RD7" s="470"/>
      <c r="RE7" s="470"/>
      <c r="RF7" s="470"/>
      <c r="RG7" s="470"/>
      <c r="RH7" s="470"/>
      <c r="RI7" s="470"/>
      <c r="RJ7" s="470"/>
      <c r="RK7" s="470"/>
      <c r="RL7" s="470"/>
      <c r="RM7" s="470"/>
      <c r="RN7" s="470"/>
      <c r="RO7" s="470"/>
      <c r="RP7" s="470"/>
      <c r="RQ7" s="470"/>
      <c r="RR7" s="470"/>
      <c r="RS7" s="470"/>
      <c r="RT7" s="470"/>
      <c r="RU7" s="470"/>
      <c r="RV7" s="470"/>
      <c r="RW7" s="470"/>
      <c r="RX7" s="470"/>
      <c r="RY7" s="470"/>
      <c r="RZ7" s="470"/>
      <c r="SA7" s="470"/>
      <c r="SB7" s="470"/>
      <c r="SC7" s="470"/>
      <c r="SD7" s="470"/>
      <c r="SE7" s="470"/>
      <c r="SF7" s="470"/>
      <c r="SG7" s="470"/>
      <c r="SH7" s="470"/>
      <c r="SI7" s="470"/>
      <c r="SJ7" s="470"/>
      <c r="SK7" s="470"/>
      <c r="SL7" s="470"/>
      <c r="SM7" s="470"/>
      <c r="SN7" s="470"/>
      <c r="SO7" s="470"/>
      <c r="SP7" s="470"/>
      <c r="SQ7" s="470"/>
      <c r="SR7" s="470"/>
      <c r="SS7" s="470"/>
      <c r="ST7" s="470"/>
      <c r="SU7" s="470"/>
      <c r="SV7" s="470"/>
      <c r="SW7" s="470"/>
      <c r="SX7" s="470"/>
      <c r="SY7" s="470"/>
      <c r="SZ7" s="470"/>
      <c r="TA7" s="470"/>
      <c r="TB7" s="470"/>
      <c r="TC7" s="470"/>
      <c r="TD7" s="470"/>
      <c r="TE7" s="470"/>
      <c r="TF7" s="470"/>
      <c r="TG7" s="470"/>
      <c r="TH7" s="470"/>
      <c r="TI7" s="470"/>
      <c r="TJ7" s="470"/>
      <c r="TK7" s="470"/>
      <c r="TL7" s="470"/>
      <c r="TM7" s="470"/>
      <c r="TN7" s="470"/>
      <c r="TO7" s="470"/>
      <c r="TP7" s="470"/>
      <c r="TQ7" s="470"/>
      <c r="TR7" s="470"/>
      <c r="TS7" s="470"/>
      <c r="TT7" s="470"/>
      <c r="TU7" s="470"/>
      <c r="TV7" s="470"/>
      <c r="TW7" s="470"/>
      <c r="TX7" s="470"/>
      <c r="TY7" s="470"/>
      <c r="TZ7" s="470"/>
      <c r="UA7" s="470"/>
      <c r="UB7" s="470"/>
      <c r="UC7" s="470"/>
      <c r="UD7" s="470"/>
      <c r="UE7" s="470"/>
      <c r="UF7" s="470"/>
      <c r="UG7" s="470"/>
      <c r="UH7" s="470"/>
      <c r="UI7" s="470"/>
      <c r="UJ7" s="470"/>
      <c r="UK7" s="470"/>
      <c r="UL7" s="470"/>
      <c r="UM7" s="470"/>
      <c r="UN7" s="470"/>
      <c r="UO7" s="470"/>
      <c r="UP7" s="470"/>
      <c r="UQ7" s="470"/>
      <c r="UR7" s="470"/>
      <c r="US7" s="470"/>
      <c r="UT7" s="470"/>
      <c r="UU7" s="470"/>
      <c r="UV7" s="470"/>
      <c r="UW7" s="470"/>
      <c r="UX7" s="470"/>
      <c r="UY7" s="470"/>
      <c r="UZ7" s="470"/>
      <c r="VA7" s="470"/>
      <c r="VB7" s="470"/>
      <c r="VC7" s="470"/>
      <c r="VD7" s="470"/>
      <c r="VE7" s="470"/>
      <c r="VF7" s="470"/>
      <c r="VG7" s="470"/>
      <c r="VH7" s="470"/>
      <c r="VI7" s="470"/>
      <c r="VJ7" s="470"/>
      <c r="VK7" s="470"/>
      <c r="VL7" s="470"/>
      <c r="VM7" s="470"/>
      <c r="VN7" s="470"/>
      <c r="VO7" s="470"/>
      <c r="VP7" s="470"/>
      <c r="VQ7" s="470"/>
      <c r="VR7" s="470"/>
      <c r="VS7" s="470"/>
      <c r="VT7" s="470"/>
      <c r="VU7" s="470"/>
      <c r="VV7" s="470"/>
      <c r="VW7" s="470"/>
      <c r="VX7" s="470"/>
      <c r="VY7" s="470"/>
      <c r="VZ7" s="470"/>
      <c r="WA7" s="470"/>
      <c r="WB7" s="470"/>
      <c r="WC7" s="470"/>
      <c r="WD7" s="470"/>
      <c r="WE7" s="470"/>
      <c r="WF7" s="470"/>
      <c r="WG7" s="470"/>
      <c r="WH7" s="470"/>
      <c r="WI7" s="470"/>
      <c r="WJ7" s="470"/>
      <c r="WK7" s="470"/>
      <c r="WL7" s="470"/>
      <c r="WM7" s="470"/>
      <c r="WN7" s="470"/>
      <c r="WO7" s="470"/>
      <c r="WP7" s="470"/>
      <c r="WQ7" s="470"/>
      <c r="WR7" s="470"/>
      <c r="WS7" s="470"/>
      <c r="WT7" s="470"/>
      <c r="WU7" s="470"/>
      <c r="WV7" s="470"/>
      <c r="WW7" s="470"/>
      <c r="WX7" s="470"/>
      <c r="WY7" s="470"/>
      <c r="WZ7" s="470"/>
      <c r="XA7" s="470"/>
      <c r="XB7" s="470"/>
      <c r="XC7" s="470"/>
      <c r="XD7" s="470"/>
      <c r="XE7" s="470"/>
      <c r="XF7" s="470"/>
      <c r="XG7" s="470"/>
      <c r="XH7" s="470"/>
      <c r="XI7" s="470"/>
      <c r="XJ7" s="470"/>
      <c r="XK7" s="470"/>
      <c r="XL7" s="470"/>
      <c r="XM7" s="470"/>
      <c r="XN7" s="470"/>
      <c r="XO7" s="470"/>
      <c r="XP7" s="470"/>
    </row>
    <row r="8" spans="1:641" s="23" customFormat="1" x14ac:dyDescent="0.25">
      <c r="A8" s="41" t="s">
        <v>1455</v>
      </c>
      <c r="B8" s="140" t="s">
        <v>1300</v>
      </c>
      <c r="C8" s="140" t="s">
        <v>1301</v>
      </c>
      <c r="D8" s="437" t="s">
        <v>1160</v>
      </c>
      <c r="E8" s="439" t="s">
        <v>1355</v>
      </c>
      <c r="F8" s="155">
        <v>44</v>
      </c>
      <c r="G8" s="155" t="s">
        <v>183</v>
      </c>
      <c r="H8" s="155" t="s">
        <v>35</v>
      </c>
      <c r="I8" s="29"/>
      <c r="J8" s="29"/>
      <c r="K8" s="28"/>
      <c r="L8" s="28"/>
      <c r="M8" s="28"/>
      <c r="N8" s="28"/>
      <c r="O8" s="330"/>
      <c r="P8" s="330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340" t="s">
        <v>1307</v>
      </c>
      <c r="AJ8" s="326" t="s">
        <v>1308</v>
      </c>
      <c r="AK8" s="29"/>
      <c r="AL8" s="29"/>
      <c r="AM8" s="29"/>
      <c r="AN8" s="472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8"/>
      <c r="DF8" s="468"/>
      <c r="DG8" s="468"/>
      <c r="DH8" s="468"/>
      <c r="DI8" s="468"/>
      <c r="DJ8" s="468"/>
      <c r="DK8" s="468"/>
      <c r="DL8" s="468"/>
      <c r="DM8" s="468"/>
      <c r="DN8" s="468"/>
      <c r="DO8" s="468"/>
      <c r="DP8" s="468"/>
      <c r="DQ8" s="468"/>
      <c r="DR8" s="468"/>
      <c r="DS8" s="468"/>
      <c r="DT8" s="468"/>
      <c r="DU8" s="468"/>
      <c r="DV8" s="468"/>
      <c r="DW8" s="468"/>
      <c r="DX8" s="468"/>
      <c r="DY8" s="468"/>
      <c r="DZ8" s="468"/>
      <c r="EA8" s="468"/>
      <c r="EB8" s="468"/>
      <c r="EC8" s="468"/>
      <c r="ED8" s="468"/>
      <c r="EE8" s="468"/>
      <c r="EF8" s="468"/>
      <c r="EG8" s="468"/>
      <c r="EH8" s="468"/>
      <c r="EI8" s="468"/>
      <c r="EJ8" s="468"/>
      <c r="EK8" s="468"/>
      <c r="EL8" s="468"/>
      <c r="EM8" s="468"/>
      <c r="EN8" s="468"/>
      <c r="EO8" s="468"/>
      <c r="EP8" s="468"/>
      <c r="EQ8" s="468"/>
      <c r="ER8" s="468"/>
      <c r="ES8" s="468"/>
      <c r="ET8" s="468"/>
      <c r="EU8" s="468"/>
      <c r="EV8" s="468"/>
      <c r="EW8" s="468"/>
      <c r="EX8" s="468"/>
      <c r="EY8" s="468"/>
      <c r="EZ8" s="468"/>
      <c r="FA8" s="468"/>
      <c r="FB8" s="468"/>
      <c r="FC8" s="468"/>
      <c r="FD8" s="468"/>
      <c r="FE8" s="468"/>
      <c r="FF8" s="468"/>
      <c r="FG8" s="468"/>
      <c r="FH8" s="468"/>
      <c r="FI8" s="468"/>
      <c r="FJ8" s="468"/>
      <c r="FK8" s="468"/>
      <c r="FL8" s="468"/>
      <c r="FM8" s="468"/>
      <c r="FN8" s="468"/>
      <c r="FO8" s="468"/>
      <c r="FP8" s="468"/>
      <c r="FQ8" s="468"/>
      <c r="FR8" s="468"/>
      <c r="FS8" s="468"/>
      <c r="FT8" s="468"/>
      <c r="FU8" s="468"/>
      <c r="FV8" s="468"/>
      <c r="FW8" s="468"/>
      <c r="FX8" s="468"/>
      <c r="FY8" s="468"/>
      <c r="FZ8" s="468"/>
      <c r="GA8" s="468"/>
      <c r="GB8" s="468"/>
      <c r="GC8" s="468"/>
      <c r="GD8" s="468"/>
      <c r="GE8" s="468"/>
      <c r="GF8" s="468"/>
      <c r="GG8" s="468"/>
      <c r="GH8" s="468"/>
      <c r="GI8" s="468"/>
      <c r="GJ8" s="468"/>
      <c r="GK8" s="468"/>
      <c r="GL8" s="468"/>
      <c r="GM8" s="468"/>
      <c r="GN8" s="468"/>
      <c r="GO8" s="468"/>
      <c r="GP8" s="468"/>
      <c r="GQ8" s="468"/>
      <c r="GR8" s="468"/>
      <c r="GS8" s="468"/>
      <c r="GT8" s="468"/>
      <c r="GU8" s="468"/>
      <c r="GV8" s="468"/>
      <c r="GW8" s="468"/>
      <c r="GX8" s="468"/>
      <c r="GY8" s="468"/>
      <c r="GZ8" s="468"/>
      <c r="HA8" s="468"/>
      <c r="HB8" s="468"/>
      <c r="HC8" s="468"/>
      <c r="HD8" s="468"/>
      <c r="HE8" s="468"/>
      <c r="HF8" s="468"/>
      <c r="HG8" s="468"/>
      <c r="HH8" s="468"/>
      <c r="HI8" s="468"/>
      <c r="HJ8" s="468"/>
      <c r="HK8" s="468"/>
      <c r="HL8" s="468"/>
      <c r="HM8" s="468"/>
      <c r="HN8" s="468"/>
      <c r="HO8" s="468"/>
      <c r="HP8" s="468"/>
      <c r="HQ8" s="468"/>
      <c r="HR8" s="468"/>
      <c r="HS8" s="468"/>
      <c r="HT8" s="468"/>
      <c r="HU8" s="468"/>
      <c r="HV8" s="468"/>
      <c r="HW8" s="468"/>
      <c r="HX8" s="468"/>
      <c r="HY8" s="468"/>
      <c r="HZ8" s="468"/>
      <c r="IA8" s="468"/>
      <c r="IB8" s="468"/>
      <c r="IC8" s="468"/>
      <c r="ID8" s="468"/>
      <c r="IE8" s="468"/>
      <c r="IF8" s="468"/>
      <c r="IG8" s="468"/>
      <c r="IH8" s="468"/>
      <c r="II8" s="468"/>
      <c r="IJ8" s="468"/>
      <c r="IK8" s="468"/>
      <c r="IL8" s="468"/>
      <c r="IM8" s="468"/>
      <c r="IN8" s="468"/>
      <c r="IO8" s="468"/>
      <c r="IP8" s="468"/>
      <c r="IQ8" s="468"/>
      <c r="IR8" s="468"/>
      <c r="IS8" s="468"/>
      <c r="IT8" s="468"/>
      <c r="IU8" s="468"/>
      <c r="IV8" s="468"/>
      <c r="IW8" s="468"/>
      <c r="IX8" s="468"/>
      <c r="IY8" s="468"/>
      <c r="IZ8" s="468"/>
      <c r="JA8" s="468"/>
      <c r="JB8" s="468"/>
      <c r="JC8" s="468"/>
      <c r="JD8" s="468"/>
      <c r="JE8" s="468"/>
      <c r="JF8" s="468"/>
      <c r="JG8" s="468"/>
      <c r="JH8" s="468"/>
      <c r="JI8" s="468"/>
      <c r="JJ8" s="468"/>
      <c r="JK8" s="468"/>
      <c r="JL8" s="468"/>
      <c r="JM8" s="468"/>
      <c r="JN8" s="468"/>
      <c r="JO8" s="468"/>
      <c r="JP8" s="468"/>
      <c r="JQ8" s="468"/>
      <c r="JR8" s="468"/>
      <c r="JS8" s="468"/>
      <c r="JT8" s="468"/>
      <c r="JU8" s="468"/>
      <c r="JV8" s="468"/>
      <c r="JW8" s="468"/>
      <c r="JX8" s="468"/>
      <c r="JY8" s="468"/>
      <c r="JZ8" s="468"/>
      <c r="KA8" s="468"/>
      <c r="KB8" s="468"/>
      <c r="KC8" s="468"/>
      <c r="KD8" s="468"/>
      <c r="KE8" s="468"/>
      <c r="KF8" s="468"/>
      <c r="KG8" s="468"/>
      <c r="KH8" s="468"/>
      <c r="KI8" s="468"/>
      <c r="KJ8" s="468"/>
      <c r="KK8" s="468"/>
      <c r="KL8" s="468"/>
      <c r="KM8" s="468"/>
      <c r="KN8" s="468"/>
      <c r="KO8" s="468"/>
      <c r="KP8" s="468"/>
      <c r="KQ8" s="468"/>
      <c r="KR8" s="468"/>
      <c r="KS8" s="468"/>
      <c r="KT8" s="468"/>
      <c r="KU8" s="468"/>
      <c r="KV8" s="468"/>
      <c r="KW8" s="468"/>
      <c r="KX8" s="468"/>
      <c r="KY8" s="468"/>
      <c r="KZ8" s="468"/>
      <c r="LA8" s="468"/>
      <c r="LB8" s="468"/>
      <c r="LC8" s="468"/>
      <c r="LD8" s="468"/>
      <c r="LE8" s="468"/>
      <c r="LF8" s="468"/>
      <c r="LG8" s="468"/>
      <c r="LH8" s="468"/>
      <c r="LI8" s="468"/>
      <c r="LJ8" s="468"/>
      <c r="LK8" s="468"/>
      <c r="LL8" s="468"/>
      <c r="LM8" s="468"/>
      <c r="LN8" s="468"/>
      <c r="LO8" s="468"/>
      <c r="LP8" s="468"/>
      <c r="LQ8" s="468"/>
      <c r="LR8" s="468"/>
      <c r="LS8" s="468"/>
      <c r="LT8" s="468"/>
      <c r="LU8" s="468"/>
      <c r="LV8" s="468"/>
      <c r="LW8" s="468"/>
      <c r="LX8" s="468"/>
      <c r="LY8" s="468"/>
      <c r="LZ8" s="468"/>
      <c r="MA8" s="468"/>
      <c r="MB8" s="468"/>
      <c r="MC8" s="468"/>
      <c r="MD8" s="468"/>
      <c r="ME8" s="468"/>
      <c r="MF8" s="468"/>
      <c r="MG8" s="468"/>
      <c r="MH8" s="468"/>
      <c r="MI8" s="468"/>
      <c r="MJ8" s="468"/>
      <c r="MK8" s="468"/>
      <c r="ML8" s="468"/>
      <c r="MM8" s="468"/>
      <c r="MN8" s="468"/>
      <c r="MO8" s="468"/>
      <c r="MP8" s="468"/>
      <c r="MQ8" s="468"/>
      <c r="MR8" s="468"/>
      <c r="MS8" s="468"/>
      <c r="MT8" s="468"/>
      <c r="MU8" s="468"/>
      <c r="MV8" s="468"/>
      <c r="MW8" s="468"/>
      <c r="MX8" s="468"/>
      <c r="MY8" s="468"/>
      <c r="MZ8" s="468"/>
      <c r="NA8" s="468"/>
      <c r="NB8" s="468"/>
      <c r="NC8" s="468"/>
      <c r="ND8" s="468"/>
      <c r="NE8" s="468"/>
      <c r="NF8" s="468"/>
      <c r="NG8" s="468"/>
      <c r="NH8" s="468"/>
      <c r="NI8" s="468"/>
      <c r="NJ8" s="468"/>
      <c r="NK8" s="468"/>
      <c r="NL8" s="468"/>
      <c r="NM8" s="468"/>
      <c r="NN8" s="468"/>
      <c r="NO8" s="468"/>
      <c r="NP8" s="468"/>
      <c r="NQ8" s="468"/>
      <c r="NR8" s="468"/>
      <c r="NS8" s="468"/>
      <c r="NT8" s="468"/>
      <c r="NU8" s="468"/>
      <c r="NV8" s="468"/>
      <c r="NW8" s="468"/>
      <c r="NX8" s="468"/>
      <c r="NY8" s="468"/>
      <c r="NZ8" s="468"/>
      <c r="OA8" s="468"/>
      <c r="OB8" s="468"/>
      <c r="OC8" s="468"/>
      <c r="OD8" s="468"/>
      <c r="OE8" s="468"/>
      <c r="OF8" s="468"/>
      <c r="OG8" s="468"/>
      <c r="OH8" s="468"/>
      <c r="OI8" s="468"/>
      <c r="OJ8" s="468"/>
      <c r="OK8" s="468"/>
      <c r="OL8" s="468"/>
      <c r="OM8" s="468"/>
      <c r="ON8" s="468"/>
      <c r="OO8" s="468"/>
      <c r="OP8" s="468"/>
      <c r="OQ8" s="468"/>
      <c r="OR8" s="468"/>
      <c r="OS8" s="468"/>
      <c r="OT8" s="468"/>
      <c r="OU8" s="468"/>
      <c r="OV8" s="468"/>
      <c r="OW8" s="468"/>
      <c r="OX8" s="468"/>
      <c r="OY8" s="468"/>
      <c r="OZ8" s="468"/>
      <c r="PA8" s="468"/>
      <c r="PB8" s="468"/>
      <c r="PC8" s="468"/>
      <c r="PD8" s="468"/>
      <c r="PE8" s="468"/>
      <c r="PF8" s="468"/>
      <c r="PG8" s="468"/>
      <c r="PH8" s="468"/>
      <c r="PI8" s="468"/>
      <c r="PJ8" s="468"/>
      <c r="PK8" s="468"/>
      <c r="PL8" s="468"/>
      <c r="PM8" s="468"/>
      <c r="PN8" s="468"/>
      <c r="PO8" s="468"/>
      <c r="PP8" s="468"/>
      <c r="PQ8" s="468"/>
      <c r="PR8" s="468"/>
      <c r="PS8" s="468"/>
      <c r="PT8" s="468"/>
      <c r="PU8" s="468"/>
      <c r="PV8" s="468"/>
      <c r="PW8" s="468"/>
      <c r="PX8" s="468"/>
      <c r="PY8" s="468"/>
      <c r="PZ8" s="468"/>
      <c r="QA8" s="468"/>
      <c r="QB8" s="468"/>
      <c r="QC8" s="468"/>
      <c r="QD8" s="468"/>
      <c r="QE8" s="468"/>
      <c r="QF8" s="468"/>
      <c r="QG8" s="468"/>
      <c r="QH8" s="468"/>
      <c r="QI8" s="468"/>
      <c r="QJ8" s="468"/>
      <c r="QK8" s="468"/>
      <c r="QL8" s="468"/>
      <c r="QM8" s="468"/>
      <c r="QN8" s="468"/>
      <c r="QO8" s="468"/>
      <c r="QP8" s="468"/>
      <c r="QQ8" s="468"/>
      <c r="QR8" s="468"/>
      <c r="QS8" s="468"/>
      <c r="QT8" s="468"/>
      <c r="QU8" s="468"/>
      <c r="QV8" s="468"/>
      <c r="QW8" s="468"/>
      <c r="QX8" s="468"/>
      <c r="QY8" s="468"/>
      <c r="QZ8" s="468"/>
      <c r="RA8" s="468"/>
      <c r="RB8" s="468"/>
      <c r="RC8" s="468"/>
      <c r="RD8" s="468"/>
      <c r="RE8" s="468"/>
      <c r="RF8" s="468"/>
      <c r="RG8" s="468"/>
      <c r="RH8" s="468"/>
      <c r="RI8" s="468"/>
      <c r="RJ8" s="468"/>
      <c r="RK8" s="468"/>
      <c r="RL8" s="468"/>
      <c r="RM8" s="468"/>
      <c r="RN8" s="468"/>
      <c r="RO8" s="468"/>
      <c r="RP8" s="468"/>
      <c r="RQ8" s="468"/>
      <c r="RR8" s="468"/>
      <c r="RS8" s="468"/>
      <c r="RT8" s="468"/>
      <c r="RU8" s="468"/>
      <c r="RV8" s="468"/>
      <c r="RW8" s="468"/>
      <c r="RX8" s="468"/>
      <c r="RY8" s="468"/>
      <c r="RZ8" s="468"/>
      <c r="SA8" s="468"/>
      <c r="SB8" s="468"/>
      <c r="SC8" s="468"/>
      <c r="SD8" s="468"/>
      <c r="SE8" s="468"/>
      <c r="SF8" s="468"/>
      <c r="SG8" s="468"/>
      <c r="SH8" s="468"/>
      <c r="SI8" s="468"/>
      <c r="SJ8" s="468"/>
      <c r="SK8" s="468"/>
      <c r="SL8" s="468"/>
      <c r="SM8" s="468"/>
      <c r="SN8" s="468"/>
      <c r="SO8" s="468"/>
      <c r="SP8" s="468"/>
      <c r="SQ8" s="468"/>
      <c r="SR8" s="468"/>
      <c r="SS8" s="468"/>
      <c r="ST8" s="468"/>
      <c r="SU8" s="468"/>
      <c r="SV8" s="468"/>
      <c r="SW8" s="468"/>
      <c r="SX8" s="468"/>
      <c r="SY8" s="468"/>
      <c r="SZ8" s="468"/>
      <c r="TA8" s="468"/>
      <c r="TB8" s="468"/>
      <c r="TC8" s="468"/>
      <c r="TD8" s="468"/>
      <c r="TE8" s="468"/>
      <c r="TF8" s="468"/>
      <c r="TG8" s="468"/>
      <c r="TH8" s="468"/>
      <c r="TI8" s="468"/>
      <c r="TJ8" s="468"/>
      <c r="TK8" s="468"/>
      <c r="TL8" s="468"/>
      <c r="TM8" s="468"/>
      <c r="TN8" s="468"/>
      <c r="TO8" s="468"/>
      <c r="TP8" s="468"/>
      <c r="TQ8" s="468"/>
      <c r="TR8" s="468"/>
      <c r="TS8" s="468"/>
      <c r="TT8" s="468"/>
      <c r="TU8" s="468"/>
      <c r="TV8" s="468"/>
      <c r="TW8" s="468"/>
      <c r="TX8" s="468"/>
      <c r="TY8" s="468"/>
      <c r="TZ8" s="468"/>
      <c r="UA8" s="468"/>
      <c r="UB8" s="468"/>
      <c r="UC8" s="468"/>
      <c r="UD8" s="468"/>
      <c r="UE8" s="468"/>
      <c r="UF8" s="468"/>
      <c r="UG8" s="468"/>
      <c r="UH8" s="468"/>
      <c r="UI8" s="468"/>
      <c r="UJ8" s="468"/>
      <c r="UK8" s="468"/>
      <c r="UL8" s="468"/>
      <c r="UM8" s="468"/>
      <c r="UN8" s="468"/>
      <c r="UO8" s="468"/>
      <c r="UP8" s="468"/>
      <c r="UQ8" s="468"/>
      <c r="UR8" s="468"/>
      <c r="US8" s="468"/>
      <c r="UT8" s="468"/>
      <c r="UU8" s="468"/>
      <c r="UV8" s="468"/>
      <c r="UW8" s="468"/>
      <c r="UX8" s="468"/>
      <c r="UY8" s="468"/>
      <c r="UZ8" s="468"/>
      <c r="VA8" s="468"/>
      <c r="VB8" s="468"/>
      <c r="VC8" s="468"/>
      <c r="VD8" s="468"/>
      <c r="VE8" s="468"/>
      <c r="VF8" s="468"/>
      <c r="VG8" s="468"/>
      <c r="VH8" s="468"/>
      <c r="VI8" s="468"/>
      <c r="VJ8" s="468"/>
      <c r="VK8" s="468"/>
      <c r="VL8" s="468"/>
      <c r="VM8" s="468"/>
      <c r="VN8" s="468"/>
      <c r="VO8" s="468"/>
      <c r="VP8" s="468"/>
      <c r="VQ8" s="468"/>
      <c r="VR8" s="468"/>
      <c r="VS8" s="468"/>
      <c r="VT8" s="468"/>
      <c r="VU8" s="468"/>
      <c r="VV8" s="468"/>
      <c r="VW8" s="468"/>
      <c r="VX8" s="468"/>
      <c r="VY8" s="468"/>
      <c r="VZ8" s="468"/>
      <c r="WA8" s="468"/>
      <c r="WB8" s="468"/>
      <c r="WC8" s="468"/>
      <c r="WD8" s="468"/>
      <c r="WE8" s="468"/>
      <c r="WF8" s="468"/>
      <c r="WG8" s="468"/>
      <c r="WH8" s="468"/>
      <c r="WI8" s="468"/>
      <c r="WJ8" s="468"/>
      <c r="WK8" s="468"/>
      <c r="WL8" s="468"/>
      <c r="WM8" s="468"/>
      <c r="WN8" s="468"/>
      <c r="WO8" s="468"/>
      <c r="WP8" s="468"/>
      <c r="WQ8" s="468"/>
      <c r="WR8" s="468"/>
      <c r="WS8" s="468"/>
      <c r="WT8" s="468"/>
      <c r="WU8" s="468"/>
      <c r="WV8" s="468"/>
      <c r="WW8" s="468"/>
      <c r="WX8" s="468"/>
      <c r="WY8" s="468"/>
      <c r="WZ8" s="468"/>
      <c r="XA8" s="468"/>
      <c r="XB8" s="468"/>
      <c r="XC8" s="468"/>
      <c r="XD8" s="468"/>
      <c r="XE8" s="468"/>
      <c r="XF8" s="468"/>
      <c r="XG8" s="468"/>
      <c r="XH8" s="468"/>
      <c r="XI8" s="468"/>
      <c r="XJ8" s="468"/>
      <c r="XK8" s="468"/>
      <c r="XL8" s="468"/>
      <c r="XM8" s="468"/>
      <c r="XN8" s="468"/>
      <c r="XO8" s="468"/>
      <c r="XP8" s="468"/>
      <c r="XQ8" s="466"/>
    </row>
    <row r="9" spans="1:641" s="24" customFormat="1" x14ac:dyDescent="0.25">
      <c r="A9" s="189" t="s">
        <v>1456</v>
      </c>
      <c r="B9" s="144" t="s">
        <v>1345</v>
      </c>
      <c r="C9" s="144" t="s">
        <v>1346</v>
      </c>
      <c r="D9" s="437" t="s">
        <v>1160</v>
      </c>
      <c r="E9" s="440" t="s">
        <v>1374</v>
      </c>
      <c r="F9" s="143">
        <v>32</v>
      </c>
      <c r="G9" s="143" t="s">
        <v>183</v>
      </c>
      <c r="H9" s="143" t="s">
        <v>35</v>
      </c>
      <c r="I9" s="28"/>
      <c r="J9" s="28"/>
      <c r="K9" s="28"/>
      <c r="L9" s="28"/>
      <c r="M9" s="330"/>
      <c r="N9" s="330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472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8"/>
      <c r="DF9" s="468"/>
      <c r="DG9" s="468"/>
      <c r="DH9" s="468"/>
      <c r="DI9" s="468"/>
      <c r="DJ9" s="468"/>
      <c r="DK9" s="468"/>
      <c r="DL9" s="468"/>
      <c r="DM9" s="468"/>
      <c r="DN9" s="468"/>
      <c r="DO9" s="468"/>
      <c r="DP9" s="468"/>
      <c r="DQ9" s="468"/>
      <c r="DR9" s="468"/>
      <c r="DS9" s="468"/>
      <c r="DT9" s="468"/>
      <c r="DU9" s="468"/>
      <c r="DV9" s="468"/>
      <c r="DW9" s="468"/>
      <c r="DX9" s="468"/>
      <c r="DY9" s="468"/>
      <c r="DZ9" s="468"/>
      <c r="EA9" s="468"/>
      <c r="EB9" s="468"/>
      <c r="EC9" s="468"/>
      <c r="ED9" s="468"/>
      <c r="EE9" s="468"/>
      <c r="EF9" s="468"/>
      <c r="EG9" s="468"/>
      <c r="EH9" s="468"/>
      <c r="EI9" s="468"/>
      <c r="EJ9" s="468"/>
      <c r="EK9" s="468"/>
      <c r="EL9" s="468"/>
      <c r="EM9" s="468"/>
      <c r="EN9" s="468"/>
      <c r="EO9" s="468"/>
      <c r="EP9" s="468"/>
      <c r="EQ9" s="468"/>
      <c r="ER9" s="468"/>
      <c r="ES9" s="468"/>
      <c r="ET9" s="468"/>
      <c r="EU9" s="468"/>
      <c r="EV9" s="468"/>
      <c r="EW9" s="468"/>
      <c r="EX9" s="468"/>
      <c r="EY9" s="468"/>
      <c r="EZ9" s="468"/>
      <c r="FA9" s="468"/>
      <c r="FB9" s="468"/>
      <c r="FC9" s="468"/>
      <c r="FD9" s="468"/>
      <c r="FE9" s="468"/>
      <c r="FF9" s="468"/>
      <c r="FG9" s="468"/>
      <c r="FH9" s="468"/>
      <c r="FI9" s="468"/>
      <c r="FJ9" s="468"/>
      <c r="FK9" s="468"/>
      <c r="FL9" s="468"/>
      <c r="FM9" s="468"/>
      <c r="FN9" s="468"/>
      <c r="FO9" s="468"/>
      <c r="FP9" s="468"/>
      <c r="FQ9" s="468"/>
      <c r="FR9" s="468"/>
      <c r="FS9" s="468"/>
      <c r="FT9" s="468"/>
      <c r="FU9" s="468"/>
      <c r="FV9" s="468"/>
      <c r="FW9" s="468"/>
      <c r="FX9" s="468"/>
      <c r="FY9" s="468"/>
      <c r="FZ9" s="468"/>
      <c r="GA9" s="468"/>
      <c r="GB9" s="468"/>
      <c r="GC9" s="468"/>
      <c r="GD9" s="468"/>
      <c r="GE9" s="468"/>
      <c r="GF9" s="468"/>
      <c r="GG9" s="468"/>
      <c r="GH9" s="468"/>
      <c r="GI9" s="468"/>
      <c r="GJ9" s="468"/>
      <c r="GK9" s="468"/>
      <c r="GL9" s="468"/>
      <c r="GM9" s="468"/>
      <c r="GN9" s="468"/>
      <c r="GO9" s="468"/>
      <c r="GP9" s="468"/>
      <c r="GQ9" s="468"/>
      <c r="GR9" s="468"/>
      <c r="GS9" s="468"/>
      <c r="GT9" s="468"/>
      <c r="GU9" s="468"/>
      <c r="GV9" s="468"/>
      <c r="GW9" s="468"/>
      <c r="GX9" s="468"/>
      <c r="GY9" s="468"/>
      <c r="GZ9" s="468"/>
      <c r="HA9" s="468"/>
      <c r="HB9" s="468"/>
      <c r="HC9" s="468"/>
      <c r="HD9" s="468"/>
      <c r="HE9" s="468"/>
      <c r="HF9" s="468"/>
      <c r="HG9" s="468"/>
      <c r="HH9" s="468"/>
      <c r="HI9" s="468"/>
      <c r="HJ9" s="468"/>
      <c r="HK9" s="468"/>
      <c r="HL9" s="468"/>
      <c r="HM9" s="468"/>
      <c r="HN9" s="468"/>
      <c r="HO9" s="468"/>
      <c r="HP9" s="468"/>
      <c r="HQ9" s="468"/>
      <c r="HR9" s="468"/>
      <c r="HS9" s="468"/>
      <c r="HT9" s="468"/>
      <c r="HU9" s="468"/>
      <c r="HV9" s="468"/>
      <c r="HW9" s="468"/>
      <c r="HX9" s="468"/>
      <c r="HY9" s="468"/>
      <c r="HZ9" s="468"/>
      <c r="IA9" s="468"/>
      <c r="IB9" s="468"/>
      <c r="IC9" s="468"/>
      <c r="ID9" s="468"/>
      <c r="IE9" s="468"/>
      <c r="IF9" s="468"/>
      <c r="IG9" s="468"/>
      <c r="IH9" s="468"/>
      <c r="II9" s="468"/>
      <c r="IJ9" s="468"/>
      <c r="IK9" s="468"/>
      <c r="IL9" s="468"/>
      <c r="IM9" s="468"/>
      <c r="IN9" s="468"/>
      <c r="IO9" s="468"/>
      <c r="IP9" s="468"/>
      <c r="IQ9" s="468"/>
      <c r="IR9" s="468"/>
      <c r="IS9" s="468"/>
      <c r="IT9" s="468"/>
      <c r="IU9" s="468"/>
      <c r="IV9" s="468"/>
      <c r="IW9" s="468"/>
      <c r="IX9" s="468"/>
      <c r="IY9" s="468"/>
      <c r="IZ9" s="468"/>
      <c r="JA9" s="468"/>
      <c r="JB9" s="468"/>
      <c r="JC9" s="468"/>
      <c r="JD9" s="468"/>
      <c r="JE9" s="468"/>
      <c r="JF9" s="468"/>
      <c r="JG9" s="468"/>
      <c r="JH9" s="468"/>
      <c r="JI9" s="468"/>
      <c r="JJ9" s="468"/>
      <c r="JK9" s="468"/>
      <c r="JL9" s="468"/>
      <c r="JM9" s="468"/>
      <c r="JN9" s="468"/>
      <c r="JO9" s="468"/>
      <c r="JP9" s="468"/>
      <c r="JQ9" s="468"/>
      <c r="JR9" s="468"/>
      <c r="JS9" s="468"/>
      <c r="JT9" s="468"/>
      <c r="JU9" s="468"/>
      <c r="JV9" s="468"/>
      <c r="JW9" s="468"/>
      <c r="JX9" s="468"/>
      <c r="JY9" s="468"/>
      <c r="JZ9" s="468"/>
      <c r="KA9" s="468"/>
      <c r="KB9" s="468"/>
      <c r="KC9" s="468"/>
      <c r="KD9" s="468"/>
      <c r="KE9" s="468"/>
      <c r="KF9" s="468"/>
      <c r="KG9" s="468"/>
      <c r="KH9" s="468"/>
      <c r="KI9" s="468"/>
      <c r="KJ9" s="468"/>
      <c r="KK9" s="468"/>
      <c r="KL9" s="468"/>
      <c r="KM9" s="468"/>
      <c r="KN9" s="468"/>
      <c r="KO9" s="468"/>
      <c r="KP9" s="468"/>
      <c r="KQ9" s="468"/>
      <c r="KR9" s="468"/>
      <c r="KS9" s="468"/>
      <c r="KT9" s="468"/>
      <c r="KU9" s="468"/>
      <c r="KV9" s="468"/>
      <c r="KW9" s="468"/>
      <c r="KX9" s="468"/>
      <c r="KY9" s="468"/>
      <c r="KZ9" s="468"/>
      <c r="LA9" s="468"/>
      <c r="LB9" s="468"/>
      <c r="LC9" s="468"/>
      <c r="LD9" s="468"/>
      <c r="LE9" s="468"/>
      <c r="LF9" s="468"/>
      <c r="LG9" s="468"/>
      <c r="LH9" s="468"/>
      <c r="LI9" s="468"/>
      <c r="LJ9" s="468"/>
      <c r="LK9" s="468"/>
      <c r="LL9" s="468"/>
      <c r="LM9" s="468"/>
      <c r="LN9" s="468"/>
      <c r="LO9" s="468"/>
      <c r="LP9" s="468"/>
      <c r="LQ9" s="468"/>
      <c r="LR9" s="468"/>
      <c r="LS9" s="468"/>
      <c r="LT9" s="468"/>
      <c r="LU9" s="468"/>
      <c r="LV9" s="468"/>
      <c r="LW9" s="468"/>
      <c r="LX9" s="468"/>
      <c r="LY9" s="468"/>
      <c r="LZ9" s="468"/>
      <c r="MA9" s="468"/>
      <c r="MB9" s="468"/>
      <c r="MC9" s="468"/>
      <c r="MD9" s="468"/>
      <c r="ME9" s="468"/>
      <c r="MF9" s="468"/>
      <c r="MG9" s="468"/>
      <c r="MH9" s="468"/>
      <c r="MI9" s="468"/>
      <c r="MJ9" s="468"/>
      <c r="MK9" s="468"/>
      <c r="ML9" s="468"/>
      <c r="MM9" s="468"/>
      <c r="MN9" s="468"/>
      <c r="MO9" s="468"/>
      <c r="MP9" s="468"/>
      <c r="MQ9" s="468"/>
      <c r="MR9" s="468"/>
      <c r="MS9" s="468"/>
      <c r="MT9" s="468"/>
      <c r="MU9" s="468"/>
      <c r="MV9" s="468"/>
      <c r="MW9" s="468"/>
      <c r="MX9" s="468"/>
      <c r="MY9" s="468"/>
      <c r="MZ9" s="468"/>
      <c r="NA9" s="468"/>
      <c r="NB9" s="468"/>
      <c r="NC9" s="468"/>
      <c r="ND9" s="468"/>
      <c r="NE9" s="468"/>
      <c r="NF9" s="468"/>
      <c r="NG9" s="468"/>
      <c r="NH9" s="468"/>
      <c r="NI9" s="468"/>
      <c r="NJ9" s="468"/>
      <c r="NK9" s="468"/>
      <c r="NL9" s="468"/>
      <c r="NM9" s="468"/>
      <c r="NN9" s="468"/>
      <c r="NO9" s="468"/>
      <c r="NP9" s="468"/>
      <c r="NQ9" s="468"/>
      <c r="NR9" s="468"/>
      <c r="NS9" s="468"/>
      <c r="NT9" s="468"/>
      <c r="NU9" s="468"/>
      <c r="NV9" s="468"/>
      <c r="NW9" s="468"/>
      <c r="NX9" s="468"/>
      <c r="NY9" s="468"/>
      <c r="NZ9" s="468"/>
      <c r="OA9" s="468"/>
      <c r="OB9" s="468"/>
      <c r="OC9" s="468"/>
      <c r="OD9" s="468"/>
      <c r="OE9" s="468"/>
      <c r="OF9" s="468"/>
      <c r="OG9" s="468"/>
      <c r="OH9" s="468"/>
      <c r="OI9" s="468"/>
      <c r="OJ9" s="468"/>
      <c r="OK9" s="468"/>
      <c r="OL9" s="468"/>
      <c r="OM9" s="468"/>
      <c r="ON9" s="468"/>
      <c r="OO9" s="468"/>
      <c r="OP9" s="468"/>
      <c r="OQ9" s="468"/>
      <c r="OR9" s="468"/>
      <c r="OS9" s="468"/>
      <c r="OT9" s="468"/>
      <c r="OU9" s="468"/>
      <c r="OV9" s="468"/>
      <c r="OW9" s="468"/>
      <c r="OX9" s="468"/>
      <c r="OY9" s="468"/>
      <c r="OZ9" s="468"/>
      <c r="PA9" s="468"/>
      <c r="PB9" s="468"/>
      <c r="PC9" s="468"/>
      <c r="PD9" s="468"/>
      <c r="PE9" s="468"/>
      <c r="PF9" s="468"/>
      <c r="PG9" s="468"/>
      <c r="PH9" s="468"/>
      <c r="PI9" s="468"/>
      <c r="PJ9" s="468"/>
      <c r="PK9" s="468"/>
      <c r="PL9" s="468"/>
      <c r="PM9" s="468"/>
      <c r="PN9" s="468"/>
      <c r="PO9" s="468"/>
      <c r="PP9" s="468"/>
      <c r="PQ9" s="468"/>
      <c r="PR9" s="468"/>
      <c r="PS9" s="468"/>
      <c r="PT9" s="468"/>
      <c r="PU9" s="468"/>
      <c r="PV9" s="468"/>
      <c r="PW9" s="468"/>
      <c r="PX9" s="468"/>
      <c r="PY9" s="468"/>
      <c r="PZ9" s="468"/>
      <c r="QA9" s="468"/>
      <c r="QB9" s="468"/>
      <c r="QC9" s="468"/>
      <c r="QD9" s="468"/>
      <c r="QE9" s="468"/>
      <c r="QF9" s="468"/>
      <c r="QG9" s="468"/>
      <c r="QH9" s="468"/>
      <c r="QI9" s="468"/>
      <c r="QJ9" s="468"/>
      <c r="QK9" s="468"/>
      <c r="QL9" s="468"/>
      <c r="QM9" s="468"/>
      <c r="QN9" s="468"/>
      <c r="QO9" s="468"/>
      <c r="QP9" s="468"/>
      <c r="QQ9" s="468"/>
      <c r="QR9" s="468"/>
      <c r="QS9" s="468"/>
      <c r="QT9" s="468"/>
      <c r="QU9" s="468"/>
      <c r="QV9" s="468"/>
      <c r="QW9" s="468"/>
      <c r="QX9" s="468"/>
      <c r="QY9" s="468"/>
      <c r="QZ9" s="468"/>
      <c r="RA9" s="468"/>
      <c r="RB9" s="468"/>
      <c r="RC9" s="468"/>
      <c r="RD9" s="468"/>
      <c r="RE9" s="468"/>
      <c r="RF9" s="468"/>
      <c r="RG9" s="468"/>
      <c r="RH9" s="468"/>
      <c r="RI9" s="468"/>
      <c r="RJ9" s="468"/>
      <c r="RK9" s="468"/>
      <c r="RL9" s="468"/>
      <c r="RM9" s="468"/>
      <c r="RN9" s="468"/>
      <c r="RO9" s="468"/>
      <c r="RP9" s="468"/>
      <c r="RQ9" s="468"/>
      <c r="RR9" s="468"/>
      <c r="RS9" s="468"/>
      <c r="RT9" s="468"/>
      <c r="RU9" s="468"/>
      <c r="RV9" s="468"/>
      <c r="RW9" s="468"/>
      <c r="RX9" s="468"/>
      <c r="RY9" s="468"/>
      <c r="RZ9" s="468"/>
      <c r="SA9" s="468"/>
      <c r="SB9" s="468"/>
      <c r="SC9" s="468"/>
      <c r="SD9" s="468"/>
      <c r="SE9" s="468"/>
      <c r="SF9" s="468"/>
      <c r="SG9" s="468"/>
      <c r="SH9" s="468"/>
      <c r="SI9" s="468"/>
      <c r="SJ9" s="468"/>
      <c r="SK9" s="468"/>
      <c r="SL9" s="468"/>
      <c r="SM9" s="468"/>
      <c r="SN9" s="468"/>
      <c r="SO9" s="468"/>
      <c r="SP9" s="468"/>
      <c r="SQ9" s="468"/>
      <c r="SR9" s="468"/>
      <c r="SS9" s="468"/>
      <c r="ST9" s="468"/>
      <c r="SU9" s="468"/>
      <c r="SV9" s="468"/>
      <c r="SW9" s="468"/>
      <c r="SX9" s="468"/>
      <c r="SY9" s="468"/>
      <c r="SZ9" s="468"/>
      <c r="TA9" s="468"/>
      <c r="TB9" s="468"/>
      <c r="TC9" s="468"/>
      <c r="TD9" s="468"/>
      <c r="TE9" s="468"/>
      <c r="TF9" s="468"/>
      <c r="TG9" s="468"/>
      <c r="TH9" s="468"/>
      <c r="TI9" s="468"/>
      <c r="TJ9" s="468"/>
      <c r="TK9" s="468"/>
      <c r="TL9" s="468"/>
      <c r="TM9" s="468"/>
      <c r="TN9" s="468"/>
      <c r="TO9" s="468"/>
      <c r="TP9" s="468"/>
      <c r="TQ9" s="468"/>
      <c r="TR9" s="468"/>
      <c r="TS9" s="468"/>
      <c r="TT9" s="468"/>
      <c r="TU9" s="468"/>
      <c r="TV9" s="468"/>
      <c r="TW9" s="468"/>
      <c r="TX9" s="468"/>
      <c r="TY9" s="468"/>
      <c r="TZ9" s="468"/>
      <c r="UA9" s="468"/>
      <c r="UB9" s="468"/>
      <c r="UC9" s="468"/>
      <c r="UD9" s="468"/>
      <c r="UE9" s="468"/>
      <c r="UF9" s="468"/>
      <c r="UG9" s="468"/>
      <c r="UH9" s="468"/>
      <c r="UI9" s="468"/>
      <c r="UJ9" s="468"/>
      <c r="UK9" s="468"/>
      <c r="UL9" s="468"/>
      <c r="UM9" s="468"/>
      <c r="UN9" s="468"/>
      <c r="UO9" s="468"/>
      <c r="UP9" s="468"/>
      <c r="UQ9" s="468"/>
      <c r="UR9" s="468"/>
      <c r="US9" s="468"/>
      <c r="UT9" s="468"/>
      <c r="UU9" s="468"/>
      <c r="UV9" s="468"/>
      <c r="UW9" s="468"/>
      <c r="UX9" s="468"/>
      <c r="UY9" s="468"/>
      <c r="UZ9" s="468"/>
      <c r="VA9" s="468"/>
      <c r="VB9" s="468"/>
      <c r="VC9" s="468"/>
      <c r="VD9" s="468"/>
      <c r="VE9" s="468"/>
      <c r="VF9" s="468"/>
      <c r="VG9" s="468"/>
      <c r="VH9" s="468"/>
      <c r="VI9" s="468"/>
      <c r="VJ9" s="468"/>
      <c r="VK9" s="468"/>
      <c r="VL9" s="468"/>
      <c r="VM9" s="468"/>
      <c r="VN9" s="468"/>
      <c r="VO9" s="468"/>
      <c r="VP9" s="468"/>
      <c r="VQ9" s="468"/>
      <c r="VR9" s="468"/>
      <c r="VS9" s="468"/>
      <c r="VT9" s="468"/>
      <c r="VU9" s="468"/>
      <c r="VV9" s="468"/>
      <c r="VW9" s="468"/>
      <c r="VX9" s="468"/>
      <c r="VY9" s="468"/>
      <c r="VZ9" s="468"/>
      <c r="WA9" s="468"/>
      <c r="WB9" s="468"/>
      <c r="WC9" s="468"/>
      <c r="WD9" s="468"/>
      <c r="WE9" s="468"/>
      <c r="WF9" s="468"/>
      <c r="WG9" s="468"/>
      <c r="WH9" s="468"/>
      <c r="WI9" s="468"/>
      <c r="WJ9" s="468"/>
      <c r="WK9" s="468"/>
      <c r="WL9" s="468"/>
      <c r="WM9" s="468"/>
      <c r="WN9" s="468"/>
      <c r="WO9" s="468"/>
      <c r="WP9" s="468"/>
      <c r="WQ9" s="468"/>
      <c r="WR9" s="468"/>
      <c r="WS9" s="468"/>
      <c r="WT9" s="468"/>
      <c r="WU9" s="468"/>
      <c r="WV9" s="468"/>
      <c r="WW9" s="468"/>
      <c r="WX9" s="468"/>
      <c r="WY9" s="468"/>
      <c r="WZ9" s="468"/>
      <c r="XA9" s="468"/>
      <c r="XB9" s="468"/>
      <c r="XC9" s="468"/>
      <c r="XD9" s="468"/>
      <c r="XE9" s="468"/>
      <c r="XF9" s="468"/>
      <c r="XG9" s="468"/>
      <c r="XH9" s="468"/>
      <c r="XI9" s="468"/>
      <c r="XJ9" s="468"/>
      <c r="XK9" s="468"/>
      <c r="XL9" s="468"/>
      <c r="XM9" s="468"/>
      <c r="XN9" s="468"/>
      <c r="XO9" s="468"/>
      <c r="XP9" s="468"/>
      <c r="XQ9" s="467"/>
    </row>
    <row r="10" spans="1:641" x14ac:dyDescent="0.25">
      <c r="A10" s="457" t="s">
        <v>1457</v>
      </c>
      <c r="B10" s="458" t="s">
        <v>36</v>
      </c>
      <c r="C10" s="458" t="s">
        <v>1477</v>
      </c>
      <c r="D10" s="459" t="s">
        <v>1160</v>
      </c>
      <c r="E10" s="460" t="s">
        <v>1478</v>
      </c>
      <c r="F10" s="167">
        <v>43</v>
      </c>
      <c r="G10" s="167" t="s">
        <v>183</v>
      </c>
      <c r="H10" s="167" t="s">
        <v>35</v>
      </c>
      <c r="I10" s="458"/>
      <c r="J10" s="458"/>
      <c r="K10" s="458"/>
      <c r="L10" s="458"/>
      <c r="M10" s="458"/>
      <c r="N10" s="458"/>
      <c r="O10" s="458"/>
      <c r="P10" s="458"/>
      <c r="Q10" s="458"/>
      <c r="R10" s="458"/>
      <c r="S10" s="458"/>
      <c r="T10" s="458"/>
      <c r="U10" s="458"/>
      <c r="V10" s="458"/>
      <c r="W10" s="458"/>
      <c r="X10" s="458"/>
      <c r="Y10" s="458"/>
      <c r="Z10" s="458"/>
      <c r="AA10" s="458"/>
      <c r="AB10" s="458"/>
      <c r="AC10" s="458"/>
      <c r="AD10" s="458"/>
      <c r="AE10" s="458"/>
      <c r="AF10" s="458"/>
      <c r="AG10" s="458"/>
      <c r="AH10" s="458"/>
      <c r="AI10" s="458"/>
      <c r="AJ10" s="458"/>
      <c r="AK10" s="458"/>
      <c r="AL10" s="458"/>
      <c r="AM10" s="458"/>
      <c r="AN10" s="474"/>
      <c r="AO10" s="470"/>
      <c r="AP10" s="470"/>
      <c r="AQ10" s="470"/>
      <c r="AR10" s="470"/>
      <c r="AS10" s="470"/>
      <c r="AT10" s="470"/>
      <c r="AU10" s="470"/>
      <c r="AV10" s="470"/>
      <c r="AW10" s="470"/>
      <c r="AX10" s="470"/>
      <c r="AY10" s="470"/>
      <c r="AZ10" s="470"/>
      <c r="BA10" s="470"/>
      <c r="BB10" s="470"/>
      <c r="BC10" s="470"/>
      <c r="BD10" s="470"/>
      <c r="BE10" s="470"/>
      <c r="BF10" s="470"/>
      <c r="BG10" s="470"/>
      <c r="BH10" s="470"/>
      <c r="BI10" s="470"/>
      <c r="BJ10" s="470"/>
      <c r="BK10" s="470"/>
      <c r="BL10" s="470"/>
      <c r="BM10" s="470"/>
      <c r="BN10" s="470"/>
      <c r="BO10" s="470"/>
      <c r="BP10" s="470"/>
      <c r="BQ10" s="470"/>
      <c r="BR10" s="470"/>
      <c r="BS10" s="470"/>
      <c r="BT10" s="470"/>
      <c r="BU10" s="470"/>
      <c r="BV10" s="470"/>
      <c r="BW10" s="470"/>
      <c r="BX10" s="470"/>
      <c r="BY10" s="470"/>
      <c r="BZ10" s="470"/>
      <c r="CA10" s="470"/>
      <c r="CB10" s="470"/>
      <c r="CC10" s="470"/>
      <c r="CD10" s="470"/>
      <c r="CE10" s="470"/>
      <c r="CF10" s="470"/>
      <c r="CG10" s="470"/>
      <c r="CH10" s="470"/>
      <c r="CI10" s="470"/>
      <c r="CJ10" s="470"/>
      <c r="CK10" s="470"/>
      <c r="CL10" s="470"/>
      <c r="CM10" s="470"/>
      <c r="CN10" s="470"/>
      <c r="CO10" s="470"/>
      <c r="CP10" s="470"/>
      <c r="CQ10" s="470"/>
      <c r="CR10" s="470"/>
      <c r="CS10" s="470"/>
      <c r="CT10" s="470"/>
      <c r="CU10" s="470"/>
      <c r="CV10" s="470"/>
      <c r="CW10" s="470"/>
      <c r="CX10" s="470"/>
      <c r="CY10" s="470"/>
      <c r="CZ10" s="470"/>
      <c r="DA10" s="470"/>
      <c r="DB10" s="470"/>
      <c r="DC10" s="470"/>
      <c r="DD10" s="470"/>
      <c r="DE10" s="470"/>
      <c r="DF10" s="470"/>
      <c r="DG10" s="470"/>
      <c r="DH10" s="470"/>
      <c r="DI10" s="470"/>
      <c r="DJ10" s="470"/>
      <c r="DK10" s="470"/>
      <c r="DL10" s="470"/>
      <c r="DM10" s="470"/>
      <c r="DN10" s="470"/>
      <c r="DO10" s="470"/>
      <c r="DP10" s="470"/>
      <c r="DQ10" s="470"/>
      <c r="DR10" s="470"/>
      <c r="DS10" s="470"/>
      <c r="DT10" s="470"/>
      <c r="DU10" s="470"/>
      <c r="DV10" s="470"/>
      <c r="DW10" s="470"/>
      <c r="DX10" s="470"/>
      <c r="DY10" s="470"/>
      <c r="DZ10" s="470"/>
      <c r="EA10" s="470"/>
      <c r="EB10" s="470"/>
      <c r="EC10" s="470"/>
      <c r="ED10" s="470"/>
      <c r="EE10" s="470"/>
      <c r="EF10" s="470"/>
      <c r="EG10" s="470"/>
      <c r="EH10" s="470"/>
      <c r="EI10" s="470"/>
      <c r="EJ10" s="470"/>
      <c r="EK10" s="470"/>
      <c r="EL10" s="470"/>
      <c r="EM10" s="470"/>
      <c r="EN10" s="470"/>
      <c r="EO10" s="470"/>
      <c r="EP10" s="470"/>
      <c r="EQ10" s="470"/>
      <c r="ER10" s="470"/>
      <c r="ES10" s="470"/>
      <c r="ET10" s="470"/>
      <c r="EU10" s="470"/>
      <c r="EV10" s="470"/>
      <c r="EW10" s="470"/>
      <c r="EX10" s="470"/>
      <c r="EY10" s="470"/>
      <c r="EZ10" s="470"/>
      <c r="FA10" s="470"/>
      <c r="FB10" s="470"/>
      <c r="FC10" s="470"/>
      <c r="FD10" s="470"/>
      <c r="FE10" s="470"/>
      <c r="FF10" s="470"/>
      <c r="FG10" s="470"/>
      <c r="FH10" s="470"/>
      <c r="FI10" s="470"/>
      <c r="FJ10" s="470"/>
      <c r="FK10" s="470"/>
      <c r="FL10" s="470"/>
      <c r="FM10" s="470"/>
      <c r="FN10" s="470"/>
      <c r="FO10" s="470"/>
      <c r="FP10" s="470"/>
      <c r="FQ10" s="470"/>
      <c r="FR10" s="470"/>
      <c r="FS10" s="470"/>
      <c r="FT10" s="470"/>
      <c r="FU10" s="470"/>
      <c r="FV10" s="470"/>
      <c r="FW10" s="470"/>
      <c r="FX10" s="470"/>
      <c r="FY10" s="470"/>
      <c r="FZ10" s="470"/>
      <c r="GA10" s="470"/>
      <c r="GB10" s="470"/>
      <c r="GC10" s="470"/>
      <c r="GD10" s="470"/>
      <c r="GE10" s="470"/>
      <c r="GF10" s="470"/>
      <c r="GG10" s="470"/>
      <c r="GH10" s="470"/>
      <c r="GI10" s="470"/>
      <c r="GJ10" s="470"/>
      <c r="GK10" s="470"/>
      <c r="GL10" s="470"/>
      <c r="GM10" s="470"/>
      <c r="GN10" s="470"/>
      <c r="GO10" s="470"/>
      <c r="GP10" s="470"/>
      <c r="GQ10" s="470"/>
      <c r="GR10" s="470"/>
      <c r="GS10" s="470"/>
      <c r="GT10" s="470"/>
      <c r="GU10" s="470"/>
      <c r="GV10" s="470"/>
      <c r="GW10" s="470"/>
      <c r="GX10" s="470"/>
      <c r="GY10" s="470"/>
      <c r="GZ10" s="470"/>
      <c r="HA10" s="470"/>
      <c r="HB10" s="470"/>
      <c r="HC10" s="470"/>
      <c r="HD10" s="470"/>
      <c r="HE10" s="470"/>
      <c r="HF10" s="470"/>
      <c r="HG10" s="470"/>
      <c r="HH10" s="470"/>
      <c r="HI10" s="470"/>
      <c r="HJ10" s="470"/>
      <c r="HK10" s="470"/>
      <c r="HL10" s="470"/>
      <c r="HM10" s="470"/>
      <c r="HN10" s="470"/>
      <c r="HO10" s="470"/>
      <c r="HP10" s="470"/>
      <c r="HQ10" s="470"/>
      <c r="HR10" s="470"/>
      <c r="HS10" s="470"/>
      <c r="HT10" s="470"/>
      <c r="HU10" s="470"/>
      <c r="HV10" s="470"/>
      <c r="HW10" s="470"/>
      <c r="HX10" s="470"/>
      <c r="HY10" s="470"/>
      <c r="HZ10" s="470"/>
      <c r="IA10" s="470"/>
      <c r="IB10" s="470"/>
      <c r="IC10" s="470"/>
      <c r="ID10" s="470"/>
      <c r="IE10" s="470"/>
      <c r="IF10" s="470"/>
      <c r="IG10" s="470"/>
      <c r="IH10" s="470"/>
      <c r="II10" s="470"/>
      <c r="IJ10" s="470"/>
      <c r="IK10" s="470"/>
      <c r="IL10" s="470"/>
      <c r="IM10" s="470"/>
      <c r="IN10" s="470"/>
      <c r="IO10" s="470"/>
      <c r="IP10" s="470"/>
      <c r="IQ10" s="470"/>
      <c r="IR10" s="470"/>
      <c r="IS10" s="470"/>
      <c r="IT10" s="470"/>
      <c r="IU10" s="470"/>
      <c r="IV10" s="470"/>
      <c r="IW10" s="470"/>
      <c r="IX10" s="470"/>
      <c r="IY10" s="470"/>
      <c r="IZ10" s="470"/>
      <c r="JA10" s="470"/>
      <c r="JB10" s="470"/>
      <c r="JC10" s="470"/>
      <c r="JD10" s="470"/>
      <c r="JE10" s="470"/>
      <c r="JF10" s="470"/>
      <c r="JG10" s="470"/>
      <c r="JH10" s="470"/>
      <c r="JI10" s="470"/>
      <c r="JJ10" s="470"/>
      <c r="JK10" s="470"/>
      <c r="JL10" s="470"/>
      <c r="JM10" s="470"/>
      <c r="JN10" s="470"/>
      <c r="JO10" s="470"/>
      <c r="JP10" s="470"/>
      <c r="JQ10" s="470"/>
      <c r="JR10" s="470"/>
      <c r="JS10" s="470"/>
      <c r="JT10" s="470"/>
      <c r="JU10" s="470"/>
      <c r="JV10" s="470"/>
      <c r="JW10" s="470"/>
      <c r="JX10" s="470"/>
      <c r="JY10" s="470"/>
      <c r="JZ10" s="470"/>
      <c r="KA10" s="470"/>
      <c r="KB10" s="470"/>
      <c r="KC10" s="470"/>
      <c r="KD10" s="470"/>
      <c r="KE10" s="470"/>
      <c r="KF10" s="470"/>
      <c r="KG10" s="470"/>
      <c r="KH10" s="470"/>
      <c r="KI10" s="470"/>
      <c r="KJ10" s="470"/>
      <c r="KK10" s="470"/>
      <c r="KL10" s="470"/>
      <c r="KM10" s="470"/>
      <c r="KN10" s="470"/>
      <c r="KO10" s="470"/>
      <c r="KP10" s="470"/>
      <c r="KQ10" s="470"/>
      <c r="KR10" s="470"/>
      <c r="KS10" s="470"/>
      <c r="KT10" s="470"/>
      <c r="KU10" s="470"/>
      <c r="KV10" s="470"/>
      <c r="KW10" s="470"/>
      <c r="KX10" s="470"/>
      <c r="KY10" s="470"/>
      <c r="KZ10" s="470"/>
      <c r="LA10" s="470"/>
      <c r="LB10" s="470"/>
      <c r="LC10" s="470"/>
      <c r="LD10" s="470"/>
      <c r="LE10" s="470"/>
      <c r="LF10" s="470"/>
      <c r="LG10" s="470"/>
      <c r="LH10" s="470"/>
      <c r="LI10" s="470"/>
      <c r="LJ10" s="470"/>
      <c r="LK10" s="470"/>
      <c r="LL10" s="470"/>
      <c r="LM10" s="470"/>
      <c r="LN10" s="470"/>
      <c r="LO10" s="470"/>
      <c r="LP10" s="470"/>
      <c r="LQ10" s="470"/>
      <c r="LR10" s="470"/>
      <c r="LS10" s="470"/>
      <c r="LT10" s="470"/>
      <c r="LU10" s="470"/>
      <c r="LV10" s="470"/>
      <c r="LW10" s="470"/>
      <c r="LX10" s="470"/>
      <c r="LY10" s="470"/>
      <c r="LZ10" s="470"/>
      <c r="MA10" s="470"/>
      <c r="MB10" s="470"/>
      <c r="MC10" s="470"/>
      <c r="MD10" s="470"/>
      <c r="ME10" s="470"/>
      <c r="MF10" s="470"/>
      <c r="MG10" s="470"/>
      <c r="MH10" s="470"/>
      <c r="MI10" s="470"/>
      <c r="MJ10" s="470"/>
      <c r="MK10" s="470"/>
      <c r="ML10" s="470"/>
      <c r="MM10" s="470"/>
      <c r="MN10" s="470"/>
      <c r="MO10" s="470"/>
      <c r="MP10" s="470"/>
      <c r="MQ10" s="470"/>
      <c r="MR10" s="470"/>
      <c r="MS10" s="470"/>
      <c r="MT10" s="470"/>
      <c r="MU10" s="470"/>
      <c r="MV10" s="470"/>
      <c r="MW10" s="470"/>
      <c r="MX10" s="470"/>
      <c r="MY10" s="470"/>
      <c r="MZ10" s="470"/>
      <c r="NA10" s="470"/>
      <c r="NB10" s="470"/>
      <c r="NC10" s="470"/>
      <c r="ND10" s="470"/>
      <c r="NE10" s="470"/>
      <c r="NF10" s="470"/>
      <c r="NG10" s="470"/>
      <c r="NH10" s="470"/>
      <c r="NI10" s="470"/>
      <c r="NJ10" s="470"/>
      <c r="NK10" s="470"/>
      <c r="NL10" s="470"/>
      <c r="NM10" s="470"/>
      <c r="NN10" s="470"/>
      <c r="NO10" s="470"/>
      <c r="NP10" s="470"/>
      <c r="NQ10" s="470"/>
      <c r="NR10" s="470"/>
      <c r="NS10" s="470"/>
      <c r="NT10" s="470"/>
      <c r="NU10" s="470"/>
      <c r="NV10" s="470"/>
      <c r="NW10" s="470"/>
      <c r="NX10" s="470"/>
      <c r="NY10" s="470"/>
      <c r="NZ10" s="470"/>
      <c r="OA10" s="470"/>
      <c r="OB10" s="470"/>
      <c r="OC10" s="470"/>
      <c r="OD10" s="470"/>
      <c r="OE10" s="470"/>
      <c r="OF10" s="470"/>
      <c r="OG10" s="470"/>
      <c r="OH10" s="470"/>
      <c r="OI10" s="470"/>
      <c r="OJ10" s="470"/>
      <c r="OK10" s="470"/>
      <c r="OL10" s="470"/>
      <c r="OM10" s="470"/>
      <c r="ON10" s="470"/>
      <c r="OO10" s="470"/>
      <c r="OP10" s="470"/>
      <c r="OQ10" s="470"/>
      <c r="OR10" s="470"/>
      <c r="OS10" s="470"/>
      <c r="OT10" s="470"/>
      <c r="OU10" s="470"/>
      <c r="OV10" s="470"/>
      <c r="OW10" s="470"/>
      <c r="OX10" s="470"/>
      <c r="OY10" s="470"/>
      <c r="OZ10" s="470"/>
      <c r="PA10" s="470"/>
      <c r="PB10" s="470"/>
      <c r="PC10" s="470"/>
      <c r="PD10" s="470"/>
      <c r="PE10" s="470"/>
      <c r="PF10" s="470"/>
      <c r="PG10" s="470"/>
      <c r="PH10" s="470"/>
      <c r="PI10" s="470"/>
      <c r="PJ10" s="470"/>
      <c r="PK10" s="470"/>
      <c r="PL10" s="470"/>
      <c r="PM10" s="470"/>
      <c r="PN10" s="470"/>
      <c r="PO10" s="470"/>
      <c r="PP10" s="470"/>
      <c r="PQ10" s="470"/>
      <c r="PR10" s="470"/>
      <c r="PS10" s="470"/>
      <c r="PT10" s="470"/>
      <c r="PU10" s="470"/>
      <c r="PV10" s="470"/>
      <c r="PW10" s="470"/>
      <c r="PX10" s="470"/>
      <c r="PY10" s="470"/>
      <c r="PZ10" s="470"/>
      <c r="QA10" s="470"/>
      <c r="QB10" s="470"/>
      <c r="QC10" s="470"/>
      <c r="QD10" s="470"/>
      <c r="QE10" s="470"/>
      <c r="QF10" s="470"/>
      <c r="QG10" s="470"/>
      <c r="QH10" s="470"/>
      <c r="QI10" s="470"/>
      <c r="QJ10" s="470"/>
      <c r="QK10" s="470"/>
      <c r="QL10" s="470"/>
      <c r="QM10" s="470"/>
      <c r="QN10" s="470"/>
      <c r="QO10" s="470"/>
      <c r="QP10" s="470"/>
      <c r="QQ10" s="470"/>
      <c r="QR10" s="470"/>
      <c r="QS10" s="470"/>
      <c r="QT10" s="470"/>
      <c r="QU10" s="470"/>
      <c r="QV10" s="470"/>
      <c r="QW10" s="470"/>
      <c r="QX10" s="470"/>
      <c r="QY10" s="470"/>
      <c r="QZ10" s="470"/>
      <c r="RA10" s="470"/>
      <c r="RB10" s="470"/>
      <c r="RC10" s="470"/>
      <c r="RD10" s="470"/>
      <c r="RE10" s="470"/>
      <c r="RF10" s="470"/>
      <c r="RG10" s="470"/>
      <c r="RH10" s="470"/>
      <c r="RI10" s="470"/>
      <c r="RJ10" s="470"/>
      <c r="RK10" s="470"/>
      <c r="RL10" s="470"/>
      <c r="RM10" s="470"/>
      <c r="RN10" s="470"/>
      <c r="RO10" s="470"/>
      <c r="RP10" s="470"/>
      <c r="RQ10" s="470"/>
      <c r="RR10" s="470"/>
      <c r="RS10" s="470"/>
      <c r="RT10" s="470"/>
      <c r="RU10" s="470"/>
      <c r="RV10" s="470"/>
      <c r="RW10" s="470"/>
      <c r="RX10" s="470"/>
      <c r="RY10" s="470"/>
      <c r="RZ10" s="470"/>
      <c r="SA10" s="470"/>
      <c r="SB10" s="470"/>
      <c r="SC10" s="470"/>
      <c r="SD10" s="470"/>
      <c r="SE10" s="470"/>
      <c r="SF10" s="470"/>
      <c r="SG10" s="470"/>
      <c r="SH10" s="470"/>
      <c r="SI10" s="470"/>
      <c r="SJ10" s="470"/>
      <c r="SK10" s="470"/>
      <c r="SL10" s="470"/>
      <c r="SM10" s="470"/>
      <c r="SN10" s="470"/>
      <c r="SO10" s="470"/>
      <c r="SP10" s="470"/>
      <c r="SQ10" s="470"/>
      <c r="SR10" s="470"/>
      <c r="SS10" s="470"/>
      <c r="ST10" s="470"/>
      <c r="SU10" s="470"/>
      <c r="SV10" s="470"/>
      <c r="SW10" s="470"/>
      <c r="SX10" s="470"/>
      <c r="SY10" s="470"/>
      <c r="SZ10" s="470"/>
      <c r="TA10" s="470"/>
      <c r="TB10" s="470"/>
      <c r="TC10" s="470"/>
      <c r="TD10" s="470"/>
      <c r="TE10" s="470"/>
      <c r="TF10" s="470"/>
      <c r="TG10" s="470"/>
      <c r="TH10" s="470"/>
      <c r="TI10" s="470"/>
      <c r="TJ10" s="470"/>
      <c r="TK10" s="470"/>
      <c r="TL10" s="470"/>
      <c r="TM10" s="470"/>
      <c r="TN10" s="470"/>
      <c r="TO10" s="470"/>
      <c r="TP10" s="470"/>
      <c r="TQ10" s="470"/>
      <c r="TR10" s="470"/>
      <c r="TS10" s="470"/>
      <c r="TT10" s="470"/>
      <c r="TU10" s="470"/>
      <c r="TV10" s="470"/>
      <c r="TW10" s="470"/>
      <c r="TX10" s="470"/>
      <c r="TY10" s="470"/>
      <c r="TZ10" s="470"/>
      <c r="UA10" s="470"/>
      <c r="UB10" s="470"/>
      <c r="UC10" s="470"/>
      <c r="UD10" s="470"/>
      <c r="UE10" s="470"/>
      <c r="UF10" s="470"/>
      <c r="UG10" s="470"/>
      <c r="UH10" s="470"/>
      <c r="UI10" s="470"/>
      <c r="UJ10" s="470"/>
      <c r="UK10" s="470"/>
      <c r="UL10" s="470"/>
      <c r="UM10" s="470"/>
      <c r="UN10" s="470"/>
      <c r="UO10" s="470"/>
      <c r="UP10" s="470"/>
      <c r="UQ10" s="470"/>
      <c r="UR10" s="470"/>
      <c r="US10" s="470"/>
      <c r="UT10" s="470"/>
      <c r="UU10" s="470"/>
      <c r="UV10" s="470"/>
      <c r="UW10" s="470"/>
      <c r="UX10" s="470"/>
      <c r="UY10" s="470"/>
      <c r="UZ10" s="470"/>
      <c r="VA10" s="470"/>
      <c r="VB10" s="470"/>
      <c r="VC10" s="470"/>
      <c r="VD10" s="470"/>
      <c r="VE10" s="470"/>
      <c r="VF10" s="470"/>
      <c r="VG10" s="470"/>
      <c r="VH10" s="470"/>
      <c r="VI10" s="470"/>
      <c r="VJ10" s="470"/>
      <c r="VK10" s="470"/>
      <c r="VL10" s="470"/>
      <c r="VM10" s="470"/>
      <c r="VN10" s="470"/>
      <c r="VO10" s="470"/>
      <c r="VP10" s="470"/>
      <c r="VQ10" s="470"/>
      <c r="VR10" s="470"/>
      <c r="VS10" s="470"/>
      <c r="VT10" s="470"/>
      <c r="VU10" s="470"/>
      <c r="VV10" s="470"/>
      <c r="VW10" s="470"/>
      <c r="VX10" s="470"/>
      <c r="VY10" s="470"/>
      <c r="VZ10" s="470"/>
      <c r="WA10" s="470"/>
      <c r="WB10" s="470"/>
      <c r="WC10" s="470"/>
      <c r="WD10" s="470"/>
      <c r="WE10" s="470"/>
      <c r="WF10" s="470"/>
      <c r="WG10" s="470"/>
      <c r="WH10" s="470"/>
      <c r="WI10" s="470"/>
      <c r="WJ10" s="470"/>
      <c r="WK10" s="470"/>
      <c r="WL10" s="470"/>
      <c r="WM10" s="470"/>
      <c r="WN10" s="470"/>
      <c r="WO10" s="470"/>
      <c r="WP10" s="470"/>
      <c r="WQ10" s="470"/>
      <c r="WR10" s="470"/>
      <c r="WS10" s="470"/>
      <c r="WT10" s="470"/>
      <c r="WU10" s="470"/>
      <c r="WV10" s="470"/>
      <c r="WW10" s="470"/>
      <c r="WX10" s="470"/>
      <c r="WY10" s="470"/>
      <c r="WZ10" s="470"/>
      <c r="XA10" s="470"/>
      <c r="XB10" s="470"/>
      <c r="XC10" s="470"/>
      <c r="XD10" s="470"/>
      <c r="XE10" s="470"/>
      <c r="XF10" s="470"/>
      <c r="XG10" s="470"/>
      <c r="XH10" s="470"/>
      <c r="XI10" s="470"/>
      <c r="XJ10" s="470"/>
      <c r="XK10" s="470"/>
      <c r="XL10" s="470"/>
      <c r="XM10" s="470"/>
      <c r="XN10" s="470"/>
      <c r="XO10" s="470"/>
      <c r="XP10" s="470"/>
    </row>
    <row r="11" spans="1:641" x14ac:dyDescent="0.25">
      <c r="A11" s="456" t="s">
        <v>1458</v>
      </c>
      <c r="B11" s="458" t="s">
        <v>36</v>
      </c>
      <c r="C11" s="458" t="s">
        <v>64</v>
      </c>
      <c r="D11" s="437" t="s">
        <v>1160</v>
      </c>
      <c r="E11" s="460"/>
      <c r="F11" s="167"/>
      <c r="G11" s="167"/>
      <c r="H11" s="167"/>
      <c r="I11" s="458"/>
      <c r="J11" s="458"/>
      <c r="K11" s="458"/>
      <c r="L11" s="458"/>
      <c r="M11" s="458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58"/>
      <c r="AA11" s="458"/>
      <c r="AB11" s="458"/>
      <c r="AC11" s="458"/>
      <c r="AD11" s="458"/>
      <c r="AE11" s="458"/>
      <c r="AF11" s="458"/>
      <c r="AG11" s="458"/>
      <c r="AH11" s="458"/>
      <c r="AI11" s="458"/>
      <c r="AJ11" s="458"/>
      <c r="AK11" s="458"/>
      <c r="AL11" s="458"/>
      <c r="AM11" s="458"/>
      <c r="AN11" s="474"/>
      <c r="AO11" s="470"/>
      <c r="AP11" s="470"/>
      <c r="AQ11" s="470"/>
      <c r="AR11" s="470"/>
      <c r="AS11" s="470"/>
      <c r="AT11" s="470"/>
      <c r="AU11" s="470"/>
      <c r="AV11" s="470"/>
      <c r="AW11" s="470"/>
      <c r="AX11" s="470"/>
      <c r="AY11" s="470"/>
      <c r="AZ11" s="470"/>
      <c r="BA11" s="470"/>
      <c r="BB11" s="470"/>
      <c r="BC11" s="470"/>
      <c r="BD11" s="470"/>
      <c r="BE11" s="470"/>
      <c r="BF11" s="470"/>
      <c r="BG11" s="470"/>
      <c r="BH11" s="470"/>
      <c r="BI11" s="470"/>
      <c r="BJ11" s="470"/>
      <c r="BK11" s="470"/>
      <c r="BL11" s="470"/>
      <c r="BM11" s="470"/>
      <c r="BN11" s="470"/>
      <c r="BO11" s="470"/>
      <c r="BP11" s="470"/>
      <c r="BQ11" s="470"/>
      <c r="BR11" s="470"/>
      <c r="BS11" s="470"/>
      <c r="BT11" s="470"/>
      <c r="BU11" s="470"/>
      <c r="BV11" s="470"/>
      <c r="BW11" s="470"/>
      <c r="BX11" s="470"/>
      <c r="BY11" s="470"/>
      <c r="BZ11" s="470"/>
      <c r="CA11" s="470"/>
      <c r="CB11" s="470"/>
      <c r="CC11" s="470"/>
      <c r="CD11" s="470"/>
      <c r="CE11" s="470"/>
      <c r="CF11" s="470"/>
      <c r="CG11" s="470"/>
      <c r="CH11" s="470"/>
      <c r="CI11" s="470"/>
      <c r="CJ11" s="470"/>
      <c r="CK11" s="470"/>
      <c r="CL11" s="470"/>
      <c r="CM11" s="470"/>
      <c r="CN11" s="470"/>
      <c r="CO11" s="470"/>
      <c r="CP11" s="470"/>
      <c r="CQ11" s="470"/>
      <c r="CR11" s="470"/>
      <c r="CS11" s="470"/>
      <c r="CT11" s="470"/>
      <c r="CU11" s="470"/>
      <c r="CV11" s="470"/>
      <c r="CW11" s="470"/>
      <c r="CX11" s="470"/>
      <c r="CY11" s="470"/>
      <c r="CZ11" s="470"/>
      <c r="DA11" s="470"/>
      <c r="DB11" s="470"/>
      <c r="DC11" s="470"/>
      <c r="DD11" s="470"/>
      <c r="DE11" s="470"/>
      <c r="DF11" s="470"/>
      <c r="DG11" s="470"/>
      <c r="DH11" s="470"/>
      <c r="DI11" s="470"/>
      <c r="DJ11" s="470"/>
      <c r="DK11" s="470"/>
      <c r="DL11" s="470"/>
      <c r="DM11" s="470"/>
      <c r="DN11" s="470"/>
      <c r="DO11" s="470"/>
      <c r="DP11" s="470"/>
      <c r="DQ11" s="470"/>
      <c r="DR11" s="470"/>
      <c r="DS11" s="470"/>
      <c r="DT11" s="470"/>
      <c r="DU11" s="470"/>
      <c r="DV11" s="470"/>
      <c r="DW11" s="470"/>
      <c r="DX11" s="470"/>
      <c r="DY11" s="470"/>
      <c r="DZ11" s="470"/>
      <c r="EA11" s="470"/>
      <c r="EB11" s="470"/>
      <c r="EC11" s="470"/>
      <c r="ED11" s="470"/>
      <c r="EE11" s="470"/>
      <c r="EF11" s="470"/>
      <c r="EG11" s="470"/>
      <c r="EH11" s="470"/>
      <c r="EI11" s="470"/>
      <c r="EJ11" s="470"/>
      <c r="EK11" s="470"/>
      <c r="EL11" s="470"/>
      <c r="EM11" s="470"/>
      <c r="EN11" s="470"/>
      <c r="EO11" s="470"/>
      <c r="EP11" s="470"/>
      <c r="EQ11" s="470"/>
      <c r="ER11" s="470"/>
      <c r="ES11" s="470"/>
      <c r="ET11" s="470"/>
      <c r="EU11" s="470"/>
      <c r="EV11" s="470"/>
      <c r="EW11" s="470"/>
      <c r="EX11" s="470"/>
      <c r="EY11" s="470"/>
      <c r="EZ11" s="470"/>
      <c r="FA11" s="470"/>
      <c r="FB11" s="470"/>
      <c r="FC11" s="470"/>
      <c r="FD11" s="470"/>
      <c r="FE11" s="470"/>
      <c r="FF11" s="470"/>
      <c r="FG11" s="470"/>
      <c r="FH11" s="470"/>
      <c r="FI11" s="470"/>
      <c r="FJ11" s="470"/>
      <c r="FK11" s="470"/>
      <c r="FL11" s="470"/>
      <c r="FM11" s="470"/>
      <c r="FN11" s="470"/>
      <c r="FO11" s="470"/>
      <c r="FP11" s="470"/>
      <c r="FQ11" s="470"/>
      <c r="FR11" s="470"/>
      <c r="FS11" s="470"/>
      <c r="FT11" s="470"/>
      <c r="FU11" s="470"/>
      <c r="FV11" s="470"/>
      <c r="FW11" s="470"/>
      <c r="FX11" s="470"/>
      <c r="FY11" s="470"/>
      <c r="FZ11" s="470"/>
      <c r="GA11" s="470"/>
      <c r="GB11" s="470"/>
      <c r="GC11" s="470"/>
      <c r="GD11" s="470"/>
      <c r="GE11" s="470"/>
      <c r="GF11" s="470"/>
      <c r="GG11" s="470"/>
      <c r="GH11" s="470"/>
      <c r="GI11" s="470"/>
      <c r="GJ11" s="470"/>
      <c r="GK11" s="470"/>
      <c r="GL11" s="470"/>
      <c r="GM11" s="470"/>
      <c r="GN11" s="470"/>
      <c r="GO11" s="470"/>
      <c r="GP11" s="470"/>
      <c r="GQ11" s="470"/>
      <c r="GR11" s="470"/>
      <c r="GS11" s="470"/>
      <c r="GT11" s="470"/>
      <c r="GU11" s="470"/>
      <c r="GV11" s="470"/>
      <c r="GW11" s="470"/>
      <c r="GX11" s="470"/>
      <c r="GY11" s="470"/>
      <c r="GZ11" s="470"/>
      <c r="HA11" s="470"/>
      <c r="HB11" s="470"/>
      <c r="HC11" s="470"/>
      <c r="HD11" s="470"/>
      <c r="HE11" s="470"/>
      <c r="HF11" s="470"/>
      <c r="HG11" s="470"/>
      <c r="HH11" s="470"/>
      <c r="HI11" s="470"/>
      <c r="HJ11" s="470"/>
      <c r="HK11" s="470"/>
      <c r="HL11" s="470"/>
      <c r="HM11" s="470"/>
      <c r="HN11" s="470"/>
      <c r="HO11" s="470"/>
      <c r="HP11" s="470"/>
      <c r="HQ11" s="470"/>
      <c r="HR11" s="470"/>
      <c r="HS11" s="470"/>
      <c r="HT11" s="470"/>
      <c r="HU11" s="470"/>
      <c r="HV11" s="470"/>
      <c r="HW11" s="470"/>
      <c r="HX11" s="470"/>
      <c r="HY11" s="470"/>
      <c r="HZ11" s="470"/>
      <c r="IA11" s="470"/>
      <c r="IB11" s="470"/>
      <c r="IC11" s="470"/>
      <c r="ID11" s="470"/>
      <c r="IE11" s="470"/>
      <c r="IF11" s="470"/>
      <c r="IG11" s="470"/>
      <c r="IH11" s="470"/>
      <c r="II11" s="470"/>
      <c r="IJ11" s="470"/>
      <c r="IK11" s="470"/>
      <c r="IL11" s="470"/>
      <c r="IM11" s="470"/>
      <c r="IN11" s="470"/>
      <c r="IO11" s="470"/>
      <c r="IP11" s="470"/>
      <c r="IQ11" s="470"/>
      <c r="IR11" s="470"/>
      <c r="IS11" s="470"/>
      <c r="IT11" s="470"/>
      <c r="IU11" s="470"/>
      <c r="IV11" s="470"/>
      <c r="IW11" s="470"/>
      <c r="IX11" s="470"/>
      <c r="IY11" s="470"/>
      <c r="IZ11" s="470"/>
      <c r="JA11" s="470"/>
      <c r="JB11" s="470"/>
      <c r="JC11" s="470"/>
      <c r="JD11" s="470"/>
      <c r="JE11" s="470"/>
      <c r="JF11" s="470"/>
      <c r="JG11" s="470"/>
      <c r="JH11" s="470"/>
      <c r="JI11" s="470"/>
      <c r="JJ11" s="470"/>
      <c r="JK11" s="470"/>
      <c r="JL11" s="470"/>
      <c r="JM11" s="470"/>
      <c r="JN11" s="470"/>
      <c r="JO11" s="470"/>
      <c r="JP11" s="470"/>
      <c r="JQ11" s="470"/>
      <c r="JR11" s="470"/>
      <c r="JS11" s="470"/>
      <c r="JT11" s="470"/>
      <c r="JU11" s="470"/>
      <c r="JV11" s="470"/>
      <c r="JW11" s="470"/>
      <c r="JX11" s="470"/>
      <c r="JY11" s="470"/>
      <c r="JZ11" s="470"/>
      <c r="KA11" s="470"/>
      <c r="KB11" s="470"/>
      <c r="KC11" s="470"/>
      <c r="KD11" s="470"/>
      <c r="KE11" s="470"/>
      <c r="KF11" s="470"/>
      <c r="KG11" s="470"/>
      <c r="KH11" s="470"/>
      <c r="KI11" s="470"/>
      <c r="KJ11" s="470"/>
      <c r="KK11" s="470"/>
      <c r="KL11" s="470"/>
      <c r="KM11" s="470"/>
      <c r="KN11" s="470"/>
      <c r="KO11" s="470"/>
      <c r="KP11" s="470"/>
      <c r="KQ11" s="470"/>
      <c r="KR11" s="470"/>
      <c r="KS11" s="470"/>
      <c r="KT11" s="470"/>
      <c r="KU11" s="470"/>
      <c r="KV11" s="470"/>
      <c r="KW11" s="470"/>
      <c r="KX11" s="470"/>
      <c r="KY11" s="470"/>
      <c r="KZ11" s="470"/>
      <c r="LA11" s="470"/>
      <c r="LB11" s="470"/>
      <c r="LC11" s="470"/>
      <c r="LD11" s="470"/>
      <c r="LE11" s="470"/>
      <c r="LF11" s="470"/>
      <c r="LG11" s="470"/>
      <c r="LH11" s="470"/>
      <c r="LI11" s="470"/>
      <c r="LJ11" s="470"/>
      <c r="LK11" s="470"/>
      <c r="LL11" s="470"/>
      <c r="LM11" s="470"/>
      <c r="LN11" s="470"/>
      <c r="LO11" s="470"/>
      <c r="LP11" s="470"/>
      <c r="LQ11" s="470"/>
      <c r="LR11" s="470"/>
      <c r="LS11" s="470"/>
      <c r="LT11" s="470"/>
      <c r="LU11" s="470"/>
      <c r="LV11" s="470"/>
      <c r="LW11" s="470"/>
      <c r="LX11" s="470"/>
      <c r="LY11" s="470"/>
      <c r="LZ11" s="470"/>
      <c r="MA11" s="470"/>
      <c r="MB11" s="470"/>
      <c r="MC11" s="470"/>
      <c r="MD11" s="470"/>
      <c r="ME11" s="470"/>
      <c r="MF11" s="470"/>
      <c r="MG11" s="470"/>
      <c r="MH11" s="470"/>
      <c r="MI11" s="470"/>
      <c r="MJ11" s="470"/>
      <c r="MK11" s="470"/>
      <c r="ML11" s="470"/>
      <c r="MM11" s="470"/>
      <c r="MN11" s="470"/>
      <c r="MO11" s="470"/>
      <c r="MP11" s="470"/>
      <c r="MQ11" s="470"/>
      <c r="MR11" s="470"/>
      <c r="MS11" s="470"/>
      <c r="MT11" s="470"/>
      <c r="MU11" s="470"/>
      <c r="MV11" s="470"/>
      <c r="MW11" s="470"/>
      <c r="MX11" s="470"/>
      <c r="MY11" s="470"/>
      <c r="MZ11" s="470"/>
      <c r="NA11" s="470"/>
      <c r="NB11" s="470"/>
      <c r="NC11" s="470"/>
      <c r="ND11" s="470"/>
      <c r="NE11" s="470"/>
      <c r="NF11" s="470"/>
      <c r="NG11" s="470"/>
      <c r="NH11" s="470"/>
      <c r="NI11" s="470"/>
      <c r="NJ11" s="470"/>
      <c r="NK11" s="470"/>
      <c r="NL11" s="470"/>
      <c r="NM11" s="470"/>
      <c r="NN11" s="470"/>
      <c r="NO11" s="470"/>
      <c r="NP11" s="470"/>
      <c r="NQ11" s="470"/>
      <c r="NR11" s="470"/>
      <c r="NS11" s="470"/>
      <c r="NT11" s="470"/>
      <c r="NU11" s="470"/>
      <c r="NV11" s="470"/>
      <c r="NW11" s="470"/>
      <c r="NX11" s="470"/>
      <c r="NY11" s="470"/>
      <c r="NZ11" s="470"/>
      <c r="OA11" s="470"/>
      <c r="OB11" s="470"/>
      <c r="OC11" s="470"/>
      <c r="OD11" s="470"/>
      <c r="OE11" s="470"/>
      <c r="OF11" s="470"/>
      <c r="OG11" s="470"/>
      <c r="OH11" s="470"/>
      <c r="OI11" s="470"/>
      <c r="OJ11" s="470"/>
      <c r="OK11" s="470"/>
      <c r="OL11" s="470"/>
      <c r="OM11" s="470"/>
      <c r="ON11" s="470"/>
      <c r="OO11" s="470"/>
      <c r="OP11" s="470"/>
      <c r="OQ11" s="470"/>
      <c r="OR11" s="470"/>
      <c r="OS11" s="470"/>
      <c r="OT11" s="470"/>
      <c r="OU11" s="470"/>
      <c r="OV11" s="470"/>
      <c r="OW11" s="470"/>
      <c r="OX11" s="470"/>
      <c r="OY11" s="470"/>
      <c r="OZ11" s="470"/>
      <c r="PA11" s="470"/>
      <c r="PB11" s="470"/>
      <c r="PC11" s="470"/>
      <c r="PD11" s="470"/>
      <c r="PE11" s="470"/>
      <c r="PF11" s="470"/>
      <c r="PG11" s="470"/>
      <c r="PH11" s="470"/>
      <c r="PI11" s="470"/>
      <c r="PJ11" s="470"/>
      <c r="PK11" s="470"/>
      <c r="PL11" s="470"/>
      <c r="PM11" s="470"/>
      <c r="PN11" s="470"/>
      <c r="PO11" s="470"/>
      <c r="PP11" s="470"/>
      <c r="PQ11" s="470"/>
      <c r="PR11" s="470"/>
      <c r="PS11" s="470"/>
      <c r="PT11" s="470"/>
      <c r="PU11" s="470"/>
      <c r="PV11" s="470"/>
      <c r="PW11" s="470"/>
      <c r="PX11" s="470"/>
      <c r="PY11" s="470"/>
      <c r="PZ11" s="470"/>
      <c r="QA11" s="470"/>
      <c r="QB11" s="470"/>
      <c r="QC11" s="470"/>
      <c r="QD11" s="470"/>
      <c r="QE11" s="470"/>
      <c r="QF11" s="470"/>
      <c r="QG11" s="470"/>
      <c r="QH11" s="470"/>
      <c r="QI11" s="470"/>
      <c r="QJ11" s="470"/>
      <c r="QK11" s="470"/>
      <c r="QL11" s="470"/>
      <c r="QM11" s="470"/>
      <c r="QN11" s="470"/>
      <c r="QO11" s="470"/>
      <c r="QP11" s="470"/>
      <c r="QQ11" s="470"/>
      <c r="QR11" s="470"/>
      <c r="QS11" s="470"/>
      <c r="QT11" s="470"/>
      <c r="QU11" s="470"/>
      <c r="QV11" s="470"/>
      <c r="QW11" s="470"/>
      <c r="QX11" s="470"/>
      <c r="QY11" s="470"/>
      <c r="QZ11" s="470"/>
      <c r="RA11" s="470"/>
      <c r="RB11" s="470"/>
      <c r="RC11" s="470"/>
      <c r="RD11" s="470"/>
      <c r="RE11" s="470"/>
      <c r="RF11" s="470"/>
      <c r="RG11" s="470"/>
      <c r="RH11" s="470"/>
      <c r="RI11" s="470"/>
      <c r="RJ11" s="470"/>
      <c r="RK11" s="470"/>
      <c r="RL11" s="470"/>
      <c r="RM11" s="470"/>
      <c r="RN11" s="470"/>
      <c r="RO11" s="470"/>
      <c r="RP11" s="470"/>
      <c r="RQ11" s="470"/>
      <c r="RR11" s="470"/>
      <c r="RS11" s="470"/>
      <c r="RT11" s="470"/>
      <c r="RU11" s="470"/>
      <c r="RV11" s="470"/>
      <c r="RW11" s="470"/>
      <c r="RX11" s="470"/>
      <c r="RY11" s="470"/>
      <c r="RZ11" s="470"/>
      <c r="SA11" s="470"/>
      <c r="SB11" s="470"/>
      <c r="SC11" s="470"/>
      <c r="SD11" s="470"/>
      <c r="SE11" s="470"/>
      <c r="SF11" s="470"/>
      <c r="SG11" s="470"/>
      <c r="SH11" s="470"/>
      <c r="SI11" s="470"/>
      <c r="SJ11" s="470"/>
      <c r="SK11" s="470"/>
      <c r="SL11" s="470"/>
      <c r="SM11" s="470"/>
      <c r="SN11" s="470"/>
      <c r="SO11" s="470"/>
      <c r="SP11" s="470"/>
      <c r="SQ11" s="470"/>
      <c r="SR11" s="470"/>
      <c r="SS11" s="470"/>
      <c r="ST11" s="470"/>
      <c r="SU11" s="470"/>
      <c r="SV11" s="470"/>
      <c r="SW11" s="470"/>
      <c r="SX11" s="470"/>
      <c r="SY11" s="470"/>
      <c r="SZ11" s="470"/>
      <c r="TA11" s="470"/>
      <c r="TB11" s="470"/>
      <c r="TC11" s="470"/>
      <c r="TD11" s="470"/>
      <c r="TE11" s="470"/>
      <c r="TF11" s="470"/>
      <c r="TG11" s="470"/>
      <c r="TH11" s="470"/>
      <c r="TI11" s="470"/>
      <c r="TJ11" s="470"/>
      <c r="TK11" s="470"/>
      <c r="TL11" s="470"/>
      <c r="TM11" s="470"/>
      <c r="TN11" s="470"/>
      <c r="TO11" s="470"/>
      <c r="TP11" s="470"/>
      <c r="TQ11" s="470"/>
      <c r="TR11" s="470"/>
      <c r="TS11" s="470"/>
      <c r="TT11" s="470"/>
      <c r="TU11" s="470"/>
      <c r="TV11" s="470"/>
      <c r="TW11" s="470"/>
      <c r="TX11" s="470"/>
      <c r="TY11" s="470"/>
      <c r="TZ11" s="470"/>
      <c r="UA11" s="470"/>
      <c r="UB11" s="470"/>
      <c r="UC11" s="470"/>
      <c r="UD11" s="470"/>
      <c r="UE11" s="470"/>
      <c r="UF11" s="470"/>
      <c r="UG11" s="470"/>
      <c r="UH11" s="470"/>
      <c r="UI11" s="470"/>
      <c r="UJ11" s="470"/>
      <c r="UK11" s="470"/>
      <c r="UL11" s="470"/>
      <c r="UM11" s="470"/>
      <c r="UN11" s="470"/>
      <c r="UO11" s="470"/>
      <c r="UP11" s="470"/>
      <c r="UQ11" s="470"/>
      <c r="UR11" s="470"/>
      <c r="US11" s="470"/>
      <c r="UT11" s="470"/>
      <c r="UU11" s="470"/>
      <c r="UV11" s="470"/>
      <c r="UW11" s="470"/>
      <c r="UX11" s="470"/>
      <c r="UY11" s="470"/>
      <c r="UZ11" s="470"/>
      <c r="VA11" s="470"/>
      <c r="VB11" s="470"/>
      <c r="VC11" s="470"/>
      <c r="VD11" s="470"/>
      <c r="VE11" s="470"/>
      <c r="VF11" s="470"/>
      <c r="VG11" s="470"/>
      <c r="VH11" s="470"/>
      <c r="VI11" s="470"/>
      <c r="VJ11" s="470"/>
      <c r="VK11" s="470"/>
      <c r="VL11" s="470"/>
      <c r="VM11" s="470"/>
      <c r="VN11" s="470"/>
      <c r="VO11" s="470"/>
      <c r="VP11" s="470"/>
      <c r="VQ11" s="470"/>
      <c r="VR11" s="470"/>
      <c r="VS11" s="470"/>
      <c r="VT11" s="470"/>
      <c r="VU11" s="470"/>
      <c r="VV11" s="470"/>
      <c r="VW11" s="470"/>
      <c r="VX11" s="470"/>
      <c r="VY11" s="470"/>
      <c r="VZ11" s="470"/>
      <c r="WA11" s="470"/>
      <c r="WB11" s="470"/>
      <c r="WC11" s="470"/>
      <c r="WD11" s="470"/>
      <c r="WE11" s="470"/>
      <c r="WF11" s="470"/>
      <c r="WG11" s="470"/>
      <c r="WH11" s="470"/>
      <c r="WI11" s="470"/>
      <c r="WJ11" s="470"/>
      <c r="WK11" s="470"/>
      <c r="WL11" s="470"/>
      <c r="WM11" s="470"/>
      <c r="WN11" s="470"/>
      <c r="WO11" s="470"/>
      <c r="WP11" s="470"/>
      <c r="WQ11" s="470"/>
      <c r="WR11" s="470"/>
      <c r="WS11" s="470"/>
      <c r="WT11" s="470"/>
      <c r="WU11" s="470"/>
      <c r="WV11" s="470"/>
      <c r="WW11" s="470"/>
      <c r="WX11" s="470"/>
      <c r="WY11" s="470"/>
      <c r="WZ11" s="470"/>
      <c r="XA11" s="470"/>
      <c r="XB11" s="470"/>
      <c r="XC11" s="470"/>
      <c r="XD11" s="470"/>
      <c r="XE11" s="470"/>
      <c r="XF11" s="470"/>
      <c r="XG11" s="470"/>
      <c r="XH11" s="470"/>
      <c r="XI11" s="470"/>
      <c r="XJ11" s="470"/>
      <c r="XK11" s="470"/>
      <c r="XL11" s="470"/>
      <c r="XM11" s="470"/>
      <c r="XN11" s="470"/>
      <c r="XO11" s="470"/>
      <c r="XP11" s="470"/>
    </row>
    <row r="12" spans="1:641" s="110" customFormat="1" x14ac:dyDescent="0.25">
      <c r="A12" s="456" t="s">
        <v>1459</v>
      </c>
      <c r="B12" s="158" t="s">
        <v>1496</v>
      </c>
      <c r="C12" s="158" t="s">
        <v>1497</v>
      </c>
      <c r="D12" s="437" t="s">
        <v>1160</v>
      </c>
      <c r="E12" s="449" t="s">
        <v>1498</v>
      </c>
      <c r="F12" s="155">
        <v>51</v>
      </c>
      <c r="G12" s="155" t="s">
        <v>54</v>
      </c>
      <c r="H12" s="155" t="s">
        <v>35</v>
      </c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473"/>
      <c r="AO12" s="470"/>
      <c r="AP12" s="470"/>
      <c r="AQ12" s="470"/>
      <c r="AR12" s="470"/>
      <c r="AS12" s="470"/>
      <c r="AT12" s="470"/>
      <c r="AU12" s="470"/>
      <c r="AV12" s="470"/>
      <c r="AW12" s="470"/>
      <c r="AX12" s="470"/>
      <c r="AY12" s="470"/>
      <c r="AZ12" s="470"/>
      <c r="BA12" s="470"/>
      <c r="BB12" s="470"/>
      <c r="BC12" s="470"/>
      <c r="BD12" s="470"/>
      <c r="BE12" s="470"/>
      <c r="BF12" s="470"/>
      <c r="BG12" s="470"/>
      <c r="BH12" s="470"/>
      <c r="BI12" s="470"/>
      <c r="BJ12" s="470"/>
      <c r="BK12" s="470"/>
      <c r="BL12" s="470"/>
      <c r="BM12" s="470"/>
      <c r="BN12" s="470"/>
      <c r="BO12" s="470"/>
      <c r="BP12" s="470"/>
      <c r="BQ12" s="470"/>
      <c r="BR12" s="470"/>
      <c r="BS12" s="470"/>
      <c r="BT12" s="470"/>
      <c r="BU12" s="470"/>
      <c r="BV12" s="470"/>
      <c r="BW12" s="470"/>
      <c r="BX12" s="470"/>
      <c r="BY12" s="470"/>
      <c r="BZ12" s="470"/>
      <c r="CA12" s="470"/>
      <c r="CB12" s="470"/>
      <c r="CC12" s="470"/>
      <c r="CD12" s="470"/>
      <c r="CE12" s="470"/>
      <c r="CF12" s="470"/>
      <c r="CG12" s="470"/>
      <c r="CH12" s="470"/>
      <c r="CI12" s="470"/>
      <c r="CJ12" s="470"/>
      <c r="CK12" s="470"/>
      <c r="CL12" s="470"/>
      <c r="CM12" s="470"/>
      <c r="CN12" s="470"/>
      <c r="CO12" s="470"/>
      <c r="CP12" s="470"/>
      <c r="CQ12" s="470"/>
      <c r="CR12" s="470"/>
      <c r="CS12" s="470"/>
      <c r="CT12" s="470"/>
      <c r="CU12" s="470"/>
      <c r="CV12" s="470"/>
      <c r="CW12" s="470"/>
      <c r="CX12" s="470"/>
      <c r="CY12" s="470"/>
      <c r="CZ12" s="470"/>
      <c r="DA12" s="470"/>
      <c r="DB12" s="470"/>
      <c r="DC12" s="470"/>
      <c r="DD12" s="470"/>
      <c r="DE12" s="470"/>
      <c r="DF12" s="470"/>
      <c r="DG12" s="470"/>
      <c r="DH12" s="470"/>
      <c r="DI12" s="470"/>
      <c r="DJ12" s="470"/>
      <c r="DK12" s="470"/>
      <c r="DL12" s="470"/>
      <c r="DM12" s="470"/>
      <c r="DN12" s="470"/>
      <c r="DO12" s="470"/>
      <c r="DP12" s="470"/>
      <c r="DQ12" s="470"/>
      <c r="DR12" s="470"/>
      <c r="DS12" s="470"/>
      <c r="DT12" s="470"/>
      <c r="DU12" s="470"/>
      <c r="DV12" s="470"/>
      <c r="DW12" s="470"/>
      <c r="DX12" s="470"/>
      <c r="DY12" s="470"/>
      <c r="DZ12" s="470"/>
      <c r="EA12" s="470"/>
      <c r="EB12" s="470"/>
      <c r="EC12" s="470"/>
      <c r="ED12" s="470"/>
      <c r="EE12" s="470"/>
      <c r="EF12" s="470"/>
      <c r="EG12" s="470"/>
      <c r="EH12" s="470"/>
      <c r="EI12" s="470"/>
      <c r="EJ12" s="470"/>
      <c r="EK12" s="470"/>
      <c r="EL12" s="470"/>
      <c r="EM12" s="470"/>
      <c r="EN12" s="470"/>
      <c r="EO12" s="470"/>
      <c r="EP12" s="470"/>
      <c r="EQ12" s="470"/>
      <c r="ER12" s="470"/>
      <c r="ES12" s="470"/>
      <c r="ET12" s="470"/>
      <c r="EU12" s="470"/>
      <c r="EV12" s="470"/>
      <c r="EW12" s="470"/>
      <c r="EX12" s="470"/>
      <c r="EY12" s="470"/>
      <c r="EZ12" s="470"/>
      <c r="FA12" s="470"/>
      <c r="FB12" s="470"/>
      <c r="FC12" s="470"/>
      <c r="FD12" s="470"/>
      <c r="FE12" s="470"/>
      <c r="FF12" s="470"/>
      <c r="FG12" s="470"/>
      <c r="FH12" s="470"/>
      <c r="FI12" s="470"/>
      <c r="FJ12" s="470"/>
      <c r="FK12" s="470"/>
      <c r="FL12" s="470"/>
      <c r="FM12" s="470"/>
      <c r="FN12" s="470"/>
      <c r="FO12" s="470"/>
      <c r="FP12" s="470"/>
      <c r="FQ12" s="470"/>
      <c r="FR12" s="470"/>
      <c r="FS12" s="470"/>
      <c r="FT12" s="470"/>
      <c r="FU12" s="470"/>
      <c r="FV12" s="470"/>
      <c r="FW12" s="470"/>
      <c r="FX12" s="470"/>
      <c r="FY12" s="470"/>
      <c r="FZ12" s="470"/>
      <c r="GA12" s="470"/>
      <c r="GB12" s="470"/>
      <c r="GC12" s="470"/>
      <c r="GD12" s="470"/>
      <c r="GE12" s="470"/>
      <c r="GF12" s="470"/>
      <c r="GG12" s="470"/>
      <c r="GH12" s="470"/>
      <c r="GI12" s="470"/>
      <c r="GJ12" s="470"/>
      <c r="GK12" s="470"/>
      <c r="GL12" s="470"/>
      <c r="GM12" s="470"/>
      <c r="GN12" s="470"/>
      <c r="GO12" s="470"/>
      <c r="GP12" s="470"/>
      <c r="GQ12" s="470"/>
      <c r="GR12" s="470"/>
      <c r="GS12" s="470"/>
      <c r="GT12" s="470"/>
      <c r="GU12" s="470"/>
      <c r="GV12" s="470"/>
      <c r="GW12" s="470"/>
      <c r="GX12" s="470"/>
      <c r="GY12" s="470"/>
      <c r="GZ12" s="470"/>
      <c r="HA12" s="470"/>
      <c r="HB12" s="470"/>
      <c r="HC12" s="470"/>
      <c r="HD12" s="470"/>
      <c r="HE12" s="470"/>
      <c r="HF12" s="470"/>
      <c r="HG12" s="470"/>
      <c r="HH12" s="470"/>
      <c r="HI12" s="470"/>
      <c r="HJ12" s="470"/>
      <c r="HK12" s="470"/>
      <c r="HL12" s="470"/>
      <c r="HM12" s="470"/>
      <c r="HN12" s="470"/>
      <c r="HO12" s="470"/>
      <c r="HP12" s="470"/>
      <c r="HQ12" s="470"/>
      <c r="HR12" s="470"/>
      <c r="HS12" s="470"/>
      <c r="HT12" s="470"/>
      <c r="HU12" s="470"/>
      <c r="HV12" s="470"/>
      <c r="HW12" s="470"/>
      <c r="HX12" s="470"/>
      <c r="HY12" s="470"/>
      <c r="HZ12" s="470"/>
      <c r="IA12" s="470"/>
      <c r="IB12" s="470"/>
      <c r="IC12" s="470"/>
      <c r="ID12" s="470"/>
      <c r="IE12" s="470"/>
      <c r="IF12" s="470"/>
      <c r="IG12" s="470"/>
      <c r="IH12" s="470"/>
      <c r="II12" s="470"/>
      <c r="IJ12" s="470"/>
      <c r="IK12" s="470"/>
      <c r="IL12" s="470"/>
      <c r="IM12" s="470"/>
      <c r="IN12" s="470"/>
      <c r="IO12" s="470"/>
      <c r="IP12" s="470"/>
      <c r="IQ12" s="470"/>
      <c r="IR12" s="470"/>
      <c r="IS12" s="470"/>
      <c r="IT12" s="470"/>
      <c r="IU12" s="470"/>
      <c r="IV12" s="470"/>
      <c r="IW12" s="470"/>
      <c r="IX12" s="470"/>
      <c r="IY12" s="470"/>
      <c r="IZ12" s="470"/>
      <c r="JA12" s="470"/>
      <c r="JB12" s="470"/>
      <c r="JC12" s="470"/>
      <c r="JD12" s="470"/>
      <c r="JE12" s="470"/>
      <c r="JF12" s="470"/>
      <c r="JG12" s="470"/>
      <c r="JH12" s="470"/>
      <c r="JI12" s="470"/>
      <c r="JJ12" s="470"/>
      <c r="JK12" s="470"/>
      <c r="JL12" s="470"/>
      <c r="JM12" s="470"/>
      <c r="JN12" s="470"/>
      <c r="JO12" s="470"/>
      <c r="JP12" s="470"/>
      <c r="JQ12" s="470"/>
      <c r="JR12" s="470"/>
      <c r="JS12" s="470"/>
      <c r="JT12" s="470"/>
      <c r="JU12" s="470"/>
      <c r="JV12" s="470"/>
      <c r="JW12" s="470"/>
      <c r="JX12" s="470"/>
      <c r="JY12" s="470"/>
      <c r="JZ12" s="470"/>
      <c r="KA12" s="470"/>
      <c r="KB12" s="470"/>
      <c r="KC12" s="470"/>
      <c r="KD12" s="470"/>
      <c r="KE12" s="470"/>
      <c r="KF12" s="470"/>
      <c r="KG12" s="470"/>
      <c r="KH12" s="470"/>
      <c r="KI12" s="470"/>
      <c r="KJ12" s="470"/>
      <c r="KK12" s="470"/>
      <c r="KL12" s="470"/>
      <c r="KM12" s="470"/>
      <c r="KN12" s="470"/>
      <c r="KO12" s="470"/>
      <c r="KP12" s="470"/>
      <c r="KQ12" s="470"/>
      <c r="KR12" s="470"/>
      <c r="KS12" s="470"/>
      <c r="KT12" s="470"/>
      <c r="KU12" s="470"/>
      <c r="KV12" s="470"/>
      <c r="KW12" s="470"/>
      <c r="KX12" s="470"/>
      <c r="KY12" s="470"/>
      <c r="KZ12" s="470"/>
      <c r="LA12" s="470"/>
      <c r="LB12" s="470"/>
      <c r="LC12" s="470"/>
      <c r="LD12" s="470"/>
      <c r="LE12" s="470"/>
      <c r="LF12" s="470"/>
      <c r="LG12" s="470"/>
      <c r="LH12" s="470"/>
      <c r="LI12" s="470"/>
      <c r="LJ12" s="470"/>
      <c r="LK12" s="470"/>
      <c r="LL12" s="470"/>
      <c r="LM12" s="470"/>
      <c r="LN12" s="470"/>
      <c r="LO12" s="470"/>
      <c r="LP12" s="470"/>
      <c r="LQ12" s="470"/>
      <c r="LR12" s="470"/>
      <c r="LS12" s="470"/>
      <c r="LT12" s="470"/>
      <c r="LU12" s="470"/>
      <c r="LV12" s="470"/>
      <c r="LW12" s="470"/>
      <c r="LX12" s="470"/>
      <c r="LY12" s="470"/>
      <c r="LZ12" s="470"/>
      <c r="MA12" s="470"/>
      <c r="MB12" s="470"/>
      <c r="MC12" s="470"/>
      <c r="MD12" s="470"/>
      <c r="ME12" s="470"/>
      <c r="MF12" s="470"/>
      <c r="MG12" s="470"/>
      <c r="MH12" s="470"/>
      <c r="MI12" s="470"/>
      <c r="MJ12" s="470"/>
      <c r="MK12" s="470"/>
      <c r="ML12" s="470"/>
      <c r="MM12" s="470"/>
      <c r="MN12" s="470"/>
      <c r="MO12" s="470"/>
      <c r="MP12" s="470"/>
      <c r="MQ12" s="470"/>
      <c r="MR12" s="470"/>
      <c r="MS12" s="470"/>
      <c r="MT12" s="470"/>
      <c r="MU12" s="470"/>
      <c r="MV12" s="470"/>
      <c r="MW12" s="470"/>
      <c r="MX12" s="470"/>
      <c r="MY12" s="470"/>
      <c r="MZ12" s="470"/>
      <c r="NA12" s="470"/>
      <c r="NB12" s="470"/>
      <c r="NC12" s="470"/>
      <c r="ND12" s="470"/>
      <c r="NE12" s="470"/>
      <c r="NF12" s="470"/>
      <c r="NG12" s="470"/>
      <c r="NH12" s="470"/>
      <c r="NI12" s="470"/>
      <c r="NJ12" s="470"/>
      <c r="NK12" s="470"/>
      <c r="NL12" s="470"/>
      <c r="NM12" s="470"/>
      <c r="NN12" s="470"/>
      <c r="NO12" s="470"/>
      <c r="NP12" s="470"/>
      <c r="NQ12" s="470"/>
      <c r="NR12" s="470"/>
      <c r="NS12" s="470"/>
      <c r="NT12" s="470"/>
      <c r="NU12" s="470"/>
      <c r="NV12" s="470"/>
      <c r="NW12" s="470"/>
      <c r="NX12" s="470"/>
      <c r="NY12" s="470"/>
      <c r="NZ12" s="470"/>
      <c r="OA12" s="470"/>
      <c r="OB12" s="470"/>
      <c r="OC12" s="470"/>
      <c r="OD12" s="470"/>
      <c r="OE12" s="470"/>
      <c r="OF12" s="470"/>
      <c r="OG12" s="470"/>
      <c r="OH12" s="470"/>
      <c r="OI12" s="470"/>
      <c r="OJ12" s="470"/>
      <c r="OK12" s="470"/>
      <c r="OL12" s="470"/>
      <c r="OM12" s="470"/>
      <c r="ON12" s="470"/>
      <c r="OO12" s="470"/>
      <c r="OP12" s="470"/>
      <c r="OQ12" s="470"/>
      <c r="OR12" s="470"/>
      <c r="OS12" s="470"/>
      <c r="OT12" s="470"/>
      <c r="OU12" s="470"/>
      <c r="OV12" s="470"/>
      <c r="OW12" s="470"/>
      <c r="OX12" s="470"/>
      <c r="OY12" s="470"/>
      <c r="OZ12" s="470"/>
      <c r="PA12" s="470"/>
      <c r="PB12" s="470"/>
      <c r="PC12" s="470"/>
      <c r="PD12" s="470"/>
      <c r="PE12" s="470"/>
      <c r="PF12" s="470"/>
      <c r="PG12" s="470"/>
      <c r="PH12" s="470"/>
      <c r="PI12" s="470"/>
      <c r="PJ12" s="470"/>
      <c r="PK12" s="470"/>
      <c r="PL12" s="470"/>
      <c r="PM12" s="470"/>
      <c r="PN12" s="470"/>
      <c r="PO12" s="470"/>
      <c r="PP12" s="470"/>
      <c r="PQ12" s="470"/>
      <c r="PR12" s="470"/>
      <c r="PS12" s="470"/>
      <c r="PT12" s="470"/>
      <c r="PU12" s="470"/>
      <c r="PV12" s="470"/>
      <c r="PW12" s="470"/>
      <c r="PX12" s="470"/>
      <c r="PY12" s="470"/>
      <c r="PZ12" s="470"/>
      <c r="QA12" s="470"/>
      <c r="QB12" s="470"/>
      <c r="QC12" s="470"/>
      <c r="QD12" s="470"/>
      <c r="QE12" s="470"/>
      <c r="QF12" s="470"/>
      <c r="QG12" s="470"/>
      <c r="QH12" s="470"/>
      <c r="QI12" s="470"/>
      <c r="QJ12" s="470"/>
      <c r="QK12" s="470"/>
      <c r="QL12" s="470"/>
      <c r="QM12" s="470"/>
      <c r="QN12" s="470"/>
      <c r="QO12" s="470"/>
      <c r="QP12" s="470"/>
      <c r="QQ12" s="470"/>
      <c r="QR12" s="470"/>
      <c r="QS12" s="470"/>
      <c r="QT12" s="470"/>
      <c r="QU12" s="470"/>
      <c r="QV12" s="470"/>
      <c r="QW12" s="470"/>
      <c r="QX12" s="470"/>
      <c r="QY12" s="470"/>
      <c r="QZ12" s="470"/>
      <c r="RA12" s="470"/>
      <c r="RB12" s="470"/>
      <c r="RC12" s="470"/>
      <c r="RD12" s="470"/>
      <c r="RE12" s="470"/>
      <c r="RF12" s="470"/>
      <c r="RG12" s="470"/>
      <c r="RH12" s="470"/>
      <c r="RI12" s="470"/>
      <c r="RJ12" s="470"/>
      <c r="RK12" s="470"/>
      <c r="RL12" s="470"/>
      <c r="RM12" s="470"/>
      <c r="RN12" s="470"/>
      <c r="RO12" s="470"/>
      <c r="RP12" s="470"/>
      <c r="RQ12" s="470"/>
      <c r="RR12" s="470"/>
      <c r="RS12" s="470"/>
      <c r="RT12" s="470"/>
      <c r="RU12" s="470"/>
      <c r="RV12" s="470"/>
      <c r="RW12" s="470"/>
      <c r="RX12" s="470"/>
      <c r="RY12" s="470"/>
      <c r="RZ12" s="470"/>
      <c r="SA12" s="470"/>
      <c r="SB12" s="470"/>
      <c r="SC12" s="470"/>
      <c r="SD12" s="470"/>
      <c r="SE12" s="470"/>
      <c r="SF12" s="470"/>
      <c r="SG12" s="470"/>
      <c r="SH12" s="470"/>
      <c r="SI12" s="470"/>
      <c r="SJ12" s="470"/>
      <c r="SK12" s="470"/>
      <c r="SL12" s="470"/>
      <c r="SM12" s="470"/>
      <c r="SN12" s="470"/>
      <c r="SO12" s="470"/>
      <c r="SP12" s="470"/>
      <c r="SQ12" s="470"/>
      <c r="SR12" s="470"/>
      <c r="SS12" s="470"/>
      <c r="ST12" s="470"/>
      <c r="SU12" s="470"/>
      <c r="SV12" s="470"/>
      <c r="SW12" s="470"/>
      <c r="SX12" s="470"/>
      <c r="SY12" s="470"/>
      <c r="SZ12" s="470"/>
      <c r="TA12" s="470"/>
      <c r="TB12" s="470"/>
      <c r="TC12" s="470"/>
      <c r="TD12" s="470"/>
      <c r="TE12" s="470"/>
      <c r="TF12" s="470"/>
      <c r="TG12" s="470"/>
      <c r="TH12" s="470"/>
      <c r="TI12" s="470"/>
      <c r="TJ12" s="470"/>
      <c r="TK12" s="470"/>
      <c r="TL12" s="470"/>
      <c r="TM12" s="470"/>
      <c r="TN12" s="470"/>
      <c r="TO12" s="470"/>
      <c r="TP12" s="470"/>
      <c r="TQ12" s="470"/>
      <c r="TR12" s="470"/>
      <c r="TS12" s="470"/>
      <c r="TT12" s="470"/>
      <c r="TU12" s="470"/>
      <c r="TV12" s="470"/>
      <c r="TW12" s="470"/>
      <c r="TX12" s="470"/>
      <c r="TY12" s="470"/>
      <c r="TZ12" s="470"/>
      <c r="UA12" s="470"/>
      <c r="UB12" s="470"/>
      <c r="UC12" s="470"/>
      <c r="UD12" s="470"/>
      <c r="UE12" s="470"/>
      <c r="UF12" s="470"/>
      <c r="UG12" s="470"/>
      <c r="UH12" s="470"/>
      <c r="UI12" s="470"/>
      <c r="UJ12" s="470"/>
      <c r="UK12" s="470"/>
      <c r="UL12" s="470"/>
      <c r="UM12" s="470"/>
      <c r="UN12" s="470"/>
      <c r="UO12" s="470"/>
      <c r="UP12" s="470"/>
      <c r="UQ12" s="470"/>
      <c r="UR12" s="470"/>
      <c r="US12" s="470"/>
      <c r="UT12" s="470"/>
      <c r="UU12" s="470"/>
      <c r="UV12" s="470"/>
      <c r="UW12" s="470"/>
      <c r="UX12" s="470"/>
      <c r="UY12" s="470"/>
      <c r="UZ12" s="470"/>
      <c r="VA12" s="470"/>
      <c r="VB12" s="470"/>
      <c r="VC12" s="470"/>
      <c r="VD12" s="470"/>
      <c r="VE12" s="470"/>
      <c r="VF12" s="470"/>
      <c r="VG12" s="470"/>
      <c r="VH12" s="470"/>
      <c r="VI12" s="470"/>
      <c r="VJ12" s="470"/>
      <c r="VK12" s="470"/>
      <c r="VL12" s="470"/>
      <c r="VM12" s="470"/>
      <c r="VN12" s="470"/>
      <c r="VO12" s="470"/>
      <c r="VP12" s="470"/>
      <c r="VQ12" s="470"/>
      <c r="VR12" s="470"/>
      <c r="VS12" s="470"/>
      <c r="VT12" s="470"/>
      <c r="VU12" s="470"/>
      <c r="VV12" s="470"/>
      <c r="VW12" s="470"/>
      <c r="VX12" s="470"/>
      <c r="VY12" s="470"/>
      <c r="VZ12" s="470"/>
      <c r="WA12" s="470"/>
      <c r="WB12" s="470"/>
      <c r="WC12" s="470"/>
      <c r="WD12" s="470"/>
      <c r="WE12" s="470"/>
      <c r="WF12" s="470"/>
      <c r="WG12" s="470"/>
      <c r="WH12" s="470"/>
      <c r="WI12" s="470"/>
      <c r="WJ12" s="470"/>
      <c r="WK12" s="470"/>
      <c r="WL12" s="470"/>
      <c r="WM12" s="470"/>
      <c r="WN12" s="470"/>
      <c r="WO12" s="470"/>
      <c r="WP12" s="470"/>
      <c r="WQ12" s="470"/>
      <c r="WR12" s="470"/>
      <c r="WS12" s="470"/>
      <c r="WT12" s="470"/>
      <c r="WU12" s="470"/>
      <c r="WV12" s="470"/>
      <c r="WW12" s="470"/>
      <c r="WX12" s="470"/>
      <c r="WY12" s="470"/>
      <c r="WZ12" s="470"/>
      <c r="XA12" s="470"/>
      <c r="XB12" s="470"/>
      <c r="XC12" s="470"/>
      <c r="XD12" s="470"/>
      <c r="XE12" s="470"/>
      <c r="XF12" s="470"/>
      <c r="XG12" s="470"/>
      <c r="XH12" s="470"/>
      <c r="XI12" s="470"/>
      <c r="XJ12" s="470"/>
      <c r="XK12" s="470"/>
      <c r="XL12" s="470"/>
      <c r="XM12" s="470"/>
      <c r="XN12" s="470"/>
      <c r="XO12" s="470"/>
      <c r="XP12" s="470"/>
      <c r="XQ12" s="313"/>
    </row>
    <row r="13" spans="1:641" s="110" customFormat="1" ht="15.75" x14ac:dyDescent="0.25">
      <c r="A13" s="516" t="s">
        <v>1460</v>
      </c>
      <c r="B13" s="158" t="s">
        <v>1500</v>
      </c>
      <c r="C13" s="158" t="s">
        <v>1499</v>
      </c>
      <c r="D13" s="437" t="s">
        <v>1160</v>
      </c>
      <c r="E13" s="449" t="s">
        <v>1504</v>
      </c>
      <c r="F13" s="155">
        <v>39</v>
      </c>
      <c r="G13" s="451" t="s">
        <v>54</v>
      </c>
      <c r="H13" s="155" t="s">
        <v>35</v>
      </c>
      <c r="I13" s="461"/>
      <c r="J13" s="461"/>
      <c r="K13" s="461"/>
      <c r="L13" s="461"/>
      <c r="M13" s="461"/>
      <c r="N13" s="461"/>
      <c r="O13" s="461"/>
      <c r="P13" s="461"/>
      <c r="Q13" s="461"/>
      <c r="R13" s="461"/>
      <c r="S13" s="461"/>
      <c r="T13" s="461"/>
      <c r="U13" s="461"/>
      <c r="V13" s="461"/>
      <c r="W13" s="461"/>
      <c r="X13" s="461"/>
      <c r="Y13" s="461"/>
      <c r="Z13" s="461"/>
      <c r="AA13" s="461"/>
      <c r="AB13" s="461"/>
      <c r="AC13" s="461"/>
      <c r="AD13" s="461"/>
      <c r="AE13" s="461"/>
      <c r="AF13" s="461"/>
      <c r="AG13" s="461"/>
      <c r="AH13" s="461"/>
      <c r="AI13" s="461"/>
      <c r="AJ13" s="461"/>
      <c r="AK13" s="461"/>
      <c r="AL13" s="461"/>
      <c r="AM13" s="461"/>
      <c r="AN13" s="461"/>
      <c r="AO13" s="470"/>
      <c r="AP13" s="470"/>
      <c r="AQ13" s="470"/>
      <c r="AR13" s="470"/>
      <c r="AS13" s="470"/>
      <c r="AT13" s="470"/>
      <c r="AU13" s="470"/>
      <c r="AV13" s="470"/>
      <c r="AW13" s="470"/>
      <c r="AX13" s="470"/>
      <c r="AY13" s="470"/>
      <c r="AZ13" s="470"/>
      <c r="BA13" s="470"/>
      <c r="BB13" s="470"/>
      <c r="BC13" s="470"/>
      <c r="BD13" s="470"/>
      <c r="BE13" s="470"/>
      <c r="BF13" s="470"/>
      <c r="BG13" s="470"/>
      <c r="BH13" s="470"/>
      <c r="BI13" s="470"/>
      <c r="BJ13" s="470"/>
      <c r="BK13" s="470"/>
      <c r="BL13" s="470"/>
      <c r="BM13" s="470"/>
      <c r="BN13" s="470"/>
      <c r="BO13" s="470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  <c r="CL13" s="470"/>
      <c r="CM13" s="470"/>
      <c r="CN13" s="470"/>
      <c r="CO13" s="470"/>
      <c r="CP13" s="470"/>
      <c r="CQ13" s="470"/>
      <c r="CR13" s="470"/>
      <c r="CS13" s="470"/>
      <c r="CT13" s="470"/>
      <c r="CU13" s="470"/>
      <c r="CV13" s="470"/>
      <c r="CW13" s="470"/>
      <c r="CX13" s="470"/>
      <c r="CY13" s="470"/>
      <c r="CZ13" s="470"/>
      <c r="DA13" s="470"/>
      <c r="DB13" s="470"/>
      <c r="DC13" s="470"/>
      <c r="DD13" s="470"/>
      <c r="DE13" s="470"/>
      <c r="DF13" s="470"/>
      <c r="DG13" s="470"/>
      <c r="DH13" s="470"/>
      <c r="DI13" s="470"/>
      <c r="DJ13" s="470"/>
      <c r="DK13" s="470"/>
      <c r="DL13" s="470"/>
      <c r="DM13" s="470"/>
      <c r="DN13" s="470"/>
      <c r="DO13" s="470"/>
      <c r="DP13" s="470"/>
      <c r="DQ13" s="470"/>
      <c r="DR13" s="470"/>
      <c r="DS13" s="470"/>
      <c r="DT13" s="470"/>
      <c r="DU13" s="470"/>
      <c r="DV13" s="470"/>
      <c r="DW13" s="470"/>
      <c r="DX13" s="470"/>
      <c r="DY13" s="470"/>
      <c r="DZ13" s="470"/>
      <c r="EA13" s="470"/>
      <c r="EB13" s="470"/>
      <c r="EC13" s="470"/>
      <c r="ED13" s="470"/>
      <c r="EE13" s="470"/>
      <c r="EF13" s="470"/>
      <c r="EG13" s="470"/>
      <c r="EH13" s="470"/>
      <c r="EI13" s="470"/>
      <c r="EJ13" s="470"/>
      <c r="EK13" s="470"/>
      <c r="EL13" s="470"/>
      <c r="EM13" s="470"/>
      <c r="EN13" s="470"/>
      <c r="EO13" s="470"/>
      <c r="EP13" s="470"/>
      <c r="EQ13" s="470"/>
      <c r="ER13" s="470"/>
      <c r="ES13" s="470"/>
      <c r="ET13" s="470"/>
      <c r="EU13" s="470"/>
      <c r="EV13" s="470"/>
      <c r="EW13" s="470"/>
      <c r="EX13" s="470"/>
      <c r="EY13" s="470"/>
      <c r="EZ13" s="470"/>
      <c r="FA13" s="470"/>
      <c r="FB13" s="470"/>
      <c r="FC13" s="470"/>
      <c r="FD13" s="470"/>
      <c r="FE13" s="470"/>
      <c r="FF13" s="470"/>
      <c r="FG13" s="470"/>
      <c r="FH13" s="470"/>
      <c r="FI13" s="470"/>
      <c r="FJ13" s="470"/>
      <c r="FK13" s="470"/>
      <c r="FL13" s="470"/>
      <c r="FM13" s="470"/>
      <c r="FN13" s="470"/>
      <c r="FO13" s="470"/>
      <c r="FP13" s="470"/>
      <c r="FQ13" s="470"/>
      <c r="FR13" s="470"/>
      <c r="FS13" s="470"/>
      <c r="FT13" s="470"/>
      <c r="FU13" s="470"/>
      <c r="FV13" s="470"/>
      <c r="FW13" s="470"/>
      <c r="FX13" s="470"/>
      <c r="FY13" s="470"/>
      <c r="FZ13" s="470"/>
      <c r="GA13" s="470"/>
      <c r="GB13" s="470"/>
      <c r="GC13" s="470"/>
      <c r="GD13" s="470"/>
      <c r="GE13" s="470"/>
      <c r="GF13" s="470"/>
      <c r="GG13" s="470"/>
      <c r="GH13" s="470"/>
      <c r="GI13" s="470"/>
      <c r="GJ13" s="470"/>
      <c r="GK13" s="470"/>
      <c r="GL13" s="470"/>
      <c r="GM13" s="470"/>
      <c r="GN13" s="470"/>
      <c r="GO13" s="470"/>
      <c r="GP13" s="470"/>
      <c r="GQ13" s="470"/>
      <c r="GR13" s="470"/>
      <c r="GS13" s="470"/>
      <c r="GT13" s="470"/>
      <c r="GU13" s="470"/>
      <c r="GV13" s="470"/>
      <c r="GW13" s="470"/>
      <c r="GX13" s="470"/>
      <c r="GY13" s="470"/>
      <c r="GZ13" s="470"/>
      <c r="HA13" s="470"/>
      <c r="HB13" s="470"/>
      <c r="HC13" s="470"/>
      <c r="HD13" s="470"/>
      <c r="HE13" s="470"/>
      <c r="HF13" s="470"/>
      <c r="HG13" s="470"/>
      <c r="HH13" s="470"/>
      <c r="HI13" s="470"/>
      <c r="HJ13" s="470"/>
      <c r="HK13" s="470"/>
      <c r="HL13" s="470"/>
      <c r="HM13" s="470"/>
      <c r="HN13" s="470"/>
      <c r="HO13" s="470"/>
      <c r="HP13" s="470"/>
      <c r="HQ13" s="470"/>
      <c r="HR13" s="470"/>
      <c r="HS13" s="470"/>
      <c r="HT13" s="470"/>
      <c r="HU13" s="470"/>
      <c r="HV13" s="470"/>
      <c r="HW13" s="470"/>
      <c r="HX13" s="470"/>
      <c r="HY13" s="470"/>
      <c r="HZ13" s="470"/>
      <c r="IA13" s="470"/>
      <c r="IB13" s="470"/>
      <c r="IC13" s="470"/>
      <c r="ID13" s="470"/>
      <c r="IE13" s="470"/>
      <c r="IF13" s="470"/>
      <c r="IG13" s="470"/>
      <c r="IH13" s="470"/>
      <c r="II13" s="470"/>
      <c r="IJ13" s="470"/>
      <c r="IK13" s="470"/>
      <c r="IL13" s="470"/>
      <c r="IM13" s="470"/>
      <c r="IN13" s="470"/>
      <c r="IO13" s="470"/>
      <c r="IP13" s="470"/>
      <c r="IQ13" s="470"/>
      <c r="IR13" s="470"/>
      <c r="IS13" s="470"/>
      <c r="IT13" s="470"/>
      <c r="IU13" s="470"/>
      <c r="IV13" s="470"/>
      <c r="IW13" s="470"/>
      <c r="IX13" s="470"/>
      <c r="IY13" s="470"/>
      <c r="IZ13" s="470"/>
      <c r="JA13" s="470"/>
      <c r="JB13" s="470"/>
      <c r="JC13" s="470"/>
      <c r="JD13" s="470"/>
      <c r="JE13" s="470"/>
      <c r="JF13" s="470"/>
      <c r="JG13" s="470"/>
      <c r="JH13" s="470"/>
      <c r="JI13" s="470"/>
      <c r="JJ13" s="470"/>
      <c r="JK13" s="470"/>
      <c r="JL13" s="470"/>
      <c r="JM13" s="470"/>
      <c r="JN13" s="470"/>
      <c r="JO13" s="470"/>
      <c r="JP13" s="470"/>
      <c r="JQ13" s="470"/>
      <c r="JR13" s="470"/>
      <c r="JS13" s="470"/>
      <c r="JT13" s="470"/>
      <c r="JU13" s="470"/>
      <c r="JV13" s="470"/>
      <c r="JW13" s="470"/>
      <c r="JX13" s="470"/>
      <c r="JY13" s="470"/>
      <c r="JZ13" s="470"/>
      <c r="KA13" s="470"/>
      <c r="KB13" s="470"/>
      <c r="KC13" s="470"/>
      <c r="KD13" s="470"/>
      <c r="KE13" s="470"/>
      <c r="KF13" s="470"/>
      <c r="KG13" s="470"/>
      <c r="KH13" s="470"/>
      <c r="KI13" s="470"/>
      <c r="KJ13" s="470"/>
      <c r="KK13" s="470"/>
      <c r="KL13" s="470"/>
      <c r="KM13" s="470"/>
      <c r="KN13" s="470"/>
      <c r="KO13" s="470"/>
      <c r="KP13" s="470"/>
      <c r="KQ13" s="470"/>
      <c r="KR13" s="470"/>
      <c r="KS13" s="470"/>
      <c r="KT13" s="470"/>
      <c r="KU13" s="470"/>
      <c r="KV13" s="470"/>
      <c r="KW13" s="470"/>
      <c r="KX13" s="470"/>
      <c r="KY13" s="470"/>
      <c r="KZ13" s="470"/>
      <c r="LA13" s="470"/>
      <c r="LB13" s="470"/>
      <c r="LC13" s="470"/>
      <c r="LD13" s="470"/>
      <c r="LE13" s="470"/>
      <c r="LF13" s="470"/>
      <c r="LG13" s="470"/>
      <c r="LH13" s="470"/>
      <c r="LI13" s="470"/>
      <c r="LJ13" s="470"/>
      <c r="LK13" s="470"/>
      <c r="LL13" s="470"/>
      <c r="LM13" s="470"/>
      <c r="LN13" s="470"/>
      <c r="LO13" s="470"/>
      <c r="LP13" s="470"/>
      <c r="LQ13" s="470"/>
      <c r="LR13" s="470"/>
      <c r="LS13" s="470"/>
      <c r="LT13" s="470"/>
      <c r="LU13" s="470"/>
      <c r="LV13" s="470"/>
      <c r="LW13" s="470"/>
      <c r="LX13" s="470"/>
      <c r="LY13" s="470"/>
      <c r="LZ13" s="470"/>
      <c r="MA13" s="470"/>
      <c r="MB13" s="470"/>
      <c r="MC13" s="470"/>
      <c r="MD13" s="470"/>
      <c r="ME13" s="470"/>
      <c r="MF13" s="470"/>
      <c r="MG13" s="470"/>
      <c r="MH13" s="470"/>
      <c r="MI13" s="470"/>
      <c r="MJ13" s="470"/>
      <c r="MK13" s="470"/>
      <c r="ML13" s="470"/>
      <c r="MM13" s="470"/>
      <c r="MN13" s="470"/>
      <c r="MO13" s="470"/>
      <c r="MP13" s="470"/>
      <c r="MQ13" s="470"/>
      <c r="MR13" s="470"/>
      <c r="MS13" s="470"/>
      <c r="MT13" s="470"/>
      <c r="MU13" s="470"/>
      <c r="MV13" s="470"/>
      <c r="MW13" s="470"/>
      <c r="MX13" s="470"/>
      <c r="MY13" s="470"/>
      <c r="MZ13" s="470"/>
      <c r="NA13" s="470"/>
      <c r="NB13" s="470"/>
      <c r="NC13" s="470"/>
      <c r="ND13" s="470"/>
      <c r="NE13" s="470"/>
      <c r="NF13" s="470"/>
      <c r="NG13" s="470"/>
      <c r="NH13" s="470"/>
      <c r="NI13" s="470"/>
      <c r="NJ13" s="470"/>
      <c r="NK13" s="470"/>
      <c r="NL13" s="470"/>
      <c r="NM13" s="470"/>
      <c r="NN13" s="470"/>
      <c r="NO13" s="470"/>
      <c r="NP13" s="470"/>
      <c r="NQ13" s="470"/>
      <c r="NR13" s="470"/>
      <c r="NS13" s="470"/>
      <c r="NT13" s="470"/>
      <c r="NU13" s="470"/>
      <c r="NV13" s="470"/>
      <c r="NW13" s="470"/>
      <c r="NX13" s="470"/>
      <c r="NY13" s="470"/>
      <c r="NZ13" s="470"/>
      <c r="OA13" s="470"/>
      <c r="OB13" s="470"/>
      <c r="OC13" s="470"/>
      <c r="OD13" s="470"/>
      <c r="OE13" s="470"/>
      <c r="OF13" s="470"/>
      <c r="OG13" s="470"/>
      <c r="OH13" s="470"/>
      <c r="OI13" s="470"/>
      <c r="OJ13" s="470"/>
      <c r="OK13" s="470"/>
      <c r="OL13" s="470"/>
      <c r="OM13" s="470"/>
      <c r="ON13" s="470"/>
      <c r="OO13" s="470"/>
      <c r="OP13" s="470"/>
      <c r="OQ13" s="470"/>
      <c r="OR13" s="470"/>
      <c r="OS13" s="470"/>
      <c r="OT13" s="470"/>
      <c r="OU13" s="470"/>
      <c r="OV13" s="470"/>
      <c r="OW13" s="470"/>
      <c r="OX13" s="470"/>
      <c r="OY13" s="470"/>
      <c r="OZ13" s="470"/>
      <c r="PA13" s="470"/>
      <c r="PB13" s="470"/>
      <c r="PC13" s="470"/>
      <c r="PD13" s="470"/>
      <c r="PE13" s="470"/>
      <c r="PF13" s="470"/>
      <c r="PG13" s="470"/>
      <c r="PH13" s="470"/>
      <c r="PI13" s="470"/>
      <c r="PJ13" s="470"/>
      <c r="PK13" s="470"/>
      <c r="PL13" s="470"/>
      <c r="PM13" s="470"/>
      <c r="PN13" s="470"/>
      <c r="PO13" s="470"/>
      <c r="PP13" s="470"/>
      <c r="PQ13" s="470"/>
      <c r="PR13" s="470"/>
      <c r="PS13" s="470"/>
      <c r="PT13" s="470"/>
      <c r="PU13" s="470"/>
      <c r="PV13" s="470"/>
      <c r="PW13" s="470"/>
      <c r="PX13" s="470"/>
      <c r="PY13" s="470"/>
      <c r="PZ13" s="470"/>
      <c r="QA13" s="470"/>
      <c r="QB13" s="470"/>
      <c r="QC13" s="470"/>
      <c r="QD13" s="470"/>
      <c r="QE13" s="470"/>
      <c r="QF13" s="470"/>
      <c r="QG13" s="470"/>
      <c r="QH13" s="470"/>
      <c r="QI13" s="470"/>
      <c r="QJ13" s="470"/>
      <c r="QK13" s="470"/>
      <c r="QL13" s="470"/>
      <c r="QM13" s="470"/>
      <c r="QN13" s="470"/>
      <c r="QO13" s="470"/>
      <c r="QP13" s="470"/>
      <c r="QQ13" s="470"/>
      <c r="QR13" s="470"/>
      <c r="QS13" s="470"/>
      <c r="QT13" s="470"/>
      <c r="QU13" s="470"/>
      <c r="QV13" s="470"/>
      <c r="QW13" s="470"/>
      <c r="QX13" s="470"/>
      <c r="QY13" s="470"/>
      <c r="QZ13" s="470"/>
      <c r="RA13" s="470"/>
      <c r="RB13" s="470"/>
      <c r="RC13" s="470"/>
      <c r="RD13" s="470"/>
      <c r="RE13" s="470"/>
      <c r="RF13" s="470"/>
      <c r="RG13" s="470"/>
      <c r="RH13" s="470"/>
      <c r="RI13" s="470"/>
      <c r="RJ13" s="470"/>
      <c r="RK13" s="470"/>
      <c r="RL13" s="470"/>
      <c r="RM13" s="470"/>
      <c r="RN13" s="470"/>
      <c r="RO13" s="470"/>
      <c r="RP13" s="470"/>
      <c r="RQ13" s="470"/>
      <c r="RR13" s="470"/>
      <c r="RS13" s="470"/>
      <c r="RT13" s="470"/>
      <c r="RU13" s="470"/>
      <c r="RV13" s="470"/>
      <c r="RW13" s="470"/>
      <c r="RX13" s="470"/>
      <c r="RY13" s="470"/>
      <c r="RZ13" s="470"/>
      <c r="SA13" s="470"/>
      <c r="SB13" s="470"/>
      <c r="SC13" s="470"/>
      <c r="SD13" s="470"/>
      <c r="SE13" s="470"/>
      <c r="SF13" s="470"/>
      <c r="SG13" s="470"/>
      <c r="SH13" s="470"/>
      <c r="SI13" s="470"/>
      <c r="SJ13" s="470"/>
      <c r="SK13" s="470"/>
      <c r="SL13" s="470"/>
      <c r="SM13" s="470"/>
      <c r="SN13" s="470"/>
      <c r="SO13" s="470"/>
      <c r="SP13" s="470"/>
      <c r="SQ13" s="470"/>
      <c r="SR13" s="470"/>
      <c r="SS13" s="470"/>
      <c r="ST13" s="470"/>
      <c r="SU13" s="470"/>
      <c r="SV13" s="470"/>
      <c r="SW13" s="470"/>
      <c r="SX13" s="470"/>
      <c r="SY13" s="470"/>
      <c r="SZ13" s="470"/>
      <c r="TA13" s="470"/>
      <c r="TB13" s="470"/>
      <c r="TC13" s="470"/>
      <c r="TD13" s="470"/>
      <c r="TE13" s="470"/>
      <c r="TF13" s="470"/>
      <c r="TG13" s="470"/>
      <c r="TH13" s="470"/>
      <c r="TI13" s="470"/>
      <c r="TJ13" s="470"/>
      <c r="TK13" s="470"/>
      <c r="TL13" s="470"/>
      <c r="TM13" s="470"/>
      <c r="TN13" s="470"/>
      <c r="TO13" s="470"/>
      <c r="TP13" s="470"/>
      <c r="TQ13" s="470"/>
      <c r="TR13" s="470"/>
      <c r="TS13" s="470"/>
      <c r="TT13" s="470"/>
      <c r="TU13" s="470"/>
      <c r="TV13" s="470"/>
      <c r="TW13" s="470"/>
      <c r="TX13" s="470"/>
      <c r="TY13" s="470"/>
      <c r="TZ13" s="470"/>
      <c r="UA13" s="470"/>
      <c r="UB13" s="470"/>
      <c r="UC13" s="470"/>
      <c r="UD13" s="470"/>
      <c r="UE13" s="470"/>
      <c r="UF13" s="470"/>
      <c r="UG13" s="470"/>
      <c r="UH13" s="470"/>
      <c r="UI13" s="470"/>
      <c r="UJ13" s="470"/>
      <c r="UK13" s="470"/>
      <c r="UL13" s="470"/>
      <c r="UM13" s="470"/>
      <c r="UN13" s="470"/>
      <c r="UO13" s="470"/>
      <c r="UP13" s="470"/>
      <c r="UQ13" s="470"/>
      <c r="UR13" s="470"/>
      <c r="US13" s="470"/>
      <c r="UT13" s="470"/>
      <c r="UU13" s="470"/>
      <c r="UV13" s="470"/>
      <c r="UW13" s="470"/>
      <c r="UX13" s="470"/>
      <c r="UY13" s="470"/>
      <c r="UZ13" s="470"/>
      <c r="VA13" s="470"/>
      <c r="VB13" s="470"/>
      <c r="VC13" s="470"/>
      <c r="VD13" s="470"/>
      <c r="VE13" s="470"/>
      <c r="VF13" s="470"/>
      <c r="VG13" s="470"/>
      <c r="VH13" s="470"/>
      <c r="VI13" s="470"/>
      <c r="VJ13" s="470"/>
      <c r="VK13" s="470"/>
      <c r="VL13" s="470"/>
      <c r="VM13" s="470"/>
      <c r="VN13" s="470"/>
      <c r="VO13" s="470"/>
      <c r="VP13" s="470"/>
      <c r="VQ13" s="470"/>
      <c r="VR13" s="470"/>
      <c r="VS13" s="470"/>
      <c r="VT13" s="470"/>
      <c r="VU13" s="470"/>
      <c r="VV13" s="470"/>
      <c r="VW13" s="470"/>
      <c r="VX13" s="470"/>
      <c r="VY13" s="470"/>
      <c r="VZ13" s="470"/>
      <c r="WA13" s="470"/>
      <c r="WB13" s="470"/>
      <c r="WC13" s="470"/>
      <c r="WD13" s="470"/>
      <c r="WE13" s="470"/>
      <c r="WF13" s="470"/>
      <c r="WG13" s="470"/>
      <c r="WH13" s="470"/>
      <c r="WI13" s="470"/>
      <c r="WJ13" s="470"/>
      <c r="WK13" s="470"/>
      <c r="WL13" s="470"/>
      <c r="WM13" s="470"/>
      <c r="WN13" s="470"/>
      <c r="WO13" s="470"/>
      <c r="WP13" s="470"/>
      <c r="WQ13" s="470"/>
      <c r="WR13" s="470"/>
      <c r="WS13" s="470"/>
      <c r="WT13" s="470"/>
      <c r="WU13" s="470"/>
      <c r="WV13" s="470"/>
      <c r="WW13" s="470"/>
      <c r="WX13" s="470"/>
      <c r="WY13" s="470"/>
      <c r="WZ13" s="470"/>
      <c r="XA13" s="470"/>
      <c r="XB13" s="470"/>
      <c r="XC13" s="470"/>
      <c r="XD13" s="470"/>
      <c r="XE13" s="470"/>
      <c r="XF13" s="470"/>
      <c r="XG13" s="470"/>
      <c r="XH13" s="470"/>
      <c r="XI13" s="470"/>
      <c r="XJ13" s="470"/>
      <c r="XK13" s="470"/>
      <c r="XL13" s="470"/>
      <c r="XM13" s="470"/>
      <c r="XN13" s="470"/>
      <c r="XO13" s="470"/>
      <c r="XP13" s="470"/>
      <c r="XQ13" s="313"/>
    </row>
    <row r="14" spans="1:641" s="524" customFormat="1" x14ac:dyDescent="0.25">
      <c r="A14" s="516" t="s">
        <v>1461</v>
      </c>
      <c r="B14" s="453" t="s">
        <v>1418</v>
      </c>
      <c r="C14" s="453" t="s">
        <v>1507</v>
      </c>
      <c r="D14" s="520" t="s">
        <v>1160</v>
      </c>
      <c r="E14" s="525" t="s">
        <v>1508</v>
      </c>
      <c r="F14" s="522">
        <v>56</v>
      </c>
      <c r="G14" s="522" t="s">
        <v>183</v>
      </c>
      <c r="H14" s="522" t="s">
        <v>35</v>
      </c>
      <c r="I14" s="461"/>
      <c r="J14" s="461"/>
      <c r="K14" s="461"/>
      <c r="L14" s="461"/>
      <c r="M14" s="461"/>
      <c r="N14" s="461"/>
      <c r="O14" s="461"/>
      <c r="P14" s="461"/>
      <c r="Q14" s="461"/>
      <c r="R14" s="461"/>
      <c r="S14" s="461"/>
      <c r="T14" s="461"/>
      <c r="U14" s="461"/>
      <c r="V14" s="461"/>
      <c r="W14" s="461"/>
      <c r="X14" s="461"/>
      <c r="Y14" s="461"/>
      <c r="Z14" s="461"/>
      <c r="AA14" s="461"/>
      <c r="AB14" s="461"/>
      <c r="AC14" s="461"/>
      <c r="AD14" s="461"/>
      <c r="AE14" s="461"/>
      <c r="AF14" s="461"/>
      <c r="AG14" s="461"/>
      <c r="AH14" s="461"/>
      <c r="AI14" s="461"/>
      <c r="AJ14" s="461"/>
      <c r="AK14" s="461"/>
      <c r="AL14" s="461"/>
      <c r="AM14" s="461"/>
      <c r="AN14" s="461"/>
      <c r="AO14" s="470"/>
      <c r="AP14" s="470"/>
      <c r="AQ14" s="470"/>
      <c r="AR14" s="470"/>
      <c r="AS14" s="470"/>
      <c r="AT14" s="470"/>
      <c r="AU14" s="470"/>
      <c r="AV14" s="384"/>
      <c r="AW14" s="384"/>
      <c r="AX14" s="384"/>
      <c r="AY14" s="384"/>
      <c r="AZ14" s="384"/>
      <c r="BA14" s="384"/>
      <c r="BB14" s="384"/>
      <c r="BC14" s="384"/>
      <c r="BD14" s="384"/>
      <c r="BE14" s="384"/>
      <c r="BF14" s="384"/>
      <c r="BG14" s="384"/>
      <c r="BH14" s="384"/>
      <c r="BI14" s="384"/>
      <c r="BJ14" s="384"/>
      <c r="BK14" s="384"/>
      <c r="BL14" s="384"/>
      <c r="BM14" s="384"/>
      <c r="BN14" s="384"/>
      <c r="BO14" s="384"/>
      <c r="BP14" s="384"/>
      <c r="BQ14" s="384"/>
      <c r="BR14" s="384"/>
      <c r="BS14" s="384"/>
      <c r="BT14" s="384"/>
      <c r="BU14" s="384"/>
      <c r="BV14" s="384"/>
      <c r="BW14" s="384"/>
      <c r="BX14" s="384"/>
      <c r="BY14" s="384"/>
      <c r="BZ14" s="384"/>
      <c r="CA14" s="384"/>
      <c r="CB14" s="384"/>
      <c r="CC14" s="384"/>
      <c r="CD14" s="384"/>
      <c r="CE14" s="384"/>
      <c r="CF14" s="384"/>
      <c r="CG14" s="384"/>
      <c r="CH14" s="384"/>
      <c r="CI14" s="384"/>
      <c r="CJ14" s="384"/>
      <c r="CK14" s="384"/>
      <c r="CL14" s="384"/>
      <c r="CM14" s="384"/>
      <c r="CN14" s="384"/>
      <c r="CO14" s="384"/>
      <c r="CP14" s="384"/>
      <c r="CQ14" s="384"/>
      <c r="CR14" s="384"/>
      <c r="CS14" s="384"/>
      <c r="CT14" s="384"/>
      <c r="CU14" s="384"/>
      <c r="CV14" s="384"/>
      <c r="CW14" s="384"/>
      <c r="CX14" s="384"/>
      <c r="CY14" s="384"/>
      <c r="CZ14" s="384"/>
      <c r="DA14" s="384"/>
      <c r="DB14" s="384"/>
      <c r="DC14" s="384"/>
      <c r="DD14" s="384"/>
      <c r="DE14" s="384"/>
      <c r="DF14" s="384"/>
      <c r="DG14" s="384"/>
      <c r="DH14" s="384"/>
      <c r="DI14" s="384"/>
      <c r="DJ14" s="384"/>
      <c r="DK14" s="384"/>
      <c r="DL14" s="384"/>
      <c r="DM14" s="384"/>
      <c r="DN14" s="384"/>
      <c r="DO14" s="384"/>
      <c r="DP14" s="384"/>
      <c r="DQ14" s="384"/>
      <c r="DR14" s="384"/>
      <c r="DS14" s="384"/>
      <c r="DT14" s="384"/>
      <c r="DU14" s="384"/>
      <c r="DV14" s="384"/>
      <c r="DW14" s="384"/>
      <c r="DX14" s="384"/>
      <c r="DY14" s="384"/>
      <c r="DZ14" s="384"/>
      <c r="EA14" s="384"/>
      <c r="EB14" s="384"/>
      <c r="EC14" s="384"/>
      <c r="ED14" s="384"/>
      <c r="EE14" s="384"/>
      <c r="EF14" s="384"/>
      <c r="EG14" s="384"/>
      <c r="EH14" s="384"/>
      <c r="EI14" s="384"/>
      <c r="EJ14" s="384"/>
      <c r="EK14" s="384"/>
      <c r="EL14" s="384"/>
      <c r="EM14" s="384"/>
      <c r="EN14" s="384"/>
      <c r="EO14" s="384"/>
      <c r="EP14" s="384"/>
      <c r="EQ14" s="384"/>
      <c r="ER14" s="384"/>
      <c r="ES14" s="384"/>
      <c r="ET14" s="384"/>
      <c r="EU14" s="384"/>
      <c r="EV14" s="384"/>
      <c r="EW14" s="384"/>
      <c r="EX14" s="384"/>
      <c r="EY14" s="384"/>
      <c r="EZ14" s="384"/>
      <c r="FA14" s="384"/>
      <c r="FB14" s="384"/>
      <c r="FC14" s="384"/>
      <c r="FD14" s="384"/>
      <c r="FE14" s="384"/>
      <c r="FF14" s="384"/>
      <c r="FG14" s="384"/>
      <c r="FH14" s="384"/>
      <c r="FI14" s="384"/>
      <c r="FJ14" s="384"/>
      <c r="FK14" s="384"/>
      <c r="FL14" s="384"/>
      <c r="FM14" s="384"/>
      <c r="FN14" s="384"/>
      <c r="FO14" s="384"/>
      <c r="FP14" s="384"/>
      <c r="FQ14" s="384"/>
      <c r="FR14" s="384"/>
      <c r="FS14" s="384"/>
      <c r="FT14" s="384"/>
      <c r="FU14" s="384"/>
      <c r="FV14" s="384"/>
      <c r="FW14" s="384"/>
      <c r="FX14" s="384"/>
      <c r="FY14" s="384"/>
      <c r="FZ14" s="384"/>
      <c r="GA14" s="384"/>
      <c r="GB14" s="384"/>
      <c r="GC14" s="384"/>
      <c r="GD14" s="384"/>
      <c r="GE14" s="384"/>
      <c r="GF14" s="384"/>
      <c r="GG14" s="384"/>
      <c r="GH14" s="384"/>
      <c r="GI14" s="384"/>
      <c r="GJ14" s="384"/>
      <c r="GK14" s="384"/>
      <c r="GL14" s="384"/>
      <c r="GM14" s="384"/>
      <c r="GN14" s="384"/>
      <c r="GO14" s="384"/>
      <c r="GP14" s="384"/>
      <c r="GQ14" s="384"/>
      <c r="GR14" s="384"/>
      <c r="GS14" s="384"/>
      <c r="GT14" s="384"/>
      <c r="GU14" s="384"/>
      <c r="GV14" s="384"/>
      <c r="GW14" s="384"/>
      <c r="GX14" s="384"/>
      <c r="GY14" s="384"/>
      <c r="GZ14" s="384"/>
      <c r="HA14" s="384"/>
      <c r="HB14" s="384"/>
      <c r="HC14" s="384"/>
      <c r="HD14" s="384"/>
      <c r="HE14" s="384"/>
      <c r="HF14" s="384"/>
      <c r="HG14" s="384"/>
      <c r="HH14" s="384"/>
      <c r="HI14" s="384"/>
      <c r="HJ14" s="384"/>
      <c r="HK14" s="384"/>
      <c r="HL14" s="384"/>
      <c r="HM14" s="384"/>
      <c r="HN14" s="384"/>
      <c r="HO14" s="384"/>
      <c r="HP14" s="384"/>
      <c r="HQ14" s="384"/>
      <c r="HR14" s="384"/>
      <c r="HS14" s="384"/>
      <c r="HT14" s="384"/>
      <c r="HU14" s="384"/>
      <c r="HV14" s="384"/>
      <c r="HW14" s="384"/>
      <c r="HX14" s="384"/>
      <c r="HY14" s="384"/>
      <c r="HZ14" s="384"/>
      <c r="IA14" s="384"/>
      <c r="IB14" s="384"/>
      <c r="IC14" s="384"/>
      <c r="ID14" s="384"/>
      <c r="IE14" s="384"/>
      <c r="IF14" s="384"/>
      <c r="IG14" s="384"/>
      <c r="IH14" s="384"/>
      <c r="II14" s="384"/>
      <c r="IJ14" s="384"/>
      <c r="IK14" s="384"/>
      <c r="IL14" s="384"/>
      <c r="IM14" s="384"/>
      <c r="IN14" s="384"/>
      <c r="IO14" s="384"/>
      <c r="IP14" s="384"/>
      <c r="IQ14" s="384"/>
      <c r="IR14" s="384"/>
      <c r="IS14" s="384"/>
      <c r="IT14" s="384"/>
      <c r="IU14" s="384"/>
      <c r="IV14" s="384"/>
      <c r="IW14" s="384"/>
      <c r="IX14" s="384"/>
      <c r="IY14" s="384"/>
      <c r="IZ14" s="384"/>
      <c r="JA14" s="384"/>
      <c r="JB14" s="384"/>
      <c r="JC14" s="384"/>
      <c r="JD14" s="384"/>
      <c r="JE14" s="384"/>
      <c r="JF14" s="384"/>
      <c r="JG14" s="384"/>
      <c r="JH14" s="384"/>
      <c r="JI14" s="384"/>
      <c r="JJ14" s="384"/>
      <c r="JK14" s="384"/>
      <c r="JL14" s="384"/>
      <c r="JM14" s="384"/>
      <c r="JN14" s="384"/>
      <c r="JO14" s="384"/>
      <c r="JP14" s="384"/>
      <c r="JQ14" s="384"/>
      <c r="JR14" s="384"/>
      <c r="JS14" s="384"/>
      <c r="JT14" s="384"/>
      <c r="JU14" s="384"/>
      <c r="JV14" s="384"/>
      <c r="JW14" s="384"/>
      <c r="JX14" s="384"/>
      <c r="JY14" s="384"/>
      <c r="JZ14" s="384"/>
      <c r="KA14" s="384"/>
      <c r="KB14" s="384"/>
      <c r="KC14" s="384"/>
      <c r="KD14" s="384"/>
      <c r="KE14" s="384"/>
      <c r="KF14" s="384"/>
      <c r="KG14" s="384"/>
      <c r="KH14" s="384"/>
      <c r="KI14" s="384"/>
      <c r="KJ14" s="384"/>
      <c r="KK14" s="384"/>
      <c r="KL14" s="384"/>
      <c r="KM14" s="384"/>
      <c r="KN14" s="384"/>
      <c r="KO14" s="384"/>
      <c r="KP14" s="384"/>
      <c r="KQ14" s="384"/>
      <c r="KR14" s="384"/>
      <c r="KS14" s="384"/>
      <c r="KT14" s="384"/>
      <c r="KU14" s="384"/>
      <c r="KV14" s="384"/>
      <c r="KW14" s="384"/>
      <c r="KX14" s="384"/>
      <c r="KY14" s="384"/>
      <c r="KZ14" s="384"/>
      <c r="LA14" s="384"/>
      <c r="LB14" s="384"/>
      <c r="LC14" s="384"/>
      <c r="LD14" s="384"/>
      <c r="LE14" s="384"/>
      <c r="LF14" s="384"/>
      <c r="LG14" s="384"/>
      <c r="LH14" s="384"/>
      <c r="LI14" s="384"/>
      <c r="LJ14" s="384"/>
      <c r="LK14" s="384"/>
      <c r="LL14" s="384"/>
      <c r="LM14" s="384"/>
      <c r="LN14" s="384"/>
      <c r="LO14" s="384"/>
      <c r="LP14" s="384"/>
      <c r="LQ14" s="384"/>
      <c r="LR14" s="384"/>
      <c r="LS14" s="384"/>
      <c r="LT14" s="384"/>
      <c r="LU14" s="384"/>
      <c r="LV14" s="384"/>
      <c r="LW14" s="384"/>
      <c r="LX14" s="384"/>
      <c r="LY14" s="384"/>
      <c r="LZ14" s="384"/>
      <c r="MA14" s="384"/>
      <c r="MB14" s="384"/>
      <c r="MC14" s="384"/>
      <c r="MD14" s="384"/>
      <c r="ME14" s="384"/>
      <c r="MF14" s="384"/>
      <c r="MG14" s="384"/>
      <c r="MH14" s="384"/>
      <c r="MI14" s="384"/>
      <c r="MJ14" s="384"/>
      <c r="MK14" s="384"/>
      <c r="ML14" s="384"/>
      <c r="MM14" s="384"/>
      <c r="MN14" s="384"/>
      <c r="MO14" s="384"/>
      <c r="MP14" s="384"/>
      <c r="MQ14" s="384"/>
      <c r="MR14" s="384"/>
      <c r="MS14" s="384"/>
      <c r="MT14" s="384"/>
      <c r="MU14" s="384"/>
      <c r="MV14" s="384"/>
      <c r="MW14" s="384"/>
      <c r="MX14" s="384"/>
      <c r="MY14" s="384"/>
      <c r="MZ14" s="384"/>
      <c r="NA14" s="384"/>
      <c r="NB14" s="384"/>
      <c r="NC14" s="384"/>
      <c r="ND14" s="384"/>
      <c r="NE14" s="384"/>
      <c r="NF14" s="384"/>
      <c r="NG14" s="384"/>
      <c r="NH14" s="384"/>
      <c r="NI14" s="384"/>
      <c r="NJ14" s="384"/>
      <c r="NK14" s="384"/>
      <c r="NL14" s="384"/>
      <c r="NM14" s="384"/>
      <c r="NN14" s="384"/>
      <c r="NO14" s="384"/>
      <c r="NP14" s="384"/>
      <c r="NQ14" s="384"/>
      <c r="NR14" s="384"/>
      <c r="NS14" s="384"/>
      <c r="NT14" s="384"/>
      <c r="NU14" s="384"/>
      <c r="NV14" s="384"/>
      <c r="NW14" s="384"/>
      <c r="NX14" s="384"/>
      <c r="NY14" s="384"/>
      <c r="NZ14" s="384"/>
      <c r="OA14" s="384"/>
      <c r="OB14" s="384"/>
      <c r="OC14" s="384"/>
      <c r="OD14" s="384"/>
      <c r="OE14" s="384"/>
      <c r="OF14" s="384"/>
      <c r="OG14" s="384"/>
      <c r="OH14" s="384"/>
      <c r="OI14" s="384"/>
      <c r="OJ14" s="384"/>
      <c r="OK14" s="384"/>
      <c r="OL14" s="384"/>
      <c r="OM14" s="384"/>
      <c r="ON14" s="384"/>
      <c r="OO14" s="384"/>
      <c r="OP14" s="384"/>
      <c r="OQ14" s="384"/>
      <c r="OR14" s="384"/>
      <c r="OS14" s="384"/>
      <c r="OT14" s="384"/>
      <c r="OU14" s="384"/>
      <c r="OV14" s="384"/>
      <c r="OW14" s="384"/>
      <c r="OX14" s="384"/>
      <c r="OY14" s="384"/>
      <c r="OZ14" s="384"/>
      <c r="PA14" s="384"/>
      <c r="PB14" s="384"/>
      <c r="PC14" s="384"/>
      <c r="PD14" s="384"/>
      <c r="PE14" s="384"/>
      <c r="PF14" s="384"/>
      <c r="PG14" s="384"/>
      <c r="PH14" s="384"/>
      <c r="PI14" s="384"/>
      <c r="PJ14" s="384"/>
      <c r="PK14" s="384"/>
      <c r="PL14" s="384"/>
      <c r="PM14" s="384"/>
      <c r="PN14" s="384"/>
      <c r="PO14" s="384"/>
      <c r="PP14" s="384"/>
      <c r="PQ14" s="384"/>
      <c r="PR14" s="384"/>
      <c r="PS14" s="384"/>
      <c r="PT14" s="384"/>
      <c r="PU14" s="384"/>
      <c r="PV14" s="384"/>
      <c r="PW14" s="384"/>
      <c r="PX14" s="384"/>
      <c r="PY14" s="384"/>
      <c r="PZ14" s="384"/>
      <c r="QA14" s="384"/>
      <c r="QB14" s="384"/>
      <c r="QC14" s="384"/>
      <c r="QD14" s="384"/>
      <c r="QE14" s="384"/>
      <c r="QF14" s="384"/>
      <c r="QG14" s="384"/>
      <c r="QH14" s="384"/>
      <c r="QI14" s="384"/>
      <c r="QJ14" s="384"/>
      <c r="QK14" s="384"/>
      <c r="QL14" s="384"/>
      <c r="QM14" s="384"/>
      <c r="QN14" s="384"/>
      <c r="QO14" s="384"/>
      <c r="QP14" s="384"/>
      <c r="QQ14" s="384"/>
      <c r="QR14" s="384"/>
      <c r="QS14" s="384"/>
      <c r="QT14" s="384"/>
      <c r="QU14" s="384"/>
      <c r="QV14" s="384"/>
      <c r="QW14" s="384"/>
      <c r="QX14" s="384"/>
      <c r="QY14" s="384"/>
      <c r="QZ14" s="384"/>
      <c r="RA14" s="384"/>
      <c r="RB14" s="384"/>
      <c r="RC14" s="384"/>
      <c r="RD14" s="384"/>
      <c r="RE14" s="384"/>
      <c r="RF14" s="384"/>
      <c r="RG14" s="384"/>
      <c r="RH14" s="384"/>
      <c r="RI14" s="384"/>
      <c r="RJ14" s="384"/>
      <c r="RK14" s="384"/>
      <c r="RL14" s="384"/>
      <c r="RM14" s="384"/>
      <c r="RN14" s="384"/>
      <c r="RO14" s="384"/>
      <c r="RP14" s="384"/>
      <c r="RQ14" s="384"/>
      <c r="RR14" s="384"/>
      <c r="RS14" s="384"/>
      <c r="RT14" s="384"/>
      <c r="RU14" s="384"/>
      <c r="RV14" s="384"/>
      <c r="RW14" s="384"/>
      <c r="RX14" s="384"/>
      <c r="RY14" s="384"/>
      <c r="RZ14" s="384"/>
      <c r="SA14" s="384"/>
      <c r="SB14" s="384"/>
      <c r="SC14" s="384"/>
      <c r="SD14" s="384"/>
      <c r="SE14" s="384"/>
      <c r="SF14" s="384"/>
      <c r="SG14" s="384"/>
      <c r="SH14" s="384"/>
      <c r="SI14" s="384"/>
      <c r="SJ14" s="384"/>
      <c r="SK14" s="384"/>
      <c r="SL14" s="384"/>
      <c r="SM14" s="384"/>
      <c r="SN14" s="384"/>
      <c r="SO14" s="384"/>
      <c r="SP14" s="384"/>
      <c r="SQ14" s="384"/>
      <c r="SR14" s="384"/>
      <c r="SS14" s="384"/>
      <c r="ST14" s="384"/>
      <c r="SU14" s="384"/>
      <c r="SV14" s="384"/>
      <c r="SW14" s="384"/>
      <c r="SX14" s="384"/>
      <c r="SY14" s="384"/>
      <c r="SZ14" s="384"/>
      <c r="TA14" s="384"/>
      <c r="TB14" s="384"/>
      <c r="TC14" s="384"/>
      <c r="TD14" s="384"/>
      <c r="TE14" s="384"/>
      <c r="TF14" s="384"/>
      <c r="TG14" s="384"/>
      <c r="TH14" s="384"/>
      <c r="TI14" s="384"/>
      <c r="TJ14" s="384"/>
      <c r="TK14" s="384"/>
      <c r="TL14" s="384"/>
      <c r="TM14" s="384"/>
      <c r="TN14" s="384"/>
      <c r="TO14" s="384"/>
      <c r="TP14" s="384"/>
      <c r="TQ14" s="384"/>
      <c r="TR14" s="384"/>
      <c r="TS14" s="384"/>
      <c r="TT14" s="384"/>
      <c r="TU14" s="384"/>
      <c r="TV14" s="384"/>
      <c r="TW14" s="384"/>
      <c r="TX14" s="384"/>
      <c r="TY14" s="384"/>
      <c r="TZ14" s="384"/>
      <c r="UA14" s="384"/>
      <c r="UB14" s="384"/>
      <c r="UC14" s="384"/>
      <c r="UD14" s="384"/>
      <c r="UE14" s="384"/>
      <c r="UF14" s="384"/>
      <c r="UG14" s="384"/>
      <c r="UH14" s="384"/>
      <c r="UI14" s="384"/>
      <c r="UJ14" s="384"/>
      <c r="UK14" s="384"/>
      <c r="UL14" s="384"/>
      <c r="UM14" s="384"/>
      <c r="UN14" s="384"/>
      <c r="UO14" s="384"/>
      <c r="UP14" s="384"/>
      <c r="UQ14" s="384"/>
      <c r="UR14" s="384"/>
      <c r="US14" s="384"/>
      <c r="UT14" s="384"/>
      <c r="UU14" s="384"/>
      <c r="UV14" s="384"/>
      <c r="UW14" s="384"/>
      <c r="UX14" s="384"/>
      <c r="UY14" s="384"/>
      <c r="UZ14" s="384"/>
      <c r="VA14" s="384"/>
      <c r="VB14" s="384"/>
      <c r="VC14" s="384"/>
      <c r="VD14" s="384"/>
      <c r="VE14" s="384"/>
      <c r="VF14" s="384"/>
      <c r="VG14" s="384"/>
      <c r="VH14" s="384"/>
      <c r="VI14" s="384"/>
      <c r="VJ14" s="384"/>
      <c r="VK14" s="384"/>
      <c r="VL14" s="384"/>
      <c r="VM14" s="384"/>
      <c r="VN14" s="384"/>
      <c r="VO14" s="384"/>
      <c r="VP14" s="384"/>
      <c r="VQ14" s="384"/>
      <c r="VR14" s="384"/>
      <c r="VS14" s="384"/>
      <c r="VT14" s="384"/>
      <c r="VU14" s="384"/>
      <c r="VV14" s="384"/>
      <c r="VW14" s="384"/>
      <c r="VX14" s="384"/>
      <c r="VY14" s="384"/>
      <c r="VZ14" s="384"/>
      <c r="WA14" s="384"/>
      <c r="WB14" s="384"/>
      <c r="WC14" s="384"/>
      <c r="WD14" s="384"/>
      <c r="WE14" s="384"/>
      <c r="WF14" s="384"/>
      <c r="WG14" s="384"/>
      <c r="WH14" s="384"/>
      <c r="WI14" s="384"/>
      <c r="WJ14" s="384"/>
      <c r="WK14" s="384"/>
      <c r="WL14" s="384"/>
      <c r="WM14" s="384"/>
      <c r="WN14" s="384"/>
      <c r="WO14" s="384"/>
      <c r="WP14" s="384"/>
      <c r="WQ14" s="384"/>
      <c r="WR14" s="384"/>
      <c r="WS14" s="384"/>
      <c r="WT14" s="384"/>
      <c r="WU14" s="384"/>
      <c r="WV14" s="384"/>
      <c r="WW14" s="384"/>
      <c r="WX14" s="384"/>
      <c r="WY14" s="384"/>
      <c r="WZ14" s="384"/>
      <c r="XA14" s="384"/>
      <c r="XB14" s="384"/>
      <c r="XC14" s="384"/>
      <c r="XD14" s="384"/>
      <c r="XE14" s="384"/>
      <c r="XF14" s="384"/>
      <c r="XG14" s="384"/>
      <c r="XH14" s="384"/>
      <c r="XI14" s="384"/>
      <c r="XJ14" s="384"/>
      <c r="XK14" s="384"/>
      <c r="XL14" s="384"/>
      <c r="XM14" s="384"/>
      <c r="XN14" s="384"/>
      <c r="XO14" s="384"/>
      <c r="XP14" s="384"/>
      <c r="XQ14" s="523"/>
    </row>
    <row r="15" spans="1:641" s="524" customFormat="1" x14ac:dyDescent="0.25">
      <c r="A15" s="516" t="s">
        <v>1462</v>
      </c>
      <c r="B15" s="453" t="s">
        <v>1494</v>
      </c>
      <c r="C15" s="453" t="s">
        <v>1416</v>
      </c>
      <c r="D15" s="520" t="s">
        <v>1160</v>
      </c>
      <c r="E15" s="525" t="s">
        <v>1495</v>
      </c>
      <c r="F15" s="522">
        <v>44</v>
      </c>
      <c r="G15" s="522" t="s">
        <v>183</v>
      </c>
      <c r="H15" s="522" t="s">
        <v>35</v>
      </c>
      <c r="I15" s="461"/>
      <c r="J15" s="461"/>
      <c r="K15" s="461"/>
      <c r="L15" s="461"/>
      <c r="M15" s="461"/>
      <c r="N15" s="461"/>
      <c r="O15" s="461"/>
      <c r="P15" s="461"/>
      <c r="Q15" s="461"/>
      <c r="R15" s="461"/>
      <c r="S15" s="461"/>
      <c r="T15" s="461"/>
      <c r="U15" s="461"/>
      <c r="V15" s="461"/>
      <c r="W15" s="461"/>
      <c r="X15" s="461"/>
      <c r="Y15" s="461"/>
      <c r="Z15" s="461"/>
      <c r="AA15" s="461"/>
      <c r="AB15" s="461"/>
      <c r="AC15" s="461"/>
      <c r="AD15" s="461"/>
      <c r="AE15" s="461"/>
      <c r="AF15" s="461"/>
      <c r="AG15" s="461"/>
      <c r="AH15" s="461"/>
      <c r="AI15" s="461"/>
      <c r="AJ15" s="461"/>
      <c r="AK15" s="461"/>
      <c r="AL15" s="461"/>
      <c r="AM15" s="461"/>
      <c r="AN15" s="461"/>
      <c r="AO15" s="470"/>
      <c r="AP15" s="470"/>
      <c r="AQ15" s="470"/>
      <c r="AR15" s="470"/>
      <c r="AS15" s="470"/>
      <c r="AT15" s="470"/>
      <c r="AU15" s="470"/>
      <c r="AV15" s="384"/>
      <c r="AW15" s="384"/>
      <c r="AX15" s="384"/>
      <c r="AY15" s="384"/>
      <c r="AZ15" s="384"/>
      <c r="BA15" s="384"/>
      <c r="BB15" s="384"/>
      <c r="BC15" s="384"/>
      <c r="BD15" s="384"/>
      <c r="BE15" s="384"/>
      <c r="BF15" s="384"/>
      <c r="BG15" s="384"/>
      <c r="BH15" s="384"/>
      <c r="BI15" s="384"/>
      <c r="BJ15" s="384"/>
      <c r="BK15" s="384"/>
      <c r="BL15" s="384"/>
      <c r="BM15" s="384"/>
      <c r="BN15" s="384"/>
      <c r="BO15" s="384"/>
      <c r="BP15" s="384"/>
      <c r="BQ15" s="384"/>
      <c r="BR15" s="384"/>
      <c r="BS15" s="384"/>
      <c r="BT15" s="384"/>
      <c r="BU15" s="384"/>
      <c r="BV15" s="384"/>
      <c r="BW15" s="384"/>
      <c r="BX15" s="384"/>
      <c r="BY15" s="384"/>
      <c r="BZ15" s="384"/>
      <c r="CA15" s="384"/>
      <c r="CB15" s="384"/>
      <c r="CC15" s="384"/>
      <c r="CD15" s="384"/>
      <c r="CE15" s="384"/>
      <c r="CF15" s="384"/>
      <c r="CG15" s="384"/>
      <c r="CH15" s="384"/>
      <c r="CI15" s="384"/>
      <c r="CJ15" s="384"/>
      <c r="CK15" s="384"/>
      <c r="CL15" s="384"/>
      <c r="CM15" s="384"/>
      <c r="CN15" s="384"/>
      <c r="CO15" s="384"/>
      <c r="CP15" s="384"/>
      <c r="CQ15" s="384"/>
      <c r="CR15" s="384"/>
      <c r="CS15" s="384"/>
      <c r="CT15" s="384"/>
      <c r="CU15" s="384"/>
      <c r="CV15" s="384"/>
      <c r="CW15" s="384"/>
      <c r="CX15" s="384"/>
      <c r="CY15" s="384"/>
      <c r="CZ15" s="384"/>
      <c r="DA15" s="384"/>
      <c r="DB15" s="384"/>
      <c r="DC15" s="384"/>
      <c r="DD15" s="384"/>
      <c r="DE15" s="384"/>
      <c r="DF15" s="384"/>
      <c r="DG15" s="384"/>
      <c r="DH15" s="384"/>
      <c r="DI15" s="384"/>
      <c r="DJ15" s="384"/>
      <c r="DK15" s="384"/>
      <c r="DL15" s="384"/>
      <c r="DM15" s="384"/>
      <c r="DN15" s="384"/>
      <c r="DO15" s="384"/>
      <c r="DP15" s="384"/>
      <c r="DQ15" s="384"/>
      <c r="DR15" s="384"/>
      <c r="DS15" s="384"/>
      <c r="DT15" s="384"/>
      <c r="DU15" s="384"/>
      <c r="DV15" s="384"/>
      <c r="DW15" s="384"/>
      <c r="DX15" s="384"/>
      <c r="DY15" s="384"/>
      <c r="DZ15" s="384"/>
      <c r="EA15" s="384"/>
      <c r="EB15" s="384"/>
      <c r="EC15" s="384"/>
      <c r="ED15" s="384"/>
      <c r="EE15" s="384"/>
      <c r="EF15" s="384"/>
      <c r="EG15" s="384"/>
      <c r="EH15" s="384"/>
      <c r="EI15" s="384"/>
      <c r="EJ15" s="384"/>
      <c r="EK15" s="384"/>
      <c r="EL15" s="384"/>
      <c r="EM15" s="384"/>
      <c r="EN15" s="384"/>
      <c r="EO15" s="384"/>
      <c r="EP15" s="384"/>
      <c r="EQ15" s="384"/>
      <c r="ER15" s="384"/>
      <c r="ES15" s="384"/>
      <c r="ET15" s="384"/>
      <c r="EU15" s="384"/>
      <c r="EV15" s="384"/>
      <c r="EW15" s="384"/>
      <c r="EX15" s="384"/>
      <c r="EY15" s="384"/>
      <c r="EZ15" s="384"/>
      <c r="FA15" s="384"/>
      <c r="FB15" s="384"/>
      <c r="FC15" s="384"/>
      <c r="FD15" s="384"/>
      <c r="FE15" s="384"/>
      <c r="FF15" s="384"/>
      <c r="FG15" s="384"/>
      <c r="FH15" s="384"/>
      <c r="FI15" s="384"/>
      <c r="FJ15" s="384"/>
      <c r="FK15" s="384"/>
      <c r="FL15" s="384"/>
      <c r="FM15" s="384"/>
      <c r="FN15" s="384"/>
      <c r="FO15" s="384"/>
      <c r="FP15" s="384"/>
      <c r="FQ15" s="384"/>
      <c r="FR15" s="384"/>
      <c r="FS15" s="384"/>
      <c r="FT15" s="384"/>
      <c r="FU15" s="384"/>
      <c r="FV15" s="384"/>
      <c r="FW15" s="384"/>
      <c r="FX15" s="384"/>
      <c r="FY15" s="384"/>
      <c r="FZ15" s="384"/>
      <c r="GA15" s="384"/>
      <c r="GB15" s="384"/>
      <c r="GC15" s="384"/>
      <c r="GD15" s="384"/>
      <c r="GE15" s="384"/>
      <c r="GF15" s="384"/>
      <c r="GG15" s="384"/>
      <c r="GH15" s="384"/>
      <c r="GI15" s="384"/>
      <c r="GJ15" s="384"/>
      <c r="GK15" s="384"/>
      <c r="GL15" s="384"/>
      <c r="GM15" s="384"/>
      <c r="GN15" s="384"/>
      <c r="GO15" s="384"/>
      <c r="GP15" s="384"/>
      <c r="GQ15" s="384"/>
      <c r="GR15" s="384"/>
      <c r="GS15" s="384"/>
      <c r="GT15" s="384"/>
      <c r="GU15" s="384"/>
      <c r="GV15" s="384"/>
      <c r="GW15" s="384"/>
      <c r="GX15" s="384"/>
      <c r="GY15" s="384"/>
      <c r="GZ15" s="384"/>
      <c r="HA15" s="384"/>
      <c r="HB15" s="384"/>
      <c r="HC15" s="384"/>
      <c r="HD15" s="384"/>
      <c r="HE15" s="384"/>
      <c r="HF15" s="384"/>
      <c r="HG15" s="384"/>
      <c r="HH15" s="384"/>
      <c r="HI15" s="384"/>
      <c r="HJ15" s="384"/>
      <c r="HK15" s="384"/>
      <c r="HL15" s="384"/>
      <c r="HM15" s="384"/>
      <c r="HN15" s="384"/>
      <c r="HO15" s="384"/>
      <c r="HP15" s="384"/>
      <c r="HQ15" s="384"/>
      <c r="HR15" s="384"/>
      <c r="HS15" s="384"/>
      <c r="HT15" s="384"/>
      <c r="HU15" s="384"/>
      <c r="HV15" s="384"/>
      <c r="HW15" s="384"/>
      <c r="HX15" s="384"/>
      <c r="HY15" s="384"/>
      <c r="HZ15" s="384"/>
      <c r="IA15" s="384"/>
      <c r="IB15" s="384"/>
      <c r="IC15" s="384"/>
      <c r="ID15" s="384"/>
      <c r="IE15" s="384"/>
      <c r="IF15" s="384"/>
      <c r="IG15" s="384"/>
      <c r="IH15" s="384"/>
      <c r="II15" s="384"/>
      <c r="IJ15" s="384"/>
      <c r="IK15" s="384"/>
      <c r="IL15" s="384"/>
      <c r="IM15" s="384"/>
      <c r="IN15" s="384"/>
      <c r="IO15" s="384"/>
      <c r="IP15" s="384"/>
      <c r="IQ15" s="384"/>
      <c r="IR15" s="384"/>
      <c r="IS15" s="384"/>
      <c r="IT15" s="384"/>
      <c r="IU15" s="384"/>
      <c r="IV15" s="384"/>
      <c r="IW15" s="384"/>
      <c r="IX15" s="384"/>
      <c r="IY15" s="384"/>
      <c r="IZ15" s="384"/>
      <c r="JA15" s="384"/>
      <c r="JB15" s="384"/>
      <c r="JC15" s="384"/>
      <c r="JD15" s="384"/>
      <c r="JE15" s="384"/>
      <c r="JF15" s="384"/>
      <c r="JG15" s="384"/>
      <c r="JH15" s="384"/>
      <c r="JI15" s="384"/>
      <c r="JJ15" s="384"/>
      <c r="JK15" s="384"/>
      <c r="JL15" s="384"/>
      <c r="JM15" s="384"/>
      <c r="JN15" s="384"/>
      <c r="JO15" s="384"/>
      <c r="JP15" s="384"/>
      <c r="JQ15" s="384"/>
      <c r="JR15" s="384"/>
      <c r="JS15" s="384"/>
      <c r="JT15" s="384"/>
      <c r="JU15" s="384"/>
      <c r="JV15" s="384"/>
      <c r="JW15" s="384"/>
      <c r="JX15" s="384"/>
      <c r="JY15" s="384"/>
      <c r="JZ15" s="384"/>
      <c r="KA15" s="384"/>
      <c r="KB15" s="384"/>
      <c r="KC15" s="384"/>
      <c r="KD15" s="384"/>
      <c r="KE15" s="384"/>
      <c r="KF15" s="384"/>
      <c r="KG15" s="384"/>
      <c r="KH15" s="384"/>
      <c r="KI15" s="384"/>
      <c r="KJ15" s="384"/>
      <c r="KK15" s="384"/>
      <c r="KL15" s="384"/>
      <c r="KM15" s="384"/>
      <c r="KN15" s="384"/>
      <c r="KO15" s="384"/>
      <c r="KP15" s="384"/>
      <c r="KQ15" s="384"/>
      <c r="KR15" s="384"/>
      <c r="KS15" s="384"/>
      <c r="KT15" s="384"/>
      <c r="KU15" s="384"/>
      <c r="KV15" s="384"/>
      <c r="KW15" s="384"/>
      <c r="KX15" s="384"/>
      <c r="KY15" s="384"/>
      <c r="KZ15" s="384"/>
      <c r="LA15" s="384"/>
      <c r="LB15" s="384"/>
      <c r="LC15" s="384"/>
      <c r="LD15" s="384"/>
      <c r="LE15" s="384"/>
      <c r="LF15" s="384"/>
      <c r="LG15" s="384"/>
      <c r="LH15" s="384"/>
      <c r="LI15" s="384"/>
      <c r="LJ15" s="384"/>
      <c r="LK15" s="384"/>
      <c r="LL15" s="384"/>
      <c r="LM15" s="384"/>
      <c r="LN15" s="384"/>
      <c r="LO15" s="384"/>
      <c r="LP15" s="384"/>
      <c r="LQ15" s="384"/>
      <c r="LR15" s="384"/>
      <c r="LS15" s="384"/>
      <c r="LT15" s="384"/>
      <c r="LU15" s="384"/>
      <c r="LV15" s="384"/>
      <c r="LW15" s="384"/>
      <c r="LX15" s="384"/>
      <c r="LY15" s="384"/>
      <c r="LZ15" s="384"/>
      <c r="MA15" s="384"/>
      <c r="MB15" s="384"/>
      <c r="MC15" s="384"/>
      <c r="MD15" s="384"/>
      <c r="ME15" s="384"/>
      <c r="MF15" s="384"/>
      <c r="MG15" s="384"/>
      <c r="MH15" s="384"/>
      <c r="MI15" s="384"/>
      <c r="MJ15" s="384"/>
      <c r="MK15" s="384"/>
      <c r="ML15" s="384"/>
      <c r="MM15" s="384"/>
      <c r="MN15" s="384"/>
      <c r="MO15" s="384"/>
      <c r="MP15" s="384"/>
      <c r="MQ15" s="384"/>
      <c r="MR15" s="384"/>
      <c r="MS15" s="384"/>
      <c r="MT15" s="384"/>
      <c r="MU15" s="384"/>
      <c r="MV15" s="384"/>
      <c r="MW15" s="384"/>
      <c r="MX15" s="384"/>
      <c r="MY15" s="384"/>
      <c r="MZ15" s="384"/>
      <c r="NA15" s="384"/>
      <c r="NB15" s="384"/>
      <c r="NC15" s="384"/>
      <c r="ND15" s="384"/>
      <c r="NE15" s="384"/>
      <c r="NF15" s="384"/>
      <c r="NG15" s="384"/>
      <c r="NH15" s="384"/>
      <c r="NI15" s="384"/>
      <c r="NJ15" s="384"/>
      <c r="NK15" s="384"/>
      <c r="NL15" s="384"/>
      <c r="NM15" s="384"/>
      <c r="NN15" s="384"/>
      <c r="NO15" s="384"/>
      <c r="NP15" s="384"/>
      <c r="NQ15" s="384"/>
      <c r="NR15" s="384"/>
      <c r="NS15" s="384"/>
      <c r="NT15" s="384"/>
      <c r="NU15" s="384"/>
      <c r="NV15" s="384"/>
      <c r="NW15" s="384"/>
      <c r="NX15" s="384"/>
      <c r="NY15" s="384"/>
      <c r="NZ15" s="384"/>
      <c r="OA15" s="384"/>
      <c r="OB15" s="384"/>
      <c r="OC15" s="384"/>
      <c r="OD15" s="384"/>
      <c r="OE15" s="384"/>
      <c r="OF15" s="384"/>
      <c r="OG15" s="384"/>
      <c r="OH15" s="384"/>
      <c r="OI15" s="384"/>
      <c r="OJ15" s="384"/>
      <c r="OK15" s="384"/>
      <c r="OL15" s="384"/>
      <c r="OM15" s="384"/>
      <c r="ON15" s="384"/>
      <c r="OO15" s="384"/>
      <c r="OP15" s="384"/>
      <c r="OQ15" s="384"/>
      <c r="OR15" s="384"/>
      <c r="OS15" s="384"/>
      <c r="OT15" s="384"/>
      <c r="OU15" s="384"/>
      <c r="OV15" s="384"/>
      <c r="OW15" s="384"/>
      <c r="OX15" s="384"/>
      <c r="OY15" s="384"/>
      <c r="OZ15" s="384"/>
      <c r="PA15" s="384"/>
      <c r="PB15" s="384"/>
      <c r="PC15" s="384"/>
      <c r="PD15" s="384"/>
      <c r="PE15" s="384"/>
      <c r="PF15" s="384"/>
      <c r="PG15" s="384"/>
      <c r="PH15" s="384"/>
      <c r="PI15" s="384"/>
      <c r="PJ15" s="384"/>
      <c r="PK15" s="384"/>
      <c r="PL15" s="384"/>
      <c r="PM15" s="384"/>
      <c r="PN15" s="384"/>
      <c r="PO15" s="384"/>
      <c r="PP15" s="384"/>
      <c r="PQ15" s="384"/>
      <c r="PR15" s="384"/>
      <c r="PS15" s="384"/>
      <c r="PT15" s="384"/>
      <c r="PU15" s="384"/>
      <c r="PV15" s="384"/>
      <c r="PW15" s="384"/>
      <c r="PX15" s="384"/>
      <c r="PY15" s="384"/>
      <c r="PZ15" s="384"/>
      <c r="QA15" s="384"/>
      <c r="QB15" s="384"/>
      <c r="QC15" s="384"/>
      <c r="QD15" s="384"/>
      <c r="QE15" s="384"/>
      <c r="QF15" s="384"/>
      <c r="QG15" s="384"/>
      <c r="QH15" s="384"/>
      <c r="QI15" s="384"/>
      <c r="QJ15" s="384"/>
      <c r="QK15" s="384"/>
      <c r="QL15" s="384"/>
      <c r="QM15" s="384"/>
      <c r="QN15" s="384"/>
      <c r="QO15" s="384"/>
      <c r="QP15" s="384"/>
      <c r="QQ15" s="384"/>
      <c r="QR15" s="384"/>
      <c r="QS15" s="384"/>
      <c r="QT15" s="384"/>
      <c r="QU15" s="384"/>
      <c r="QV15" s="384"/>
      <c r="QW15" s="384"/>
      <c r="QX15" s="384"/>
      <c r="QY15" s="384"/>
      <c r="QZ15" s="384"/>
      <c r="RA15" s="384"/>
      <c r="RB15" s="384"/>
      <c r="RC15" s="384"/>
      <c r="RD15" s="384"/>
      <c r="RE15" s="384"/>
      <c r="RF15" s="384"/>
      <c r="RG15" s="384"/>
      <c r="RH15" s="384"/>
      <c r="RI15" s="384"/>
      <c r="RJ15" s="384"/>
      <c r="RK15" s="384"/>
      <c r="RL15" s="384"/>
      <c r="RM15" s="384"/>
      <c r="RN15" s="384"/>
      <c r="RO15" s="384"/>
      <c r="RP15" s="384"/>
      <c r="RQ15" s="384"/>
      <c r="RR15" s="384"/>
      <c r="RS15" s="384"/>
      <c r="RT15" s="384"/>
      <c r="RU15" s="384"/>
      <c r="RV15" s="384"/>
      <c r="RW15" s="384"/>
      <c r="RX15" s="384"/>
      <c r="RY15" s="384"/>
      <c r="RZ15" s="384"/>
      <c r="SA15" s="384"/>
      <c r="SB15" s="384"/>
      <c r="SC15" s="384"/>
      <c r="SD15" s="384"/>
      <c r="SE15" s="384"/>
      <c r="SF15" s="384"/>
      <c r="SG15" s="384"/>
      <c r="SH15" s="384"/>
      <c r="SI15" s="384"/>
      <c r="SJ15" s="384"/>
      <c r="SK15" s="384"/>
      <c r="SL15" s="384"/>
      <c r="SM15" s="384"/>
      <c r="SN15" s="384"/>
      <c r="SO15" s="384"/>
      <c r="SP15" s="384"/>
      <c r="SQ15" s="384"/>
      <c r="SR15" s="384"/>
      <c r="SS15" s="384"/>
      <c r="ST15" s="384"/>
      <c r="SU15" s="384"/>
      <c r="SV15" s="384"/>
      <c r="SW15" s="384"/>
      <c r="SX15" s="384"/>
      <c r="SY15" s="384"/>
      <c r="SZ15" s="384"/>
      <c r="TA15" s="384"/>
      <c r="TB15" s="384"/>
      <c r="TC15" s="384"/>
      <c r="TD15" s="384"/>
      <c r="TE15" s="384"/>
      <c r="TF15" s="384"/>
      <c r="TG15" s="384"/>
      <c r="TH15" s="384"/>
      <c r="TI15" s="384"/>
      <c r="TJ15" s="384"/>
      <c r="TK15" s="384"/>
      <c r="TL15" s="384"/>
      <c r="TM15" s="384"/>
      <c r="TN15" s="384"/>
      <c r="TO15" s="384"/>
      <c r="TP15" s="384"/>
      <c r="TQ15" s="384"/>
      <c r="TR15" s="384"/>
      <c r="TS15" s="384"/>
      <c r="TT15" s="384"/>
      <c r="TU15" s="384"/>
      <c r="TV15" s="384"/>
      <c r="TW15" s="384"/>
      <c r="TX15" s="384"/>
      <c r="TY15" s="384"/>
      <c r="TZ15" s="384"/>
      <c r="UA15" s="384"/>
      <c r="UB15" s="384"/>
      <c r="UC15" s="384"/>
      <c r="UD15" s="384"/>
      <c r="UE15" s="384"/>
      <c r="UF15" s="384"/>
      <c r="UG15" s="384"/>
      <c r="UH15" s="384"/>
      <c r="UI15" s="384"/>
      <c r="UJ15" s="384"/>
      <c r="UK15" s="384"/>
      <c r="UL15" s="384"/>
      <c r="UM15" s="384"/>
      <c r="UN15" s="384"/>
      <c r="UO15" s="384"/>
      <c r="UP15" s="384"/>
      <c r="UQ15" s="384"/>
      <c r="UR15" s="384"/>
      <c r="US15" s="384"/>
      <c r="UT15" s="384"/>
      <c r="UU15" s="384"/>
      <c r="UV15" s="384"/>
      <c r="UW15" s="384"/>
      <c r="UX15" s="384"/>
      <c r="UY15" s="384"/>
      <c r="UZ15" s="384"/>
      <c r="VA15" s="384"/>
      <c r="VB15" s="384"/>
      <c r="VC15" s="384"/>
      <c r="VD15" s="384"/>
      <c r="VE15" s="384"/>
      <c r="VF15" s="384"/>
      <c r="VG15" s="384"/>
      <c r="VH15" s="384"/>
      <c r="VI15" s="384"/>
      <c r="VJ15" s="384"/>
      <c r="VK15" s="384"/>
      <c r="VL15" s="384"/>
      <c r="VM15" s="384"/>
      <c r="VN15" s="384"/>
      <c r="VO15" s="384"/>
      <c r="VP15" s="384"/>
      <c r="VQ15" s="384"/>
      <c r="VR15" s="384"/>
      <c r="VS15" s="384"/>
      <c r="VT15" s="384"/>
      <c r="VU15" s="384"/>
      <c r="VV15" s="384"/>
      <c r="VW15" s="384"/>
      <c r="VX15" s="384"/>
      <c r="VY15" s="384"/>
      <c r="VZ15" s="384"/>
      <c r="WA15" s="384"/>
      <c r="WB15" s="384"/>
      <c r="WC15" s="384"/>
      <c r="WD15" s="384"/>
      <c r="WE15" s="384"/>
      <c r="WF15" s="384"/>
      <c r="WG15" s="384"/>
      <c r="WH15" s="384"/>
      <c r="WI15" s="384"/>
      <c r="WJ15" s="384"/>
      <c r="WK15" s="384"/>
      <c r="WL15" s="384"/>
      <c r="WM15" s="384"/>
      <c r="WN15" s="384"/>
      <c r="WO15" s="384"/>
      <c r="WP15" s="384"/>
      <c r="WQ15" s="384"/>
      <c r="WR15" s="384"/>
      <c r="WS15" s="384"/>
      <c r="WT15" s="384"/>
      <c r="WU15" s="384"/>
      <c r="WV15" s="384"/>
      <c r="WW15" s="384"/>
      <c r="WX15" s="384"/>
      <c r="WY15" s="384"/>
      <c r="WZ15" s="384"/>
      <c r="XA15" s="384"/>
      <c r="XB15" s="384"/>
      <c r="XC15" s="384"/>
      <c r="XD15" s="384"/>
      <c r="XE15" s="384"/>
      <c r="XF15" s="384"/>
      <c r="XG15" s="384"/>
      <c r="XH15" s="384"/>
      <c r="XI15" s="384"/>
      <c r="XJ15" s="384"/>
      <c r="XK15" s="384"/>
      <c r="XL15" s="384"/>
      <c r="XM15" s="384"/>
      <c r="XN15" s="384"/>
      <c r="XO15" s="384"/>
      <c r="XP15" s="384"/>
      <c r="XQ15" s="523"/>
    </row>
    <row r="16" spans="1:641" s="524" customFormat="1" x14ac:dyDescent="0.25">
      <c r="A16" s="189" t="s">
        <v>1463</v>
      </c>
      <c r="B16" s="453" t="s">
        <v>1505</v>
      </c>
      <c r="C16" s="453" t="s">
        <v>1506</v>
      </c>
      <c r="D16" s="520" t="s">
        <v>1160</v>
      </c>
      <c r="E16" s="525" t="s">
        <v>1544</v>
      </c>
      <c r="F16" s="522">
        <v>46</v>
      </c>
      <c r="G16" s="522" t="s">
        <v>183</v>
      </c>
      <c r="H16" s="522" t="s">
        <v>35</v>
      </c>
      <c r="I16" s="461"/>
      <c r="J16" s="461"/>
      <c r="K16" s="461"/>
      <c r="L16" s="461"/>
      <c r="M16" s="461"/>
      <c r="N16" s="461"/>
      <c r="O16" s="461"/>
      <c r="P16" s="461"/>
      <c r="Q16" s="461"/>
      <c r="R16" s="461"/>
      <c r="S16" s="461"/>
      <c r="T16" s="461"/>
      <c r="U16" s="461"/>
      <c r="V16" s="461"/>
      <c r="W16" s="461"/>
      <c r="X16" s="461"/>
      <c r="Y16" s="461"/>
      <c r="Z16" s="461"/>
      <c r="AA16" s="461"/>
      <c r="AB16" s="461"/>
      <c r="AC16" s="461"/>
      <c r="AD16" s="461"/>
      <c r="AE16" s="461"/>
      <c r="AF16" s="461"/>
      <c r="AG16" s="461"/>
      <c r="AH16" s="461"/>
      <c r="AI16" s="461"/>
      <c r="AJ16" s="461"/>
      <c r="AK16" s="461"/>
      <c r="AL16" s="461"/>
      <c r="AM16" s="461"/>
      <c r="AN16" s="461"/>
      <c r="AO16" s="470"/>
      <c r="AP16" s="470"/>
      <c r="AQ16" s="470"/>
      <c r="AR16" s="470"/>
      <c r="AS16" s="470"/>
      <c r="AT16" s="470"/>
      <c r="AU16" s="470"/>
      <c r="AV16" s="384"/>
      <c r="AW16" s="384"/>
      <c r="AX16" s="384"/>
      <c r="AY16" s="384"/>
      <c r="AZ16" s="384"/>
      <c r="BA16" s="384"/>
      <c r="BB16" s="384"/>
      <c r="BC16" s="384"/>
      <c r="BD16" s="384"/>
      <c r="BE16" s="384"/>
      <c r="BF16" s="384"/>
      <c r="BG16" s="384"/>
      <c r="BH16" s="384"/>
      <c r="BI16" s="384"/>
      <c r="BJ16" s="384"/>
      <c r="BK16" s="384"/>
      <c r="BL16" s="384"/>
      <c r="BM16" s="384"/>
      <c r="BN16" s="384"/>
      <c r="BO16" s="384"/>
      <c r="BP16" s="384"/>
      <c r="BQ16" s="384"/>
      <c r="BR16" s="384"/>
      <c r="BS16" s="384"/>
      <c r="BT16" s="384"/>
      <c r="BU16" s="384"/>
      <c r="BV16" s="384"/>
      <c r="BW16" s="384"/>
      <c r="BX16" s="384"/>
      <c r="BY16" s="384"/>
      <c r="BZ16" s="384"/>
      <c r="CA16" s="384"/>
      <c r="CB16" s="384"/>
      <c r="CC16" s="384"/>
      <c r="CD16" s="384"/>
      <c r="CE16" s="384"/>
      <c r="CF16" s="384"/>
      <c r="CG16" s="384"/>
      <c r="CH16" s="384"/>
      <c r="CI16" s="384"/>
      <c r="CJ16" s="384"/>
      <c r="CK16" s="384"/>
      <c r="CL16" s="384"/>
      <c r="CM16" s="384"/>
      <c r="CN16" s="384"/>
      <c r="CO16" s="384"/>
      <c r="CP16" s="384"/>
      <c r="CQ16" s="384"/>
      <c r="CR16" s="384"/>
      <c r="CS16" s="384"/>
      <c r="CT16" s="384"/>
      <c r="CU16" s="384"/>
      <c r="CV16" s="384"/>
      <c r="CW16" s="384"/>
      <c r="CX16" s="384"/>
      <c r="CY16" s="384"/>
      <c r="CZ16" s="384"/>
      <c r="DA16" s="384"/>
      <c r="DB16" s="384"/>
      <c r="DC16" s="384"/>
      <c r="DD16" s="384"/>
      <c r="DE16" s="384"/>
      <c r="DF16" s="384"/>
      <c r="DG16" s="384"/>
      <c r="DH16" s="384"/>
      <c r="DI16" s="384"/>
      <c r="DJ16" s="384"/>
      <c r="DK16" s="384"/>
      <c r="DL16" s="384"/>
      <c r="DM16" s="384"/>
      <c r="DN16" s="384"/>
      <c r="DO16" s="384"/>
      <c r="DP16" s="384"/>
      <c r="DQ16" s="384"/>
      <c r="DR16" s="384"/>
      <c r="DS16" s="384"/>
      <c r="DT16" s="384"/>
      <c r="DU16" s="384"/>
      <c r="DV16" s="384"/>
      <c r="DW16" s="384"/>
      <c r="DX16" s="384"/>
      <c r="DY16" s="384"/>
      <c r="DZ16" s="384"/>
      <c r="EA16" s="384"/>
      <c r="EB16" s="384"/>
      <c r="EC16" s="384"/>
      <c r="ED16" s="384"/>
      <c r="EE16" s="384"/>
      <c r="EF16" s="384"/>
      <c r="EG16" s="384"/>
      <c r="EH16" s="384"/>
      <c r="EI16" s="384"/>
      <c r="EJ16" s="384"/>
      <c r="EK16" s="384"/>
      <c r="EL16" s="384"/>
      <c r="EM16" s="384"/>
      <c r="EN16" s="384"/>
      <c r="EO16" s="384"/>
      <c r="EP16" s="384"/>
      <c r="EQ16" s="384"/>
      <c r="ER16" s="384"/>
      <c r="ES16" s="384"/>
      <c r="ET16" s="384"/>
      <c r="EU16" s="384"/>
      <c r="EV16" s="384"/>
      <c r="EW16" s="384"/>
      <c r="EX16" s="384"/>
      <c r="EY16" s="384"/>
      <c r="EZ16" s="384"/>
      <c r="FA16" s="384"/>
      <c r="FB16" s="384"/>
      <c r="FC16" s="384"/>
      <c r="FD16" s="384"/>
      <c r="FE16" s="384"/>
      <c r="FF16" s="384"/>
      <c r="FG16" s="384"/>
      <c r="FH16" s="384"/>
      <c r="FI16" s="384"/>
      <c r="FJ16" s="384"/>
      <c r="FK16" s="384"/>
      <c r="FL16" s="384"/>
      <c r="FM16" s="384"/>
      <c r="FN16" s="384"/>
      <c r="FO16" s="384"/>
      <c r="FP16" s="384"/>
      <c r="FQ16" s="384"/>
      <c r="FR16" s="384"/>
      <c r="FS16" s="384"/>
      <c r="FT16" s="384"/>
      <c r="FU16" s="384"/>
      <c r="FV16" s="384"/>
      <c r="FW16" s="384"/>
      <c r="FX16" s="384"/>
      <c r="FY16" s="384"/>
      <c r="FZ16" s="384"/>
      <c r="GA16" s="384"/>
      <c r="GB16" s="384"/>
      <c r="GC16" s="384"/>
      <c r="GD16" s="384"/>
      <c r="GE16" s="384"/>
      <c r="GF16" s="384"/>
      <c r="GG16" s="384"/>
      <c r="GH16" s="384"/>
      <c r="GI16" s="384"/>
      <c r="GJ16" s="384"/>
      <c r="GK16" s="384"/>
      <c r="GL16" s="384"/>
      <c r="GM16" s="384"/>
      <c r="GN16" s="384"/>
      <c r="GO16" s="384"/>
      <c r="GP16" s="384"/>
      <c r="GQ16" s="384"/>
      <c r="GR16" s="384"/>
      <c r="GS16" s="384"/>
      <c r="GT16" s="384"/>
      <c r="GU16" s="384"/>
      <c r="GV16" s="384"/>
      <c r="GW16" s="384"/>
      <c r="GX16" s="384"/>
      <c r="GY16" s="384"/>
      <c r="GZ16" s="384"/>
      <c r="HA16" s="384"/>
      <c r="HB16" s="384"/>
      <c r="HC16" s="384"/>
      <c r="HD16" s="384"/>
      <c r="HE16" s="384"/>
      <c r="HF16" s="384"/>
      <c r="HG16" s="384"/>
      <c r="HH16" s="384"/>
      <c r="HI16" s="384"/>
      <c r="HJ16" s="384"/>
      <c r="HK16" s="384"/>
      <c r="HL16" s="384"/>
      <c r="HM16" s="384"/>
      <c r="HN16" s="384"/>
      <c r="HO16" s="384"/>
      <c r="HP16" s="384"/>
      <c r="HQ16" s="384"/>
      <c r="HR16" s="384"/>
      <c r="HS16" s="384"/>
      <c r="HT16" s="384"/>
      <c r="HU16" s="384"/>
      <c r="HV16" s="384"/>
      <c r="HW16" s="384"/>
      <c r="HX16" s="384"/>
      <c r="HY16" s="384"/>
      <c r="HZ16" s="384"/>
      <c r="IA16" s="384"/>
      <c r="IB16" s="384"/>
      <c r="IC16" s="384"/>
      <c r="ID16" s="384"/>
      <c r="IE16" s="384"/>
      <c r="IF16" s="384"/>
      <c r="IG16" s="384"/>
      <c r="IH16" s="384"/>
      <c r="II16" s="384"/>
      <c r="IJ16" s="384"/>
      <c r="IK16" s="384"/>
      <c r="IL16" s="384"/>
      <c r="IM16" s="384"/>
      <c r="IN16" s="384"/>
      <c r="IO16" s="384"/>
      <c r="IP16" s="384"/>
      <c r="IQ16" s="384"/>
      <c r="IR16" s="384"/>
      <c r="IS16" s="384"/>
      <c r="IT16" s="384"/>
      <c r="IU16" s="384"/>
      <c r="IV16" s="384"/>
      <c r="IW16" s="384"/>
      <c r="IX16" s="384"/>
      <c r="IY16" s="384"/>
      <c r="IZ16" s="384"/>
      <c r="JA16" s="384"/>
      <c r="JB16" s="384"/>
      <c r="JC16" s="384"/>
      <c r="JD16" s="384"/>
      <c r="JE16" s="384"/>
      <c r="JF16" s="384"/>
      <c r="JG16" s="384"/>
      <c r="JH16" s="384"/>
      <c r="JI16" s="384"/>
      <c r="JJ16" s="384"/>
      <c r="JK16" s="384"/>
      <c r="JL16" s="384"/>
      <c r="JM16" s="384"/>
      <c r="JN16" s="384"/>
      <c r="JO16" s="384"/>
      <c r="JP16" s="384"/>
      <c r="JQ16" s="384"/>
      <c r="JR16" s="384"/>
      <c r="JS16" s="384"/>
      <c r="JT16" s="384"/>
      <c r="JU16" s="384"/>
      <c r="JV16" s="384"/>
      <c r="JW16" s="384"/>
      <c r="JX16" s="384"/>
      <c r="JY16" s="384"/>
      <c r="JZ16" s="384"/>
      <c r="KA16" s="384"/>
      <c r="KB16" s="384"/>
      <c r="KC16" s="384"/>
      <c r="KD16" s="384"/>
      <c r="KE16" s="384"/>
      <c r="KF16" s="384"/>
      <c r="KG16" s="384"/>
      <c r="KH16" s="384"/>
      <c r="KI16" s="384"/>
      <c r="KJ16" s="384"/>
      <c r="KK16" s="384"/>
      <c r="KL16" s="384"/>
      <c r="KM16" s="384"/>
      <c r="KN16" s="384"/>
      <c r="KO16" s="384"/>
      <c r="KP16" s="384"/>
      <c r="KQ16" s="384"/>
      <c r="KR16" s="384"/>
      <c r="KS16" s="384"/>
      <c r="KT16" s="384"/>
      <c r="KU16" s="384"/>
      <c r="KV16" s="384"/>
      <c r="KW16" s="384"/>
      <c r="KX16" s="384"/>
      <c r="KY16" s="384"/>
      <c r="KZ16" s="384"/>
      <c r="LA16" s="384"/>
      <c r="LB16" s="384"/>
      <c r="LC16" s="384"/>
      <c r="LD16" s="384"/>
      <c r="LE16" s="384"/>
      <c r="LF16" s="384"/>
      <c r="LG16" s="384"/>
      <c r="LH16" s="384"/>
      <c r="LI16" s="384"/>
      <c r="LJ16" s="384"/>
      <c r="LK16" s="384"/>
      <c r="LL16" s="384"/>
      <c r="LM16" s="384"/>
      <c r="LN16" s="384"/>
      <c r="LO16" s="384"/>
      <c r="LP16" s="384"/>
      <c r="LQ16" s="384"/>
      <c r="LR16" s="384"/>
      <c r="LS16" s="384"/>
      <c r="LT16" s="384"/>
      <c r="LU16" s="384"/>
      <c r="LV16" s="384"/>
      <c r="LW16" s="384"/>
      <c r="LX16" s="384"/>
      <c r="LY16" s="384"/>
      <c r="LZ16" s="384"/>
      <c r="MA16" s="384"/>
      <c r="MB16" s="384"/>
      <c r="MC16" s="384"/>
      <c r="MD16" s="384"/>
      <c r="ME16" s="384"/>
      <c r="MF16" s="384"/>
      <c r="MG16" s="384"/>
      <c r="MH16" s="384"/>
      <c r="MI16" s="384"/>
      <c r="MJ16" s="384"/>
      <c r="MK16" s="384"/>
      <c r="ML16" s="384"/>
      <c r="MM16" s="384"/>
      <c r="MN16" s="384"/>
      <c r="MO16" s="384"/>
      <c r="MP16" s="384"/>
      <c r="MQ16" s="384"/>
      <c r="MR16" s="384"/>
      <c r="MS16" s="384"/>
      <c r="MT16" s="384"/>
      <c r="MU16" s="384"/>
      <c r="MV16" s="384"/>
      <c r="MW16" s="384"/>
      <c r="MX16" s="384"/>
      <c r="MY16" s="384"/>
      <c r="MZ16" s="384"/>
      <c r="NA16" s="384"/>
      <c r="NB16" s="384"/>
      <c r="NC16" s="384"/>
      <c r="ND16" s="384"/>
      <c r="NE16" s="384"/>
      <c r="NF16" s="384"/>
      <c r="NG16" s="384"/>
      <c r="NH16" s="384"/>
      <c r="NI16" s="384"/>
      <c r="NJ16" s="384"/>
      <c r="NK16" s="384"/>
      <c r="NL16" s="384"/>
      <c r="NM16" s="384"/>
      <c r="NN16" s="384"/>
      <c r="NO16" s="384"/>
      <c r="NP16" s="384"/>
      <c r="NQ16" s="384"/>
      <c r="NR16" s="384"/>
      <c r="NS16" s="384"/>
      <c r="NT16" s="384"/>
      <c r="NU16" s="384"/>
      <c r="NV16" s="384"/>
      <c r="NW16" s="384"/>
      <c r="NX16" s="384"/>
      <c r="NY16" s="384"/>
      <c r="NZ16" s="384"/>
      <c r="OA16" s="384"/>
      <c r="OB16" s="384"/>
      <c r="OC16" s="384"/>
      <c r="OD16" s="384"/>
      <c r="OE16" s="384"/>
      <c r="OF16" s="384"/>
      <c r="OG16" s="384"/>
      <c r="OH16" s="384"/>
      <c r="OI16" s="384"/>
      <c r="OJ16" s="384"/>
      <c r="OK16" s="384"/>
      <c r="OL16" s="384"/>
      <c r="OM16" s="384"/>
      <c r="ON16" s="384"/>
      <c r="OO16" s="384"/>
      <c r="OP16" s="384"/>
      <c r="OQ16" s="384"/>
      <c r="OR16" s="384"/>
      <c r="OS16" s="384"/>
      <c r="OT16" s="384"/>
      <c r="OU16" s="384"/>
      <c r="OV16" s="384"/>
      <c r="OW16" s="384"/>
      <c r="OX16" s="384"/>
      <c r="OY16" s="384"/>
      <c r="OZ16" s="384"/>
      <c r="PA16" s="384"/>
      <c r="PB16" s="384"/>
      <c r="PC16" s="384"/>
      <c r="PD16" s="384"/>
      <c r="PE16" s="384"/>
      <c r="PF16" s="384"/>
      <c r="PG16" s="384"/>
      <c r="PH16" s="384"/>
      <c r="PI16" s="384"/>
      <c r="PJ16" s="384"/>
      <c r="PK16" s="384"/>
      <c r="PL16" s="384"/>
      <c r="PM16" s="384"/>
      <c r="PN16" s="384"/>
      <c r="PO16" s="384"/>
      <c r="PP16" s="384"/>
      <c r="PQ16" s="384"/>
      <c r="PR16" s="384"/>
      <c r="PS16" s="384"/>
      <c r="PT16" s="384"/>
      <c r="PU16" s="384"/>
      <c r="PV16" s="384"/>
      <c r="PW16" s="384"/>
      <c r="PX16" s="384"/>
      <c r="PY16" s="384"/>
      <c r="PZ16" s="384"/>
      <c r="QA16" s="384"/>
      <c r="QB16" s="384"/>
      <c r="QC16" s="384"/>
      <c r="QD16" s="384"/>
      <c r="QE16" s="384"/>
      <c r="QF16" s="384"/>
      <c r="QG16" s="384"/>
      <c r="QH16" s="384"/>
      <c r="QI16" s="384"/>
      <c r="QJ16" s="384"/>
      <c r="QK16" s="384"/>
      <c r="QL16" s="384"/>
      <c r="QM16" s="384"/>
      <c r="QN16" s="384"/>
      <c r="QO16" s="384"/>
      <c r="QP16" s="384"/>
      <c r="QQ16" s="384"/>
      <c r="QR16" s="384"/>
      <c r="QS16" s="384"/>
      <c r="QT16" s="384"/>
      <c r="QU16" s="384"/>
      <c r="QV16" s="384"/>
      <c r="QW16" s="384"/>
      <c r="QX16" s="384"/>
      <c r="QY16" s="384"/>
      <c r="QZ16" s="384"/>
      <c r="RA16" s="384"/>
      <c r="RB16" s="384"/>
      <c r="RC16" s="384"/>
      <c r="RD16" s="384"/>
      <c r="RE16" s="384"/>
      <c r="RF16" s="384"/>
      <c r="RG16" s="384"/>
      <c r="RH16" s="384"/>
      <c r="RI16" s="384"/>
      <c r="RJ16" s="384"/>
      <c r="RK16" s="384"/>
      <c r="RL16" s="384"/>
      <c r="RM16" s="384"/>
      <c r="RN16" s="384"/>
      <c r="RO16" s="384"/>
      <c r="RP16" s="384"/>
      <c r="RQ16" s="384"/>
      <c r="RR16" s="384"/>
      <c r="RS16" s="384"/>
      <c r="RT16" s="384"/>
      <c r="RU16" s="384"/>
      <c r="RV16" s="384"/>
      <c r="RW16" s="384"/>
      <c r="RX16" s="384"/>
      <c r="RY16" s="384"/>
      <c r="RZ16" s="384"/>
      <c r="SA16" s="384"/>
      <c r="SB16" s="384"/>
      <c r="SC16" s="384"/>
      <c r="SD16" s="384"/>
      <c r="SE16" s="384"/>
      <c r="SF16" s="384"/>
      <c r="SG16" s="384"/>
      <c r="SH16" s="384"/>
      <c r="SI16" s="384"/>
      <c r="SJ16" s="384"/>
      <c r="SK16" s="384"/>
      <c r="SL16" s="384"/>
      <c r="SM16" s="384"/>
      <c r="SN16" s="384"/>
      <c r="SO16" s="384"/>
      <c r="SP16" s="384"/>
      <c r="SQ16" s="384"/>
      <c r="SR16" s="384"/>
      <c r="SS16" s="384"/>
      <c r="ST16" s="384"/>
      <c r="SU16" s="384"/>
      <c r="SV16" s="384"/>
      <c r="SW16" s="384"/>
      <c r="SX16" s="384"/>
      <c r="SY16" s="384"/>
      <c r="SZ16" s="384"/>
      <c r="TA16" s="384"/>
      <c r="TB16" s="384"/>
      <c r="TC16" s="384"/>
      <c r="TD16" s="384"/>
      <c r="TE16" s="384"/>
      <c r="TF16" s="384"/>
      <c r="TG16" s="384"/>
      <c r="TH16" s="384"/>
      <c r="TI16" s="384"/>
      <c r="TJ16" s="384"/>
      <c r="TK16" s="384"/>
      <c r="TL16" s="384"/>
      <c r="TM16" s="384"/>
      <c r="TN16" s="384"/>
      <c r="TO16" s="384"/>
      <c r="TP16" s="384"/>
      <c r="TQ16" s="384"/>
      <c r="TR16" s="384"/>
      <c r="TS16" s="384"/>
      <c r="TT16" s="384"/>
      <c r="TU16" s="384"/>
      <c r="TV16" s="384"/>
      <c r="TW16" s="384"/>
      <c r="TX16" s="384"/>
      <c r="TY16" s="384"/>
      <c r="TZ16" s="384"/>
      <c r="UA16" s="384"/>
      <c r="UB16" s="384"/>
      <c r="UC16" s="384"/>
      <c r="UD16" s="384"/>
      <c r="UE16" s="384"/>
      <c r="UF16" s="384"/>
      <c r="UG16" s="384"/>
      <c r="UH16" s="384"/>
      <c r="UI16" s="384"/>
      <c r="UJ16" s="384"/>
      <c r="UK16" s="384"/>
      <c r="UL16" s="384"/>
      <c r="UM16" s="384"/>
      <c r="UN16" s="384"/>
      <c r="UO16" s="384"/>
      <c r="UP16" s="384"/>
      <c r="UQ16" s="384"/>
      <c r="UR16" s="384"/>
      <c r="US16" s="384"/>
      <c r="UT16" s="384"/>
      <c r="UU16" s="384"/>
      <c r="UV16" s="384"/>
      <c r="UW16" s="384"/>
      <c r="UX16" s="384"/>
      <c r="UY16" s="384"/>
      <c r="UZ16" s="384"/>
      <c r="VA16" s="384"/>
      <c r="VB16" s="384"/>
      <c r="VC16" s="384"/>
      <c r="VD16" s="384"/>
      <c r="VE16" s="384"/>
      <c r="VF16" s="384"/>
      <c r="VG16" s="384"/>
      <c r="VH16" s="384"/>
      <c r="VI16" s="384"/>
      <c r="VJ16" s="384"/>
      <c r="VK16" s="384"/>
      <c r="VL16" s="384"/>
      <c r="VM16" s="384"/>
      <c r="VN16" s="384"/>
      <c r="VO16" s="384"/>
      <c r="VP16" s="384"/>
      <c r="VQ16" s="384"/>
      <c r="VR16" s="384"/>
      <c r="VS16" s="384"/>
      <c r="VT16" s="384"/>
      <c r="VU16" s="384"/>
      <c r="VV16" s="384"/>
      <c r="VW16" s="384"/>
      <c r="VX16" s="384"/>
      <c r="VY16" s="384"/>
      <c r="VZ16" s="384"/>
      <c r="WA16" s="384"/>
      <c r="WB16" s="384"/>
      <c r="WC16" s="384"/>
      <c r="WD16" s="384"/>
      <c r="WE16" s="384"/>
      <c r="WF16" s="384"/>
      <c r="WG16" s="384"/>
      <c r="WH16" s="384"/>
      <c r="WI16" s="384"/>
      <c r="WJ16" s="384"/>
      <c r="WK16" s="384"/>
      <c r="WL16" s="384"/>
      <c r="WM16" s="384"/>
      <c r="WN16" s="384"/>
      <c r="WO16" s="384"/>
      <c r="WP16" s="384"/>
      <c r="WQ16" s="384"/>
      <c r="WR16" s="384"/>
      <c r="WS16" s="384"/>
      <c r="WT16" s="384"/>
      <c r="WU16" s="384"/>
      <c r="WV16" s="384"/>
      <c r="WW16" s="384"/>
      <c r="WX16" s="384"/>
      <c r="WY16" s="384"/>
      <c r="WZ16" s="384"/>
      <c r="XA16" s="384"/>
      <c r="XB16" s="384"/>
      <c r="XC16" s="384"/>
      <c r="XD16" s="384"/>
      <c r="XE16" s="384"/>
      <c r="XF16" s="384"/>
      <c r="XG16" s="384"/>
      <c r="XH16" s="384"/>
      <c r="XI16" s="384"/>
      <c r="XJ16" s="384"/>
      <c r="XK16" s="384"/>
      <c r="XL16" s="384"/>
      <c r="XM16" s="384"/>
      <c r="XN16" s="384"/>
      <c r="XO16" s="384"/>
      <c r="XP16" s="384"/>
      <c r="XQ16" s="523"/>
    </row>
    <row r="17" spans="1:644" s="23" customFormat="1" x14ac:dyDescent="0.25">
      <c r="A17" s="189" t="s">
        <v>1464</v>
      </c>
      <c r="B17" s="140" t="s">
        <v>267</v>
      </c>
      <c r="C17" s="140" t="s">
        <v>1252</v>
      </c>
      <c r="D17" s="437" t="s">
        <v>1160</v>
      </c>
      <c r="E17" s="439" t="s">
        <v>1363</v>
      </c>
      <c r="F17" s="155">
        <v>37</v>
      </c>
      <c r="G17" s="155" t="s">
        <v>183</v>
      </c>
      <c r="H17" s="155" t="s">
        <v>35</v>
      </c>
      <c r="I17" s="28"/>
      <c r="J17" s="28"/>
      <c r="K17" s="450"/>
      <c r="L17" s="330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351"/>
      <c r="Z17" s="351"/>
      <c r="AA17" s="28"/>
      <c r="AB17" s="28"/>
      <c r="AC17" s="351"/>
      <c r="AD17" s="351"/>
      <c r="AE17" s="351"/>
      <c r="AF17" s="351" t="s">
        <v>1290</v>
      </c>
      <c r="AG17" s="351" t="s">
        <v>1291</v>
      </c>
      <c r="AH17" s="461"/>
      <c r="AI17" s="330"/>
      <c r="AJ17" s="28"/>
      <c r="AK17" s="28"/>
      <c r="AL17" s="28"/>
      <c r="AM17" s="28"/>
      <c r="AN17" s="28"/>
      <c r="AO17" s="468"/>
      <c r="AP17" s="468"/>
      <c r="AQ17" s="468"/>
      <c r="AR17" s="468"/>
      <c r="AS17" s="468"/>
      <c r="AT17" s="468"/>
      <c r="AU17" s="468"/>
      <c r="AV17" s="471"/>
      <c r="AW17" s="471"/>
      <c r="AX17" s="471"/>
      <c r="AY17" s="471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8"/>
      <c r="DF17" s="468"/>
      <c r="DG17" s="468"/>
      <c r="DH17" s="468"/>
      <c r="DI17" s="468"/>
      <c r="DJ17" s="468"/>
      <c r="DK17" s="468"/>
      <c r="DL17" s="468"/>
      <c r="DM17" s="468"/>
      <c r="DN17" s="468"/>
      <c r="DO17" s="468"/>
      <c r="DP17" s="468"/>
      <c r="DQ17" s="468"/>
      <c r="DR17" s="468"/>
      <c r="DS17" s="468"/>
      <c r="DT17" s="468"/>
      <c r="DU17" s="468"/>
      <c r="DV17" s="468"/>
      <c r="DW17" s="468"/>
      <c r="DX17" s="468"/>
      <c r="DY17" s="468"/>
      <c r="DZ17" s="468"/>
      <c r="EA17" s="468"/>
      <c r="EB17" s="468"/>
      <c r="EC17" s="468"/>
      <c r="ED17" s="468"/>
      <c r="EE17" s="468"/>
      <c r="EF17" s="468"/>
      <c r="EG17" s="468"/>
      <c r="EH17" s="468"/>
      <c r="EI17" s="468"/>
      <c r="EJ17" s="468"/>
      <c r="EK17" s="468"/>
      <c r="EL17" s="468"/>
      <c r="EM17" s="468"/>
      <c r="EN17" s="468"/>
      <c r="EO17" s="468"/>
      <c r="EP17" s="468"/>
      <c r="EQ17" s="468"/>
      <c r="ER17" s="468"/>
      <c r="ES17" s="468"/>
      <c r="ET17" s="468"/>
      <c r="EU17" s="468"/>
      <c r="EV17" s="468"/>
      <c r="EW17" s="468"/>
      <c r="EX17" s="468"/>
      <c r="EY17" s="468"/>
      <c r="EZ17" s="468"/>
      <c r="FA17" s="468"/>
      <c r="FB17" s="468"/>
      <c r="FC17" s="468"/>
      <c r="FD17" s="468"/>
      <c r="FE17" s="468"/>
      <c r="FF17" s="468"/>
      <c r="FG17" s="468"/>
      <c r="FH17" s="468"/>
      <c r="FI17" s="468"/>
      <c r="FJ17" s="468"/>
      <c r="FK17" s="468"/>
      <c r="FL17" s="468"/>
      <c r="FM17" s="468"/>
      <c r="FN17" s="468"/>
      <c r="FO17" s="468"/>
      <c r="FP17" s="468"/>
      <c r="FQ17" s="468"/>
      <c r="FR17" s="468"/>
      <c r="FS17" s="468"/>
      <c r="FT17" s="468"/>
      <c r="FU17" s="468"/>
      <c r="FV17" s="468"/>
      <c r="FW17" s="468"/>
      <c r="FX17" s="468"/>
      <c r="FY17" s="468"/>
      <c r="FZ17" s="468"/>
      <c r="GA17" s="468"/>
      <c r="GB17" s="468"/>
      <c r="GC17" s="468"/>
      <c r="GD17" s="468"/>
      <c r="GE17" s="468"/>
      <c r="GF17" s="468"/>
      <c r="GG17" s="468"/>
      <c r="GH17" s="468"/>
      <c r="GI17" s="468"/>
      <c r="GJ17" s="468"/>
      <c r="GK17" s="468"/>
      <c r="GL17" s="468"/>
      <c r="GM17" s="468"/>
      <c r="GN17" s="468"/>
      <c r="GO17" s="468"/>
      <c r="GP17" s="468"/>
      <c r="GQ17" s="468"/>
      <c r="GR17" s="468"/>
      <c r="GS17" s="468"/>
      <c r="GT17" s="468"/>
      <c r="GU17" s="468"/>
      <c r="GV17" s="468"/>
      <c r="GW17" s="468"/>
      <c r="GX17" s="468"/>
      <c r="GY17" s="468"/>
      <c r="GZ17" s="468"/>
      <c r="HA17" s="468"/>
      <c r="HB17" s="468"/>
      <c r="HC17" s="468"/>
      <c r="HD17" s="468"/>
      <c r="HE17" s="468"/>
      <c r="HF17" s="468"/>
      <c r="HG17" s="468"/>
      <c r="HH17" s="468"/>
      <c r="HI17" s="468"/>
      <c r="HJ17" s="468"/>
      <c r="HK17" s="468"/>
      <c r="HL17" s="468"/>
      <c r="HM17" s="468"/>
      <c r="HN17" s="468"/>
      <c r="HO17" s="468"/>
      <c r="HP17" s="468"/>
      <c r="HQ17" s="468"/>
      <c r="HR17" s="468"/>
      <c r="HS17" s="468"/>
      <c r="HT17" s="468"/>
      <c r="HU17" s="468"/>
      <c r="HV17" s="468"/>
      <c r="HW17" s="468"/>
      <c r="HX17" s="468"/>
      <c r="HY17" s="468"/>
      <c r="HZ17" s="468"/>
      <c r="IA17" s="468"/>
      <c r="IB17" s="468"/>
      <c r="IC17" s="468"/>
      <c r="ID17" s="468"/>
      <c r="IE17" s="468"/>
      <c r="IF17" s="468"/>
      <c r="IG17" s="468"/>
      <c r="IH17" s="468"/>
      <c r="II17" s="468"/>
      <c r="IJ17" s="468"/>
      <c r="IK17" s="468"/>
      <c r="IL17" s="468"/>
      <c r="IM17" s="468"/>
      <c r="IN17" s="468"/>
      <c r="IO17" s="468"/>
      <c r="IP17" s="468"/>
      <c r="IQ17" s="468"/>
      <c r="IR17" s="468"/>
      <c r="IS17" s="468"/>
      <c r="IT17" s="468"/>
      <c r="IU17" s="468"/>
      <c r="IV17" s="468"/>
      <c r="IW17" s="468"/>
      <c r="IX17" s="468"/>
      <c r="IY17" s="468"/>
      <c r="IZ17" s="468"/>
      <c r="JA17" s="468"/>
      <c r="JB17" s="468"/>
      <c r="JC17" s="468"/>
      <c r="JD17" s="468"/>
      <c r="JE17" s="468"/>
      <c r="JF17" s="468"/>
      <c r="JG17" s="468"/>
      <c r="JH17" s="468"/>
      <c r="JI17" s="468"/>
      <c r="JJ17" s="468"/>
      <c r="JK17" s="468"/>
      <c r="JL17" s="468"/>
      <c r="JM17" s="468"/>
      <c r="JN17" s="468"/>
      <c r="JO17" s="468"/>
      <c r="JP17" s="468"/>
      <c r="JQ17" s="468"/>
      <c r="JR17" s="468"/>
      <c r="JS17" s="468"/>
      <c r="JT17" s="468"/>
      <c r="JU17" s="468"/>
      <c r="JV17" s="468"/>
      <c r="JW17" s="468"/>
      <c r="JX17" s="468"/>
      <c r="JY17" s="468"/>
      <c r="JZ17" s="468"/>
      <c r="KA17" s="468"/>
      <c r="KB17" s="468"/>
      <c r="KC17" s="468"/>
      <c r="KD17" s="468"/>
      <c r="KE17" s="468"/>
      <c r="KF17" s="468"/>
      <c r="KG17" s="468"/>
      <c r="KH17" s="468"/>
      <c r="KI17" s="468"/>
      <c r="KJ17" s="468"/>
      <c r="KK17" s="468"/>
      <c r="KL17" s="468"/>
      <c r="KM17" s="468"/>
      <c r="KN17" s="468"/>
      <c r="KO17" s="468"/>
      <c r="KP17" s="468"/>
      <c r="KQ17" s="468"/>
      <c r="KR17" s="468"/>
      <c r="KS17" s="468"/>
      <c r="KT17" s="468"/>
      <c r="KU17" s="468"/>
      <c r="KV17" s="468"/>
      <c r="KW17" s="468"/>
      <c r="KX17" s="468"/>
      <c r="KY17" s="468"/>
      <c r="KZ17" s="468"/>
      <c r="LA17" s="468"/>
      <c r="LB17" s="468"/>
      <c r="LC17" s="468"/>
      <c r="LD17" s="468"/>
      <c r="LE17" s="468"/>
      <c r="LF17" s="468"/>
      <c r="LG17" s="468"/>
      <c r="LH17" s="468"/>
      <c r="LI17" s="468"/>
      <c r="LJ17" s="468"/>
      <c r="LK17" s="468"/>
      <c r="LL17" s="468"/>
      <c r="LM17" s="468"/>
      <c r="LN17" s="468"/>
      <c r="LO17" s="468"/>
      <c r="LP17" s="468"/>
      <c r="LQ17" s="468"/>
      <c r="LR17" s="468"/>
      <c r="LS17" s="468"/>
      <c r="LT17" s="468"/>
      <c r="LU17" s="468"/>
      <c r="LV17" s="468"/>
      <c r="LW17" s="468"/>
      <c r="LX17" s="468"/>
      <c r="LY17" s="468"/>
      <c r="LZ17" s="468"/>
      <c r="MA17" s="468"/>
      <c r="MB17" s="468"/>
      <c r="MC17" s="468"/>
      <c r="MD17" s="468"/>
      <c r="ME17" s="468"/>
      <c r="MF17" s="468"/>
      <c r="MG17" s="468"/>
      <c r="MH17" s="468"/>
      <c r="MI17" s="468"/>
      <c r="MJ17" s="468"/>
      <c r="MK17" s="468"/>
      <c r="ML17" s="468"/>
      <c r="MM17" s="468"/>
      <c r="MN17" s="468"/>
      <c r="MO17" s="468"/>
      <c r="MP17" s="468"/>
      <c r="MQ17" s="468"/>
      <c r="MR17" s="468"/>
      <c r="MS17" s="468"/>
      <c r="MT17" s="468"/>
      <c r="MU17" s="468"/>
      <c r="MV17" s="468"/>
      <c r="MW17" s="468"/>
      <c r="MX17" s="468"/>
      <c r="MY17" s="468"/>
      <c r="MZ17" s="468"/>
      <c r="NA17" s="468"/>
      <c r="NB17" s="468"/>
      <c r="NC17" s="468"/>
      <c r="ND17" s="468"/>
      <c r="NE17" s="468"/>
      <c r="NF17" s="468"/>
      <c r="NG17" s="468"/>
      <c r="NH17" s="468"/>
      <c r="NI17" s="468"/>
      <c r="NJ17" s="468"/>
      <c r="NK17" s="468"/>
      <c r="NL17" s="468"/>
      <c r="NM17" s="468"/>
      <c r="NN17" s="468"/>
      <c r="NO17" s="468"/>
      <c r="NP17" s="468"/>
      <c r="NQ17" s="468"/>
      <c r="NR17" s="468"/>
      <c r="NS17" s="468"/>
      <c r="NT17" s="468"/>
      <c r="NU17" s="468"/>
      <c r="NV17" s="468"/>
      <c r="NW17" s="468"/>
      <c r="NX17" s="468"/>
      <c r="NY17" s="468"/>
      <c r="NZ17" s="468"/>
      <c r="OA17" s="468"/>
      <c r="OB17" s="468"/>
      <c r="OC17" s="468"/>
      <c r="OD17" s="468"/>
      <c r="OE17" s="468"/>
      <c r="OF17" s="468"/>
      <c r="OG17" s="468"/>
      <c r="OH17" s="468"/>
      <c r="OI17" s="468"/>
      <c r="OJ17" s="468"/>
      <c r="OK17" s="468"/>
      <c r="OL17" s="468"/>
      <c r="OM17" s="468"/>
      <c r="ON17" s="468"/>
      <c r="OO17" s="468"/>
      <c r="OP17" s="468"/>
      <c r="OQ17" s="468"/>
      <c r="OR17" s="468"/>
      <c r="OS17" s="468"/>
      <c r="OT17" s="468"/>
      <c r="OU17" s="468"/>
      <c r="OV17" s="468"/>
      <c r="OW17" s="468"/>
      <c r="OX17" s="468"/>
      <c r="OY17" s="468"/>
      <c r="OZ17" s="468"/>
      <c r="PA17" s="468"/>
      <c r="PB17" s="468"/>
      <c r="PC17" s="468"/>
      <c r="PD17" s="468"/>
      <c r="PE17" s="468"/>
      <c r="PF17" s="468"/>
      <c r="PG17" s="468"/>
      <c r="PH17" s="468"/>
      <c r="PI17" s="468"/>
      <c r="PJ17" s="468"/>
      <c r="PK17" s="468"/>
      <c r="PL17" s="468"/>
      <c r="PM17" s="468"/>
      <c r="PN17" s="468"/>
      <c r="PO17" s="468"/>
      <c r="PP17" s="468"/>
      <c r="PQ17" s="468"/>
      <c r="PR17" s="468"/>
      <c r="PS17" s="468"/>
      <c r="PT17" s="468"/>
      <c r="PU17" s="468"/>
      <c r="PV17" s="468"/>
      <c r="PW17" s="468"/>
      <c r="PX17" s="468"/>
      <c r="PY17" s="468"/>
      <c r="PZ17" s="468"/>
      <c r="QA17" s="468"/>
      <c r="QB17" s="468"/>
      <c r="QC17" s="468"/>
      <c r="QD17" s="468"/>
      <c r="QE17" s="468"/>
      <c r="QF17" s="468"/>
      <c r="QG17" s="468"/>
      <c r="QH17" s="468"/>
      <c r="QI17" s="468"/>
      <c r="QJ17" s="468"/>
      <c r="QK17" s="468"/>
      <c r="QL17" s="468"/>
      <c r="QM17" s="468"/>
      <c r="QN17" s="468"/>
      <c r="QO17" s="468"/>
      <c r="QP17" s="468"/>
      <c r="QQ17" s="468"/>
      <c r="QR17" s="468"/>
      <c r="QS17" s="468"/>
      <c r="QT17" s="468"/>
      <c r="QU17" s="468"/>
      <c r="QV17" s="468"/>
      <c r="QW17" s="468"/>
      <c r="QX17" s="468"/>
      <c r="QY17" s="468"/>
      <c r="QZ17" s="468"/>
      <c r="RA17" s="468"/>
      <c r="RB17" s="468"/>
      <c r="RC17" s="468"/>
      <c r="RD17" s="468"/>
      <c r="RE17" s="468"/>
      <c r="RF17" s="468"/>
      <c r="RG17" s="468"/>
      <c r="RH17" s="468"/>
      <c r="RI17" s="468"/>
      <c r="RJ17" s="468"/>
      <c r="RK17" s="468"/>
      <c r="RL17" s="468"/>
      <c r="RM17" s="468"/>
      <c r="RN17" s="468"/>
      <c r="RO17" s="468"/>
      <c r="RP17" s="468"/>
      <c r="RQ17" s="468"/>
      <c r="RR17" s="468"/>
      <c r="RS17" s="468"/>
      <c r="RT17" s="468"/>
      <c r="RU17" s="468"/>
      <c r="RV17" s="468"/>
      <c r="RW17" s="468"/>
      <c r="RX17" s="468"/>
      <c r="RY17" s="468"/>
      <c r="RZ17" s="468"/>
      <c r="SA17" s="468"/>
      <c r="SB17" s="468"/>
      <c r="SC17" s="468"/>
      <c r="SD17" s="468"/>
      <c r="SE17" s="468"/>
      <c r="SF17" s="468"/>
      <c r="SG17" s="468"/>
      <c r="SH17" s="468"/>
      <c r="SI17" s="468"/>
      <c r="SJ17" s="468"/>
      <c r="SK17" s="468"/>
      <c r="SL17" s="468"/>
      <c r="SM17" s="468"/>
      <c r="SN17" s="468"/>
      <c r="SO17" s="468"/>
      <c r="SP17" s="468"/>
      <c r="SQ17" s="468"/>
      <c r="SR17" s="468"/>
      <c r="SS17" s="468"/>
      <c r="ST17" s="468"/>
      <c r="SU17" s="468"/>
      <c r="SV17" s="468"/>
      <c r="SW17" s="468"/>
      <c r="SX17" s="468"/>
      <c r="SY17" s="468"/>
      <c r="SZ17" s="468"/>
      <c r="TA17" s="468"/>
      <c r="TB17" s="468"/>
      <c r="TC17" s="468"/>
      <c r="TD17" s="468"/>
      <c r="TE17" s="468"/>
      <c r="TF17" s="468"/>
      <c r="TG17" s="468"/>
      <c r="TH17" s="468"/>
      <c r="TI17" s="468"/>
      <c r="TJ17" s="468"/>
      <c r="TK17" s="468"/>
      <c r="TL17" s="468"/>
      <c r="TM17" s="468"/>
      <c r="TN17" s="468"/>
      <c r="TO17" s="468"/>
      <c r="TP17" s="468"/>
      <c r="TQ17" s="468"/>
      <c r="TR17" s="468"/>
      <c r="TS17" s="468"/>
      <c r="TT17" s="468"/>
      <c r="TU17" s="468"/>
      <c r="TV17" s="468"/>
      <c r="TW17" s="468"/>
      <c r="TX17" s="468"/>
      <c r="TY17" s="468"/>
      <c r="TZ17" s="468"/>
      <c r="UA17" s="468"/>
      <c r="UB17" s="468"/>
      <c r="UC17" s="468"/>
      <c r="UD17" s="468"/>
      <c r="UE17" s="468"/>
      <c r="UF17" s="468"/>
      <c r="UG17" s="468"/>
      <c r="UH17" s="468"/>
      <c r="UI17" s="468"/>
      <c r="UJ17" s="468"/>
      <c r="UK17" s="468"/>
      <c r="UL17" s="468"/>
      <c r="UM17" s="468"/>
      <c r="UN17" s="468"/>
      <c r="UO17" s="468"/>
      <c r="UP17" s="468"/>
      <c r="UQ17" s="468"/>
      <c r="UR17" s="468"/>
      <c r="US17" s="468"/>
      <c r="UT17" s="468"/>
      <c r="UU17" s="468"/>
      <c r="UV17" s="468"/>
      <c r="UW17" s="468"/>
      <c r="UX17" s="468"/>
      <c r="UY17" s="468"/>
      <c r="UZ17" s="468"/>
      <c r="VA17" s="468"/>
      <c r="VB17" s="468"/>
      <c r="VC17" s="468"/>
      <c r="VD17" s="468"/>
      <c r="VE17" s="468"/>
      <c r="VF17" s="468"/>
      <c r="VG17" s="468"/>
      <c r="VH17" s="468"/>
      <c r="VI17" s="468"/>
      <c r="VJ17" s="468"/>
      <c r="VK17" s="468"/>
      <c r="VL17" s="468"/>
      <c r="VM17" s="468"/>
      <c r="VN17" s="468"/>
      <c r="VO17" s="468"/>
      <c r="VP17" s="468"/>
      <c r="VQ17" s="468"/>
      <c r="VR17" s="468"/>
      <c r="VS17" s="468"/>
      <c r="VT17" s="468"/>
      <c r="VU17" s="468"/>
      <c r="VV17" s="468"/>
      <c r="VW17" s="468"/>
      <c r="VX17" s="468"/>
      <c r="VY17" s="468"/>
      <c r="VZ17" s="468"/>
      <c r="WA17" s="468"/>
      <c r="WB17" s="468"/>
      <c r="WC17" s="468"/>
      <c r="WD17" s="468"/>
      <c r="WE17" s="468"/>
      <c r="WF17" s="468"/>
      <c r="WG17" s="468"/>
      <c r="WH17" s="468"/>
      <c r="WI17" s="468"/>
      <c r="WJ17" s="468"/>
      <c r="WK17" s="468"/>
      <c r="WL17" s="468"/>
      <c r="WM17" s="468"/>
      <c r="WN17" s="468"/>
      <c r="WO17" s="468"/>
      <c r="WP17" s="468"/>
      <c r="WQ17" s="468"/>
      <c r="WR17" s="468"/>
      <c r="WS17" s="468"/>
      <c r="WT17" s="468"/>
      <c r="WU17" s="468"/>
      <c r="WV17" s="468"/>
      <c r="WW17" s="468"/>
      <c r="WX17" s="468"/>
      <c r="WY17" s="468"/>
      <c r="WZ17" s="468"/>
      <c r="XA17" s="468"/>
      <c r="XB17" s="468"/>
      <c r="XC17" s="468"/>
      <c r="XD17" s="468"/>
      <c r="XE17" s="468"/>
      <c r="XF17" s="468"/>
      <c r="XG17" s="468"/>
      <c r="XH17" s="468"/>
      <c r="XI17" s="468"/>
      <c r="XJ17" s="468"/>
      <c r="XK17" s="468"/>
      <c r="XL17" s="468"/>
      <c r="XM17" s="468"/>
      <c r="XN17" s="468"/>
      <c r="XO17" s="468"/>
      <c r="XP17" s="468"/>
      <c r="XQ17" s="466"/>
    </row>
    <row r="18" spans="1:644" s="524" customFormat="1" x14ac:dyDescent="0.25">
      <c r="A18" s="456" t="s">
        <v>1465</v>
      </c>
      <c r="B18" s="453" t="s">
        <v>1513</v>
      </c>
      <c r="C18" s="453" t="s">
        <v>1512</v>
      </c>
      <c r="D18" s="520" t="s">
        <v>1160</v>
      </c>
      <c r="E18" s="521" t="s">
        <v>1514</v>
      </c>
      <c r="F18" s="522">
        <v>40</v>
      </c>
      <c r="G18" s="522" t="s">
        <v>183</v>
      </c>
      <c r="H18" s="522" t="s">
        <v>35</v>
      </c>
      <c r="I18" s="461"/>
      <c r="J18" s="461"/>
      <c r="K18" s="461"/>
      <c r="L18" s="461"/>
      <c r="M18" s="461"/>
      <c r="N18" s="461"/>
      <c r="O18" s="461"/>
      <c r="P18" s="461"/>
      <c r="Q18" s="461" t="s">
        <v>238</v>
      </c>
      <c r="R18" s="461"/>
      <c r="S18" s="461"/>
      <c r="T18" s="461"/>
      <c r="U18" s="461"/>
      <c r="V18" s="461"/>
      <c r="W18" s="461"/>
      <c r="X18" s="461"/>
      <c r="Y18" s="461"/>
      <c r="Z18" s="461"/>
      <c r="AA18" s="461"/>
      <c r="AB18" s="461"/>
      <c r="AC18" s="461" t="s">
        <v>1515</v>
      </c>
      <c r="AD18" s="143" t="s">
        <v>1019</v>
      </c>
      <c r="AE18" s="461" t="s">
        <v>1516</v>
      </c>
      <c r="AF18" s="461" t="s">
        <v>1517</v>
      </c>
      <c r="AG18" s="461" t="s">
        <v>1518</v>
      </c>
      <c r="AH18" s="461"/>
      <c r="AI18" s="461"/>
      <c r="AJ18" s="461"/>
      <c r="AK18" s="461"/>
      <c r="AL18" s="461"/>
      <c r="AM18" s="461"/>
      <c r="AN18" s="461"/>
      <c r="AO18" s="470"/>
      <c r="AP18" s="470"/>
      <c r="AQ18" s="470"/>
      <c r="AR18" s="470"/>
      <c r="AS18" s="470"/>
      <c r="AT18" s="470"/>
      <c r="AU18" s="470"/>
      <c r="AV18" s="384"/>
      <c r="AW18" s="384"/>
      <c r="AX18" s="384"/>
      <c r="AY18" s="384"/>
      <c r="AZ18" s="384"/>
      <c r="BA18" s="384"/>
      <c r="BB18" s="384"/>
      <c r="BC18" s="384"/>
      <c r="BD18" s="384"/>
      <c r="BE18" s="384"/>
      <c r="BF18" s="384"/>
      <c r="BG18" s="384"/>
      <c r="BH18" s="384"/>
      <c r="BI18" s="384"/>
      <c r="BJ18" s="384"/>
      <c r="BK18" s="384"/>
      <c r="BL18" s="384"/>
      <c r="BM18" s="384"/>
      <c r="BN18" s="384"/>
      <c r="BO18" s="384"/>
      <c r="BP18" s="384"/>
      <c r="BQ18" s="384"/>
      <c r="BR18" s="384"/>
      <c r="BS18" s="384"/>
      <c r="BT18" s="384"/>
      <c r="BU18" s="384"/>
      <c r="BV18" s="384"/>
      <c r="BW18" s="384"/>
      <c r="BX18" s="384"/>
      <c r="BY18" s="384"/>
      <c r="BZ18" s="384"/>
      <c r="CA18" s="384"/>
      <c r="CB18" s="384"/>
      <c r="CC18" s="384"/>
      <c r="CD18" s="384"/>
      <c r="CE18" s="384"/>
      <c r="CF18" s="384"/>
      <c r="CG18" s="384"/>
      <c r="CH18" s="384"/>
      <c r="CI18" s="384"/>
      <c r="CJ18" s="384"/>
      <c r="CK18" s="384"/>
      <c r="CL18" s="384"/>
      <c r="CM18" s="384"/>
      <c r="CN18" s="384"/>
      <c r="CO18" s="384"/>
      <c r="CP18" s="384"/>
      <c r="CQ18" s="384"/>
      <c r="CR18" s="384"/>
      <c r="CS18" s="384"/>
      <c r="CT18" s="384"/>
      <c r="CU18" s="384"/>
      <c r="CV18" s="384"/>
      <c r="CW18" s="384"/>
      <c r="CX18" s="384"/>
      <c r="CY18" s="384"/>
      <c r="CZ18" s="384"/>
      <c r="DA18" s="384"/>
      <c r="DB18" s="384"/>
      <c r="DC18" s="384"/>
      <c r="DD18" s="384"/>
      <c r="DE18" s="384"/>
      <c r="DF18" s="384"/>
      <c r="DG18" s="384"/>
      <c r="DH18" s="384"/>
      <c r="DI18" s="384"/>
      <c r="DJ18" s="384"/>
      <c r="DK18" s="384"/>
      <c r="DL18" s="384"/>
      <c r="DM18" s="384"/>
      <c r="DN18" s="384"/>
      <c r="DO18" s="384"/>
      <c r="DP18" s="384"/>
      <c r="DQ18" s="384"/>
      <c r="DR18" s="384"/>
      <c r="DS18" s="384"/>
      <c r="DT18" s="384"/>
      <c r="DU18" s="384"/>
      <c r="DV18" s="384"/>
      <c r="DW18" s="384"/>
      <c r="DX18" s="384"/>
      <c r="DY18" s="384"/>
      <c r="DZ18" s="384"/>
      <c r="EA18" s="384"/>
      <c r="EB18" s="384"/>
      <c r="EC18" s="384"/>
      <c r="ED18" s="384"/>
      <c r="EE18" s="384"/>
      <c r="EF18" s="384"/>
      <c r="EG18" s="384"/>
      <c r="EH18" s="384"/>
      <c r="EI18" s="384"/>
      <c r="EJ18" s="384"/>
      <c r="EK18" s="384"/>
      <c r="EL18" s="384"/>
      <c r="EM18" s="384"/>
      <c r="EN18" s="384"/>
      <c r="EO18" s="384"/>
      <c r="EP18" s="384"/>
      <c r="EQ18" s="384"/>
      <c r="ER18" s="384"/>
      <c r="ES18" s="384"/>
      <c r="ET18" s="384"/>
      <c r="EU18" s="384"/>
      <c r="EV18" s="384"/>
      <c r="EW18" s="384"/>
      <c r="EX18" s="384"/>
      <c r="EY18" s="384"/>
      <c r="EZ18" s="384"/>
      <c r="FA18" s="384"/>
      <c r="FB18" s="384"/>
      <c r="FC18" s="384"/>
      <c r="FD18" s="384"/>
      <c r="FE18" s="384"/>
      <c r="FF18" s="384"/>
      <c r="FG18" s="384"/>
      <c r="FH18" s="384"/>
      <c r="FI18" s="384"/>
      <c r="FJ18" s="384"/>
      <c r="FK18" s="384"/>
      <c r="FL18" s="384"/>
      <c r="FM18" s="384"/>
      <c r="FN18" s="384"/>
      <c r="FO18" s="384"/>
      <c r="FP18" s="384"/>
      <c r="FQ18" s="384"/>
      <c r="FR18" s="384"/>
      <c r="FS18" s="384"/>
      <c r="FT18" s="384"/>
      <c r="FU18" s="384"/>
      <c r="FV18" s="384"/>
      <c r="FW18" s="384"/>
      <c r="FX18" s="384"/>
      <c r="FY18" s="384"/>
      <c r="FZ18" s="384"/>
      <c r="GA18" s="384"/>
      <c r="GB18" s="384"/>
      <c r="GC18" s="384"/>
      <c r="GD18" s="384"/>
      <c r="GE18" s="384"/>
      <c r="GF18" s="384"/>
      <c r="GG18" s="384"/>
      <c r="GH18" s="384"/>
      <c r="GI18" s="384"/>
      <c r="GJ18" s="384"/>
      <c r="GK18" s="384"/>
      <c r="GL18" s="384"/>
      <c r="GM18" s="384"/>
      <c r="GN18" s="384"/>
      <c r="GO18" s="384"/>
      <c r="GP18" s="384"/>
      <c r="GQ18" s="384"/>
      <c r="GR18" s="384"/>
      <c r="GS18" s="384"/>
      <c r="GT18" s="384"/>
      <c r="GU18" s="384"/>
      <c r="GV18" s="384"/>
      <c r="GW18" s="384"/>
      <c r="GX18" s="384"/>
      <c r="GY18" s="384"/>
      <c r="GZ18" s="384"/>
      <c r="HA18" s="384"/>
      <c r="HB18" s="384"/>
      <c r="HC18" s="384"/>
      <c r="HD18" s="384"/>
      <c r="HE18" s="384"/>
      <c r="HF18" s="384"/>
      <c r="HG18" s="384"/>
      <c r="HH18" s="384"/>
      <c r="HI18" s="384"/>
      <c r="HJ18" s="384"/>
      <c r="HK18" s="384"/>
      <c r="HL18" s="384"/>
      <c r="HM18" s="384"/>
      <c r="HN18" s="384"/>
      <c r="HO18" s="384"/>
      <c r="HP18" s="384"/>
      <c r="HQ18" s="384"/>
      <c r="HR18" s="384"/>
      <c r="HS18" s="384"/>
      <c r="HT18" s="384"/>
      <c r="HU18" s="384"/>
      <c r="HV18" s="384"/>
      <c r="HW18" s="384"/>
      <c r="HX18" s="384"/>
      <c r="HY18" s="384"/>
      <c r="HZ18" s="384"/>
      <c r="IA18" s="384"/>
      <c r="IB18" s="384"/>
      <c r="IC18" s="384"/>
      <c r="ID18" s="384"/>
      <c r="IE18" s="384"/>
      <c r="IF18" s="384"/>
      <c r="IG18" s="384"/>
      <c r="IH18" s="384"/>
      <c r="II18" s="384"/>
      <c r="IJ18" s="384"/>
      <c r="IK18" s="384"/>
      <c r="IL18" s="384"/>
      <c r="IM18" s="384"/>
      <c r="IN18" s="384"/>
      <c r="IO18" s="384"/>
      <c r="IP18" s="384"/>
      <c r="IQ18" s="384"/>
      <c r="IR18" s="384"/>
      <c r="IS18" s="384"/>
      <c r="IT18" s="384"/>
      <c r="IU18" s="384"/>
      <c r="IV18" s="384"/>
      <c r="IW18" s="384"/>
      <c r="IX18" s="384"/>
      <c r="IY18" s="384"/>
      <c r="IZ18" s="384"/>
      <c r="JA18" s="384"/>
      <c r="JB18" s="384"/>
      <c r="JC18" s="384"/>
      <c r="JD18" s="384"/>
      <c r="JE18" s="384"/>
      <c r="JF18" s="384"/>
      <c r="JG18" s="384"/>
      <c r="JH18" s="384"/>
      <c r="JI18" s="384"/>
      <c r="JJ18" s="384"/>
      <c r="JK18" s="384"/>
      <c r="JL18" s="384"/>
      <c r="JM18" s="384"/>
      <c r="JN18" s="384"/>
      <c r="JO18" s="384"/>
      <c r="JP18" s="384"/>
      <c r="JQ18" s="384"/>
      <c r="JR18" s="384"/>
      <c r="JS18" s="384"/>
      <c r="JT18" s="384"/>
      <c r="JU18" s="384"/>
      <c r="JV18" s="384"/>
      <c r="JW18" s="384"/>
      <c r="JX18" s="384"/>
      <c r="JY18" s="384"/>
      <c r="JZ18" s="384"/>
      <c r="KA18" s="384"/>
      <c r="KB18" s="384"/>
      <c r="KC18" s="384"/>
      <c r="KD18" s="384"/>
      <c r="KE18" s="384"/>
      <c r="KF18" s="384"/>
      <c r="KG18" s="384"/>
      <c r="KH18" s="384"/>
      <c r="KI18" s="384"/>
      <c r="KJ18" s="384"/>
      <c r="KK18" s="384"/>
      <c r="KL18" s="384"/>
      <c r="KM18" s="384"/>
      <c r="KN18" s="384"/>
      <c r="KO18" s="384"/>
      <c r="KP18" s="384"/>
      <c r="KQ18" s="384"/>
      <c r="KR18" s="384"/>
      <c r="KS18" s="384"/>
      <c r="KT18" s="384"/>
      <c r="KU18" s="384"/>
      <c r="KV18" s="384"/>
      <c r="KW18" s="384"/>
      <c r="KX18" s="384"/>
      <c r="KY18" s="384"/>
      <c r="KZ18" s="384"/>
      <c r="LA18" s="384"/>
      <c r="LB18" s="384"/>
      <c r="LC18" s="384"/>
      <c r="LD18" s="384"/>
      <c r="LE18" s="384"/>
      <c r="LF18" s="384"/>
      <c r="LG18" s="384"/>
      <c r="LH18" s="384"/>
      <c r="LI18" s="384"/>
      <c r="LJ18" s="384"/>
      <c r="LK18" s="384"/>
      <c r="LL18" s="384"/>
      <c r="LM18" s="384"/>
      <c r="LN18" s="384"/>
      <c r="LO18" s="384"/>
      <c r="LP18" s="384"/>
      <c r="LQ18" s="384"/>
      <c r="LR18" s="384"/>
      <c r="LS18" s="384"/>
      <c r="LT18" s="384"/>
      <c r="LU18" s="384"/>
      <c r="LV18" s="384"/>
      <c r="LW18" s="384"/>
      <c r="LX18" s="384"/>
      <c r="LY18" s="384"/>
      <c r="LZ18" s="384"/>
      <c r="MA18" s="384"/>
      <c r="MB18" s="384"/>
      <c r="MC18" s="384"/>
      <c r="MD18" s="384"/>
      <c r="ME18" s="384"/>
      <c r="MF18" s="384"/>
      <c r="MG18" s="384"/>
      <c r="MH18" s="384"/>
      <c r="MI18" s="384"/>
      <c r="MJ18" s="384"/>
      <c r="MK18" s="384"/>
      <c r="ML18" s="384"/>
      <c r="MM18" s="384"/>
      <c r="MN18" s="384"/>
      <c r="MO18" s="384"/>
      <c r="MP18" s="384"/>
      <c r="MQ18" s="384"/>
      <c r="MR18" s="384"/>
      <c r="MS18" s="384"/>
      <c r="MT18" s="384"/>
      <c r="MU18" s="384"/>
      <c r="MV18" s="384"/>
      <c r="MW18" s="384"/>
      <c r="MX18" s="384"/>
      <c r="MY18" s="384"/>
      <c r="MZ18" s="384"/>
      <c r="NA18" s="384"/>
      <c r="NB18" s="384"/>
      <c r="NC18" s="384"/>
      <c r="ND18" s="384"/>
      <c r="NE18" s="384"/>
      <c r="NF18" s="384"/>
      <c r="NG18" s="384"/>
      <c r="NH18" s="384"/>
      <c r="NI18" s="384"/>
      <c r="NJ18" s="384"/>
      <c r="NK18" s="384"/>
      <c r="NL18" s="384"/>
      <c r="NM18" s="384"/>
      <c r="NN18" s="384"/>
      <c r="NO18" s="384"/>
      <c r="NP18" s="384"/>
      <c r="NQ18" s="384"/>
      <c r="NR18" s="384"/>
      <c r="NS18" s="384"/>
      <c r="NT18" s="384"/>
      <c r="NU18" s="384"/>
      <c r="NV18" s="384"/>
      <c r="NW18" s="384"/>
      <c r="NX18" s="384"/>
      <c r="NY18" s="384"/>
      <c r="NZ18" s="384"/>
      <c r="OA18" s="384"/>
      <c r="OB18" s="384"/>
      <c r="OC18" s="384"/>
      <c r="OD18" s="384"/>
      <c r="OE18" s="384"/>
      <c r="OF18" s="384"/>
      <c r="OG18" s="384"/>
      <c r="OH18" s="384"/>
      <c r="OI18" s="384"/>
      <c r="OJ18" s="384"/>
      <c r="OK18" s="384"/>
      <c r="OL18" s="384"/>
      <c r="OM18" s="384"/>
      <c r="ON18" s="384"/>
      <c r="OO18" s="384"/>
      <c r="OP18" s="384"/>
      <c r="OQ18" s="384"/>
      <c r="OR18" s="384"/>
      <c r="OS18" s="384"/>
      <c r="OT18" s="384"/>
      <c r="OU18" s="384"/>
      <c r="OV18" s="384"/>
      <c r="OW18" s="384"/>
      <c r="OX18" s="384"/>
      <c r="OY18" s="384"/>
      <c r="OZ18" s="384"/>
      <c r="PA18" s="384"/>
      <c r="PB18" s="384"/>
      <c r="PC18" s="384"/>
      <c r="PD18" s="384"/>
      <c r="PE18" s="384"/>
      <c r="PF18" s="384"/>
      <c r="PG18" s="384"/>
      <c r="PH18" s="384"/>
      <c r="PI18" s="384"/>
      <c r="PJ18" s="384"/>
      <c r="PK18" s="384"/>
      <c r="PL18" s="384"/>
      <c r="PM18" s="384"/>
      <c r="PN18" s="384"/>
      <c r="PO18" s="384"/>
      <c r="PP18" s="384"/>
      <c r="PQ18" s="384"/>
      <c r="PR18" s="384"/>
      <c r="PS18" s="384"/>
      <c r="PT18" s="384"/>
      <c r="PU18" s="384"/>
      <c r="PV18" s="384"/>
      <c r="PW18" s="384"/>
      <c r="PX18" s="384"/>
      <c r="PY18" s="384"/>
      <c r="PZ18" s="384"/>
      <c r="QA18" s="384"/>
      <c r="QB18" s="384"/>
      <c r="QC18" s="384"/>
      <c r="QD18" s="384"/>
      <c r="QE18" s="384"/>
      <c r="QF18" s="384"/>
      <c r="QG18" s="384"/>
      <c r="QH18" s="384"/>
      <c r="QI18" s="384"/>
      <c r="QJ18" s="384"/>
      <c r="QK18" s="384"/>
      <c r="QL18" s="384"/>
      <c r="QM18" s="384"/>
      <c r="QN18" s="384"/>
      <c r="QO18" s="384"/>
      <c r="QP18" s="384"/>
      <c r="QQ18" s="384"/>
      <c r="QR18" s="384"/>
      <c r="QS18" s="384"/>
      <c r="QT18" s="384"/>
      <c r="QU18" s="384"/>
      <c r="QV18" s="384"/>
      <c r="QW18" s="384"/>
      <c r="QX18" s="384"/>
      <c r="QY18" s="384"/>
      <c r="QZ18" s="384"/>
      <c r="RA18" s="384"/>
      <c r="RB18" s="384"/>
      <c r="RC18" s="384"/>
      <c r="RD18" s="384"/>
      <c r="RE18" s="384"/>
      <c r="RF18" s="384"/>
      <c r="RG18" s="384"/>
      <c r="RH18" s="384"/>
      <c r="RI18" s="384"/>
      <c r="RJ18" s="384"/>
      <c r="RK18" s="384"/>
      <c r="RL18" s="384"/>
      <c r="RM18" s="384"/>
      <c r="RN18" s="384"/>
      <c r="RO18" s="384"/>
      <c r="RP18" s="384"/>
      <c r="RQ18" s="384"/>
      <c r="RR18" s="384"/>
      <c r="RS18" s="384"/>
      <c r="RT18" s="384"/>
      <c r="RU18" s="384"/>
      <c r="RV18" s="384"/>
      <c r="RW18" s="384"/>
      <c r="RX18" s="384"/>
      <c r="RY18" s="384"/>
      <c r="RZ18" s="384"/>
      <c r="SA18" s="384"/>
      <c r="SB18" s="384"/>
      <c r="SC18" s="384"/>
      <c r="SD18" s="384"/>
      <c r="SE18" s="384"/>
      <c r="SF18" s="384"/>
      <c r="SG18" s="384"/>
      <c r="SH18" s="384"/>
      <c r="SI18" s="384"/>
      <c r="SJ18" s="384"/>
      <c r="SK18" s="384"/>
      <c r="SL18" s="384"/>
      <c r="SM18" s="384"/>
      <c r="SN18" s="384"/>
      <c r="SO18" s="384"/>
      <c r="SP18" s="384"/>
      <c r="SQ18" s="384"/>
      <c r="SR18" s="384"/>
      <c r="SS18" s="384"/>
      <c r="ST18" s="384"/>
      <c r="SU18" s="384"/>
      <c r="SV18" s="384"/>
      <c r="SW18" s="384"/>
      <c r="SX18" s="384"/>
      <c r="SY18" s="384"/>
      <c r="SZ18" s="384"/>
      <c r="TA18" s="384"/>
      <c r="TB18" s="384"/>
      <c r="TC18" s="384"/>
      <c r="TD18" s="384"/>
      <c r="TE18" s="384"/>
      <c r="TF18" s="384"/>
      <c r="TG18" s="384"/>
      <c r="TH18" s="384"/>
      <c r="TI18" s="384"/>
      <c r="TJ18" s="384"/>
      <c r="TK18" s="384"/>
      <c r="TL18" s="384"/>
      <c r="TM18" s="384"/>
      <c r="TN18" s="384"/>
      <c r="TO18" s="384"/>
      <c r="TP18" s="384"/>
      <c r="TQ18" s="384"/>
      <c r="TR18" s="384"/>
      <c r="TS18" s="384"/>
      <c r="TT18" s="384"/>
      <c r="TU18" s="384"/>
      <c r="TV18" s="384"/>
      <c r="TW18" s="384"/>
      <c r="TX18" s="384"/>
      <c r="TY18" s="384"/>
      <c r="TZ18" s="384"/>
      <c r="UA18" s="384"/>
      <c r="UB18" s="384"/>
      <c r="UC18" s="384"/>
      <c r="UD18" s="384"/>
      <c r="UE18" s="384"/>
      <c r="UF18" s="384"/>
      <c r="UG18" s="384"/>
      <c r="UH18" s="384"/>
      <c r="UI18" s="384"/>
      <c r="UJ18" s="384"/>
      <c r="UK18" s="384"/>
      <c r="UL18" s="384"/>
      <c r="UM18" s="384"/>
      <c r="UN18" s="384"/>
      <c r="UO18" s="384"/>
      <c r="UP18" s="384"/>
      <c r="UQ18" s="384"/>
      <c r="UR18" s="384"/>
      <c r="US18" s="384"/>
      <c r="UT18" s="384"/>
      <c r="UU18" s="384"/>
      <c r="UV18" s="384"/>
      <c r="UW18" s="384"/>
      <c r="UX18" s="384"/>
      <c r="UY18" s="384"/>
      <c r="UZ18" s="384"/>
      <c r="VA18" s="384"/>
      <c r="VB18" s="384"/>
      <c r="VC18" s="384"/>
      <c r="VD18" s="384"/>
      <c r="VE18" s="384"/>
      <c r="VF18" s="384"/>
      <c r="VG18" s="384"/>
      <c r="VH18" s="384"/>
      <c r="VI18" s="384"/>
      <c r="VJ18" s="384"/>
      <c r="VK18" s="384"/>
      <c r="VL18" s="384"/>
      <c r="VM18" s="384"/>
      <c r="VN18" s="384"/>
      <c r="VO18" s="384"/>
      <c r="VP18" s="384"/>
      <c r="VQ18" s="384"/>
      <c r="VR18" s="384"/>
      <c r="VS18" s="384"/>
      <c r="VT18" s="384"/>
      <c r="VU18" s="384"/>
      <c r="VV18" s="384"/>
      <c r="VW18" s="384"/>
      <c r="VX18" s="384"/>
      <c r="VY18" s="384"/>
      <c r="VZ18" s="384"/>
      <c r="WA18" s="384"/>
      <c r="WB18" s="384"/>
      <c r="WC18" s="384"/>
      <c r="WD18" s="384"/>
      <c r="WE18" s="384"/>
      <c r="WF18" s="384"/>
      <c r="WG18" s="384"/>
      <c r="WH18" s="384"/>
      <c r="WI18" s="384"/>
      <c r="WJ18" s="384"/>
      <c r="WK18" s="384"/>
      <c r="WL18" s="384"/>
      <c r="WM18" s="384"/>
      <c r="WN18" s="384"/>
      <c r="WO18" s="384"/>
      <c r="WP18" s="384"/>
      <c r="WQ18" s="384"/>
      <c r="WR18" s="384"/>
      <c r="WS18" s="384"/>
      <c r="WT18" s="384"/>
      <c r="WU18" s="384"/>
      <c r="WV18" s="384"/>
      <c r="WW18" s="384"/>
      <c r="WX18" s="384"/>
      <c r="WY18" s="384"/>
      <c r="WZ18" s="384"/>
      <c r="XA18" s="384"/>
      <c r="XB18" s="384"/>
      <c r="XC18" s="384"/>
      <c r="XD18" s="384"/>
      <c r="XE18" s="384"/>
      <c r="XF18" s="384"/>
      <c r="XG18" s="384"/>
      <c r="XH18" s="384"/>
      <c r="XI18" s="384"/>
      <c r="XJ18" s="384"/>
      <c r="XK18" s="384"/>
      <c r="XL18" s="384"/>
      <c r="XM18" s="384"/>
      <c r="XN18" s="384"/>
      <c r="XO18" s="384"/>
      <c r="XP18" s="384"/>
      <c r="XQ18" s="523"/>
    </row>
    <row r="19" spans="1:644" s="195" customFormat="1" ht="15" customHeight="1" x14ac:dyDescent="0.25">
      <c r="A19" s="456" t="s">
        <v>1466</v>
      </c>
      <c r="B19" s="438" t="s">
        <v>867</v>
      </c>
      <c r="C19" s="438" t="s">
        <v>861</v>
      </c>
      <c r="D19" s="437" t="s">
        <v>1160</v>
      </c>
      <c r="E19" s="441" t="s">
        <v>1364</v>
      </c>
      <c r="F19" s="155">
        <v>43</v>
      </c>
      <c r="G19" s="155" t="s">
        <v>183</v>
      </c>
      <c r="H19" s="155" t="s">
        <v>35</v>
      </c>
      <c r="I19" s="330"/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158"/>
      <c r="AD19" s="158"/>
      <c r="AE19" s="158"/>
      <c r="AF19" s="158"/>
      <c r="AG19" s="158"/>
      <c r="AH19" s="461"/>
      <c r="AI19" s="330" t="s">
        <v>1001</v>
      </c>
      <c r="AJ19" s="28"/>
      <c r="AK19" s="28"/>
      <c r="AL19" s="28"/>
      <c r="AM19" s="28"/>
      <c r="AN19" s="472"/>
      <c r="AO19" s="468"/>
      <c r="AP19" s="468"/>
      <c r="AQ19" s="468"/>
      <c r="AR19" s="468"/>
      <c r="AS19" s="468"/>
      <c r="AT19" s="468"/>
      <c r="AU19" s="468"/>
      <c r="AV19" s="471"/>
      <c r="AW19" s="471"/>
      <c r="AX19" s="471"/>
      <c r="AY19" s="471"/>
      <c r="AZ19" s="468"/>
      <c r="BA19" s="468"/>
      <c r="BB19" s="468"/>
      <c r="BC19" s="468"/>
      <c r="BD19" s="468"/>
      <c r="BE19" s="468"/>
      <c r="BF19" s="468"/>
      <c r="BG19" s="468"/>
      <c r="BH19" s="468"/>
      <c r="BI19" s="468"/>
      <c r="BJ19" s="468"/>
      <c r="BK19" s="468"/>
      <c r="BL19" s="468"/>
      <c r="BM19" s="468"/>
      <c r="BN19" s="468"/>
      <c r="BO19" s="468"/>
      <c r="BP19" s="468"/>
      <c r="BQ19" s="468"/>
      <c r="BR19" s="468"/>
      <c r="BS19" s="468"/>
      <c r="BT19" s="468"/>
      <c r="BU19" s="468"/>
      <c r="BV19" s="468"/>
      <c r="BW19" s="468"/>
      <c r="BX19" s="468"/>
      <c r="BY19" s="468"/>
      <c r="BZ19" s="468"/>
      <c r="CA19" s="468"/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  <c r="CP19" s="468"/>
      <c r="CQ19" s="468"/>
      <c r="CR19" s="468"/>
      <c r="CS19" s="468"/>
      <c r="CT19" s="468"/>
      <c r="CU19" s="468"/>
      <c r="CV19" s="468"/>
      <c r="CW19" s="468"/>
      <c r="CX19" s="468"/>
      <c r="CY19" s="468"/>
      <c r="CZ19" s="468"/>
      <c r="DA19" s="468"/>
      <c r="DB19" s="468"/>
      <c r="DC19" s="468"/>
      <c r="DD19" s="468"/>
      <c r="DE19" s="468"/>
      <c r="DF19" s="468"/>
      <c r="DG19" s="468"/>
      <c r="DH19" s="468"/>
      <c r="DI19" s="468"/>
      <c r="DJ19" s="468"/>
      <c r="DK19" s="468"/>
      <c r="DL19" s="468"/>
      <c r="DM19" s="468"/>
      <c r="DN19" s="468"/>
      <c r="DO19" s="468"/>
      <c r="DP19" s="468"/>
      <c r="DQ19" s="468"/>
      <c r="DR19" s="468"/>
      <c r="DS19" s="468"/>
      <c r="DT19" s="468"/>
      <c r="DU19" s="468"/>
      <c r="DV19" s="468"/>
      <c r="DW19" s="468"/>
      <c r="DX19" s="468"/>
      <c r="DY19" s="468"/>
      <c r="DZ19" s="468"/>
      <c r="EA19" s="468"/>
      <c r="EB19" s="468"/>
      <c r="EC19" s="468"/>
      <c r="ED19" s="468"/>
      <c r="EE19" s="468"/>
      <c r="EF19" s="468"/>
      <c r="EG19" s="468"/>
      <c r="EH19" s="468"/>
      <c r="EI19" s="468"/>
      <c r="EJ19" s="468"/>
      <c r="EK19" s="468"/>
      <c r="EL19" s="468"/>
      <c r="EM19" s="468"/>
      <c r="EN19" s="468"/>
      <c r="EO19" s="468"/>
      <c r="EP19" s="468"/>
      <c r="EQ19" s="468"/>
      <c r="ER19" s="468"/>
      <c r="ES19" s="468"/>
      <c r="ET19" s="468"/>
      <c r="EU19" s="468"/>
      <c r="EV19" s="468"/>
      <c r="EW19" s="468"/>
      <c r="EX19" s="468"/>
      <c r="EY19" s="468"/>
      <c r="EZ19" s="468"/>
      <c r="FA19" s="468"/>
      <c r="FB19" s="468"/>
      <c r="FC19" s="468"/>
      <c r="FD19" s="468"/>
      <c r="FE19" s="468"/>
      <c r="FF19" s="468"/>
      <c r="FG19" s="468"/>
      <c r="FH19" s="468"/>
      <c r="FI19" s="468"/>
      <c r="FJ19" s="468"/>
      <c r="FK19" s="468"/>
      <c r="FL19" s="468"/>
      <c r="FM19" s="468"/>
      <c r="FN19" s="468"/>
      <c r="FO19" s="468"/>
      <c r="FP19" s="468"/>
      <c r="FQ19" s="468"/>
      <c r="FR19" s="468"/>
      <c r="FS19" s="468"/>
      <c r="FT19" s="468"/>
      <c r="FU19" s="468"/>
      <c r="FV19" s="468"/>
      <c r="FW19" s="468"/>
      <c r="FX19" s="468"/>
      <c r="FY19" s="468"/>
      <c r="FZ19" s="468"/>
      <c r="GA19" s="468"/>
      <c r="GB19" s="468"/>
      <c r="GC19" s="468"/>
      <c r="GD19" s="468"/>
      <c r="GE19" s="468"/>
      <c r="GF19" s="468"/>
      <c r="GG19" s="468"/>
      <c r="GH19" s="468"/>
      <c r="GI19" s="468"/>
      <c r="GJ19" s="468"/>
      <c r="GK19" s="468"/>
      <c r="GL19" s="468"/>
      <c r="GM19" s="468"/>
      <c r="GN19" s="468"/>
      <c r="GO19" s="468"/>
      <c r="GP19" s="468"/>
      <c r="GQ19" s="468"/>
      <c r="GR19" s="468"/>
      <c r="GS19" s="468"/>
      <c r="GT19" s="468"/>
      <c r="GU19" s="468"/>
      <c r="GV19" s="468"/>
      <c r="GW19" s="468"/>
      <c r="GX19" s="468"/>
      <c r="GY19" s="468"/>
      <c r="GZ19" s="468"/>
      <c r="HA19" s="468"/>
      <c r="HB19" s="468"/>
      <c r="HC19" s="468"/>
      <c r="HD19" s="468"/>
      <c r="HE19" s="468"/>
      <c r="HF19" s="468"/>
      <c r="HG19" s="468"/>
      <c r="HH19" s="468"/>
      <c r="HI19" s="468"/>
      <c r="HJ19" s="468"/>
      <c r="HK19" s="468"/>
      <c r="HL19" s="468"/>
      <c r="HM19" s="468"/>
      <c r="HN19" s="468"/>
      <c r="HO19" s="468"/>
      <c r="HP19" s="468"/>
      <c r="HQ19" s="468"/>
      <c r="HR19" s="468"/>
      <c r="HS19" s="468"/>
      <c r="HT19" s="468"/>
      <c r="HU19" s="468"/>
      <c r="HV19" s="468"/>
      <c r="HW19" s="468"/>
      <c r="HX19" s="468"/>
      <c r="HY19" s="468"/>
      <c r="HZ19" s="468"/>
      <c r="IA19" s="468"/>
      <c r="IB19" s="468"/>
      <c r="IC19" s="468"/>
      <c r="ID19" s="468"/>
      <c r="IE19" s="468"/>
      <c r="IF19" s="468"/>
      <c r="IG19" s="468"/>
      <c r="IH19" s="468"/>
      <c r="II19" s="468"/>
      <c r="IJ19" s="468"/>
      <c r="IK19" s="468"/>
      <c r="IL19" s="468"/>
      <c r="IM19" s="468"/>
      <c r="IN19" s="468"/>
      <c r="IO19" s="468"/>
      <c r="IP19" s="468"/>
      <c r="IQ19" s="468"/>
      <c r="IR19" s="468"/>
      <c r="IS19" s="468"/>
      <c r="IT19" s="468"/>
      <c r="IU19" s="468"/>
      <c r="IV19" s="468"/>
      <c r="IW19" s="468"/>
      <c r="IX19" s="468"/>
      <c r="IY19" s="468"/>
      <c r="IZ19" s="468"/>
      <c r="JA19" s="468"/>
      <c r="JB19" s="468"/>
      <c r="JC19" s="468"/>
      <c r="JD19" s="468"/>
      <c r="JE19" s="468"/>
      <c r="JF19" s="468"/>
      <c r="JG19" s="468"/>
      <c r="JH19" s="468"/>
      <c r="JI19" s="468"/>
      <c r="JJ19" s="468"/>
      <c r="JK19" s="468"/>
      <c r="JL19" s="468"/>
      <c r="JM19" s="468"/>
      <c r="JN19" s="468"/>
      <c r="JO19" s="468"/>
      <c r="JP19" s="468"/>
      <c r="JQ19" s="468"/>
      <c r="JR19" s="468"/>
      <c r="JS19" s="468"/>
      <c r="JT19" s="468"/>
      <c r="JU19" s="468"/>
      <c r="JV19" s="468"/>
      <c r="JW19" s="468"/>
      <c r="JX19" s="468"/>
      <c r="JY19" s="468"/>
      <c r="JZ19" s="468"/>
      <c r="KA19" s="468"/>
      <c r="KB19" s="468"/>
      <c r="KC19" s="468"/>
      <c r="KD19" s="468"/>
      <c r="KE19" s="468"/>
      <c r="KF19" s="468"/>
      <c r="KG19" s="468"/>
      <c r="KH19" s="468"/>
      <c r="KI19" s="468"/>
      <c r="KJ19" s="468"/>
      <c r="KK19" s="468"/>
      <c r="KL19" s="468"/>
      <c r="KM19" s="468"/>
      <c r="KN19" s="468"/>
      <c r="KO19" s="468"/>
      <c r="KP19" s="468"/>
      <c r="KQ19" s="468"/>
      <c r="KR19" s="468"/>
      <c r="KS19" s="468"/>
      <c r="KT19" s="468"/>
      <c r="KU19" s="468"/>
      <c r="KV19" s="468"/>
      <c r="KW19" s="468"/>
      <c r="KX19" s="468"/>
      <c r="KY19" s="468"/>
      <c r="KZ19" s="468"/>
      <c r="LA19" s="468"/>
      <c r="LB19" s="468"/>
      <c r="LC19" s="468"/>
      <c r="LD19" s="468"/>
      <c r="LE19" s="468"/>
      <c r="LF19" s="468"/>
      <c r="LG19" s="468"/>
      <c r="LH19" s="468"/>
      <c r="LI19" s="468"/>
      <c r="LJ19" s="468"/>
      <c r="LK19" s="468"/>
      <c r="LL19" s="468"/>
      <c r="LM19" s="468"/>
      <c r="LN19" s="468"/>
      <c r="LO19" s="468"/>
      <c r="LP19" s="468"/>
      <c r="LQ19" s="468"/>
      <c r="LR19" s="468"/>
      <c r="LS19" s="468"/>
      <c r="LT19" s="468"/>
      <c r="LU19" s="468"/>
      <c r="LV19" s="468"/>
      <c r="LW19" s="468"/>
      <c r="LX19" s="468"/>
      <c r="LY19" s="468"/>
      <c r="LZ19" s="468"/>
      <c r="MA19" s="468"/>
      <c r="MB19" s="468"/>
      <c r="MC19" s="468"/>
      <c r="MD19" s="468"/>
      <c r="ME19" s="468"/>
      <c r="MF19" s="468"/>
      <c r="MG19" s="468"/>
      <c r="MH19" s="468"/>
      <c r="MI19" s="468"/>
      <c r="MJ19" s="468"/>
      <c r="MK19" s="468"/>
      <c r="ML19" s="468"/>
      <c r="MM19" s="468"/>
      <c r="MN19" s="468"/>
      <c r="MO19" s="468"/>
      <c r="MP19" s="468"/>
      <c r="MQ19" s="468"/>
      <c r="MR19" s="468"/>
      <c r="MS19" s="468"/>
      <c r="MT19" s="468"/>
      <c r="MU19" s="468"/>
      <c r="MV19" s="468"/>
      <c r="MW19" s="468"/>
      <c r="MX19" s="468"/>
      <c r="MY19" s="468"/>
      <c r="MZ19" s="468"/>
      <c r="NA19" s="468"/>
      <c r="NB19" s="468"/>
      <c r="NC19" s="468"/>
      <c r="ND19" s="468"/>
      <c r="NE19" s="468"/>
      <c r="NF19" s="468"/>
      <c r="NG19" s="468"/>
      <c r="NH19" s="468"/>
      <c r="NI19" s="468"/>
      <c r="NJ19" s="468"/>
      <c r="NK19" s="468"/>
      <c r="NL19" s="468"/>
      <c r="NM19" s="468"/>
      <c r="NN19" s="468"/>
      <c r="NO19" s="468"/>
      <c r="NP19" s="468"/>
      <c r="NQ19" s="468"/>
      <c r="NR19" s="468"/>
      <c r="NS19" s="468"/>
      <c r="NT19" s="468"/>
      <c r="NU19" s="468"/>
      <c r="NV19" s="468"/>
      <c r="NW19" s="468"/>
      <c r="NX19" s="468"/>
      <c r="NY19" s="468"/>
      <c r="NZ19" s="468"/>
      <c r="OA19" s="468"/>
      <c r="OB19" s="468"/>
      <c r="OC19" s="468"/>
      <c r="OD19" s="468"/>
      <c r="OE19" s="468"/>
      <c r="OF19" s="468"/>
      <c r="OG19" s="468"/>
      <c r="OH19" s="468"/>
      <c r="OI19" s="468"/>
      <c r="OJ19" s="468"/>
      <c r="OK19" s="468"/>
      <c r="OL19" s="468"/>
      <c r="OM19" s="468"/>
      <c r="ON19" s="468"/>
      <c r="OO19" s="468"/>
      <c r="OP19" s="468"/>
      <c r="OQ19" s="468"/>
      <c r="OR19" s="468"/>
      <c r="OS19" s="468"/>
      <c r="OT19" s="468"/>
      <c r="OU19" s="468"/>
      <c r="OV19" s="468"/>
      <c r="OW19" s="468"/>
      <c r="OX19" s="468"/>
      <c r="OY19" s="468"/>
      <c r="OZ19" s="468"/>
      <c r="PA19" s="468"/>
      <c r="PB19" s="468"/>
      <c r="PC19" s="468"/>
      <c r="PD19" s="468"/>
      <c r="PE19" s="468"/>
      <c r="PF19" s="468"/>
      <c r="PG19" s="468"/>
      <c r="PH19" s="468"/>
      <c r="PI19" s="468"/>
      <c r="PJ19" s="468"/>
      <c r="PK19" s="468"/>
      <c r="PL19" s="468"/>
      <c r="PM19" s="468"/>
      <c r="PN19" s="468"/>
      <c r="PO19" s="468"/>
      <c r="PP19" s="468"/>
      <c r="PQ19" s="468"/>
      <c r="PR19" s="468"/>
      <c r="PS19" s="468"/>
      <c r="PT19" s="468"/>
      <c r="PU19" s="468"/>
      <c r="PV19" s="468"/>
      <c r="PW19" s="468"/>
      <c r="PX19" s="468"/>
      <c r="PY19" s="468"/>
      <c r="PZ19" s="468"/>
      <c r="QA19" s="468"/>
      <c r="QB19" s="468"/>
      <c r="QC19" s="468"/>
      <c r="QD19" s="468"/>
      <c r="QE19" s="468"/>
      <c r="QF19" s="468"/>
      <c r="QG19" s="468"/>
      <c r="QH19" s="468"/>
      <c r="QI19" s="468"/>
      <c r="QJ19" s="468"/>
      <c r="QK19" s="468"/>
      <c r="QL19" s="468"/>
      <c r="QM19" s="468"/>
      <c r="QN19" s="468"/>
      <c r="QO19" s="468"/>
      <c r="QP19" s="468"/>
      <c r="QQ19" s="468"/>
      <c r="QR19" s="468"/>
      <c r="QS19" s="468"/>
      <c r="QT19" s="468"/>
      <c r="QU19" s="468"/>
      <c r="QV19" s="468"/>
      <c r="QW19" s="468"/>
      <c r="QX19" s="468"/>
      <c r="QY19" s="468"/>
      <c r="QZ19" s="468"/>
      <c r="RA19" s="468"/>
      <c r="RB19" s="468"/>
      <c r="RC19" s="468"/>
      <c r="RD19" s="468"/>
      <c r="RE19" s="468"/>
      <c r="RF19" s="468"/>
      <c r="RG19" s="468"/>
      <c r="RH19" s="468"/>
      <c r="RI19" s="468"/>
      <c r="RJ19" s="468"/>
      <c r="RK19" s="468"/>
      <c r="RL19" s="468"/>
      <c r="RM19" s="468"/>
      <c r="RN19" s="468"/>
      <c r="RO19" s="468"/>
      <c r="RP19" s="468"/>
      <c r="RQ19" s="468"/>
      <c r="RR19" s="468"/>
      <c r="RS19" s="468"/>
      <c r="RT19" s="468"/>
      <c r="RU19" s="468"/>
      <c r="RV19" s="468"/>
      <c r="RW19" s="468"/>
      <c r="RX19" s="468"/>
      <c r="RY19" s="468"/>
      <c r="RZ19" s="468"/>
      <c r="SA19" s="468"/>
      <c r="SB19" s="468"/>
      <c r="SC19" s="468"/>
      <c r="SD19" s="468"/>
      <c r="SE19" s="468"/>
      <c r="SF19" s="468"/>
      <c r="SG19" s="468"/>
      <c r="SH19" s="468"/>
      <c r="SI19" s="468"/>
      <c r="SJ19" s="468"/>
      <c r="SK19" s="468"/>
      <c r="SL19" s="468"/>
      <c r="SM19" s="468"/>
      <c r="SN19" s="468"/>
      <c r="SO19" s="468"/>
      <c r="SP19" s="468"/>
      <c r="SQ19" s="468"/>
      <c r="SR19" s="468"/>
      <c r="SS19" s="468"/>
      <c r="ST19" s="468"/>
      <c r="SU19" s="468"/>
      <c r="SV19" s="468"/>
      <c r="SW19" s="468"/>
      <c r="SX19" s="468"/>
      <c r="SY19" s="468"/>
      <c r="SZ19" s="468"/>
      <c r="TA19" s="468"/>
      <c r="TB19" s="468"/>
      <c r="TC19" s="468"/>
      <c r="TD19" s="468"/>
      <c r="TE19" s="468"/>
      <c r="TF19" s="468"/>
      <c r="TG19" s="468"/>
      <c r="TH19" s="468"/>
      <c r="TI19" s="468"/>
      <c r="TJ19" s="468"/>
      <c r="TK19" s="468"/>
      <c r="TL19" s="468"/>
      <c r="TM19" s="468"/>
      <c r="TN19" s="468"/>
      <c r="TO19" s="468"/>
      <c r="TP19" s="468"/>
      <c r="TQ19" s="468"/>
      <c r="TR19" s="468"/>
      <c r="TS19" s="468"/>
      <c r="TT19" s="468"/>
      <c r="TU19" s="468"/>
      <c r="TV19" s="468"/>
      <c r="TW19" s="468"/>
      <c r="TX19" s="468"/>
      <c r="TY19" s="468"/>
      <c r="TZ19" s="468"/>
      <c r="UA19" s="468"/>
      <c r="UB19" s="468"/>
      <c r="UC19" s="468"/>
      <c r="UD19" s="468"/>
      <c r="UE19" s="468"/>
      <c r="UF19" s="468"/>
      <c r="UG19" s="468"/>
      <c r="UH19" s="468"/>
      <c r="UI19" s="468"/>
      <c r="UJ19" s="468"/>
      <c r="UK19" s="468"/>
      <c r="UL19" s="468"/>
      <c r="UM19" s="468"/>
      <c r="UN19" s="468"/>
      <c r="UO19" s="468"/>
      <c r="UP19" s="468"/>
      <c r="UQ19" s="468"/>
      <c r="UR19" s="468"/>
      <c r="US19" s="468"/>
      <c r="UT19" s="468"/>
      <c r="UU19" s="468"/>
      <c r="UV19" s="468"/>
      <c r="UW19" s="468"/>
      <c r="UX19" s="468"/>
      <c r="UY19" s="468"/>
      <c r="UZ19" s="468"/>
      <c r="VA19" s="468"/>
      <c r="VB19" s="468"/>
      <c r="VC19" s="468"/>
      <c r="VD19" s="468"/>
      <c r="VE19" s="468"/>
      <c r="VF19" s="468"/>
      <c r="VG19" s="468"/>
      <c r="VH19" s="468"/>
      <c r="VI19" s="468"/>
      <c r="VJ19" s="468"/>
      <c r="VK19" s="468"/>
      <c r="VL19" s="468"/>
      <c r="VM19" s="468"/>
      <c r="VN19" s="468"/>
      <c r="VO19" s="468"/>
      <c r="VP19" s="468"/>
      <c r="VQ19" s="468"/>
      <c r="VR19" s="468"/>
      <c r="VS19" s="468"/>
      <c r="VT19" s="468"/>
      <c r="VU19" s="468"/>
      <c r="VV19" s="468"/>
      <c r="VW19" s="468"/>
      <c r="VX19" s="468"/>
      <c r="VY19" s="468"/>
      <c r="VZ19" s="468"/>
      <c r="WA19" s="468"/>
      <c r="WB19" s="468"/>
      <c r="WC19" s="468"/>
      <c r="WD19" s="468"/>
      <c r="WE19" s="468"/>
      <c r="WF19" s="468"/>
      <c r="WG19" s="468"/>
      <c r="WH19" s="468"/>
      <c r="WI19" s="468"/>
      <c r="WJ19" s="468"/>
      <c r="WK19" s="468"/>
      <c r="WL19" s="468"/>
      <c r="WM19" s="468"/>
      <c r="WN19" s="468"/>
      <c r="WO19" s="468"/>
      <c r="WP19" s="468"/>
      <c r="WQ19" s="468"/>
      <c r="WR19" s="468"/>
      <c r="WS19" s="468"/>
      <c r="WT19" s="468"/>
      <c r="WU19" s="468"/>
      <c r="WV19" s="468"/>
      <c r="WW19" s="468"/>
      <c r="WX19" s="468"/>
      <c r="WY19" s="468"/>
      <c r="WZ19" s="468"/>
      <c r="XA19" s="468"/>
      <c r="XB19" s="468"/>
      <c r="XC19" s="468"/>
      <c r="XD19" s="468"/>
      <c r="XE19" s="468"/>
      <c r="XF19" s="468"/>
      <c r="XG19" s="468"/>
      <c r="XH19" s="468"/>
      <c r="XI19" s="468"/>
      <c r="XJ19" s="468"/>
      <c r="XK19" s="468"/>
      <c r="XL19" s="468"/>
      <c r="XM19" s="468"/>
      <c r="XN19" s="468"/>
      <c r="XO19" s="468"/>
      <c r="XP19" s="468"/>
      <c r="XQ19" s="467"/>
      <c r="XR19" s="24"/>
      <c r="XS19" s="24"/>
      <c r="XT19" s="24"/>
    </row>
    <row r="20" spans="1:644" s="110" customFormat="1" x14ac:dyDescent="0.25">
      <c r="A20" s="41" t="s">
        <v>1467</v>
      </c>
      <c r="B20" s="158" t="s">
        <v>1502</v>
      </c>
      <c r="C20" s="158" t="s">
        <v>1501</v>
      </c>
      <c r="D20" s="437" t="s">
        <v>1160</v>
      </c>
      <c r="E20" s="449" t="s">
        <v>1503</v>
      </c>
      <c r="F20" s="155">
        <v>44</v>
      </c>
      <c r="G20" s="155" t="s">
        <v>183</v>
      </c>
      <c r="H20" s="155" t="s">
        <v>35</v>
      </c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452" t="s">
        <v>1450</v>
      </c>
      <c r="AG20" s="453" t="s">
        <v>1481</v>
      </c>
      <c r="AH20" s="158"/>
      <c r="AI20" s="158"/>
      <c r="AJ20" s="158"/>
      <c r="AK20" s="158"/>
      <c r="AL20" s="158"/>
      <c r="AM20" s="158"/>
      <c r="AN20" s="473"/>
      <c r="AO20" s="470"/>
      <c r="AP20" s="470"/>
      <c r="AQ20" s="470"/>
      <c r="AR20" s="470"/>
      <c r="AS20" s="470"/>
      <c r="AT20" s="470"/>
      <c r="AU20" s="470"/>
      <c r="AV20" s="470"/>
      <c r="AW20" s="470"/>
      <c r="AX20" s="470"/>
      <c r="AY20" s="470"/>
      <c r="AZ20" s="470"/>
      <c r="BA20" s="470"/>
      <c r="BB20" s="470"/>
      <c r="BC20" s="470"/>
      <c r="BD20" s="470"/>
      <c r="BE20" s="470"/>
      <c r="BF20" s="470"/>
      <c r="BG20" s="470"/>
      <c r="BH20" s="470"/>
      <c r="BI20" s="470"/>
      <c r="BJ20" s="470"/>
      <c r="BK20" s="470"/>
      <c r="BL20" s="470"/>
      <c r="BM20" s="470"/>
      <c r="BN20" s="470"/>
      <c r="BO20" s="470"/>
      <c r="BP20" s="470"/>
      <c r="BQ20" s="470"/>
      <c r="BR20" s="470"/>
      <c r="BS20" s="470"/>
      <c r="BT20" s="470"/>
      <c r="BU20" s="470"/>
      <c r="BV20" s="470"/>
      <c r="BW20" s="470"/>
      <c r="BX20" s="470"/>
      <c r="BY20" s="470"/>
      <c r="BZ20" s="470"/>
      <c r="CA20" s="470"/>
      <c r="CB20" s="470"/>
      <c r="CC20" s="470"/>
      <c r="CD20" s="470"/>
      <c r="CE20" s="470"/>
      <c r="CF20" s="470"/>
      <c r="CG20" s="470"/>
      <c r="CH20" s="470"/>
      <c r="CI20" s="470"/>
      <c r="CJ20" s="470"/>
      <c r="CK20" s="470"/>
      <c r="CL20" s="470"/>
      <c r="CM20" s="470"/>
      <c r="CN20" s="470"/>
      <c r="CO20" s="470"/>
      <c r="CP20" s="470"/>
      <c r="CQ20" s="470"/>
      <c r="CR20" s="470"/>
      <c r="CS20" s="470"/>
      <c r="CT20" s="470"/>
      <c r="CU20" s="470"/>
      <c r="CV20" s="470"/>
      <c r="CW20" s="470"/>
      <c r="CX20" s="470"/>
      <c r="CY20" s="470"/>
      <c r="CZ20" s="470"/>
      <c r="DA20" s="470"/>
      <c r="DB20" s="470"/>
      <c r="DC20" s="470"/>
      <c r="DD20" s="470"/>
      <c r="DE20" s="470"/>
      <c r="DF20" s="470"/>
      <c r="DG20" s="470"/>
      <c r="DH20" s="470"/>
      <c r="DI20" s="470"/>
      <c r="DJ20" s="470"/>
      <c r="DK20" s="470"/>
      <c r="DL20" s="470"/>
      <c r="DM20" s="470"/>
      <c r="DN20" s="470"/>
      <c r="DO20" s="470"/>
      <c r="DP20" s="470"/>
      <c r="DQ20" s="470"/>
      <c r="DR20" s="470"/>
      <c r="DS20" s="470"/>
      <c r="DT20" s="470"/>
      <c r="DU20" s="470"/>
      <c r="DV20" s="470"/>
      <c r="DW20" s="470"/>
      <c r="DX20" s="470"/>
      <c r="DY20" s="470"/>
      <c r="DZ20" s="470"/>
      <c r="EA20" s="470"/>
      <c r="EB20" s="470"/>
      <c r="EC20" s="470"/>
      <c r="ED20" s="470"/>
      <c r="EE20" s="470"/>
      <c r="EF20" s="470"/>
      <c r="EG20" s="470"/>
      <c r="EH20" s="470"/>
      <c r="EI20" s="470"/>
      <c r="EJ20" s="470"/>
      <c r="EK20" s="470"/>
      <c r="EL20" s="470"/>
      <c r="EM20" s="470"/>
      <c r="EN20" s="470"/>
      <c r="EO20" s="470"/>
      <c r="EP20" s="470"/>
      <c r="EQ20" s="470"/>
      <c r="ER20" s="470"/>
      <c r="ES20" s="470"/>
      <c r="ET20" s="470"/>
      <c r="EU20" s="470"/>
      <c r="EV20" s="470"/>
      <c r="EW20" s="470"/>
      <c r="EX20" s="470"/>
      <c r="EY20" s="470"/>
      <c r="EZ20" s="470"/>
      <c r="FA20" s="470"/>
      <c r="FB20" s="470"/>
      <c r="FC20" s="470"/>
      <c r="FD20" s="470"/>
      <c r="FE20" s="470"/>
      <c r="FF20" s="470"/>
      <c r="FG20" s="470"/>
      <c r="FH20" s="470"/>
      <c r="FI20" s="470"/>
      <c r="FJ20" s="470"/>
      <c r="FK20" s="470"/>
      <c r="FL20" s="470"/>
      <c r="FM20" s="470"/>
      <c r="FN20" s="470"/>
      <c r="FO20" s="470"/>
      <c r="FP20" s="470"/>
      <c r="FQ20" s="470"/>
      <c r="FR20" s="470"/>
      <c r="FS20" s="470"/>
      <c r="FT20" s="470"/>
      <c r="FU20" s="470"/>
      <c r="FV20" s="470"/>
      <c r="FW20" s="470"/>
      <c r="FX20" s="470"/>
      <c r="FY20" s="470"/>
      <c r="FZ20" s="470"/>
      <c r="GA20" s="470"/>
      <c r="GB20" s="470"/>
      <c r="GC20" s="470"/>
      <c r="GD20" s="470"/>
      <c r="GE20" s="470"/>
      <c r="GF20" s="470"/>
      <c r="GG20" s="470"/>
      <c r="GH20" s="470"/>
      <c r="GI20" s="470"/>
      <c r="GJ20" s="470"/>
      <c r="GK20" s="470"/>
      <c r="GL20" s="470"/>
      <c r="GM20" s="470"/>
      <c r="GN20" s="470"/>
      <c r="GO20" s="470"/>
      <c r="GP20" s="470"/>
      <c r="GQ20" s="470"/>
      <c r="GR20" s="470"/>
      <c r="GS20" s="470"/>
      <c r="GT20" s="470"/>
      <c r="GU20" s="470"/>
      <c r="GV20" s="470"/>
      <c r="GW20" s="470"/>
      <c r="GX20" s="470"/>
      <c r="GY20" s="470"/>
      <c r="GZ20" s="470"/>
      <c r="HA20" s="470"/>
      <c r="HB20" s="470"/>
      <c r="HC20" s="470"/>
      <c r="HD20" s="470"/>
      <c r="HE20" s="470"/>
      <c r="HF20" s="470"/>
      <c r="HG20" s="470"/>
      <c r="HH20" s="470"/>
      <c r="HI20" s="470"/>
      <c r="HJ20" s="470"/>
      <c r="HK20" s="470"/>
      <c r="HL20" s="470"/>
      <c r="HM20" s="470"/>
      <c r="HN20" s="470"/>
      <c r="HO20" s="470"/>
      <c r="HP20" s="470"/>
      <c r="HQ20" s="470"/>
      <c r="HR20" s="470"/>
      <c r="HS20" s="470"/>
      <c r="HT20" s="470"/>
      <c r="HU20" s="470"/>
      <c r="HV20" s="470"/>
      <c r="HW20" s="470"/>
      <c r="HX20" s="470"/>
      <c r="HY20" s="470"/>
      <c r="HZ20" s="470"/>
      <c r="IA20" s="470"/>
      <c r="IB20" s="470"/>
      <c r="IC20" s="470"/>
      <c r="ID20" s="470"/>
      <c r="IE20" s="470"/>
      <c r="IF20" s="470"/>
      <c r="IG20" s="470"/>
      <c r="IH20" s="470"/>
      <c r="II20" s="470"/>
      <c r="IJ20" s="470"/>
      <c r="IK20" s="470"/>
      <c r="IL20" s="470"/>
      <c r="IM20" s="470"/>
      <c r="IN20" s="470"/>
      <c r="IO20" s="470"/>
      <c r="IP20" s="470"/>
      <c r="IQ20" s="470"/>
      <c r="IR20" s="470"/>
      <c r="IS20" s="470"/>
      <c r="IT20" s="470"/>
      <c r="IU20" s="470"/>
      <c r="IV20" s="470"/>
      <c r="IW20" s="470"/>
      <c r="IX20" s="470"/>
      <c r="IY20" s="470"/>
      <c r="IZ20" s="470"/>
      <c r="JA20" s="470"/>
      <c r="JB20" s="470"/>
      <c r="JC20" s="470"/>
      <c r="JD20" s="470"/>
      <c r="JE20" s="470"/>
      <c r="JF20" s="470"/>
      <c r="JG20" s="470"/>
      <c r="JH20" s="470"/>
      <c r="JI20" s="470"/>
      <c r="JJ20" s="470"/>
      <c r="JK20" s="470"/>
      <c r="JL20" s="470"/>
      <c r="JM20" s="470"/>
      <c r="JN20" s="470"/>
      <c r="JO20" s="470"/>
      <c r="JP20" s="470"/>
      <c r="JQ20" s="470"/>
      <c r="JR20" s="470"/>
      <c r="JS20" s="470"/>
      <c r="JT20" s="470"/>
      <c r="JU20" s="470"/>
      <c r="JV20" s="470"/>
      <c r="JW20" s="470"/>
      <c r="JX20" s="470"/>
      <c r="JY20" s="470"/>
      <c r="JZ20" s="470"/>
      <c r="KA20" s="470"/>
      <c r="KB20" s="470"/>
      <c r="KC20" s="470"/>
      <c r="KD20" s="470"/>
      <c r="KE20" s="470"/>
      <c r="KF20" s="470"/>
      <c r="KG20" s="470"/>
      <c r="KH20" s="470"/>
      <c r="KI20" s="470"/>
      <c r="KJ20" s="470"/>
      <c r="KK20" s="470"/>
      <c r="KL20" s="470"/>
      <c r="KM20" s="470"/>
      <c r="KN20" s="470"/>
      <c r="KO20" s="470"/>
      <c r="KP20" s="470"/>
      <c r="KQ20" s="470"/>
      <c r="KR20" s="470"/>
      <c r="KS20" s="470"/>
      <c r="KT20" s="470"/>
      <c r="KU20" s="470"/>
      <c r="KV20" s="470"/>
      <c r="KW20" s="470"/>
      <c r="KX20" s="470"/>
      <c r="KY20" s="470"/>
      <c r="KZ20" s="470"/>
      <c r="LA20" s="470"/>
      <c r="LB20" s="470"/>
      <c r="LC20" s="470"/>
      <c r="LD20" s="470"/>
      <c r="LE20" s="470"/>
      <c r="LF20" s="470"/>
      <c r="LG20" s="470"/>
      <c r="LH20" s="470"/>
      <c r="LI20" s="470"/>
      <c r="LJ20" s="470"/>
      <c r="LK20" s="470"/>
      <c r="LL20" s="470"/>
      <c r="LM20" s="470"/>
      <c r="LN20" s="470"/>
      <c r="LO20" s="470"/>
      <c r="LP20" s="470"/>
      <c r="LQ20" s="470"/>
      <c r="LR20" s="470"/>
      <c r="LS20" s="470"/>
      <c r="LT20" s="470"/>
      <c r="LU20" s="470"/>
      <c r="LV20" s="470"/>
      <c r="LW20" s="470"/>
      <c r="LX20" s="470"/>
      <c r="LY20" s="470"/>
      <c r="LZ20" s="470"/>
      <c r="MA20" s="470"/>
      <c r="MB20" s="470"/>
      <c r="MC20" s="470"/>
      <c r="MD20" s="470"/>
      <c r="ME20" s="470"/>
      <c r="MF20" s="470"/>
      <c r="MG20" s="470"/>
      <c r="MH20" s="470"/>
      <c r="MI20" s="470"/>
      <c r="MJ20" s="470"/>
      <c r="MK20" s="470"/>
      <c r="ML20" s="470"/>
      <c r="MM20" s="470"/>
      <c r="MN20" s="470"/>
      <c r="MO20" s="470"/>
      <c r="MP20" s="470"/>
      <c r="MQ20" s="470"/>
      <c r="MR20" s="470"/>
      <c r="MS20" s="470"/>
      <c r="MT20" s="470"/>
      <c r="MU20" s="470"/>
      <c r="MV20" s="470"/>
      <c r="MW20" s="470"/>
      <c r="MX20" s="470"/>
      <c r="MY20" s="470"/>
      <c r="MZ20" s="470"/>
      <c r="NA20" s="470"/>
      <c r="NB20" s="470"/>
      <c r="NC20" s="470"/>
      <c r="ND20" s="470"/>
      <c r="NE20" s="470"/>
      <c r="NF20" s="470"/>
      <c r="NG20" s="470"/>
      <c r="NH20" s="470"/>
      <c r="NI20" s="470"/>
      <c r="NJ20" s="470"/>
      <c r="NK20" s="470"/>
      <c r="NL20" s="470"/>
      <c r="NM20" s="470"/>
      <c r="NN20" s="470"/>
      <c r="NO20" s="470"/>
      <c r="NP20" s="470"/>
      <c r="NQ20" s="470"/>
      <c r="NR20" s="470"/>
      <c r="NS20" s="470"/>
      <c r="NT20" s="470"/>
      <c r="NU20" s="470"/>
      <c r="NV20" s="470"/>
      <c r="NW20" s="470"/>
      <c r="NX20" s="470"/>
      <c r="NY20" s="470"/>
      <c r="NZ20" s="470"/>
      <c r="OA20" s="470"/>
      <c r="OB20" s="470"/>
      <c r="OC20" s="470"/>
      <c r="OD20" s="470"/>
      <c r="OE20" s="470"/>
      <c r="OF20" s="470"/>
      <c r="OG20" s="470"/>
      <c r="OH20" s="470"/>
      <c r="OI20" s="470"/>
      <c r="OJ20" s="470"/>
      <c r="OK20" s="470"/>
      <c r="OL20" s="470"/>
      <c r="OM20" s="470"/>
      <c r="ON20" s="470"/>
      <c r="OO20" s="470"/>
      <c r="OP20" s="470"/>
      <c r="OQ20" s="470"/>
      <c r="OR20" s="470"/>
      <c r="OS20" s="470"/>
      <c r="OT20" s="470"/>
      <c r="OU20" s="470"/>
      <c r="OV20" s="470"/>
      <c r="OW20" s="470"/>
      <c r="OX20" s="470"/>
      <c r="OY20" s="470"/>
      <c r="OZ20" s="470"/>
      <c r="PA20" s="470"/>
      <c r="PB20" s="470"/>
      <c r="PC20" s="470"/>
      <c r="PD20" s="470"/>
      <c r="PE20" s="470"/>
      <c r="PF20" s="470"/>
      <c r="PG20" s="470"/>
      <c r="PH20" s="470"/>
      <c r="PI20" s="470"/>
      <c r="PJ20" s="470"/>
      <c r="PK20" s="470"/>
      <c r="PL20" s="470"/>
      <c r="PM20" s="470"/>
      <c r="PN20" s="470"/>
      <c r="PO20" s="470"/>
      <c r="PP20" s="470"/>
      <c r="PQ20" s="470"/>
      <c r="PR20" s="470"/>
      <c r="PS20" s="470"/>
      <c r="PT20" s="470"/>
      <c r="PU20" s="470"/>
      <c r="PV20" s="470"/>
      <c r="PW20" s="470"/>
      <c r="PX20" s="470"/>
      <c r="PY20" s="470"/>
      <c r="PZ20" s="470"/>
      <c r="QA20" s="470"/>
      <c r="QB20" s="470"/>
      <c r="QC20" s="470"/>
      <c r="QD20" s="470"/>
      <c r="QE20" s="470"/>
      <c r="QF20" s="470"/>
      <c r="QG20" s="470"/>
      <c r="QH20" s="470"/>
      <c r="QI20" s="470"/>
      <c r="QJ20" s="470"/>
      <c r="QK20" s="470"/>
      <c r="QL20" s="470"/>
      <c r="QM20" s="470"/>
      <c r="QN20" s="470"/>
      <c r="QO20" s="470"/>
      <c r="QP20" s="470"/>
      <c r="QQ20" s="470"/>
      <c r="QR20" s="470"/>
      <c r="QS20" s="470"/>
      <c r="QT20" s="470"/>
      <c r="QU20" s="470"/>
      <c r="QV20" s="470"/>
      <c r="QW20" s="470"/>
      <c r="QX20" s="470"/>
      <c r="QY20" s="470"/>
      <c r="QZ20" s="470"/>
      <c r="RA20" s="470"/>
      <c r="RB20" s="470"/>
      <c r="RC20" s="470"/>
      <c r="RD20" s="470"/>
      <c r="RE20" s="470"/>
      <c r="RF20" s="470"/>
      <c r="RG20" s="470"/>
      <c r="RH20" s="470"/>
      <c r="RI20" s="470"/>
      <c r="RJ20" s="470"/>
      <c r="RK20" s="470"/>
      <c r="RL20" s="470"/>
      <c r="RM20" s="470"/>
      <c r="RN20" s="470"/>
      <c r="RO20" s="470"/>
      <c r="RP20" s="470"/>
      <c r="RQ20" s="470"/>
      <c r="RR20" s="470"/>
      <c r="RS20" s="470"/>
      <c r="RT20" s="470"/>
      <c r="RU20" s="470"/>
      <c r="RV20" s="470"/>
      <c r="RW20" s="470"/>
      <c r="RX20" s="470"/>
      <c r="RY20" s="470"/>
      <c r="RZ20" s="470"/>
      <c r="SA20" s="470"/>
      <c r="SB20" s="470"/>
      <c r="SC20" s="470"/>
      <c r="SD20" s="470"/>
      <c r="SE20" s="470"/>
      <c r="SF20" s="470"/>
      <c r="SG20" s="470"/>
      <c r="SH20" s="470"/>
      <c r="SI20" s="470"/>
      <c r="SJ20" s="470"/>
      <c r="SK20" s="470"/>
      <c r="SL20" s="470"/>
      <c r="SM20" s="470"/>
      <c r="SN20" s="470"/>
      <c r="SO20" s="470"/>
      <c r="SP20" s="470"/>
      <c r="SQ20" s="470"/>
      <c r="SR20" s="470"/>
      <c r="SS20" s="470"/>
      <c r="ST20" s="470"/>
      <c r="SU20" s="470"/>
      <c r="SV20" s="470"/>
      <c r="SW20" s="470"/>
      <c r="SX20" s="470"/>
      <c r="SY20" s="470"/>
      <c r="SZ20" s="470"/>
      <c r="TA20" s="470"/>
      <c r="TB20" s="470"/>
      <c r="TC20" s="470"/>
      <c r="TD20" s="470"/>
      <c r="TE20" s="470"/>
      <c r="TF20" s="470"/>
      <c r="TG20" s="470"/>
      <c r="TH20" s="470"/>
      <c r="TI20" s="470"/>
      <c r="TJ20" s="470"/>
      <c r="TK20" s="470"/>
      <c r="TL20" s="470"/>
      <c r="TM20" s="470"/>
      <c r="TN20" s="470"/>
      <c r="TO20" s="470"/>
      <c r="TP20" s="470"/>
      <c r="TQ20" s="470"/>
      <c r="TR20" s="470"/>
      <c r="TS20" s="470"/>
      <c r="TT20" s="470"/>
      <c r="TU20" s="470"/>
      <c r="TV20" s="470"/>
      <c r="TW20" s="470"/>
      <c r="TX20" s="470"/>
      <c r="TY20" s="470"/>
      <c r="TZ20" s="470"/>
      <c r="UA20" s="470"/>
      <c r="UB20" s="470"/>
      <c r="UC20" s="470"/>
      <c r="UD20" s="470"/>
      <c r="UE20" s="470"/>
      <c r="UF20" s="470"/>
      <c r="UG20" s="470"/>
      <c r="UH20" s="470"/>
      <c r="UI20" s="470"/>
      <c r="UJ20" s="470"/>
      <c r="UK20" s="470"/>
      <c r="UL20" s="470"/>
      <c r="UM20" s="470"/>
      <c r="UN20" s="470"/>
      <c r="UO20" s="470"/>
      <c r="UP20" s="470"/>
      <c r="UQ20" s="470"/>
      <c r="UR20" s="470"/>
      <c r="US20" s="470"/>
      <c r="UT20" s="470"/>
      <c r="UU20" s="470"/>
      <c r="UV20" s="470"/>
      <c r="UW20" s="470"/>
      <c r="UX20" s="470"/>
      <c r="UY20" s="470"/>
      <c r="UZ20" s="470"/>
      <c r="VA20" s="470"/>
      <c r="VB20" s="470"/>
      <c r="VC20" s="470"/>
      <c r="VD20" s="470"/>
      <c r="VE20" s="470"/>
      <c r="VF20" s="470"/>
      <c r="VG20" s="470"/>
      <c r="VH20" s="470"/>
      <c r="VI20" s="470"/>
      <c r="VJ20" s="470"/>
      <c r="VK20" s="470"/>
      <c r="VL20" s="470"/>
      <c r="VM20" s="470"/>
      <c r="VN20" s="470"/>
      <c r="VO20" s="470"/>
      <c r="VP20" s="470"/>
      <c r="VQ20" s="470"/>
      <c r="VR20" s="470"/>
      <c r="VS20" s="470"/>
      <c r="VT20" s="470"/>
      <c r="VU20" s="470"/>
      <c r="VV20" s="470"/>
      <c r="VW20" s="470"/>
      <c r="VX20" s="470"/>
      <c r="VY20" s="470"/>
      <c r="VZ20" s="470"/>
      <c r="WA20" s="470"/>
      <c r="WB20" s="470"/>
      <c r="WC20" s="470"/>
      <c r="WD20" s="470"/>
      <c r="WE20" s="470"/>
      <c r="WF20" s="470"/>
      <c r="WG20" s="470"/>
      <c r="WH20" s="470"/>
      <c r="WI20" s="470"/>
      <c r="WJ20" s="470"/>
      <c r="WK20" s="470"/>
      <c r="WL20" s="470"/>
      <c r="WM20" s="470"/>
      <c r="WN20" s="470"/>
      <c r="WO20" s="470"/>
      <c r="WP20" s="470"/>
      <c r="WQ20" s="470"/>
      <c r="WR20" s="470"/>
      <c r="WS20" s="470"/>
      <c r="WT20" s="470"/>
      <c r="WU20" s="470"/>
      <c r="WV20" s="470"/>
      <c r="WW20" s="470"/>
      <c r="WX20" s="470"/>
      <c r="WY20" s="470"/>
      <c r="WZ20" s="470"/>
      <c r="XA20" s="470"/>
      <c r="XB20" s="470"/>
      <c r="XC20" s="470"/>
      <c r="XD20" s="470"/>
      <c r="XE20" s="470"/>
      <c r="XF20" s="470"/>
      <c r="XG20" s="470"/>
      <c r="XH20" s="470"/>
      <c r="XI20" s="470"/>
      <c r="XJ20" s="470"/>
      <c r="XK20" s="470"/>
      <c r="XL20" s="470"/>
      <c r="XM20" s="470"/>
      <c r="XN20" s="470"/>
      <c r="XO20" s="470"/>
      <c r="XP20" s="470"/>
      <c r="XQ20" s="313"/>
    </row>
    <row r="21" spans="1:644" s="110" customFormat="1" x14ac:dyDescent="0.25">
      <c r="A21" s="456" t="s">
        <v>1468</v>
      </c>
      <c r="B21" s="158" t="s">
        <v>1509</v>
      </c>
      <c r="C21" s="158" t="s">
        <v>1510</v>
      </c>
      <c r="D21" s="437" t="s">
        <v>1160</v>
      </c>
      <c r="E21" s="455" t="s">
        <v>1511</v>
      </c>
      <c r="F21" s="155">
        <v>41</v>
      </c>
      <c r="G21" s="155" t="s">
        <v>54</v>
      </c>
      <c r="H21" s="155" t="s">
        <v>35</v>
      </c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452" t="s">
        <v>1485</v>
      </c>
      <c r="X21" s="453" t="s">
        <v>1486</v>
      </c>
      <c r="Y21" s="158"/>
      <c r="Z21" s="158"/>
      <c r="AA21" s="158"/>
      <c r="AB21" s="158"/>
      <c r="AC21" s="354" t="s">
        <v>1339</v>
      </c>
      <c r="AD21" s="454" t="s">
        <v>1022</v>
      </c>
      <c r="AE21" s="395" t="s">
        <v>1340</v>
      </c>
      <c r="AF21" s="29"/>
      <c r="AG21" s="29"/>
      <c r="AH21" s="158"/>
      <c r="AI21" s="158"/>
      <c r="AJ21" s="158"/>
      <c r="AK21" s="158"/>
      <c r="AL21" s="158"/>
      <c r="AM21" s="158"/>
      <c r="AN21" s="473"/>
      <c r="AO21" s="470"/>
      <c r="AP21" s="470"/>
      <c r="AQ21" s="470"/>
      <c r="AR21" s="470"/>
      <c r="AS21" s="470"/>
      <c r="AT21" s="470"/>
      <c r="AU21" s="470"/>
      <c r="AV21" s="470"/>
      <c r="AW21" s="470"/>
      <c r="AX21" s="470"/>
      <c r="AY21" s="470"/>
      <c r="AZ21" s="470"/>
      <c r="BA21" s="470"/>
      <c r="BB21" s="470"/>
      <c r="BC21" s="470"/>
      <c r="BD21" s="470"/>
      <c r="BE21" s="470"/>
      <c r="BF21" s="470"/>
      <c r="BG21" s="470"/>
      <c r="BH21" s="470"/>
      <c r="BI21" s="470"/>
      <c r="BJ21" s="470"/>
      <c r="BK21" s="470"/>
      <c r="BL21" s="470"/>
      <c r="BM21" s="470"/>
      <c r="BN21" s="470"/>
      <c r="BO21" s="470"/>
      <c r="BP21" s="470"/>
      <c r="BQ21" s="470"/>
      <c r="BR21" s="470"/>
      <c r="BS21" s="470"/>
      <c r="BT21" s="470"/>
      <c r="BU21" s="470"/>
      <c r="BV21" s="470"/>
      <c r="BW21" s="470"/>
      <c r="BX21" s="470"/>
      <c r="BY21" s="470"/>
      <c r="BZ21" s="470"/>
      <c r="CA21" s="470"/>
      <c r="CB21" s="470"/>
      <c r="CC21" s="470"/>
      <c r="CD21" s="470"/>
      <c r="CE21" s="470"/>
      <c r="CF21" s="470"/>
      <c r="CG21" s="470"/>
      <c r="CH21" s="470"/>
      <c r="CI21" s="470"/>
      <c r="CJ21" s="470"/>
      <c r="CK21" s="470"/>
      <c r="CL21" s="470"/>
      <c r="CM21" s="470"/>
      <c r="CN21" s="470"/>
      <c r="CO21" s="470"/>
      <c r="CP21" s="470"/>
      <c r="CQ21" s="470"/>
      <c r="CR21" s="470"/>
      <c r="CS21" s="470"/>
      <c r="CT21" s="470"/>
      <c r="CU21" s="470"/>
      <c r="CV21" s="470"/>
      <c r="CW21" s="470"/>
      <c r="CX21" s="470"/>
      <c r="CY21" s="470"/>
      <c r="CZ21" s="470"/>
      <c r="DA21" s="470"/>
      <c r="DB21" s="470"/>
      <c r="DC21" s="470"/>
      <c r="DD21" s="470"/>
      <c r="DE21" s="470"/>
      <c r="DF21" s="470"/>
      <c r="DG21" s="470"/>
      <c r="DH21" s="470"/>
      <c r="DI21" s="470"/>
      <c r="DJ21" s="470"/>
      <c r="DK21" s="470"/>
      <c r="DL21" s="470"/>
      <c r="DM21" s="470"/>
      <c r="DN21" s="470"/>
      <c r="DO21" s="470"/>
      <c r="DP21" s="470"/>
      <c r="DQ21" s="470"/>
      <c r="DR21" s="470"/>
      <c r="DS21" s="470"/>
      <c r="DT21" s="470"/>
      <c r="DU21" s="470"/>
      <c r="DV21" s="470"/>
      <c r="DW21" s="470"/>
      <c r="DX21" s="470"/>
      <c r="DY21" s="470"/>
      <c r="DZ21" s="470"/>
      <c r="EA21" s="470"/>
      <c r="EB21" s="470"/>
      <c r="EC21" s="470"/>
      <c r="ED21" s="470"/>
      <c r="EE21" s="470"/>
      <c r="EF21" s="470"/>
      <c r="EG21" s="470"/>
      <c r="EH21" s="470"/>
      <c r="EI21" s="470"/>
      <c r="EJ21" s="470"/>
      <c r="EK21" s="470"/>
      <c r="EL21" s="470"/>
      <c r="EM21" s="470"/>
      <c r="EN21" s="470"/>
      <c r="EO21" s="470"/>
      <c r="EP21" s="470"/>
      <c r="EQ21" s="470"/>
      <c r="ER21" s="470"/>
      <c r="ES21" s="470"/>
      <c r="ET21" s="470"/>
      <c r="EU21" s="470"/>
      <c r="EV21" s="470"/>
      <c r="EW21" s="470"/>
      <c r="EX21" s="470"/>
      <c r="EY21" s="470"/>
      <c r="EZ21" s="470"/>
      <c r="FA21" s="470"/>
      <c r="FB21" s="470"/>
      <c r="FC21" s="470"/>
      <c r="FD21" s="470"/>
      <c r="FE21" s="470"/>
      <c r="FF21" s="470"/>
      <c r="FG21" s="470"/>
      <c r="FH21" s="470"/>
      <c r="FI21" s="470"/>
      <c r="FJ21" s="470"/>
      <c r="FK21" s="470"/>
      <c r="FL21" s="470"/>
      <c r="FM21" s="470"/>
      <c r="FN21" s="470"/>
      <c r="FO21" s="470"/>
      <c r="FP21" s="470"/>
      <c r="FQ21" s="470"/>
      <c r="FR21" s="470"/>
      <c r="FS21" s="470"/>
      <c r="FT21" s="470"/>
      <c r="FU21" s="470"/>
      <c r="FV21" s="470"/>
      <c r="FW21" s="470"/>
      <c r="FX21" s="470"/>
      <c r="FY21" s="470"/>
      <c r="FZ21" s="470"/>
      <c r="GA21" s="470"/>
      <c r="GB21" s="470"/>
      <c r="GC21" s="470"/>
      <c r="GD21" s="470"/>
      <c r="GE21" s="470"/>
      <c r="GF21" s="470"/>
      <c r="GG21" s="470"/>
      <c r="GH21" s="470"/>
      <c r="GI21" s="470"/>
      <c r="GJ21" s="470"/>
      <c r="GK21" s="470"/>
      <c r="GL21" s="470"/>
      <c r="GM21" s="470"/>
      <c r="GN21" s="470"/>
      <c r="GO21" s="470"/>
      <c r="GP21" s="470"/>
      <c r="GQ21" s="470"/>
      <c r="GR21" s="470"/>
      <c r="GS21" s="470"/>
      <c r="GT21" s="470"/>
      <c r="GU21" s="470"/>
      <c r="GV21" s="470"/>
      <c r="GW21" s="470"/>
      <c r="GX21" s="470"/>
      <c r="GY21" s="470"/>
      <c r="GZ21" s="470"/>
      <c r="HA21" s="470"/>
      <c r="HB21" s="470"/>
      <c r="HC21" s="470"/>
      <c r="HD21" s="470"/>
      <c r="HE21" s="470"/>
      <c r="HF21" s="470"/>
      <c r="HG21" s="470"/>
      <c r="HH21" s="470"/>
      <c r="HI21" s="470"/>
      <c r="HJ21" s="470"/>
      <c r="HK21" s="470"/>
      <c r="HL21" s="470"/>
      <c r="HM21" s="470"/>
      <c r="HN21" s="470"/>
      <c r="HO21" s="470"/>
      <c r="HP21" s="470"/>
      <c r="HQ21" s="470"/>
      <c r="HR21" s="470"/>
      <c r="HS21" s="470"/>
      <c r="HT21" s="470"/>
      <c r="HU21" s="470"/>
      <c r="HV21" s="470"/>
      <c r="HW21" s="470"/>
      <c r="HX21" s="470"/>
      <c r="HY21" s="470"/>
      <c r="HZ21" s="470"/>
      <c r="IA21" s="470"/>
      <c r="IB21" s="470"/>
      <c r="IC21" s="470"/>
      <c r="ID21" s="470"/>
      <c r="IE21" s="470"/>
      <c r="IF21" s="470"/>
      <c r="IG21" s="470"/>
      <c r="IH21" s="470"/>
      <c r="II21" s="470"/>
      <c r="IJ21" s="470"/>
      <c r="IK21" s="470"/>
      <c r="IL21" s="470"/>
      <c r="IM21" s="470"/>
      <c r="IN21" s="470"/>
      <c r="IO21" s="470"/>
      <c r="IP21" s="470"/>
      <c r="IQ21" s="470"/>
      <c r="IR21" s="470"/>
      <c r="IS21" s="470"/>
      <c r="IT21" s="470"/>
      <c r="IU21" s="470"/>
      <c r="IV21" s="470"/>
      <c r="IW21" s="470"/>
      <c r="IX21" s="470"/>
      <c r="IY21" s="470"/>
      <c r="IZ21" s="470"/>
      <c r="JA21" s="470"/>
      <c r="JB21" s="470"/>
      <c r="JC21" s="470"/>
      <c r="JD21" s="470"/>
      <c r="JE21" s="470"/>
      <c r="JF21" s="470"/>
      <c r="JG21" s="470"/>
      <c r="JH21" s="470"/>
      <c r="JI21" s="470"/>
      <c r="JJ21" s="470"/>
      <c r="JK21" s="470"/>
      <c r="JL21" s="470"/>
      <c r="JM21" s="470"/>
      <c r="JN21" s="470"/>
      <c r="JO21" s="470"/>
      <c r="JP21" s="470"/>
      <c r="JQ21" s="470"/>
      <c r="JR21" s="470"/>
      <c r="JS21" s="470"/>
      <c r="JT21" s="470"/>
      <c r="JU21" s="470"/>
      <c r="JV21" s="470"/>
      <c r="JW21" s="470"/>
      <c r="JX21" s="470"/>
      <c r="JY21" s="470"/>
      <c r="JZ21" s="470"/>
      <c r="KA21" s="470"/>
      <c r="KB21" s="470"/>
      <c r="KC21" s="470"/>
      <c r="KD21" s="470"/>
      <c r="KE21" s="470"/>
      <c r="KF21" s="470"/>
      <c r="KG21" s="470"/>
      <c r="KH21" s="470"/>
      <c r="KI21" s="470"/>
      <c r="KJ21" s="470"/>
      <c r="KK21" s="470"/>
      <c r="KL21" s="470"/>
      <c r="KM21" s="470"/>
      <c r="KN21" s="470"/>
      <c r="KO21" s="470"/>
      <c r="KP21" s="470"/>
      <c r="KQ21" s="470"/>
      <c r="KR21" s="470"/>
      <c r="KS21" s="470"/>
      <c r="KT21" s="470"/>
      <c r="KU21" s="470"/>
      <c r="KV21" s="470"/>
      <c r="KW21" s="470"/>
      <c r="KX21" s="470"/>
      <c r="KY21" s="470"/>
      <c r="KZ21" s="470"/>
      <c r="LA21" s="470"/>
      <c r="LB21" s="470"/>
      <c r="LC21" s="470"/>
      <c r="LD21" s="470"/>
      <c r="LE21" s="470"/>
      <c r="LF21" s="470"/>
      <c r="LG21" s="470"/>
      <c r="LH21" s="470"/>
      <c r="LI21" s="470"/>
      <c r="LJ21" s="470"/>
      <c r="LK21" s="470"/>
      <c r="LL21" s="470"/>
      <c r="LM21" s="470"/>
      <c r="LN21" s="470"/>
      <c r="LO21" s="470"/>
      <c r="LP21" s="470"/>
      <c r="LQ21" s="470"/>
      <c r="LR21" s="470"/>
      <c r="LS21" s="470"/>
      <c r="LT21" s="470"/>
      <c r="LU21" s="470"/>
      <c r="LV21" s="470"/>
      <c r="LW21" s="470"/>
      <c r="LX21" s="470"/>
      <c r="LY21" s="470"/>
      <c r="LZ21" s="470"/>
      <c r="MA21" s="470"/>
      <c r="MB21" s="470"/>
      <c r="MC21" s="470"/>
      <c r="MD21" s="470"/>
      <c r="ME21" s="470"/>
      <c r="MF21" s="470"/>
      <c r="MG21" s="470"/>
      <c r="MH21" s="470"/>
      <c r="MI21" s="470"/>
      <c r="MJ21" s="470"/>
      <c r="MK21" s="470"/>
      <c r="ML21" s="470"/>
      <c r="MM21" s="470"/>
      <c r="MN21" s="470"/>
      <c r="MO21" s="470"/>
      <c r="MP21" s="470"/>
      <c r="MQ21" s="470"/>
      <c r="MR21" s="470"/>
      <c r="MS21" s="470"/>
      <c r="MT21" s="470"/>
      <c r="MU21" s="470"/>
      <c r="MV21" s="470"/>
      <c r="MW21" s="470"/>
      <c r="MX21" s="470"/>
      <c r="MY21" s="470"/>
      <c r="MZ21" s="470"/>
      <c r="NA21" s="470"/>
      <c r="NB21" s="470"/>
      <c r="NC21" s="470"/>
      <c r="ND21" s="470"/>
      <c r="NE21" s="470"/>
      <c r="NF21" s="470"/>
      <c r="NG21" s="470"/>
      <c r="NH21" s="470"/>
      <c r="NI21" s="470"/>
      <c r="NJ21" s="470"/>
      <c r="NK21" s="470"/>
      <c r="NL21" s="470"/>
      <c r="NM21" s="470"/>
      <c r="NN21" s="470"/>
      <c r="NO21" s="470"/>
      <c r="NP21" s="470"/>
      <c r="NQ21" s="470"/>
      <c r="NR21" s="470"/>
      <c r="NS21" s="470"/>
      <c r="NT21" s="470"/>
      <c r="NU21" s="470"/>
      <c r="NV21" s="470"/>
      <c r="NW21" s="470"/>
      <c r="NX21" s="470"/>
      <c r="NY21" s="470"/>
      <c r="NZ21" s="470"/>
      <c r="OA21" s="470"/>
      <c r="OB21" s="470"/>
      <c r="OC21" s="470"/>
      <c r="OD21" s="470"/>
      <c r="OE21" s="470"/>
      <c r="OF21" s="470"/>
      <c r="OG21" s="470"/>
      <c r="OH21" s="470"/>
      <c r="OI21" s="470"/>
      <c r="OJ21" s="470"/>
      <c r="OK21" s="470"/>
      <c r="OL21" s="470"/>
      <c r="OM21" s="470"/>
      <c r="ON21" s="470"/>
      <c r="OO21" s="470"/>
      <c r="OP21" s="470"/>
      <c r="OQ21" s="470"/>
      <c r="OR21" s="470"/>
      <c r="OS21" s="470"/>
      <c r="OT21" s="470"/>
      <c r="OU21" s="470"/>
      <c r="OV21" s="470"/>
      <c r="OW21" s="470"/>
      <c r="OX21" s="470"/>
      <c r="OY21" s="470"/>
      <c r="OZ21" s="470"/>
      <c r="PA21" s="470"/>
      <c r="PB21" s="470"/>
      <c r="PC21" s="470"/>
      <c r="PD21" s="470"/>
      <c r="PE21" s="470"/>
      <c r="PF21" s="470"/>
      <c r="PG21" s="470"/>
      <c r="PH21" s="470"/>
      <c r="PI21" s="470"/>
      <c r="PJ21" s="470"/>
      <c r="PK21" s="470"/>
      <c r="PL21" s="470"/>
      <c r="PM21" s="470"/>
      <c r="PN21" s="470"/>
      <c r="PO21" s="470"/>
      <c r="PP21" s="470"/>
      <c r="PQ21" s="470"/>
      <c r="PR21" s="470"/>
      <c r="PS21" s="470"/>
      <c r="PT21" s="470"/>
      <c r="PU21" s="470"/>
      <c r="PV21" s="470"/>
      <c r="PW21" s="470"/>
      <c r="PX21" s="470"/>
      <c r="PY21" s="470"/>
      <c r="PZ21" s="470"/>
      <c r="QA21" s="470"/>
      <c r="QB21" s="470"/>
      <c r="QC21" s="470"/>
      <c r="QD21" s="470"/>
      <c r="QE21" s="470"/>
      <c r="QF21" s="470"/>
      <c r="QG21" s="470"/>
      <c r="QH21" s="470"/>
      <c r="QI21" s="470"/>
      <c r="QJ21" s="470"/>
      <c r="QK21" s="470"/>
      <c r="QL21" s="470"/>
      <c r="QM21" s="470"/>
      <c r="QN21" s="470"/>
      <c r="QO21" s="470"/>
      <c r="QP21" s="470"/>
      <c r="QQ21" s="470"/>
      <c r="QR21" s="470"/>
      <c r="QS21" s="470"/>
      <c r="QT21" s="470"/>
      <c r="QU21" s="470"/>
      <c r="QV21" s="470"/>
      <c r="QW21" s="470"/>
      <c r="QX21" s="470"/>
      <c r="QY21" s="470"/>
      <c r="QZ21" s="470"/>
      <c r="RA21" s="470"/>
      <c r="RB21" s="470"/>
      <c r="RC21" s="470"/>
      <c r="RD21" s="470"/>
      <c r="RE21" s="470"/>
      <c r="RF21" s="470"/>
      <c r="RG21" s="470"/>
      <c r="RH21" s="470"/>
      <c r="RI21" s="470"/>
      <c r="RJ21" s="470"/>
      <c r="RK21" s="470"/>
      <c r="RL21" s="470"/>
      <c r="RM21" s="470"/>
      <c r="RN21" s="470"/>
      <c r="RO21" s="470"/>
      <c r="RP21" s="470"/>
      <c r="RQ21" s="470"/>
      <c r="RR21" s="470"/>
      <c r="RS21" s="470"/>
      <c r="RT21" s="470"/>
      <c r="RU21" s="470"/>
      <c r="RV21" s="470"/>
      <c r="RW21" s="470"/>
      <c r="RX21" s="470"/>
      <c r="RY21" s="470"/>
      <c r="RZ21" s="470"/>
      <c r="SA21" s="470"/>
      <c r="SB21" s="470"/>
      <c r="SC21" s="470"/>
      <c r="SD21" s="470"/>
      <c r="SE21" s="470"/>
      <c r="SF21" s="470"/>
      <c r="SG21" s="470"/>
      <c r="SH21" s="470"/>
      <c r="SI21" s="470"/>
      <c r="SJ21" s="470"/>
      <c r="SK21" s="470"/>
      <c r="SL21" s="470"/>
      <c r="SM21" s="470"/>
      <c r="SN21" s="470"/>
      <c r="SO21" s="470"/>
      <c r="SP21" s="470"/>
      <c r="SQ21" s="470"/>
      <c r="SR21" s="470"/>
      <c r="SS21" s="470"/>
      <c r="ST21" s="470"/>
      <c r="SU21" s="470"/>
      <c r="SV21" s="470"/>
      <c r="SW21" s="470"/>
      <c r="SX21" s="470"/>
      <c r="SY21" s="470"/>
      <c r="SZ21" s="470"/>
      <c r="TA21" s="470"/>
      <c r="TB21" s="470"/>
      <c r="TC21" s="470"/>
      <c r="TD21" s="470"/>
      <c r="TE21" s="470"/>
      <c r="TF21" s="470"/>
      <c r="TG21" s="470"/>
      <c r="TH21" s="470"/>
      <c r="TI21" s="470"/>
      <c r="TJ21" s="470"/>
      <c r="TK21" s="470"/>
      <c r="TL21" s="470"/>
      <c r="TM21" s="470"/>
      <c r="TN21" s="470"/>
      <c r="TO21" s="470"/>
      <c r="TP21" s="470"/>
      <c r="TQ21" s="470"/>
      <c r="TR21" s="470"/>
      <c r="TS21" s="470"/>
      <c r="TT21" s="470"/>
      <c r="TU21" s="470"/>
      <c r="TV21" s="470"/>
      <c r="TW21" s="470"/>
      <c r="TX21" s="470"/>
      <c r="TY21" s="470"/>
      <c r="TZ21" s="470"/>
      <c r="UA21" s="470"/>
      <c r="UB21" s="470"/>
      <c r="UC21" s="470"/>
      <c r="UD21" s="470"/>
      <c r="UE21" s="470"/>
      <c r="UF21" s="470"/>
      <c r="UG21" s="470"/>
      <c r="UH21" s="470"/>
      <c r="UI21" s="470"/>
      <c r="UJ21" s="470"/>
      <c r="UK21" s="470"/>
      <c r="UL21" s="470"/>
      <c r="UM21" s="470"/>
      <c r="UN21" s="470"/>
      <c r="UO21" s="470"/>
      <c r="UP21" s="470"/>
      <c r="UQ21" s="470"/>
      <c r="UR21" s="470"/>
      <c r="US21" s="470"/>
      <c r="UT21" s="470"/>
      <c r="UU21" s="470"/>
      <c r="UV21" s="470"/>
      <c r="UW21" s="470"/>
      <c r="UX21" s="470"/>
      <c r="UY21" s="470"/>
      <c r="UZ21" s="470"/>
      <c r="VA21" s="470"/>
      <c r="VB21" s="470"/>
      <c r="VC21" s="470"/>
      <c r="VD21" s="470"/>
      <c r="VE21" s="470"/>
      <c r="VF21" s="470"/>
      <c r="VG21" s="470"/>
      <c r="VH21" s="470"/>
      <c r="VI21" s="470"/>
      <c r="VJ21" s="470"/>
      <c r="VK21" s="470"/>
      <c r="VL21" s="470"/>
      <c r="VM21" s="470"/>
      <c r="VN21" s="470"/>
      <c r="VO21" s="470"/>
      <c r="VP21" s="470"/>
      <c r="VQ21" s="470"/>
      <c r="VR21" s="470"/>
      <c r="VS21" s="470"/>
      <c r="VT21" s="470"/>
      <c r="VU21" s="470"/>
      <c r="VV21" s="470"/>
      <c r="VW21" s="470"/>
      <c r="VX21" s="470"/>
      <c r="VY21" s="470"/>
      <c r="VZ21" s="470"/>
      <c r="WA21" s="470"/>
      <c r="WB21" s="470"/>
      <c r="WC21" s="470"/>
      <c r="WD21" s="470"/>
      <c r="WE21" s="470"/>
      <c r="WF21" s="470"/>
      <c r="WG21" s="470"/>
      <c r="WH21" s="470"/>
      <c r="WI21" s="470"/>
      <c r="WJ21" s="470"/>
      <c r="WK21" s="470"/>
      <c r="WL21" s="470"/>
      <c r="WM21" s="470"/>
      <c r="WN21" s="470"/>
      <c r="WO21" s="470"/>
      <c r="WP21" s="470"/>
      <c r="WQ21" s="470"/>
      <c r="WR21" s="470"/>
      <c r="WS21" s="470"/>
      <c r="WT21" s="470"/>
      <c r="WU21" s="470"/>
      <c r="WV21" s="470"/>
      <c r="WW21" s="470"/>
      <c r="WX21" s="470"/>
      <c r="WY21" s="470"/>
      <c r="WZ21" s="470"/>
      <c r="XA21" s="470"/>
      <c r="XB21" s="470"/>
      <c r="XC21" s="470"/>
      <c r="XD21" s="470"/>
      <c r="XE21" s="470"/>
      <c r="XF21" s="470"/>
      <c r="XG21" s="470"/>
      <c r="XH21" s="470"/>
      <c r="XI21" s="470"/>
      <c r="XJ21" s="470"/>
      <c r="XK21" s="470"/>
      <c r="XL21" s="470"/>
      <c r="XM21" s="470"/>
      <c r="XN21" s="470"/>
      <c r="XO21" s="470"/>
      <c r="XP21" s="470"/>
      <c r="XQ21" s="313"/>
    </row>
    <row r="22" spans="1:644" s="23" customFormat="1" x14ac:dyDescent="0.25">
      <c r="A22" s="456" t="s">
        <v>1469</v>
      </c>
      <c r="B22" s="158" t="s">
        <v>1483</v>
      </c>
      <c r="C22" s="158" t="s">
        <v>1484</v>
      </c>
      <c r="D22" s="437" t="s">
        <v>1160</v>
      </c>
      <c r="E22" s="449" t="s">
        <v>1491</v>
      </c>
      <c r="F22" s="155">
        <v>53</v>
      </c>
      <c r="G22" s="155" t="s">
        <v>183</v>
      </c>
      <c r="H22" s="155" t="s">
        <v>35</v>
      </c>
      <c r="I22" s="29"/>
      <c r="J22" s="29"/>
      <c r="K22" s="28"/>
      <c r="L22" s="28"/>
      <c r="M22" s="28"/>
      <c r="N22" s="28"/>
      <c r="O22" s="2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158"/>
      <c r="AD22" s="158"/>
      <c r="AE22" s="158"/>
      <c r="AF22" s="158"/>
      <c r="AG22" s="158"/>
      <c r="AH22" s="29"/>
      <c r="AI22" s="340"/>
      <c r="AJ22" s="158"/>
      <c r="AK22" s="29"/>
      <c r="AL22" s="29"/>
      <c r="AM22" s="29"/>
      <c r="AN22" s="472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8"/>
      <c r="DF22" s="468"/>
      <c r="DG22" s="468"/>
      <c r="DH22" s="468"/>
      <c r="DI22" s="468"/>
      <c r="DJ22" s="468"/>
      <c r="DK22" s="468"/>
      <c r="DL22" s="468"/>
      <c r="DM22" s="468"/>
      <c r="DN22" s="468"/>
      <c r="DO22" s="468"/>
      <c r="DP22" s="468"/>
      <c r="DQ22" s="468"/>
      <c r="DR22" s="468"/>
      <c r="DS22" s="468"/>
      <c r="DT22" s="468"/>
      <c r="DU22" s="468"/>
      <c r="DV22" s="468"/>
      <c r="DW22" s="468"/>
      <c r="DX22" s="468"/>
      <c r="DY22" s="468"/>
      <c r="DZ22" s="468"/>
      <c r="EA22" s="468"/>
      <c r="EB22" s="468"/>
      <c r="EC22" s="468"/>
      <c r="ED22" s="468"/>
      <c r="EE22" s="468"/>
      <c r="EF22" s="468"/>
      <c r="EG22" s="468"/>
      <c r="EH22" s="468"/>
      <c r="EI22" s="468"/>
      <c r="EJ22" s="468"/>
      <c r="EK22" s="468"/>
      <c r="EL22" s="468"/>
      <c r="EM22" s="468"/>
      <c r="EN22" s="468"/>
      <c r="EO22" s="468"/>
      <c r="EP22" s="468"/>
      <c r="EQ22" s="468"/>
      <c r="ER22" s="468"/>
      <c r="ES22" s="468"/>
      <c r="ET22" s="468"/>
      <c r="EU22" s="468"/>
      <c r="EV22" s="468"/>
      <c r="EW22" s="468"/>
      <c r="EX22" s="468"/>
      <c r="EY22" s="468"/>
      <c r="EZ22" s="468"/>
      <c r="FA22" s="468"/>
      <c r="FB22" s="468"/>
      <c r="FC22" s="468"/>
      <c r="FD22" s="468"/>
      <c r="FE22" s="468"/>
      <c r="FF22" s="468"/>
      <c r="FG22" s="468"/>
      <c r="FH22" s="468"/>
      <c r="FI22" s="468"/>
      <c r="FJ22" s="468"/>
      <c r="FK22" s="468"/>
      <c r="FL22" s="468"/>
      <c r="FM22" s="468"/>
      <c r="FN22" s="468"/>
      <c r="FO22" s="468"/>
      <c r="FP22" s="468"/>
      <c r="FQ22" s="468"/>
      <c r="FR22" s="468"/>
      <c r="FS22" s="468"/>
      <c r="FT22" s="468"/>
      <c r="FU22" s="468"/>
      <c r="FV22" s="468"/>
      <c r="FW22" s="468"/>
      <c r="FX22" s="468"/>
      <c r="FY22" s="468"/>
      <c r="FZ22" s="468"/>
      <c r="GA22" s="468"/>
      <c r="GB22" s="468"/>
      <c r="GC22" s="468"/>
      <c r="GD22" s="468"/>
      <c r="GE22" s="468"/>
      <c r="GF22" s="468"/>
      <c r="GG22" s="468"/>
      <c r="GH22" s="468"/>
      <c r="GI22" s="468"/>
      <c r="GJ22" s="468"/>
      <c r="GK22" s="468"/>
      <c r="GL22" s="468"/>
      <c r="GM22" s="468"/>
      <c r="GN22" s="468"/>
      <c r="GO22" s="468"/>
      <c r="GP22" s="468"/>
      <c r="GQ22" s="468"/>
      <c r="GR22" s="468"/>
      <c r="GS22" s="468"/>
      <c r="GT22" s="468"/>
      <c r="GU22" s="468"/>
      <c r="GV22" s="468"/>
      <c r="GW22" s="468"/>
      <c r="GX22" s="468"/>
      <c r="GY22" s="468"/>
      <c r="GZ22" s="468"/>
      <c r="HA22" s="468"/>
      <c r="HB22" s="468"/>
      <c r="HC22" s="468"/>
      <c r="HD22" s="468"/>
      <c r="HE22" s="468"/>
      <c r="HF22" s="468"/>
      <c r="HG22" s="468"/>
      <c r="HH22" s="468"/>
      <c r="HI22" s="468"/>
      <c r="HJ22" s="468"/>
      <c r="HK22" s="468"/>
      <c r="HL22" s="468"/>
      <c r="HM22" s="468"/>
      <c r="HN22" s="468"/>
      <c r="HO22" s="468"/>
      <c r="HP22" s="468"/>
      <c r="HQ22" s="468"/>
      <c r="HR22" s="468"/>
      <c r="HS22" s="468"/>
      <c r="HT22" s="468"/>
      <c r="HU22" s="468"/>
      <c r="HV22" s="468"/>
      <c r="HW22" s="468"/>
      <c r="HX22" s="468"/>
      <c r="HY22" s="468"/>
      <c r="HZ22" s="468"/>
      <c r="IA22" s="468"/>
      <c r="IB22" s="468"/>
      <c r="IC22" s="468"/>
      <c r="ID22" s="468"/>
      <c r="IE22" s="468"/>
      <c r="IF22" s="468"/>
      <c r="IG22" s="468"/>
      <c r="IH22" s="468"/>
      <c r="II22" s="468"/>
      <c r="IJ22" s="468"/>
      <c r="IK22" s="468"/>
      <c r="IL22" s="468"/>
      <c r="IM22" s="468"/>
      <c r="IN22" s="468"/>
      <c r="IO22" s="468"/>
      <c r="IP22" s="468"/>
      <c r="IQ22" s="468"/>
      <c r="IR22" s="468"/>
      <c r="IS22" s="468"/>
      <c r="IT22" s="468"/>
      <c r="IU22" s="468"/>
      <c r="IV22" s="468"/>
      <c r="IW22" s="468"/>
      <c r="IX22" s="468"/>
      <c r="IY22" s="468"/>
      <c r="IZ22" s="468"/>
      <c r="JA22" s="468"/>
      <c r="JB22" s="468"/>
      <c r="JC22" s="468"/>
      <c r="JD22" s="468"/>
      <c r="JE22" s="468"/>
      <c r="JF22" s="468"/>
      <c r="JG22" s="468"/>
      <c r="JH22" s="468"/>
      <c r="JI22" s="468"/>
      <c r="JJ22" s="468"/>
      <c r="JK22" s="468"/>
      <c r="JL22" s="468"/>
      <c r="JM22" s="468"/>
      <c r="JN22" s="468"/>
      <c r="JO22" s="468"/>
      <c r="JP22" s="468"/>
      <c r="JQ22" s="468"/>
      <c r="JR22" s="468"/>
      <c r="JS22" s="468"/>
      <c r="JT22" s="468"/>
      <c r="JU22" s="468"/>
      <c r="JV22" s="468"/>
      <c r="JW22" s="468"/>
      <c r="JX22" s="468"/>
      <c r="JY22" s="468"/>
      <c r="JZ22" s="468"/>
      <c r="KA22" s="468"/>
      <c r="KB22" s="468"/>
      <c r="KC22" s="468"/>
      <c r="KD22" s="468"/>
      <c r="KE22" s="468"/>
      <c r="KF22" s="468"/>
      <c r="KG22" s="468"/>
      <c r="KH22" s="468"/>
      <c r="KI22" s="468"/>
      <c r="KJ22" s="468"/>
      <c r="KK22" s="468"/>
      <c r="KL22" s="468"/>
      <c r="KM22" s="468"/>
      <c r="KN22" s="468"/>
      <c r="KO22" s="468"/>
      <c r="KP22" s="468"/>
      <c r="KQ22" s="468"/>
      <c r="KR22" s="468"/>
      <c r="KS22" s="468"/>
      <c r="KT22" s="468"/>
      <c r="KU22" s="468"/>
      <c r="KV22" s="468"/>
      <c r="KW22" s="468"/>
      <c r="KX22" s="468"/>
      <c r="KY22" s="468"/>
      <c r="KZ22" s="468"/>
      <c r="LA22" s="468"/>
      <c r="LB22" s="468"/>
      <c r="LC22" s="468"/>
      <c r="LD22" s="468"/>
      <c r="LE22" s="468"/>
      <c r="LF22" s="468"/>
      <c r="LG22" s="468"/>
      <c r="LH22" s="468"/>
      <c r="LI22" s="468"/>
      <c r="LJ22" s="468"/>
      <c r="LK22" s="468"/>
      <c r="LL22" s="468"/>
      <c r="LM22" s="468"/>
      <c r="LN22" s="468"/>
      <c r="LO22" s="468"/>
      <c r="LP22" s="468"/>
      <c r="LQ22" s="468"/>
      <c r="LR22" s="468"/>
      <c r="LS22" s="468"/>
      <c r="LT22" s="468"/>
      <c r="LU22" s="468"/>
      <c r="LV22" s="468"/>
      <c r="LW22" s="468"/>
      <c r="LX22" s="468"/>
      <c r="LY22" s="468"/>
      <c r="LZ22" s="468"/>
      <c r="MA22" s="468"/>
      <c r="MB22" s="468"/>
      <c r="MC22" s="468"/>
      <c r="MD22" s="468"/>
      <c r="ME22" s="468"/>
      <c r="MF22" s="468"/>
      <c r="MG22" s="468"/>
      <c r="MH22" s="468"/>
      <c r="MI22" s="468"/>
      <c r="MJ22" s="468"/>
      <c r="MK22" s="468"/>
      <c r="ML22" s="468"/>
      <c r="MM22" s="468"/>
      <c r="MN22" s="468"/>
      <c r="MO22" s="468"/>
      <c r="MP22" s="468"/>
      <c r="MQ22" s="468"/>
      <c r="MR22" s="468"/>
      <c r="MS22" s="468"/>
      <c r="MT22" s="468"/>
      <c r="MU22" s="468"/>
      <c r="MV22" s="468"/>
      <c r="MW22" s="468"/>
      <c r="MX22" s="468"/>
      <c r="MY22" s="468"/>
      <c r="MZ22" s="468"/>
      <c r="NA22" s="468"/>
      <c r="NB22" s="468"/>
      <c r="NC22" s="468"/>
      <c r="ND22" s="468"/>
      <c r="NE22" s="468"/>
      <c r="NF22" s="468"/>
      <c r="NG22" s="468"/>
      <c r="NH22" s="468"/>
      <c r="NI22" s="468"/>
      <c r="NJ22" s="468"/>
      <c r="NK22" s="468"/>
      <c r="NL22" s="468"/>
      <c r="NM22" s="468"/>
      <c r="NN22" s="468"/>
      <c r="NO22" s="468"/>
      <c r="NP22" s="468"/>
      <c r="NQ22" s="468"/>
      <c r="NR22" s="468"/>
      <c r="NS22" s="468"/>
      <c r="NT22" s="468"/>
      <c r="NU22" s="468"/>
      <c r="NV22" s="468"/>
      <c r="NW22" s="468"/>
      <c r="NX22" s="468"/>
      <c r="NY22" s="468"/>
      <c r="NZ22" s="468"/>
      <c r="OA22" s="468"/>
      <c r="OB22" s="468"/>
      <c r="OC22" s="468"/>
      <c r="OD22" s="468"/>
      <c r="OE22" s="468"/>
      <c r="OF22" s="468"/>
      <c r="OG22" s="468"/>
      <c r="OH22" s="468"/>
      <c r="OI22" s="468"/>
      <c r="OJ22" s="468"/>
      <c r="OK22" s="468"/>
      <c r="OL22" s="468"/>
      <c r="OM22" s="468"/>
      <c r="ON22" s="468"/>
      <c r="OO22" s="468"/>
      <c r="OP22" s="468"/>
      <c r="OQ22" s="468"/>
      <c r="OR22" s="468"/>
      <c r="OS22" s="468"/>
      <c r="OT22" s="468"/>
      <c r="OU22" s="468"/>
      <c r="OV22" s="468"/>
      <c r="OW22" s="468"/>
      <c r="OX22" s="468"/>
      <c r="OY22" s="468"/>
      <c r="OZ22" s="468"/>
      <c r="PA22" s="468"/>
      <c r="PB22" s="468"/>
      <c r="PC22" s="468"/>
      <c r="PD22" s="468"/>
      <c r="PE22" s="468"/>
      <c r="PF22" s="468"/>
      <c r="PG22" s="468"/>
      <c r="PH22" s="468"/>
      <c r="PI22" s="468"/>
      <c r="PJ22" s="468"/>
      <c r="PK22" s="468"/>
      <c r="PL22" s="468"/>
      <c r="PM22" s="468"/>
      <c r="PN22" s="468"/>
      <c r="PO22" s="468"/>
      <c r="PP22" s="468"/>
      <c r="PQ22" s="468"/>
      <c r="PR22" s="468"/>
      <c r="PS22" s="468"/>
      <c r="PT22" s="468"/>
      <c r="PU22" s="468"/>
      <c r="PV22" s="468"/>
      <c r="PW22" s="468"/>
      <c r="PX22" s="468"/>
      <c r="PY22" s="468"/>
      <c r="PZ22" s="468"/>
      <c r="QA22" s="468"/>
      <c r="QB22" s="468"/>
      <c r="QC22" s="468"/>
      <c r="QD22" s="468"/>
      <c r="QE22" s="468"/>
      <c r="QF22" s="468"/>
      <c r="QG22" s="468"/>
      <c r="QH22" s="468"/>
      <c r="QI22" s="468"/>
      <c r="QJ22" s="468"/>
      <c r="QK22" s="468"/>
      <c r="QL22" s="468"/>
      <c r="QM22" s="468"/>
      <c r="QN22" s="468"/>
      <c r="QO22" s="468"/>
      <c r="QP22" s="468"/>
      <c r="QQ22" s="468"/>
      <c r="QR22" s="468"/>
      <c r="QS22" s="468"/>
      <c r="QT22" s="468"/>
      <c r="QU22" s="468"/>
      <c r="QV22" s="468"/>
      <c r="QW22" s="468"/>
      <c r="QX22" s="468"/>
      <c r="QY22" s="468"/>
      <c r="QZ22" s="468"/>
      <c r="RA22" s="468"/>
      <c r="RB22" s="468"/>
      <c r="RC22" s="468"/>
      <c r="RD22" s="468"/>
      <c r="RE22" s="468"/>
      <c r="RF22" s="468"/>
      <c r="RG22" s="468"/>
      <c r="RH22" s="468"/>
      <c r="RI22" s="468"/>
      <c r="RJ22" s="468"/>
      <c r="RK22" s="468"/>
      <c r="RL22" s="468"/>
      <c r="RM22" s="468"/>
      <c r="RN22" s="468"/>
      <c r="RO22" s="468"/>
      <c r="RP22" s="468"/>
      <c r="RQ22" s="468"/>
      <c r="RR22" s="468"/>
      <c r="RS22" s="468"/>
      <c r="RT22" s="468"/>
      <c r="RU22" s="468"/>
      <c r="RV22" s="468"/>
      <c r="RW22" s="468"/>
      <c r="RX22" s="468"/>
      <c r="RY22" s="468"/>
      <c r="RZ22" s="468"/>
      <c r="SA22" s="468"/>
      <c r="SB22" s="468"/>
      <c r="SC22" s="468"/>
      <c r="SD22" s="468"/>
      <c r="SE22" s="468"/>
      <c r="SF22" s="468"/>
      <c r="SG22" s="468"/>
      <c r="SH22" s="468"/>
      <c r="SI22" s="468"/>
      <c r="SJ22" s="468"/>
      <c r="SK22" s="468"/>
      <c r="SL22" s="468"/>
      <c r="SM22" s="468"/>
      <c r="SN22" s="468"/>
      <c r="SO22" s="468"/>
      <c r="SP22" s="468"/>
      <c r="SQ22" s="468"/>
      <c r="SR22" s="468"/>
      <c r="SS22" s="468"/>
      <c r="ST22" s="468"/>
      <c r="SU22" s="468"/>
      <c r="SV22" s="468"/>
      <c r="SW22" s="468"/>
      <c r="SX22" s="468"/>
      <c r="SY22" s="468"/>
      <c r="SZ22" s="468"/>
      <c r="TA22" s="468"/>
      <c r="TB22" s="468"/>
      <c r="TC22" s="468"/>
      <c r="TD22" s="468"/>
      <c r="TE22" s="468"/>
      <c r="TF22" s="468"/>
      <c r="TG22" s="468"/>
      <c r="TH22" s="468"/>
      <c r="TI22" s="468"/>
      <c r="TJ22" s="468"/>
      <c r="TK22" s="468"/>
      <c r="TL22" s="468"/>
      <c r="TM22" s="468"/>
      <c r="TN22" s="468"/>
      <c r="TO22" s="468"/>
      <c r="TP22" s="468"/>
      <c r="TQ22" s="468"/>
      <c r="TR22" s="468"/>
      <c r="TS22" s="468"/>
      <c r="TT22" s="468"/>
      <c r="TU22" s="468"/>
      <c r="TV22" s="468"/>
      <c r="TW22" s="468"/>
      <c r="TX22" s="468"/>
      <c r="TY22" s="468"/>
      <c r="TZ22" s="468"/>
      <c r="UA22" s="468"/>
      <c r="UB22" s="468"/>
      <c r="UC22" s="468"/>
      <c r="UD22" s="468"/>
      <c r="UE22" s="468"/>
      <c r="UF22" s="468"/>
      <c r="UG22" s="468"/>
      <c r="UH22" s="468"/>
      <c r="UI22" s="468"/>
      <c r="UJ22" s="468"/>
      <c r="UK22" s="468"/>
      <c r="UL22" s="468"/>
      <c r="UM22" s="468"/>
      <c r="UN22" s="468"/>
      <c r="UO22" s="468"/>
      <c r="UP22" s="468"/>
      <c r="UQ22" s="468"/>
      <c r="UR22" s="468"/>
      <c r="US22" s="468"/>
      <c r="UT22" s="468"/>
      <c r="UU22" s="468"/>
      <c r="UV22" s="468"/>
      <c r="UW22" s="468"/>
      <c r="UX22" s="468"/>
      <c r="UY22" s="468"/>
      <c r="UZ22" s="468"/>
      <c r="VA22" s="468"/>
      <c r="VB22" s="468"/>
      <c r="VC22" s="468"/>
      <c r="VD22" s="468"/>
      <c r="VE22" s="468"/>
      <c r="VF22" s="468"/>
      <c r="VG22" s="468"/>
      <c r="VH22" s="468"/>
      <c r="VI22" s="468"/>
      <c r="VJ22" s="468"/>
      <c r="VK22" s="468"/>
      <c r="VL22" s="468"/>
      <c r="VM22" s="468"/>
      <c r="VN22" s="468"/>
      <c r="VO22" s="468"/>
      <c r="VP22" s="468"/>
      <c r="VQ22" s="468"/>
      <c r="VR22" s="468"/>
      <c r="VS22" s="468"/>
      <c r="VT22" s="468"/>
      <c r="VU22" s="468"/>
      <c r="VV22" s="468"/>
      <c r="VW22" s="468"/>
      <c r="VX22" s="468"/>
      <c r="VY22" s="468"/>
      <c r="VZ22" s="468"/>
      <c r="WA22" s="468"/>
      <c r="WB22" s="468"/>
      <c r="WC22" s="468"/>
      <c r="WD22" s="468"/>
      <c r="WE22" s="468"/>
      <c r="WF22" s="468"/>
      <c r="WG22" s="468"/>
      <c r="WH22" s="468"/>
      <c r="WI22" s="468"/>
      <c r="WJ22" s="468"/>
      <c r="WK22" s="468"/>
      <c r="WL22" s="468"/>
      <c r="WM22" s="468"/>
      <c r="WN22" s="468"/>
      <c r="WO22" s="468"/>
      <c r="WP22" s="468"/>
      <c r="WQ22" s="468"/>
      <c r="WR22" s="468"/>
      <c r="WS22" s="468"/>
      <c r="WT22" s="468"/>
      <c r="WU22" s="468"/>
      <c r="WV22" s="468"/>
      <c r="WW22" s="468"/>
      <c r="WX22" s="468"/>
      <c r="WY22" s="468"/>
      <c r="WZ22" s="468"/>
      <c r="XA22" s="468"/>
      <c r="XB22" s="468"/>
      <c r="XC22" s="468"/>
      <c r="XD22" s="468"/>
      <c r="XE22" s="468"/>
      <c r="XF22" s="468"/>
      <c r="XG22" s="468"/>
      <c r="XH22" s="468"/>
      <c r="XI22" s="468"/>
      <c r="XJ22" s="468"/>
      <c r="XK22" s="468"/>
      <c r="XL22" s="468"/>
      <c r="XM22" s="468"/>
      <c r="XN22" s="468"/>
      <c r="XO22" s="468"/>
      <c r="XP22" s="468"/>
      <c r="XQ22" s="466"/>
    </row>
    <row r="23" spans="1:644" s="110" customFormat="1" x14ac:dyDescent="0.25">
      <c r="A23" s="526" t="s">
        <v>1470</v>
      </c>
      <c r="B23" s="140" t="s">
        <v>601</v>
      </c>
      <c r="C23" s="140" t="s">
        <v>1302</v>
      </c>
      <c r="D23" s="437" t="s">
        <v>1160</v>
      </c>
      <c r="E23" s="439" t="s">
        <v>1373</v>
      </c>
      <c r="F23" s="155">
        <v>43</v>
      </c>
      <c r="G23" s="155" t="s">
        <v>183</v>
      </c>
      <c r="H23" s="155" t="s">
        <v>35</v>
      </c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473"/>
      <c r="AO23" s="470"/>
      <c r="AP23" s="470"/>
      <c r="AQ23" s="470"/>
      <c r="AR23" s="470"/>
      <c r="AS23" s="470"/>
      <c r="AT23" s="470"/>
      <c r="AU23" s="470"/>
      <c r="AV23" s="470"/>
      <c r="AW23" s="470"/>
      <c r="AX23" s="470"/>
      <c r="AY23" s="470"/>
      <c r="AZ23" s="470"/>
      <c r="BA23" s="470"/>
      <c r="BB23" s="470"/>
      <c r="BC23" s="470"/>
      <c r="BD23" s="470"/>
      <c r="BE23" s="470"/>
      <c r="BF23" s="470"/>
      <c r="BG23" s="470"/>
      <c r="BH23" s="470"/>
      <c r="BI23" s="470"/>
      <c r="BJ23" s="470"/>
      <c r="BK23" s="470"/>
      <c r="BL23" s="470"/>
      <c r="BM23" s="470"/>
      <c r="BN23" s="470"/>
      <c r="BO23" s="470"/>
      <c r="BP23" s="470"/>
      <c r="BQ23" s="470"/>
      <c r="BR23" s="470"/>
      <c r="BS23" s="470"/>
      <c r="BT23" s="470"/>
      <c r="BU23" s="470"/>
      <c r="BV23" s="470"/>
      <c r="BW23" s="470"/>
      <c r="BX23" s="470"/>
      <c r="BY23" s="470"/>
      <c r="BZ23" s="470"/>
      <c r="CA23" s="470"/>
      <c r="CB23" s="470"/>
      <c r="CC23" s="470"/>
      <c r="CD23" s="470"/>
      <c r="CE23" s="470"/>
      <c r="CF23" s="470"/>
      <c r="CG23" s="470"/>
      <c r="CH23" s="470"/>
      <c r="CI23" s="470"/>
      <c r="CJ23" s="470"/>
      <c r="CK23" s="470"/>
      <c r="CL23" s="470"/>
      <c r="CM23" s="470"/>
      <c r="CN23" s="470"/>
      <c r="CO23" s="470"/>
      <c r="CP23" s="470"/>
      <c r="CQ23" s="470"/>
      <c r="CR23" s="470"/>
      <c r="CS23" s="470"/>
      <c r="CT23" s="470"/>
      <c r="CU23" s="470"/>
      <c r="CV23" s="470"/>
      <c r="CW23" s="470"/>
      <c r="CX23" s="470"/>
      <c r="CY23" s="470"/>
      <c r="CZ23" s="470"/>
      <c r="DA23" s="470"/>
      <c r="DB23" s="470"/>
      <c r="DC23" s="470"/>
      <c r="DD23" s="470"/>
      <c r="DE23" s="470"/>
      <c r="DF23" s="470"/>
      <c r="DG23" s="470"/>
      <c r="DH23" s="470"/>
      <c r="DI23" s="470"/>
      <c r="DJ23" s="470"/>
      <c r="DK23" s="470"/>
      <c r="DL23" s="470"/>
      <c r="DM23" s="470"/>
      <c r="DN23" s="470"/>
      <c r="DO23" s="470"/>
      <c r="DP23" s="470"/>
      <c r="DQ23" s="470"/>
      <c r="DR23" s="470"/>
      <c r="DS23" s="470"/>
      <c r="DT23" s="470"/>
      <c r="DU23" s="470"/>
      <c r="DV23" s="470"/>
      <c r="DW23" s="470"/>
      <c r="DX23" s="470"/>
      <c r="DY23" s="470"/>
      <c r="DZ23" s="470"/>
      <c r="EA23" s="470"/>
      <c r="EB23" s="470"/>
      <c r="EC23" s="470"/>
      <c r="ED23" s="470"/>
      <c r="EE23" s="470"/>
      <c r="EF23" s="470"/>
      <c r="EG23" s="470"/>
      <c r="EH23" s="470"/>
      <c r="EI23" s="470"/>
      <c r="EJ23" s="470"/>
      <c r="EK23" s="470"/>
      <c r="EL23" s="470"/>
      <c r="EM23" s="470"/>
      <c r="EN23" s="470"/>
      <c r="EO23" s="470"/>
      <c r="EP23" s="470"/>
      <c r="EQ23" s="470"/>
      <c r="ER23" s="470"/>
      <c r="ES23" s="470"/>
      <c r="ET23" s="470"/>
      <c r="EU23" s="470"/>
      <c r="EV23" s="470"/>
      <c r="EW23" s="470"/>
      <c r="EX23" s="470"/>
      <c r="EY23" s="470"/>
      <c r="EZ23" s="470"/>
      <c r="FA23" s="470"/>
      <c r="FB23" s="470"/>
      <c r="FC23" s="470"/>
      <c r="FD23" s="470"/>
      <c r="FE23" s="470"/>
      <c r="FF23" s="470"/>
      <c r="FG23" s="470"/>
      <c r="FH23" s="470"/>
      <c r="FI23" s="470"/>
      <c r="FJ23" s="470"/>
      <c r="FK23" s="470"/>
      <c r="FL23" s="470"/>
      <c r="FM23" s="470"/>
      <c r="FN23" s="470"/>
      <c r="FO23" s="470"/>
      <c r="FP23" s="470"/>
      <c r="FQ23" s="470"/>
      <c r="FR23" s="470"/>
      <c r="FS23" s="470"/>
      <c r="FT23" s="470"/>
      <c r="FU23" s="470"/>
      <c r="FV23" s="470"/>
      <c r="FW23" s="470"/>
      <c r="FX23" s="470"/>
      <c r="FY23" s="470"/>
      <c r="FZ23" s="470"/>
      <c r="GA23" s="470"/>
      <c r="GB23" s="470"/>
      <c r="GC23" s="470"/>
      <c r="GD23" s="470"/>
      <c r="GE23" s="470"/>
      <c r="GF23" s="470"/>
      <c r="GG23" s="470"/>
      <c r="GH23" s="470"/>
      <c r="GI23" s="470"/>
      <c r="GJ23" s="470"/>
      <c r="GK23" s="470"/>
      <c r="GL23" s="470"/>
      <c r="GM23" s="470"/>
      <c r="GN23" s="470"/>
      <c r="GO23" s="470"/>
      <c r="GP23" s="470"/>
      <c r="GQ23" s="470"/>
      <c r="GR23" s="470"/>
      <c r="GS23" s="470"/>
      <c r="GT23" s="470"/>
      <c r="GU23" s="470"/>
      <c r="GV23" s="470"/>
      <c r="GW23" s="470"/>
      <c r="GX23" s="470"/>
      <c r="GY23" s="470"/>
      <c r="GZ23" s="470"/>
      <c r="HA23" s="470"/>
      <c r="HB23" s="470"/>
      <c r="HC23" s="470"/>
      <c r="HD23" s="470"/>
      <c r="HE23" s="470"/>
      <c r="HF23" s="470"/>
      <c r="HG23" s="470"/>
      <c r="HH23" s="470"/>
      <c r="HI23" s="470"/>
      <c r="HJ23" s="470"/>
      <c r="HK23" s="470"/>
      <c r="HL23" s="470"/>
      <c r="HM23" s="470"/>
      <c r="HN23" s="470"/>
      <c r="HO23" s="470"/>
      <c r="HP23" s="470"/>
      <c r="HQ23" s="470"/>
      <c r="HR23" s="470"/>
      <c r="HS23" s="470"/>
      <c r="HT23" s="470"/>
      <c r="HU23" s="470"/>
      <c r="HV23" s="470"/>
      <c r="HW23" s="470"/>
      <c r="HX23" s="470"/>
      <c r="HY23" s="470"/>
      <c r="HZ23" s="470"/>
      <c r="IA23" s="470"/>
      <c r="IB23" s="470"/>
      <c r="IC23" s="470"/>
      <c r="ID23" s="470"/>
      <c r="IE23" s="470"/>
      <c r="IF23" s="470"/>
      <c r="IG23" s="470"/>
      <c r="IH23" s="470"/>
      <c r="II23" s="470"/>
      <c r="IJ23" s="470"/>
      <c r="IK23" s="470"/>
      <c r="IL23" s="470"/>
      <c r="IM23" s="470"/>
      <c r="IN23" s="470"/>
      <c r="IO23" s="470"/>
      <c r="IP23" s="470"/>
      <c r="IQ23" s="470"/>
      <c r="IR23" s="470"/>
      <c r="IS23" s="470"/>
      <c r="IT23" s="470"/>
      <c r="IU23" s="470"/>
      <c r="IV23" s="470"/>
      <c r="IW23" s="470"/>
      <c r="IX23" s="470"/>
      <c r="IY23" s="470"/>
      <c r="IZ23" s="470"/>
      <c r="JA23" s="470"/>
      <c r="JB23" s="470"/>
      <c r="JC23" s="470"/>
      <c r="JD23" s="470"/>
      <c r="JE23" s="470"/>
      <c r="JF23" s="470"/>
      <c r="JG23" s="470"/>
      <c r="JH23" s="470"/>
      <c r="JI23" s="470"/>
      <c r="JJ23" s="470"/>
      <c r="JK23" s="470"/>
      <c r="JL23" s="470"/>
      <c r="JM23" s="470"/>
      <c r="JN23" s="470"/>
      <c r="JO23" s="470"/>
      <c r="JP23" s="470"/>
      <c r="JQ23" s="470"/>
      <c r="JR23" s="470"/>
      <c r="JS23" s="470"/>
      <c r="JT23" s="470"/>
      <c r="JU23" s="470"/>
      <c r="JV23" s="470"/>
      <c r="JW23" s="470"/>
      <c r="JX23" s="470"/>
      <c r="JY23" s="470"/>
      <c r="JZ23" s="470"/>
      <c r="KA23" s="470"/>
      <c r="KB23" s="470"/>
      <c r="KC23" s="470"/>
      <c r="KD23" s="470"/>
      <c r="KE23" s="470"/>
      <c r="KF23" s="470"/>
      <c r="KG23" s="470"/>
      <c r="KH23" s="470"/>
      <c r="KI23" s="470"/>
      <c r="KJ23" s="470"/>
      <c r="KK23" s="470"/>
      <c r="KL23" s="470"/>
      <c r="KM23" s="470"/>
      <c r="KN23" s="470"/>
      <c r="KO23" s="470"/>
      <c r="KP23" s="470"/>
      <c r="KQ23" s="470"/>
      <c r="KR23" s="470"/>
      <c r="KS23" s="470"/>
      <c r="KT23" s="470"/>
      <c r="KU23" s="470"/>
      <c r="KV23" s="470"/>
      <c r="KW23" s="470"/>
      <c r="KX23" s="470"/>
      <c r="KY23" s="470"/>
      <c r="KZ23" s="470"/>
      <c r="LA23" s="470"/>
      <c r="LB23" s="470"/>
      <c r="LC23" s="470"/>
      <c r="LD23" s="470"/>
      <c r="LE23" s="470"/>
      <c r="LF23" s="470"/>
      <c r="LG23" s="470"/>
      <c r="LH23" s="470"/>
      <c r="LI23" s="470"/>
      <c r="LJ23" s="470"/>
      <c r="LK23" s="470"/>
      <c r="LL23" s="470"/>
      <c r="LM23" s="470"/>
      <c r="LN23" s="470"/>
      <c r="LO23" s="470"/>
      <c r="LP23" s="470"/>
      <c r="LQ23" s="470"/>
      <c r="LR23" s="470"/>
      <c r="LS23" s="470"/>
      <c r="LT23" s="470"/>
      <c r="LU23" s="470"/>
      <c r="LV23" s="470"/>
      <c r="LW23" s="470"/>
      <c r="LX23" s="470"/>
      <c r="LY23" s="470"/>
      <c r="LZ23" s="470"/>
      <c r="MA23" s="470"/>
      <c r="MB23" s="470"/>
      <c r="MC23" s="470"/>
      <c r="MD23" s="470"/>
      <c r="ME23" s="470"/>
      <c r="MF23" s="470"/>
      <c r="MG23" s="470"/>
      <c r="MH23" s="470"/>
      <c r="MI23" s="470"/>
      <c r="MJ23" s="470"/>
      <c r="MK23" s="470"/>
      <c r="ML23" s="470"/>
      <c r="MM23" s="470"/>
      <c r="MN23" s="470"/>
      <c r="MO23" s="470"/>
      <c r="MP23" s="470"/>
      <c r="MQ23" s="470"/>
      <c r="MR23" s="470"/>
      <c r="MS23" s="470"/>
      <c r="MT23" s="470"/>
      <c r="MU23" s="470"/>
      <c r="MV23" s="470"/>
      <c r="MW23" s="470"/>
      <c r="MX23" s="470"/>
      <c r="MY23" s="470"/>
      <c r="MZ23" s="470"/>
      <c r="NA23" s="470"/>
      <c r="NB23" s="470"/>
      <c r="NC23" s="470"/>
      <c r="ND23" s="470"/>
      <c r="NE23" s="470"/>
      <c r="NF23" s="470"/>
      <c r="NG23" s="470"/>
      <c r="NH23" s="470"/>
      <c r="NI23" s="470"/>
      <c r="NJ23" s="470"/>
      <c r="NK23" s="470"/>
      <c r="NL23" s="470"/>
      <c r="NM23" s="470"/>
      <c r="NN23" s="470"/>
      <c r="NO23" s="470"/>
      <c r="NP23" s="470"/>
      <c r="NQ23" s="470"/>
      <c r="NR23" s="470"/>
      <c r="NS23" s="470"/>
      <c r="NT23" s="470"/>
      <c r="NU23" s="470"/>
      <c r="NV23" s="470"/>
      <c r="NW23" s="470"/>
      <c r="NX23" s="470"/>
      <c r="NY23" s="470"/>
      <c r="NZ23" s="470"/>
      <c r="OA23" s="470"/>
      <c r="OB23" s="470"/>
      <c r="OC23" s="470"/>
      <c r="OD23" s="470"/>
      <c r="OE23" s="470"/>
      <c r="OF23" s="470"/>
      <c r="OG23" s="470"/>
      <c r="OH23" s="470"/>
      <c r="OI23" s="470"/>
      <c r="OJ23" s="470"/>
      <c r="OK23" s="470"/>
      <c r="OL23" s="470"/>
      <c r="OM23" s="470"/>
      <c r="ON23" s="470"/>
      <c r="OO23" s="470"/>
      <c r="OP23" s="470"/>
      <c r="OQ23" s="470"/>
      <c r="OR23" s="470"/>
      <c r="OS23" s="470"/>
      <c r="OT23" s="470"/>
      <c r="OU23" s="470"/>
      <c r="OV23" s="470"/>
      <c r="OW23" s="470"/>
      <c r="OX23" s="470"/>
      <c r="OY23" s="470"/>
      <c r="OZ23" s="470"/>
      <c r="PA23" s="470"/>
      <c r="PB23" s="470"/>
      <c r="PC23" s="470"/>
      <c r="PD23" s="470"/>
      <c r="PE23" s="470"/>
      <c r="PF23" s="470"/>
      <c r="PG23" s="470"/>
      <c r="PH23" s="470"/>
      <c r="PI23" s="470"/>
      <c r="PJ23" s="470"/>
      <c r="PK23" s="470"/>
      <c r="PL23" s="470"/>
      <c r="PM23" s="470"/>
      <c r="PN23" s="470"/>
      <c r="PO23" s="470"/>
      <c r="PP23" s="470"/>
      <c r="PQ23" s="470"/>
      <c r="PR23" s="470"/>
      <c r="PS23" s="470"/>
      <c r="PT23" s="470"/>
      <c r="PU23" s="470"/>
      <c r="PV23" s="470"/>
      <c r="PW23" s="470"/>
      <c r="PX23" s="470"/>
      <c r="PY23" s="470"/>
      <c r="PZ23" s="470"/>
      <c r="QA23" s="470"/>
      <c r="QB23" s="470"/>
      <c r="QC23" s="470"/>
      <c r="QD23" s="470"/>
      <c r="QE23" s="470"/>
      <c r="QF23" s="470"/>
      <c r="QG23" s="470"/>
      <c r="QH23" s="470"/>
      <c r="QI23" s="470"/>
      <c r="QJ23" s="470"/>
      <c r="QK23" s="470"/>
      <c r="QL23" s="470"/>
      <c r="QM23" s="470"/>
      <c r="QN23" s="470"/>
      <c r="QO23" s="470"/>
      <c r="QP23" s="470"/>
      <c r="QQ23" s="470"/>
      <c r="QR23" s="470"/>
      <c r="QS23" s="470"/>
      <c r="QT23" s="470"/>
      <c r="QU23" s="470"/>
      <c r="QV23" s="470"/>
      <c r="QW23" s="470"/>
      <c r="QX23" s="470"/>
      <c r="QY23" s="470"/>
      <c r="QZ23" s="470"/>
      <c r="RA23" s="470"/>
      <c r="RB23" s="470"/>
      <c r="RC23" s="470"/>
      <c r="RD23" s="470"/>
      <c r="RE23" s="470"/>
      <c r="RF23" s="470"/>
      <c r="RG23" s="470"/>
      <c r="RH23" s="470"/>
      <c r="RI23" s="470"/>
      <c r="RJ23" s="470"/>
      <c r="RK23" s="470"/>
      <c r="RL23" s="470"/>
      <c r="RM23" s="470"/>
      <c r="RN23" s="470"/>
      <c r="RO23" s="470"/>
      <c r="RP23" s="470"/>
      <c r="RQ23" s="470"/>
      <c r="RR23" s="470"/>
      <c r="RS23" s="470"/>
      <c r="RT23" s="470"/>
      <c r="RU23" s="470"/>
      <c r="RV23" s="470"/>
      <c r="RW23" s="470"/>
      <c r="RX23" s="470"/>
      <c r="RY23" s="470"/>
      <c r="RZ23" s="470"/>
      <c r="SA23" s="470"/>
      <c r="SB23" s="470"/>
      <c r="SC23" s="470"/>
      <c r="SD23" s="470"/>
      <c r="SE23" s="470"/>
      <c r="SF23" s="470"/>
      <c r="SG23" s="470"/>
      <c r="SH23" s="470"/>
      <c r="SI23" s="470"/>
      <c r="SJ23" s="470"/>
      <c r="SK23" s="470"/>
      <c r="SL23" s="470"/>
      <c r="SM23" s="470"/>
      <c r="SN23" s="470"/>
      <c r="SO23" s="470"/>
      <c r="SP23" s="470"/>
      <c r="SQ23" s="470"/>
      <c r="SR23" s="470"/>
      <c r="SS23" s="470"/>
      <c r="ST23" s="470"/>
      <c r="SU23" s="470"/>
      <c r="SV23" s="470"/>
      <c r="SW23" s="470"/>
      <c r="SX23" s="470"/>
      <c r="SY23" s="470"/>
      <c r="SZ23" s="470"/>
      <c r="TA23" s="470"/>
      <c r="TB23" s="470"/>
      <c r="TC23" s="470"/>
      <c r="TD23" s="470"/>
      <c r="TE23" s="470"/>
      <c r="TF23" s="470"/>
      <c r="TG23" s="470"/>
      <c r="TH23" s="470"/>
      <c r="TI23" s="470"/>
      <c r="TJ23" s="470"/>
      <c r="TK23" s="470"/>
      <c r="TL23" s="470"/>
      <c r="TM23" s="470"/>
      <c r="TN23" s="470"/>
      <c r="TO23" s="470"/>
      <c r="TP23" s="470"/>
      <c r="TQ23" s="470"/>
      <c r="TR23" s="470"/>
      <c r="TS23" s="470"/>
      <c r="TT23" s="470"/>
      <c r="TU23" s="470"/>
      <c r="TV23" s="470"/>
      <c r="TW23" s="470"/>
      <c r="TX23" s="470"/>
      <c r="TY23" s="470"/>
      <c r="TZ23" s="470"/>
      <c r="UA23" s="470"/>
      <c r="UB23" s="470"/>
      <c r="UC23" s="470"/>
      <c r="UD23" s="470"/>
      <c r="UE23" s="470"/>
      <c r="UF23" s="470"/>
      <c r="UG23" s="470"/>
      <c r="UH23" s="470"/>
      <c r="UI23" s="470"/>
      <c r="UJ23" s="470"/>
      <c r="UK23" s="470"/>
      <c r="UL23" s="470"/>
      <c r="UM23" s="470"/>
      <c r="UN23" s="470"/>
      <c r="UO23" s="470"/>
      <c r="UP23" s="470"/>
      <c r="UQ23" s="470"/>
      <c r="UR23" s="470"/>
      <c r="US23" s="470"/>
      <c r="UT23" s="470"/>
      <c r="UU23" s="470"/>
      <c r="UV23" s="470"/>
      <c r="UW23" s="470"/>
      <c r="UX23" s="470"/>
      <c r="UY23" s="470"/>
      <c r="UZ23" s="470"/>
      <c r="VA23" s="470"/>
      <c r="VB23" s="470"/>
      <c r="VC23" s="470"/>
      <c r="VD23" s="470"/>
      <c r="VE23" s="470"/>
      <c r="VF23" s="470"/>
      <c r="VG23" s="470"/>
      <c r="VH23" s="470"/>
      <c r="VI23" s="470"/>
      <c r="VJ23" s="470"/>
      <c r="VK23" s="470"/>
      <c r="VL23" s="470"/>
      <c r="VM23" s="470"/>
      <c r="VN23" s="470"/>
      <c r="VO23" s="470"/>
      <c r="VP23" s="470"/>
      <c r="VQ23" s="470"/>
      <c r="VR23" s="470"/>
      <c r="VS23" s="470"/>
      <c r="VT23" s="470"/>
      <c r="VU23" s="470"/>
      <c r="VV23" s="470"/>
      <c r="VW23" s="470"/>
      <c r="VX23" s="470"/>
      <c r="VY23" s="470"/>
      <c r="VZ23" s="470"/>
      <c r="WA23" s="470"/>
      <c r="WB23" s="470"/>
      <c r="WC23" s="470"/>
      <c r="WD23" s="470"/>
      <c r="WE23" s="470"/>
      <c r="WF23" s="470"/>
      <c r="WG23" s="470"/>
      <c r="WH23" s="470"/>
      <c r="WI23" s="470"/>
      <c r="WJ23" s="470"/>
      <c r="WK23" s="470"/>
      <c r="WL23" s="470"/>
      <c r="WM23" s="470"/>
      <c r="WN23" s="470"/>
      <c r="WO23" s="470"/>
      <c r="WP23" s="470"/>
      <c r="WQ23" s="470"/>
      <c r="WR23" s="470"/>
      <c r="WS23" s="470"/>
      <c r="WT23" s="470"/>
      <c r="WU23" s="470"/>
      <c r="WV23" s="470"/>
      <c r="WW23" s="470"/>
      <c r="WX23" s="470"/>
      <c r="WY23" s="470"/>
      <c r="WZ23" s="470"/>
      <c r="XA23" s="470"/>
      <c r="XB23" s="470"/>
      <c r="XC23" s="470"/>
      <c r="XD23" s="470"/>
      <c r="XE23" s="470"/>
      <c r="XF23" s="470"/>
      <c r="XG23" s="470"/>
      <c r="XH23" s="470"/>
      <c r="XI23" s="470"/>
      <c r="XJ23" s="470"/>
      <c r="XK23" s="470"/>
      <c r="XL23" s="470"/>
      <c r="XM23" s="470"/>
      <c r="XN23" s="470"/>
      <c r="XO23" s="470"/>
      <c r="XP23" s="470"/>
      <c r="XQ23" s="313"/>
    </row>
    <row r="24" spans="1:644" x14ac:dyDescent="0.25">
      <c r="AO24" s="470"/>
      <c r="AP24" s="470"/>
      <c r="AQ24" s="470"/>
      <c r="AR24" s="470"/>
      <c r="AS24" s="470"/>
      <c r="AT24" s="470"/>
      <c r="AU24" s="470"/>
      <c r="AV24" s="470"/>
      <c r="AW24" s="470"/>
      <c r="AX24" s="470"/>
      <c r="AY24" s="470"/>
      <c r="AZ24" s="470"/>
      <c r="BA24" s="470"/>
      <c r="BB24" s="470"/>
      <c r="BC24" s="470"/>
      <c r="BD24" s="470"/>
      <c r="BE24" s="470"/>
      <c r="BF24" s="470"/>
      <c r="BG24" s="470"/>
      <c r="BH24" s="470"/>
      <c r="BI24" s="470"/>
      <c r="BJ24" s="470"/>
      <c r="BK24" s="470"/>
      <c r="BL24" s="470"/>
      <c r="BM24" s="470"/>
      <c r="BN24" s="470"/>
      <c r="BO24" s="470"/>
      <c r="BP24" s="470"/>
      <c r="BQ24" s="470"/>
      <c r="BR24" s="470"/>
      <c r="BS24" s="470"/>
      <c r="BT24" s="470"/>
      <c r="BU24" s="470"/>
      <c r="BV24" s="470"/>
      <c r="BW24" s="470"/>
      <c r="BX24" s="470"/>
      <c r="BY24" s="470"/>
      <c r="BZ24" s="470"/>
      <c r="CA24" s="470"/>
      <c r="CB24" s="470"/>
      <c r="CC24" s="470"/>
      <c r="CD24" s="470"/>
      <c r="CE24" s="470"/>
      <c r="CF24" s="470"/>
      <c r="CG24" s="470"/>
      <c r="CH24" s="470"/>
      <c r="CI24" s="470"/>
      <c r="CJ24" s="470"/>
      <c r="CK24" s="470"/>
      <c r="CL24" s="470"/>
      <c r="CM24" s="470"/>
      <c r="CN24" s="470"/>
      <c r="CO24" s="470"/>
      <c r="CP24" s="470"/>
      <c r="CQ24" s="470"/>
      <c r="CR24" s="470"/>
      <c r="CS24" s="470"/>
      <c r="CT24" s="470"/>
      <c r="CU24" s="470"/>
      <c r="CV24" s="470"/>
      <c r="CW24" s="470"/>
      <c r="CX24" s="470"/>
      <c r="CY24" s="470"/>
      <c r="CZ24" s="470"/>
      <c r="DA24" s="470"/>
      <c r="DB24" s="470"/>
      <c r="DC24" s="470"/>
      <c r="DD24" s="470"/>
      <c r="DE24" s="470"/>
      <c r="DF24" s="470"/>
      <c r="DG24" s="470"/>
      <c r="DH24" s="470"/>
      <c r="DI24" s="470"/>
      <c r="DJ24" s="470"/>
      <c r="DK24" s="470"/>
      <c r="DL24" s="470"/>
      <c r="DM24" s="470"/>
      <c r="DN24" s="470"/>
      <c r="DO24" s="470"/>
      <c r="DP24" s="470"/>
      <c r="DQ24" s="470"/>
      <c r="DR24" s="470"/>
      <c r="DS24" s="470"/>
      <c r="DT24" s="470"/>
      <c r="DU24" s="470"/>
      <c r="DV24" s="470"/>
      <c r="DW24" s="470"/>
      <c r="DX24" s="470"/>
      <c r="DY24" s="470"/>
      <c r="DZ24" s="470"/>
      <c r="EA24" s="470"/>
      <c r="EB24" s="470"/>
      <c r="EC24" s="470"/>
      <c r="ED24" s="470"/>
      <c r="EE24" s="470"/>
      <c r="EF24" s="470"/>
      <c r="EG24" s="470"/>
      <c r="EH24" s="470"/>
      <c r="EI24" s="470"/>
      <c r="EJ24" s="470"/>
      <c r="EK24" s="470"/>
      <c r="EL24" s="470"/>
      <c r="EM24" s="470"/>
      <c r="EN24" s="470"/>
      <c r="EO24" s="470"/>
      <c r="EP24" s="470"/>
      <c r="EQ24" s="470"/>
      <c r="ER24" s="470"/>
      <c r="ES24" s="470"/>
      <c r="ET24" s="470"/>
      <c r="EU24" s="470"/>
      <c r="EV24" s="470"/>
      <c r="EW24" s="470"/>
      <c r="EX24" s="470"/>
      <c r="EY24" s="470"/>
      <c r="EZ24" s="470"/>
      <c r="FA24" s="470"/>
      <c r="FB24" s="470"/>
      <c r="FC24" s="470"/>
      <c r="FD24" s="470"/>
      <c r="FE24" s="470"/>
      <c r="FF24" s="470"/>
      <c r="FG24" s="470"/>
      <c r="FH24" s="470"/>
      <c r="FI24" s="470"/>
      <c r="FJ24" s="470"/>
      <c r="FK24" s="470"/>
      <c r="FL24" s="470"/>
      <c r="FM24" s="470"/>
      <c r="FN24" s="470"/>
      <c r="FO24" s="470"/>
      <c r="FP24" s="470"/>
      <c r="FQ24" s="470"/>
      <c r="FR24" s="470"/>
      <c r="FS24" s="470"/>
      <c r="FT24" s="470"/>
      <c r="FU24" s="470"/>
      <c r="FV24" s="470"/>
      <c r="FW24" s="470"/>
      <c r="FX24" s="470"/>
      <c r="FY24" s="470"/>
      <c r="FZ24" s="470"/>
      <c r="GA24" s="470"/>
      <c r="GB24" s="470"/>
      <c r="GC24" s="470"/>
      <c r="GD24" s="470"/>
      <c r="GE24" s="470"/>
      <c r="GF24" s="470"/>
      <c r="GG24" s="470"/>
      <c r="GH24" s="470"/>
      <c r="GI24" s="470"/>
      <c r="GJ24" s="470"/>
      <c r="GK24" s="470"/>
      <c r="GL24" s="470"/>
      <c r="GM24" s="470"/>
      <c r="GN24" s="470"/>
      <c r="GO24" s="470"/>
      <c r="GP24" s="470"/>
      <c r="GQ24" s="470"/>
      <c r="GR24" s="470"/>
      <c r="GS24" s="470"/>
      <c r="GT24" s="470"/>
      <c r="GU24" s="470"/>
      <c r="GV24" s="470"/>
      <c r="GW24" s="470"/>
      <c r="GX24" s="470"/>
      <c r="GY24" s="470"/>
      <c r="GZ24" s="470"/>
      <c r="HA24" s="470"/>
      <c r="HB24" s="470"/>
      <c r="HC24" s="470"/>
      <c r="HD24" s="470"/>
      <c r="HE24" s="470"/>
      <c r="HF24" s="470"/>
      <c r="HG24" s="470"/>
      <c r="HH24" s="470"/>
      <c r="HI24" s="470"/>
      <c r="HJ24" s="470"/>
      <c r="HK24" s="470"/>
      <c r="HL24" s="470"/>
      <c r="HM24" s="470"/>
      <c r="HN24" s="470"/>
      <c r="HO24" s="470"/>
      <c r="HP24" s="470"/>
      <c r="HQ24" s="470"/>
      <c r="HR24" s="470"/>
      <c r="HS24" s="470"/>
      <c r="HT24" s="470"/>
      <c r="HU24" s="470"/>
      <c r="HV24" s="470"/>
      <c r="HW24" s="470"/>
      <c r="HX24" s="470"/>
      <c r="HY24" s="470"/>
      <c r="HZ24" s="470"/>
      <c r="IA24" s="470"/>
      <c r="IB24" s="470"/>
      <c r="IC24" s="470"/>
      <c r="ID24" s="470"/>
      <c r="IE24" s="470"/>
      <c r="IF24" s="470"/>
      <c r="IG24" s="470"/>
      <c r="IH24" s="470"/>
      <c r="II24" s="470"/>
      <c r="IJ24" s="470"/>
      <c r="IK24" s="470"/>
      <c r="IL24" s="470"/>
      <c r="IM24" s="470"/>
      <c r="IN24" s="470"/>
      <c r="IO24" s="470"/>
      <c r="IP24" s="470"/>
      <c r="IQ24" s="470"/>
      <c r="IR24" s="470"/>
      <c r="IS24" s="470"/>
      <c r="IT24" s="470"/>
      <c r="IU24" s="470"/>
      <c r="IV24" s="470"/>
      <c r="IW24" s="470"/>
      <c r="IX24" s="470"/>
      <c r="IY24" s="470"/>
      <c r="IZ24" s="470"/>
      <c r="JA24" s="470"/>
      <c r="JB24" s="470"/>
      <c r="JC24" s="470"/>
      <c r="JD24" s="470"/>
      <c r="JE24" s="470"/>
      <c r="JF24" s="470"/>
      <c r="JG24" s="470"/>
      <c r="JH24" s="470"/>
      <c r="JI24" s="470"/>
      <c r="JJ24" s="470"/>
      <c r="JK24" s="470"/>
      <c r="JL24" s="470"/>
      <c r="JM24" s="470"/>
      <c r="JN24" s="470"/>
      <c r="JO24" s="470"/>
      <c r="JP24" s="470"/>
      <c r="JQ24" s="470"/>
      <c r="JR24" s="470"/>
      <c r="JS24" s="470"/>
      <c r="JT24" s="470"/>
      <c r="JU24" s="470"/>
      <c r="JV24" s="470"/>
      <c r="JW24" s="470"/>
      <c r="JX24" s="470"/>
      <c r="JY24" s="470"/>
      <c r="JZ24" s="470"/>
      <c r="KA24" s="470"/>
      <c r="KB24" s="470"/>
      <c r="KC24" s="470"/>
      <c r="KD24" s="470"/>
      <c r="KE24" s="470"/>
      <c r="KF24" s="470"/>
      <c r="KG24" s="470"/>
      <c r="KH24" s="470"/>
      <c r="KI24" s="470"/>
      <c r="KJ24" s="470"/>
      <c r="KK24" s="470"/>
      <c r="KL24" s="470"/>
      <c r="KM24" s="470"/>
      <c r="KN24" s="470"/>
      <c r="KO24" s="470"/>
      <c r="KP24" s="470"/>
      <c r="KQ24" s="470"/>
      <c r="KR24" s="470"/>
      <c r="KS24" s="470"/>
      <c r="KT24" s="470"/>
      <c r="KU24" s="470"/>
      <c r="KV24" s="470"/>
      <c r="KW24" s="470"/>
      <c r="KX24" s="470"/>
      <c r="KY24" s="470"/>
      <c r="KZ24" s="470"/>
      <c r="LA24" s="470"/>
      <c r="LB24" s="470"/>
      <c r="LC24" s="470"/>
      <c r="LD24" s="470"/>
      <c r="LE24" s="470"/>
      <c r="LF24" s="470"/>
      <c r="LG24" s="470"/>
      <c r="LH24" s="470"/>
      <c r="LI24" s="470"/>
      <c r="LJ24" s="470"/>
      <c r="LK24" s="470"/>
      <c r="LL24" s="470"/>
      <c r="LM24" s="470"/>
      <c r="LN24" s="470"/>
      <c r="LO24" s="470"/>
      <c r="LP24" s="470"/>
      <c r="LQ24" s="470"/>
      <c r="LR24" s="470"/>
      <c r="LS24" s="470"/>
      <c r="LT24" s="470"/>
      <c r="LU24" s="470"/>
      <c r="LV24" s="470"/>
      <c r="LW24" s="470"/>
      <c r="LX24" s="470"/>
      <c r="LY24" s="470"/>
      <c r="LZ24" s="470"/>
      <c r="MA24" s="470"/>
      <c r="MB24" s="470"/>
      <c r="MC24" s="470"/>
      <c r="MD24" s="470"/>
      <c r="ME24" s="470"/>
      <c r="MF24" s="470"/>
      <c r="MG24" s="470"/>
      <c r="MH24" s="470"/>
      <c r="MI24" s="470"/>
      <c r="MJ24" s="470"/>
      <c r="MK24" s="470"/>
      <c r="ML24" s="470"/>
      <c r="MM24" s="470"/>
      <c r="MN24" s="470"/>
      <c r="MO24" s="470"/>
      <c r="MP24" s="470"/>
      <c r="MQ24" s="470"/>
      <c r="MR24" s="470"/>
      <c r="MS24" s="470"/>
      <c r="MT24" s="470"/>
      <c r="MU24" s="470"/>
      <c r="MV24" s="470"/>
      <c r="MW24" s="470"/>
      <c r="MX24" s="470"/>
      <c r="MY24" s="470"/>
      <c r="MZ24" s="470"/>
      <c r="NA24" s="470"/>
      <c r="NB24" s="470"/>
      <c r="NC24" s="470"/>
      <c r="ND24" s="470"/>
      <c r="NE24" s="470"/>
      <c r="NF24" s="470"/>
      <c r="NG24" s="470"/>
      <c r="NH24" s="470"/>
      <c r="NI24" s="470"/>
      <c r="NJ24" s="470"/>
      <c r="NK24" s="470"/>
      <c r="NL24" s="470"/>
      <c r="NM24" s="470"/>
      <c r="NN24" s="470"/>
      <c r="NO24" s="470"/>
      <c r="NP24" s="470"/>
      <c r="NQ24" s="470"/>
      <c r="NR24" s="470"/>
      <c r="NS24" s="470"/>
      <c r="NT24" s="470"/>
      <c r="NU24" s="470"/>
      <c r="NV24" s="470"/>
      <c r="NW24" s="470"/>
      <c r="NX24" s="470"/>
      <c r="NY24" s="470"/>
      <c r="NZ24" s="470"/>
      <c r="OA24" s="470"/>
      <c r="OB24" s="470"/>
      <c r="OC24" s="470"/>
      <c r="OD24" s="470"/>
      <c r="OE24" s="470"/>
      <c r="OF24" s="470"/>
      <c r="OG24" s="470"/>
      <c r="OH24" s="470"/>
      <c r="OI24" s="470"/>
      <c r="OJ24" s="470"/>
      <c r="OK24" s="470"/>
      <c r="OL24" s="470"/>
      <c r="OM24" s="470"/>
      <c r="ON24" s="470"/>
      <c r="OO24" s="470"/>
      <c r="OP24" s="470"/>
      <c r="OQ24" s="470"/>
      <c r="OR24" s="470"/>
      <c r="OS24" s="470"/>
      <c r="OT24" s="470"/>
      <c r="OU24" s="470"/>
      <c r="OV24" s="470"/>
      <c r="OW24" s="470"/>
      <c r="OX24" s="470"/>
      <c r="OY24" s="470"/>
      <c r="OZ24" s="470"/>
      <c r="PA24" s="470"/>
      <c r="PB24" s="470"/>
      <c r="PC24" s="470"/>
      <c r="PD24" s="470"/>
      <c r="PE24" s="470"/>
      <c r="PF24" s="470"/>
      <c r="PG24" s="470"/>
      <c r="PH24" s="470"/>
      <c r="PI24" s="470"/>
      <c r="PJ24" s="470"/>
      <c r="PK24" s="470"/>
      <c r="PL24" s="470"/>
      <c r="PM24" s="470"/>
      <c r="PN24" s="470"/>
      <c r="PO24" s="470"/>
      <c r="PP24" s="470"/>
      <c r="PQ24" s="470"/>
      <c r="PR24" s="470"/>
      <c r="PS24" s="470"/>
      <c r="PT24" s="470"/>
      <c r="PU24" s="470"/>
      <c r="PV24" s="470"/>
      <c r="PW24" s="470"/>
      <c r="PX24" s="470"/>
      <c r="PY24" s="470"/>
      <c r="PZ24" s="470"/>
      <c r="QA24" s="470"/>
      <c r="QB24" s="470"/>
      <c r="QC24" s="470"/>
      <c r="QD24" s="470"/>
      <c r="QE24" s="470"/>
      <c r="QF24" s="470"/>
      <c r="QG24" s="470"/>
      <c r="QH24" s="470"/>
      <c r="QI24" s="470"/>
      <c r="QJ24" s="470"/>
      <c r="QK24" s="470"/>
      <c r="QL24" s="470"/>
      <c r="QM24" s="470"/>
      <c r="QN24" s="470"/>
      <c r="QO24" s="470"/>
      <c r="QP24" s="470"/>
      <c r="QQ24" s="470"/>
      <c r="QR24" s="470"/>
      <c r="QS24" s="470"/>
      <c r="QT24" s="470"/>
      <c r="QU24" s="470"/>
      <c r="QV24" s="470"/>
      <c r="QW24" s="470"/>
      <c r="QX24" s="470"/>
      <c r="QY24" s="470"/>
      <c r="QZ24" s="470"/>
      <c r="RA24" s="470"/>
      <c r="RB24" s="470"/>
      <c r="RC24" s="470"/>
      <c r="RD24" s="470"/>
      <c r="RE24" s="470"/>
      <c r="RF24" s="470"/>
      <c r="RG24" s="470"/>
      <c r="RH24" s="470"/>
      <c r="RI24" s="470"/>
      <c r="RJ24" s="470"/>
      <c r="RK24" s="470"/>
      <c r="RL24" s="470"/>
      <c r="RM24" s="470"/>
      <c r="RN24" s="470"/>
      <c r="RO24" s="470"/>
      <c r="RP24" s="470"/>
      <c r="RQ24" s="470"/>
      <c r="RR24" s="470"/>
      <c r="RS24" s="470"/>
      <c r="RT24" s="470"/>
      <c r="RU24" s="470"/>
      <c r="RV24" s="470"/>
      <c r="RW24" s="470"/>
      <c r="RX24" s="470"/>
      <c r="RY24" s="470"/>
      <c r="RZ24" s="470"/>
      <c r="SA24" s="470"/>
      <c r="SB24" s="470"/>
      <c r="SC24" s="470"/>
      <c r="SD24" s="470"/>
      <c r="SE24" s="470"/>
      <c r="SF24" s="470"/>
      <c r="SG24" s="470"/>
      <c r="SH24" s="470"/>
      <c r="SI24" s="470"/>
      <c r="SJ24" s="470"/>
      <c r="SK24" s="470"/>
      <c r="SL24" s="470"/>
      <c r="SM24" s="470"/>
      <c r="SN24" s="470"/>
      <c r="SO24" s="470"/>
      <c r="SP24" s="470"/>
      <c r="SQ24" s="470"/>
      <c r="SR24" s="470"/>
      <c r="SS24" s="470"/>
      <c r="ST24" s="470"/>
      <c r="SU24" s="470"/>
      <c r="SV24" s="470"/>
      <c r="SW24" s="470"/>
      <c r="SX24" s="470"/>
      <c r="SY24" s="470"/>
      <c r="SZ24" s="470"/>
      <c r="TA24" s="470"/>
      <c r="TB24" s="470"/>
      <c r="TC24" s="470"/>
      <c r="TD24" s="470"/>
      <c r="TE24" s="470"/>
      <c r="TF24" s="470"/>
      <c r="TG24" s="470"/>
      <c r="TH24" s="470"/>
      <c r="TI24" s="470"/>
      <c r="TJ24" s="470"/>
      <c r="TK24" s="470"/>
      <c r="TL24" s="470"/>
      <c r="TM24" s="470"/>
      <c r="TN24" s="470"/>
      <c r="TO24" s="470"/>
      <c r="TP24" s="470"/>
      <c r="TQ24" s="470"/>
      <c r="TR24" s="470"/>
      <c r="TS24" s="470"/>
      <c r="TT24" s="470"/>
      <c r="TU24" s="470"/>
      <c r="TV24" s="470"/>
      <c r="TW24" s="470"/>
      <c r="TX24" s="470"/>
      <c r="TY24" s="470"/>
      <c r="TZ24" s="470"/>
      <c r="UA24" s="470"/>
      <c r="UB24" s="470"/>
      <c r="UC24" s="470"/>
      <c r="UD24" s="470"/>
      <c r="UE24" s="470"/>
      <c r="UF24" s="470"/>
      <c r="UG24" s="470"/>
      <c r="UH24" s="470"/>
      <c r="UI24" s="470"/>
      <c r="UJ24" s="470"/>
      <c r="UK24" s="470"/>
      <c r="UL24" s="470"/>
      <c r="UM24" s="470"/>
      <c r="UN24" s="470"/>
      <c r="UO24" s="470"/>
      <c r="UP24" s="470"/>
      <c r="UQ24" s="470"/>
      <c r="UR24" s="470"/>
      <c r="US24" s="470"/>
      <c r="UT24" s="470"/>
      <c r="UU24" s="470"/>
      <c r="UV24" s="470"/>
      <c r="UW24" s="470"/>
      <c r="UX24" s="470"/>
      <c r="UY24" s="470"/>
      <c r="UZ24" s="470"/>
      <c r="VA24" s="470"/>
      <c r="VB24" s="470"/>
      <c r="VC24" s="470"/>
      <c r="VD24" s="470"/>
      <c r="VE24" s="470"/>
      <c r="VF24" s="470"/>
      <c r="VG24" s="470"/>
      <c r="VH24" s="470"/>
      <c r="VI24" s="470"/>
      <c r="VJ24" s="470"/>
      <c r="VK24" s="470"/>
      <c r="VL24" s="470"/>
      <c r="VM24" s="470"/>
      <c r="VN24" s="470"/>
      <c r="VO24" s="470"/>
      <c r="VP24" s="470"/>
      <c r="VQ24" s="470"/>
      <c r="VR24" s="470"/>
      <c r="VS24" s="470"/>
      <c r="VT24" s="470"/>
      <c r="VU24" s="470"/>
      <c r="VV24" s="470"/>
      <c r="VW24" s="470"/>
      <c r="VX24" s="470"/>
      <c r="VY24" s="470"/>
      <c r="VZ24" s="470"/>
      <c r="WA24" s="470"/>
      <c r="WB24" s="470"/>
      <c r="WC24" s="470"/>
      <c r="WD24" s="470"/>
      <c r="WE24" s="470"/>
      <c r="WF24" s="470"/>
      <c r="WG24" s="470"/>
      <c r="WH24" s="470"/>
      <c r="WI24" s="470"/>
      <c r="WJ24" s="470"/>
      <c r="WK24" s="470"/>
      <c r="WL24" s="470"/>
      <c r="WM24" s="470"/>
      <c r="WN24" s="470"/>
      <c r="WO24" s="470"/>
      <c r="WP24" s="470"/>
      <c r="WQ24" s="470"/>
      <c r="WR24" s="470"/>
      <c r="WS24" s="470"/>
      <c r="WT24" s="470"/>
      <c r="WU24" s="470"/>
      <c r="WV24" s="470"/>
      <c r="WW24" s="470"/>
      <c r="WX24" s="470"/>
      <c r="WY24" s="470"/>
      <c r="WZ24" s="470"/>
      <c r="XA24" s="470"/>
      <c r="XB24" s="470"/>
      <c r="XC24" s="470"/>
      <c r="XD24" s="470"/>
      <c r="XE24" s="470"/>
      <c r="XF24" s="470"/>
      <c r="XG24" s="470"/>
      <c r="XH24" s="470"/>
      <c r="XI24" s="470"/>
      <c r="XJ24" s="470"/>
      <c r="XK24" s="470"/>
      <c r="XL24" s="470"/>
      <c r="XM24" s="470"/>
      <c r="XN24" s="470"/>
      <c r="XO24" s="470"/>
      <c r="XP24" s="470"/>
    </row>
    <row r="25" spans="1:644" x14ac:dyDescent="0.25">
      <c r="AO25" s="470"/>
      <c r="AP25" s="470"/>
      <c r="AQ25" s="470"/>
      <c r="AR25" s="470"/>
      <c r="AS25" s="470"/>
      <c r="AT25" s="470"/>
      <c r="AU25" s="470"/>
      <c r="AV25" s="470"/>
      <c r="AW25" s="470"/>
      <c r="AX25" s="470"/>
      <c r="AY25" s="470"/>
      <c r="AZ25" s="470"/>
      <c r="BA25" s="470"/>
      <c r="BB25" s="470"/>
      <c r="BC25" s="470"/>
      <c r="BD25" s="470"/>
      <c r="BE25" s="470"/>
      <c r="BF25" s="470"/>
      <c r="BG25" s="470"/>
      <c r="BH25" s="470"/>
      <c r="BI25" s="470"/>
      <c r="BJ25" s="470"/>
      <c r="BK25" s="470"/>
      <c r="BL25" s="470"/>
      <c r="BM25" s="470"/>
      <c r="BN25" s="470"/>
      <c r="BO25" s="470"/>
      <c r="BP25" s="470"/>
      <c r="BQ25" s="470"/>
      <c r="BR25" s="470"/>
      <c r="BS25" s="470"/>
      <c r="BT25" s="470"/>
      <c r="BU25" s="470"/>
      <c r="BV25" s="470"/>
      <c r="BW25" s="470"/>
      <c r="BX25" s="470"/>
      <c r="BY25" s="470"/>
      <c r="BZ25" s="470"/>
      <c r="CA25" s="470"/>
      <c r="CB25" s="470"/>
      <c r="CC25" s="470"/>
      <c r="CD25" s="470"/>
      <c r="CE25" s="470"/>
      <c r="CF25" s="470"/>
      <c r="CG25" s="470"/>
      <c r="CH25" s="470"/>
      <c r="CI25" s="470"/>
      <c r="CJ25" s="470"/>
      <c r="CK25" s="470"/>
      <c r="CL25" s="470"/>
      <c r="CM25" s="470"/>
      <c r="CN25" s="470"/>
      <c r="CO25" s="470"/>
      <c r="CP25" s="470"/>
      <c r="CQ25" s="470"/>
      <c r="CR25" s="470"/>
      <c r="CS25" s="470"/>
      <c r="CT25" s="470"/>
      <c r="CU25" s="470"/>
      <c r="CV25" s="470"/>
      <c r="CW25" s="470"/>
      <c r="CX25" s="470"/>
      <c r="CY25" s="470"/>
      <c r="CZ25" s="470"/>
      <c r="DA25" s="470"/>
      <c r="DB25" s="470"/>
      <c r="DC25" s="470"/>
      <c r="DD25" s="470"/>
      <c r="DE25" s="470"/>
      <c r="DF25" s="470"/>
      <c r="DG25" s="470"/>
      <c r="DH25" s="470"/>
      <c r="DI25" s="470"/>
      <c r="DJ25" s="470"/>
      <c r="DK25" s="470"/>
      <c r="DL25" s="470"/>
      <c r="DM25" s="470"/>
      <c r="DN25" s="470"/>
      <c r="DO25" s="470"/>
      <c r="DP25" s="470"/>
      <c r="DQ25" s="470"/>
      <c r="DR25" s="470"/>
      <c r="DS25" s="470"/>
      <c r="DT25" s="470"/>
      <c r="DU25" s="470"/>
      <c r="DV25" s="470"/>
      <c r="DW25" s="470"/>
      <c r="DX25" s="470"/>
      <c r="DY25" s="470"/>
      <c r="DZ25" s="470"/>
      <c r="EA25" s="470"/>
      <c r="EB25" s="470"/>
      <c r="EC25" s="470"/>
      <c r="ED25" s="470"/>
      <c r="EE25" s="470"/>
      <c r="EF25" s="470"/>
      <c r="EG25" s="470"/>
      <c r="EH25" s="470"/>
      <c r="EI25" s="470"/>
      <c r="EJ25" s="470"/>
      <c r="EK25" s="470"/>
      <c r="EL25" s="470"/>
      <c r="EM25" s="470"/>
      <c r="EN25" s="470"/>
      <c r="EO25" s="470"/>
      <c r="EP25" s="470"/>
      <c r="EQ25" s="470"/>
      <c r="ER25" s="470"/>
      <c r="ES25" s="470"/>
      <c r="ET25" s="470"/>
      <c r="EU25" s="470"/>
      <c r="EV25" s="470"/>
      <c r="EW25" s="470"/>
      <c r="EX25" s="470"/>
      <c r="EY25" s="470"/>
      <c r="EZ25" s="470"/>
      <c r="FA25" s="470"/>
      <c r="FB25" s="470"/>
      <c r="FC25" s="470"/>
      <c r="FD25" s="470"/>
      <c r="FE25" s="470"/>
      <c r="FF25" s="470"/>
      <c r="FG25" s="470"/>
      <c r="FH25" s="470"/>
      <c r="FI25" s="470"/>
      <c r="FJ25" s="470"/>
      <c r="FK25" s="470"/>
      <c r="FL25" s="470"/>
      <c r="FM25" s="470"/>
      <c r="FN25" s="470"/>
      <c r="FO25" s="470"/>
      <c r="FP25" s="470"/>
      <c r="FQ25" s="470"/>
      <c r="FR25" s="470"/>
      <c r="FS25" s="470"/>
      <c r="FT25" s="470"/>
      <c r="FU25" s="470"/>
      <c r="FV25" s="470"/>
      <c r="FW25" s="470"/>
      <c r="FX25" s="470"/>
      <c r="FY25" s="470"/>
      <c r="FZ25" s="470"/>
      <c r="GA25" s="470"/>
      <c r="GB25" s="470"/>
      <c r="GC25" s="470"/>
      <c r="GD25" s="470"/>
      <c r="GE25" s="470"/>
      <c r="GF25" s="470"/>
      <c r="GG25" s="470"/>
      <c r="GH25" s="470"/>
      <c r="GI25" s="470"/>
      <c r="GJ25" s="470"/>
      <c r="GK25" s="470"/>
      <c r="GL25" s="470"/>
      <c r="GM25" s="470"/>
      <c r="GN25" s="470"/>
      <c r="GO25" s="470"/>
      <c r="GP25" s="470"/>
      <c r="GQ25" s="470"/>
      <c r="GR25" s="470"/>
      <c r="GS25" s="470"/>
      <c r="GT25" s="470"/>
      <c r="GU25" s="470"/>
      <c r="GV25" s="470"/>
      <c r="GW25" s="470"/>
      <c r="GX25" s="470"/>
      <c r="GY25" s="470"/>
      <c r="GZ25" s="470"/>
      <c r="HA25" s="470"/>
      <c r="HB25" s="470"/>
      <c r="HC25" s="470"/>
      <c r="HD25" s="470"/>
      <c r="HE25" s="470"/>
      <c r="HF25" s="470"/>
      <c r="HG25" s="470"/>
      <c r="HH25" s="470"/>
      <c r="HI25" s="470"/>
      <c r="HJ25" s="470"/>
      <c r="HK25" s="470"/>
      <c r="HL25" s="470"/>
      <c r="HM25" s="470"/>
      <c r="HN25" s="470"/>
      <c r="HO25" s="470"/>
      <c r="HP25" s="470"/>
      <c r="HQ25" s="470"/>
      <c r="HR25" s="470"/>
      <c r="HS25" s="470"/>
      <c r="HT25" s="470"/>
      <c r="HU25" s="470"/>
      <c r="HV25" s="470"/>
      <c r="HW25" s="470"/>
      <c r="HX25" s="470"/>
      <c r="HY25" s="470"/>
      <c r="HZ25" s="470"/>
      <c r="IA25" s="470"/>
      <c r="IB25" s="470"/>
      <c r="IC25" s="470"/>
      <c r="ID25" s="470"/>
      <c r="IE25" s="470"/>
      <c r="IF25" s="470"/>
      <c r="IG25" s="470"/>
      <c r="IH25" s="470"/>
      <c r="II25" s="470"/>
      <c r="IJ25" s="470"/>
      <c r="IK25" s="470"/>
      <c r="IL25" s="470"/>
      <c r="IM25" s="470"/>
      <c r="IN25" s="470"/>
      <c r="IO25" s="470"/>
      <c r="IP25" s="470"/>
      <c r="IQ25" s="470"/>
      <c r="IR25" s="470"/>
      <c r="IS25" s="470"/>
      <c r="IT25" s="470"/>
      <c r="IU25" s="470"/>
      <c r="IV25" s="470"/>
      <c r="IW25" s="470"/>
      <c r="IX25" s="470"/>
      <c r="IY25" s="470"/>
      <c r="IZ25" s="470"/>
      <c r="JA25" s="470"/>
      <c r="JB25" s="470"/>
      <c r="JC25" s="470"/>
      <c r="JD25" s="470"/>
      <c r="JE25" s="470"/>
      <c r="JF25" s="470"/>
      <c r="JG25" s="470"/>
      <c r="JH25" s="470"/>
      <c r="JI25" s="470"/>
      <c r="JJ25" s="470"/>
      <c r="JK25" s="470"/>
      <c r="JL25" s="470"/>
      <c r="JM25" s="470"/>
      <c r="JN25" s="470"/>
      <c r="JO25" s="470"/>
      <c r="JP25" s="470"/>
      <c r="JQ25" s="470"/>
      <c r="JR25" s="470"/>
      <c r="JS25" s="470"/>
      <c r="JT25" s="470"/>
      <c r="JU25" s="470"/>
      <c r="JV25" s="470"/>
      <c r="JW25" s="470"/>
      <c r="JX25" s="470"/>
      <c r="JY25" s="470"/>
      <c r="JZ25" s="470"/>
      <c r="KA25" s="470"/>
      <c r="KB25" s="470"/>
      <c r="KC25" s="470"/>
      <c r="KD25" s="470"/>
      <c r="KE25" s="470"/>
      <c r="KF25" s="470"/>
      <c r="KG25" s="470"/>
      <c r="KH25" s="470"/>
      <c r="KI25" s="470"/>
      <c r="KJ25" s="470"/>
      <c r="KK25" s="470"/>
      <c r="KL25" s="470"/>
      <c r="KM25" s="470"/>
      <c r="KN25" s="470"/>
      <c r="KO25" s="470"/>
      <c r="KP25" s="470"/>
      <c r="KQ25" s="470"/>
      <c r="KR25" s="470"/>
      <c r="KS25" s="470"/>
      <c r="KT25" s="470"/>
      <c r="KU25" s="470"/>
      <c r="KV25" s="470"/>
      <c r="KW25" s="470"/>
      <c r="KX25" s="470"/>
      <c r="KY25" s="470"/>
      <c r="KZ25" s="470"/>
      <c r="LA25" s="470"/>
      <c r="LB25" s="470"/>
      <c r="LC25" s="470"/>
      <c r="LD25" s="470"/>
      <c r="LE25" s="470"/>
      <c r="LF25" s="470"/>
      <c r="LG25" s="470"/>
      <c r="LH25" s="470"/>
      <c r="LI25" s="470"/>
      <c r="LJ25" s="470"/>
      <c r="LK25" s="470"/>
      <c r="LL25" s="470"/>
      <c r="LM25" s="470"/>
      <c r="LN25" s="470"/>
      <c r="LO25" s="470"/>
      <c r="LP25" s="470"/>
      <c r="LQ25" s="470"/>
      <c r="LR25" s="470"/>
      <c r="LS25" s="470"/>
      <c r="LT25" s="470"/>
      <c r="LU25" s="470"/>
      <c r="LV25" s="470"/>
      <c r="LW25" s="470"/>
      <c r="LX25" s="470"/>
      <c r="LY25" s="470"/>
      <c r="LZ25" s="470"/>
      <c r="MA25" s="470"/>
      <c r="MB25" s="470"/>
      <c r="MC25" s="470"/>
      <c r="MD25" s="470"/>
      <c r="ME25" s="470"/>
      <c r="MF25" s="470"/>
      <c r="MG25" s="470"/>
      <c r="MH25" s="470"/>
      <c r="MI25" s="470"/>
      <c r="MJ25" s="470"/>
      <c r="MK25" s="470"/>
      <c r="ML25" s="470"/>
      <c r="MM25" s="470"/>
      <c r="MN25" s="470"/>
      <c r="MO25" s="470"/>
      <c r="MP25" s="470"/>
      <c r="MQ25" s="470"/>
      <c r="MR25" s="470"/>
      <c r="MS25" s="470"/>
      <c r="MT25" s="470"/>
      <c r="MU25" s="470"/>
      <c r="MV25" s="470"/>
      <c r="MW25" s="470"/>
      <c r="MX25" s="470"/>
      <c r="MY25" s="470"/>
      <c r="MZ25" s="470"/>
      <c r="NA25" s="470"/>
      <c r="NB25" s="470"/>
      <c r="NC25" s="470"/>
      <c r="ND25" s="470"/>
      <c r="NE25" s="470"/>
      <c r="NF25" s="470"/>
      <c r="NG25" s="470"/>
      <c r="NH25" s="470"/>
      <c r="NI25" s="470"/>
      <c r="NJ25" s="470"/>
      <c r="NK25" s="470"/>
      <c r="NL25" s="470"/>
      <c r="NM25" s="470"/>
      <c r="NN25" s="470"/>
      <c r="NO25" s="470"/>
      <c r="NP25" s="470"/>
      <c r="NQ25" s="470"/>
      <c r="NR25" s="470"/>
      <c r="NS25" s="470"/>
      <c r="NT25" s="470"/>
      <c r="NU25" s="470"/>
      <c r="NV25" s="470"/>
      <c r="NW25" s="470"/>
      <c r="NX25" s="470"/>
      <c r="NY25" s="470"/>
      <c r="NZ25" s="470"/>
      <c r="OA25" s="470"/>
      <c r="OB25" s="470"/>
      <c r="OC25" s="470"/>
      <c r="OD25" s="470"/>
      <c r="OE25" s="470"/>
      <c r="OF25" s="470"/>
      <c r="OG25" s="470"/>
      <c r="OH25" s="470"/>
      <c r="OI25" s="470"/>
      <c r="OJ25" s="470"/>
      <c r="OK25" s="470"/>
      <c r="OL25" s="470"/>
      <c r="OM25" s="470"/>
      <c r="ON25" s="470"/>
      <c r="OO25" s="470"/>
      <c r="OP25" s="470"/>
      <c r="OQ25" s="470"/>
      <c r="OR25" s="470"/>
      <c r="OS25" s="470"/>
      <c r="OT25" s="470"/>
      <c r="OU25" s="470"/>
      <c r="OV25" s="470"/>
      <c r="OW25" s="470"/>
      <c r="OX25" s="470"/>
      <c r="OY25" s="470"/>
      <c r="OZ25" s="470"/>
      <c r="PA25" s="470"/>
      <c r="PB25" s="470"/>
      <c r="PC25" s="470"/>
      <c r="PD25" s="470"/>
      <c r="PE25" s="470"/>
      <c r="PF25" s="470"/>
      <c r="PG25" s="470"/>
      <c r="PH25" s="470"/>
      <c r="PI25" s="470"/>
      <c r="PJ25" s="470"/>
      <c r="PK25" s="470"/>
      <c r="PL25" s="470"/>
      <c r="PM25" s="470"/>
      <c r="PN25" s="470"/>
      <c r="PO25" s="470"/>
      <c r="PP25" s="470"/>
      <c r="PQ25" s="470"/>
      <c r="PR25" s="470"/>
      <c r="PS25" s="470"/>
      <c r="PT25" s="470"/>
      <c r="PU25" s="470"/>
      <c r="PV25" s="470"/>
      <c r="PW25" s="470"/>
      <c r="PX25" s="470"/>
      <c r="PY25" s="470"/>
      <c r="PZ25" s="470"/>
      <c r="QA25" s="470"/>
      <c r="QB25" s="470"/>
      <c r="QC25" s="470"/>
      <c r="QD25" s="470"/>
      <c r="QE25" s="470"/>
      <c r="QF25" s="470"/>
      <c r="QG25" s="470"/>
      <c r="QH25" s="470"/>
      <c r="QI25" s="470"/>
      <c r="QJ25" s="470"/>
      <c r="QK25" s="470"/>
      <c r="QL25" s="470"/>
      <c r="QM25" s="470"/>
      <c r="QN25" s="470"/>
      <c r="QO25" s="470"/>
      <c r="QP25" s="470"/>
      <c r="QQ25" s="470"/>
      <c r="QR25" s="470"/>
      <c r="QS25" s="470"/>
      <c r="QT25" s="470"/>
      <c r="QU25" s="470"/>
      <c r="QV25" s="470"/>
      <c r="QW25" s="470"/>
      <c r="QX25" s="470"/>
      <c r="QY25" s="470"/>
      <c r="QZ25" s="470"/>
      <c r="RA25" s="470"/>
      <c r="RB25" s="470"/>
      <c r="RC25" s="470"/>
      <c r="RD25" s="470"/>
      <c r="RE25" s="470"/>
      <c r="RF25" s="470"/>
      <c r="RG25" s="470"/>
      <c r="RH25" s="470"/>
      <c r="RI25" s="470"/>
      <c r="RJ25" s="470"/>
      <c r="RK25" s="470"/>
      <c r="RL25" s="470"/>
      <c r="RM25" s="470"/>
      <c r="RN25" s="470"/>
      <c r="RO25" s="470"/>
      <c r="RP25" s="470"/>
      <c r="RQ25" s="470"/>
      <c r="RR25" s="470"/>
      <c r="RS25" s="470"/>
      <c r="RT25" s="470"/>
      <c r="RU25" s="470"/>
      <c r="RV25" s="470"/>
      <c r="RW25" s="470"/>
      <c r="RX25" s="470"/>
      <c r="RY25" s="470"/>
      <c r="RZ25" s="470"/>
      <c r="SA25" s="470"/>
      <c r="SB25" s="470"/>
      <c r="SC25" s="470"/>
      <c r="SD25" s="470"/>
      <c r="SE25" s="470"/>
      <c r="SF25" s="470"/>
      <c r="SG25" s="470"/>
      <c r="SH25" s="470"/>
      <c r="SI25" s="470"/>
      <c r="SJ25" s="470"/>
      <c r="SK25" s="470"/>
      <c r="SL25" s="470"/>
      <c r="SM25" s="470"/>
      <c r="SN25" s="470"/>
      <c r="SO25" s="470"/>
      <c r="SP25" s="470"/>
      <c r="SQ25" s="470"/>
      <c r="SR25" s="470"/>
      <c r="SS25" s="470"/>
      <c r="ST25" s="470"/>
      <c r="SU25" s="470"/>
      <c r="SV25" s="470"/>
      <c r="SW25" s="470"/>
      <c r="SX25" s="470"/>
      <c r="SY25" s="470"/>
      <c r="SZ25" s="470"/>
      <c r="TA25" s="470"/>
      <c r="TB25" s="470"/>
      <c r="TC25" s="470"/>
      <c r="TD25" s="470"/>
      <c r="TE25" s="470"/>
      <c r="TF25" s="470"/>
      <c r="TG25" s="470"/>
      <c r="TH25" s="470"/>
      <c r="TI25" s="470"/>
      <c r="TJ25" s="470"/>
      <c r="TK25" s="470"/>
      <c r="TL25" s="470"/>
      <c r="TM25" s="470"/>
      <c r="TN25" s="470"/>
      <c r="TO25" s="470"/>
      <c r="TP25" s="470"/>
      <c r="TQ25" s="470"/>
      <c r="TR25" s="470"/>
      <c r="TS25" s="470"/>
      <c r="TT25" s="470"/>
      <c r="TU25" s="470"/>
      <c r="TV25" s="470"/>
      <c r="TW25" s="470"/>
      <c r="TX25" s="470"/>
      <c r="TY25" s="470"/>
      <c r="TZ25" s="470"/>
      <c r="UA25" s="470"/>
      <c r="UB25" s="470"/>
      <c r="UC25" s="470"/>
      <c r="UD25" s="470"/>
      <c r="UE25" s="470"/>
      <c r="UF25" s="470"/>
      <c r="UG25" s="470"/>
      <c r="UH25" s="470"/>
      <c r="UI25" s="470"/>
      <c r="UJ25" s="470"/>
      <c r="UK25" s="470"/>
      <c r="UL25" s="470"/>
      <c r="UM25" s="470"/>
      <c r="UN25" s="470"/>
      <c r="UO25" s="470"/>
      <c r="UP25" s="470"/>
      <c r="UQ25" s="470"/>
      <c r="UR25" s="470"/>
      <c r="US25" s="470"/>
      <c r="UT25" s="470"/>
      <c r="UU25" s="470"/>
      <c r="UV25" s="470"/>
      <c r="UW25" s="470"/>
      <c r="UX25" s="470"/>
      <c r="UY25" s="470"/>
      <c r="UZ25" s="470"/>
      <c r="VA25" s="470"/>
      <c r="VB25" s="470"/>
      <c r="VC25" s="470"/>
      <c r="VD25" s="470"/>
      <c r="VE25" s="470"/>
      <c r="VF25" s="470"/>
      <c r="VG25" s="470"/>
      <c r="VH25" s="470"/>
      <c r="VI25" s="470"/>
      <c r="VJ25" s="470"/>
      <c r="VK25" s="470"/>
      <c r="VL25" s="470"/>
      <c r="VM25" s="470"/>
      <c r="VN25" s="470"/>
      <c r="VO25" s="470"/>
      <c r="VP25" s="470"/>
      <c r="VQ25" s="470"/>
      <c r="VR25" s="470"/>
      <c r="VS25" s="470"/>
      <c r="VT25" s="470"/>
      <c r="VU25" s="470"/>
      <c r="VV25" s="470"/>
      <c r="VW25" s="470"/>
      <c r="VX25" s="470"/>
      <c r="VY25" s="470"/>
      <c r="VZ25" s="470"/>
      <c r="WA25" s="470"/>
      <c r="WB25" s="470"/>
      <c r="WC25" s="470"/>
      <c r="WD25" s="470"/>
      <c r="WE25" s="470"/>
      <c r="WF25" s="470"/>
      <c r="WG25" s="470"/>
      <c r="WH25" s="470"/>
      <c r="WI25" s="470"/>
      <c r="WJ25" s="470"/>
      <c r="WK25" s="470"/>
      <c r="WL25" s="470"/>
      <c r="WM25" s="470"/>
      <c r="WN25" s="470"/>
      <c r="WO25" s="470"/>
      <c r="WP25" s="470"/>
      <c r="WQ25" s="470"/>
      <c r="WR25" s="470"/>
      <c r="WS25" s="470"/>
      <c r="WT25" s="470"/>
      <c r="WU25" s="470"/>
      <c r="WV25" s="470"/>
      <c r="WW25" s="470"/>
      <c r="WX25" s="470"/>
      <c r="WY25" s="470"/>
      <c r="WZ25" s="470"/>
      <c r="XA25" s="470"/>
      <c r="XB25" s="470"/>
      <c r="XC25" s="470"/>
      <c r="XD25" s="470"/>
      <c r="XE25" s="470"/>
      <c r="XF25" s="470"/>
      <c r="XG25" s="470"/>
      <c r="XH25" s="470"/>
      <c r="XI25" s="470"/>
      <c r="XJ25" s="470"/>
      <c r="XK25" s="470"/>
      <c r="XL25" s="470"/>
      <c r="XM25" s="470"/>
      <c r="XN25" s="470"/>
      <c r="XO25" s="470"/>
      <c r="XP25" s="47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C72A3-74F9-4358-A0B5-5DDBF25EEA2E}">
  <dimension ref="A1:XV88"/>
  <sheetViews>
    <sheetView topLeftCell="A24" workbookViewId="0">
      <selection activeCell="L10" sqref="L10"/>
    </sheetView>
  </sheetViews>
  <sheetFormatPr defaultRowHeight="15" x14ac:dyDescent="0.25"/>
  <cols>
    <col min="1" max="1" width="19.42578125" customWidth="1"/>
    <col min="2" max="2" width="15.28515625" customWidth="1"/>
    <col min="3" max="3" width="11.42578125" customWidth="1"/>
    <col min="4" max="4" width="16.42578125" customWidth="1"/>
    <col min="5" max="5" width="15.5703125" customWidth="1"/>
  </cols>
  <sheetData>
    <row r="1" spans="1:646" s="23" customFormat="1" ht="15.75" x14ac:dyDescent="0.25">
      <c r="A1" s="339" t="s">
        <v>1160</v>
      </c>
      <c r="B1" s="374" t="s">
        <v>1300</v>
      </c>
      <c r="C1" s="374" t="s">
        <v>1301</v>
      </c>
      <c r="D1" s="377" t="s">
        <v>405</v>
      </c>
      <c r="E1" s="334" t="s">
        <v>1355</v>
      </c>
      <c r="F1" s="340">
        <v>43</v>
      </c>
      <c r="G1" s="340" t="s">
        <v>183</v>
      </c>
      <c r="H1" s="326" t="s">
        <v>35</v>
      </c>
      <c r="I1" s="443" t="s">
        <v>1442</v>
      </c>
      <c r="J1" s="1"/>
      <c r="K1" s="2"/>
      <c r="L1" s="1"/>
      <c r="M1" s="1"/>
      <c r="N1" s="1"/>
      <c r="W1" s="354" t="s">
        <v>1051</v>
      </c>
      <c r="X1" s="395" t="s">
        <v>1309</v>
      </c>
      <c r="AQ1" s="340" t="s">
        <v>1307</v>
      </c>
      <c r="AR1" s="326" t="s">
        <v>1308</v>
      </c>
    </row>
    <row r="2" spans="1:646" s="393" customFormat="1" ht="21.75" customHeight="1" x14ac:dyDescent="0.2">
      <c r="A2" s="385" t="s">
        <v>1160</v>
      </c>
      <c r="B2" s="424" t="s">
        <v>882</v>
      </c>
      <c r="C2" s="424" t="s">
        <v>58</v>
      </c>
      <c r="D2" s="425" t="s">
        <v>405</v>
      </c>
      <c r="E2" s="426" t="s">
        <v>302</v>
      </c>
      <c r="F2" s="401">
        <v>49</v>
      </c>
      <c r="G2" s="427" t="s">
        <v>183</v>
      </c>
      <c r="H2" s="428" t="s">
        <v>35</v>
      </c>
      <c r="I2" s="429"/>
      <c r="J2" s="430"/>
      <c r="K2" s="430"/>
      <c r="L2" s="430"/>
      <c r="M2" s="430"/>
      <c r="N2" s="430"/>
      <c r="O2" s="389"/>
      <c r="P2" s="389"/>
      <c r="Q2" s="389"/>
      <c r="R2" s="389"/>
      <c r="S2" s="389"/>
      <c r="T2" s="389"/>
      <c r="U2" s="389"/>
      <c r="V2" s="389"/>
      <c r="W2" s="389"/>
      <c r="X2" s="389"/>
      <c r="Y2" s="389"/>
      <c r="Z2" s="389"/>
      <c r="AA2" s="389" t="s">
        <v>1051</v>
      </c>
      <c r="AB2" s="389" t="s">
        <v>1309</v>
      </c>
      <c r="AC2" s="389"/>
      <c r="AD2" s="389"/>
      <c r="AE2" s="389"/>
      <c r="AF2" s="389"/>
      <c r="AG2" s="389"/>
      <c r="AH2" s="389"/>
      <c r="AI2" s="389"/>
      <c r="AJ2" s="389"/>
      <c r="AK2" s="389" t="s">
        <v>912</v>
      </c>
      <c r="AL2" s="389" t="s">
        <v>1022</v>
      </c>
      <c r="AM2" s="389" t="s">
        <v>1262</v>
      </c>
      <c r="AN2" s="389" t="s">
        <v>1051</v>
      </c>
      <c r="AO2" s="389" t="s">
        <v>1309</v>
      </c>
      <c r="AP2" s="389" t="s">
        <v>1008</v>
      </c>
      <c r="AQ2" s="389" t="s">
        <v>1149</v>
      </c>
      <c r="AR2" s="389" t="s">
        <v>1304</v>
      </c>
      <c r="AS2" s="389" t="s">
        <v>997</v>
      </c>
      <c r="AX2" s="390"/>
      <c r="AY2" s="390"/>
      <c r="AZ2" s="390"/>
      <c r="BA2" s="390"/>
      <c r="BD2" s="404"/>
      <c r="BE2" s="404"/>
      <c r="BF2" s="404"/>
    </row>
    <row r="3" spans="1:646" s="393" customFormat="1" ht="15" customHeight="1" x14ac:dyDescent="0.2">
      <c r="A3" s="385" t="s">
        <v>1160</v>
      </c>
      <c r="B3" s="386" t="s">
        <v>776</v>
      </c>
      <c r="C3" s="386" t="s">
        <v>437</v>
      </c>
      <c r="D3" s="387" t="s">
        <v>405</v>
      </c>
      <c r="E3" s="388" t="s">
        <v>1360</v>
      </c>
      <c r="F3" s="387">
        <v>57</v>
      </c>
      <c r="G3" s="387" t="s">
        <v>183</v>
      </c>
      <c r="H3" s="389" t="s">
        <v>35</v>
      </c>
      <c r="I3" s="390"/>
      <c r="J3" s="391"/>
      <c r="K3" s="392"/>
      <c r="L3" s="391"/>
      <c r="M3" s="391"/>
      <c r="N3" s="391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E3" s="389"/>
      <c r="AF3" s="389"/>
      <c r="AG3" s="389"/>
      <c r="AH3" s="389"/>
      <c r="AI3" s="389"/>
      <c r="AJ3" s="389"/>
      <c r="AK3" s="389" t="s">
        <v>946</v>
      </c>
      <c r="AL3" s="389" t="s">
        <v>1022</v>
      </c>
      <c r="AM3" s="389" t="s">
        <v>947</v>
      </c>
      <c r="AN3" s="389" t="s">
        <v>1070</v>
      </c>
      <c r="AO3" s="389" t="s">
        <v>1071</v>
      </c>
      <c r="AP3" s="389" t="s">
        <v>1070</v>
      </c>
      <c r="AQ3" s="389" t="s">
        <v>1071</v>
      </c>
      <c r="AR3" s="423" t="s">
        <v>932</v>
      </c>
      <c r="AS3" s="389" t="s">
        <v>914</v>
      </c>
      <c r="AX3" s="390"/>
      <c r="AY3" s="390"/>
      <c r="AZ3" s="390"/>
      <c r="BA3" s="390"/>
    </row>
    <row r="4" spans="1:646" s="393" customFormat="1" ht="15.75" x14ac:dyDescent="0.25">
      <c r="A4" s="385" t="s">
        <v>1160</v>
      </c>
      <c r="B4" s="386" t="s">
        <v>613</v>
      </c>
      <c r="C4" s="386" t="s">
        <v>614</v>
      </c>
      <c r="D4" s="387" t="s">
        <v>405</v>
      </c>
      <c r="E4" s="388" t="s">
        <v>1391</v>
      </c>
      <c r="F4" s="387">
        <v>41</v>
      </c>
      <c r="G4" s="387" t="s">
        <v>183</v>
      </c>
      <c r="H4" s="389" t="s">
        <v>35</v>
      </c>
      <c r="I4" s="444" t="s">
        <v>1443</v>
      </c>
      <c r="J4" s="391"/>
      <c r="K4" s="392"/>
      <c r="L4" s="391"/>
      <c r="M4" s="391"/>
      <c r="N4" s="391"/>
      <c r="O4" s="390"/>
      <c r="P4" s="390"/>
      <c r="Q4" s="390"/>
      <c r="R4" s="390"/>
      <c r="S4" s="390"/>
      <c r="T4" s="390"/>
      <c r="U4" s="390"/>
      <c r="V4" s="390"/>
      <c r="W4" s="390"/>
      <c r="X4" s="390"/>
      <c r="Y4" s="389"/>
      <c r="Z4" s="389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87" t="s">
        <v>912</v>
      </c>
      <c r="AL4" s="387" t="s">
        <v>1022</v>
      </c>
      <c r="AM4" s="387" t="s">
        <v>1262</v>
      </c>
      <c r="AN4" s="387"/>
      <c r="AO4" s="387"/>
      <c r="AP4" s="387"/>
      <c r="AQ4" s="390"/>
      <c r="AR4" s="390"/>
      <c r="AS4" s="390"/>
      <c r="AX4" s="390"/>
      <c r="AY4" s="390"/>
      <c r="AZ4" s="390"/>
      <c r="BA4" s="390"/>
    </row>
    <row r="5" spans="1:646" s="24" customFormat="1" ht="17.100000000000001" customHeight="1" x14ac:dyDescent="0.2">
      <c r="A5" s="339" t="s">
        <v>1160</v>
      </c>
      <c r="B5" s="372" t="s">
        <v>885</v>
      </c>
      <c r="C5" s="372" t="s">
        <v>64</v>
      </c>
      <c r="D5" s="351" t="s">
        <v>405</v>
      </c>
      <c r="E5" s="333" t="s">
        <v>294</v>
      </c>
      <c r="F5" s="351">
        <v>52</v>
      </c>
      <c r="G5" s="351" t="s">
        <v>183</v>
      </c>
      <c r="H5" s="330" t="s">
        <v>35</v>
      </c>
      <c r="I5" s="332" t="s">
        <v>1442</v>
      </c>
      <c r="J5" s="336"/>
      <c r="K5" s="337"/>
      <c r="L5" s="336"/>
      <c r="M5" s="336"/>
      <c r="N5" s="336"/>
      <c r="O5" s="330"/>
      <c r="P5" s="330"/>
      <c r="Q5" s="330" t="s">
        <v>648</v>
      </c>
      <c r="R5" s="330" t="s">
        <v>1401</v>
      </c>
      <c r="S5" s="330"/>
      <c r="T5" s="330"/>
      <c r="U5" s="330"/>
      <c r="V5" s="330"/>
      <c r="W5" s="330"/>
      <c r="X5" s="330"/>
      <c r="Y5" s="330"/>
      <c r="Z5" s="330"/>
      <c r="AA5" s="330" t="s">
        <v>1400</v>
      </c>
      <c r="AB5" s="330" t="s">
        <v>1050</v>
      </c>
      <c r="AC5" s="330"/>
      <c r="AD5" s="330"/>
      <c r="AE5" s="330"/>
      <c r="AF5" s="330"/>
      <c r="AG5" s="330"/>
      <c r="AH5" s="330"/>
      <c r="AI5" s="330"/>
      <c r="AJ5" s="330"/>
      <c r="AK5" s="330" t="s">
        <v>977</v>
      </c>
      <c r="AL5" s="330" t="s">
        <v>1022</v>
      </c>
      <c r="AM5" s="331" t="s">
        <v>977</v>
      </c>
      <c r="AN5" s="330" t="s">
        <v>1400</v>
      </c>
      <c r="AO5" s="330" t="s">
        <v>1050</v>
      </c>
      <c r="AP5" s="330" t="s">
        <v>1072</v>
      </c>
      <c r="AQ5" s="330" t="s">
        <v>1073</v>
      </c>
      <c r="AR5" s="330" t="s">
        <v>1039</v>
      </c>
      <c r="AS5" s="330" t="s">
        <v>631</v>
      </c>
      <c r="AX5" s="332"/>
      <c r="AY5" s="332"/>
      <c r="AZ5" s="332"/>
      <c r="BA5" s="332"/>
    </row>
    <row r="6" spans="1:646" s="23" customFormat="1" ht="12.75" x14ac:dyDescent="0.2">
      <c r="A6" s="339" t="s">
        <v>1160</v>
      </c>
      <c r="B6" s="373" t="s">
        <v>875</v>
      </c>
      <c r="C6" s="373" t="s">
        <v>65</v>
      </c>
      <c r="D6" s="340" t="s">
        <v>405</v>
      </c>
      <c r="E6" s="334" t="s">
        <v>296</v>
      </c>
      <c r="F6" s="340">
        <v>58</v>
      </c>
      <c r="G6" s="340" t="s">
        <v>183</v>
      </c>
      <c r="H6" s="326" t="s">
        <v>35</v>
      </c>
      <c r="I6" s="327"/>
      <c r="J6" s="328"/>
      <c r="K6" s="329"/>
      <c r="L6" s="328"/>
      <c r="M6" s="328"/>
      <c r="N6" s="328"/>
      <c r="O6" s="330"/>
      <c r="P6" s="330"/>
      <c r="Q6" s="330"/>
      <c r="R6" s="330"/>
      <c r="S6" s="330"/>
      <c r="T6" s="330"/>
      <c r="U6" s="330"/>
      <c r="V6" s="330"/>
      <c r="W6" s="330"/>
      <c r="X6" s="330"/>
      <c r="Y6" s="330"/>
      <c r="Z6" s="330"/>
      <c r="AA6" s="330"/>
      <c r="AB6" s="330"/>
      <c r="AC6" s="330"/>
      <c r="AD6" s="330"/>
      <c r="AE6" s="330"/>
      <c r="AF6" s="330"/>
      <c r="AG6" s="330"/>
      <c r="AH6" s="330"/>
      <c r="AI6" s="330"/>
      <c r="AJ6" s="330"/>
      <c r="AK6" s="344" t="s">
        <v>967</v>
      </c>
      <c r="AL6" s="344" t="s">
        <v>1022</v>
      </c>
      <c r="AM6" s="344" t="s">
        <v>911</v>
      </c>
      <c r="AN6" s="344" t="s">
        <v>1090</v>
      </c>
      <c r="AO6" s="344" t="s">
        <v>1091</v>
      </c>
      <c r="AP6" s="330" t="s">
        <v>1090</v>
      </c>
      <c r="AQ6" s="330" t="s">
        <v>1091</v>
      </c>
      <c r="AR6" s="344" t="s">
        <v>1081</v>
      </c>
      <c r="AS6" s="330" t="s">
        <v>1020</v>
      </c>
      <c r="AT6" s="24"/>
      <c r="AU6" s="24"/>
      <c r="AV6" s="24"/>
      <c r="AW6" s="24"/>
      <c r="AX6" s="332"/>
      <c r="AY6" s="332"/>
      <c r="AZ6" s="332"/>
      <c r="BA6" s="332"/>
      <c r="BB6" s="24"/>
      <c r="BC6" s="24"/>
      <c r="BD6" s="24"/>
      <c r="BE6" s="24"/>
      <c r="BF6" s="24"/>
      <c r="BG6" s="24"/>
      <c r="BH6" s="24"/>
      <c r="BI6" s="24"/>
      <c r="BJ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  <c r="KP6" s="24"/>
      <c r="KQ6" s="24"/>
      <c r="KR6" s="24"/>
      <c r="KS6" s="24"/>
      <c r="KT6" s="24"/>
      <c r="KU6" s="24"/>
      <c r="KV6" s="24"/>
      <c r="KW6" s="24"/>
      <c r="KX6" s="24"/>
      <c r="KY6" s="24"/>
      <c r="KZ6" s="24"/>
      <c r="LA6" s="24"/>
      <c r="LB6" s="24"/>
      <c r="LC6" s="24"/>
      <c r="LD6" s="24"/>
      <c r="LE6" s="24"/>
      <c r="LF6" s="24"/>
      <c r="LG6" s="24"/>
      <c r="LH6" s="24"/>
      <c r="LI6" s="24"/>
      <c r="LJ6" s="24"/>
      <c r="LK6" s="24"/>
      <c r="LL6" s="24"/>
      <c r="LM6" s="24"/>
      <c r="LN6" s="24"/>
      <c r="LO6" s="24"/>
      <c r="LP6" s="24"/>
      <c r="LQ6" s="24"/>
      <c r="LR6" s="24"/>
      <c r="LS6" s="24"/>
      <c r="LT6" s="24"/>
      <c r="LU6" s="24"/>
      <c r="LV6" s="24"/>
      <c r="LW6" s="24"/>
      <c r="LX6" s="24"/>
      <c r="LY6" s="24"/>
      <c r="LZ6" s="24"/>
      <c r="MA6" s="24"/>
      <c r="MB6" s="24"/>
      <c r="MC6" s="24"/>
      <c r="MD6" s="24"/>
      <c r="ME6" s="24"/>
      <c r="MF6" s="24"/>
      <c r="MG6" s="24"/>
      <c r="MH6" s="24"/>
      <c r="MI6" s="24"/>
      <c r="MJ6" s="24"/>
      <c r="MK6" s="24"/>
      <c r="ML6" s="24"/>
      <c r="MM6" s="24"/>
      <c r="MN6" s="24"/>
      <c r="MO6" s="24"/>
      <c r="MP6" s="24"/>
      <c r="MQ6" s="24"/>
      <c r="MR6" s="24"/>
      <c r="MS6" s="24"/>
      <c r="MT6" s="24"/>
      <c r="MU6" s="24"/>
      <c r="MV6" s="24"/>
      <c r="MW6" s="24"/>
      <c r="MX6" s="24"/>
      <c r="MY6" s="24"/>
      <c r="MZ6" s="24"/>
      <c r="NA6" s="24"/>
      <c r="NB6" s="24"/>
      <c r="NC6" s="24"/>
      <c r="ND6" s="24"/>
      <c r="NE6" s="24"/>
      <c r="NF6" s="24"/>
      <c r="NG6" s="24"/>
      <c r="NH6" s="24"/>
      <c r="NI6" s="24"/>
      <c r="NJ6" s="24"/>
      <c r="NK6" s="24"/>
      <c r="NL6" s="24"/>
      <c r="NM6" s="24"/>
      <c r="NN6" s="24"/>
      <c r="NO6" s="24"/>
      <c r="NP6" s="24"/>
      <c r="NQ6" s="24"/>
      <c r="NR6" s="24"/>
      <c r="NS6" s="24"/>
      <c r="NT6" s="24"/>
      <c r="NU6" s="24"/>
      <c r="NV6" s="24"/>
      <c r="NW6" s="24"/>
      <c r="NX6" s="24"/>
      <c r="NY6" s="24"/>
      <c r="NZ6" s="24"/>
      <c r="OA6" s="24"/>
      <c r="OB6" s="24"/>
      <c r="OC6" s="24"/>
      <c r="OD6" s="24"/>
      <c r="OE6" s="24"/>
      <c r="OF6" s="24"/>
      <c r="OG6" s="24"/>
      <c r="OH6" s="24"/>
      <c r="OI6" s="24"/>
      <c r="OJ6" s="24"/>
      <c r="OK6" s="24"/>
      <c r="OL6" s="24"/>
      <c r="OM6" s="24"/>
      <c r="ON6" s="24"/>
      <c r="OO6" s="24"/>
      <c r="OP6" s="24"/>
      <c r="OQ6" s="24"/>
      <c r="OR6" s="24"/>
      <c r="OS6" s="24"/>
      <c r="OT6" s="24"/>
      <c r="OU6" s="24"/>
      <c r="OV6" s="24"/>
      <c r="OW6" s="24"/>
      <c r="OX6" s="24"/>
      <c r="OY6" s="24"/>
      <c r="OZ6" s="24"/>
      <c r="PA6" s="24"/>
      <c r="PB6" s="24"/>
      <c r="PC6" s="24"/>
      <c r="PD6" s="24"/>
      <c r="PE6" s="24"/>
      <c r="PF6" s="24"/>
      <c r="PG6" s="24"/>
      <c r="PH6" s="24"/>
      <c r="PI6" s="24"/>
      <c r="PJ6" s="24"/>
      <c r="PK6" s="24"/>
      <c r="PL6" s="24"/>
      <c r="PM6" s="24"/>
      <c r="PN6" s="24"/>
      <c r="PO6" s="24"/>
      <c r="PP6" s="24"/>
      <c r="PQ6" s="24"/>
      <c r="PR6" s="24"/>
      <c r="PS6" s="24"/>
      <c r="PT6" s="24"/>
      <c r="PU6" s="24"/>
      <c r="PV6" s="24"/>
      <c r="PW6" s="24"/>
      <c r="PX6" s="24"/>
      <c r="PY6" s="24"/>
      <c r="PZ6" s="24"/>
      <c r="QA6" s="24"/>
      <c r="QB6" s="24"/>
      <c r="QC6" s="24"/>
      <c r="QD6" s="24"/>
      <c r="QE6" s="24"/>
      <c r="QF6" s="24"/>
      <c r="QG6" s="24"/>
      <c r="QH6" s="24"/>
      <c r="QI6" s="24"/>
      <c r="QJ6" s="24"/>
      <c r="QK6" s="24"/>
      <c r="QL6" s="24"/>
      <c r="QM6" s="24"/>
      <c r="QN6" s="24"/>
      <c r="QO6" s="24"/>
      <c r="QP6" s="24"/>
      <c r="QQ6" s="24"/>
      <c r="QR6" s="24"/>
      <c r="QS6" s="24"/>
      <c r="QT6" s="24"/>
      <c r="QU6" s="24"/>
      <c r="QV6" s="24"/>
      <c r="QW6" s="24"/>
      <c r="QX6" s="24"/>
      <c r="QY6" s="24"/>
      <c r="QZ6" s="24"/>
      <c r="RA6" s="24"/>
      <c r="RB6" s="24"/>
      <c r="RC6" s="24"/>
      <c r="RD6" s="24"/>
      <c r="RE6" s="24"/>
      <c r="RF6" s="24"/>
      <c r="RG6" s="24"/>
      <c r="RH6" s="24"/>
      <c r="RI6" s="24"/>
      <c r="RJ6" s="24"/>
      <c r="RK6" s="24"/>
      <c r="RL6" s="24"/>
      <c r="RM6" s="24"/>
      <c r="RN6" s="24"/>
      <c r="RO6" s="24"/>
      <c r="RP6" s="24"/>
      <c r="RQ6" s="24"/>
      <c r="RR6" s="24"/>
      <c r="RS6" s="24"/>
      <c r="RT6" s="24"/>
      <c r="RU6" s="24"/>
      <c r="RV6" s="24"/>
      <c r="RW6" s="24"/>
      <c r="RX6" s="24"/>
      <c r="RY6" s="24"/>
      <c r="RZ6" s="24"/>
      <c r="SA6" s="24"/>
      <c r="SB6" s="24"/>
      <c r="SC6" s="24"/>
      <c r="SD6" s="24"/>
      <c r="SE6" s="24"/>
      <c r="SF6" s="24"/>
      <c r="SG6" s="24"/>
      <c r="SH6" s="24"/>
      <c r="SI6" s="24"/>
      <c r="SJ6" s="24"/>
      <c r="SK6" s="24"/>
      <c r="SL6" s="24"/>
      <c r="SM6" s="24"/>
      <c r="SN6" s="24"/>
      <c r="SO6" s="24"/>
      <c r="SP6" s="24"/>
      <c r="SQ6" s="24"/>
      <c r="SR6" s="24"/>
      <c r="SS6" s="24"/>
      <c r="ST6" s="24"/>
      <c r="SU6" s="24"/>
      <c r="SV6" s="24"/>
      <c r="SW6" s="24"/>
      <c r="SX6" s="24"/>
      <c r="SY6" s="24"/>
      <c r="SZ6" s="24"/>
      <c r="TA6" s="24"/>
      <c r="TB6" s="24"/>
      <c r="TC6" s="24"/>
      <c r="TD6" s="24"/>
      <c r="TE6" s="24"/>
      <c r="TF6" s="24"/>
      <c r="TG6" s="24"/>
      <c r="TH6" s="24"/>
      <c r="TI6" s="24"/>
      <c r="TJ6" s="24"/>
      <c r="TK6" s="24"/>
      <c r="TL6" s="24"/>
      <c r="TM6" s="24"/>
      <c r="TN6" s="24"/>
      <c r="TO6" s="24"/>
      <c r="TP6" s="24"/>
      <c r="TQ6" s="24"/>
      <c r="TR6" s="24"/>
      <c r="TS6" s="24"/>
      <c r="TT6" s="24"/>
      <c r="TU6" s="24"/>
      <c r="TV6" s="24"/>
      <c r="TW6" s="24"/>
      <c r="TX6" s="24"/>
      <c r="TY6" s="24"/>
      <c r="TZ6" s="24"/>
      <c r="UA6" s="24"/>
      <c r="UB6" s="24"/>
      <c r="UC6" s="24"/>
      <c r="UD6" s="24"/>
      <c r="UE6" s="24"/>
      <c r="UF6" s="24"/>
      <c r="UG6" s="24"/>
      <c r="UH6" s="24"/>
      <c r="UI6" s="24"/>
      <c r="UJ6" s="24"/>
      <c r="UK6" s="24"/>
      <c r="UL6" s="24"/>
      <c r="UM6" s="24"/>
      <c r="UN6" s="24"/>
      <c r="UO6" s="24"/>
      <c r="UP6" s="24"/>
      <c r="UQ6" s="24"/>
      <c r="UR6" s="24"/>
      <c r="US6" s="24"/>
      <c r="UT6" s="24"/>
      <c r="UU6" s="24"/>
      <c r="UV6" s="24"/>
      <c r="UW6" s="24"/>
      <c r="UX6" s="24"/>
      <c r="UY6" s="24"/>
      <c r="UZ6" s="24"/>
      <c r="VA6" s="24"/>
      <c r="VB6" s="24"/>
      <c r="VC6" s="24"/>
      <c r="VD6" s="24"/>
      <c r="VE6" s="24"/>
      <c r="VF6" s="24"/>
      <c r="VG6" s="24"/>
      <c r="VH6" s="24"/>
      <c r="VI6" s="24"/>
      <c r="VJ6" s="24"/>
      <c r="VK6" s="24"/>
      <c r="VL6" s="24"/>
      <c r="VM6" s="24"/>
      <c r="VN6" s="24"/>
      <c r="VO6" s="24"/>
      <c r="VP6" s="24"/>
      <c r="VQ6" s="24"/>
      <c r="VR6" s="24"/>
      <c r="VS6" s="24"/>
      <c r="VT6" s="24"/>
      <c r="VU6" s="24"/>
      <c r="VV6" s="24"/>
      <c r="VW6" s="24"/>
      <c r="VX6" s="24"/>
      <c r="VY6" s="24"/>
      <c r="VZ6" s="24"/>
      <c r="WA6" s="24"/>
      <c r="WB6" s="24"/>
      <c r="WC6" s="24"/>
      <c r="WD6" s="24"/>
      <c r="WE6" s="24"/>
      <c r="WF6" s="24"/>
      <c r="WG6" s="24"/>
      <c r="WH6" s="24"/>
      <c r="WI6" s="24"/>
      <c r="WJ6" s="24"/>
      <c r="WK6" s="24"/>
      <c r="WL6" s="24"/>
      <c r="WM6" s="24"/>
      <c r="WN6" s="24"/>
      <c r="WO6" s="24"/>
      <c r="WP6" s="24"/>
      <c r="WQ6" s="24"/>
      <c r="WR6" s="24"/>
      <c r="WS6" s="24"/>
      <c r="WT6" s="24"/>
      <c r="WU6" s="24"/>
      <c r="WV6" s="24"/>
      <c r="WW6" s="24"/>
      <c r="WX6" s="24"/>
      <c r="WY6" s="24"/>
      <c r="WZ6" s="24"/>
      <c r="XA6" s="24"/>
      <c r="XB6" s="24"/>
      <c r="XC6" s="24"/>
      <c r="XD6" s="24"/>
      <c r="XE6" s="24"/>
      <c r="XF6" s="24"/>
      <c r="XG6" s="24"/>
      <c r="XH6" s="24"/>
      <c r="XI6" s="24"/>
      <c r="XJ6" s="24"/>
      <c r="XK6" s="24"/>
      <c r="XL6" s="24"/>
      <c r="XM6" s="24"/>
      <c r="XN6" s="24"/>
      <c r="XO6" s="24"/>
      <c r="XP6" s="24"/>
      <c r="XQ6" s="24"/>
      <c r="XR6" s="24"/>
      <c r="XS6" s="24"/>
      <c r="XT6" s="24"/>
      <c r="XU6" s="24"/>
      <c r="XV6" s="24"/>
    </row>
    <row r="7" spans="1:646" s="23" customFormat="1" ht="17.100000000000001" customHeight="1" x14ac:dyDescent="0.2">
      <c r="A7" s="339" t="s">
        <v>1160</v>
      </c>
      <c r="B7" s="372" t="s">
        <v>1030</v>
      </c>
      <c r="C7" s="372" t="s">
        <v>62</v>
      </c>
      <c r="D7" s="351" t="s">
        <v>405</v>
      </c>
      <c r="E7" s="333" t="s">
        <v>292</v>
      </c>
      <c r="F7" s="351">
        <v>44</v>
      </c>
      <c r="G7" s="351" t="s">
        <v>183</v>
      </c>
      <c r="H7" s="330" t="s">
        <v>35</v>
      </c>
      <c r="I7" s="332"/>
      <c r="J7" s="336"/>
      <c r="K7" s="337"/>
      <c r="L7" s="336"/>
      <c r="M7" s="336"/>
      <c r="N7" s="336"/>
      <c r="O7" s="330"/>
      <c r="P7" s="330"/>
      <c r="Q7" s="330"/>
      <c r="R7" s="330"/>
      <c r="S7" s="330"/>
      <c r="T7" s="330"/>
      <c r="U7" s="330"/>
      <c r="V7" s="330"/>
      <c r="W7" s="330"/>
      <c r="X7" s="330"/>
      <c r="Y7" s="330"/>
      <c r="Z7" s="330"/>
      <c r="AA7" s="354" t="s">
        <v>1295</v>
      </c>
      <c r="AB7" s="395" t="s">
        <v>1296</v>
      </c>
      <c r="AC7" s="330"/>
      <c r="AD7" s="330"/>
      <c r="AE7" s="330"/>
      <c r="AF7" s="330"/>
      <c r="AG7" s="330"/>
      <c r="AH7" s="330"/>
      <c r="AI7" s="330"/>
      <c r="AJ7" s="330"/>
      <c r="AK7" s="356" t="s">
        <v>1313</v>
      </c>
      <c r="AL7" s="356" t="s">
        <v>1022</v>
      </c>
      <c r="AM7" s="395" t="s">
        <v>1314</v>
      </c>
      <c r="AN7" s="344" t="s">
        <v>1143</v>
      </c>
      <c r="AO7" s="344" t="s">
        <v>1144</v>
      </c>
      <c r="AP7" s="330" t="s">
        <v>1143</v>
      </c>
      <c r="AQ7" s="330" t="s">
        <v>1144</v>
      </c>
      <c r="AR7" s="330"/>
      <c r="AS7" s="330"/>
      <c r="AX7" s="332"/>
      <c r="AY7" s="332"/>
      <c r="AZ7" s="332"/>
      <c r="BA7" s="332"/>
      <c r="BD7" s="24"/>
      <c r="BE7" s="24"/>
      <c r="BF7" s="24"/>
      <c r="BG7" s="24"/>
      <c r="BH7" s="24"/>
      <c r="BI7" s="24"/>
      <c r="BJ7" s="24"/>
    </row>
    <row r="8" spans="1:646" s="404" customFormat="1" ht="15" customHeight="1" x14ac:dyDescent="0.2">
      <c r="A8" s="385" t="s">
        <v>1160</v>
      </c>
      <c r="B8" s="386" t="s">
        <v>860</v>
      </c>
      <c r="C8" s="386" t="s">
        <v>62</v>
      </c>
      <c r="D8" s="387" t="s">
        <v>405</v>
      </c>
      <c r="E8" s="388" t="s">
        <v>1361</v>
      </c>
      <c r="F8" s="387">
        <v>54</v>
      </c>
      <c r="G8" s="387" t="s">
        <v>183</v>
      </c>
      <c r="H8" s="389" t="s">
        <v>35</v>
      </c>
      <c r="I8" s="390"/>
      <c r="J8" s="391"/>
      <c r="K8" s="392"/>
      <c r="L8" s="391"/>
      <c r="M8" s="391"/>
      <c r="N8" s="391"/>
      <c r="O8" s="389"/>
      <c r="P8" s="389"/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 t="s">
        <v>1120</v>
      </c>
      <c r="AL8" s="389" t="s">
        <v>1019</v>
      </c>
      <c r="AM8" s="389" t="s">
        <v>1113</v>
      </c>
      <c r="AN8" s="389" t="s">
        <v>877</v>
      </c>
      <c r="AO8" s="389" t="s">
        <v>973</v>
      </c>
      <c r="AP8" s="389" t="s">
        <v>877</v>
      </c>
      <c r="AQ8" s="389" t="s">
        <v>973</v>
      </c>
      <c r="AR8" s="389" t="s">
        <v>902</v>
      </c>
      <c r="AS8" s="389" t="s">
        <v>903</v>
      </c>
      <c r="AX8" s="390"/>
      <c r="AY8" s="390"/>
      <c r="AZ8" s="390"/>
      <c r="BA8" s="390"/>
      <c r="BD8" s="393"/>
      <c r="BE8" s="393"/>
      <c r="BF8" s="393"/>
    </row>
    <row r="9" spans="1:646" s="23" customFormat="1" ht="12.75" x14ac:dyDescent="0.2">
      <c r="A9" s="339" t="s">
        <v>1160</v>
      </c>
      <c r="B9" s="373" t="s">
        <v>862</v>
      </c>
      <c r="C9" s="373" t="s">
        <v>63</v>
      </c>
      <c r="D9" s="340" t="s">
        <v>405</v>
      </c>
      <c r="E9" s="378" t="s">
        <v>1362</v>
      </c>
      <c r="F9" s="340">
        <v>49</v>
      </c>
      <c r="G9" s="340" t="s">
        <v>183</v>
      </c>
      <c r="H9" s="326" t="s">
        <v>35</v>
      </c>
      <c r="I9" s="327"/>
      <c r="J9" s="328"/>
      <c r="K9" s="329"/>
      <c r="L9" s="328"/>
      <c r="M9" s="328"/>
      <c r="N9" s="328"/>
      <c r="O9" s="330"/>
      <c r="P9" s="330"/>
      <c r="Q9" s="330"/>
      <c r="R9" s="330"/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  <c r="AG9" s="330"/>
      <c r="AH9" s="330"/>
      <c r="AI9" s="354" t="s">
        <v>1244</v>
      </c>
      <c r="AJ9" s="395" t="s">
        <v>1245</v>
      </c>
      <c r="AK9" s="344" t="s">
        <v>926</v>
      </c>
      <c r="AL9" s="344" t="s">
        <v>1022</v>
      </c>
      <c r="AM9" s="343" t="s">
        <v>1107</v>
      </c>
      <c r="AN9" s="330"/>
      <c r="AO9" s="330"/>
      <c r="AP9" s="332"/>
      <c r="AQ9" s="330"/>
      <c r="AR9" s="344" t="s">
        <v>900</v>
      </c>
      <c r="AS9" s="330" t="s">
        <v>901</v>
      </c>
      <c r="AT9" s="24"/>
      <c r="AU9" s="24"/>
      <c r="AV9" s="24"/>
      <c r="AW9" s="24"/>
      <c r="AX9" s="332"/>
      <c r="AY9" s="332"/>
      <c r="AZ9" s="332"/>
      <c r="BA9" s="332"/>
      <c r="BD9" s="24"/>
      <c r="BE9" s="24"/>
      <c r="BF9" s="24"/>
      <c r="BG9" s="24"/>
      <c r="BH9" s="24"/>
      <c r="BI9" s="24"/>
      <c r="BJ9" s="24"/>
    </row>
    <row r="10" spans="1:646" s="23" customFormat="1" ht="17.100000000000001" customHeight="1" x14ac:dyDescent="0.2">
      <c r="A10" s="339" t="s">
        <v>1160</v>
      </c>
      <c r="B10" s="373" t="s">
        <v>781</v>
      </c>
      <c r="C10" s="373" t="s">
        <v>63</v>
      </c>
      <c r="D10" s="340" t="s">
        <v>405</v>
      </c>
      <c r="E10" s="334" t="s">
        <v>348</v>
      </c>
      <c r="F10" s="340">
        <v>47</v>
      </c>
      <c r="G10" s="340" t="s">
        <v>183</v>
      </c>
      <c r="H10" s="326" t="s">
        <v>35</v>
      </c>
      <c r="I10" s="327"/>
      <c r="J10" s="328"/>
      <c r="K10" s="329"/>
      <c r="L10" s="328"/>
      <c r="M10" s="328"/>
      <c r="N10" s="328"/>
      <c r="O10" s="330"/>
      <c r="P10" s="330"/>
      <c r="Q10" s="330"/>
      <c r="R10" s="330"/>
      <c r="S10" s="330"/>
      <c r="T10" s="330"/>
      <c r="U10" s="330"/>
      <c r="V10" s="330"/>
      <c r="W10" s="330"/>
      <c r="X10" s="330"/>
      <c r="Y10" s="330"/>
      <c r="Z10" s="330"/>
      <c r="AA10" s="354" t="s">
        <v>1277</v>
      </c>
      <c r="AB10" s="395" t="s">
        <v>1278</v>
      </c>
      <c r="AC10" s="330"/>
      <c r="AD10" s="330"/>
      <c r="AE10" s="330"/>
      <c r="AF10" s="330"/>
      <c r="AG10" s="330"/>
      <c r="AH10" s="330"/>
      <c r="AI10" s="330"/>
      <c r="AJ10" s="330"/>
      <c r="AK10" s="354" t="s">
        <v>1290</v>
      </c>
      <c r="AL10" s="354" t="s">
        <v>1022</v>
      </c>
      <c r="AM10" s="406" t="s">
        <v>1315</v>
      </c>
      <c r="AN10" s="344" t="s">
        <v>877</v>
      </c>
      <c r="AO10" s="344" t="s">
        <v>973</v>
      </c>
      <c r="AP10" s="330" t="s">
        <v>877</v>
      </c>
      <c r="AQ10" s="330" t="s">
        <v>973</v>
      </c>
      <c r="AR10" s="344" t="s">
        <v>902</v>
      </c>
      <c r="AS10" s="330" t="s">
        <v>903</v>
      </c>
      <c r="AT10" s="24"/>
      <c r="AU10" s="24"/>
      <c r="AV10" s="24"/>
      <c r="AW10" s="24"/>
      <c r="AX10" s="332"/>
      <c r="AY10" s="332"/>
      <c r="AZ10" s="332"/>
      <c r="BA10" s="332"/>
      <c r="BB10" s="24"/>
      <c r="BC10" s="24"/>
      <c r="BD10" s="24"/>
      <c r="BE10" s="24"/>
      <c r="BF10" s="24"/>
      <c r="BG10" s="24"/>
      <c r="BH10" s="24"/>
      <c r="BI10" s="24"/>
      <c r="BJ10" s="24"/>
    </row>
    <row r="11" spans="1:646" s="23" customFormat="1" ht="15" customHeight="1" x14ac:dyDescent="0.2">
      <c r="A11" s="339" t="s">
        <v>1160</v>
      </c>
      <c r="B11" s="373" t="s">
        <v>890</v>
      </c>
      <c r="C11" s="373" t="s">
        <v>70</v>
      </c>
      <c r="D11" s="340" t="s">
        <v>405</v>
      </c>
      <c r="E11" s="334" t="s">
        <v>272</v>
      </c>
      <c r="F11" s="340">
        <v>50</v>
      </c>
      <c r="G11" s="340" t="s">
        <v>183</v>
      </c>
      <c r="H11" s="326" t="s">
        <v>35</v>
      </c>
      <c r="I11" s="327"/>
      <c r="J11" s="328"/>
      <c r="K11" s="329"/>
      <c r="L11" s="328"/>
      <c r="M11" s="328"/>
      <c r="N11" s="328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330"/>
      <c r="AA11" s="354" t="s">
        <v>1319</v>
      </c>
      <c r="AB11" s="395" t="s">
        <v>1320</v>
      </c>
      <c r="AC11" s="330"/>
      <c r="AD11" s="330"/>
      <c r="AE11" s="330"/>
      <c r="AF11" s="330"/>
      <c r="AG11" s="330"/>
      <c r="AH11" s="330"/>
      <c r="AI11" s="330"/>
      <c r="AJ11" s="330"/>
      <c r="AK11" s="354" t="s">
        <v>1260</v>
      </c>
      <c r="AL11" s="354" t="s">
        <v>1022</v>
      </c>
      <c r="AM11" s="406" t="s">
        <v>1261</v>
      </c>
      <c r="AN11" s="354" t="s">
        <v>1319</v>
      </c>
      <c r="AO11" s="395" t="s">
        <v>1320</v>
      </c>
      <c r="AP11" s="330" t="s">
        <v>1064</v>
      </c>
      <c r="AQ11" s="330" t="s">
        <v>1065</v>
      </c>
      <c r="AR11" s="32" t="s">
        <v>1060</v>
      </c>
      <c r="AS11" s="330" t="s">
        <v>1061</v>
      </c>
      <c r="AX11" s="332"/>
      <c r="AY11" s="332"/>
      <c r="AZ11" s="332"/>
      <c r="BA11" s="332"/>
      <c r="BD11" s="24"/>
      <c r="BE11" s="24"/>
      <c r="BF11" s="24"/>
      <c r="BG11" s="24"/>
      <c r="BH11" s="24"/>
      <c r="BI11" s="24"/>
      <c r="BJ11" s="24"/>
    </row>
    <row r="12" spans="1:646" s="23" customFormat="1" ht="12.75" x14ac:dyDescent="0.2">
      <c r="A12" s="339" t="s">
        <v>1160</v>
      </c>
      <c r="B12" s="369" t="s">
        <v>1341</v>
      </c>
      <c r="C12" s="374" t="s">
        <v>73</v>
      </c>
      <c r="D12" s="340" t="s">
        <v>405</v>
      </c>
      <c r="E12" s="334" t="s">
        <v>1354</v>
      </c>
      <c r="F12" s="340">
        <v>43</v>
      </c>
      <c r="G12" s="340" t="s">
        <v>183</v>
      </c>
      <c r="H12" s="340" t="s">
        <v>35</v>
      </c>
      <c r="J12" s="1"/>
      <c r="K12" s="2"/>
      <c r="L12" s="1"/>
      <c r="M12" s="1"/>
      <c r="N12" s="1"/>
      <c r="AK12" s="358" t="s">
        <v>1336</v>
      </c>
      <c r="AL12" s="358"/>
      <c r="AM12" s="405" t="s">
        <v>1338</v>
      </c>
      <c r="AN12" s="383"/>
      <c r="AO12" s="383"/>
      <c r="AP12" s="351"/>
      <c r="AX12" s="327"/>
      <c r="AY12" s="327"/>
      <c r="AZ12" s="327"/>
      <c r="BA12" s="327"/>
    </row>
    <row r="13" spans="1:646" s="23" customFormat="1" ht="15" customHeight="1" x14ac:dyDescent="0.2">
      <c r="A13" s="339" t="s">
        <v>1160</v>
      </c>
      <c r="B13" s="373" t="s">
        <v>842</v>
      </c>
      <c r="C13" s="373" t="s">
        <v>74</v>
      </c>
      <c r="D13" s="340" t="s">
        <v>405</v>
      </c>
      <c r="E13" s="334" t="s">
        <v>329</v>
      </c>
      <c r="F13" s="340">
        <v>50</v>
      </c>
      <c r="G13" s="340" t="s">
        <v>183</v>
      </c>
      <c r="H13" s="326" t="s">
        <v>35</v>
      </c>
      <c r="I13" s="327"/>
      <c r="J13" s="328"/>
      <c r="K13" s="329"/>
      <c r="L13" s="328"/>
      <c r="M13" s="328"/>
      <c r="N13" s="328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330"/>
      <c r="AA13" s="354" t="s">
        <v>1246</v>
      </c>
      <c r="AB13" s="395" t="s">
        <v>1247</v>
      </c>
      <c r="AC13" s="330"/>
      <c r="AD13" s="330"/>
      <c r="AE13" s="330"/>
      <c r="AF13" s="330"/>
      <c r="AG13" s="330"/>
      <c r="AH13" s="330"/>
      <c r="AI13" s="354" t="s">
        <v>1248</v>
      </c>
      <c r="AJ13" s="395" t="s">
        <v>1249</v>
      </c>
      <c r="AK13" s="354" t="s">
        <v>1336</v>
      </c>
      <c r="AL13" s="354" t="s">
        <v>1022</v>
      </c>
      <c r="AM13" s="395" t="s">
        <v>1338</v>
      </c>
      <c r="AN13" s="344" t="s">
        <v>1058</v>
      </c>
      <c r="AO13" s="344" t="s">
        <v>1059</v>
      </c>
      <c r="AP13" s="330" t="s">
        <v>680</v>
      </c>
      <c r="AQ13" s="330" t="s">
        <v>1059</v>
      </c>
      <c r="AR13" s="344" t="s">
        <v>1049</v>
      </c>
      <c r="AS13" s="330" t="s">
        <v>1045</v>
      </c>
      <c r="AT13" s="24"/>
      <c r="AU13" s="24"/>
      <c r="AV13" s="24"/>
      <c r="AW13" s="24"/>
      <c r="AX13" s="332"/>
      <c r="AY13" s="332"/>
      <c r="AZ13" s="332"/>
      <c r="BA13" s="332"/>
      <c r="BD13" s="24"/>
      <c r="BE13" s="24"/>
      <c r="BF13" s="24"/>
      <c r="BG13" s="24"/>
      <c r="BH13" s="24"/>
      <c r="BI13" s="24"/>
      <c r="BJ13" s="24"/>
    </row>
    <row r="14" spans="1:646" s="23" customFormat="1" ht="12.75" x14ac:dyDescent="0.2">
      <c r="A14" s="339" t="s">
        <v>1160</v>
      </c>
      <c r="B14" s="374" t="s">
        <v>267</v>
      </c>
      <c r="C14" s="374" t="s">
        <v>1252</v>
      </c>
      <c r="D14" s="340" t="s">
        <v>1292</v>
      </c>
      <c r="E14" s="334" t="s">
        <v>1363</v>
      </c>
      <c r="F14" s="340">
        <v>36</v>
      </c>
      <c r="G14" s="340" t="s">
        <v>183</v>
      </c>
      <c r="H14" s="29" t="s">
        <v>35</v>
      </c>
      <c r="I14" s="23" t="s">
        <v>1442</v>
      </c>
      <c r="J14" s="1"/>
      <c r="K14" s="2"/>
      <c r="L14" s="1"/>
      <c r="M14" s="1"/>
      <c r="N14" s="1"/>
      <c r="S14" s="354" t="s">
        <v>1298</v>
      </c>
      <c r="T14" s="395" t="s">
        <v>1299</v>
      </c>
      <c r="AG14" s="358" t="s">
        <v>1298</v>
      </c>
      <c r="AH14" s="405" t="s">
        <v>1299</v>
      </c>
      <c r="AK14" s="340"/>
      <c r="AL14" s="340"/>
      <c r="AM14" s="340"/>
      <c r="AN14" s="358" t="s">
        <v>1290</v>
      </c>
      <c r="AO14" s="405" t="s">
        <v>1291</v>
      </c>
      <c r="AP14" s="358" t="s">
        <v>1289</v>
      </c>
      <c r="AQ14" s="395" t="s">
        <v>1297</v>
      </c>
      <c r="AR14" s="340" t="s">
        <v>1281</v>
      </c>
      <c r="AS14" s="327"/>
      <c r="AX14" s="327"/>
      <c r="AY14" s="327"/>
      <c r="AZ14" s="327"/>
      <c r="BA14" s="327"/>
    </row>
    <row r="15" spans="1:646" s="393" customFormat="1" ht="17.100000000000001" customHeight="1" x14ac:dyDescent="0.2">
      <c r="A15" s="385" t="s">
        <v>1160</v>
      </c>
      <c r="B15" s="386" t="s">
        <v>938</v>
      </c>
      <c r="C15" s="386" t="s">
        <v>266</v>
      </c>
      <c r="D15" s="387" t="s">
        <v>405</v>
      </c>
      <c r="E15" s="388" t="s">
        <v>308</v>
      </c>
      <c r="F15" s="387">
        <v>47</v>
      </c>
      <c r="G15" s="387" t="s">
        <v>183</v>
      </c>
      <c r="H15" s="389" t="s">
        <v>35</v>
      </c>
      <c r="I15" s="390"/>
      <c r="J15" s="391"/>
      <c r="K15" s="392"/>
      <c r="L15" s="391"/>
      <c r="M15" s="391"/>
      <c r="N15" s="391"/>
      <c r="O15" s="389"/>
      <c r="P15" s="389"/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 t="s">
        <v>940</v>
      </c>
      <c r="AL15" s="389" t="s">
        <v>1024</v>
      </c>
      <c r="AM15" s="389" t="s">
        <v>945</v>
      </c>
      <c r="AN15" s="389" t="s">
        <v>1008</v>
      </c>
      <c r="AO15" s="389" t="s">
        <v>1074</v>
      </c>
      <c r="AP15" s="389" t="s">
        <v>1008</v>
      </c>
      <c r="AQ15" s="389" t="s">
        <v>1074</v>
      </c>
      <c r="AR15" s="389" t="s">
        <v>1078</v>
      </c>
      <c r="AS15" s="389" t="s">
        <v>1077</v>
      </c>
      <c r="AX15" s="390"/>
      <c r="AY15" s="390"/>
      <c r="AZ15" s="390"/>
      <c r="BA15" s="390"/>
    </row>
    <row r="16" spans="1:646" s="195" customFormat="1" ht="15" customHeight="1" x14ac:dyDescent="0.2">
      <c r="A16" s="339" t="s">
        <v>1160</v>
      </c>
      <c r="B16" s="373" t="s">
        <v>867</v>
      </c>
      <c r="C16" s="373" t="s">
        <v>861</v>
      </c>
      <c r="D16" s="340" t="s">
        <v>405</v>
      </c>
      <c r="E16" s="379" t="s">
        <v>1364</v>
      </c>
      <c r="F16" s="340">
        <v>42</v>
      </c>
      <c r="G16" s="340" t="s">
        <v>183</v>
      </c>
      <c r="H16" s="326" t="s">
        <v>35</v>
      </c>
      <c r="I16" s="327" t="s">
        <v>1442</v>
      </c>
      <c r="J16" s="328"/>
      <c r="K16" s="329"/>
      <c r="L16" s="328"/>
      <c r="M16" s="328"/>
      <c r="N16" s="328"/>
      <c r="O16" s="330"/>
      <c r="P16" s="330"/>
      <c r="Q16" s="330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44" t="s">
        <v>950</v>
      </c>
      <c r="AL16" s="344" t="s">
        <v>1021</v>
      </c>
      <c r="AM16" s="343" t="s">
        <v>766</v>
      </c>
      <c r="AN16" s="344" t="s">
        <v>841</v>
      </c>
      <c r="AO16" s="344" t="s">
        <v>767</v>
      </c>
      <c r="AP16" s="330" t="s">
        <v>841</v>
      </c>
      <c r="AQ16" s="330" t="s">
        <v>767</v>
      </c>
      <c r="AR16" s="344" t="s">
        <v>1000</v>
      </c>
      <c r="AS16" s="330" t="s">
        <v>1001</v>
      </c>
      <c r="AT16" s="24"/>
      <c r="AU16" s="24"/>
      <c r="AV16" s="24"/>
      <c r="AW16" s="24"/>
      <c r="AX16" s="332"/>
      <c r="AY16" s="332"/>
      <c r="AZ16" s="332"/>
      <c r="BA16" s="332"/>
      <c r="BB16" s="24"/>
      <c r="BC16" s="24"/>
      <c r="BD16" s="24"/>
      <c r="BE16" s="24"/>
      <c r="BF16" s="24"/>
      <c r="BG16" s="24"/>
      <c r="BH16" s="24"/>
      <c r="BI16" s="24"/>
      <c r="BJ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</row>
    <row r="17" spans="1:646" s="24" customFormat="1" ht="15" customHeight="1" x14ac:dyDescent="0.2">
      <c r="A17" s="339" t="s">
        <v>1160</v>
      </c>
      <c r="B17" s="372" t="s">
        <v>1029</v>
      </c>
      <c r="C17" s="372" t="s">
        <v>1048</v>
      </c>
      <c r="D17" s="351" t="s">
        <v>405</v>
      </c>
      <c r="E17" s="333" t="s">
        <v>343</v>
      </c>
      <c r="F17" s="351">
        <v>39</v>
      </c>
      <c r="G17" s="351" t="s">
        <v>183</v>
      </c>
      <c r="H17" s="330" t="s">
        <v>35</v>
      </c>
      <c r="I17" s="332"/>
      <c r="J17" s="336"/>
      <c r="K17" s="337"/>
      <c r="L17" s="336"/>
      <c r="M17" s="336"/>
      <c r="N17" s="336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 t="s">
        <v>1239</v>
      </c>
      <c r="AB17" s="330" t="s">
        <v>1240</v>
      </c>
      <c r="AC17" s="330"/>
      <c r="AD17" s="330"/>
      <c r="AE17" s="330"/>
      <c r="AF17" s="330"/>
      <c r="AG17" s="330"/>
      <c r="AH17" s="330"/>
      <c r="AI17" s="330"/>
      <c r="AJ17" s="330"/>
      <c r="AK17" s="330" t="s">
        <v>1313</v>
      </c>
      <c r="AL17" s="330" t="s">
        <v>1022</v>
      </c>
      <c r="AM17" s="330" t="s">
        <v>1314</v>
      </c>
      <c r="AN17" s="330" t="s">
        <v>1157</v>
      </c>
      <c r="AO17" s="330" t="s">
        <v>1158</v>
      </c>
      <c r="AP17" s="330" t="s">
        <v>1157</v>
      </c>
      <c r="AQ17" s="330" t="s">
        <v>1158</v>
      </c>
      <c r="AR17" s="330"/>
      <c r="AS17" s="330"/>
      <c r="AX17" s="332"/>
      <c r="AY17" s="332"/>
      <c r="AZ17" s="332"/>
      <c r="BA17" s="332"/>
    </row>
    <row r="18" spans="1:646" s="393" customFormat="1" ht="12.75" x14ac:dyDescent="0.2">
      <c r="A18" s="385" t="s">
        <v>1160</v>
      </c>
      <c r="B18" s="386" t="s">
        <v>1342</v>
      </c>
      <c r="C18" s="386" t="s">
        <v>76</v>
      </c>
      <c r="D18" s="387" t="s">
        <v>405</v>
      </c>
      <c r="E18" s="388" t="s">
        <v>1365</v>
      </c>
      <c r="F18" s="387">
        <v>58</v>
      </c>
      <c r="G18" s="387" t="s">
        <v>183</v>
      </c>
      <c r="H18" s="389" t="s">
        <v>35</v>
      </c>
      <c r="I18" s="390" t="s">
        <v>1443</v>
      </c>
      <c r="J18" s="391"/>
      <c r="K18" s="392"/>
      <c r="L18" s="391"/>
      <c r="M18" s="391"/>
      <c r="N18" s="391"/>
      <c r="O18" s="390"/>
      <c r="P18" s="390"/>
      <c r="Q18" s="390"/>
      <c r="R18" s="390"/>
      <c r="S18" s="390"/>
      <c r="T18" s="390"/>
      <c r="U18" s="390"/>
      <c r="V18" s="390"/>
      <c r="W18" s="390"/>
      <c r="X18" s="390"/>
      <c r="Y18" s="389"/>
      <c r="Z18" s="389"/>
      <c r="AA18" s="390"/>
      <c r="AB18" s="390"/>
      <c r="AC18" s="390"/>
      <c r="AD18" s="390"/>
      <c r="AE18" s="390"/>
      <c r="AF18" s="390"/>
      <c r="AG18" s="390"/>
      <c r="AH18" s="390"/>
      <c r="AI18" s="390"/>
      <c r="AJ18" s="390"/>
      <c r="AK18" s="387" t="s">
        <v>1263</v>
      </c>
      <c r="AL18" s="387"/>
      <c r="AM18" s="387" t="s">
        <v>1264</v>
      </c>
      <c r="AN18" s="387"/>
      <c r="AO18" s="387"/>
      <c r="AP18" s="387"/>
      <c r="AQ18" s="390"/>
      <c r="AS18" s="390"/>
      <c r="AX18" s="390"/>
      <c r="AY18" s="390"/>
      <c r="AZ18" s="390"/>
      <c r="BA18" s="390"/>
    </row>
    <row r="19" spans="1:646" s="23" customFormat="1" ht="12.75" x14ac:dyDescent="0.2">
      <c r="A19" s="339" t="s">
        <v>1160</v>
      </c>
      <c r="B19" s="369" t="s">
        <v>207</v>
      </c>
      <c r="C19" s="369" t="s">
        <v>76</v>
      </c>
      <c r="D19" s="340" t="s">
        <v>1292</v>
      </c>
      <c r="E19" s="334" t="s">
        <v>1366</v>
      </c>
      <c r="F19" s="340">
        <v>39</v>
      </c>
      <c r="G19" s="340" t="s">
        <v>183</v>
      </c>
      <c r="H19" s="340" t="s">
        <v>35</v>
      </c>
      <c r="I19" s="340"/>
      <c r="J19" s="341"/>
      <c r="K19" s="342"/>
      <c r="L19" s="341"/>
      <c r="M19" s="341"/>
      <c r="N19" s="341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58" t="s">
        <v>1250</v>
      </c>
      <c r="Z19" s="405" t="s">
        <v>1251</v>
      </c>
      <c r="AG19" s="340"/>
      <c r="AH19" s="340"/>
      <c r="AK19" s="358" t="s">
        <v>1311</v>
      </c>
      <c r="AL19" s="358" t="s">
        <v>1022</v>
      </c>
      <c r="AM19" s="405" t="s">
        <v>1312</v>
      </c>
      <c r="AN19" s="358" t="s">
        <v>1280</v>
      </c>
      <c r="AO19" s="405" t="s">
        <v>1104</v>
      </c>
      <c r="AP19" s="351"/>
      <c r="AQ19" s="326"/>
      <c r="AR19" s="340"/>
      <c r="AS19" s="327"/>
      <c r="AX19" s="327"/>
      <c r="AY19" s="327"/>
      <c r="AZ19" s="327"/>
      <c r="BA19" s="327"/>
    </row>
    <row r="20" spans="1:646" s="24" customFormat="1" ht="12.75" x14ac:dyDescent="0.2">
      <c r="A20" s="339" t="s">
        <v>1160</v>
      </c>
      <c r="B20" s="372" t="s">
        <v>805</v>
      </c>
      <c r="C20" s="372" t="s">
        <v>76</v>
      </c>
      <c r="D20" s="351" t="s">
        <v>405</v>
      </c>
      <c r="E20" s="333" t="s">
        <v>332</v>
      </c>
      <c r="F20" s="351">
        <v>43</v>
      </c>
      <c r="G20" s="351" t="s">
        <v>183</v>
      </c>
      <c r="H20" s="330" t="s">
        <v>35</v>
      </c>
      <c r="I20" s="332"/>
      <c r="J20" s="336"/>
      <c r="K20" s="337"/>
      <c r="L20" s="336"/>
      <c r="M20" s="336"/>
      <c r="N20" s="336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0" t="s">
        <v>1241</v>
      </c>
      <c r="Z20" s="330" t="s">
        <v>1242</v>
      </c>
      <c r="AA20" s="332"/>
      <c r="AB20" s="332"/>
      <c r="AC20" s="332"/>
      <c r="AD20" s="332"/>
      <c r="AE20" s="332"/>
      <c r="AF20" s="332"/>
      <c r="AG20" s="332"/>
      <c r="AH20" s="332"/>
      <c r="AI20" s="332"/>
      <c r="AJ20" s="332"/>
      <c r="AK20" s="351" t="s">
        <v>1269</v>
      </c>
      <c r="AL20" s="351" t="s">
        <v>1022</v>
      </c>
      <c r="AM20" s="351" t="s">
        <v>1270</v>
      </c>
      <c r="AN20" s="351"/>
      <c r="AO20" s="351"/>
      <c r="AP20" s="351"/>
      <c r="AQ20" s="332"/>
      <c r="AS20" s="332"/>
      <c r="AX20" s="332"/>
      <c r="AY20" s="332"/>
      <c r="AZ20" s="332"/>
      <c r="BA20" s="332"/>
    </row>
    <row r="21" spans="1:646" s="24" customFormat="1" ht="15" customHeight="1" x14ac:dyDescent="0.2">
      <c r="A21" s="339" t="s">
        <v>1160</v>
      </c>
      <c r="B21" s="375" t="s">
        <v>806</v>
      </c>
      <c r="C21" s="375" t="s">
        <v>79</v>
      </c>
      <c r="D21" s="351" t="s">
        <v>405</v>
      </c>
      <c r="E21" s="333" t="s">
        <v>334</v>
      </c>
      <c r="F21" s="351">
        <v>50</v>
      </c>
      <c r="G21" s="351" t="s">
        <v>183</v>
      </c>
      <c r="H21" s="330" t="s">
        <v>35</v>
      </c>
      <c r="I21" s="332"/>
      <c r="J21" s="336"/>
      <c r="K21" s="337"/>
      <c r="L21" s="336"/>
      <c r="M21" s="336"/>
      <c r="N21" s="336"/>
      <c r="O21" s="330"/>
      <c r="P21" s="330"/>
      <c r="Q21" s="330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30"/>
      <c r="AG21" s="330"/>
      <c r="AH21" s="330"/>
      <c r="AI21" s="330"/>
      <c r="AJ21" s="330"/>
      <c r="AK21" s="330" t="s">
        <v>1027</v>
      </c>
      <c r="AL21" s="330" t="s">
        <v>1022</v>
      </c>
      <c r="AM21" s="330" t="s">
        <v>1028</v>
      </c>
      <c r="AN21" s="330" t="s">
        <v>1140</v>
      </c>
      <c r="AO21" s="330" t="s">
        <v>1142</v>
      </c>
      <c r="AP21" s="330" t="s">
        <v>1140</v>
      </c>
      <c r="AQ21" s="330" t="s">
        <v>1142</v>
      </c>
      <c r="AR21" s="32" t="s">
        <v>933</v>
      </c>
      <c r="AS21" s="330" t="s">
        <v>622</v>
      </c>
      <c r="AX21" s="332"/>
      <c r="AY21" s="332"/>
      <c r="AZ21" s="332"/>
      <c r="BA21" s="332"/>
    </row>
    <row r="22" spans="1:646" s="23" customFormat="1" ht="16.5" customHeight="1" x14ac:dyDescent="0.2">
      <c r="A22" s="339" t="s">
        <v>1160</v>
      </c>
      <c r="B22" s="373" t="s">
        <v>151</v>
      </c>
      <c r="C22" s="373" t="s">
        <v>78</v>
      </c>
      <c r="D22" s="340" t="s">
        <v>405</v>
      </c>
      <c r="E22" s="334" t="s">
        <v>386</v>
      </c>
      <c r="F22" s="340">
        <v>51</v>
      </c>
      <c r="G22" s="340" t="s">
        <v>183</v>
      </c>
      <c r="H22" s="326" t="s">
        <v>35</v>
      </c>
      <c r="I22" s="327"/>
      <c r="J22" s="328"/>
      <c r="K22" s="329"/>
      <c r="L22" s="328"/>
      <c r="M22" s="328"/>
      <c r="N22" s="328"/>
      <c r="O22" s="38"/>
      <c r="P22" s="39"/>
      <c r="Q22" s="38"/>
      <c r="R22" s="39"/>
      <c r="S22" s="38"/>
      <c r="T22" s="39"/>
      <c r="U22" s="40"/>
      <c r="V22" s="38"/>
      <c r="W22" s="38"/>
      <c r="X22" s="38"/>
      <c r="Y22" s="38"/>
      <c r="Z22" s="38"/>
      <c r="AA22" s="357" t="s">
        <v>1295</v>
      </c>
      <c r="AB22" s="396" t="s">
        <v>1296</v>
      </c>
      <c r="AC22" s="38"/>
      <c r="AD22" s="38"/>
      <c r="AE22" s="38"/>
      <c r="AF22" s="38"/>
      <c r="AG22" s="38"/>
      <c r="AH22" s="38"/>
      <c r="AI22" s="38"/>
      <c r="AJ22" s="38"/>
      <c r="AK22" s="364" t="s">
        <v>1335</v>
      </c>
      <c r="AL22" s="357" t="s">
        <v>1022</v>
      </c>
      <c r="AM22" s="408" t="s">
        <v>1278</v>
      </c>
      <c r="AN22" s="381" t="s">
        <v>1154</v>
      </c>
      <c r="AO22" s="382" t="s">
        <v>1155</v>
      </c>
      <c r="AP22" s="38" t="s">
        <v>1154</v>
      </c>
      <c r="AQ22" s="39" t="s">
        <v>1155</v>
      </c>
      <c r="AR22" s="338" t="s">
        <v>1305</v>
      </c>
      <c r="AS22" s="32" t="s">
        <v>1306</v>
      </c>
      <c r="AX22" s="332"/>
      <c r="AY22" s="332"/>
      <c r="AZ22" s="332"/>
      <c r="BA22" s="332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</row>
    <row r="23" spans="1:646" s="23" customFormat="1" ht="15" customHeight="1" x14ac:dyDescent="0.2">
      <c r="A23" s="339" t="s">
        <v>1160</v>
      </c>
      <c r="B23" s="373" t="s">
        <v>865</v>
      </c>
      <c r="C23" s="373" t="s">
        <v>78</v>
      </c>
      <c r="D23" s="340" t="s">
        <v>405</v>
      </c>
      <c r="E23" s="334" t="s">
        <v>333</v>
      </c>
      <c r="F23" s="340">
        <v>51</v>
      </c>
      <c r="G23" s="340" t="s">
        <v>183</v>
      </c>
      <c r="H23" s="326" t="s">
        <v>35</v>
      </c>
      <c r="I23" s="327"/>
      <c r="J23" s="328"/>
      <c r="K23" s="329"/>
      <c r="L23" s="328"/>
      <c r="M23" s="328"/>
      <c r="N23" s="328"/>
      <c r="O23" s="330"/>
      <c r="P23" s="330"/>
      <c r="Q23" s="330"/>
      <c r="R23" s="330"/>
      <c r="S23" s="330"/>
      <c r="T23" s="330"/>
      <c r="U23" s="330"/>
      <c r="V23" s="330"/>
      <c r="W23" s="330"/>
      <c r="X23" s="330"/>
      <c r="Y23" s="330"/>
      <c r="Z23" s="330"/>
      <c r="AA23" s="354" t="s">
        <v>1404</v>
      </c>
      <c r="AB23" s="395" t="s">
        <v>1405</v>
      </c>
      <c r="AC23" s="330"/>
      <c r="AD23" s="330"/>
      <c r="AE23" s="330"/>
      <c r="AF23" s="330"/>
      <c r="AG23" s="330"/>
      <c r="AH23" s="330"/>
      <c r="AI23" s="330"/>
      <c r="AJ23" s="330"/>
      <c r="AK23" s="354" t="s">
        <v>1275</v>
      </c>
      <c r="AL23" s="354" t="s">
        <v>1022</v>
      </c>
      <c r="AM23" s="395" t="s">
        <v>1276</v>
      </c>
      <c r="AN23" s="354" t="s">
        <v>1404</v>
      </c>
      <c r="AO23" s="395" t="s">
        <v>1405</v>
      </c>
      <c r="AP23" s="330" t="s">
        <v>1092</v>
      </c>
      <c r="AQ23" s="330" t="s">
        <v>1093</v>
      </c>
      <c r="AR23" s="344" t="s">
        <v>915</v>
      </c>
      <c r="AS23" s="330" t="s">
        <v>916</v>
      </c>
      <c r="AT23" s="24"/>
      <c r="AU23" s="24"/>
      <c r="AV23" s="24"/>
      <c r="AW23" s="24"/>
      <c r="AX23" s="332"/>
      <c r="AY23" s="332"/>
      <c r="AZ23" s="332"/>
      <c r="BA23" s="332"/>
      <c r="BB23" s="24"/>
      <c r="BC23" s="24"/>
      <c r="BD23" s="24"/>
      <c r="BE23" s="24"/>
      <c r="BF23" s="24"/>
      <c r="BG23" s="24"/>
      <c r="BH23" s="24"/>
      <c r="BI23" s="24"/>
      <c r="BJ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24"/>
      <c r="DZ23" s="24"/>
      <c r="EA23" s="24"/>
      <c r="EB23" s="24"/>
      <c r="EC23" s="24"/>
      <c r="ED23" s="24"/>
      <c r="EE23" s="24"/>
      <c r="EF23" s="24"/>
      <c r="EG23" s="24"/>
      <c r="EH23" s="24"/>
      <c r="EI23" s="24"/>
      <c r="EJ23" s="24"/>
      <c r="EK23" s="24"/>
      <c r="EL23" s="24"/>
      <c r="EM23" s="24"/>
      <c r="EN23" s="24"/>
      <c r="EO23" s="24"/>
      <c r="EP23" s="24"/>
      <c r="EQ23" s="24"/>
      <c r="ER23" s="24"/>
      <c r="ES23" s="24"/>
      <c r="ET23" s="24"/>
      <c r="EU23" s="24"/>
      <c r="EV23" s="24"/>
      <c r="EW23" s="24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4"/>
      <c r="GR23" s="24"/>
      <c r="GS23" s="24"/>
      <c r="GT23" s="24"/>
      <c r="GU23" s="24"/>
      <c r="GV23" s="24"/>
      <c r="GW23" s="24"/>
      <c r="GX23" s="24"/>
      <c r="GY23" s="24"/>
      <c r="GZ23" s="24"/>
      <c r="HA23" s="24"/>
      <c r="HB23" s="24"/>
      <c r="HC23" s="24"/>
      <c r="HD23" s="24"/>
      <c r="HE23" s="24"/>
      <c r="HF23" s="24"/>
      <c r="HG23" s="24"/>
      <c r="HH23" s="24"/>
      <c r="HI23" s="24"/>
      <c r="HJ23" s="24"/>
      <c r="HK23" s="24"/>
      <c r="HL23" s="24"/>
      <c r="HM23" s="24"/>
      <c r="HN23" s="24"/>
      <c r="HO23" s="24"/>
      <c r="HP23" s="24"/>
      <c r="HQ23" s="24"/>
      <c r="HR23" s="24"/>
      <c r="HS23" s="24"/>
      <c r="HT23" s="24"/>
      <c r="HU23" s="24"/>
      <c r="HV23" s="24"/>
      <c r="HW23" s="24"/>
      <c r="HX23" s="24"/>
      <c r="HY23" s="24"/>
      <c r="HZ23" s="24"/>
      <c r="IA23" s="24"/>
      <c r="IB23" s="24"/>
      <c r="IC23" s="24"/>
      <c r="ID23" s="24"/>
      <c r="IE23" s="24"/>
      <c r="IF23" s="24"/>
      <c r="IG23" s="24"/>
      <c r="IH23" s="24"/>
      <c r="II23" s="24"/>
      <c r="IJ23" s="24"/>
      <c r="IK23" s="24"/>
      <c r="IL23" s="24"/>
      <c r="IM23" s="24"/>
      <c r="IN23" s="24"/>
      <c r="IO23" s="24"/>
      <c r="IP23" s="24"/>
      <c r="IQ23" s="24"/>
      <c r="IR23" s="24"/>
      <c r="IS23" s="24"/>
      <c r="IT23" s="24"/>
      <c r="IU23" s="24"/>
      <c r="IV23" s="24"/>
      <c r="IW23" s="24"/>
      <c r="IX23" s="24"/>
      <c r="IY23" s="24"/>
      <c r="IZ23" s="24"/>
      <c r="JA23" s="24"/>
      <c r="JB23" s="24"/>
      <c r="JC23" s="24"/>
      <c r="JD23" s="24"/>
      <c r="JE23" s="24"/>
      <c r="JF23" s="24"/>
      <c r="JG23" s="24"/>
      <c r="JH23" s="24"/>
      <c r="JI23" s="24"/>
      <c r="JJ23" s="24"/>
      <c r="JK23" s="24"/>
      <c r="JL23" s="24"/>
      <c r="JM23" s="24"/>
      <c r="JN23" s="24"/>
      <c r="JO23" s="24"/>
      <c r="JP23" s="24"/>
      <c r="JQ23" s="24"/>
      <c r="JR23" s="24"/>
      <c r="JS23" s="24"/>
      <c r="JT23" s="24"/>
      <c r="JU23" s="24"/>
      <c r="JV23" s="24"/>
      <c r="JW23" s="24"/>
      <c r="JX23" s="24"/>
      <c r="JY23" s="24"/>
      <c r="JZ23" s="24"/>
      <c r="KA23" s="24"/>
      <c r="KB23" s="24"/>
      <c r="KC23" s="24"/>
      <c r="KD23" s="24"/>
      <c r="KE23" s="24"/>
      <c r="KF23" s="24"/>
      <c r="KG23" s="24"/>
      <c r="KH23" s="24"/>
      <c r="KI23" s="24"/>
      <c r="KJ23" s="24"/>
      <c r="KK23" s="24"/>
      <c r="KL23" s="24"/>
      <c r="KM23" s="24"/>
      <c r="KN23" s="24"/>
      <c r="KO23" s="24"/>
      <c r="KP23" s="24"/>
      <c r="KQ23" s="24"/>
      <c r="KR23" s="24"/>
      <c r="KS23" s="24"/>
      <c r="KT23" s="24"/>
      <c r="KU23" s="24"/>
      <c r="KV23" s="24"/>
      <c r="KW23" s="24"/>
      <c r="KX23" s="24"/>
      <c r="KY23" s="24"/>
      <c r="KZ23" s="24"/>
      <c r="LA23" s="24"/>
      <c r="LB23" s="24"/>
      <c r="LC23" s="24"/>
      <c r="LD23" s="24"/>
      <c r="LE23" s="24"/>
      <c r="LF23" s="24"/>
      <c r="LG23" s="24"/>
      <c r="LH23" s="24"/>
      <c r="LI23" s="24"/>
      <c r="LJ23" s="24"/>
      <c r="LK23" s="24"/>
      <c r="LL23" s="24"/>
      <c r="LM23" s="24"/>
      <c r="LN23" s="24"/>
      <c r="LO23" s="24"/>
      <c r="LP23" s="24"/>
      <c r="LQ23" s="24"/>
      <c r="LR23" s="24"/>
      <c r="LS23" s="24"/>
      <c r="LT23" s="24"/>
      <c r="LU23" s="24"/>
      <c r="LV23" s="24"/>
      <c r="LW23" s="24"/>
      <c r="LX23" s="24"/>
      <c r="LY23" s="24"/>
      <c r="LZ23" s="24"/>
      <c r="MA23" s="24"/>
      <c r="MB23" s="24"/>
      <c r="MC23" s="24"/>
      <c r="MD23" s="24"/>
      <c r="ME23" s="24"/>
      <c r="MF23" s="24"/>
      <c r="MG23" s="24"/>
      <c r="MH23" s="24"/>
      <c r="MI23" s="24"/>
      <c r="MJ23" s="24"/>
      <c r="MK23" s="24"/>
      <c r="ML23" s="24"/>
      <c r="MM23" s="24"/>
      <c r="MN23" s="24"/>
      <c r="MO23" s="24"/>
      <c r="MP23" s="24"/>
      <c r="MQ23" s="24"/>
      <c r="MR23" s="24"/>
      <c r="MS23" s="24"/>
      <c r="MT23" s="24"/>
      <c r="MU23" s="24"/>
      <c r="MV23" s="24"/>
      <c r="MW23" s="24"/>
      <c r="MX23" s="24"/>
      <c r="MY23" s="24"/>
      <c r="MZ23" s="24"/>
      <c r="NA23" s="24"/>
      <c r="NB23" s="24"/>
      <c r="NC23" s="24"/>
      <c r="ND23" s="24"/>
      <c r="NE23" s="24"/>
      <c r="NF23" s="24"/>
      <c r="NG23" s="24"/>
      <c r="NH23" s="24"/>
      <c r="NI23" s="24"/>
      <c r="NJ23" s="24"/>
      <c r="NK23" s="24"/>
      <c r="NL23" s="24"/>
      <c r="NM23" s="24"/>
      <c r="NN23" s="24"/>
      <c r="NO23" s="24"/>
      <c r="NP23" s="24"/>
      <c r="NQ23" s="24"/>
      <c r="NR23" s="24"/>
      <c r="NS23" s="24"/>
      <c r="NT23" s="24"/>
      <c r="NU23" s="24"/>
      <c r="NV23" s="24"/>
      <c r="NW23" s="24"/>
      <c r="NX23" s="24"/>
      <c r="NY23" s="24"/>
      <c r="NZ23" s="24"/>
      <c r="OA23" s="24"/>
      <c r="OB23" s="24"/>
      <c r="OC23" s="24"/>
      <c r="OD23" s="24"/>
      <c r="OE23" s="24"/>
      <c r="OF23" s="24"/>
      <c r="OG23" s="24"/>
      <c r="OH23" s="24"/>
      <c r="OI23" s="24"/>
      <c r="OJ23" s="24"/>
      <c r="OK23" s="24"/>
      <c r="OL23" s="24"/>
      <c r="OM23" s="24"/>
      <c r="ON23" s="24"/>
      <c r="OO23" s="24"/>
      <c r="OP23" s="24"/>
      <c r="OQ23" s="24"/>
      <c r="OR23" s="24"/>
      <c r="OS23" s="24"/>
      <c r="OT23" s="24"/>
      <c r="OU23" s="24"/>
      <c r="OV23" s="24"/>
      <c r="OW23" s="24"/>
      <c r="OX23" s="24"/>
      <c r="OY23" s="24"/>
      <c r="OZ23" s="24"/>
      <c r="PA23" s="24"/>
      <c r="PB23" s="24"/>
      <c r="PC23" s="24"/>
      <c r="PD23" s="24"/>
      <c r="PE23" s="24"/>
      <c r="PF23" s="24"/>
      <c r="PG23" s="24"/>
      <c r="PH23" s="24"/>
      <c r="PI23" s="24"/>
      <c r="PJ23" s="24"/>
      <c r="PK23" s="24"/>
      <c r="PL23" s="24"/>
      <c r="PM23" s="24"/>
      <c r="PN23" s="24"/>
      <c r="PO23" s="24"/>
      <c r="PP23" s="24"/>
      <c r="PQ23" s="24"/>
      <c r="PR23" s="24"/>
      <c r="PS23" s="24"/>
      <c r="PT23" s="24"/>
      <c r="PU23" s="24"/>
      <c r="PV23" s="24"/>
      <c r="PW23" s="24"/>
      <c r="PX23" s="24"/>
      <c r="PY23" s="24"/>
      <c r="PZ23" s="24"/>
      <c r="QA23" s="24"/>
      <c r="QB23" s="24"/>
      <c r="QC23" s="24"/>
      <c r="QD23" s="24"/>
      <c r="QE23" s="24"/>
      <c r="QF23" s="24"/>
      <c r="QG23" s="24"/>
      <c r="QH23" s="24"/>
      <c r="QI23" s="24"/>
      <c r="QJ23" s="24"/>
      <c r="QK23" s="24"/>
      <c r="QL23" s="24"/>
      <c r="QM23" s="24"/>
      <c r="QN23" s="24"/>
      <c r="QO23" s="24"/>
      <c r="QP23" s="24"/>
      <c r="QQ23" s="24"/>
      <c r="QR23" s="24"/>
      <c r="QS23" s="24"/>
      <c r="QT23" s="24"/>
      <c r="QU23" s="24"/>
      <c r="QV23" s="24"/>
      <c r="QW23" s="24"/>
      <c r="QX23" s="24"/>
      <c r="QY23" s="24"/>
      <c r="QZ23" s="24"/>
      <c r="RA23" s="24"/>
      <c r="RB23" s="24"/>
      <c r="RC23" s="24"/>
      <c r="RD23" s="24"/>
      <c r="RE23" s="24"/>
      <c r="RF23" s="24"/>
      <c r="RG23" s="24"/>
      <c r="RH23" s="24"/>
      <c r="RI23" s="24"/>
      <c r="RJ23" s="24"/>
      <c r="RK23" s="24"/>
      <c r="RL23" s="24"/>
      <c r="RM23" s="24"/>
      <c r="RN23" s="24"/>
      <c r="RO23" s="24"/>
      <c r="RP23" s="24"/>
      <c r="RQ23" s="24"/>
      <c r="RR23" s="24"/>
      <c r="RS23" s="24"/>
      <c r="RT23" s="24"/>
      <c r="RU23" s="24"/>
      <c r="RV23" s="24"/>
      <c r="RW23" s="24"/>
      <c r="RX23" s="24"/>
      <c r="RY23" s="24"/>
      <c r="RZ23" s="24"/>
      <c r="SA23" s="24"/>
      <c r="SB23" s="24"/>
      <c r="SC23" s="24"/>
      <c r="SD23" s="24"/>
      <c r="SE23" s="24"/>
      <c r="SF23" s="24"/>
      <c r="SG23" s="24"/>
      <c r="SH23" s="24"/>
      <c r="SI23" s="24"/>
      <c r="SJ23" s="24"/>
      <c r="SK23" s="24"/>
      <c r="SL23" s="24"/>
      <c r="SM23" s="24"/>
      <c r="SN23" s="24"/>
      <c r="SO23" s="24"/>
      <c r="SP23" s="24"/>
      <c r="SQ23" s="24"/>
      <c r="SR23" s="24"/>
      <c r="SS23" s="24"/>
      <c r="ST23" s="24"/>
      <c r="SU23" s="24"/>
      <c r="SV23" s="24"/>
      <c r="SW23" s="24"/>
      <c r="SX23" s="24"/>
      <c r="SY23" s="24"/>
      <c r="SZ23" s="24"/>
      <c r="TA23" s="24"/>
      <c r="TB23" s="24"/>
      <c r="TC23" s="24"/>
      <c r="TD23" s="24"/>
      <c r="TE23" s="24"/>
      <c r="TF23" s="24"/>
      <c r="TG23" s="24"/>
      <c r="TH23" s="24"/>
      <c r="TI23" s="24"/>
      <c r="TJ23" s="24"/>
      <c r="TK23" s="24"/>
      <c r="TL23" s="24"/>
      <c r="TM23" s="24"/>
      <c r="TN23" s="24"/>
      <c r="TO23" s="24"/>
      <c r="TP23" s="24"/>
      <c r="TQ23" s="24"/>
      <c r="TR23" s="24"/>
      <c r="TS23" s="24"/>
      <c r="TT23" s="24"/>
      <c r="TU23" s="24"/>
      <c r="TV23" s="24"/>
      <c r="TW23" s="24"/>
      <c r="TX23" s="24"/>
      <c r="TY23" s="24"/>
      <c r="TZ23" s="24"/>
      <c r="UA23" s="24"/>
      <c r="UB23" s="24"/>
      <c r="UC23" s="24"/>
      <c r="UD23" s="24"/>
      <c r="UE23" s="24"/>
      <c r="UF23" s="24"/>
      <c r="UG23" s="24"/>
      <c r="UH23" s="24"/>
      <c r="UI23" s="24"/>
      <c r="UJ23" s="24"/>
      <c r="UK23" s="24"/>
      <c r="UL23" s="24"/>
      <c r="UM23" s="24"/>
      <c r="UN23" s="24"/>
      <c r="UO23" s="24"/>
      <c r="UP23" s="24"/>
      <c r="UQ23" s="24"/>
      <c r="UR23" s="24"/>
      <c r="US23" s="24"/>
      <c r="UT23" s="24"/>
      <c r="UU23" s="24"/>
      <c r="UV23" s="24"/>
      <c r="UW23" s="24"/>
      <c r="UX23" s="24"/>
      <c r="UY23" s="24"/>
      <c r="UZ23" s="24"/>
      <c r="VA23" s="24"/>
      <c r="VB23" s="24"/>
      <c r="VC23" s="24"/>
      <c r="VD23" s="24"/>
      <c r="VE23" s="24"/>
      <c r="VF23" s="24"/>
      <c r="VG23" s="24"/>
      <c r="VH23" s="24"/>
      <c r="VI23" s="24"/>
      <c r="VJ23" s="24"/>
      <c r="VK23" s="24"/>
      <c r="VL23" s="24"/>
      <c r="VM23" s="24"/>
      <c r="VN23" s="24"/>
      <c r="VO23" s="24"/>
      <c r="VP23" s="24"/>
      <c r="VQ23" s="24"/>
      <c r="VR23" s="24"/>
      <c r="VS23" s="24"/>
      <c r="VT23" s="24"/>
      <c r="VU23" s="24"/>
      <c r="VV23" s="24"/>
      <c r="VW23" s="24"/>
      <c r="VX23" s="24"/>
      <c r="VY23" s="24"/>
      <c r="VZ23" s="24"/>
      <c r="WA23" s="24"/>
      <c r="WB23" s="24"/>
      <c r="WC23" s="24"/>
      <c r="WD23" s="24"/>
      <c r="WE23" s="24"/>
      <c r="WF23" s="24"/>
      <c r="WG23" s="24"/>
      <c r="WH23" s="24"/>
      <c r="WI23" s="24"/>
      <c r="WJ23" s="24"/>
      <c r="WK23" s="24"/>
      <c r="WL23" s="24"/>
      <c r="WM23" s="24"/>
      <c r="WN23" s="24"/>
      <c r="WO23" s="24"/>
      <c r="WP23" s="24"/>
      <c r="WQ23" s="24"/>
      <c r="WR23" s="24"/>
      <c r="WS23" s="24"/>
      <c r="WT23" s="24"/>
      <c r="WU23" s="24"/>
      <c r="WV23" s="24"/>
      <c r="WW23" s="24"/>
      <c r="WX23" s="24"/>
      <c r="WY23" s="24"/>
      <c r="WZ23" s="24"/>
      <c r="XA23" s="24"/>
      <c r="XB23" s="24"/>
      <c r="XC23" s="24"/>
      <c r="XD23" s="24"/>
      <c r="XE23" s="24"/>
      <c r="XF23" s="24"/>
      <c r="XG23" s="24"/>
      <c r="XH23" s="24"/>
      <c r="XI23" s="24"/>
      <c r="XJ23" s="24"/>
      <c r="XK23" s="24"/>
      <c r="XL23" s="24"/>
      <c r="XM23" s="24"/>
      <c r="XN23" s="24"/>
      <c r="XO23" s="24"/>
      <c r="XP23" s="24"/>
      <c r="XQ23" s="24"/>
      <c r="XR23" s="24"/>
      <c r="XS23" s="24"/>
      <c r="XT23" s="24"/>
      <c r="XU23" s="24"/>
      <c r="XV23" s="24"/>
    </row>
    <row r="24" spans="1:646" s="393" customFormat="1" ht="17.100000000000001" customHeight="1" x14ac:dyDescent="0.2">
      <c r="A24" s="385" t="s">
        <v>1160</v>
      </c>
      <c r="B24" s="386" t="s">
        <v>1259</v>
      </c>
      <c r="C24" s="386" t="s">
        <v>119</v>
      </c>
      <c r="D24" s="387" t="s">
        <v>405</v>
      </c>
      <c r="E24" s="388" t="s">
        <v>337</v>
      </c>
      <c r="F24" s="387">
        <v>40</v>
      </c>
      <c r="G24" s="387" t="s">
        <v>183</v>
      </c>
      <c r="H24" s="389" t="s">
        <v>35</v>
      </c>
      <c r="I24" s="390"/>
      <c r="J24" s="391"/>
      <c r="K24" s="392"/>
      <c r="L24" s="391"/>
      <c r="M24" s="391"/>
      <c r="N24" s="391"/>
      <c r="O24" s="389"/>
      <c r="P24" s="389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 t="s">
        <v>1260</v>
      </c>
      <c r="AL24" s="389" t="s">
        <v>1022</v>
      </c>
      <c r="AM24" s="389" t="s">
        <v>1261</v>
      </c>
      <c r="AN24" s="389" t="s">
        <v>683</v>
      </c>
      <c r="AO24" s="389" t="s">
        <v>984</v>
      </c>
      <c r="AP24" s="389" t="s">
        <v>683</v>
      </c>
      <c r="AQ24" s="389" t="s">
        <v>984</v>
      </c>
      <c r="AR24" s="389" t="s">
        <v>1002</v>
      </c>
      <c r="AS24" s="389" t="s">
        <v>1003</v>
      </c>
      <c r="AX24" s="390"/>
      <c r="AY24" s="390"/>
      <c r="AZ24" s="390"/>
      <c r="BA24" s="390"/>
    </row>
    <row r="25" spans="1:646" s="327" customFormat="1" ht="12" x14ac:dyDescent="0.2">
      <c r="A25" s="26" t="s">
        <v>1160</v>
      </c>
      <c r="B25" s="374" t="s">
        <v>44</v>
      </c>
      <c r="C25" s="374" t="s">
        <v>82</v>
      </c>
      <c r="D25" s="326" t="s">
        <v>405</v>
      </c>
      <c r="E25" s="334" t="s">
        <v>338</v>
      </c>
      <c r="F25" s="326">
        <v>42</v>
      </c>
      <c r="G25" s="326" t="s">
        <v>183</v>
      </c>
      <c r="H25" s="326" t="s">
        <v>35</v>
      </c>
      <c r="J25" s="328"/>
      <c r="K25" s="329"/>
      <c r="L25" s="328"/>
      <c r="M25" s="328"/>
      <c r="N25" s="328"/>
      <c r="AA25" s="354" t="s">
        <v>1051</v>
      </c>
      <c r="AB25" s="395" t="s">
        <v>1309</v>
      </c>
      <c r="AK25" s="354" t="s">
        <v>1310</v>
      </c>
      <c r="AL25" s="354" t="s">
        <v>1022</v>
      </c>
      <c r="AM25" s="395" t="s">
        <v>1321</v>
      </c>
      <c r="AN25" s="354" t="s">
        <v>1051</v>
      </c>
      <c r="AO25" s="395" t="s">
        <v>1309</v>
      </c>
      <c r="AP25" s="330"/>
    </row>
    <row r="26" spans="1:646" s="25" customFormat="1" ht="15" customHeight="1" x14ac:dyDescent="0.2">
      <c r="A26" s="339" t="s">
        <v>1160</v>
      </c>
      <c r="B26" s="372" t="s">
        <v>1156</v>
      </c>
      <c r="C26" s="372" t="s">
        <v>83</v>
      </c>
      <c r="D26" s="338" t="s">
        <v>405</v>
      </c>
      <c r="E26" s="636" t="s">
        <v>341</v>
      </c>
      <c r="F26" s="338">
        <v>40</v>
      </c>
      <c r="G26" s="338" t="s">
        <v>183</v>
      </c>
      <c r="H26" s="32" t="s">
        <v>35</v>
      </c>
      <c r="I26" s="335"/>
      <c r="J26" s="637"/>
      <c r="K26" s="638"/>
      <c r="L26" s="637"/>
      <c r="M26" s="637"/>
      <c r="N26" s="637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 t="s">
        <v>1275</v>
      </c>
      <c r="AL26" s="32" t="s">
        <v>1021</v>
      </c>
      <c r="AM26" s="32" t="s">
        <v>1276</v>
      </c>
      <c r="AN26" s="32" t="s">
        <v>863</v>
      </c>
      <c r="AO26" s="32" t="s">
        <v>733</v>
      </c>
      <c r="AP26" s="32" t="s">
        <v>863</v>
      </c>
      <c r="AQ26" s="32" t="s">
        <v>733</v>
      </c>
      <c r="AR26" s="32" t="s">
        <v>1002</v>
      </c>
      <c r="AS26" s="32" t="s">
        <v>1003</v>
      </c>
      <c r="AX26" s="335"/>
      <c r="AY26" s="335"/>
      <c r="AZ26" s="335"/>
      <c r="BA26" s="335"/>
    </row>
    <row r="27" spans="1:646" s="393" customFormat="1" ht="17.100000000000001" customHeight="1" x14ac:dyDescent="0.2">
      <c r="A27" s="385" t="s">
        <v>1160</v>
      </c>
      <c r="B27" s="386" t="s">
        <v>879</v>
      </c>
      <c r="C27" s="386" t="s">
        <v>84</v>
      </c>
      <c r="D27" s="387" t="s">
        <v>405</v>
      </c>
      <c r="E27" s="388" t="s">
        <v>340</v>
      </c>
      <c r="F27" s="387">
        <v>42</v>
      </c>
      <c r="G27" s="387" t="s">
        <v>183</v>
      </c>
      <c r="H27" s="389" t="s">
        <v>35</v>
      </c>
      <c r="I27" s="390"/>
      <c r="J27" s="391"/>
      <c r="K27" s="392"/>
      <c r="L27" s="391"/>
      <c r="M27" s="391"/>
      <c r="N27" s="391"/>
      <c r="O27" s="389"/>
      <c r="P27" s="389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 t="s">
        <v>912</v>
      </c>
      <c r="AL27" s="389" t="s">
        <v>1022</v>
      </c>
      <c r="AM27" s="389" t="s">
        <v>1262</v>
      </c>
      <c r="AN27" s="389" t="s">
        <v>863</v>
      </c>
      <c r="AO27" s="389" t="s">
        <v>974</v>
      </c>
      <c r="AP27" s="389" t="s">
        <v>863</v>
      </c>
      <c r="AQ27" s="389" t="s">
        <v>974</v>
      </c>
      <c r="AR27" s="389" t="s">
        <v>1096</v>
      </c>
      <c r="AS27" s="389" t="s">
        <v>1097</v>
      </c>
      <c r="AX27" s="390"/>
      <c r="AY27" s="390"/>
      <c r="AZ27" s="390"/>
      <c r="BA27" s="390"/>
    </row>
    <row r="28" spans="1:646" s="23" customFormat="1" ht="12.75" x14ac:dyDescent="0.2">
      <c r="A28" s="339" t="s">
        <v>1160</v>
      </c>
      <c r="B28" s="373" t="s">
        <v>171</v>
      </c>
      <c r="C28" s="373" t="s">
        <v>121</v>
      </c>
      <c r="D28" s="340" t="s">
        <v>405</v>
      </c>
      <c r="E28" s="334" t="s">
        <v>1367</v>
      </c>
      <c r="F28" s="340">
        <v>43</v>
      </c>
      <c r="G28" s="340" t="s">
        <v>183</v>
      </c>
      <c r="H28" s="326" t="s">
        <v>35</v>
      </c>
      <c r="I28" s="327"/>
      <c r="J28" s="328"/>
      <c r="K28" s="329"/>
      <c r="L28" s="328"/>
      <c r="M28" s="328"/>
      <c r="N28" s="328"/>
      <c r="O28" s="327"/>
      <c r="P28" s="327"/>
      <c r="Q28" s="327"/>
      <c r="R28" s="327"/>
      <c r="S28" s="327"/>
      <c r="T28" s="327"/>
      <c r="U28" s="327"/>
      <c r="V28" s="327"/>
      <c r="W28" s="327"/>
      <c r="X28" s="327"/>
      <c r="Y28" s="326"/>
      <c r="Z28" s="326"/>
      <c r="AA28" s="327"/>
      <c r="AB28" s="327"/>
      <c r="AC28" s="327"/>
      <c r="AD28" s="327"/>
      <c r="AE28" s="327"/>
      <c r="AF28" s="327"/>
      <c r="AG28" s="327"/>
      <c r="AH28" s="327"/>
      <c r="AI28" s="327"/>
      <c r="AJ28" s="327"/>
      <c r="AK28" s="340"/>
      <c r="AL28" s="340"/>
      <c r="AM28" s="340"/>
      <c r="AN28" s="358" t="s">
        <v>1290</v>
      </c>
      <c r="AO28" s="405" t="s">
        <v>1291</v>
      </c>
      <c r="AP28" s="354" t="s">
        <v>1289</v>
      </c>
      <c r="AQ28" s="395" t="s">
        <v>1297</v>
      </c>
      <c r="AR28" s="347">
        <v>46044</v>
      </c>
      <c r="AS28" s="327"/>
      <c r="AX28" s="327"/>
      <c r="AY28" s="327"/>
      <c r="AZ28" s="327"/>
      <c r="BA28" s="327"/>
    </row>
    <row r="29" spans="1:646" s="24" customFormat="1" ht="15" customHeight="1" x14ac:dyDescent="0.2">
      <c r="A29" s="339" t="s">
        <v>1160</v>
      </c>
      <c r="B29" s="372" t="s">
        <v>878</v>
      </c>
      <c r="C29" s="372" t="s">
        <v>88</v>
      </c>
      <c r="D29" s="351" t="s">
        <v>405</v>
      </c>
      <c r="E29" s="333" t="s">
        <v>346</v>
      </c>
      <c r="F29" s="351">
        <v>44</v>
      </c>
      <c r="G29" s="351" t="s">
        <v>183</v>
      </c>
      <c r="H29" s="330" t="s">
        <v>35</v>
      </c>
      <c r="I29" s="332"/>
      <c r="J29" s="336"/>
      <c r="K29" s="337"/>
      <c r="L29" s="336"/>
      <c r="M29" s="336"/>
      <c r="N29" s="336"/>
      <c r="O29" s="330"/>
      <c r="P29" s="330"/>
      <c r="Q29" s="330"/>
      <c r="R29" s="330"/>
      <c r="S29" s="330"/>
      <c r="T29" s="330"/>
      <c r="U29" s="330"/>
      <c r="V29" s="330"/>
      <c r="W29" s="330"/>
      <c r="X29" s="330"/>
      <c r="Y29" s="330" t="s">
        <v>1241</v>
      </c>
      <c r="Z29" s="330" t="s">
        <v>1242</v>
      </c>
      <c r="AA29" s="330"/>
      <c r="AB29" s="330"/>
      <c r="AC29" s="330"/>
      <c r="AD29" s="330"/>
      <c r="AE29" s="330"/>
      <c r="AF29" s="330"/>
      <c r="AG29" s="330"/>
      <c r="AH29" s="330"/>
      <c r="AI29" s="330"/>
      <c r="AJ29" s="330"/>
      <c r="AK29" s="330" t="s">
        <v>1260</v>
      </c>
      <c r="AL29" s="330" t="s">
        <v>1022</v>
      </c>
      <c r="AM29" s="330" t="s">
        <v>1261</v>
      </c>
      <c r="AN29" s="330" t="s">
        <v>1058</v>
      </c>
      <c r="AO29" s="330" t="s">
        <v>1059</v>
      </c>
      <c r="AP29" s="330" t="s">
        <v>1058</v>
      </c>
      <c r="AQ29" s="330" t="s">
        <v>1059</v>
      </c>
      <c r="AR29" s="330" t="s">
        <v>1131</v>
      </c>
      <c r="AS29" s="330" t="s">
        <v>1132</v>
      </c>
      <c r="AX29" s="332"/>
      <c r="AY29" s="332"/>
      <c r="AZ29" s="332"/>
      <c r="BA29" s="332"/>
    </row>
    <row r="30" spans="1:646" s="393" customFormat="1" ht="17.100000000000001" customHeight="1" x14ac:dyDescent="0.2">
      <c r="A30" s="385" t="s">
        <v>1160</v>
      </c>
      <c r="B30" s="386" t="s">
        <v>843</v>
      </c>
      <c r="C30" s="386" t="s">
        <v>187</v>
      </c>
      <c r="D30" s="387" t="s">
        <v>405</v>
      </c>
      <c r="E30" s="388" t="s">
        <v>347</v>
      </c>
      <c r="F30" s="387">
        <v>56</v>
      </c>
      <c r="G30" s="387" t="s">
        <v>183</v>
      </c>
      <c r="H30" s="389" t="s">
        <v>35</v>
      </c>
      <c r="I30" s="390"/>
      <c r="J30" s="391"/>
      <c r="K30" s="392"/>
      <c r="L30" s="391"/>
      <c r="M30" s="391"/>
      <c r="N30" s="391"/>
      <c r="O30" s="389"/>
      <c r="P30" s="389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 t="s">
        <v>1310</v>
      </c>
      <c r="AB30" s="389" t="s">
        <v>1135</v>
      </c>
      <c r="AC30" s="389"/>
      <c r="AD30" s="389"/>
      <c r="AE30" s="389"/>
      <c r="AF30" s="389"/>
      <c r="AG30" s="389"/>
      <c r="AH30" s="389"/>
      <c r="AI30" s="389"/>
      <c r="AJ30" s="389"/>
      <c r="AK30" s="389" t="s">
        <v>1265</v>
      </c>
      <c r="AL30" s="389" t="s">
        <v>1022</v>
      </c>
      <c r="AM30" s="389" t="s">
        <v>1266</v>
      </c>
      <c r="AN30" s="389" t="s">
        <v>1310</v>
      </c>
      <c r="AO30" s="389" t="s">
        <v>1135</v>
      </c>
      <c r="AP30" s="389" t="s">
        <v>1067</v>
      </c>
      <c r="AQ30" s="389" t="s">
        <v>1068</v>
      </c>
      <c r="AR30" s="394" t="s">
        <v>1051</v>
      </c>
      <c r="AS30" s="389" t="s">
        <v>1052</v>
      </c>
      <c r="AX30" s="390"/>
      <c r="AY30" s="390"/>
      <c r="AZ30" s="390"/>
      <c r="BA30" s="390"/>
    </row>
    <row r="31" spans="1:646" s="393" customFormat="1" ht="15" customHeight="1" x14ac:dyDescent="0.2">
      <c r="A31" s="385" t="s">
        <v>1160</v>
      </c>
      <c r="B31" s="386" t="s">
        <v>811</v>
      </c>
      <c r="C31" s="386" t="s">
        <v>89</v>
      </c>
      <c r="D31" s="387" t="s">
        <v>405</v>
      </c>
      <c r="E31" s="388" t="s">
        <v>350</v>
      </c>
      <c r="F31" s="387">
        <v>42</v>
      </c>
      <c r="G31" s="387" t="s">
        <v>183</v>
      </c>
      <c r="H31" s="389" t="s">
        <v>35</v>
      </c>
      <c r="I31" s="390"/>
      <c r="J31" s="391"/>
      <c r="K31" s="392"/>
      <c r="L31" s="391"/>
      <c r="M31" s="391"/>
      <c r="N31" s="391"/>
      <c r="O31" s="389"/>
      <c r="P31" s="389"/>
      <c r="Q31" s="389" t="s">
        <v>1241</v>
      </c>
      <c r="R31" s="389" t="s">
        <v>1242</v>
      </c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 t="s">
        <v>959</v>
      </c>
      <c r="AL31" s="389" t="s">
        <v>1022</v>
      </c>
      <c r="AM31" s="389" t="s">
        <v>958</v>
      </c>
      <c r="AN31" s="389" t="s">
        <v>1147</v>
      </c>
      <c r="AO31" s="389" t="s">
        <v>1146</v>
      </c>
      <c r="AP31" s="389" t="s">
        <v>1147</v>
      </c>
      <c r="AQ31" s="389" t="s">
        <v>1146</v>
      </c>
      <c r="AR31" s="421" t="s">
        <v>1126</v>
      </c>
      <c r="AS31" s="389" t="s">
        <v>1127</v>
      </c>
      <c r="AX31" s="390"/>
      <c r="AY31" s="390"/>
      <c r="AZ31" s="390"/>
      <c r="BA31" s="390"/>
    </row>
    <row r="32" spans="1:646" s="23" customFormat="1" ht="15" customHeight="1" x14ac:dyDescent="0.2">
      <c r="A32" s="339" t="s">
        <v>1160</v>
      </c>
      <c r="B32" s="372" t="s">
        <v>870</v>
      </c>
      <c r="C32" s="372" t="s">
        <v>90</v>
      </c>
      <c r="D32" s="340" t="s">
        <v>405</v>
      </c>
      <c r="E32" s="334" t="s">
        <v>351</v>
      </c>
      <c r="F32" s="340">
        <v>52</v>
      </c>
      <c r="G32" s="340" t="s">
        <v>1412</v>
      </c>
      <c r="H32" s="340" t="s">
        <v>35</v>
      </c>
      <c r="I32" s="327"/>
      <c r="J32" s="328"/>
      <c r="K32" s="329"/>
      <c r="L32" s="328"/>
      <c r="M32" s="328"/>
      <c r="N32" s="328"/>
      <c r="O32" s="330"/>
      <c r="P32" s="330"/>
      <c r="Q32" s="354" t="s">
        <v>1241</v>
      </c>
      <c r="R32" s="395" t="s">
        <v>1242</v>
      </c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54" t="s">
        <v>1271</v>
      </c>
      <c r="AL32" s="354" t="s">
        <v>1023</v>
      </c>
      <c r="AM32" s="395" t="s">
        <v>1272</v>
      </c>
      <c r="AN32" s="344" t="s">
        <v>1090</v>
      </c>
      <c r="AO32" s="344" t="s">
        <v>1091</v>
      </c>
      <c r="AP32" s="330" t="s">
        <v>1090</v>
      </c>
      <c r="AQ32" s="330" t="s">
        <v>1091</v>
      </c>
      <c r="AR32" s="344" t="s">
        <v>1046</v>
      </c>
      <c r="AS32" s="330" t="s">
        <v>1047</v>
      </c>
      <c r="AX32" s="332"/>
      <c r="AY32" s="332"/>
      <c r="AZ32" s="332"/>
      <c r="BA32" s="332"/>
      <c r="BD32" s="24"/>
      <c r="BE32" s="24"/>
      <c r="BF32" s="24"/>
      <c r="BG32" s="24"/>
      <c r="BH32" s="24"/>
      <c r="BI32" s="24"/>
      <c r="BJ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4"/>
      <c r="DV32" s="24"/>
      <c r="DW32" s="24"/>
      <c r="DX32" s="24"/>
      <c r="DY32" s="24"/>
      <c r="DZ32" s="24"/>
      <c r="EA32" s="24"/>
      <c r="EB32" s="24"/>
      <c r="EC32" s="24"/>
      <c r="ED32" s="24"/>
      <c r="EE32" s="24"/>
      <c r="EF32" s="24"/>
      <c r="EG32" s="24"/>
      <c r="EH32" s="24"/>
      <c r="EI32" s="24"/>
      <c r="EJ32" s="24"/>
      <c r="EK32" s="24"/>
      <c r="EL32" s="24"/>
      <c r="EM32" s="24"/>
      <c r="EN32" s="24"/>
      <c r="EO32" s="24"/>
      <c r="EP32" s="24"/>
      <c r="EQ32" s="24"/>
      <c r="ER32" s="24"/>
      <c r="ES32" s="24"/>
      <c r="ET32" s="24"/>
      <c r="EU32" s="24"/>
      <c r="EV32" s="24"/>
      <c r="EW32" s="24"/>
      <c r="EX32" s="24"/>
      <c r="EY32" s="24"/>
      <c r="EZ32" s="24"/>
      <c r="FA32" s="24"/>
      <c r="FB32" s="24"/>
      <c r="FC32" s="24"/>
      <c r="FD32" s="24"/>
      <c r="FE32" s="24"/>
      <c r="FF32" s="24"/>
      <c r="FG32" s="24"/>
      <c r="FH32" s="24"/>
      <c r="FI32" s="24"/>
      <c r="FJ32" s="24"/>
      <c r="FK32" s="24"/>
      <c r="FL32" s="24"/>
      <c r="FM32" s="24"/>
      <c r="FN32" s="24"/>
      <c r="FO32" s="24"/>
      <c r="FP32" s="24"/>
      <c r="FQ32" s="24"/>
      <c r="FR32" s="24"/>
      <c r="FS32" s="24"/>
      <c r="FT32" s="24"/>
      <c r="FU32" s="24"/>
      <c r="FV32" s="24"/>
      <c r="FW32" s="24"/>
      <c r="FX32" s="24"/>
      <c r="FY32" s="24"/>
      <c r="FZ32" s="24"/>
      <c r="GA32" s="24"/>
      <c r="GB32" s="24"/>
      <c r="GC32" s="24"/>
      <c r="GD32" s="24"/>
      <c r="GE32" s="24"/>
      <c r="GF32" s="24"/>
      <c r="GG32" s="24"/>
      <c r="GH32" s="24"/>
      <c r="GI32" s="24"/>
      <c r="GJ32" s="24"/>
      <c r="GK32" s="24"/>
      <c r="GL32" s="24"/>
      <c r="GM32" s="24"/>
      <c r="GN32" s="24"/>
      <c r="GO32" s="24"/>
      <c r="GP32" s="24"/>
      <c r="GQ32" s="24"/>
      <c r="GR32" s="24"/>
      <c r="GS32" s="24"/>
      <c r="GT32" s="24"/>
      <c r="GU32" s="24"/>
      <c r="GV32" s="24"/>
      <c r="GW32" s="24"/>
      <c r="GX32" s="24"/>
      <c r="GY32" s="24"/>
      <c r="GZ32" s="24"/>
      <c r="HA32" s="24"/>
      <c r="HB32" s="24"/>
      <c r="HC32" s="24"/>
      <c r="HD32" s="24"/>
      <c r="HE32" s="24"/>
      <c r="HF32" s="24"/>
      <c r="HG32" s="24"/>
      <c r="HH32" s="24"/>
      <c r="HI32" s="24"/>
      <c r="HJ32" s="24"/>
      <c r="HK32" s="24"/>
      <c r="HL32" s="24"/>
      <c r="HM32" s="24"/>
      <c r="HN32" s="24"/>
      <c r="HO32" s="24"/>
      <c r="HP32" s="24"/>
      <c r="HQ32" s="24"/>
      <c r="HR32" s="24"/>
      <c r="HS32" s="24"/>
      <c r="HT32" s="24"/>
      <c r="HU32" s="24"/>
      <c r="HV32" s="24"/>
      <c r="HW32" s="24"/>
      <c r="HX32" s="24"/>
      <c r="HY32" s="24"/>
      <c r="HZ32" s="24"/>
      <c r="IA32" s="24"/>
      <c r="IB32" s="24"/>
      <c r="IC32" s="24"/>
      <c r="ID32" s="24"/>
      <c r="IE32" s="24"/>
      <c r="IF32" s="24"/>
      <c r="IG32" s="24"/>
      <c r="IH32" s="24"/>
      <c r="II32" s="24"/>
      <c r="IJ32" s="24"/>
      <c r="IK32" s="24"/>
      <c r="IL32" s="24"/>
      <c r="IM32" s="24"/>
      <c r="IN32" s="24"/>
      <c r="IO32" s="24"/>
      <c r="IP32" s="24"/>
      <c r="IQ32" s="24"/>
      <c r="IR32" s="24"/>
      <c r="IS32" s="24"/>
      <c r="IT32" s="24"/>
      <c r="IU32" s="24"/>
      <c r="IV32" s="24"/>
      <c r="IW32" s="24"/>
      <c r="IX32" s="24"/>
      <c r="IY32" s="24"/>
      <c r="IZ32" s="24"/>
      <c r="JA32" s="24"/>
      <c r="JB32" s="24"/>
      <c r="JC32" s="24"/>
      <c r="JD32" s="24"/>
      <c r="JE32" s="24"/>
      <c r="JF32" s="24"/>
      <c r="JG32" s="24"/>
      <c r="JH32" s="24"/>
      <c r="JI32" s="24"/>
      <c r="JJ32" s="24"/>
      <c r="JK32" s="24"/>
      <c r="JL32" s="24"/>
      <c r="JM32" s="24"/>
      <c r="JN32" s="24"/>
      <c r="JO32" s="24"/>
      <c r="JP32" s="24"/>
      <c r="JQ32" s="24"/>
      <c r="JR32" s="24"/>
      <c r="JS32" s="24"/>
      <c r="JT32" s="24"/>
      <c r="JU32" s="24"/>
      <c r="JV32" s="24"/>
      <c r="JW32" s="24"/>
      <c r="JX32" s="24"/>
      <c r="JY32" s="24"/>
      <c r="JZ32" s="24"/>
      <c r="KA32" s="24"/>
      <c r="KB32" s="24"/>
      <c r="KC32" s="24"/>
      <c r="KD32" s="24"/>
      <c r="KE32" s="24"/>
      <c r="KF32" s="24"/>
      <c r="KG32" s="24"/>
      <c r="KH32" s="24"/>
      <c r="KI32" s="24"/>
      <c r="KJ32" s="24"/>
      <c r="KK32" s="24"/>
      <c r="KL32" s="24"/>
      <c r="KM32" s="24"/>
      <c r="KN32" s="24"/>
      <c r="KO32" s="24"/>
      <c r="KP32" s="24"/>
      <c r="KQ32" s="24"/>
      <c r="KR32" s="24"/>
      <c r="KS32" s="24"/>
      <c r="KT32" s="24"/>
      <c r="KU32" s="24"/>
      <c r="KV32" s="24"/>
      <c r="KW32" s="24"/>
      <c r="KX32" s="24"/>
      <c r="KY32" s="24"/>
      <c r="KZ32" s="24"/>
      <c r="LA32" s="24"/>
      <c r="LB32" s="24"/>
      <c r="LC32" s="24"/>
      <c r="LD32" s="24"/>
      <c r="LE32" s="24"/>
      <c r="LF32" s="24"/>
      <c r="LG32" s="24"/>
      <c r="LH32" s="24"/>
      <c r="LI32" s="24"/>
      <c r="LJ32" s="24"/>
      <c r="LK32" s="24"/>
      <c r="LL32" s="24"/>
      <c r="LM32" s="24"/>
      <c r="LN32" s="24"/>
      <c r="LO32" s="24"/>
      <c r="LP32" s="24"/>
      <c r="LQ32" s="24"/>
      <c r="LR32" s="24"/>
      <c r="LS32" s="24"/>
      <c r="LT32" s="24"/>
      <c r="LU32" s="24"/>
      <c r="LV32" s="24"/>
      <c r="LW32" s="24"/>
      <c r="LX32" s="24"/>
      <c r="LY32" s="24"/>
      <c r="LZ32" s="24"/>
      <c r="MA32" s="24"/>
      <c r="MB32" s="24"/>
      <c r="MC32" s="24"/>
      <c r="MD32" s="24"/>
      <c r="ME32" s="24"/>
      <c r="MF32" s="24"/>
      <c r="MG32" s="24"/>
      <c r="MH32" s="24"/>
      <c r="MI32" s="24"/>
      <c r="MJ32" s="24"/>
      <c r="MK32" s="24"/>
      <c r="ML32" s="24"/>
      <c r="MM32" s="24"/>
      <c r="MN32" s="24"/>
      <c r="MO32" s="24"/>
      <c r="MP32" s="24"/>
      <c r="MQ32" s="24"/>
      <c r="MR32" s="24"/>
      <c r="MS32" s="24"/>
      <c r="MT32" s="24"/>
      <c r="MU32" s="24"/>
      <c r="MV32" s="24"/>
      <c r="MW32" s="24"/>
      <c r="MX32" s="24"/>
      <c r="MY32" s="24"/>
      <c r="MZ32" s="24"/>
      <c r="NA32" s="24"/>
      <c r="NB32" s="24"/>
      <c r="NC32" s="24"/>
      <c r="ND32" s="24"/>
      <c r="NE32" s="24"/>
      <c r="NF32" s="24"/>
      <c r="NG32" s="24"/>
      <c r="NH32" s="24"/>
      <c r="NI32" s="24"/>
      <c r="NJ32" s="24"/>
      <c r="NK32" s="24"/>
      <c r="NL32" s="24"/>
      <c r="NM32" s="24"/>
      <c r="NN32" s="24"/>
      <c r="NO32" s="24"/>
      <c r="NP32" s="24"/>
      <c r="NQ32" s="24"/>
      <c r="NR32" s="24"/>
      <c r="NS32" s="24"/>
      <c r="NT32" s="24"/>
      <c r="NU32" s="24"/>
      <c r="NV32" s="24"/>
      <c r="NW32" s="24"/>
      <c r="NX32" s="24"/>
      <c r="NY32" s="24"/>
      <c r="NZ32" s="24"/>
      <c r="OA32" s="24"/>
      <c r="OB32" s="24"/>
      <c r="OC32" s="24"/>
      <c r="OD32" s="24"/>
      <c r="OE32" s="24"/>
      <c r="OF32" s="24"/>
      <c r="OG32" s="24"/>
      <c r="OH32" s="24"/>
      <c r="OI32" s="24"/>
      <c r="OJ32" s="24"/>
      <c r="OK32" s="24"/>
      <c r="OL32" s="24"/>
      <c r="OM32" s="24"/>
      <c r="ON32" s="24"/>
      <c r="OO32" s="24"/>
      <c r="OP32" s="24"/>
      <c r="OQ32" s="24"/>
      <c r="OR32" s="24"/>
      <c r="OS32" s="24"/>
      <c r="OT32" s="24"/>
      <c r="OU32" s="24"/>
      <c r="OV32" s="24"/>
      <c r="OW32" s="24"/>
      <c r="OX32" s="24"/>
      <c r="OY32" s="24"/>
      <c r="OZ32" s="24"/>
      <c r="PA32" s="24"/>
      <c r="PB32" s="24"/>
      <c r="PC32" s="24"/>
      <c r="PD32" s="24"/>
      <c r="PE32" s="24"/>
      <c r="PF32" s="24"/>
      <c r="PG32" s="24"/>
      <c r="PH32" s="24"/>
      <c r="PI32" s="24"/>
      <c r="PJ32" s="24"/>
      <c r="PK32" s="24"/>
      <c r="PL32" s="24"/>
      <c r="PM32" s="24"/>
      <c r="PN32" s="24"/>
      <c r="PO32" s="24"/>
      <c r="PP32" s="24"/>
      <c r="PQ32" s="24"/>
      <c r="PR32" s="24"/>
      <c r="PS32" s="24"/>
      <c r="PT32" s="24"/>
      <c r="PU32" s="24"/>
      <c r="PV32" s="24"/>
      <c r="PW32" s="24"/>
      <c r="PX32" s="24"/>
      <c r="PY32" s="24"/>
      <c r="PZ32" s="24"/>
      <c r="QA32" s="24"/>
      <c r="QB32" s="24"/>
      <c r="QC32" s="24"/>
      <c r="QD32" s="24"/>
      <c r="QE32" s="24"/>
      <c r="QF32" s="24"/>
      <c r="QG32" s="24"/>
      <c r="QH32" s="24"/>
      <c r="QI32" s="24"/>
      <c r="QJ32" s="24"/>
      <c r="QK32" s="24"/>
      <c r="QL32" s="24"/>
      <c r="QM32" s="24"/>
      <c r="QN32" s="24"/>
      <c r="QO32" s="24"/>
      <c r="QP32" s="24"/>
      <c r="QQ32" s="24"/>
      <c r="QR32" s="24"/>
      <c r="QS32" s="24"/>
      <c r="QT32" s="24"/>
      <c r="QU32" s="24"/>
      <c r="QV32" s="24"/>
      <c r="QW32" s="24"/>
      <c r="QX32" s="24"/>
      <c r="QY32" s="24"/>
      <c r="QZ32" s="24"/>
      <c r="RA32" s="24"/>
      <c r="RB32" s="24"/>
      <c r="RC32" s="24"/>
      <c r="RD32" s="24"/>
      <c r="RE32" s="24"/>
      <c r="RF32" s="24"/>
      <c r="RG32" s="24"/>
      <c r="RH32" s="24"/>
      <c r="RI32" s="24"/>
      <c r="RJ32" s="24"/>
      <c r="RK32" s="24"/>
      <c r="RL32" s="24"/>
      <c r="RM32" s="24"/>
      <c r="RN32" s="24"/>
      <c r="RO32" s="24"/>
      <c r="RP32" s="24"/>
      <c r="RQ32" s="24"/>
      <c r="RR32" s="24"/>
      <c r="RS32" s="24"/>
      <c r="RT32" s="24"/>
      <c r="RU32" s="24"/>
      <c r="RV32" s="24"/>
      <c r="RW32" s="24"/>
      <c r="RX32" s="24"/>
      <c r="RY32" s="24"/>
      <c r="RZ32" s="24"/>
      <c r="SA32" s="24"/>
      <c r="SB32" s="24"/>
      <c r="SC32" s="24"/>
      <c r="SD32" s="24"/>
      <c r="SE32" s="24"/>
      <c r="SF32" s="24"/>
      <c r="SG32" s="24"/>
      <c r="SH32" s="24"/>
      <c r="SI32" s="24"/>
      <c r="SJ32" s="24"/>
      <c r="SK32" s="24"/>
      <c r="SL32" s="24"/>
      <c r="SM32" s="24"/>
      <c r="SN32" s="24"/>
      <c r="SO32" s="24"/>
      <c r="SP32" s="24"/>
      <c r="SQ32" s="24"/>
      <c r="SR32" s="24"/>
      <c r="SS32" s="24"/>
      <c r="ST32" s="24"/>
      <c r="SU32" s="24"/>
      <c r="SV32" s="24"/>
      <c r="SW32" s="24"/>
      <c r="SX32" s="24"/>
      <c r="SY32" s="24"/>
      <c r="SZ32" s="24"/>
      <c r="TA32" s="24"/>
      <c r="TB32" s="24"/>
      <c r="TC32" s="24"/>
      <c r="TD32" s="24"/>
      <c r="TE32" s="24"/>
      <c r="TF32" s="24"/>
      <c r="TG32" s="24"/>
      <c r="TH32" s="24"/>
      <c r="TI32" s="24"/>
      <c r="TJ32" s="24"/>
      <c r="TK32" s="24"/>
      <c r="TL32" s="24"/>
      <c r="TM32" s="24"/>
      <c r="TN32" s="24"/>
      <c r="TO32" s="24"/>
      <c r="TP32" s="24"/>
      <c r="TQ32" s="24"/>
      <c r="TR32" s="24"/>
      <c r="TS32" s="24"/>
      <c r="TT32" s="24"/>
      <c r="TU32" s="24"/>
      <c r="TV32" s="24"/>
      <c r="TW32" s="24"/>
      <c r="TX32" s="24"/>
      <c r="TY32" s="24"/>
      <c r="TZ32" s="24"/>
      <c r="UA32" s="24"/>
      <c r="UB32" s="24"/>
      <c r="UC32" s="24"/>
      <c r="UD32" s="24"/>
      <c r="UE32" s="24"/>
      <c r="UF32" s="24"/>
      <c r="UG32" s="24"/>
      <c r="UH32" s="24"/>
      <c r="UI32" s="24"/>
      <c r="UJ32" s="24"/>
      <c r="UK32" s="24"/>
      <c r="UL32" s="24"/>
      <c r="UM32" s="24"/>
      <c r="UN32" s="24"/>
      <c r="UO32" s="24"/>
      <c r="UP32" s="24"/>
      <c r="UQ32" s="24"/>
      <c r="UR32" s="24"/>
      <c r="US32" s="24"/>
      <c r="UT32" s="24"/>
      <c r="UU32" s="24"/>
      <c r="UV32" s="24"/>
      <c r="UW32" s="24"/>
      <c r="UX32" s="24"/>
      <c r="UY32" s="24"/>
      <c r="UZ32" s="24"/>
      <c r="VA32" s="24"/>
      <c r="VB32" s="24"/>
      <c r="VC32" s="24"/>
      <c r="VD32" s="24"/>
      <c r="VE32" s="24"/>
      <c r="VF32" s="24"/>
      <c r="VG32" s="24"/>
      <c r="VH32" s="24"/>
      <c r="VI32" s="24"/>
      <c r="VJ32" s="24"/>
      <c r="VK32" s="24"/>
      <c r="VL32" s="24"/>
      <c r="VM32" s="24"/>
      <c r="VN32" s="24"/>
      <c r="VO32" s="24"/>
      <c r="VP32" s="24"/>
      <c r="VQ32" s="24"/>
      <c r="VR32" s="24"/>
      <c r="VS32" s="24"/>
      <c r="VT32" s="24"/>
      <c r="VU32" s="24"/>
      <c r="VV32" s="24"/>
      <c r="VW32" s="24"/>
      <c r="VX32" s="24"/>
      <c r="VY32" s="24"/>
      <c r="VZ32" s="24"/>
      <c r="WA32" s="24"/>
      <c r="WB32" s="24"/>
      <c r="WC32" s="24"/>
      <c r="WD32" s="24"/>
      <c r="WE32" s="24"/>
      <c r="WF32" s="24"/>
      <c r="WG32" s="24"/>
      <c r="WH32" s="24"/>
      <c r="WI32" s="24"/>
      <c r="WJ32" s="24"/>
      <c r="WK32" s="24"/>
      <c r="WL32" s="24"/>
      <c r="WM32" s="24"/>
      <c r="WN32" s="24"/>
      <c r="WO32" s="24"/>
      <c r="WP32" s="24"/>
      <c r="WQ32" s="24"/>
      <c r="WR32" s="24"/>
      <c r="WS32" s="24"/>
      <c r="WT32" s="24"/>
      <c r="WU32" s="24"/>
      <c r="WV32" s="24"/>
      <c r="WW32" s="24"/>
      <c r="WX32" s="24"/>
      <c r="WY32" s="24"/>
      <c r="WZ32" s="24"/>
      <c r="XA32" s="24"/>
      <c r="XB32" s="24"/>
      <c r="XC32" s="24"/>
      <c r="XD32" s="24"/>
      <c r="XE32" s="24"/>
      <c r="XF32" s="24"/>
      <c r="XG32" s="24"/>
      <c r="XH32" s="24"/>
      <c r="XI32" s="24"/>
      <c r="XJ32" s="24"/>
      <c r="XK32" s="24"/>
      <c r="XL32" s="24"/>
      <c r="XM32" s="24"/>
      <c r="XN32" s="24"/>
      <c r="XO32" s="24"/>
      <c r="XP32" s="24"/>
      <c r="XQ32" s="24"/>
      <c r="XR32" s="24"/>
      <c r="XS32" s="24"/>
      <c r="XT32" s="24"/>
      <c r="XU32" s="24"/>
      <c r="XV32" s="24"/>
    </row>
    <row r="33" spans="1:646" s="393" customFormat="1" ht="12.75" x14ac:dyDescent="0.2">
      <c r="A33" s="385" t="s">
        <v>1160</v>
      </c>
      <c r="B33" s="397" t="s">
        <v>1256</v>
      </c>
      <c r="C33" s="397" t="s">
        <v>1257</v>
      </c>
      <c r="D33" s="387" t="s">
        <v>1292</v>
      </c>
      <c r="E33" s="388" t="s">
        <v>1368</v>
      </c>
      <c r="F33" s="387">
        <v>37</v>
      </c>
      <c r="G33" s="387" t="s">
        <v>183</v>
      </c>
      <c r="H33" s="387" t="s">
        <v>35</v>
      </c>
      <c r="I33" s="387" t="s">
        <v>1442</v>
      </c>
      <c r="J33" s="398"/>
      <c r="K33" s="399"/>
      <c r="L33" s="398"/>
      <c r="M33" s="398"/>
      <c r="N33" s="398"/>
      <c r="O33" s="387"/>
      <c r="P33" s="387"/>
      <c r="Q33" s="387"/>
      <c r="R33" s="387"/>
      <c r="S33" s="389" t="s">
        <v>1298</v>
      </c>
      <c r="T33" s="389" t="s">
        <v>1299</v>
      </c>
      <c r="U33" s="387"/>
      <c r="V33" s="387"/>
      <c r="W33" s="387"/>
      <c r="X33" s="387"/>
      <c r="Y33" s="387"/>
      <c r="Z33" s="387"/>
      <c r="AG33" s="389" t="s">
        <v>1298</v>
      </c>
      <c r="AH33" s="389" t="s">
        <v>1299</v>
      </c>
      <c r="AN33" s="387" t="s">
        <v>1290</v>
      </c>
      <c r="AO33" s="387" t="s">
        <v>1291</v>
      </c>
      <c r="AP33" s="389" t="s">
        <v>1289</v>
      </c>
      <c r="AQ33" s="389" t="s">
        <v>1297</v>
      </c>
      <c r="AR33" s="387" t="s">
        <v>1286</v>
      </c>
      <c r="AS33" s="390"/>
      <c r="AX33" s="390"/>
      <c r="AY33" s="390"/>
      <c r="AZ33" s="390"/>
      <c r="BA33" s="390"/>
    </row>
    <row r="34" spans="1:646" s="393" customFormat="1" ht="15" customHeight="1" x14ac:dyDescent="0.2">
      <c r="A34" s="385" t="s">
        <v>1160</v>
      </c>
      <c r="B34" s="386" t="s">
        <v>812</v>
      </c>
      <c r="C34" s="386" t="s">
        <v>91</v>
      </c>
      <c r="D34" s="387" t="s">
        <v>405</v>
      </c>
      <c r="E34" s="388" t="s">
        <v>352</v>
      </c>
      <c r="F34" s="387">
        <v>61</v>
      </c>
      <c r="G34" s="387" t="s">
        <v>183</v>
      </c>
      <c r="H34" s="387" t="s">
        <v>35</v>
      </c>
      <c r="I34" s="390"/>
      <c r="J34" s="391"/>
      <c r="K34" s="392"/>
      <c r="L34" s="391"/>
      <c r="M34" s="391"/>
      <c r="N34" s="391"/>
      <c r="O34" s="390"/>
      <c r="P34" s="390"/>
      <c r="Q34" s="390"/>
      <c r="R34" s="390"/>
      <c r="S34" s="390"/>
      <c r="T34" s="390"/>
      <c r="U34" s="390"/>
      <c r="V34" s="390"/>
      <c r="W34" s="390"/>
      <c r="X34" s="390"/>
      <c r="Y34" s="389"/>
      <c r="Z34" s="389"/>
      <c r="AA34" s="389" t="s">
        <v>1051</v>
      </c>
      <c r="AB34" s="389" t="s">
        <v>1309</v>
      </c>
      <c r="AC34" s="390"/>
      <c r="AD34" s="390"/>
      <c r="AE34" s="390"/>
      <c r="AF34" s="390"/>
      <c r="AG34" s="390"/>
      <c r="AH34" s="390"/>
      <c r="AI34" s="390"/>
      <c r="AJ34" s="390"/>
      <c r="AK34" s="389" t="s">
        <v>1335</v>
      </c>
      <c r="AL34" s="389" t="s">
        <v>1022</v>
      </c>
      <c r="AM34" s="389" t="s">
        <v>1278</v>
      </c>
      <c r="AN34" s="389" t="s">
        <v>1051</v>
      </c>
      <c r="AO34" s="389" t="s">
        <v>1309</v>
      </c>
      <c r="AP34" s="389" t="s">
        <v>1090</v>
      </c>
      <c r="AQ34" s="389" t="s">
        <v>1091</v>
      </c>
      <c r="AR34" s="389" t="s">
        <v>1088</v>
      </c>
      <c r="AS34" s="389" t="s">
        <v>1089</v>
      </c>
      <c r="AX34" s="390"/>
      <c r="AY34" s="390"/>
      <c r="AZ34" s="390"/>
      <c r="BA34" s="390"/>
    </row>
    <row r="35" spans="1:646" s="24" customFormat="1" ht="12.75" x14ac:dyDescent="0.2">
      <c r="A35" s="339" t="s">
        <v>1160</v>
      </c>
      <c r="B35" s="372" t="s">
        <v>813</v>
      </c>
      <c r="C35" s="372" t="s">
        <v>93</v>
      </c>
      <c r="D35" s="351" t="s">
        <v>405</v>
      </c>
      <c r="E35" s="333" t="s">
        <v>361</v>
      </c>
      <c r="F35" s="351">
        <v>39</v>
      </c>
      <c r="G35" s="351" t="s">
        <v>183</v>
      </c>
      <c r="H35" s="351" t="s">
        <v>35</v>
      </c>
      <c r="I35" s="332"/>
      <c r="J35" s="336"/>
      <c r="K35" s="337"/>
      <c r="L35" s="336"/>
      <c r="M35" s="336"/>
      <c r="N35" s="336"/>
      <c r="O35" s="330"/>
      <c r="P35" s="330"/>
      <c r="Q35" s="330"/>
      <c r="R35" s="330"/>
      <c r="S35" s="330"/>
      <c r="T35" s="330"/>
      <c r="U35" s="330"/>
      <c r="V35" s="330"/>
      <c r="W35" s="330"/>
      <c r="X35" s="330"/>
      <c r="Y35" s="330"/>
      <c r="Z35" s="330"/>
      <c r="AA35" s="330" t="s">
        <v>1111</v>
      </c>
      <c r="AB35" s="330" t="s">
        <v>1193</v>
      </c>
      <c r="AC35" s="330"/>
      <c r="AD35" s="330"/>
      <c r="AE35" s="330"/>
      <c r="AF35" s="330"/>
      <c r="AG35" s="330"/>
      <c r="AH35" s="330"/>
      <c r="AI35" s="330"/>
      <c r="AJ35" s="330"/>
      <c r="AK35" s="330" t="s">
        <v>1267</v>
      </c>
      <c r="AL35" s="330" t="s">
        <v>1022</v>
      </c>
      <c r="AM35" s="32" t="s">
        <v>1193</v>
      </c>
      <c r="AN35" s="330" t="s">
        <v>775</v>
      </c>
      <c r="AO35" s="330" t="s">
        <v>968</v>
      </c>
      <c r="AP35" s="330" t="s">
        <v>775</v>
      </c>
      <c r="AQ35" s="330" t="s">
        <v>968</v>
      </c>
      <c r="AR35" s="32" t="s">
        <v>1040</v>
      </c>
      <c r="AS35" s="330" t="s">
        <v>1041</v>
      </c>
      <c r="AX35" s="332"/>
      <c r="AY35" s="332"/>
      <c r="AZ35" s="332"/>
      <c r="BA35" s="332"/>
    </row>
    <row r="36" spans="1:646" s="393" customFormat="1" ht="12.75" x14ac:dyDescent="0.2">
      <c r="A36" s="385" t="s">
        <v>1160</v>
      </c>
      <c r="B36" s="386" t="s">
        <v>852</v>
      </c>
      <c r="C36" s="386" t="s">
        <v>93</v>
      </c>
      <c r="D36" s="387" t="s">
        <v>405</v>
      </c>
      <c r="E36" s="388" t="s">
        <v>1356</v>
      </c>
      <c r="F36" s="387">
        <v>39</v>
      </c>
      <c r="G36" s="387" t="s">
        <v>183</v>
      </c>
      <c r="H36" s="387" t="s">
        <v>35</v>
      </c>
      <c r="I36" s="390"/>
      <c r="J36" s="391"/>
      <c r="K36" s="392"/>
      <c r="L36" s="391"/>
      <c r="M36" s="391"/>
      <c r="N36" s="391"/>
      <c r="O36" s="389"/>
      <c r="P36" s="389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 t="s">
        <v>1111</v>
      </c>
      <c r="AD36" s="389" t="s">
        <v>1193</v>
      </c>
      <c r="AE36" s="389"/>
      <c r="AF36" s="389"/>
      <c r="AG36" s="389"/>
      <c r="AH36" s="389"/>
      <c r="AI36" s="389"/>
      <c r="AJ36" s="389"/>
      <c r="AK36" s="389" t="s">
        <v>1071</v>
      </c>
      <c r="AL36" s="389" t="s">
        <v>1023</v>
      </c>
      <c r="AM36" s="394" t="s">
        <v>1268</v>
      </c>
      <c r="AN36" s="389" t="s">
        <v>841</v>
      </c>
      <c r="AO36" s="389" t="s">
        <v>978</v>
      </c>
      <c r="AP36" s="389" t="s">
        <v>841</v>
      </c>
      <c r="AQ36" s="389" t="s">
        <v>978</v>
      </c>
      <c r="AR36" s="394" t="s">
        <v>1137</v>
      </c>
      <c r="AS36" s="389" t="s">
        <v>1138</v>
      </c>
      <c r="AX36" s="390"/>
      <c r="AY36" s="390"/>
      <c r="AZ36" s="389"/>
      <c r="BA36" s="390"/>
    </row>
    <row r="37" spans="1:646" s="393" customFormat="1" ht="13.5" customHeight="1" x14ac:dyDescent="0.2">
      <c r="A37" s="401" t="s">
        <v>1160</v>
      </c>
      <c r="B37" s="386" t="s">
        <v>868</v>
      </c>
      <c r="C37" s="386" t="s">
        <v>93</v>
      </c>
      <c r="D37" s="387" t="s">
        <v>405</v>
      </c>
      <c r="E37" s="388" t="s">
        <v>1369</v>
      </c>
      <c r="F37" s="387">
        <v>45</v>
      </c>
      <c r="G37" s="387" t="s">
        <v>183</v>
      </c>
      <c r="H37" s="387" t="s">
        <v>35</v>
      </c>
      <c r="I37" s="390"/>
      <c r="J37" s="391"/>
      <c r="K37" s="392"/>
      <c r="L37" s="391"/>
      <c r="M37" s="391"/>
      <c r="N37" s="391"/>
      <c r="O37" s="389"/>
      <c r="P37" s="389"/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 t="s">
        <v>1317</v>
      </c>
      <c r="AB37" s="389" t="s">
        <v>1318</v>
      </c>
      <c r="AC37" s="389"/>
      <c r="AD37" s="389"/>
      <c r="AE37" s="389"/>
      <c r="AF37" s="389"/>
      <c r="AG37" s="389"/>
      <c r="AH37" s="389"/>
      <c r="AI37" s="389"/>
      <c r="AJ37" s="389"/>
      <c r="AK37" s="389" t="s">
        <v>1267</v>
      </c>
      <c r="AL37" s="389" t="s">
        <v>1022</v>
      </c>
      <c r="AM37" s="394" t="s">
        <v>1193</v>
      </c>
      <c r="AN37" s="389" t="s">
        <v>840</v>
      </c>
      <c r="AO37" s="389" t="s">
        <v>981</v>
      </c>
      <c r="AP37" s="389" t="s">
        <v>840</v>
      </c>
      <c r="AQ37" s="389" t="s">
        <v>981</v>
      </c>
      <c r="AR37" s="389" t="s">
        <v>935</v>
      </c>
      <c r="AS37" s="389" t="s">
        <v>936</v>
      </c>
      <c r="AX37" s="390"/>
      <c r="AY37" s="390"/>
      <c r="AZ37" s="390"/>
      <c r="BA37" s="390"/>
    </row>
    <row r="38" spans="1:646" s="393" customFormat="1" ht="15" customHeight="1" x14ac:dyDescent="0.2">
      <c r="A38" s="385" t="s">
        <v>1160</v>
      </c>
      <c r="B38" s="386" t="s">
        <v>816</v>
      </c>
      <c r="C38" s="386" t="s">
        <v>93</v>
      </c>
      <c r="D38" s="387" t="s">
        <v>405</v>
      </c>
      <c r="E38" s="388" t="s">
        <v>364</v>
      </c>
      <c r="F38" s="387">
        <v>44</v>
      </c>
      <c r="G38" s="387" t="s">
        <v>183</v>
      </c>
      <c r="H38" s="387" t="s">
        <v>35</v>
      </c>
      <c r="I38" s="390"/>
      <c r="J38" s="391"/>
      <c r="K38" s="392"/>
      <c r="L38" s="391"/>
      <c r="M38" s="391"/>
      <c r="N38" s="391"/>
      <c r="O38" s="389"/>
      <c r="P38" s="38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 t="s">
        <v>1279</v>
      </c>
      <c r="AB38" s="389" t="s">
        <v>1268</v>
      </c>
      <c r="AC38" s="389"/>
      <c r="AD38" s="389"/>
      <c r="AE38" s="389"/>
      <c r="AF38" s="389"/>
      <c r="AG38" s="389"/>
      <c r="AH38" s="389"/>
      <c r="AI38" s="389" t="s">
        <v>1248</v>
      </c>
      <c r="AJ38" s="389" t="s">
        <v>1249</v>
      </c>
      <c r="AK38" s="389" t="s">
        <v>656</v>
      </c>
      <c r="AL38" s="389" t="s">
        <v>1021</v>
      </c>
      <c r="AM38" s="422" t="s">
        <v>727</v>
      </c>
      <c r="AN38" s="389" t="s">
        <v>778</v>
      </c>
      <c r="AO38" s="389" t="s">
        <v>986</v>
      </c>
      <c r="AP38" s="389" t="s">
        <v>778</v>
      </c>
      <c r="AQ38" s="389" t="s">
        <v>986</v>
      </c>
      <c r="AR38" s="389" t="s">
        <v>1135</v>
      </c>
      <c r="AS38" s="389" t="s">
        <v>1136</v>
      </c>
      <c r="AX38" s="390"/>
      <c r="AY38" s="390"/>
      <c r="AZ38" s="390"/>
      <c r="BA38" s="390"/>
    </row>
    <row r="39" spans="1:646" s="23" customFormat="1" ht="15" customHeight="1" x14ac:dyDescent="0.2">
      <c r="A39" s="339" t="s">
        <v>1160</v>
      </c>
      <c r="B39" s="373" t="s">
        <v>815</v>
      </c>
      <c r="C39" s="373" t="s">
        <v>93</v>
      </c>
      <c r="D39" s="340" t="s">
        <v>405</v>
      </c>
      <c r="E39" s="334" t="s">
        <v>363</v>
      </c>
      <c r="F39" s="340">
        <v>45</v>
      </c>
      <c r="G39" s="340" t="s">
        <v>183</v>
      </c>
      <c r="H39" s="340" t="s">
        <v>35</v>
      </c>
      <c r="I39" s="327"/>
      <c r="J39" s="328"/>
      <c r="K39" s="329"/>
      <c r="L39" s="328"/>
      <c r="M39" s="328"/>
      <c r="N39" s="328"/>
      <c r="O39" s="330"/>
      <c r="P39" s="330"/>
      <c r="Q39" s="354" t="s">
        <v>1295</v>
      </c>
      <c r="R39" s="395" t="s">
        <v>1296</v>
      </c>
      <c r="S39" s="330"/>
      <c r="T39" s="330"/>
      <c r="U39" s="354" t="s">
        <v>1239</v>
      </c>
      <c r="V39" s="395" t="s">
        <v>1240</v>
      </c>
      <c r="W39" s="330"/>
      <c r="X39" s="330"/>
      <c r="Y39" s="330"/>
      <c r="Z39" s="330"/>
      <c r="AA39" s="330"/>
      <c r="AB39" s="330"/>
      <c r="AC39" s="330"/>
      <c r="AD39" s="330"/>
      <c r="AE39" s="330"/>
      <c r="AF39" s="330"/>
      <c r="AG39" s="330"/>
      <c r="AH39" s="330"/>
      <c r="AI39" s="330"/>
      <c r="AJ39" s="330"/>
      <c r="AK39" s="344" t="s">
        <v>942</v>
      </c>
      <c r="AL39" s="344" t="s">
        <v>1022</v>
      </c>
      <c r="AM39" s="344" t="s">
        <v>943</v>
      </c>
      <c r="AN39" s="344" t="s">
        <v>1056</v>
      </c>
      <c r="AO39" s="344" t="s">
        <v>1057</v>
      </c>
      <c r="AP39" s="330" t="s">
        <v>1056</v>
      </c>
      <c r="AQ39" s="330" t="s">
        <v>1057</v>
      </c>
      <c r="AR39" s="344" t="s">
        <v>912</v>
      </c>
      <c r="AS39" s="330" t="s">
        <v>913</v>
      </c>
      <c r="AX39" s="332"/>
      <c r="AY39" s="332"/>
      <c r="AZ39" s="330"/>
      <c r="BA39" s="332"/>
      <c r="BD39" s="24"/>
      <c r="BE39" s="24"/>
      <c r="BF39" s="24"/>
      <c r="BG39" s="24"/>
      <c r="BH39" s="24"/>
      <c r="BI39" s="24"/>
      <c r="BJ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T39" s="24"/>
      <c r="LU39" s="24"/>
      <c r="LV39" s="24"/>
      <c r="LW39" s="24"/>
      <c r="LX39" s="24"/>
      <c r="LY39" s="24"/>
      <c r="LZ39" s="24"/>
      <c r="MA39" s="24"/>
      <c r="MB39" s="24"/>
      <c r="MC39" s="24"/>
      <c r="MD39" s="24"/>
      <c r="ME39" s="24"/>
      <c r="MF39" s="24"/>
      <c r="MG39" s="24"/>
      <c r="MH39" s="24"/>
      <c r="MI39" s="24"/>
      <c r="MJ39" s="24"/>
      <c r="MK39" s="24"/>
      <c r="ML39" s="24"/>
      <c r="MM39" s="24"/>
      <c r="MN39" s="24"/>
      <c r="MO39" s="24"/>
      <c r="MP39" s="24"/>
      <c r="MQ39" s="24"/>
      <c r="MR39" s="24"/>
      <c r="MS39" s="24"/>
      <c r="MT39" s="24"/>
      <c r="MU39" s="24"/>
      <c r="MV39" s="24"/>
      <c r="MW39" s="24"/>
      <c r="MX39" s="24"/>
      <c r="MY39" s="24"/>
      <c r="MZ39" s="24"/>
      <c r="NA39" s="24"/>
      <c r="NB39" s="24"/>
      <c r="NC39" s="24"/>
      <c r="ND39" s="24"/>
      <c r="NE39" s="24"/>
      <c r="NF39" s="24"/>
      <c r="NG39" s="24"/>
      <c r="NH39" s="24"/>
      <c r="NI39" s="24"/>
      <c r="NJ39" s="24"/>
      <c r="NK39" s="24"/>
      <c r="NL39" s="24"/>
      <c r="NM39" s="24"/>
      <c r="NN39" s="24"/>
      <c r="NO39" s="24"/>
      <c r="NP39" s="24"/>
      <c r="NQ39" s="24"/>
      <c r="NR39" s="24"/>
      <c r="NS39" s="24"/>
      <c r="NT39" s="24"/>
      <c r="NU39" s="24"/>
      <c r="NV39" s="24"/>
      <c r="NW39" s="24"/>
      <c r="NX39" s="24"/>
      <c r="NY39" s="24"/>
      <c r="NZ39" s="24"/>
      <c r="OA39" s="24"/>
      <c r="OB39" s="24"/>
      <c r="OC39" s="24"/>
      <c r="OD39" s="24"/>
      <c r="OE39" s="24"/>
      <c r="OF39" s="24"/>
      <c r="OG39" s="24"/>
      <c r="OH39" s="24"/>
      <c r="OI39" s="24"/>
      <c r="OJ39" s="24"/>
      <c r="OK39" s="24"/>
      <c r="OL39" s="24"/>
      <c r="OM39" s="24"/>
      <c r="ON39" s="24"/>
      <c r="OO39" s="24"/>
      <c r="OP39" s="24"/>
      <c r="OQ39" s="24"/>
      <c r="OR39" s="24"/>
      <c r="OS39" s="24"/>
      <c r="OT39" s="24"/>
      <c r="OU39" s="24"/>
      <c r="OV39" s="24"/>
      <c r="OW39" s="24"/>
      <c r="OX39" s="24"/>
      <c r="OY39" s="24"/>
      <c r="OZ39" s="24"/>
      <c r="PA39" s="24"/>
      <c r="PB39" s="24"/>
      <c r="PC39" s="24"/>
      <c r="PD39" s="24"/>
      <c r="PE39" s="24"/>
      <c r="PF39" s="24"/>
      <c r="PG39" s="24"/>
      <c r="PH39" s="24"/>
      <c r="PI39" s="24"/>
      <c r="PJ39" s="24"/>
      <c r="PK39" s="24"/>
      <c r="PL39" s="24"/>
      <c r="PM39" s="24"/>
      <c r="PN39" s="24"/>
      <c r="PO39" s="24"/>
      <c r="PP39" s="24"/>
      <c r="PQ39" s="24"/>
      <c r="PR39" s="24"/>
      <c r="PS39" s="24"/>
      <c r="PT39" s="24"/>
      <c r="PU39" s="24"/>
      <c r="PV39" s="24"/>
      <c r="PW39" s="24"/>
      <c r="PX39" s="24"/>
      <c r="PY39" s="24"/>
      <c r="PZ39" s="24"/>
      <c r="QA39" s="24"/>
      <c r="QB39" s="24"/>
      <c r="QC39" s="24"/>
      <c r="QD39" s="24"/>
      <c r="QE39" s="24"/>
      <c r="QF39" s="24"/>
      <c r="QG39" s="24"/>
      <c r="QH39" s="24"/>
      <c r="QI39" s="24"/>
      <c r="QJ39" s="24"/>
      <c r="QK39" s="24"/>
      <c r="QL39" s="24"/>
      <c r="QM39" s="24"/>
      <c r="QN39" s="24"/>
      <c r="QO39" s="24"/>
      <c r="QP39" s="24"/>
      <c r="QQ39" s="24"/>
      <c r="QR39" s="24"/>
      <c r="QS39" s="24"/>
      <c r="QT39" s="24"/>
      <c r="QU39" s="24"/>
      <c r="QV39" s="24"/>
      <c r="QW39" s="24"/>
      <c r="QX39" s="24"/>
      <c r="QY39" s="24"/>
      <c r="QZ39" s="24"/>
      <c r="RA39" s="24"/>
      <c r="RB39" s="24"/>
      <c r="RC39" s="24"/>
      <c r="RD39" s="24"/>
      <c r="RE39" s="24"/>
      <c r="RF39" s="24"/>
      <c r="RG39" s="24"/>
      <c r="RH39" s="24"/>
      <c r="RI39" s="24"/>
      <c r="RJ39" s="24"/>
      <c r="RK39" s="24"/>
      <c r="RL39" s="24"/>
      <c r="RM39" s="24"/>
      <c r="RN39" s="24"/>
      <c r="RO39" s="24"/>
      <c r="RP39" s="24"/>
      <c r="RQ39" s="24"/>
      <c r="RR39" s="24"/>
      <c r="RS39" s="24"/>
      <c r="RT39" s="24"/>
      <c r="RU39" s="24"/>
      <c r="RV39" s="24"/>
      <c r="RW39" s="24"/>
      <c r="RX39" s="24"/>
      <c r="RY39" s="24"/>
      <c r="RZ39" s="24"/>
      <c r="SA39" s="24"/>
      <c r="SB39" s="24"/>
      <c r="SC39" s="24"/>
      <c r="SD39" s="24"/>
      <c r="SE39" s="24"/>
      <c r="SF39" s="24"/>
      <c r="SG39" s="24"/>
      <c r="SH39" s="24"/>
      <c r="SI39" s="24"/>
      <c r="SJ39" s="24"/>
      <c r="SK39" s="24"/>
      <c r="SL39" s="24"/>
      <c r="SM39" s="24"/>
      <c r="SN39" s="24"/>
      <c r="SO39" s="24"/>
      <c r="SP39" s="24"/>
      <c r="SQ39" s="24"/>
      <c r="SR39" s="24"/>
      <c r="SS39" s="24"/>
      <c r="ST39" s="24"/>
      <c r="SU39" s="24"/>
      <c r="SV39" s="24"/>
      <c r="SW39" s="24"/>
      <c r="SX39" s="24"/>
      <c r="SY39" s="24"/>
      <c r="SZ39" s="24"/>
      <c r="TA39" s="24"/>
      <c r="TB39" s="24"/>
      <c r="TC39" s="24"/>
      <c r="TD39" s="24"/>
      <c r="TE39" s="24"/>
      <c r="TF39" s="24"/>
      <c r="TG39" s="24"/>
      <c r="TH39" s="24"/>
      <c r="TI39" s="24"/>
      <c r="TJ39" s="24"/>
      <c r="TK39" s="24"/>
      <c r="TL39" s="24"/>
      <c r="TM39" s="24"/>
      <c r="TN39" s="24"/>
      <c r="TO39" s="24"/>
      <c r="TP39" s="24"/>
      <c r="TQ39" s="24"/>
      <c r="TR39" s="24"/>
      <c r="TS39" s="24"/>
      <c r="TT39" s="24"/>
      <c r="TU39" s="24"/>
      <c r="TV39" s="24"/>
      <c r="TW39" s="24"/>
      <c r="TX39" s="24"/>
      <c r="TY39" s="24"/>
      <c r="TZ39" s="24"/>
      <c r="UA39" s="24"/>
      <c r="UB39" s="24"/>
      <c r="UC39" s="24"/>
      <c r="UD39" s="24"/>
      <c r="UE39" s="24"/>
      <c r="UF39" s="24"/>
      <c r="UG39" s="24"/>
      <c r="UH39" s="24"/>
      <c r="UI39" s="24"/>
      <c r="UJ39" s="24"/>
      <c r="UK39" s="24"/>
      <c r="UL39" s="24"/>
      <c r="UM39" s="24"/>
      <c r="UN39" s="24"/>
      <c r="UO39" s="24"/>
      <c r="UP39" s="24"/>
      <c r="UQ39" s="24"/>
      <c r="UR39" s="24"/>
      <c r="US39" s="24"/>
      <c r="UT39" s="24"/>
      <c r="UU39" s="24"/>
      <c r="UV39" s="24"/>
      <c r="UW39" s="24"/>
      <c r="UX39" s="24"/>
      <c r="UY39" s="24"/>
      <c r="UZ39" s="24"/>
      <c r="VA39" s="24"/>
      <c r="VB39" s="24"/>
      <c r="VC39" s="24"/>
      <c r="VD39" s="24"/>
      <c r="VE39" s="24"/>
      <c r="VF39" s="24"/>
      <c r="VG39" s="24"/>
      <c r="VH39" s="24"/>
      <c r="VI39" s="24"/>
      <c r="VJ39" s="24"/>
      <c r="VK39" s="24"/>
      <c r="VL39" s="24"/>
      <c r="VM39" s="24"/>
      <c r="VN39" s="24"/>
      <c r="VO39" s="24"/>
      <c r="VP39" s="24"/>
      <c r="VQ39" s="24"/>
      <c r="VR39" s="24"/>
      <c r="VS39" s="24"/>
      <c r="VT39" s="24"/>
      <c r="VU39" s="24"/>
      <c r="VV39" s="24"/>
      <c r="VW39" s="24"/>
      <c r="VX39" s="24"/>
      <c r="VY39" s="24"/>
      <c r="VZ39" s="24"/>
      <c r="WA39" s="24"/>
      <c r="WB39" s="24"/>
      <c r="WC39" s="24"/>
      <c r="WD39" s="24"/>
      <c r="WE39" s="24"/>
      <c r="WF39" s="24"/>
      <c r="WG39" s="24"/>
      <c r="WH39" s="24"/>
      <c r="WI39" s="24"/>
      <c r="WJ39" s="24"/>
      <c r="WK39" s="24"/>
      <c r="WL39" s="24"/>
      <c r="WM39" s="24"/>
      <c r="WN39" s="24"/>
      <c r="WO39" s="24"/>
      <c r="WP39" s="24"/>
      <c r="WQ39" s="24"/>
      <c r="WR39" s="24"/>
      <c r="WS39" s="24"/>
      <c r="WT39" s="24"/>
      <c r="WU39" s="24"/>
      <c r="WV39" s="24"/>
      <c r="WW39" s="24"/>
      <c r="WX39" s="24"/>
      <c r="WY39" s="24"/>
      <c r="WZ39" s="24"/>
      <c r="XA39" s="24"/>
      <c r="XB39" s="24"/>
      <c r="XC39" s="24"/>
      <c r="XD39" s="24"/>
      <c r="XE39" s="24"/>
      <c r="XF39" s="24"/>
      <c r="XG39" s="24"/>
      <c r="XH39" s="24"/>
      <c r="XI39" s="24"/>
      <c r="XJ39" s="24"/>
      <c r="XK39" s="24"/>
      <c r="XL39" s="24"/>
      <c r="XM39" s="24"/>
      <c r="XN39" s="24"/>
      <c r="XO39" s="24"/>
      <c r="XP39" s="24"/>
      <c r="XQ39" s="24"/>
      <c r="XR39" s="24"/>
      <c r="XS39" s="24"/>
      <c r="XT39" s="24"/>
      <c r="XU39" s="24"/>
      <c r="XV39" s="24"/>
    </row>
    <row r="40" spans="1:646" s="393" customFormat="1" ht="17.100000000000001" customHeight="1" x14ac:dyDescent="0.2">
      <c r="A40" s="385" t="s">
        <v>1160</v>
      </c>
      <c r="B40" s="386" t="s">
        <v>819</v>
      </c>
      <c r="C40" s="386" t="s">
        <v>98</v>
      </c>
      <c r="D40" s="387" t="s">
        <v>405</v>
      </c>
      <c r="E40" s="388" t="s">
        <v>369</v>
      </c>
      <c r="F40" s="387">
        <v>44</v>
      </c>
      <c r="G40" s="387" t="s">
        <v>183</v>
      </c>
      <c r="H40" s="387" t="s">
        <v>35</v>
      </c>
      <c r="I40" s="390"/>
      <c r="J40" s="391"/>
      <c r="K40" s="392"/>
      <c r="L40" s="391"/>
      <c r="M40" s="391"/>
      <c r="N40" s="391"/>
      <c r="O40" s="389"/>
      <c r="P40" s="38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 t="s">
        <v>1244</v>
      </c>
      <c r="AJ40" s="389" t="s">
        <v>1245</v>
      </c>
      <c r="AK40" s="389" t="s">
        <v>1311</v>
      </c>
      <c r="AL40" s="389" t="s">
        <v>1022</v>
      </c>
      <c r="AM40" s="394" t="s">
        <v>1312</v>
      </c>
      <c r="AN40" s="389" t="s">
        <v>778</v>
      </c>
      <c r="AO40" s="389" t="s">
        <v>688</v>
      </c>
      <c r="AP40" s="389" t="s">
        <v>778</v>
      </c>
      <c r="AQ40" s="389" t="s">
        <v>688</v>
      </c>
      <c r="AR40" s="389" t="s">
        <v>909</v>
      </c>
      <c r="AS40" s="389" t="s">
        <v>910</v>
      </c>
      <c r="AX40" s="390"/>
      <c r="AY40" s="390"/>
      <c r="AZ40" s="390"/>
      <c r="BA40" s="390"/>
    </row>
    <row r="41" spans="1:646" s="393" customFormat="1" ht="14.1" customHeight="1" x14ac:dyDescent="0.2">
      <c r="A41" s="385" t="s">
        <v>1160</v>
      </c>
      <c r="B41" s="386" t="s">
        <v>820</v>
      </c>
      <c r="C41" s="386" t="s">
        <v>100</v>
      </c>
      <c r="D41" s="387" t="s">
        <v>405</v>
      </c>
      <c r="E41" s="388" t="s">
        <v>373</v>
      </c>
      <c r="F41" s="387">
        <v>53</v>
      </c>
      <c r="G41" s="387" t="s">
        <v>183</v>
      </c>
      <c r="H41" s="387" t="s">
        <v>35</v>
      </c>
      <c r="I41" s="390"/>
      <c r="J41" s="391"/>
      <c r="K41" s="392"/>
      <c r="L41" s="391"/>
      <c r="M41" s="391"/>
      <c r="N41" s="391"/>
      <c r="O41" s="389"/>
      <c r="P41" s="389"/>
      <c r="Q41" s="389" t="s">
        <v>1244</v>
      </c>
      <c r="R41" s="389" t="s">
        <v>1245</v>
      </c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 t="s">
        <v>1267</v>
      </c>
      <c r="AL41" s="389" t="s">
        <v>1022</v>
      </c>
      <c r="AM41" s="389" t="s">
        <v>1193</v>
      </c>
      <c r="AN41" s="389" t="s">
        <v>630</v>
      </c>
      <c r="AO41" s="389" t="s">
        <v>980</v>
      </c>
      <c r="AP41" s="389" t="s">
        <v>630</v>
      </c>
      <c r="AQ41" s="389" t="s">
        <v>980</v>
      </c>
      <c r="AR41" s="389" t="s">
        <v>983</v>
      </c>
      <c r="AS41" s="389" t="s">
        <v>930</v>
      </c>
      <c r="AX41" s="390"/>
      <c r="AY41" s="390"/>
      <c r="AZ41" s="390"/>
      <c r="BA41" s="390"/>
    </row>
    <row r="42" spans="1:646" s="393" customFormat="1" ht="17.100000000000001" customHeight="1" x14ac:dyDescent="0.2">
      <c r="A42" s="385" t="s">
        <v>1160</v>
      </c>
      <c r="B42" s="386" t="s">
        <v>872</v>
      </c>
      <c r="C42" s="386" t="s">
        <v>96</v>
      </c>
      <c r="D42" s="387" t="s">
        <v>405</v>
      </c>
      <c r="E42" s="388" t="s">
        <v>368</v>
      </c>
      <c r="F42" s="387">
        <v>50</v>
      </c>
      <c r="G42" s="387" t="s">
        <v>183</v>
      </c>
      <c r="H42" s="387" t="s">
        <v>35</v>
      </c>
      <c r="I42" s="390"/>
      <c r="J42" s="391"/>
      <c r="K42" s="392"/>
      <c r="L42" s="391"/>
      <c r="M42" s="391"/>
      <c r="N42" s="391"/>
      <c r="O42" s="389"/>
      <c r="P42" s="389"/>
      <c r="Q42" s="389"/>
      <c r="R42" s="389"/>
      <c r="S42" s="389"/>
      <c r="T42" s="389"/>
      <c r="U42" s="389" t="s">
        <v>1244</v>
      </c>
      <c r="V42" s="389" t="s">
        <v>1245</v>
      </c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K42" s="389" t="s">
        <v>1071</v>
      </c>
      <c r="AL42" s="389" t="s">
        <v>1022</v>
      </c>
      <c r="AM42" s="389" t="s">
        <v>1268</v>
      </c>
      <c r="AN42" s="389" t="s">
        <v>871</v>
      </c>
      <c r="AO42" s="389" t="s">
        <v>985</v>
      </c>
      <c r="AP42" s="389" t="s">
        <v>871</v>
      </c>
      <c r="AQ42" s="389" t="s">
        <v>979</v>
      </c>
      <c r="AR42" s="389" t="s">
        <v>922</v>
      </c>
      <c r="AS42" s="389" t="s">
        <v>923</v>
      </c>
      <c r="AX42" s="390"/>
      <c r="AY42" s="390"/>
      <c r="AZ42" s="390"/>
      <c r="BA42" s="390"/>
    </row>
    <row r="43" spans="1:646" s="24" customFormat="1" ht="17.100000000000001" customHeight="1" x14ac:dyDescent="0.2">
      <c r="A43" s="339" t="s">
        <v>1160</v>
      </c>
      <c r="B43" s="375" t="s">
        <v>144</v>
      </c>
      <c r="C43" s="375" t="s">
        <v>858</v>
      </c>
      <c r="D43" s="351" t="s">
        <v>405</v>
      </c>
      <c r="E43" s="379" t="s">
        <v>1370</v>
      </c>
      <c r="F43" s="351">
        <v>47</v>
      </c>
      <c r="G43" s="351" t="s">
        <v>183</v>
      </c>
      <c r="H43" s="351" t="s">
        <v>35</v>
      </c>
      <c r="I43" s="330"/>
      <c r="J43" s="634"/>
      <c r="K43" s="635"/>
      <c r="L43" s="634"/>
      <c r="M43" s="634"/>
      <c r="N43" s="634"/>
      <c r="O43" s="330"/>
      <c r="P43" s="330"/>
      <c r="Q43" s="330"/>
      <c r="R43" s="330"/>
      <c r="S43" s="330"/>
      <c r="T43" s="330"/>
      <c r="U43" s="330"/>
      <c r="V43" s="330"/>
      <c r="W43" s="330"/>
      <c r="X43" s="330"/>
      <c r="Y43" s="330"/>
      <c r="Z43" s="330"/>
      <c r="AA43" s="330" t="s">
        <v>1420</v>
      </c>
      <c r="AB43" s="330" t="s">
        <v>1421</v>
      </c>
      <c r="AC43" s="330"/>
      <c r="AD43" s="330"/>
      <c r="AE43" s="330"/>
      <c r="AF43" s="330"/>
      <c r="AG43" s="330"/>
      <c r="AH43" s="330"/>
      <c r="AI43" s="330"/>
      <c r="AJ43" s="330"/>
      <c r="AK43" s="330" t="s">
        <v>1071</v>
      </c>
      <c r="AL43" s="330" t="s">
        <v>1022</v>
      </c>
      <c r="AM43" s="330" t="s">
        <v>1268</v>
      </c>
      <c r="AN43" s="330" t="s">
        <v>1422</v>
      </c>
      <c r="AO43" s="330" t="s">
        <v>1423</v>
      </c>
      <c r="AP43" s="330" t="s">
        <v>775</v>
      </c>
      <c r="AQ43" s="330" t="s">
        <v>982</v>
      </c>
      <c r="AR43" s="330" t="s">
        <v>917</v>
      </c>
      <c r="AS43" s="330" t="s">
        <v>895</v>
      </c>
      <c r="AX43" s="332"/>
      <c r="AY43" s="332"/>
      <c r="AZ43" s="332"/>
      <c r="BA43" s="332"/>
    </row>
    <row r="44" spans="1:646" s="393" customFormat="1" ht="12.75" x14ac:dyDescent="0.2">
      <c r="A44" s="385" t="s">
        <v>1160</v>
      </c>
      <c r="B44" s="386" t="s">
        <v>163</v>
      </c>
      <c r="C44" s="386" t="s">
        <v>102</v>
      </c>
      <c r="D44" s="401" t="s">
        <v>405</v>
      </c>
      <c r="E44" s="417" t="s">
        <v>372</v>
      </c>
      <c r="F44" s="401">
        <v>47</v>
      </c>
      <c r="G44" s="401" t="s">
        <v>183</v>
      </c>
      <c r="H44" s="394" t="s">
        <v>35</v>
      </c>
      <c r="I44" s="418"/>
      <c r="J44" s="419"/>
      <c r="K44" s="420"/>
      <c r="L44" s="419"/>
      <c r="M44" s="419"/>
      <c r="N44" s="419"/>
      <c r="O44" s="389"/>
      <c r="P44" s="389"/>
      <c r="Q44" s="389"/>
      <c r="R44" s="389"/>
      <c r="S44" s="389"/>
      <c r="T44" s="389"/>
      <c r="U44" s="389"/>
      <c r="V44" s="389"/>
      <c r="W44" s="389" t="s">
        <v>1398</v>
      </c>
      <c r="X44" s="389" t="s">
        <v>1399</v>
      </c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94" t="s">
        <v>1265</v>
      </c>
      <c r="AL44" s="389" t="s">
        <v>1022</v>
      </c>
      <c r="AM44" s="394" t="s">
        <v>1266</v>
      </c>
      <c r="AN44" s="389" t="s">
        <v>1398</v>
      </c>
      <c r="AO44" s="389" t="s">
        <v>1399</v>
      </c>
      <c r="AP44" s="389" t="s">
        <v>1148</v>
      </c>
      <c r="AQ44" s="389" t="s">
        <v>1131</v>
      </c>
      <c r="AR44" s="389" t="s">
        <v>929</v>
      </c>
      <c r="AS44" s="389" t="s">
        <v>1012</v>
      </c>
      <c r="AX44" s="390"/>
      <c r="AY44" s="390"/>
      <c r="AZ44" s="390"/>
      <c r="BA44" s="390"/>
    </row>
    <row r="45" spans="1:646" s="393" customFormat="1" ht="17.100000000000001" customHeight="1" x14ac:dyDescent="0.2">
      <c r="A45" s="385" t="s">
        <v>1160</v>
      </c>
      <c r="B45" s="386" t="s">
        <v>891</v>
      </c>
      <c r="C45" s="386" t="s">
        <v>104</v>
      </c>
      <c r="D45" s="387" t="s">
        <v>405</v>
      </c>
      <c r="E45" s="388" t="s">
        <v>376</v>
      </c>
      <c r="F45" s="387">
        <v>48</v>
      </c>
      <c r="G45" s="387" t="s">
        <v>183</v>
      </c>
      <c r="H45" s="389" t="s">
        <v>35</v>
      </c>
      <c r="I45" s="390"/>
      <c r="J45" s="391"/>
      <c r="K45" s="392"/>
      <c r="L45" s="391"/>
      <c r="M45" s="391"/>
      <c r="N45" s="391"/>
      <c r="O45" s="389"/>
      <c r="P45" s="389"/>
      <c r="Q45" s="389" t="s">
        <v>1277</v>
      </c>
      <c r="R45" s="389" t="s">
        <v>1278</v>
      </c>
      <c r="S45" s="389"/>
      <c r="T45" s="389"/>
      <c r="U45" s="389"/>
      <c r="V45" s="389"/>
      <c r="W45" s="389"/>
      <c r="X45" s="389"/>
      <c r="Y45" s="389"/>
      <c r="Z45" s="389"/>
      <c r="AA45" s="389" t="s">
        <v>1241</v>
      </c>
      <c r="AB45" s="389" t="s">
        <v>1242</v>
      </c>
      <c r="AC45" s="389"/>
      <c r="AD45" s="389"/>
      <c r="AE45" s="389"/>
      <c r="AF45" s="389"/>
      <c r="AG45" s="389"/>
      <c r="AH45" s="389"/>
      <c r="AI45" s="389"/>
      <c r="AJ45" s="389"/>
      <c r="AK45" s="389" t="s">
        <v>1260</v>
      </c>
      <c r="AL45" s="389" t="s">
        <v>1022</v>
      </c>
      <c r="AM45" s="389" t="s">
        <v>1261</v>
      </c>
      <c r="AN45" s="389" t="s">
        <v>1277</v>
      </c>
      <c r="AO45" s="389" t="s">
        <v>1278</v>
      </c>
      <c r="AP45" s="389" t="s">
        <v>991</v>
      </c>
      <c r="AQ45" s="389" t="s">
        <v>990</v>
      </c>
      <c r="AR45" s="389" t="s">
        <v>1084</v>
      </c>
      <c r="AS45" s="389" t="s">
        <v>1130</v>
      </c>
      <c r="AX45" s="389"/>
      <c r="AY45" s="389"/>
      <c r="AZ45" s="389"/>
      <c r="BA45" s="389"/>
    </row>
    <row r="46" spans="1:646" s="393" customFormat="1" ht="15" customHeight="1" x14ac:dyDescent="0.2">
      <c r="A46" s="385" t="s">
        <v>1160</v>
      </c>
      <c r="B46" s="386" t="s">
        <v>1439</v>
      </c>
      <c r="C46" s="386" t="s">
        <v>234</v>
      </c>
      <c r="D46" s="387" t="s">
        <v>405</v>
      </c>
      <c r="E46" s="388" t="s">
        <v>401</v>
      </c>
      <c r="F46" s="387">
        <v>45</v>
      </c>
      <c r="G46" s="387" t="s">
        <v>183</v>
      </c>
      <c r="H46" s="389" t="s">
        <v>35</v>
      </c>
      <c r="I46" s="390"/>
      <c r="J46" s="391"/>
      <c r="K46" s="392"/>
      <c r="L46" s="391"/>
      <c r="M46" s="391"/>
      <c r="N46" s="391"/>
      <c r="O46" s="389"/>
      <c r="P46" s="389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 t="s">
        <v>1295</v>
      </c>
      <c r="AB46" s="389" t="s">
        <v>1296</v>
      </c>
      <c r="AC46" s="389"/>
      <c r="AD46" s="389"/>
      <c r="AE46" s="389"/>
      <c r="AF46" s="389"/>
      <c r="AG46" s="389"/>
      <c r="AH46" s="389"/>
      <c r="AI46" s="389"/>
      <c r="AJ46" s="389"/>
      <c r="AK46" s="389" t="s">
        <v>1336</v>
      </c>
      <c r="AL46" s="389" t="s">
        <v>1022</v>
      </c>
      <c r="AM46" s="389" t="s">
        <v>1337</v>
      </c>
      <c r="AN46" s="389" t="s">
        <v>775</v>
      </c>
      <c r="AO46" s="389" t="s">
        <v>982</v>
      </c>
      <c r="AP46" s="389" t="s">
        <v>775</v>
      </c>
      <c r="AQ46" s="389" t="s">
        <v>982</v>
      </c>
      <c r="AR46" s="394" t="s">
        <v>924</v>
      </c>
      <c r="AS46" s="389" t="s">
        <v>925</v>
      </c>
      <c r="AX46" s="390"/>
      <c r="AY46" s="390"/>
      <c r="AZ46" s="390"/>
      <c r="BA46" s="390"/>
    </row>
    <row r="47" spans="1:646" s="24" customFormat="1" ht="17.100000000000001" customHeight="1" x14ac:dyDescent="0.2">
      <c r="A47" s="339" t="s">
        <v>1160</v>
      </c>
      <c r="B47" s="374" t="s">
        <v>197</v>
      </c>
      <c r="C47" s="374" t="s">
        <v>108</v>
      </c>
      <c r="D47" s="351" t="s">
        <v>405</v>
      </c>
      <c r="E47" s="334" t="s">
        <v>380</v>
      </c>
      <c r="F47" s="340">
        <v>52</v>
      </c>
      <c r="G47" s="280" t="s">
        <v>183</v>
      </c>
      <c r="H47" s="327" t="s">
        <v>35</v>
      </c>
      <c r="I47" s="327"/>
      <c r="J47" s="328"/>
      <c r="K47" s="329"/>
      <c r="L47" s="328"/>
      <c r="M47" s="328"/>
      <c r="N47" s="328"/>
      <c r="O47" s="330"/>
      <c r="P47" s="330"/>
      <c r="Q47" s="330"/>
      <c r="R47" s="330"/>
      <c r="S47" s="330"/>
      <c r="T47" s="330"/>
      <c r="U47" s="330"/>
      <c r="V47" s="330"/>
      <c r="W47" s="330"/>
      <c r="X47" s="330"/>
      <c r="Y47" s="395" t="s">
        <v>1241</v>
      </c>
      <c r="Z47" s="354" t="s">
        <v>1242</v>
      </c>
      <c r="AA47" s="330"/>
      <c r="AB47" s="330"/>
      <c r="AC47" s="330"/>
      <c r="AD47" s="330"/>
      <c r="AE47" s="330"/>
      <c r="AF47" s="330"/>
      <c r="AG47" s="330"/>
      <c r="AH47" s="330"/>
      <c r="AI47" s="330"/>
      <c r="AJ47" s="330"/>
      <c r="AK47" s="354" t="s">
        <v>1311</v>
      </c>
      <c r="AL47" s="354" t="s">
        <v>1022</v>
      </c>
      <c r="AM47" s="395" t="s">
        <v>1321</v>
      </c>
      <c r="AN47" s="344" t="s">
        <v>1055</v>
      </c>
      <c r="AO47" s="344" t="s">
        <v>1000</v>
      </c>
      <c r="AP47" s="330" t="s">
        <v>1055</v>
      </c>
      <c r="AQ47" s="330" t="s">
        <v>1000</v>
      </c>
      <c r="AR47" s="330" t="s">
        <v>1080</v>
      </c>
      <c r="AS47" s="330" t="s">
        <v>1079</v>
      </c>
      <c r="AX47" s="332"/>
      <c r="AY47" s="332"/>
      <c r="AZ47" s="332"/>
      <c r="BA47" s="332"/>
    </row>
    <row r="48" spans="1:646" s="393" customFormat="1" ht="17.25" customHeight="1" x14ac:dyDescent="0.2">
      <c r="A48" s="385" t="s">
        <v>1160</v>
      </c>
      <c r="B48" s="386" t="s">
        <v>883</v>
      </c>
      <c r="C48" s="386" t="s">
        <v>126</v>
      </c>
      <c r="D48" s="387" t="s">
        <v>405</v>
      </c>
      <c r="E48" s="388" t="s">
        <v>1371</v>
      </c>
      <c r="F48" s="387">
        <v>35</v>
      </c>
      <c r="G48" s="387" t="s">
        <v>183</v>
      </c>
      <c r="H48" s="389" t="s">
        <v>35</v>
      </c>
      <c r="I48" s="390"/>
      <c r="J48" s="391"/>
      <c r="K48" s="392"/>
      <c r="L48" s="391"/>
      <c r="M48" s="391"/>
      <c r="N48" s="391"/>
      <c r="O48" s="389"/>
      <c r="P48" s="389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 t="s">
        <v>1267</v>
      </c>
      <c r="AL48" s="389" t="s">
        <v>1022</v>
      </c>
      <c r="AM48" s="389" t="s">
        <v>1193</v>
      </c>
      <c r="AN48" s="389" t="s">
        <v>1055</v>
      </c>
      <c r="AO48" s="389" t="s">
        <v>1000</v>
      </c>
      <c r="AP48" s="389" t="s">
        <v>1055</v>
      </c>
      <c r="AQ48" s="389" t="s">
        <v>1000</v>
      </c>
      <c r="AR48" s="394" t="s">
        <v>1044</v>
      </c>
      <c r="AS48" s="389" t="s">
        <v>1045</v>
      </c>
      <c r="AX48" s="390"/>
      <c r="AY48" s="390"/>
      <c r="AZ48" s="390"/>
      <c r="BA48" s="390"/>
    </row>
    <row r="49" spans="1:646" s="393" customFormat="1" ht="17.100000000000001" customHeight="1" x14ac:dyDescent="0.2">
      <c r="A49" s="385" t="s">
        <v>1160</v>
      </c>
      <c r="B49" s="400" t="s">
        <v>825</v>
      </c>
      <c r="C49" s="400" t="s">
        <v>126</v>
      </c>
      <c r="D49" s="387" t="s">
        <v>405</v>
      </c>
      <c r="E49" s="388" t="s">
        <v>381</v>
      </c>
      <c r="F49" s="387">
        <v>42</v>
      </c>
      <c r="G49" s="387" t="s">
        <v>183</v>
      </c>
      <c r="H49" s="389" t="s">
        <v>35</v>
      </c>
      <c r="I49" s="390"/>
      <c r="J49" s="391"/>
      <c r="K49" s="392"/>
      <c r="L49" s="391"/>
      <c r="M49" s="391"/>
      <c r="N49" s="391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 t="s">
        <v>1051</v>
      </c>
      <c r="AB49" s="389" t="s">
        <v>1309</v>
      </c>
      <c r="AC49" s="389"/>
      <c r="AD49" s="389"/>
      <c r="AE49" s="389"/>
      <c r="AF49" s="389"/>
      <c r="AG49" s="389"/>
      <c r="AH49" s="389"/>
      <c r="AI49" s="389"/>
      <c r="AJ49" s="389"/>
      <c r="AK49" s="389" t="s">
        <v>1263</v>
      </c>
      <c r="AL49" s="389" t="s">
        <v>1022</v>
      </c>
      <c r="AM49" s="389" t="s">
        <v>1264</v>
      </c>
      <c r="AN49" s="389" t="s">
        <v>1067</v>
      </c>
      <c r="AO49" s="389" t="s">
        <v>1068</v>
      </c>
      <c r="AP49" s="389" t="s">
        <v>1067</v>
      </c>
      <c r="AQ49" s="389" t="s">
        <v>1068</v>
      </c>
      <c r="AR49" s="394" t="s">
        <v>1053</v>
      </c>
      <c r="AS49" s="389" t="s">
        <v>1054</v>
      </c>
      <c r="AX49" s="390"/>
      <c r="AY49" s="390"/>
      <c r="AZ49" s="390"/>
      <c r="BA49" s="390"/>
    </row>
    <row r="50" spans="1:646" s="23" customFormat="1" ht="17.100000000000001" customHeight="1" x14ac:dyDescent="0.2">
      <c r="A50" s="339" t="s">
        <v>1160</v>
      </c>
      <c r="B50" s="373" t="s">
        <v>275</v>
      </c>
      <c r="C50" s="373" t="s">
        <v>123</v>
      </c>
      <c r="D50" s="340" t="s">
        <v>405</v>
      </c>
      <c r="E50" s="334" t="s">
        <v>276</v>
      </c>
      <c r="F50" s="340">
        <v>56</v>
      </c>
      <c r="G50" s="340" t="s">
        <v>183</v>
      </c>
      <c r="H50" s="326" t="s">
        <v>35</v>
      </c>
      <c r="I50" s="327"/>
      <c r="J50" s="328"/>
      <c r="K50" s="329"/>
      <c r="L50" s="328"/>
      <c r="M50" s="328"/>
      <c r="N50" s="328"/>
      <c r="O50" s="330"/>
      <c r="P50" s="330"/>
      <c r="Q50" s="330"/>
      <c r="R50" s="330"/>
      <c r="S50" s="330"/>
      <c r="T50" s="330"/>
      <c r="U50" s="330"/>
      <c r="V50" s="330"/>
      <c r="W50" s="330"/>
      <c r="X50" s="330"/>
      <c r="Y50" s="395" t="s">
        <v>648</v>
      </c>
      <c r="Z50" s="354" t="s">
        <v>648</v>
      </c>
      <c r="AA50" s="330"/>
      <c r="AB50" s="330"/>
      <c r="AC50" s="330"/>
      <c r="AD50" s="330"/>
      <c r="AE50" s="330"/>
      <c r="AF50" s="330"/>
      <c r="AG50" s="330"/>
      <c r="AH50" s="330"/>
      <c r="AI50" s="330"/>
      <c r="AJ50" s="330"/>
      <c r="AK50" s="354" t="s">
        <v>1311</v>
      </c>
      <c r="AL50" s="354" t="s">
        <v>1022</v>
      </c>
      <c r="AM50" s="406" t="s">
        <v>1312</v>
      </c>
      <c r="AN50" s="354" t="s">
        <v>1406</v>
      </c>
      <c r="AO50" s="395" t="s">
        <v>1407</v>
      </c>
      <c r="AP50" s="330" t="s">
        <v>840</v>
      </c>
      <c r="AQ50" s="330" t="s">
        <v>981</v>
      </c>
      <c r="AR50" s="330" t="s">
        <v>1082</v>
      </c>
      <c r="AS50" s="330" t="s">
        <v>1083</v>
      </c>
      <c r="AX50" s="332"/>
      <c r="AY50" s="332"/>
      <c r="AZ50" s="332"/>
      <c r="BA50" s="332"/>
      <c r="BD50" s="24"/>
      <c r="BE50" s="24"/>
      <c r="BF50" s="24"/>
      <c r="BG50" s="24"/>
      <c r="BH50" s="24"/>
      <c r="BI50" s="24"/>
      <c r="BJ50" s="24"/>
    </row>
    <row r="51" spans="1:646" s="23" customFormat="1" ht="15" customHeight="1" x14ac:dyDescent="0.2">
      <c r="A51" s="339" t="s">
        <v>1160</v>
      </c>
      <c r="B51" s="374" t="s">
        <v>1243</v>
      </c>
      <c r="C51" s="374" t="s">
        <v>123</v>
      </c>
      <c r="D51" s="351" t="s">
        <v>405</v>
      </c>
      <c r="E51" s="334" t="s">
        <v>403</v>
      </c>
      <c r="F51" s="340">
        <v>47</v>
      </c>
      <c r="G51" s="280" t="s">
        <v>183</v>
      </c>
      <c r="H51" s="327" t="s">
        <v>35</v>
      </c>
      <c r="I51" s="327"/>
      <c r="J51" s="328"/>
      <c r="K51" s="329"/>
      <c r="L51" s="328"/>
      <c r="M51" s="328"/>
      <c r="N51" s="328"/>
      <c r="O51" s="330"/>
      <c r="P51" s="330"/>
      <c r="Q51" s="330"/>
      <c r="R51" s="330"/>
      <c r="S51" s="330"/>
      <c r="T51" s="330"/>
      <c r="U51" s="330"/>
      <c r="V51" s="330"/>
      <c r="W51" s="330"/>
      <c r="X51" s="330"/>
      <c r="Y51" s="330"/>
      <c r="Z51" s="330"/>
      <c r="AA51" s="354" t="s">
        <v>1241</v>
      </c>
      <c r="AB51" s="395" t="s">
        <v>1242</v>
      </c>
      <c r="AC51" s="330"/>
      <c r="AD51" s="330"/>
      <c r="AE51" s="330"/>
      <c r="AF51" s="330"/>
      <c r="AG51" s="330"/>
      <c r="AH51" s="330"/>
      <c r="AI51" s="330"/>
      <c r="AJ51" s="330"/>
      <c r="AK51" s="344" t="s">
        <v>770</v>
      </c>
      <c r="AL51" s="344" t="s">
        <v>1022</v>
      </c>
      <c r="AM51" s="344" t="s">
        <v>1106</v>
      </c>
      <c r="AN51" s="354" t="s">
        <v>1400</v>
      </c>
      <c r="AO51" s="395" t="s">
        <v>1050</v>
      </c>
      <c r="AP51" s="330" t="s">
        <v>1064</v>
      </c>
      <c r="AQ51" s="330" t="s">
        <v>1065</v>
      </c>
      <c r="AR51" s="330" t="s">
        <v>1402</v>
      </c>
      <c r="AS51" s="330" t="s">
        <v>1403</v>
      </c>
      <c r="AX51" s="332"/>
      <c r="AY51" s="332"/>
      <c r="AZ51" s="332"/>
      <c r="BA51" s="332"/>
      <c r="BD51" s="24"/>
      <c r="BE51" s="24"/>
      <c r="BF51" s="24"/>
      <c r="BG51" s="24"/>
      <c r="BH51" s="24"/>
      <c r="BI51" s="24"/>
      <c r="BJ51" s="24"/>
    </row>
    <row r="52" spans="1:646" s="393" customFormat="1" ht="17.100000000000001" customHeight="1" x14ac:dyDescent="0.2">
      <c r="A52" s="385" t="s">
        <v>1160</v>
      </c>
      <c r="B52" s="386" t="s">
        <v>939</v>
      </c>
      <c r="C52" s="386" t="s">
        <v>857</v>
      </c>
      <c r="D52" s="387" t="s">
        <v>405</v>
      </c>
      <c r="E52" s="416" t="s">
        <v>1372</v>
      </c>
      <c r="F52" s="387">
        <v>42</v>
      </c>
      <c r="G52" s="387" t="s">
        <v>183</v>
      </c>
      <c r="H52" s="389" t="s">
        <v>35</v>
      </c>
      <c r="I52" s="390"/>
      <c r="J52" s="391"/>
      <c r="K52" s="392"/>
      <c r="L52" s="391"/>
      <c r="M52" s="391"/>
      <c r="N52" s="391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 t="s">
        <v>1239</v>
      </c>
      <c r="AJ52" s="422" t="s">
        <v>1240</v>
      </c>
      <c r="AK52" s="389" t="s">
        <v>1333</v>
      </c>
      <c r="AL52" s="389" t="s">
        <v>1022</v>
      </c>
      <c r="AM52" s="389" t="s">
        <v>1334</v>
      </c>
      <c r="AN52" s="389" t="s">
        <v>877</v>
      </c>
      <c r="AO52" s="389" t="s">
        <v>973</v>
      </c>
      <c r="AP52" s="389" t="s">
        <v>877</v>
      </c>
      <c r="AQ52" s="389" t="s">
        <v>973</v>
      </c>
      <c r="AR52" s="394" t="s">
        <v>906</v>
      </c>
      <c r="AS52" s="389" t="s">
        <v>907</v>
      </c>
      <c r="AX52" s="390"/>
      <c r="AY52" s="390"/>
      <c r="AZ52" s="390"/>
      <c r="BA52" s="390"/>
    </row>
    <row r="53" spans="1:646" s="393" customFormat="1" ht="17.100000000000001" customHeight="1" x14ac:dyDescent="0.2">
      <c r="A53" s="385" t="s">
        <v>1160</v>
      </c>
      <c r="B53" s="386" t="s">
        <v>1238</v>
      </c>
      <c r="C53" s="386" t="s">
        <v>198</v>
      </c>
      <c r="D53" s="387" t="s">
        <v>405</v>
      </c>
      <c r="E53" s="388" t="s">
        <v>316</v>
      </c>
      <c r="F53" s="387">
        <v>60</v>
      </c>
      <c r="G53" s="387" t="s">
        <v>183</v>
      </c>
      <c r="H53" s="389" t="s">
        <v>35</v>
      </c>
      <c r="I53" s="390"/>
      <c r="J53" s="391"/>
      <c r="K53" s="392"/>
      <c r="L53" s="391"/>
      <c r="M53" s="391"/>
      <c r="N53" s="391"/>
      <c r="O53" s="389"/>
      <c r="P53" s="389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 t="s">
        <v>972</v>
      </c>
      <c r="AL53" s="389" t="s">
        <v>1022</v>
      </c>
      <c r="AM53" s="389" t="s">
        <v>993</v>
      </c>
      <c r="AN53" s="389" t="s">
        <v>775</v>
      </c>
      <c r="AO53" s="389" t="s">
        <v>968</v>
      </c>
      <c r="AP53" s="389" t="s">
        <v>775</v>
      </c>
      <c r="AQ53" s="389" t="s">
        <v>968</v>
      </c>
      <c r="AR53" s="387" t="s">
        <v>1304</v>
      </c>
      <c r="AS53" s="389" t="s">
        <v>893</v>
      </c>
      <c r="AX53" s="390"/>
      <c r="AY53" s="390"/>
      <c r="AZ53" s="390"/>
      <c r="BA53" s="390"/>
    </row>
    <row r="54" spans="1:646" s="23" customFormat="1" ht="12.75" x14ac:dyDescent="0.2">
      <c r="A54" s="339" t="s">
        <v>1160</v>
      </c>
      <c r="B54" s="369" t="s">
        <v>601</v>
      </c>
      <c r="C54" s="369" t="s">
        <v>1302</v>
      </c>
      <c r="D54" s="340" t="s">
        <v>405</v>
      </c>
      <c r="E54" s="334" t="s">
        <v>1373</v>
      </c>
      <c r="F54" s="340">
        <v>42</v>
      </c>
      <c r="G54" s="340" t="s">
        <v>183</v>
      </c>
      <c r="H54" s="326" t="s">
        <v>35</v>
      </c>
      <c r="I54" s="23" t="s">
        <v>1442</v>
      </c>
      <c r="J54" s="1"/>
      <c r="K54" s="2"/>
      <c r="L54" s="1"/>
      <c r="M54" s="1"/>
      <c r="N54" s="1"/>
      <c r="AK54" s="354" t="s">
        <v>1339</v>
      </c>
      <c r="AL54" s="376" t="s">
        <v>1022</v>
      </c>
      <c r="AM54" s="395" t="s">
        <v>1340</v>
      </c>
      <c r="AQ54" s="340"/>
      <c r="AR54" s="340"/>
    </row>
    <row r="55" spans="1:646" s="393" customFormat="1" ht="15" customHeight="1" x14ac:dyDescent="0.2">
      <c r="A55" s="385" t="s">
        <v>1160</v>
      </c>
      <c r="B55" s="386" t="s">
        <v>160</v>
      </c>
      <c r="C55" s="386" t="s">
        <v>112</v>
      </c>
      <c r="D55" s="387" t="s">
        <v>405</v>
      </c>
      <c r="E55" s="388" t="s">
        <v>383</v>
      </c>
      <c r="F55" s="387">
        <v>49</v>
      </c>
      <c r="G55" s="387" t="s">
        <v>183</v>
      </c>
      <c r="H55" s="389" t="s">
        <v>35</v>
      </c>
      <c r="I55" s="390"/>
      <c r="J55" s="391"/>
      <c r="K55" s="392"/>
      <c r="L55" s="391"/>
      <c r="M55" s="391"/>
      <c r="N55" s="391"/>
      <c r="O55" s="389"/>
      <c r="P55" s="389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 t="s">
        <v>1051</v>
      </c>
      <c r="AB55" s="389" t="s">
        <v>1309</v>
      </c>
      <c r="AC55" s="389"/>
      <c r="AD55" s="389"/>
      <c r="AE55" s="389"/>
      <c r="AF55" s="389"/>
      <c r="AG55" s="389"/>
      <c r="AH55" s="389"/>
      <c r="AI55" s="389"/>
      <c r="AJ55" s="389"/>
      <c r="AK55" s="389">
        <v>0</v>
      </c>
      <c r="AL55" s="389" t="s">
        <v>1019</v>
      </c>
      <c r="AM55" s="389" t="s">
        <v>993</v>
      </c>
      <c r="AN55" s="389" t="s">
        <v>1145</v>
      </c>
      <c r="AO55" s="389" t="s">
        <v>902</v>
      </c>
      <c r="AP55" s="389" t="s">
        <v>922</v>
      </c>
      <c r="AQ55" s="389" t="s">
        <v>902</v>
      </c>
      <c r="AR55" s="389" t="s">
        <v>1078</v>
      </c>
      <c r="AS55" s="389" t="s">
        <v>1077</v>
      </c>
      <c r="AX55" s="390"/>
      <c r="AY55" s="390"/>
      <c r="AZ55" s="390"/>
      <c r="BA55" s="390"/>
    </row>
    <row r="56" spans="1:646" s="393" customFormat="1" ht="15" customHeight="1" x14ac:dyDescent="0.2">
      <c r="A56" s="385" t="s">
        <v>1160</v>
      </c>
      <c r="B56" s="386" t="s">
        <v>826</v>
      </c>
      <c r="C56" s="386" t="s">
        <v>113</v>
      </c>
      <c r="D56" s="387" t="s">
        <v>405</v>
      </c>
      <c r="E56" s="388" t="s">
        <v>384</v>
      </c>
      <c r="F56" s="387">
        <v>61</v>
      </c>
      <c r="G56" s="387" t="s">
        <v>183</v>
      </c>
      <c r="H56" s="389" t="s">
        <v>35</v>
      </c>
      <c r="I56" s="390"/>
      <c r="J56" s="391"/>
      <c r="K56" s="392"/>
      <c r="L56" s="391"/>
      <c r="M56" s="391"/>
      <c r="N56" s="391"/>
      <c r="O56" s="389"/>
      <c r="P56" s="389"/>
      <c r="Q56" s="389" t="s">
        <v>1051</v>
      </c>
      <c r="R56" s="389" t="s">
        <v>1309</v>
      </c>
      <c r="S56" s="389"/>
      <c r="T56" s="389"/>
      <c r="U56" s="389"/>
      <c r="V56" s="389"/>
      <c r="W56" s="389"/>
      <c r="X56" s="389"/>
      <c r="Y56" s="389"/>
      <c r="Z56" s="389"/>
      <c r="AA56" s="389" t="s">
        <v>1051</v>
      </c>
      <c r="AB56" s="389" t="s">
        <v>1309</v>
      </c>
      <c r="AC56" s="389"/>
      <c r="AD56" s="389"/>
      <c r="AE56" s="389"/>
      <c r="AF56" s="389"/>
      <c r="AG56" s="389"/>
      <c r="AH56" s="389"/>
      <c r="AI56" s="389"/>
      <c r="AJ56" s="389"/>
      <c r="AK56" s="414" t="s">
        <v>1273</v>
      </c>
      <c r="AL56" s="414" t="s">
        <v>1022</v>
      </c>
      <c r="AM56" s="415" t="s">
        <v>1274</v>
      </c>
      <c r="AN56" s="389" t="s">
        <v>778</v>
      </c>
      <c r="AO56" s="389" t="s">
        <v>986</v>
      </c>
      <c r="AP56" s="389" t="s">
        <v>778</v>
      </c>
      <c r="AQ56" s="389" t="s">
        <v>986</v>
      </c>
      <c r="AR56" s="389" t="s">
        <v>1135</v>
      </c>
      <c r="AS56" s="389" t="s">
        <v>1136</v>
      </c>
      <c r="AX56" s="390"/>
      <c r="AY56" s="390"/>
      <c r="AZ56" s="390"/>
      <c r="BA56" s="390"/>
    </row>
    <row r="57" spans="1:646" s="23" customFormat="1" ht="18.75" x14ac:dyDescent="0.3">
      <c r="A57" s="431" t="s">
        <v>1344</v>
      </c>
      <c r="B57" s="431" t="s">
        <v>1344</v>
      </c>
      <c r="C57" s="432"/>
      <c r="D57" s="431" t="s">
        <v>1344</v>
      </c>
      <c r="E57" s="431" t="s">
        <v>1344</v>
      </c>
      <c r="F57" s="280"/>
      <c r="G57" s="280"/>
      <c r="J57" s="1"/>
      <c r="K57" s="2"/>
      <c r="L57" s="1"/>
      <c r="M57" s="1"/>
      <c r="N57" s="1"/>
    </row>
    <row r="58" spans="1:646" s="24" customFormat="1" ht="12.75" x14ac:dyDescent="0.2">
      <c r="A58" s="338" t="s">
        <v>1159</v>
      </c>
      <c r="B58" s="375" t="s">
        <v>1345</v>
      </c>
      <c r="C58" s="375" t="s">
        <v>1346</v>
      </c>
      <c r="D58" s="351" t="s">
        <v>1292</v>
      </c>
      <c r="E58" s="333" t="s">
        <v>1374</v>
      </c>
      <c r="F58" s="351">
        <v>31</v>
      </c>
      <c r="G58" s="351" t="s">
        <v>183</v>
      </c>
      <c r="H58" s="330" t="s">
        <v>35</v>
      </c>
      <c r="I58" s="24" t="s">
        <v>1442</v>
      </c>
      <c r="J58" s="14"/>
      <c r="K58" s="15"/>
      <c r="L58" s="14"/>
      <c r="M58" s="14"/>
      <c r="N58" s="14"/>
      <c r="U58" s="330" t="s">
        <v>1357</v>
      </c>
      <c r="V58" s="330" t="s">
        <v>1358</v>
      </c>
    </row>
    <row r="59" spans="1:646" s="23" customFormat="1" ht="15" customHeight="1" x14ac:dyDescent="0.2">
      <c r="A59" s="338" t="s">
        <v>1159</v>
      </c>
      <c r="B59" s="372" t="s">
        <v>774</v>
      </c>
      <c r="C59" s="373" t="s">
        <v>116</v>
      </c>
      <c r="D59" s="340" t="s">
        <v>405</v>
      </c>
      <c r="E59" s="334" t="s">
        <v>307</v>
      </c>
      <c r="F59" s="340">
        <v>43</v>
      </c>
      <c r="G59" s="340" t="s">
        <v>183</v>
      </c>
      <c r="H59" s="326" t="s">
        <v>35</v>
      </c>
      <c r="I59" s="327"/>
      <c r="J59" s="328"/>
      <c r="K59" s="329"/>
      <c r="L59" s="328"/>
      <c r="M59" s="328"/>
      <c r="N59" s="328"/>
      <c r="O59" s="38"/>
      <c r="P59" s="39"/>
      <c r="Q59" s="38"/>
      <c r="R59" s="39"/>
      <c r="S59" s="38"/>
      <c r="T59" s="39"/>
      <c r="U59" s="40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57" t="s">
        <v>1071</v>
      </c>
      <c r="AL59" s="357" t="s">
        <v>1019</v>
      </c>
      <c r="AM59" s="407" t="s">
        <v>1268</v>
      </c>
      <c r="AN59" s="381" t="s">
        <v>1150</v>
      </c>
      <c r="AO59" s="382" t="s">
        <v>1113</v>
      </c>
      <c r="AP59" s="38" t="s">
        <v>1150</v>
      </c>
      <c r="AQ59" s="39" t="s">
        <v>1113</v>
      </c>
      <c r="AR59" s="330" t="s">
        <v>1039</v>
      </c>
      <c r="AS59" s="330" t="s">
        <v>1424</v>
      </c>
      <c r="AT59" s="24"/>
      <c r="AU59" s="24"/>
      <c r="AV59" s="24"/>
      <c r="AW59" s="24"/>
      <c r="AX59" s="332"/>
      <c r="AY59" s="332"/>
      <c r="AZ59" s="332"/>
      <c r="BA59" s="332"/>
      <c r="BD59" s="24"/>
      <c r="BE59" s="24"/>
      <c r="BF59" s="24"/>
      <c r="BG59" s="24"/>
      <c r="BH59" s="24"/>
      <c r="BI59" s="24"/>
      <c r="BJ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4"/>
      <c r="EG59" s="24"/>
      <c r="EH59" s="24"/>
      <c r="EI59" s="24"/>
      <c r="EJ59" s="24"/>
      <c r="EK59" s="24"/>
      <c r="EL59" s="24"/>
      <c r="EM59" s="24"/>
      <c r="EN59" s="24"/>
      <c r="EO59" s="24"/>
      <c r="EP59" s="24"/>
      <c r="EQ59" s="24"/>
      <c r="ER59" s="24"/>
      <c r="ES59" s="24"/>
      <c r="ET59" s="24"/>
      <c r="EU59" s="24"/>
      <c r="EV59" s="24"/>
      <c r="EW59" s="24"/>
      <c r="EX59" s="24"/>
      <c r="EY59" s="24"/>
      <c r="EZ59" s="24"/>
      <c r="FA59" s="24"/>
      <c r="FB59" s="24"/>
      <c r="FC59" s="24"/>
      <c r="FD59" s="24"/>
      <c r="FE59" s="24"/>
      <c r="FF59" s="24"/>
      <c r="FG59" s="24"/>
      <c r="FH59" s="24"/>
      <c r="FI59" s="24"/>
      <c r="FJ59" s="24"/>
      <c r="FK59" s="24"/>
      <c r="FL59" s="24"/>
      <c r="FM59" s="24"/>
      <c r="FN59" s="24"/>
      <c r="FO59" s="24"/>
      <c r="FP59" s="24"/>
      <c r="FQ59" s="24"/>
      <c r="FR59" s="24"/>
      <c r="FS59" s="24"/>
      <c r="FT59" s="24"/>
      <c r="FU59" s="24"/>
      <c r="FV59" s="24"/>
      <c r="FW59" s="24"/>
      <c r="FX59" s="24"/>
      <c r="FY59" s="24"/>
      <c r="FZ59" s="24"/>
      <c r="GA59" s="24"/>
      <c r="GB59" s="24"/>
      <c r="GC59" s="24"/>
      <c r="GD59" s="24"/>
      <c r="GE59" s="24"/>
      <c r="GF59" s="24"/>
      <c r="GG59" s="24"/>
      <c r="GH59" s="24"/>
      <c r="GI59" s="24"/>
      <c r="GJ59" s="24"/>
      <c r="GK59" s="24"/>
      <c r="GL59" s="24"/>
      <c r="GM59" s="24"/>
      <c r="GN59" s="24"/>
      <c r="GO59" s="24"/>
      <c r="GP59" s="24"/>
      <c r="GQ59" s="24"/>
      <c r="GR59" s="24"/>
      <c r="GS59" s="24"/>
      <c r="GT59" s="24"/>
      <c r="GU59" s="24"/>
      <c r="GV59" s="24"/>
      <c r="GW59" s="24"/>
      <c r="GX59" s="24"/>
      <c r="GY59" s="24"/>
      <c r="GZ59" s="24"/>
      <c r="HA59" s="24"/>
      <c r="HB59" s="24"/>
      <c r="HC59" s="24"/>
      <c r="HD59" s="24"/>
      <c r="HE59" s="24"/>
      <c r="HF59" s="24"/>
      <c r="HG59" s="24"/>
      <c r="HH59" s="24"/>
      <c r="HI59" s="24"/>
      <c r="HJ59" s="24"/>
      <c r="HK59" s="24"/>
      <c r="HL59" s="24"/>
      <c r="HM59" s="24"/>
      <c r="HN59" s="24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/>
      <c r="LX59" s="24"/>
      <c r="LY59" s="24"/>
      <c r="LZ59" s="24"/>
      <c r="MA59" s="24"/>
      <c r="MB59" s="24"/>
      <c r="MC59" s="24"/>
      <c r="MD59" s="24"/>
      <c r="ME59" s="24"/>
      <c r="MF59" s="24"/>
      <c r="MG59" s="24"/>
      <c r="MH59" s="24"/>
      <c r="MI59" s="24"/>
      <c r="MJ59" s="24"/>
      <c r="MK59" s="24"/>
      <c r="ML59" s="24"/>
      <c r="MM59" s="24"/>
      <c r="MN59" s="24"/>
      <c r="MO59" s="24"/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/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  <c r="PW59" s="24"/>
      <c r="PX59" s="24"/>
      <c r="PY59" s="24"/>
      <c r="PZ59" s="24"/>
      <c r="QA59" s="24"/>
      <c r="QB59" s="24"/>
      <c r="QC59" s="24"/>
      <c r="QD59" s="24"/>
      <c r="QE59" s="24"/>
      <c r="QF59" s="24"/>
      <c r="QG59" s="24"/>
      <c r="QH59" s="24"/>
      <c r="QI59" s="24"/>
      <c r="QJ59" s="24"/>
      <c r="QK59" s="24"/>
      <c r="QL59" s="24"/>
      <c r="QM59" s="24"/>
      <c r="QN59" s="24"/>
      <c r="QO59" s="24"/>
      <c r="QP59" s="24"/>
      <c r="QQ59" s="24"/>
      <c r="QR59" s="24"/>
      <c r="QS59" s="24"/>
      <c r="QT59" s="24"/>
      <c r="QU59" s="24"/>
      <c r="QV59" s="24"/>
      <c r="QW59" s="24"/>
      <c r="QX59" s="24"/>
      <c r="QY59" s="24"/>
      <c r="QZ59" s="24"/>
      <c r="RA59" s="24"/>
      <c r="RB59" s="24"/>
      <c r="RC59" s="24"/>
      <c r="RD59" s="24"/>
      <c r="RE59" s="24"/>
      <c r="RF59" s="24"/>
      <c r="RG59" s="24"/>
      <c r="RH59" s="24"/>
      <c r="RI59" s="24"/>
      <c r="RJ59" s="24"/>
      <c r="RK59" s="24"/>
      <c r="RL59" s="24"/>
      <c r="RM59" s="24"/>
      <c r="RN59" s="24"/>
      <c r="RO59" s="24"/>
      <c r="RP59" s="24"/>
      <c r="RQ59" s="24"/>
      <c r="RR59" s="24"/>
      <c r="RS59" s="24"/>
      <c r="RT59" s="24"/>
      <c r="RU59" s="24"/>
      <c r="RV59" s="24"/>
      <c r="RW59" s="24"/>
      <c r="RX59" s="24"/>
      <c r="RY59" s="24"/>
      <c r="RZ59" s="24"/>
      <c r="SA59" s="24"/>
      <c r="SB59" s="24"/>
      <c r="SC59" s="24"/>
      <c r="SD59" s="24"/>
      <c r="SE59" s="24"/>
      <c r="SF59" s="24"/>
      <c r="SG59" s="24"/>
      <c r="SH59" s="24"/>
      <c r="SI59" s="24"/>
      <c r="SJ59" s="24"/>
      <c r="SK59" s="24"/>
      <c r="SL59" s="24"/>
      <c r="SM59" s="24"/>
      <c r="SN59" s="24"/>
      <c r="SO59" s="24"/>
      <c r="SP59" s="24"/>
      <c r="SQ59" s="24"/>
      <c r="SR59" s="24"/>
      <c r="SS59" s="24"/>
      <c r="ST59" s="24"/>
      <c r="SU59" s="24"/>
      <c r="SV59" s="24"/>
      <c r="SW59" s="24"/>
      <c r="SX59" s="24"/>
      <c r="SY59" s="24"/>
      <c r="SZ59" s="24"/>
      <c r="TA59" s="24"/>
      <c r="TB59" s="24"/>
      <c r="TC59" s="24"/>
      <c r="TD59" s="24"/>
      <c r="TE59" s="24"/>
      <c r="TF59" s="24"/>
      <c r="TG59" s="24"/>
      <c r="TH59" s="24"/>
      <c r="TI59" s="24"/>
      <c r="TJ59" s="24"/>
      <c r="TK59" s="24"/>
      <c r="TL59" s="24"/>
      <c r="TM59" s="24"/>
      <c r="TN59" s="24"/>
      <c r="TO59" s="24"/>
      <c r="TP59" s="24"/>
      <c r="TQ59" s="24"/>
      <c r="TR59" s="24"/>
      <c r="TS59" s="24"/>
      <c r="TT59" s="24"/>
      <c r="TU59" s="24"/>
      <c r="TV59" s="24"/>
      <c r="TW59" s="24"/>
      <c r="TX59" s="24"/>
      <c r="TY59" s="24"/>
      <c r="TZ59" s="24"/>
      <c r="UA59" s="24"/>
      <c r="UB59" s="24"/>
      <c r="UC59" s="24"/>
      <c r="UD59" s="24"/>
      <c r="UE59" s="24"/>
      <c r="UF59" s="24"/>
      <c r="UG59" s="24"/>
      <c r="UH59" s="24"/>
      <c r="UI59" s="24"/>
      <c r="UJ59" s="24"/>
      <c r="UK59" s="24"/>
      <c r="UL59" s="24"/>
      <c r="UM59" s="24"/>
      <c r="UN59" s="24"/>
      <c r="UO59" s="24"/>
      <c r="UP59" s="24"/>
      <c r="UQ59" s="24"/>
      <c r="UR59" s="24"/>
      <c r="US59" s="24"/>
      <c r="UT59" s="24"/>
      <c r="UU59" s="24"/>
      <c r="UV59" s="24"/>
      <c r="UW59" s="24"/>
      <c r="UX59" s="24"/>
      <c r="UY59" s="24"/>
      <c r="UZ59" s="24"/>
      <c r="VA59" s="24"/>
      <c r="VB59" s="24"/>
      <c r="VC59" s="24"/>
      <c r="VD59" s="24"/>
      <c r="VE59" s="24"/>
      <c r="VF59" s="24"/>
      <c r="VG59" s="24"/>
      <c r="VH59" s="24"/>
      <c r="VI59" s="24"/>
      <c r="VJ59" s="24"/>
      <c r="VK59" s="24"/>
      <c r="VL59" s="24"/>
      <c r="VM59" s="24"/>
      <c r="VN59" s="24"/>
      <c r="VO59" s="24"/>
      <c r="VP59" s="24"/>
      <c r="VQ59" s="24"/>
      <c r="VR59" s="24"/>
      <c r="VS59" s="24"/>
      <c r="VT59" s="24"/>
      <c r="VU59" s="24"/>
      <c r="VV59" s="24"/>
      <c r="VW59" s="24"/>
      <c r="VX59" s="24"/>
      <c r="VY59" s="24"/>
      <c r="VZ59" s="24"/>
      <c r="WA59" s="24"/>
      <c r="WB59" s="24"/>
      <c r="WC59" s="24"/>
      <c r="WD59" s="24"/>
      <c r="WE59" s="24"/>
      <c r="WF59" s="24"/>
      <c r="WG59" s="24"/>
      <c r="WH59" s="24"/>
      <c r="WI59" s="24"/>
      <c r="WJ59" s="24"/>
      <c r="WK59" s="24"/>
      <c r="WL59" s="24"/>
      <c r="WM59" s="24"/>
      <c r="WN59" s="24"/>
      <c r="WO59" s="24"/>
      <c r="WP59" s="24"/>
      <c r="WQ59" s="24"/>
      <c r="WR59" s="24"/>
      <c r="WS59" s="24"/>
      <c r="WT59" s="24"/>
      <c r="WU59" s="24"/>
      <c r="WV59" s="24"/>
      <c r="WW59" s="24"/>
      <c r="WX59" s="24"/>
      <c r="WY59" s="24"/>
      <c r="WZ59" s="24"/>
      <c r="XA59" s="24"/>
      <c r="XB59" s="24"/>
      <c r="XC59" s="24"/>
      <c r="XD59" s="24"/>
      <c r="XE59" s="24"/>
      <c r="XF59" s="24"/>
      <c r="XG59" s="24"/>
      <c r="XH59" s="24"/>
      <c r="XI59" s="24"/>
      <c r="XJ59" s="24"/>
      <c r="XK59" s="24"/>
      <c r="XL59" s="24"/>
      <c r="XM59" s="24"/>
      <c r="XN59" s="24"/>
      <c r="XO59" s="24"/>
      <c r="XP59" s="24"/>
      <c r="XQ59" s="24"/>
      <c r="XR59" s="24"/>
      <c r="XS59" s="24"/>
      <c r="XT59" s="24"/>
      <c r="XU59" s="24"/>
      <c r="XV59" s="24"/>
    </row>
    <row r="60" spans="1:646" s="195" customFormat="1" ht="15" customHeight="1" x14ac:dyDescent="0.2">
      <c r="A60" s="338" t="s">
        <v>1159</v>
      </c>
      <c r="B60" s="373" t="s">
        <v>779</v>
      </c>
      <c r="C60" s="373" t="s">
        <v>65</v>
      </c>
      <c r="D60" s="340" t="s">
        <v>405</v>
      </c>
      <c r="E60" s="334" t="s">
        <v>1375</v>
      </c>
      <c r="F60" s="340">
        <v>35</v>
      </c>
      <c r="G60" s="340" t="s">
        <v>183</v>
      </c>
      <c r="H60" s="326" t="s">
        <v>35</v>
      </c>
      <c r="I60" s="327"/>
      <c r="J60" s="328"/>
      <c r="K60" s="329"/>
      <c r="L60" s="328"/>
      <c r="M60" s="328"/>
      <c r="N60" s="328"/>
      <c r="O60" s="330"/>
      <c r="P60" s="330"/>
      <c r="Q60" s="330"/>
      <c r="R60" s="330"/>
      <c r="S60" s="330"/>
      <c r="T60" s="330"/>
      <c r="U60" s="330"/>
      <c r="V60" s="330"/>
      <c r="W60" s="330"/>
      <c r="X60" s="330"/>
      <c r="Y60" s="330"/>
      <c r="Z60" s="330"/>
      <c r="AA60" s="330"/>
      <c r="AB60" s="330"/>
      <c r="AC60" s="330"/>
      <c r="AD60" s="330"/>
      <c r="AE60" s="330"/>
      <c r="AF60" s="330"/>
      <c r="AG60" s="330"/>
      <c r="AH60" s="330"/>
      <c r="AI60" s="354" t="s">
        <v>1244</v>
      </c>
      <c r="AJ60" s="359" t="s">
        <v>1245</v>
      </c>
      <c r="AK60" s="354" t="s">
        <v>1275</v>
      </c>
      <c r="AL60" s="354" t="s">
        <v>1019</v>
      </c>
      <c r="AM60" s="395" t="s">
        <v>1276</v>
      </c>
      <c r="AN60" s="344" t="s">
        <v>1008</v>
      </c>
      <c r="AO60" s="344" t="s">
        <v>1074</v>
      </c>
      <c r="AP60" s="330" t="s">
        <v>1008</v>
      </c>
      <c r="AQ60" s="330" t="s">
        <v>1074</v>
      </c>
      <c r="AR60" s="330" t="s">
        <v>1100</v>
      </c>
      <c r="AS60" s="330" t="s">
        <v>1101</v>
      </c>
      <c r="AT60" s="24"/>
      <c r="AU60" s="24"/>
      <c r="AV60" s="24"/>
      <c r="AW60" s="24"/>
      <c r="AX60" s="332"/>
      <c r="AY60" s="332"/>
      <c r="AZ60" s="332"/>
      <c r="BA60" s="332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</row>
    <row r="61" spans="1:646" s="393" customFormat="1" ht="15" customHeight="1" x14ac:dyDescent="0.2">
      <c r="A61" s="401" t="s">
        <v>1159</v>
      </c>
      <c r="B61" s="386" t="s">
        <v>887</v>
      </c>
      <c r="C61" s="386" t="s">
        <v>63</v>
      </c>
      <c r="D61" s="387" t="s">
        <v>405</v>
      </c>
      <c r="E61" s="388" t="s">
        <v>1376</v>
      </c>
      <c r="F61" s="387">
        <v>30</v>
      </c>
      <c r="G61" s="387" t="s">
        <v>183</v>
      </c>
      <c r="H61" s="389" t="s">
        <v>35</v>
      </c>
      <c r="I61" s="390"/>
      <c r="J61" s="391"/>
      <c r="K61" s="392"/>
      <c r="L61" s="391"/>
      <c r="M61" s="391"/>
      <c r="N61" s="391"/>
      <c r="O61" s="410"/>
      <c r="P61" s="410"/>
      <c r="Q61" s="410"/>
      <c r="R61" s="410"/>
      <c r="S61" s="410"/>
      <c r="T61" s="410"/>
      <c r="U61" s="410"/>
      <c r="V61" s="410"/>
      <c r="W61" s="410"/>
      <c r="X61" s="410"/>
      <c r="Y61" s="410"/>
      <c r="Z61" s="410"/>
      <c r="AA61" s="410"/>
      <c r="AB61" s="410"/>
      <c r="AC61" s="410"/>
      <c r="AD61" s="410"/>
      <c r="AE61" s="410"/>
      <c r="AF61" s="410"/>
      <c r="AG61" s="410"/>
      <c r="AH61" s="410"/>
      <c r="AI61" s="389" t="s">
        <v>1244</v>
      </c>
      <c r="AJ61" s="422" t="s">
        <v>1245</v>
      </c>
      <c r="AK61" s="394" t="s">
        <v>1275</v>
      </c>
      <c r="AL61" s="394" t="s">
        <v>1022</v>
      </c>
      <c r="AM61" s="394" t="s">
        <v>1276</v>
      </c>
      <c r="AN61" s="411" t="s">
        <v>1244</v>
      </c>
      <c r="AO61" s="394" t="s">
        <v>1245</v>
      </c>
      <c r="AP61" s="394" t="s">
        <v>695</v>
      </c>
      <c r="AQ61" s="410">
        <v>111111111</v>
      </c>
      <c r="AR61" s="389" t="s">
        <v>1304</v>
      </c>
      <c r="AS61" s="410">
        <v>1666</v>
      </c>
      <c r="AX61" s="412"/>
      <c r="AY61" s="412"/>
      <c r="AZ61" s="412"/>
      <c r="BA61" s="412"/>
      <c r="BD61" s="413"/>
      <c r="BE61" s="413"/>
      <c r="BF61" s="413"/>
    </row>
    <row r="62" spans="1:646" s="393" customFormat="1" ht="13.5" customHeight="1" x14ac:dyDescent="0.2">
      <c r="A62" s="401" t="s">
        <v>1159</v>
      </c>
      <c r="B62" s="400" t="s">
        <v>1258</v>
      </c>
      <c r="C62" s="400" t="s">
        <v>63</v>
      </c>
      <c r="D62" s="387" t="s">
        <v>1292</v>
      </c>
      <c r="E62" s="388" t="s">
        <v>1377</v>
      </c>
      <c r="F62" s="387">
        <v>25</v>
      </c>
      <c r="G62" s="387" t="s">
        <v>183</v>
      </c>
      <c r="H62" s="387" t="s">
        <v>35</v>
      </c>
      <c r="I62" s="387"/>
      <c r="J62" s="398"/>
      <c r="K62" s="399"/>
      <c r="L62" s="398"/>
      <c r="M62" s="398"/>
      <c r="N62" s="398"/>
      <c r="O62" s="387"/>
      <c r="P62" s="387"/>
      <c r="Q62" s="387"/>
      <c r="R62" s="387"/>
      <c r="S62" s="387"/>
      <c r="T62" s="387"/>
      <c r="U62" s="387"/>
      <c r="V62" s="387"/>
      <c r="W62" s="387"/>
      <c r="X62" s="387"/>
      <c r="Y62" s="387"/>
      <c r="Z62" s="387"/>
      <c r="AG62" s="387"/>
      <c r="AH62" s="387"/>
      <c r="AI62" s="389" t="s">
        <v>1410</v>
      </c>
      <c r="AJ62" s="389" t="s">
        <v>1411</v>
      </c>
      <c r="AN62" s="387" t="s">
        <v>1290</v>
      </c>
      <c r="AO62" s="387" t="s">
        <v>1291</v>
      </c>
      <c r="AP62" s="389" t="s">
        <v>1289</v>
      </c>
      <c r="AQ62" s="389" t="s">
        <v>1297</v>
      </c>
      <c r="AR62" s="389" t="s">
        <v>1285</v>
      </c>
      <c r="AS62" s="390"/>
    </row>
    <row r="63" spans="1:646" s="393" customFormat="1" ht="12.75" x14ac:dyDescent="0.2">
      <c r="A63" s="401" t="s">
        <v>1159</v>
      </c>
      <c r="B63" s="386" t="s">
        <v>1348</v>
      </c>
      <c r="C63" s="400" t="s">
        <v>1347</v>
      </c>
      <c r="D63" s="387" t="s">
        <v>1292</v>
      </c>
      <c r="E63" s="388" t="s">
        <v>1378</v>
      </c>
      <c r="F63" s="387">
        <v>40</v>
      </c>
      <c r="G63" s="387" t="s">
        <v>183</v>
      </c>
      <c r="H63" s="404" t="s">
        <v>35</v>
      </c>
      <c r="J63" s="402"/>
      <c r="K63" s="403"/>
      <c r="L63" s="402"/>
      <c r="M63" s="402"/>
      <c r="N63" s="402"/>
      <c r="U63" s="389" t="s">
        <v>1408</v>
      </c>
      <c r="V63" s="389" t="s">
        <v>1409</v>
      </c>
      <c r="AN63" s="389">
        <v>27</v>
      </c>
      <c r="AO63" s="389" t="s">
        <v>1409</v>
      </c>
    </row>
    <row r="64" spans="1:646" s="393" customFormat="1" ht="15" customHeight="1" x14ac:dyDescent="0.2">
      <c r="A64" s="401" t="s">
        <v>1159</v>
      </c>
      <c r="B64" s="386" t="s">
        <v>846</v>
      </c>
      <c r="C64" s="386" t="s">
        <v>70</v>
      </c>
      <c r="D64" s="387" t="s">
        <v>405</v>
      </c>
      <c r="E64" s="388" t="s">
        <v>1379</v>
      </c>
      <c r="F64" s="387">
        <v>32</v>
      </c>
      <c r="G64" s="387" t="s">
        <v>183</v>
      </c>
      <c r="H64" s="389" t="s">
        <v>35</v>
      </c>
      <c r="I64" s="390"/>
      <c r="J64" s="391"/>
      <c r="K64" s="392"/>
      <c r="L64" s="391"/>
      <c r="M64" s="391"/>
      <c r="N64" s="391"/>
      <c r="O64" s="389"/>
      <c r="P64" s="390"/>
      <c r="Q64" s="389"/>
      <c r="R64" s="389"/>
      <c r="S64" s="389"/>
      <c r="T64" s="389"/>
      <c r="U64" s="389" t="s">
        <v>1240</v>
      </c>
      <c r="V64" s="389" t="s">
        <v>1240</v>
      </c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 t="s">
        <v>1260</v>
      </c>
      <c r="AL64" s="389" t="s">
        <v>1022</v>
      </c>
      <c r="AM64" s="389" t="s">
        <v>1261</v>
      </c>
      <c r="AN64" s="389" t="s">
        <v>683</v>
      </c>
      <c r="AO64" s="389" t="s">
        <v>984</v>
      </c>
      <c r="AP64" s="389" t="s">
        <v>683</v>
      </c>
      <c r="AQ64" s="389" t="s">
        <v>984</v>
      </c>
      <c r="AR64" s="394" t="s">
        <v>1128</v>
      </c>
      <c r="AS64" s="389" t="s">
        <v>1129</v>
      </c>
      <c r="AX64" s="390"/>
      <c r="AY64" s="390"/>
      <c r="AZ64" s="390"/>
      <c r="BA64" s="390"/>
    </row>
    <row r="65" spans="1:108" s="23" customFormat="1" ht="17.100000000000001" customHeight="1" x14ac:dyDescent="0.2">
      <c r="A65" s="338" t="s">
        <v>1159</v>
      </c>
      <c r="B65" s="372" t="s">
        <v>830</v>
      </c>
      <c r="C65" s="375" t="s">
        <v>791</v>
      </c>
      <c r="D65" s="340" t="s">
        <v>405</v>
      </c>
      <c r="E65" s="333" t="s">
        <v>1380</v>
      </c>
      <c r="F65" s="340">
        <v>51</v>
      </c>
      <c r="G65" s="340" t="s">
        <v>183</v>
      </c>
      <c r="H65" s="326" t="s">
        <v>35</v>
      </c>
      <c r="I65" s="327"/>
      <c r="J65" s="328"/>
      <c r="K65" s="329"/>
      <c r="L65" s="328"/>
      <c r="M65" s="328"/>
      <c r="N65" s="328"/>
      <c r="O65" s="327"/>
      <c r="P65" s="327"/>
      <c r="Q65" s="327"/>
      <c r="R65" s="327"/>
      <c r="S65" s="327"/>
      <c r="T65" s="327"/>
      <c r="U65" s="327"/>
      <c r="V65" s="327"/>
      <c r="W65" s="332"/>
      <c r="X65" s="326"/>
      <c r="Y65" s="327"/>
      <c r="Z65" s="326"/>
      <c r="AA65" s="327"/>
      <c r="AB65" s="326"/>
      <c r="AC65" s="327"/>
      <c r="AD65" s="327"/>
      <c r="AE65" s="327"/>
      <c r="AF65" s="327"/>
      <c r="AG65" s="327"/>
      <c r="AH65" s="327"/>
      <c r="AI65" s="354" t="s">
        <v>1244</v>
      </c>
      <c r="AJ65" s="433" t="s">
        <v>1245</v>
      </c>
      <c r="AK65" s="354" t="s">
        <v>1327</v>
      </c>
      <c r="AL65" s="354" t="s">
        <v>1022</v>
      </c>
      <c r="AM65" s="395" t="s">
        <v>1328</v>
      </c>
      <c r="AN65" s="344" t="s">
        <v>695</v>
      </c>
      <c r="AO65" s="344" t="s">
        <v>987</v>
      </c>
      <c r="AP65" s="330" t="s">
        <v>695</v>
      </c>
      <c r="AQ65" s="326" t="s">
        <v>987</v>
      </c>
      <c r="AR65" s="344" t="s">
        <v>1098</v>
      </c>
      <c r="AS65" s="330" t="s">
        <v>1099</v>
      </c>
      <c r="AT65" s="24"/>
      <c r="AU65" s="24"/>
      <c r="AV65" s="24"/>
      <c r="AW65" s="24"/>
      <c r="AX65" s="332"/>
      <c r="AY65" s="332"/>
      <c r="AZ65" s="332"/>
      <c r="BA65" s="332"/>
      <c r="BD65" s="24"/>
      <c r="BE65" s="24"/>
      <c r="BF65" s="24"/>
      <c r="BG65" s="24"/>
      <c r="BH65" s="24"/>
      <c r="BI65" s="24"/>
      <c r="BJ65" s="24"/>
    </row>
    <row r="66" spans="1:108" s="23" customFormat="1" ht="15" customHeight="1" x14ac:dyDescent="0.2">
      <c r="A66" s="338" t="s">
        <v>1159</v>
      </c>
      <c r="B66" s="372" t="s">
        <v>831</v>
      </c>
      <c r="C66" s="375" t="s">
        <v>72</v>
      </c>
      <c r="D66" s="340" t="s">
        <v>405</v>
      </c>
      <c r="E66" s="334" t="s">
        <v>278</v>
      </c>
      <c r="F66" s="340">
        <v>43</v>
      </c>
      <c r="G66" s="340" t="s">
        <v>183</v>
      </c>
      <c r="H66" s="326" t="s">
        <v>35</v>
      </c>
      <c r="I66" s="327"/>
      <c r="J66" s="328"/>
      <c r="K66" s="329"/>
      <c r="L66" s="328"/>
      <c r="M66" s="328"/>
      <c r="N66" s="328"/>
      <c r="O66" s="330"/>
      <c r="P66" s="330"/>
      <c r="Q66" s="330"/>
      <c r="R66" s="330"/>
      <c r="S66" s="330"/>
      <c r="T66" s="330"/>
      <c r="U66" s="330"/>
      <c r="V66" s="330"/>
      <c r="W66" s="330"/>
      <c r="X66" s="330"/>
      <c r="Y66" s="330"/>
      <c r="Z66" s="330"/>
      <c r="AA66" s="330"/>
      <c r="AB66" s="330"/>
      <c r="AC66" s="330"/>
      <c r="AD66" s="330"/>
      <c r="AE66" s="330"/>
      <c r="AF66" s="330"/>
      <c r="AG66" s="330"/>
      <c r="AH66" s="330"/>
      <c r="AI66" s="330"/>
      <c r="AJ66" s="330"/>
      <c r="AK66" s="354" t="s">
        <v>1324</v>
      </c>
      <c r="AL66" s="354" t="s">
        <v>1022</v>
      </c>
      <c r="AM66" s="395" t="s">
        <v>1325</v>
      </c>
      <c r="AN66" s="344" t="s">
        <v>1075</v>
      </c>
      <c r="AO66" s="344" t="s">
        <v>1076</v>
      </c>
      <c r="AP66" s="330" t="s">
        <v>1075</v>
      </c>
      <c r="AQ66" s="330" t="s">
        <v>1076</v>
      </c>
      <c r="AR66" s="346" t="s">
        <v>1102</v>
      </c>
      <c r="AS66" s="330" t="s">
        <v>1103</v>
      </c>
      <c r="AT66" s="24"/>
      <c r="AU66" s="24"/>
      <c r="AV66" s="24"/>
      <c r="AW66" s="24"/>
      <c r="AX66" s="332"/>
      <c r="AY66" s="332"/>
      <c r="AZ66" s="332"/>
      <c r="BA66" s="332"/>
      <c r="BD66" s="24"/>
      <c r="BE66" s="24"/>
      <c r="BF66" s="24"/>
      <c r="BG66" s="24"/>
      <c r="BH66" s="24"/>
      <c r="BI66" s="24"/>
      <c r="BJ66" s="24"/>
    </row>
    <row r="67" spans="1:108" s="393" customFormat="1" ht="12.75" x14ac:dyDescent="0.2">
      <c r="A67" s="401" t="s">
        <v>1159</v>
      </c>
      <c r="B67" s="400" t="s">
        <v>1349</v>
      </c>
      <c r="C67" s="400" t="s">
        <v>1350</v>
      </c>
      <c r="D67" s="387" t="s">
        <v>1292</v>
      </c>
      <c r="E67" s="388" t="s">
        <v>1381</v>
      </c>
      <c r="F67" s="409">
        <v>34</v>
      </c>
      <c r="G67" s="409" t="s">
        <v>183</v>
      </c>
      <c r="H67" s="390" t="s">
        <v>35</v>
      </c>
      <c r="I67" s="393" t="s">
        <v>1442</v>
      </c>
      <c r="J67" s="402"/>
      <c r="K67" s="403"/>
      <c r="L67" s="402"/>
      <c r="M67" s="402"/>
      <c r="N67" s="402"/>
      <c r="U67" s="389" t="s">
        <v>1357</v>
      </c>
      <c r="V67" s="389" t="s">
        <v>1358</v>
      </c>
    </row>
    <row r="68" spans="1:108" s="393" customFormat="1" ht="12.75" x14ac:dyDescent="0.2">
      <c r="A68" s="401" t="s">
        <v>1159</v>
      </c>
      <c r="B68" s="400" t="s">
        <v>1283</v>
      </c>
      <c r="C68" s="400" t="s">
        <v>1282</v>
      </c>
      <c r="D68" s="387" t="s">
        <v>1292</v>
      </c>
      <c r="E68" s="388" t="s">
        <v>1382</v>
      </c>
      <c r="F68" s="387">
        <v>49</v>
      </c>
      <c r="G68" s="387" t="s">
        <v>183</v>
      </c>
      <c r="H68" s="404" t="s">
        <v>35</v>
      </c>
      <c r="J68" s="402"/>
      <c r="K68" s="403"/>
      <c r="L68" s="402"/>
      <c r="M68" s="402"/>
      <c r="N68" s="402"/>
      <c r="S68" s="389" t="s">
        <v>1298</v>
      </c>
      <c r="T68" s="389" t="s">
        <v>1299</v>
      </c>
      <c r="AG68" s="389" t="s">
        <v>1298</v>
      </c>
      <c r="AH68" s="389" t="s">
        <v>1299</v>
      </c>
      <c r="AN68" s="387" t="s">
        <v>1290</v>
      </c>
      <c r="AO68" s="387" t="s">
        <v>1291</v>
      </c>
      <c r="AP68" s="389" t="s">
        <v>1289</v>
      </c>
      <c r="AQ68" s="389" t="s">
        <v>1297</v>
      </c>
      <c r="AR68" s="387" t="s">
        <v>1284</v>
      </c>
    </row>
    <row r="69" spans="1:108" s="393" customFormat="1" ht="15" customHeight="1" x14ac:dyDescent="0.2">
      <c r="A69" s="401" t="s">
        <v>1159</v>
      </c>
      <c r="B69" s="386" t="s">
        <v>888</v>
      </c>
      <c r="C69" s="386" t="s">
        <v>268</v>
      </c>
      <c r="D69" s="387" t="s">
        <v>405</v>
      </c>
      <c r="E69" s="388" t="s">
        <v>274</v>
      </c>
      <c r="F69" s="387">
        <v>50</v>
      </c>
      <c r="G69" s="387" t="s">
        <v>183</v>
      </c>
      <c r="H69" s="389" t="s">
        <v>35</v>
      </c>
      <c r="I69" s="390"/>
      <c r="J69" s="391"/>
      <c r="K69" s="392"/>
      <c r="L69" s="391"/>
      <c r="M69" s="391"/>
      <c r="N69" s="391"/>
      <c r="O69" s="390"/>
      <c r="P69" s="390"/>
      <c r="Q69" s="390"/>
      <c r="R69" s="390"/>
      <c r="S69" s="390"/>
      <c r="T69" s="390"/>
      <c r="U69" s="390"/>
      <c r="V69" s="390"/>
      <c r="W69" s="390"/>
      <c r="X69" s="390"/>
      <c r="Y69" s="390"/>
      <c r="Z69" s="390"/>
      <c r="AA69" s="390"/>
      <c r="AB69" s="390"/>
      <c r="AC69" s="390"/>
      <c r="AD69" s="390"/>
      <c r="AE69" s="390"/>
      <c r="AF69" s="390"/>
      <c r="AG69" s="390"/>
      <c r="AH69" s="390"/>
      <c r="AI69" s="389" t="s">
        <v>1239</v>
      </c>
      <c r="AJ69" s="422" t="s">
        <v>1240</v>
      </c>
      <c r="AK69" s="389" t="s">
        <v>1323</v>
      </c>
      <c r="AL69" s="390" t="s">
        <v>1022</v>
      </c>
      <c r="AM69" s="394" t="s">
        <v>1326</v>
      </c>
      <c r="AN69" s="389" t="s">
        <v>1316</v>
      </c>
      <c r="AO69" s="389" t="s">
        <v>1240</v>
      </c>
      <c r="AP69" s="389" t="s">
        <v>1151</v>
      </c>
      <c r="AQ69" s="389" t="s">
        <v>1152</v>
      </c>
      <c r="AR69" s="389" t="s">
        <v>918</v>
      </c>
      <c r="AS69" s="389" t="s">
        <v>919</v>
      </c>
      <c r="AX69" s="390"/>
      <c r="AY69" s="390"/>
      <c r="AZ69" s="390"/>
      <c r="BA69" s="390"/>
    </row>
    <row r="70" spans="1:108" s="393" customFormat="1" ht="12.75" x14ac:dyDescent="0.2">
      <c r="A70" s="401" t="s">
        <v>1159</v>
      </c>
      <c r="B70" s="400" t="s">
        <v>1253</v>
      </c>
      <c r="C70" s="400" t="s">
        <v>84</v>
      </c>
      <c r="D70" s="387" t="s">
        <v>1292</v>
      </c>
      <c r="E70" s="388" t="s">
        <v>1383</v>
      </c>
      <c r="F70" s="387">
        <v>50</v>
      </c>
      <c r="G70" s="387" t="s">
        <v>183</v>
      </c>
      <c r="H70" s="387" t="s">
        <v>35</v>
      </c>
      <c r="I70" s="387"/>
      <c r="J70" s="398"/>
      <c r="K70" s="399"/>
      <c r="L70" s="398"/>
      <c r="M70" s="398"/>
      <c r="N70" s="398"/>
      <c r="O70" s="387"/>
      <c r="P70" s="387"/>
      <c r="Q70" s="387"/>
      <c r="R70" s="387"/>
      <c r="S70" s="389" t="s">
        <v>1408</v>
      </c>
      <c r="T70" s="389" t="s">
        <v>1409</v>
      </c>
      <c r="U70" s="387"/>
      <c r="V70" s="387"/>
      <c r="W70" s="387"/>
      <c r="X70" s="387"/>
      <c r="Y70" s="387"/>
      <c r="Z70" s="387"/>
      <c r="AG70" s="389" t="s">
        <v>1298</v>
      </c>
      <c r="AH70" s="389" t="s">
        <v>1299</v>
      </c>
      <c r="AN70" s="387" t="s">
        <v>1290</v>
      </c>
      <c r="AO70" s="387" t="s">
        <v>1291</v>
      </c>
      <c r="AP70" s="389" t="s">
        <v>1289</v>
      </c>
      <c r="AQ70" s="389" t="s">
        <v>1297</v>
      </c>
      <c r="AR70" s="387" t="s">
        <v>1288</v>
      </c>
    </row>
    <row r="71" spans="1:108" s="23" customFormat="1" ht="12.75" x14ac:dyDescent="0.2">
      <c r="A71" s="338" t="s">
        <v>1159</v>
      </c>
      <c r="B71" s="374" t="s">
        <v>1351</v>
      </c>
      <c r="C71" s="374" t="s">
        <v>1352</v>
      </c>
      <c r="D71" s="340" t="s">
        <v>1292</v>
      </c>
      <c r="E71" s="334" t="s">
        <v>1394</v>
      </c>
      <c r="F71" s="340">
        <v>45</v>
      </c>
      <c r="G71" s="340" t="s">
        <v>183</v>
      </c>
      <c r="H71" s="326" t="s">
        <v>35</v>
      </c>
      <c r="J71" s="1"/>
      <c r="K71" s="2"/>
      <c r="L71" s="1"/>
      <c r="M71" s="1"/>
      <c r="N71" s="1"/>
      <c r="S71" s="327"/>
      <c r="T71" s="327"/>
      <c r="U71" s="354" t="s">
        <v>1392</v>
      </c>
      <c r="V71" s="395" t="s">
        <v>1393</v>
      </c>
      <c r="AG71" s="332"/>
      <c r="AH71" s="332"/>
    </row>
    <row r="72" spans="1:108" s="23" customFormat="1" ht="12.75" x14ac:dyDescent="0.2">
      <c r="A72" s="338" t="s">
        <v>1159</v>
      </c>
      <c r="B72" s="374" t="s">
        <v>1353</v>
      </c>
      <c r="C72" s="374" t="s">
        <v>93</v>
      </c>
      <c r="D72" s="340" t="s">
        <v>1292</v>
      </c>
      <c r="E72" s="334" t="s">
        <v>1397</v>
      </c>
      <c r="F72" s="340">
        <v>34</v>
      </c>
      <c r="G72" s="340" t="s">
        <v>183</v>
      </c>
      <c r="H72" s="326" t="s">
        <v>35</v>
      </c>
      <c r="J72" s="1"/>
      <c r="K72" s="2"/>
      <c r="L72" s="1"/>
      <c r="M72" s="1"/>
      <c r="N72" s="1"/>
      <c r="S72" s="327"/>
      <c r="T72" s="327"/>
      <c r="AG72" s="354" t="s">
        <v>1395</v>
      </c>
      <c r="AH72" s="395" t="s">
        <v>1396</v>
      </c>
    </row>
    <row r="73" spans="1:108" s="393" customFormat="1" ht="12.75" x14ac:dyDescent="0.2">
      <c r="A73" s="401" t="s">
        <v>1159</v>
      </c>
      <c r="B73" s="400" t="s">
        <v>1293</v>
      </c>
      <c r="C73" s="400" t="s">
        <v>93</v>
      </c>
      <c r="D73" s="387" t="s">
        <v>1292</v>
      </c>
      <c r="E73" s="388" t="s">
        <v>1384</v>
      </c>
      <c r="F73" s="387">
        <v>32</v>
      </c>
      <c r="G73" s="387" t="s">
        <v>183</v>
      </c>
      <c r="H73" s="387" t="s">
        <v>35</v>
      </c>
      <c r="J73" s="402"/>
      <c r="K73" s="403"/>
      <c r="L73" s="402"/>
      <c r="M73" s="402"/>
      <c r="N73" s="402"/>
      <c r="S73" s="389" t="s">
        <v>1298</v>
      </c>
      <c r="T73" s="389" t="s">
        <v>1299</v>
      </c>
      <c r="U73" s="389" t="s">
        <v>1392</v>
      </c>
      <c r="V73" s="389" t="s">
        <v>1393</v>
      </c>
      <c r="AG73" s="389" t="s">
        <v>1298</v>
      </c>
      <c r="AH73" s="389" t="s">
        <v>1299</v>
      </c>
      <c r="AR73" s="387" t="s">
        <v>1425</v>
      </c>
      <c r="AS73" s="387" t="s">
        <v>1294</v>
      </c>
    </row>
    <row r="74" spans="1:108" s="393" customFormat="1" ht="12.75" x14ac:dyDescent="0.2">
      <c r="A74" s="401" t="s">
        <v>1159</v>
      </c>
      <c r="B74" s="400" t="s">
        <v>602</v>
      </c>
      <c r="C74" s="400" t="s">
        <v>1254</v>
      </c>
      <c r="D74" s="387" t="s">
        <v>1292</v>
      </c>
      <c r="E74" s="388" t="s">
        <v>1385</v>
      </c>
      <c r="F74" s="387">
        <v>47</v>
      </c>
      <c r="G74" s="387" t="s">
        <v>183</v>
      </c>
      <c r="H74" s="387" t="s">
        <v>35</v>
      </c>
      <c r="I74" s="387"/>
      <c r="J74" s="398"/>
      <c r="K74" s="399"/>
      <c r="L74" s="398"/>
      <c r="M74" s="398"/>
      <c r="N74" s="398"/>
      <c r="O74" s="387"/>
      <c r="P74" s="387"/>
      <c r="Q74" s="387"/>
      <c r="R74" s="387"/>
      <c r="S74" s="389" t="s">
        <v>1298</v>
      </c>
      <c r="T74" s="389" t="s">
        <v>1299</v>
      </c>
      <c r="U74" s="387"/>
      <c r="V74" s="387"/>
      <c r="W74" s="387"/>
      <c r="X74" s="387"/>
      <c r="Y74" s="387"/>
      <c r="Z74" s="387"/>
      <c r="AG74" s="389" t="s">
        <v>1298</v>
      </c>
      <c r="AH74" s="389" t="s">
        <v>1299</v>
      </c>
      <c r="AN74" s="387" t="s">
        <v>1290</v>
      </c>
      <c r="AO74" s="387" t="s">
        <v>1291</v>
      </c>
      <c r="AP74" s="389" t="s">
        <v>1289</v>
      </c>
      <c r="AQ74" s="389" t="s">
        <v>1297</v>
      </c>
      <c r="AR74" s="387" t="s">
        <v>1080</v>
      </c>
      <c r="AS74" s="390"/>
      <c r="AX74" s="390"/>
      <c r="AY74" s="390"/>
      <c r="AZ74" s="390"/>
      <c r="BA74" s="390"/>
    </row>
    <row r="75" spans="1:108" s="393" customFormat="1" ht="17.100000000000001" customHeight="1" x14ac:dyDescent="0.2">
      <c r="A75" s="401" t="s">
        <v>1159</v>
      </c>
      <c r="B75" s="386" t="s">
        <v>833</v>
      </c>
      <c r="C75" s="386" t="s">
        <v>134</v>
      </c>
      <c r="D75" s="387" t="s">
        <v>405</v>
      </c>
      <c r="E75" s="388" t="s">
        <v>1386</v>
      </c>
      <c r="F75" s="387">
        <v>36</v>
      </c>
      <c r="G75" s="387" t="s">
        <v>183</v>
      </c>
      <c r="H75" s="389" t="s">
        <v>35</v>
      </c>
      <c r="I75" s="390"/>
      <c r="J75" s="391"/>
      <c r="K75" s="392"/>
      <c r="L75" s="391"/>
      <c r="M75" s="391"/>
      <c r="N75" s="391"/>
      <c r="O75" s="389"/>
      <c r="P75" s="389"/>
      <c r="Q75" s="389"/>
      <c r="R75" s="389"/>
      <c r="S75" s="389" t="s">
        <v>1244</v>
      </c>
      <c r="T75" s="389" t="s">
        <v>1245</v>
      </c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 t="s">
        <v>1118</v>
      </c>
      <c r="AL75" s="389" t="s">
        <v>1022</v>
      </c>
      <c r="AM75" s="394" t="s">
        <v>1119</v>
      </c>
      <c r="AN75" s="389" t="s">
        <v>1092</v>
      </c>
      <c r="AO75" s="389" t="s">
        <v>1093</v>
      </c>
      <c r="AP75" s="394" t="s">
        <v>1092</v>
      </c>
      <c r="AQ75" s="389" t="s">
        <v>1093</v>
      </c>
      <c r="AR75" s="389" t="s">
        <v>1133</v>
      </c>
      <c r="AS75" s="389" t="s">
        <v>1134</v>
      </c>
      <c r="AX75" s="390"/>
      <c r="AY75" s="390"/>
      <c r="AZ75" s="390"/>
      <c r="BA75" s="390"/>
    </row>
    <row r="76" spans="1:108" s="393" customFormat="1" ht="12.75" x14ac:dyDescent="0.2">
      <c r="A76" s="401" t="s">
        <v>1159</v>
      </c>
      <c r="B76" s="400" t="s">
        <v>1255</v>
      </c>
      <c r="C76" s="400" t="s">
        <v>1322</v>
      </c>
      <c r="D76" s="387" t="s">
        <v>1292</v>
      </c>
      <c r="E76" s="388" t="s">
        <v>1387</v>
      </c>
      <c r="F76" s="387">
        <v>52</v>
      </c>
      <c r="G76" s="387" t="s">
        <v>183</v>
      </c>
      <c r="H76" s="387" t="s">
        <v>35</v>
      </c>
      <c r="I76" s="387"/>
      <c r="J76" s="398"/>
      <c r="K76" s="399"/>
      <c r="L76" s="398"/>
      <c r="M76" s="398"/>
      <c r="N76" s="398"/>
      <c r="O76" s="387"/>
      <c r="P76" s="387"/>
      <c r="Q76" s="387"/>
      <c r="R76" s="387"/>
      <c r="S76" s="389" t="s">
        <v>1298</v>
      </c>
      <c r="T76" s="395" t="s">
        <v>1299</v>
      </c>
      <c r="U76" s="387"/>
      <c r="V76" s="387"/>
      <c r="W76" s="387"/>
      <c r="X76" s="387"/>
      <c r="Y76" s="387"/>
      <c r="Z76" s="387"/>
      <c r="AG76" s="389" t="s">
        <v>1298</v>
      </c>
      <c r="AH76" s="389" t="s">
        <v>1299</v>
      </c>
      <c r="AN76" s="387" t="s">
        <v>1290</v>
      </c>
      <c r="AO76" s="387" t="s">
        <v>1291</v>
      </c>
      <c r="AP76" s="389" t="s">
        <v>1289</v>
      </c>
      <c r="AQ76" s="389" t="s">
        <v>1297</v>
      </c>
      <c r="AR76" s="387" t="s">
        <v>1287</v>
      </c>
    </row>
    <row r="77" spans="1:108" s="195" customFormat="1" ht="17.100000000000001" customHeight="1" x14ac:dyDescent="0.25">
      <c r="A77" s="434" t="s">
        <v>1159</v>
      </c>
      <c r="B77" s="373" t="s">
        <v>845</v>
      </c>
      <c r="C77" s="373" t="s">
        <v>102</v>
      </c>
      <c r="D77" s="340" t="s">
        <v>405</v>
      </c>
      <c r="E77" s="334" t="s">
        <v>1388</v>
      </c>
      <c r="F77" s="340">
        <v>45</v>
      </c>
      <c r="G77" s="340" t="s">
        <v>183</v>
      </c>
      <c r="H77" s="340" t="s">
        <v>35</v>
      </c>
      <c r="I77" s="327"/>
      <c r="J77" s="328"/>
      <c r="K77" s="329"/>
      <c r="L77" s="328"/>
      <c r="M77" s="328"/>
      <c r="N77" s="328"/>
      <c r="O77" s="330"/>
      <c r="P77" s="330"/>
      <c r="Q77" s="330"/>
      <c r="R77" s="330"/>
      <c r="S77" s="354" t="s">
        <v>1295</v>
      </c>
      <c r="T77" s="395" t="s">
        <v>1296</v>
      </c>
      <c r="U77" s="330"/>
      <c r="V77" s="330"/>
      <c r="W77" s="330"/>
      <c r="X77" s="330"/>
      <c r="Y77" s="330"/>
      <c r="Z77" s="330"/>
      <c r="AA77" s="24"/>
      <c r="AB77" s="24"/>
      <c r="AC77" s="330"/>
      <c r="AD77" s="330"/>
      <c r="AE77" s="330"/>
      <c r="AF77" s="330"/>
      <c r="AG77" s="330"/>
      <c r="AH77" s="330"/>
      <c r="AI77" s="354" t="s">
        <v>1111</v>
      </c>
      <c r="AJ77" s="395" t="s">
        <v>1193</v>
      </c>
      <c r="AK77" s="354" t="s">
        <v>912</v>
      </c>
      <c r="AL77" s="354" t="s">
        <v>1022</v>
      </c>
      <c r="AM77" s="395" t="s">
        <v>1262</v>
      </c>
      <c r="AN77" s="344" t="s">
        <v>1140</v>
      </c>
      <c r="AO77" s="344" t="s">
        <v>1142</v>
      </c>
      <c r="AP77" s="344" t="s">
        <v>1140</v>
      </c>
      <c r="AQ77" s="344" t="s">
        <v>1142</v>
      </c>
      <c r="AR77" s="330" t="s">
        <v>1040</v>
      </c>
      <c r="AS77" s="330" t="s">
        <v>1303</v>
      </c>
      <c r="AT77" s="24"/>
      <c r="AU77" s="24"/>
      <c r="AV77" s="24"/>
      <c r="AW77" s="24"/>
      <c r="AX77" s="332"/>
      <c r="AY77" s="332"/>
      <c r="AZ77" s="332"/>
      <c r="BA77" s="332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</row>
    <row r="78" spans="1:108" s="393" customFormat="1" x14ac:dyDescent="0.25">
      <c r="A78" s="435" t="s">
        <v>1159</v>
      </c>
      <c r="B78" s="400" t="s">
        <v>1440</v>
      </c>
      <c r="C78" s="400" t="s">
        <v>139</v>
      </c>
      <c r="D78" s="387" t="s">
        <v>1292</v>
      </c>
      <c r="E78" s="388" t="s">
        <v>1359</v>
      </c>
      <c r="F78" s="387">
        <v>35</v>
      </c>
      <c r="G78" s="387" t="s">
        <v>1412</v>
      </c>
      <c r="H78" s="387" t="s">
        <v>35</v>
      </c>
      <c r="J78" s="402"/>
      <c r="K78" s="403"/>
      <c r="L78" s="402"/>
      <c r="M78" s="402"/>
      <c r="N78" s="402"/>
    </row>
    <row r="79" spans="1:108" s="23" customFormat="1" x14ac:dyDescent="0.25">
      <c r="A79" s="434" t="s">
        <v>1159</v>
      </c>
      <c r="B79" s="373" t="s">
        <v>1343</v>
      </c>
      <c r="C79" s="373" t="s">
        <v>108</v>
      </c>
      <c r="D79" s="340" t="s">
        <v>405</v>
      </c>
      <c r="E79" s="334" t="s">
        <v>1389</v>
      </c>
      <c r="F79" s="340">
        <v>43</v>
      </c>
      <c r="G79" s="340" t="s">
        <v>183</v>
      </c>
      <c r="H79" s="340" t="s">
        <v>35</v>
      </c>
      <c r="I79" s="327"/>
      <c r="J79" s="328"/>
      <c r="K79" s="329"/>
      <c r="L79" s="328"/>
      <c r="M79" s="328"/>
      <c r="N79" s="328"/>
      <c r="O79" s="327"/>
      <c r="P79" s="327"/>
      <c r="Q79" s="327"/>
      <c r="R79" s="327"/>
      <c r="S79" s="327"/>
      <c r="T79" s="327"/>
      <c r="U79" s="327"/>
      <c r="V79" s="327"/>
      <c r="W79" s="327"/>
      <c r="X79" s="327"/>
      <c r="Y79" s="326"/>
      <c r="Z79" s="326"/>
      <c r="AA79" s="327"/>
      <c r="AB79" s="327"/>
      <c r="AC79" s="327"/>
      <c r="AD79" s="327"/>
      <c r="AE79" s="327"/>
      <c r="AF79" s="327"/>
      <c r="AG79" s="327"/>
      <c r="AH79" s="327"/>
      <c r="AI79" s="327"/>
      <c r="AJ79" s="327"/>
      <c r="AK79" s="340"/>
      <c r="AL79" s="340"/>
      <c r="AM79" s="340"/>
      <c r="AN79" s="354" t="s">
        <v>1277</v>
      </c>
      <c r="AO79" s="395" t="s">
        <v>1278</v>
      </c>
      <c r="AP79" s="351"/>
      <c r="AQ79" s="327"/>
      <c r="AR79" s="340"/>
      <c r="AS79" s="327"/>
      <c r="AX79" s="327"/>
      <c r="AY79" s="327"/>
      <c r="AZ79" s="327"/>
      <c r="BA79" s="327"/>
    </row>
    <row r="80" spans="1:108" s="23" customFormat="1" ht="15" customHeight="1" x14ac:dyDescent="0.25">
      <c r="A80" s="434" t="s">
        <v>1159</v>
      </c>
      <c r="B80" s="373" t="s">
        <v>880</v>
      </c>
      <c r="C80" s="373" t="s">
        <v>796</v>
      </c>
      <c r="D80" s="340" t="s">
        <v>405</v>
      </c>
      <c r="E80" s="380" t="s">
        <v>1390</v>
      </c>
      <c r="F80" s="340">
        <v>54</v>
      </c>
      <c r="G80" s="155" t="s">
        <v>183</v>
      </c>
      <c r="H80" s="340" t="s">
        <v>35</v>
      </c>
      <c r="I80" s="327"/>
      <c r="J80" s="328"/>
      <c r="K80" s="329"/>
      <c r="L80" s="328"/>
      <c r="M80" s="328"/>
      <c r="N80" s="328"/>
      <c r="O80" s="330"/>
      <c r="P80" s="330"/>
      <c r="Q80" s="330"/>
      <c r="R80" s="330"/>
      <c r="S80" s="330"/>
      <c r="T80" s="330"/>
      <c r="U80" s="330"/>
      <c r="V80" s="330"/>
      <c r="W80" s="330"/>
      <c r="X80" s="330"/>
      <c r="Y80" s="330"/>
      <c r="Z80" s="330"/>
      <c r="AA80" s="330"/>
      <c r="AB80" s="330"/>
      <c r="AC80" s="330"/>
      <c r="AD80" s="330"/>
      <c r="AE80" s="330"/>
      <c r="AF80" s="330"/>
      <c r="AG80" s="330"/>
      <c r="AH80" s="330"/>
      <c r="AI80" s="354" t="s">
        <v>1295</v>
      </c>
      <c r="AJ80" s="395" t="s">
        <v>1296</v>
      </c>
      <c r="AK80" s="354" t="s">
        <v>1327</v>
      </c>
      <c r="AL80" s="354" t="s">
        <v>1022</v>
      </c>
      <c r="AM80" s="395" t="s">
        <v>1328</v>
      </c>
      <c r="AN80" s="344" t="s">
        <v>778</v>
      </c>
      <c r="AO80" s="344" t="s">
        <v>986</v>
      </c>
      <c r="AP80" s="344" t="s">
        <v>778</v>
      </c>
      <c r="AQ80" s="344" t="s">
        <v>986</v>
      </c>
      <c r="AR80" s="330" t="s">
        <v>1080</v>
      </c>
      <c r="AS80" s="330" t="s">
        <v>1079</v>
      </c>
      <c r="AT80" s="24"/>
      <c r="AU80" s="24"/>
      <c r="AV80" s="24"/>
      <c r="AW80" s="24"/>
      <c r="AX80" s="332"/>
      <c r="AY80" s="332"/>
      <c r="AZ80" s="332"/>
      <c r="BA80" s="332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</row>
    <row r="81" spans="1:14" s="393" customFormat="1" x14ac:dyDescent="0.25">
      <c r="A81" s="435" t="s">
        <v>1159</v>
      </c>
      <c r="B81" s="400" t="s">
        <v>1426</v>
      </c>
      <c r="C81" s="400" t="s">
        <v>1427</v>
      </c>
      <c r="D81" s="387" t="s">
        <v>405</v>
      </c>
      <c r="E81" s="388" t="s">
        <v>1432</v>
      </c>
      <c r="F81" s="387">
        <v>27</v>
      </c>
      <c r="G81" s="436" t="s">
        <v>183</v>
      </c>
      <c r="H81" s="387" t="s">
        <v>35</v>
      </c>
      <c r="J81" s="402"/>
      <c r="K81" s="403"/>
      <c r="L81" s="402"/>
      <c r="M81" s="402"/>
      <c r="N81" s="402"/>
    </row>
    <row r="82" spans="1:14" s="393" customFormat="1" x14ac:dyDescent="0.25">
      <c r="A82" s="435" t="s">
        <v>1159</v>
      </c>
      <c r="B82" s="400" t="s">
        <v>1283</v>
      </c>
      <c r="C82" s="400" t="s">
        <v>1428</v>
      </c>
      <c r="D82" s="387" t="s">
        <v>405</v>
      </c>
      <c r="E82" s="388" t="s">
        <v>1438</v>
      </c>
      <c r="F82" s="436">
        <v>33</v>
      </c>
      <c r="G82" s="436" t="s">
        <v>183</v>
      </c>
      <c r="H82" s="387" t="s">
        <v>35</v>
      </c>
      <c r="J82" s="402"/>
      <c r="K82" s="403"/>
      <c r="L82" s="402"/>
      <c r="M82" s="402"/>
      <c r="N82" s="402"/>
    </row>
    <row r="83" spans="1:14" s="23" customFormat="1" x14ac:dyDescent="0.25">
      <c r="A83" s="434" t="s">
        <v>1159</v>
      </c>
      <c r="B83" s="374" t="s">
        <v>160</v>
      </c>
      <c r="C83" s="374" t="s">
        <v>96</v>
      </c>
      <c r="D83" s="340" t="s">
        <v>405</v>
      </c>
      <c r="E83" s="334" t="s">
        <v>1433</v>
      </c>
      <c r="F83" s="155">
        <v>47</v>
      </c>
      <c r="G83" s="155" t="s">
        <v>183</v>
      </c>
      <c r="H83" s="340" t="s">
        <v>35</v>
      </c>
      <c r="J83" s="1"/>
      <c r="K83" s="2"/>
      <c r="L83" s="1"/>
      <c r="M83" s="1"/>
      <c r="N83" s="1"/>
    </row>
    <row r="84" spans="1:14" s="23" customFormat="1" x14ac:dyDescent="0.25">
      <c r="A84" s="434" t="s">
        <v>1159</v>
      </c>
      <c r="B84" s="374" t="s">
        <v>1429</v>
      </c>
      <c r="C84" s="374" t="s">
        <v>84</v>
      </c>
      <c r="D84" s="340" t="s">
        <v>405</v>
      </c>
      <c r="E84" s="334" t="s">
        <v>1434</v>
      </c>
      <c r="F84" s="155">
        <v>36</v>
      </c>
      <c r="G84" s="155" t="s">
        <v>183</v>
      </c>
      <c r="H84" s="340" t="s">
        <v>35</v>
      </c>
      <c r="J84" s="1"/>
      <c r="K84" s="2"/>
      <c r="L84" s="1"/>
      <c r="M84" s="1"/>
      <c r="N84" s="1"/>
    </row>
    <row r="85" spans="1:14" s="393" customFormat="1" x14ac:dyDescent="0.25">
      <c r="A85" s="435" t="s">
        <v>1159</v>
      </c>
      <c r="B85" s="400" t="s">
        <v>1419</v>
      </c>
      <c r="C85" s="400" t="s">
        <v>600</v>
      </c>
      <c r="D85" s="387" t="s">
        <v>405</v>
      </c>
      <c r="E85" s="388" t="s">
        <v>1435</v>
      </c>
      <c r="F85" s="436">
        <v>55</v>
      </c>
      <c r="G85" s="436" t="s">
        <v>183</v>
      </c>
      <c r="H85" s="387" t="s">
        <v>35</v>
      </c>
      <c r="J85" s="402"/>
      <c r="K85" s="403"/>
      <c r="L85" s="402"/>
      <c r="M85" s="402"/>
      <c r="N85" s="402"/>
    </row>
    <row r="86" spans="1:14" s="23" customFormat="1" x14ac:dyDescent="0.25">
      <c r="A86" s="434" t="s">
        <v>1159</v>
      </c>
      <c r="B86" s="374" t="s">
        <v>1418</v>
      </c>
      <c r="C86" s="374" t="s">
        <v>68</v>
      </c>
      <c r="D86" s="340" t="s">
        <v>405</v>
      </c>
      <c r="E86" s="334" t="s">
        <v>1436</v>
      </c>
      <c r="F86" s="155">
        <v>35</v>
      </c>
      <c r="G86" s="155" t="s">
        <v>183</v>
      </c>
      <c r="H86" s="340" t="s">
        <v>35</v>
      </c>
      <c r="J86" s="1"/>
      <c r="K86" s="2"/>
      <c r="L86" s="1"/>
      <c r="M86" s="1"/>
      <c r="N86" s="1"/>
    </row>
    <row r="87" spans="1:14" s="393" customFormat="1" x14ac:dyDescent="0.25">
      <c r="A87" s="435" t="s">
        <v>1159</v>
      </c>
      <c r="B87" s="400" t="s">
        <v>1430</v>
      </c>
      <c r="C87" s="400" t="s">
        <v>1431</v>
      </c>
      <c r="D87" s="387" t="s">
        <v>405</v>
      </c>
      <c r="E87" s="388" t="s">
        <v>1437</v>
      </c>
      <c r="F87" s="436">
        <v>29</v>
      </c>
      <c r="G87" s="436" t="s">
        <v>183</v>
      </c>
      <c r="H87" s="387" t="s">
        <v>35</v>
      </c>
      <c r="J87" s="402"/>
      <c r="K87" s="403"/>
      <c r="L87" s="402"/>
      <c r="M87" s="402"/>
      <c r="N87" s="402"/>
    </row>
    <row r="88" spans="1:14" s="393" customFormat="1" ht="12.75" x14ac:dyDescent="0.2">
      <c r="A88" s="385" t="s">
        <v>1160</v>
      </c>
      <c r="B88" s="400" t="s">
        <v>1441</v>
      </c>
      <c r="C88" s="400" t="s">
        <v>95</v>
      </c>
      <c r="D88" s="387" t="s">
        <v>405</v>
      </c>
      <c r="E88" s="388" t="s">
        <v>370</v>
      </c>
      <c r="F88" s="393">
        <v>48</v>
      </c>
      <c r="G88" s="387" t="s">
        <v>183</v>
      </c>
      <c r="H88" s="389" t="s">
        <v>35</v>
      </c>
      <c r="J88" s="402"/>
      <c r="K88" s="403"/>
      <c r="L88" s="402"/>
      <c r="M88" s="402"/>
      <c r="N88" s="402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23"/>
  <sheetViews>
    <sheetView workbookViewId="0">
      <selection activeCell="B9" sqref="B9"/>
    </sheetView>
  </sheetViews>
  <sheetFormatPr defaultRowHeight="15" x14ac:dyDescent="0.25"/>
  <cols>
    <col min="1" max="1" width="16.85546875" bestFit="1" customWidth="1"/>
    <col min="2" max="3" width="11" bestFit="1" customWidth="1"/>
    <col min="4" max="4" width="14.140625" bestFit="1" customWidth="1"/>
  </cols>
  <sheetData>
    <row r="1" spans="1:4" x14ac:dyDescent="0.25">
      <c r="A1" s="189" t="s">
        <v>838</v>
      </c>
      <c r="B1" s="189" t="s">
        <v>839</v>
      </c>
      <c r="C1" s="28" t="s">
        <v>405</v>
      </c>
      <c r="D1" s="181">
        <v>8110015043085</v>
      </c>
    </row>
    <row r="2" spans="1:4" x14ac:dyDescent="0.25">
      <c r="A2" s="41" t="s">
        <v>142</v>
      </c>
      <c r="B2" s="41" t="s">
        <v>62</v>
      </c>
      <c r="C2" s="29" t="s">
        <v>405</v>
      </c>
      <c r="D2" s="182" t="s">
        <v>292</v>
      </c>
    </row>
    <row r="3" spans="1:4" x14ac:dyDescent="0.25">
      <c r="A3" s="41" t="s">
        <v>777</v>
      </c>
      <c r="B3" s="41" t="s">
        <v>65</v>
      </c>
      <c r="C3" s="29" t="s">
        <v>405</v>
      </c>
      <c r="D3" s="182">
        <v>5508075335080</v>
      </c>
    </row>
    <row r="4" spans="1:4" x14ac:dyDescent="0.25">
      <c r="A4" s="41" t="s">
        <v>798</v>
      </c>
      <c r="B4" s="41" t="s">
        <v>69</v>
      </c>
      <c r="C4" s="29" t="s">
        <v>405</v>
      </c>
      <c r="D4" s="182" t="s">
        <v>300</v>
      </c>
    </row>
    <row r="5" spans="1:4" x14ac:dyDescent="0.25">
      <c r="A5" s="41" t="s">
        <v>842</v>
      </c>
      <c r="B5" s="41" t="s">
        <v>74</v>
      </c>
      <c r="C5" s="29" t="s">
        <v>405</v>
      </c>
      <c r="D5" s="182" t="s">
        <v>329</v>
      </c>
    </row>
    <row r="6" spans="1:4" x14ac:dyDescent="0.25">
      <c r="A6" s="41" t="s">
        <v>805</v>
      </c>
      <c r="B6" s="41" t="s">
        <v>76</v>
      </c>
      <c r="C6" s="29" t="s">
        <v>405</v>
      </c>
      <c r="D6" s="182" t="s">
        <v>332</v>
      </c>
    </row>
    <row r="7" spans="1:4" x14ac:dyDescent="0.25">
      <c r="A7" s="41" t="s">
        <v>42</v>
      </c>
      <c r="B7" s="41" t="s">
        <v>77</v>
      </c>
      <c r="C7" s="29" t="s">
        <v>405</v>
      </c>
      <c r="D7" s="182" t="s">
        <v>333</v>
      </c>
    </row>
    <row r="8" spans="1:4" x14ac:dyDescent="0.25">
      <c r="A8" s="41" t="s">
        <v>847</v>
      </c>
      <c r="B8" s="41" t="s">
        <v>119</v>
      </c>
      <c r="C8" s="29" t="s">
        <v>405</v>
      </c>
      <c r="D8" s="182" t="s">
        <v>337</v>
      </c>
    </row>
    <row r="9" spans="1:4" x14ac:dyDescent="0.25">
      <c r="A9" s="41" t="s">
        <v>844</v>
      </c>
      <c r="B9" s="41" t="s">
        <v>83</v>
      </c>
      <c r="C9" s="29" t="s">
        <v>405</v>
      </c>
      <c r="D9" s="182" t="s">
        <v>339</v>
      </c>
    </row>
    <row r="10" spans="1:4" x14ac:dyDescent="0.25">
      <c r="A10" s="41" t="s">
        <v>834</v>
      </c>
      <c r="B10" s="41" t="s">
        <v>85</v>
      </c>
      <c r="C10" s="29" t="s">
        <v>405</v>
      </c>
      <c r="D10" s="182" t="s">
        <v>341</v>
      </c>
    </row>
    <row r="11" spans="1:4" x14ac:dyDescent="0.25">
      <c r="A11" s="41" t="s">
        <v>843</v>
      </c>
      <c r="B11" s="41" t="s">
        <v>187</v>
      </c>
      <c r="C11" s="29" t="s">
        <v>405</v>
      </c>
      <c r="D11" s="182" t="s">
        <v>347</v>
      </c>
    </row>
    <row r="12" spans="1:4" x14ac:dyDescent="0.25">
      <c r="A12" s="41" t="s">
        <v>813</v>
      </c>
      <c r="B12" s="41" t="s">
        <v>93</v>
      </c>
      <c r="C12" s="29" t="s">
        <v>405</v>
      </c>
      <c r="D12" s="182" t="s">
        <v>361</v>
      </c>
    </row>
    <row r="13" spans="1:4" x14ac:dyDescent="0.25">
      <c r="A13" s="41" t="s">
        <v>256</v>
      </c>
      <c r="B13" s="41" t="s">
        <v>99</v>
      </c>
      <c r="C13" s="29" t="s">
        <v>405</v>
      </c>
      <c r="D13" s="182" t="s">
        <v>371</v>
      </c>
    </row>
    <row r="14" spans="1:4" x14ac:dyDescent="0.25">
      <c r="A14" s="41" t="s">
        <v>275</v>
      </c>
      <c r="B14" s="41" t="s">
        <v>123</v>
      </c>
      <c r="C14" s="29" t="s">
        <v>405</v>
      </c>
      <c r="D14" s="182" t="s">
        <v>276</v>
      </c>
    </row>
    <row r="15" spans="1:4" x14ac:dyDescent="0.25">
      <c r="A15" s="41" t="s">
        <v>835</v>
      </c>
      <c r="B15" s="41" t="s">
        <v>198</v>
      </c>
      <c r="C15" s="29" t="s">
        <v>405</v>
      </c>
      <c r="D15" s="182" t="s">
        <v>316</v>
      </c>
    </row>
    <row r="16" spans="1:4" x14ac:dyDescent="0.25">
      <c r="A16" s="41" t="s">
        <v>823</v>
      </c>
      <c r="B16" s="41" t="s">
        <v>108</v>
      </c>
      <c r="C16" s="29" t="s">
        <v>405</v>
      </c>
      <c r="D16" s="182" t="s">
        <v>380</v>
      </c>
    </row>
    <row r="17" spans="1:4" x14ac:dyDescent="0.25">
      <c r="A17" s="41" t="s">
        <v>827</v>
      </c>
      <c r="B17" s="41" t="s">
        <v>114</v>
      </c>
      <c r="C17" s="29" t="s">
        <v>405</v>
      </c>
      <c r="D17" s="182" t="s">
        <v>273</v>
      </c>
    </row>
    <row r="18" spans="1:4" x14ac:dyDescent="0.25">
      <c r="A18" s="41" t="s">
        <v>846</v>
      </c>
      <c r="B18" s="41" t="s">
        <v>70</v>
      </c>
      <c r="C18" s="29" t="s">
        <v>405</v>
      </c>
      <c r="D18" s="182">
        <v>9007045651086</v>
      </c>
    </row>
    <row r="19" spans="1:4" x14ac:dyDescent="0.25">
      <c r="A19" s="41" t="s">
        <v>845</v>
      </c>
      <c r="B19" s="41" t="s">
        <v>102</v>
      </c>
      <c r="C19" s="29" t="s">
        <v>405</v>
      </c>
      <c r="D19" s="182">
        <v>7703185340082</v>
      </c>
    </row>
    <row r="20" spans="1:4" x14ac:dyDescent="0.25">
      <c r="A20" s="41" t="s">
        <v>254</v>
      </c>
      <c r="B20" s="41" t="s">
        <v>125</v>
      </c>
      <c r="C20" s="29" t="s">
        <v>405</v>
      </c>
      <c r="D20" s="182" t="s">
        <v>315</v>
      </c>
    </row>
    <row r="21" spans="1:4" x14ac:dyDescent="0.25">
      <c r="A21" s="190" t="s">
        <v>848</v>
      </c>
      <c r="B21" s="190" t="s">
        <v>121</v>
      </c>
      <c r="C21" s="191" t="s">
        <v>405</v>
      </c>
      <c r="D21" s="193">
        <v>7903205653080</v>
      </c>
    </row>
    <row r="22" spans="1:4" x14ac:dyDescent="0.25">
      <c r="A22" s="190" t="s">
        <v>849</v>
      </c>
      <c r="B22" s="190" t="s">
        <v>93</v>
      </c>
      <c r="C22" s="191" t="s">
        <v>405</v>
      </c>
      <c r="D22" s="192">
        <v>8301285583088</v>
      </c>
    </row>
    <row r="23" spans="1:4" x14ac:dyDescent="0.25">
      <c r="A23" s="190" t="s">
        <v>850</v>
      </c>
      <c r="B23" s="190" t="s">
        <v>851</v>
      </c>
      <c r="C23" s="191" t="s">
        <v>405</v>
      </c>
      <c r="D23" s="192">
        <v>8909285685081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97"/>
  <sheetViews>
    <sheetView topLeftCell="A19" workbookViewId="0">
      <selection activeCell="E14" sqref="E14"/>
    </sheetView>
  </sheetViews>
  <sheetFormatPr defaultRowHeight="15" x14ac:dyDescent="0.25"/>
  <cols>
    <col min="1" max="1" width="16.85546875" bestFit="1" customWidth="1"/>
    <col min="2" max="3" width="11" bestFit="1" customWidth="1"/>
    <col min="4" max="4" width="13.140625" bestFit="1" customWidth="1"/>
  </cols>
  <sheetData>
    <row r="1" spans="1:4" x14ac:dyDescent="0.25">
      <c r="A1" s="43" t="s">
        <v>31</v>
      </c>
      <c r="B1" s="43" t="s">
        <v>58</v>
      </c>
      <c r="C1" s="42" t="s">
        <v>405</v>
      </c>
      <c r="D1" s="180" t="s">
        <v>302</v>
      </c>
    </row>
    <row r="2" spans="1:4" x14ac:dyDescent="0.25">
      <c r="A2" s="28" t="s">
        <v>33</v>
      </c>
      <c r="B2" s="28" t="s">
        <v>59</v>
      </c>
      <c r="C2" s="28" t="s">
        <v>405</v>
      </c>
      <c r="D2" s="181">
        <v>7506286051080</v>
      </c>
    </row>
    <row r="3" spans="1:4" x14ac:dyDescent="0.25">
      <c r="A3" s="189" t="s">
        <v>838</v>
      </c>
      <c r="B3" s="189" t="s">
        <v>839</v>
      </c>
      <c r="C3" s="28" t="s">
        <v>405</v>
      </c>
      <c r="D3" s="181">
        <v>8110015043085</v>
      </c>
    </row>
    <row r="4" spans="1:4" x14ac:dyDescent="0.25">
      <c r="A4" s="28" t="s">
        <v>32</v>
      </c>
      <c r="B4" s="28" t="s">
        <v>60</v>
      </c>
      <c r="C4" s="28" t="s">
        <v>405</v>
      </c>
      <c r="D4" s="181" t="s">
        <v>290</v>
      </c>
    </row>
    <row r="5" spans="1:4" x14ac:dyDescent="0.25">
      <c r="A5" s="28" t="s">
        <v>776</v>
      </c>
      <c r="B5" s="28" t="s">
        <v>437</v>
      </c>
      <c r="C5" s="28" t="s">
        <v>405</v>
      </c>
      <c r="D5" s="181">
        <v>6511195441084</v>
      </c>
    </row>
    <row r="6" spans="1:4" x14ac:dyDescent="0.25">
      <c r="A6" s="29" t="s">
        <v>797</v>
      </c>
      <c r="B6" s="29" t="s">
        <v>62</v>
      </c>
      <c r="C6" s="29" t="s">
        <v>405</v>
      </c>
      <c r="D6" s="182" t="s">
        <v>291</v>
      </c>
    </row>
    <row r="7" spans="1:4" x14ac:dyDescent="0.25">
      <c r="A7" s="41" t="s">
        <v>142</v>
      </c>
      <c r="B7" s="41" t="s">
        <v>62</v>
      </c>
      <c r="C7" s="29" t="s">
        <v>405</v>
      </c>
      <c r="D7" s="182" t="s">
        <v>292</v>
      </c>
    </row>
    <row r="8" spans="1:4" x14ac:dyDescent="0.25">
      <c r="A8" s="29" t="s">
        <v>780</v>
      </c>
      <c r="B8" s="29" t="s">
        <v>62</v>
      </c>
      <c r="C8" s="29" t="s">
        <v>405</v>
      </c>
      <c r="D8" s="182">
        <v>68052255588082</v>
      </c>
    </row>
    <row r="9" spans="1:4" x14ac:dyDescent="0.25">
      <c r="A9" s="29" t="s">
        <v>781</v>
      </c>
      <c r="B9" s="29" t="s">
        <v>63</v>
      </c>
      <c r="C9" s="29" t="s">
        <v>405</v>
      </c>
      <c r="D9" s="182">
        <v>7501275686087</v>
      </c>
    </row>
    <row r="10" spans="1:4" x14ac:dyDescent="0.25">
      <c r="A10" s="186" t="s">
        <v>189</v>
      </c>
      <c r="B10" s="186" t="s">
        <v>63</v>
      </c>
      <c r="C10" s="29" t="s">
        <v>405</v>
      </c>
      <c r="D10" s="182" t="s">
        <v>348</v>
      </c>
    </row>
    <row r="11" spans="1:4" x14ac:dyDescent="0.25">
      <c r="A11" s="29" t="s">
        <v>36</v>
      </c>
      <c r="B11" s="29" t="s">
        <v>64</v>
      </c>
      <c r="C11" s="29" t="s">
        <v>405</v>
      </c>
      <c r="D11" s="182" t="s">
        <v>294</v>
      </c>
    </row>
    <row r="12" spans="1:4" x14ac:dyDescent="0.25">
      <c r="A12" s="41" t="s">
        <v>777</v>
      </c>
      <c r="B12" s="41" t="s">
        <v>65</v>
      </c>
      <c r="C12" s="29" t="s">
        <v>405</v>
      </c>
      <c r="D12" s="182">
        <v>5508075335080</v>
      </c>
    </row>
    <row r="13" spans="1:4" x14ac:dyDescent="0.25">
      <c r="A13" s="29" t="s">
        <v>144</v>
      </c>
      <c r="B13" s="29" t="s">
        <v>65</v>
      </c>
      <c r="C13" s="29" t="s">
        <v>405</v>
      </c>
      <c r="D13" s="182" t="s">
        <v>295</v>
      </c>
    </row>
    <row r="14" spans="1:4" x14ac:dyDescent="0.25">
      <c r="A14" s="29" t="s">
        <v>263</v>
      </c>
      <c r="B14" s="29" t="s">
        <v>65</v>
      </c>
      <c r="C14" s="29" t="s">
        <v>405</v>
      </c>
      <c r="D14" s="182" t="s">
        <v>296</v>
      </c>
    </row>
    <row r="15" spans="1:4" x14ac:dyDescent="0.25">
      <c r="A15" s="29" t="s">
        <v>145</v>
      </c>
      <c r="B15" s="29" t="s">
        <v>66</v>
      </c>
      <c r="C15" s="29" t="s">
        <v>405</v>
      </c>
      <c r="D15" s="182" t="s">
        <v>297</v>
      </c>
    </row>
    <row r="16" spans="1:4" x14ac:dyDescent="0.25">
      <c r="A16" s="29" t="s">
        <v>264</v>
      </c>
      <c r="B16" s="29" t="s">
        <v>67</v>
      </c>
      <c r="C16" s="29" t="s">
        <v>405</v>
      </c>
      <c r="D16" s="182" t="s">
        <v>298</v>
      </c>
    </row>
    <row r="17" spans="1:4" x14ac:dyDescent="0.25">
      <c r="A17" s="41" t="s">
        <v>798</v>
      </c>
      <c r="B17" s="41" t="s">
        <v>69</v>
      </c>
      <c r="C17" s="29" t="s">
        <v>405</v>
      </c>
      <c r="D17" s="182" t="s">
        <v>300</v>
      </c>
    </row>
    <row r="18" spans="1:4" x14ac:dyDescent="0.25">
      <c r="A18" s="29" t="s">
        <v>148</v>
      </c>
      <c r="B18" s="29" t="s">
        <v>69</v>
      </c>
      <c r="C18" s="29" t="s">
        <v>405</v>
      </c>
      <c r="D18" s="182" t="s">
        <v>301</v>
      </c>
    </row>
    <row r="19" spans="1:4" x14ac:dyDescent="0.25">
      <c r="A19" s="29" t="s">
        <v>147</v>
      </c>
      <c r="B19" s="29" t="s">
        <v>70</v>
      </c>
      <c r="C19" s="29" t="s">
        <v>405</v>
      </c>
      <c r="D19" s="182" t="s">
        <v>303</v>
      </c>
    </row>
    <row r="20" spans="1:4" x14ac:dyDescent="0.25">
      <c r="A20" s="29" t="s">
        <v>38</v>
      </c>
      <c r="B20" s="29" t="s">
        <v>70</v>
      </c>
      <c r="C20" s="29" t="s">
        <v>405</v>
      </c>
      <c r="D20" s="182" t="s">
        <v>304</v>
      </c>
    </row>
    <row r="21" spans="1:4" x14ac:dyDescent="0.25">
      <c r="A21" s="29" t="s">
        <v>799</v>
      </c>
      <c r="B21" s="29" t="s">
        <v>71</v>
      </c>
      <c r="C21" s="29" t="s">
        <v>405</v>
      </c>
      <c r="D21" s="182" t="s">
        <v>305</v>
      </c>
    </row>
    <row r="22" spans="1:4" x14ac:dyDescent="0.25">
      <c r="A22" s="29" t="s">
        <v>800</v>
      </c>
      <c r="B22" s="29" t="s">
        <v>72</v>
      </c>
      <c r="C22" s="29" t="s">
        <v>405</v>
      </c>
      <c r="D22" s="182" t="s">
        <v>324</v>
      </c>
    </row>
    <row r="23" spans="1:4" x14ac:dyDescent="0.25">
      <c r="A23" s="29" t="s">
        <v>801</v>
      </c>
      <c r="B23" s="29" t="s">
        <v>73</v>
      </c>
      <c r="C23" s="29" t="s">
        <v>405</v>
      </c>
      <c r="D23" s="182" t="s">
        <v>326</v>
      </c>
    </row>
    <row r="24" spans="1:4" x14ac:dyDescent="0.25">
      <c r="A24" s="29" t="s">
        <v>802</v>
      </c>
      <c r="B24" s="29" t="s">
        <v>73</v>
      </c>
      <c r="C24" s="29" t="s">
        <v>405</v>
      </c>
      <c r="D24" s="182" t="s">
        <v>327</v>
      </c>
    </row>
    <row r="25" spans="1:4" x14ac:dyDescent="0.25">
      <c r="A25" s="29" t="s">
        <v>803</v>
      </c>
      <c r="B25" s="29" t="s">
        <v>73</v>
      </c>
      <c r="C25" s="29" t="s">
        <v>405</v>
      </c>
      <c r="D25" s="182" t="s">
        <v>328</v>
      </c>
    </row>
    <row r="26" spans="1:4" x14ac:dyDescent="0.25">
      <c r="A26" s="41" t="s">
        <v>842</v>
      </c>
      <c r="B26" s="41" t="s">
        <v>74</v>
      </c>
      <c r="C26" s="29" t="s">
        <v>405</v>
      </c>
      <c r="D26" s="182" t="s">
        <v>329</v>
      </c>
    </row>
    <row r="27" spans="1:4" x14ac:dyDescent="0.25">
      <c r="A27" s="29" t="s">
        <v>40</v>
      </c>
      <c r="B27" s="29" t="s">
        <v>75</v>
      </c>
      <c r="C27" s="29" t="s">
        <v>405</v>
      </c>
      <c r="D27" s="182" t="s">
        <v>330</v>
      </c>
    </row>
    <row r="28" spans="1:4" x14ac:dyDescent="0.25">
      <c r="A28" s="29" t="s">
        <v>804</v>
      </c>
      <c r="B28" s="29" t="s">
        <v>76</v>
      </c>
      <c r="C28" s="29" t="s">
        <v>405</v>
      </c>
      <c r="D28" s="182" t="s">
        <v>331</v>
      </c>
    </row>
    <row r="29" spans="1:4" x14ac:dyDescent="0.25">
      <c r="A29" s="41" t="s">
        <v>805</v>
      </c>
      <c r="B29" s="41" t="s">
        <v>76</v>
      </c>
      <c r="C29" s="29" t="s">
        <v>405</v>
      </c>
      <c r="D29" s="182" t="s">
        <v>332</v>
      </c>
    </row>
    <row r="30" spans="1:4" x14ac:dyDescent="0.25">
      <c r="A30" s="41" t="s">
        <v>42</v>
      </c>
      <c r="B30" s="41" t="s">
        <v>77</v>
      </c>
      <c r="C30" s="29" t="s">
        <v>405</v>
      </c>
      <c r="D30" s="182" t="s">
        <v>333</v>
      </c>
    </row>
    <row r="31" spans="1:4" x14ac:dyDescent="0.25">
      <c r="A31" s="29" t="s">
        <v>151</v>
      </c>
      <c r="B31" s="29" t="s">
        <v>78</v>
      </c>
      <c r="C31" s="29" t="s">
        <v>405</v>
      </c>
      <c r="D31" s="182" t="s">
        <v>386</v>
      </c>
    </row>
    <row r="32" spans="1:4" x14ac:dyDescent="0.25">
      <c r="A32" s="29" t="s">
        <v>806</v>
      </c>
      <c r="B32" s="29" t="s">
        <v>79</v>
      </c>
      <c r="C32" s="29" t="s">
        <v>405</v>
      </c>
      <c r="D32" s="182" t="s">
        <v>334</v>
      </c>
    </row>
    <row r="33" spans="1:4" x14ac:dyDescent="0.25">
      <c r="A33" s="29" t="s">
        <v>807</v>
      </c>
      <c r="B33" s="29" t="s">
        <v>80</v>
      </c>
      <c r="C33" s="29" t="s">
        <v>405</v>
      </c>
      <c r="D33" s="182" t="s">
        <v>335</v>
      </c>
    </row>
    <row r="34" spans="1:4" x14ac:dyDescent="0.25">
      <c r="A34" s="41" t="s">
        <v>847</v>
      </c>
      <c r="B34" s="41" t="s">
        <v>119</v>
      </c>
      <c r="C34" s="29" t="s">
        <v>405</v>
      </c>
      <c r="D34" s="182" t="s">
        <v>337</v>
      </c>
    </row>
    <row r="35" spans="1:4" x14ac:dyDescent="0.25">
      <c r="A35" s="29" t="s">
        <v>808</v>
      </c>
      <c r="B35" s="29" t="s">
        <v>82</v>
      </c>
      <c r="C35" s="29" t="s">
        <v>405</v>
      </c>
      <c r="D35" s="182" t="s">
        <v>338</v>
      </c>
    </row>
    <row r="36" spans="1:4" x14ac:dyDescent="0.25">
      <c r="A36" s="41" t="s">
        <v>844</v>
      </c>
      <c r="B36" s="41" t="s">
        <v>83</v>
      </c>
      <c r="C36" s="29" t="s">
        <v>405</v>
      </c>
      <c r="D36" s="182" t="s">
        <v>339</v>
      </c>
    </row>
    <row r="37" spans="1:4" x14ac:dyDescent="0.25">
      <c r="A37" s="29" t="s">
        <v>809</v>
      </c>
      <c r="B37" s="29" t="s">
        <v>84</v>
      </c>
      <c r="C37" s="29" t="s">
        <v>405</v>
      </c>
      <c r="D37" s="182" t="s">
        <v>340</v>
      </c>
    </row>
    <row r="38" spans="1:4" x14ac:dyDescent="0.25">
      <c r="A38" s="29" t="s">
        <v>810</v>
      </c>
      <c r="B38" s="29" t="s">
        <v>120</v>
      </c>
      <c r="C38" s="29" t="s">
        <v>405</v>
      </c>
      <c r="D38" s="182" t="s">
        <v>277</v>
      </c>
    </row>
    <row r="39" spans="1:4" x14ac:dyDescent="0.25">
      <c r="A39" s="41" t="s">
        <v>834</v>
      </c>
      <c r="B39" s="41" t="s">
        <v>85</v>
      </c>
      <c r="C39" s="29" t="s">
        <v>405</v>
      </c>
      <c r="D39" s="182" t="s">
        <v>341</v>
      </c>
    </row>
    <row r="40" spans="1:4" x14ac:dyDescent="0.25">
      <c r="A40" s="29" t="s">
        <v>156</v>
      </c>
      <c r="B40" s="29" t="s">
        <v>342</v>
      </c>
      <c r="C40" s="29" t="s">
        <v>405</v>
      </c>
      <c r="D40" s="182" t="s">
        <v>343</v>
      </c>
    </row>
    <row r="41" spans="1:4" x14ac:dyDescent="0.25">
      <c r="A41" s="186" t="s">
        <v>195</v>
      </c>
      <c r="B41" s="186" t="s">
        <v>194</v>
      </c>
      <c r="C41" s="29" t="s">
        <v>405</v>
      </c>
      <c r="D41" s="183"/>
    </row>
    <row r="42" spans="1:4" x14ac:dyDescent="0.25">
      <c r="A42" s="29" t="s">
        <v>250</v>
      </c>
      <c r="B42" s="29" t="s">
        <v>86</v>
      </c>
      <c r="C42" s="29" t="s">
        <v>405</v>
      </c>
      <c r="D42" s="182" t="s">
        <v>344</v>
      </c>
    </row>
    <row r="43" spans="1:4" x14ac:dyDescent="0.25">
      <c r="A43" s="41" t="s">
        <v>843</v>
      </c>
      <c r="B43" s="41" t="s">
        <v>187</v>
      </c>
      <c r="C43" s="29" t="s">
        <v>405</v>
      </c>
      <c r="D43" s="182" t="s">
        <v>347</v>
      </c>
    </row>
    <row r="44" spans="1:4" x14ac:dyDescent="0.25">
      <c r="A44" s="186" t="s">
        <v>201</v>
      </c>
      <c r="B44" s="186" t="s">
        <v>200</v>
      </c>
      <c r="C44" s="29" t="s">
        <v>405</v>
      </c>
      <c r="D44" s="183"/>
    </row>
    <row r="45" spans="1:4" x14ac:dyDescent="0.25">
      <c r="A45" s="29" t="s">
        <v>47</v>
      </c>
      <c r="B45" s="29" t="s">
        <v>88</v>
      </c>
      <c r="C45" s="29" t="s">
        <v>405</v>
      </c>
      <c r="D45" s="182" t="s">
        <v>346</v>
      </c>
    </row>
    <row r="46" spans="1:4" x14ac:dyDescent="0.25">
      <c r="A46" s="29" t="s">
        <v>811</v>
      </c>
      <c r="B46" s="29" t="s">
        <v>89</v>
      </c>
      <c r="C46" s="29" t="s">
        <v>405</v>
      </c>
      <c r="D46" s="182" t="s">
        <v>350</v>
      </c>
    </row>
    <row r="47" spans="1:4" x14ac:dyDescent="0.25">
      <c r="A47" s="29" t="s">
        <v>354</v>
      </c>
      <c r="B47" s="29" t="s">
        <v>90</v>
      </c>
      <c r="C47" s="29" t="s">
        <v>405</v>
      </c>
      <c r="D47" s="182" t="s">
        <v>351</v>
      </c>
    </row>
    <row r="48" spans="1:4" x14ac:dyDescent="0.25">
      <c r="A48" s="29" t="s">
        <v>812</v>
      </c>
      <c r="B48" s="29" t="s">
        <v>91</v>
      </c>
      <c r="C48" s="29" t="s">
        <v>405</v>
      </c>
      <c r="D48" s="182" t="s">
        <v>352</v>
      </c>
    </row>
    <row r="49" spans="1:4" x14ac:dyDescent="0.25">
      <c r="A49" s="29" t="s">
        <v>165</v>
      </c>
      <c r="B49" s="29" t="s">
        <v>92</v>
      </c>
      <c r="C49" s="29" t="s">
        <v>405</v>
      </c>
      <c r="D49" s="182" t="s">
        <v>353</v>
      </c>
    </row>
    <row r="50" spans="1:4" x14ac:dyDescent="0.25">
      <c r="A50" s="41" t="s">
        <v>813</v>
      </c>
      <c r="B50" s="41" t="s">
        <v>93</v>
      </c>
      <c r="C50" s="29" t="s">
        <v>405</v>
      </c>
      <c r="D50" s="182" t="s">
        <v>361</v>
      </c>
    </row>
    <row r="51" spans="1:4" x14ac:dyDescent="0.25">
      <c r="A51" s="29" t="s">
        <v>814</v>
      </c>
      <c r="B51" s="29" t="s">
        <v>93</v>
      </c>
      <c r="C51" s="29" t="s">
        <v>405</v>
      </c>
      <c r="D51" s="182" t="s">
        <v>362</v>
      </c>
    </row>
    <row r="52" spans="1:4" x14ac:dyDescent="0.25">
      <c r="A52" s="29" t="s">
        <v>815</v>
      </c>
      <c r="B52" s="29" t="s">
        <v>93</v>
      </c>
      <c r="C52" s="29" t="s">
        <v>405</v>
      </c>
      <c r="D52" s="182" t="s">
        <v>363</v>
      </c>
    </row>
    <row r="53" spans="1:4" x14ac:dyDescent="0.25">
      <c r="A53" s="29" t="s">
        <v>816</v>
      </c>
      <c r="B53" s="29" t="s">
        <v>93</v>
      </c>
      <c r="C53" s="29" t="s">
        <v>405</v>
      </c>
      <c r="D53" s="182" t="s">
        <v>364</v>
      </c>
    </row>
    <row r="54" spans="1:4" x14ac:dyDescent="0.25">
      <c r="A54" s="29" t="s">
        <v>817</v>
      </c>
      <c r="B54" s="29" t="s">
        <v>94</v>
      </c>
      <c r="C54" s="29" t="s">
        <v>405</v>
      </c>
      <c r="D54" s="182" t="s">
        <v>365</v>
      </c>
    </row>
    <row r="55" spans="1:4" x14ac:dyDescent="0.25">
      <c r="A55" s="29" t="s">
        <v>818</v>
      </c>
      <c r="B55" s="29" t="s">
        <v>95</v>
      </c>
      <c r="C55" s="29" t="s">
        <v>405</v>
      </c>
      <c r="D55" s="182" t="s">
        <v>370</v>
      </c>
    </row>
    <row r="56" spans="1:4" x14ac:dyDescent="0.25">
      <c r="A56" s="29" t="s">
        <v>158</v>
      </c>
      <c r="B56" s="29" t="s">
        <v>96</v>
      </c>
      <c r="C56" s="29" t="s">
        <v>405</v>
      </c>
      <c r="D56" s="182" t="s">
        <v>366</v>
      </c>
    </row>
    <row r="57" spans="1:4" x14ac:dyDescent="0.25">
      <c r="A57" s="29" t="s">
        <v>359</v>
      </c>
      <c r="B57" s="29" t="s">
        <v>96</v>
      </c>
      <c r="C57" s="29" t="s">
        <v>405</v>
      </c>
      <c r="D57" s="182" t="s">
        <v>368</v>
      </c>
    </row>
    <row r="58" spans="1:4" x14ac:dyDescent="0.25">
      <c r="A58" s="186" t="s">
        <v>836</v>
      </c>
      <c r="B58" s="186" t="s">
        <v>228</v>
      </c>
      <c r="C58" s="29" t="s">
        <v>405</v>
      </c>
      <c r="D58" s="182" t="s">
        <v>399</v>
      </c>
    </row>
    <row r="59" spans="1:4" x14ac:dyDescent="0.25">
      <c r="A59" s="29" t="s">
        <v>819</v>
      </c>
      <c r="B59" s="29" t="s">
        <v>98</v>
      </c>
      <c r="C59" s="29" t="s">
        <v>405</v>
      </c>
      <c r="D59" s="182" t="s">
        <v>369</v>
      </c>
    </row>
    <row r="60" spans="1:4" x14ac:dyDescent="0.25">
      <c r="A60" s="41" t="s">
        <v>256</v>
      </c>
      <c r="B60" s="41" t="s">
        <v>99</v>
      </c>
      <c r="C60" s="29" t="s">
        <v>405</v>
      </c>
      <c r="D60" s="182" t="s">
        <v>371</v>
      </c>
    </row>
    <row r="61" spans="1:4" x14ac:dyDescent="0.25">
      <c r="A61" s="29" t="s">
        <v>820</v>
      </c>
      <c r="B61" s="29" t="s">
        <v>100</v>
      </c>
      <c r="C61" s="29" t="s">
        <v>405</v>
      </c>
      <c r="D61" s="182" t="s">
        <v>373</v>
      </c>
    </row>
    <row r="62" spans="1:4" x14ac:dyDescent="0.25">
      <c r="A62" s="29" t="s">
        <v>821</v>
      </c>
      <c r="B62" s="29" t="s">
        <v>101</v>
      </c>
      <c r="C62" s="29" t="s">
        <v>405</v>
      </c>
      <c r="D62" s="182" t="s">
        <v>374</v>
      </c>
    </row>
    <row r="63" spans="1:4" x14ac:dyDescent="0.25">
      <c r="A63" s="29" t="s">
        <v>163</v>
      </c>
      <c r="B63" s="29" t="s">
        <v>102</v>
      </c>
      <c r="C63" s="29" t="s">
        <v>405</v>
      </c>
      <c r="D63" s="182" t="s">
        <v>372</v>
      </c>
    </row>
    <row r="64" spans="1:4" x14ac:dyDescent="0.25">
      <c r="A64" s="29" t="s">
        <v>47</v>
      </c>
      <c r="B64" s="29" t="s">
        <v>104</v>
      </c>
      <c r="C64" s="29" t="s">
        <v>405</v>
      </c>
      <c r="D64" s="182" t="s">
        <v>376</v>
      </c>
    </row>
    <row r="65" spans="1:4" x14ac:dyDescent="0.25">
      <c r="A65" s="186" t="s">
        <v>837</v>
      </c>
      <c r="B65" s="186" t="s">
        <v>234</v>
      </c>
      <c r="C65" s="29" t="s">
        <v>405</v>
      </c>
      <c r="D65" s="182" t="s">
        <v>401</v>
      </c>
    </row>
    <row r="66" spans="1:4" x14ac:dyDescent="0.25">
      <c r="A66" s="41" t="s">
        <v>275</v>
      </c>
      <c r="B66" s="41" t="s">
        <v>123</v>
      </c>
      <c r="C66" s="29" t="s">
        <v>405</v>
      </c>
      <c r="D66" s="182" t="s">
        <v>276</v>
      </c>
    </row>
    <row r="67" spans="1:4" x14ac:dyDescent="0.25">
      <c r="A67" s="29" t="s">
        <v>822</v>
      </c>
      <c r="B67" s="29" t="s">
        <v>123</v>
      </c>
      <c r="C67" s="29" t="s">
        <v>405</v>
      </c>
      <c r="D67" s="182" t="s">
        <v>403</v>
      </c>
    </row>
    <row r="68" spans="1:4" x14ac:dyDescent="0.25">
      <c r="A68" s="29" t="s">
        <v>239</v>
      </c>
      <c r="B68" s="29" t="s">
        <v>106</v>
      </c>
      <c r="C68" s="29" t="s">
        <v>405</v>
      </c>
      <c r="D68" s="182" t="s">
        <v>378</v>
      </c>
    </row>
    <row r="69" spans="1:4" x14ac:dyDescent="0.25">
      <c r="A69" s="41" t="s">
        <v>835</v>
      </c>
      <c r="B69" s="41" t="s">
        <v>198</v>
      </c>
      <c r="C69" s="29" t="s">
        <v>405</v>
      </c>
      <c r="D69" s="182" t="s">
        <v>316</v>
      </c>
    </row>
    <row r="70" spans="1:4" x14ac:dyDescent="0.25">
      <c r="A70" s="41" t="s">
        <v>823</v>
      </c>
      <c r="B70" s="41" t="s">
        <v>108</v>
      </c>
      <c r="C70" s="29" t="s">
        <v>405</v>
      </c>
      <c r="D70" s="182" t="s">
        <v>380</v>
      </c>
    </row>
    <row r="71" spans="1:4" x14ac:dyDescent="0.25">
      <c r="A71" s="29" t="s">
        <v>824</v>
      </c>
      <c r="B71" s="29" t="s">
        <v>109</v>
      </c>
      <c r="C71" s="29" t="s">
        <v>405</v>
      </c>
      <c r="D71" s="182" t="s">
        <v>379</v>
      </c>
    </row>
    <row r="72" spans="1:4" x14ac:dyDescent="0.25">
      <c r="A72" s="29" t="s">
        <v>825</v>
      </c>
      <c r="B72" s="29" t="s">
        <v>126</v>
      </c>
      <c r="C72" s="29" t="s">
        <v>405</v>
      </c>
      <c r="D72" s="182" t="s">
        <v>381</v>
      </c>
    </row>
    <row r="73" spans="1:4" x14ac:dyDescent="0.25">
      <c r="A73" s="29" t="s">
        <v>160</v>
      </c>
      <c r="B73" s="29" t="s">
        <v>112</v>
      </c>
      <c r="C73" s="29" t="s">
        <v>405</v>
      </c>
      <c r="D73" s="182" t="s">
        <v>383</v>
      </c>
    </row>
    <row r="74" spans="1:4" x14ac:dyDescent="0.25">
      <c r="A74" s="29" t="s">
        <v>826</v>
      </c>
      <c r="B74" s="29" t="s">
        <v>113</v>
      </c>
      <c r="C74" s="29" t="s">
        <v>405</v>
      </c>
      <c r="D74" s="182" t="s">
        <v>384</v>
      </c>
    </row>
    <row r="75" spans="1:4" x14ac:dyDescent="0.25">
      <c r="A75" s="41" t="s">
        <v>827</v>
      </c>
      <c r="B75" s="41" t="s">
        <v>114</v>
      </c>
      <c r="C75" s="29" t="s">
        <v>405</v>
      </c>
      <c r="D75" s="182" t="s">
        <v>273</v>
      </c>
    </row>
    <row r="76" spans="1:4" x14ac:dyDescent="0.25">
      <c r="A76" s="29" t="s">
        <v>828</v>
      </c>
      <c r="B76" s="29" t="s">
        <v>115</v>
      </c>
      <c r="C76" s="29" t="s">
        <v>405</v>
      </c>
      <c r="D76" s="182" t="s">
        <v>385</v>
      </c>
    </row>
    <row r="77" spans="1:4" x14ac:dyDescent="0.25">
      <c r="A77" s="29"/>
      <c r="B77" s="29"/>
      <c r="C77" s="29"/>
      <c r="D77" s="183"/>
    </row>
    <row r="78" spans="1:4" ht="18.75" x14ac:dyDescent="0.3">
      <c r="A78" s="30" t="s">
        <v>261</v>
      </c>
      <c r="B78" s="30" t="s">
        <v>262</v>
      </c>
      <c r="C78" s="34"/>
      <c r="D78" s="184"/>
    </row>
    <row r="79" spans="1:4" x14ac:dyDescent="0.25">
      <c r="A79" s="27" t="s">
        <v>774</v>
      </c>
      <c r="B79" s="29" t="s">
        <v>116</v>
      </c>
      <c r="C79" s="29" t="s">
        <v>405</v>
      </c>
      <c r="D79" s="182" t="s">
        <v>307</v>
      </c>
    </row>
    <row r="80" spans="1:4" x14ac:dyDescent="0.25">
      <c r="A80" s="186" t="s">
        <v>829</v>
      </c>
      <c r="B80" s="29" t="s">
        <v>63</v>
      </c>
      <c r="C80" s="29" t="s">
        <v>405</v>
      </c>
      <c r="D80" s="182">
        <v>8140685</v>
      </c>
    </row>
    <row r="81" spans="1:4" x14ac:dyDescent="0.25">
      <c r="A81" s="186" t="s">
        <v>779</v>
      </c>
      <c r="B81" s="29" t="s">
        <v>65</v>
      </c>
      <c r="C81" s="29" t="s">
        <v>405</v>
      </c>
      <c r="D81" s="182">
        <v>8703205751085</v>
      </c>
    </row>
    <row r="82" spans="1:4" x14ac:dyDescent="0.25">
      <c r="A82" s="41" t="s">
        <v>846</v>
      </c>
      <c r="B82" s="41" t="s">
        <v>70</v>
      </c>
      <c r="C82" s="29" t="s">
        <v>405</v>
      </c>
      <c r="D82" s="182">
        <v>9007045651086</v>
      </c>
    </row>
    <row r="83" spans="1:4" x14ac:dyDescent="0.25">
      <c r="A83" s="186" t="s">
        <v>830</v>
      </c>
      <c r="B83" s="29" t="s">
        <v>791</v>
      </c>
      <c r="C83" s="29" t="s">
        <v>405</v>
      </c>
      <c r="D83" s="182">
        <v>8140682</v>
      </c>
    </row>
    <row r="84" spans="1:4" x14ac:dyDescent="0.25">
      <c r="A84" s="186" t="s">
        <v>831</v>
      </c>
      <c r="B84" s="29" t="s">
        <v>72</v>
      </c>
      <c r="C84" s="29" t="s">
        <v>405</v>
      </c>
      <c r="D84" s="182" t="s">
        <v>278</v>
      </c>
    </row>
    <row r="85" spans="1:4" x14ac:dyDescent="0.25">
      <c r="A85" s="186" t="s">
        <v>832</v>
      </c>
      <c r="B85" s="29" t="s">
        <v>117</v>
      </c>
      <c r="C85" s="29" t="s">
        <v>405</v>
      </c>
      <c r="D85" s="182" t="s">
        <v>309</v>
      </c>
    </row>
    <row r="86" spans="1:4" x14ac:dyDescent="0.25">
      <c r="A86" s="186" t="s">
        <v>794</v>
      </c>
      <c r="B86" s="29" t="s">
        <v>118</v>
      </c>
      <c r="C86" s="29" t="s">
        <v>405</v>
      </c>
      <c r="D86" s="182">
        <v>8140680</v>
      </c>
    </row>
    <row r="87" spans="1:4" x14ac:dyDescent="0.25">
      <c r="A87" s="186" t="s">
        <v>267</v>
      </c>
      <c r="B87" s="29" t="s">
        <v>268</v>
      </c>
      <c r="C87" s="29" t="s">
        <v>405</v>
      </c>
      <c r="D87" s="182" t="s">
        <v>274</v>
      </c>
    </row>
    <row r="88" spans="1:4" x14ac:dyDescent="0.25">
      <c r="A88" s="186" t="s">
        <v>793</v>
      </c>
      <c r="B88" s="29" t="s">
        <v>121</v>
      </c>
      <c r="C88" s="29" t="s">
        <v>405</v>
      </c>
      <c r="D88" s="29">
        <v>8140632</v>
      </c>
    </row>
    <row r="89" spans="1:4" x14ac:dyDescent="0.25">
      <c r="A89" s="186" t="s">
        <v>833</v>
      </c>
      <c r="B89" s="29" t="s">
        <v>134</v>
      </c>
      <c r="C89" s="29" t="s">
        <v>405</v>
      </c>
      <c r="D89" s="182">
        <v>801067</v>
      </c>
    </row>
    <row r="90" spans="1:4" x14ac:dyDescent="0.25">
      <c r="A90" s="186" t="s">
        <v>783</v>
      </c>
      <c r="B90" s="29" t="s">
        <v>784</v>
      </c>
      <c r="C90" s="29" t="s">
        <v>405</v>
      </c>
      <c r="D90" s="182">
        <v>8140629</v>
      </c>
    </row>
    <row r="91" spans="1:4" x14ac:dyDescent="0.25">
      <c r="A91" s="186" t="s">
        <v>787</v>
      </c>
      <c r="B91" s="29" t="s">
        <v>788</v>
      </c>
      <c r="C91" s="29" t="s">
        <v>405</v>
      </c>
      <c r="D91" s="182">
        <v>8170625</v>
      </c>
    </row>
    <row r="92" spans="1:4" x14ac:dyDescent="0.25">
      <c r="A92" s="41" t="s">
        <v>845</v>
      </c>
      <c r="B92" s="41" t="s">
        <v>102</v>
      </c>
      <c r="C92" s="29" t="s">
        <v>405</v>
      </c>
      <c r="D92" s="182">
        <v>7703185340082</v>
      </c>
    </row>
    <row r="93" spans="1:4" x14ac:dyDescent="0.25">
      <c r="A93" s="186" t="s">
        <v>36</v>
      </c>
      <c r="B93" s="29" t="s">
        <v>792</v>
      </c>
      <c r="C93" s="29" t="s">
        <v>405</v>
      </c>
      <c r="D93" s="182">
        <v>8140627</v>
      </c>
    </row>
    <row r="94" spans="1:4" x14ac:dyDescent="0.25">
      <c r="A94" s="41" t="s">
        <v>254</v>
      </c>
      <c r="B94" s="41" t="s">
        <v>125</v>
      </c>
      <c r="C94" s="29" t="s">
        <v>405</v>
      </c>
      <c r="D94" s="182" t="s">
        <v>315</v>
      </c>
    </row>
    <row r="95" spans="1:4" x14ac:dyDescent="0.25">
      <c r="A95" s="186" t="s">
        <v>785</v>
      </c>
      <c r="B95" s="29" t="s">
        <v>786</v>
      </c>
      <c r="C95" s="29" t="s">
        <v>405</v>
      </c>
      <c r="D95" s="182">
        <v>8140630</v>
      </c>
    </row>
    <row r="96" spans="1:4" x14ac:dyDescent="0.25">
      <c r="A96" s="186" t="s">
        <v>789</v>
      </c>
      <c r="B96" s="29" t="s">
        <v>790</v>
      </c>
      <c r="C96" s="29" t="s">
        <v>405</v>
      </c>
      <c r="D96" s="182">
        <v>8140622</v>
      </c>
    </row>
    <row r="97" spans="1:4" x14ac:dyDescent="0.25">
      <c r="A97" s="186" t="s">
        <v>795</v>
      </c>
      <c r="B97" s="29" t="s">
        <v>796</v>
      </c>
      <c r="C97" s="29" t="s">
        <v>405</v>
      </c>
      <c r="D97" s="182">
        <v>8140678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T41"/>
  <sheetViews>
    <sheetView workbookViewId="0">
      <pane xSplit="8" ySplit="1" topLeftCell="AM9" activePane="bottomRight" state="frozen"/>
      <selection pane="topRight" activeCell="I1" sqref="I1"/>
      <selection pane="bottomLeft" activeCell="A2" sqref="A2"/>
      <selection pane="bottomRight" activeCell="C21" sqref="C21"/>
    </sheetView>
  </sheetViews>
  <sheetFormatPr defaultRowHeight="15" x14ac:dyDescent="0.25"/>
  <cols>
    <col min="1" max="1" width="11.140625" bestFit="1" customWidth="1"/>
    <col min="2" max="2" width="12.28515625" bestFit="1" customWidth="1"/>
    <col min="3" max="3" width="11.42578125" bestFit="1" customWidth="1"/>
    <col min="4" max="4" width="16.7109375" bestFit="1" customWidth="1"/>
    <col min="5" max="5" width="13.140625" style="47" bestFit="1" customWidth="1"/>
    <col min="6" max="6" width="8.28515625" style="47" bestFit="1" customWidth="1"/>
    <col min="7" max="7" width="8.7109375" bestFit="1" customWidth="1"/>
    <col min="8" max="8" width="10.5703125" bestFit="1" customWidth="1"/>
    <col min="9" max="9" width="9.28515625" bestFit="1" customWidth="1"/>
    <col min="10" max="10" width="12" bestFit="1" customWidth="1"/>
    <col min="11" max="11" width="9.28515625" bestFit="1" customWidth="1"/>
    <col min="12" max="12" width="14.28515625" bestFit="1" customWidth="1"/>
    <col min="13" max="13" width="12.28515625" bestFit="1" customWidth="1"/>
    <col min="14" max="14" width="12" bestFit="1" customWidth="1"/>
    <col min="15" max="15" width="9.28515625" bestFit="1" customWidth="1"/>
    <col min="16" max="16" width="12" bestFit="1" customWidth="1"/>
    <col min="17" max="17" width="12.85546875" bestFit="1" customWidth="1"/>
    <col min="18" max="18" width="14.28515625" bestFit="1" customWidth="1"/>
    <col min="20" max="20" width="12" bestFit="1" customWidth="1"/>
    <col min="21" max="21" width="10" bestFit="1" customWidth="1"/>
    <col min="22" max="22" width="12" bestFit="1" customWidth="1"/>
    <col min="23" max="23" width="9.85546875" bestFit="1" customWidth="1"/>
    <col min="24" max="24" width="12" bestFit="1" customWidth="1"/>
    <col min="25" max="25" width="11.5703125" bestFit="1" customWidth="1"/>
    <col min="26" max="26" width="12" bestFit="1" customWidth="1"/>
    <col min="27" max="27" width="10.5703125" bestFit="1" customWidth="1"/>
    <col min="28" max="28" width="12" bestFit="1" customWidth="1"/>
    <col min="29" max="29" width="13.7109375" bestFit="1" customWidth="1"/>
    <col min="30" max="30" width="12" bestFit="1" customWidth="1"/>
    <col min="31" max="31" width="13.7109375" bestFit="1" customWidth="1"/>
    <col min="32" max="32" width="12" bestFit="1" customWidth="1"/>
    <col min="33" max="33" width="11.7109375" bestFit="1" customWidth="1"/>
    <col min="34" max="34" width="12" bestFit="1" customWidth="1"/>
    <col min="35" max="35" width="12.5703125" bestFit="1" customWidth="1"/>
    <col min="36" max="36" width="12" bestFit="1" customWidth="1"/>
    <col min="37" max="37" width="10.7109375" bestFit="1" customWidth="1"/>
    <col min="38" max="38" width="12" bestFit="1" customWidth="1"/>
    <col min="39" max="39" width="13.5703125" bestFit="1" customWidth="1"/>
    <col min="40" max="40" width="12" bestFit="1" customWidth="1"/>
    <col min="41" max="41" width="13.28515625" bestFit="1" customWidth="1"/>
    <col min="42" max="42" width="12" bestFit="1" customWidth="1"/>
    <col min="43" max="43" width="10.7109375" bestFit="1" customWidth="1"/>
    <col min="44" max="44" width="12" bestFit="1" customWidth="1"/>
    <col min="46" max="46" width="10.5703125" customWidth="1"/>
  </cols>
  <sheetData>
    <row r="1" spans="1:46" ht="33.75" x14ac:dyDescent="0.25">
      <c r="A1" s="16" t="s">
        <v>4</v>
      </c>
      <c r="B1" s="16" t="s">
        <v>7</v>
      </c>
      <c r="C1" s="16" t="s">
        <v>0</v>
      </c>
      <c r="D1" s="16" t="s">
        <v>8</v>
      </c>
      <c r="E1" s="46" t="s">
        <v>1</v>
      </c>
      <c r="F1" s="46" t="s">
        <v>11</v>
      </c>
      <c r="G1" s="17" t="s">
        <v>10</v>
      </c>
      <c r="H1" s="17" t="s">
        <v>9</v>
      </c>
      <c r="I1" s="19" t="s">
        <v>15</v>
      </c>
      <c r="J1" s="20" t="s">
        <v>17</v>
      </c>
      <c r="K1" s="21" t="s">
        <v>16</v>
      </c>
      <c r="L1" s="20" t="s">
        <v>17</v>
      </c>
      <c r="M1" s="19" t="s">
        <v>18</v>
      </c>
      <c r="N1" s="20" t="s">
        <v>17</v>
      </c>
      <c r="O1" s="19" t="s">
        <v>19</v>
      </c>
      <c r="P1" s="20" t="s">
        <v>17</v>
      </c>
      <c r="Q1" s="19" t="s">
        <v>20</v>
      </c>
      <c r="R1" s="20" t="s">
        <v>17</v>
      </c>
      <c r="S1" s="19" t="s">
        <v>21</v>
      </c>
      <c r="T1" s="20" t="s">
        <v>17</v>
      </c>
      <c r="U1" s="19" t="s">
        <v>22</v>
      </c>
      <c r="V1" s="20" t="s">
        <v>17</v>
      </c>
      <c r="W1" s="19" t="s">
        <v>23</v>
      </c>
      <c r="X1" s="20" t="s">
        <v>17</v>
      </c>
      <c r="Y1" s="19" t="s">
        <v>24</v>
      </c>
      <c r="Z1" s="20" t="s">
        <v>17</v>
      </c>
      <c r="AA1" s="19" t="s">
        <v>25</v>
      </c>
      <c r="AB1" s="20" t="s">
        <v>17</v>
      </c>
      <c r="AC1" s="19" t="s">
        <v>251</v>
      </c>
      <c r="AD1" s="20" t="s">
        <v>17</v>
      </c>
      <c r="AE1" s="19" t="s">
        <v>252</v>
      </c>
      <c r="AF1" s="20" t="s">
        <v>17</v>
      </c>
      <c r="AG1" s="22" t="s">
        <v>26</v>
      </c>
      <c r="AH1" s="20" t="s">
        <v>6</v>
      </c>
      <c r="AI1" s="22" t="s">
        <v>27</v>
      </c>
      <c r="AJ1" s="20" t="s">
        <v>17</v>
      </c>
      <c r="AK1" s="22" t="s">
        <v>28</v>
      </c>
      <c r="AL1" s="20" t="s">
        <v>17</v>
      </c>
      <c r="AM1" s="22" t="s">
        <v>29</v>
      </c>
      <c r="AN1" s="20" t="s">
        <v>17</v>
      </c>
      <c r="AO1" s="22" t="s">
        <v>30</v>
      </c>
      <c r="AP1" s="20" t="s">
        <v>17</v>
      </c>
      <c r="AQ1" s="22" t="s">
        <v>28</v>
      </c>
      <c r="AR1" s="20" t="s">
        <v>17</v>
      </c>
      <c r="AS1" s="22" t="s">
        <v>448</v>
      </c>
      <c r="AT1" s="88" t="s">
        <v>594</v>
      </c>
    </row>
    <row r="2" spans="1:46" x14ac:dyDescent="0.25">
      <c r="A2" s="27"/>
      <c r="B2" s="45" t="s">
        <v>422</v>
      </c>
      <c r="C2" s="45" t="s">
        <v>440</v>
      </c>
      <c r="D2" s="45" t="s">
        <v>446</v>
      </c>
      <c r="E2" s="48">
        <v>5210055581086</v>
      </c>
      <c r="F2" s="58">
        <v>64</v>
      </c>
      <c r="G2" s="28" t="s">
        <v>183</v>
      </c>
      <c r="H2" s="28" t="s">
        <v>35</v>
      </c>
      <c r="I2" s="70" t="s">
        <v>539</v>
      </c>
      <c r="J2" s="70" t="s">
        <v>540</v>
      </c>
      <c r="K2" s="72" t="s">
        <v>449</v>
      </c>
      <c r="L2" s="72" t="s">
        <v>450</v>
      </c>
      <c r="M2" s="45"/>
      <c r="N2" s="45"/>
      <c r="O2" s="45"/>
      <c r="P2" s="45"/>
      <c r="Q2" s="68" t="s">
        <v>451</v>
      </c>
      <c r="R2" s="68" t="s">
        <v>450</v>
      </c>
      <c r="S2" s="45"/>
      <c r="T2" s="45"/>
      <c r="U2" s="45"/>
      <c r="V2" s="45"/>
      <c r="W2" s="45"/>
      <c r="X2" s="45"/>
      <c r="Y2" s="76" t="s">
        <v>582</v>
      </c>
      <c r="Z2" s="84" t="s">
        <v>583</v>
      </c>
      <c r="AA2" s="45"/>
      <c r="AB2" s="77"/>
      <c r="AC2" s="45"/>
      <c r="AD2" s="45"/>
      <c r="AE2" s="45"/>
      <c r="AF2" s="45"/>
      <c r="AG2" s="45" t="s">
        <v>244</v>
      </c>
      <c r="AH2" s="77" t="s">
        <v>563</v>
      </c>
      <c r="AI2" s="75" t="s">
        <v>501</v>
      </c>
      <c r="AJ2" s="84" t="s">
        <v>584</v>
      </c>
      <c r="AK2" s="76" t="s">
        <v>501</v>
      </c>
      <c r="AL2" s="84" t="s">
        <v>584</v>
      </c>
      <c r="AM2" s="45"/>
      <c r="AN2" s="45"/>
      <c r="AO2" s="76" t="s">
        <v>501</v>
      </c>
      <c r="AP2" s="77" t="s">
        <v>584</v>
      </c>
      <c r="AQ2" s="76" t="s">
        <v>501</v>
      </c>
      <c r="AR2" s="77" t="s">
        <v>584</v>
      </c>
      <c r="AS2" s="57" t="s">
        <v>505</v>
      </c>
    </row>
    <row r="3" spans="1:46" s="81" customFormat="1" hidden="1" x14ac:dyDescent="0.25">
      <c r="A3" s="41" t="s">
        <v>585</v>
      </c>
      <c r="B3" s="59" t="s">
        <v>188</v>
      </c>
      <c r="C3" s="59" t="s">
        <v>439</v>
      </c>
      <c r="D3" s="59" t="s">
        <v>446</v>
      </c>
      <c r="E3" s="78">
        <v>5202065357086</v>
      </c>
      <c r="F3" s="79">
        <v>65</v>
      </c>
      <c r="G3" s="41" t="s">
        <v>183</v>
      </c>
      <c r="H3" s="41" t="s">
        <v>35</v>
      </c>
      <c r="I3" s="59" t="s">
        <v>531</v>
      </c>
      <c r="J3" s="59" t="s">
        <v>531</v>
      </c>
      <c r="K3" s="59" t="s">
        <v>459</v>
      </c>
      <c r="L3" s="59" t="s">
        <v>450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 t="s">
        <v>452</v>
      </c>
      <c r="Z3" s="59" t="s">
        <v>453</v>
      </c>
      <c r="AA3" s="59" t="s">
        <v>541</v>
      </c>
      <c r="AB3" s="59" t="s">
        <v>541</v>
      </c>
      <c r="AC3" s="59"/>
      <c r="AD3" s="59"/>
      <c r="AE3" s="59"/>
      <c r="AF3" s="59"/>
      <c r="AG3" s="59" t="s">
        <v>461</v>
      </c>
      <c r="AH3" s="59"/>
      <c r="AI3" s="59" t="s">
        <v>452</v>
      </c>
      <c r="AJ3" s="59" t="s">
        <v>453</v>
      </c>
      <c r="AK3" s="59" t="s">
        <v>452</v>
      </c>
      <c r="AL3" s="59" t="s">
        <v>453</v>
      </c>
      <c r="AM3" s="59"/>
      <c r="AN3" s="59"/>
      <c r="AO3" s="59" t="s">
        <v>462</v>
      </c>
      <c r="AP3" s="59" t="s">
        <v>453</v>
      </c>
      <c r="AQ3" s="59" t="s">
        <v>452</v>
      </c>
      <c r="AR3" s="59" t="s">
        <v>453</v>
      </c>
      <c r="AS3" s="80" t="s">
        <v>488</v>
      </c>
    </row>
    <row r="4" spans="1:46" x14ac:dyDescent="0.25">
      <c r="A4" s="27"/>
      <c r="B4" s="45" t="s">
        <v>188</v>
      </c>
      <c r="C4" s="45" t="s">
        <v>436</v>
      </c>
      <c r="D4" s="45" t="s">
        <v>446</v>
      </c>
      <c r="E4" s="48">
        <v>5611025732081</v>
      </c>
      <c r="F4" s="50">
        <v>60</v>
      </c>
      <c r="G4" s="28" t="s">
        <v>183</v>
      </c>
      <c r="H4" s="28" t="s">
        <v>35</v>
      </c>
      <c r="I4" s="72" t="s">
        <v>463</v>
      </c>
      <c r="J4" s="72" t="s">
        <v>464</v>
      </c>
      <c r="K4" s="72" t="s">
        <v>449</v>
      </c>
      <c r="L4" s="72" t="s">
        <v>450</v>
      </c>
      <c r="M4" s="45"/>
      <c r="N4" s="45"/>
      <c r="O4" s="45"/>
      <c r="P4" s="45"/>
      <c r="Q4" s="70"/>
      <c r="R4" s="70"/>
      <c r="S4" s="45"/>
      <c r="T4" s="45"/>
      <c r="U4" s="45"/>
      <c r="V4" s="45"/>
      <c r="W4" s="45"/>
      <c r="X4" s="45"/>
      <c r="Y4" s="76" t="s">
        <v>548</v>
      </c>
      <c r="Z4" s="77" t="s">
        <v>549</v>
      </c>
      <c r="AA4" s="70" t="s">
        <v>465</v>
      </c>
      <c r="AB4" s="70" t="s">
        <v>466</v>
      </c>
      <c r="AC4" s="45"/>
      <c r="AD4" s="45"/>
      <c r="AE4" s="45"/>
      <c r="AF4" s="44"/>
      <c r="AG4" s="45" t="s">
        <v>561</v>
      </c>
      <c r="AH4" s="77" t="s">
        <v>562</v>
      </c>
      <c r="AI4" s="75" t="s">
        <v>546</v>
      </c>
      <c r="AJ4" s="77" t="s">
        <v>547</v>
      </c>
      <c r="AK4" s="76" t="s">
        <v>546</v>
      </c>
      <c r="AL4" s="77" t="s">
        <v>547</v>
      </c>
      <c r="AM4" s="45"/>
      <c r="AN4" s="45"/>
      <c r="AO4" s="76" t="s">
        <v>546</v>
      </c>
      <c r="AP4" s="77" t="s">
        <v>547</v>
      </c>
      <c r="AQ4" s="76" t="s">
        <v>546</v>
      </c>
      <c r="AR4" s="77" t="s">
        <v>547</v>
      </c>
      <c r="AS4" s="57" t="s">
        <v>518</v>
      </c>
    </row>
    <row r="5" spans="1:46" s="81" customFormat="1" hidden="1" x14ac:dyDescent="0.25">
      <c r="A5" s="41" t="s">
        <v>585</v>
      </c>
      <c r="B5" s="59" t="s">
        <v>188</v>
      </c>
      <c r="C5" s="59" t="s">
        <v>431</v>
      </c>
      <c r="D5" s="59" t="s">
        <v>446</v>
      </c>
      <c r="E5" s="78">
        <v>5611185317987</v>
      </c>
      <c r="F5" s="79">
        <v>60</v>
      </c>
      <c r="G5" s="41" t="s">
        <v>183</v>
      </c>
      <c r="H5" s="41" t="s">
        <v>35</v>
      </c>
      <c r="I5" s="59" t="s">
        <v>468</v>
      </c>
      <c r="J5" s="59" t="s">
        <v>469</v>
      </c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 t="s">
        <v>468</v>
      </c>
      <c r="Z5" s="59" t="s">
        <v>469</v>
      </c>
      <c r="AA5" s="59" t="s">
        <v>513</v>
      </c>
      <c r="AB5" s="59" t="s">
        <v>526</v>
      </c>
      <c r="AC5" s="59"/>
      <c r="AD5" s="59"/>
      <c r="AE5" s="59"/>
      <c r="AF5" s="59"/>
      <c r="AG5" s="59" t="s">
        <v>559</v>
      </c>
      <c r="AH5" s="59"/>
      <c r="AI5" s="59" t="s">
        <v>513</v>
      </c>
      <c r="AJ5" s="59" t="s">
        <v>526</v>
      </c>
      <c r="AK5" s="59" t="s">
        <v>513</v>
      </c>
      <c r="AL5" s="59" t="s">
        <v>526</v>
      </c>
      <c r="AM5" s="59"/>
      <c r="AN5" s="59"/>
      <c r="AO5" s="59" t="s">
        <v>513</v>
      </c>
      <c r="AP5" s="59" t="s">
        <v>526</v>
      </c>
      <c r="AQ5" s="59" t="s">
        <v>513</v>
      </c>
      <c r="AR5" s="59" t="s">
        <v>526</v>
      </c>
      <c r="AS5" s="80" t="s">
        <v>528</v>
      </c>
    </row>
    <row r="6" spans="1:46" s="81" customFormat="1" hidden="1" x14ac:dyDescent="0.25">
      <c r="A6" s="41" t="s">
        <v>585</v>
      </c>
      <c r="B6" s="59" t="s">
        <v>418</v>
      </c>
      <c r="C6" s="59" t="s">
        <v>434</v>
      </c>
      <c r="D6" s="59" t="s">
        <v>446</v>
      </c>
      <c r="E6" s="78">
        <v>5806265939087</v>
      </c>
      <c r="F6" s="79">
        <v>58</v>
      </c>
      <c r="G6" s="41" t="s">
        <v>183</v>
      </c>
      <c r="H6" s="41" t="s">
        <v>35</v>
      </c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 t="s">
        <v>509</v>
      </c>
      <c r="Z6" s="59" t="s">
        <v>510</v>
      </c>
      <c r="AA6" s="59" t="s">
        <v>511</v>
      </c>
      <c r="AB6" s="59" t="s">
        <v>512</v>
      </c>
      <c r="AC6" s="59"/>
      <c r="AD6" s="59"/>
      <c r="AE6" s="59"/>
      <c r="AF6" s="59"/>
      <c r="AG6" s="59" t="s">
        <v>520</v>
      </c>
      <c r="AH6" s="59"/>
      <c r="AI6" s="59" t="s">
        <v>509</v>
      </c>
      <c r="AJ6" s="59" t="s">
        <v>510</v>
      </c>
      <c r="AK6" s="59" t="s">
        <v>513</v>
      </c>
      <c r="AL6" s="59" t="s">
        <v>512</v>
      </c>
      <c r="AM6" s="59"/>
      <c r="AN6" s="59"/>
      <c r="AO6" s="82" t="s">
        <v>509</v>
      </c>
      <c r="AP6" s="59" t="s">
        <v>510</v>
      </c>
      <c r="AQ6" s="59" t="s">
        <v>511</v>
      </c>
      <c r="AR6" s="59" t="s">
        <v>512</v>
      </c>
      <c r="AS6" s="80" t="s">
        <v>503</v>
      </c>
    </row>
    <row r="7" spans="1:46" s="81" customFormat="1" hidden="1" x14ac:dyDescent="0.25">
      <c r="A7" s="41" t="s">
        <v>585</v>
      </c>
      <c r="B7" s="59" t="s">
        <v>421</v>
      </c>
      <c r="C7" s="59" t="s">
        <v>438</v>
      </c>
      <c r="D7" s="59" t="s">
        <v>446</v>
      </c>
      <c r="E7" s="78">
        <v>5811116277083</v>
      </c>
      <c r="F7" s="79">
        <v>58</v>
      </c>
      <c r="G7" s="41" t="s">
        <v>183</v>
      </c>
      <c r="H7" s="41" t="s">
        <v>35</v>
      </c>
      <c r="I7" s="59" t="s">
        <v>530</v>
      </c>
      <c r="J7" s="59" t="s">
        <v>530</v>
      </c>
      <c r="K7" s="59" t="s">
        <v>530</v>
      </c>
      <c r="L7" s="59" t="s">
        <v>530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 t="s">
        <v>470</v>
      </c>
      <c r="Z7" s="59" t="s">
        <v>471</v>
      </c>
      <c r="AA7" s="59" t="s">
        <v>542</v>
      </c>
      <c r="AB7" s="59" t="s">
        <v>542</v>
      </c>
      <c r="AC7" s="59"/>
      <c r="AD7" s="59"/>
      <c r="AE7" s="59"/>
      <c r="AF7" s="59"/>
      <c r="AG7" s="59" t="s">
        <v>248</v>
      </c>
      <c r="AH7" s="59"/>
      <c r="AI7" s="59" t="s">
        <v>530</v>
      </c>
      <c r="AJ7" s="59" t="s">
        <v>530</v>
      </c>
      <c r="AK7" s="59" t="s">
        <v>530</v>
      </c>
      <c r="AL7" s="59" t="s">
        <v>530</v>
      </c>
      <c r="AM7" s="59"/>
      <c r="AN7" s="59"/>
      <c r="AO7" s="59" t="s">
        <v>529</v>
      </c>
      <c r="AP7" s="59" t="s">
        <v>530</v>
      </c>
      <c r="AQ7" s="59" t="s">
        <v>530</v>
      </c>
      <c r="AR7" s="59" t="s">
        <v>530</v>
      </c>
      <c r="AS7" s="80" t="s">
        <v>483</v>
      </c>
    </row>
    <row r="8" spans="1:46" hidden="1" x14ac:dyDescent="0.25">
      <c r="A8" s="41" t="s">
        <v>585</v>
      </c>
      <c r="B8" s="59" t="s">
        <v>414</v>
      </c>
      <c r="C8" s="59" t="s">
        <v>429</v>
      </c>
      <c r="D8" s="59" t="s">
        <v>446</v>
      </c>
      <c r="E8" s="78">
        <v>6505015510086</v>
      </c>
      <c r="F8" s="79">
        <v>51</v>
      </c>
      <c r="G8" s="41" t="s">
        <v>183</v>
      </c>
      <c r="H8" s="41" t="s">
        <v>35</v>
      </c>
      <c r="I8" s="59" t="s">
        <v>281</v>
      </c>
      <c r="J8" s="59" t="s">
        <v>282</v>
      </c>
      <c r="K8" s="59" t="s">
        <v>463</v>
      </c>
      <c r="L8" s="59" t="s">
        <v>450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 t="s">
        <v>452</v>
      </c>
      <c r="Z8" s="59" t="s">
        <v>453</v>
      </c>
      <c r="AA8" s="59" t="s">
        <v>481</v>
      </c>
      <c r="AB8" s="59" t="s">
        <v>482</v>
      </c>
      <c r="AC8" s="59"/>
      <c r="AD8" s="59"/>
      <c r="AE8" s="59"/>
      <c r="AF8" s="59"/>
      <c r="AG8" s="59"/>
      <c r="AH8" s="59"/>
      <c r="AI8" s="59" t="s">
        <v>452</v>
      </c>
      <c r="AJ8" s="59" t="s">
        <v>453</v>
      </c>
      <c r="AK8" s="59" t="s">
        <v>481</v>
      </c>
      <c r="AL8" s="59" t="s">
        <v>482</v>
      </c>
      <c r="AM8" s="59"/>
      <c r="AN8" s="59"/>
      <c r="AO8" s="59" t="s">
        <v>452</v>
      </c>
      <c r="AP8" s="59" t="s">
        <v>453</v>
      </c>
      <c r="AQ8" s="59" t="s">
        <v>481</v>
      </c>
      <c r="AR8" s="59" t="s">
        <v>482</v>
      </c>
      <c r="AS8" s="80" t="s">
        <v>544</v>
      </c>
    </row>
    <row r="9" spans="1:46" s="74" customFormat="1" x14ac:dyDescent="0.25">
      <c r="A9" s="27"/>
      <c r="B9" s="45" t="s">
        <v>420</v>
      </c>
      <c r="C9" s="45" t="s">
        <v>437</v>
      </c>
      <c r="D9" s="45" t="s">
        <v>446</v>
      </c>
      <c r="E9" s="48">
        <v>6511195441084</v>
      </c>
      <c r="F9" s="50">
        <v>51</v>
      </c>
      <c r="G9" s="28" t="s">
        <v>183</v>
      </c>
      <c r="H9" s="28" t="s">
        <v>35</v>
      </c>
      <c r="I9" s="71" t="s">
        <v>281</v>
      </c>
      <c r="J9" s="71" t="s">
        <v>282</v>
      </c>
      <c r="K9" s="70"/>
      <c r="L9" s="70"/>
      <c r="M9" s="45"/>
      <c r="N9" s="45"/>
      <c r="O9" s="45"/>
      <c r="P9" s="45"/>
      <c r="Q9" s="70"/>
      <c r="R9" s="70"/>
      <c r="S9" s="45"/>
      <c r="T9" s="45"/>
      <c r="U9" s="45"/>
      <c r="V9" s="45"/>
      <c r="W9" s="45"/>
      <c r="X9" s="45"/>
      <c r="Y9" s="76" t="s">
        <v>523</v>
      </c>
      <c r="Z9" s="77" t="s">
        <v>524</v>
      </c>
      <c r="AA9" s="45"/>
      <c r="AB9" s="77"/>
      <c r="AC9" s="63"/>
      <c r="AD9" s="45"/>
      <c r="AE9" s="45"/>
      <c r="AF9" s="45"/>
      <c r="AG9" s="45" t="s">
        <v>571</v>
      </c>
      <c r="AH9" s="77" t="s">
        <v>570</v>
      </c>
      <c r="AI9" s="75" t="s">
        <v>466</v>
      </c>
      <c r="AJ9" s="77" t="s">
        <v>589</v>
      </c>
      <c r="AK9" s="76" t="s">
        <v>466</v>
      </c>
      <c r="AL9" s="77" t="s">
        <v>589</v>
      </c>
      <c r="AM9" s="45"/>
      <c r="AN9" s="45"/>
      <c r="AO9" s="76" t="s">
        <v>521</v>
      </c>
      <c r="AP9" s="77" t="s">
        <v>522</v>
      </c>
      <c r="AQ9" s="76" t="s">
        <v>521</v>
      </c>
      <c r="AR9" s="77" t="s">
        <v>522</v>
      </c>
      <c r="AS9" s="57" t="s">
        <v>543</v>
      </c>
    </row>
    <row r="10" spans="1:46" s="81" customFormat="1" x14ac:dyDescent="0.25">
      <c r="A10" s="27"/>
      <c r="B10" s="45" t="s">
        <v>416</v>
      </c>
      <c r="C10" s="45" t="s">
        <v>93</v>
      </c>
      <c r="D10" s="45" t="s">
        <v>446</v>
      </c>
      <c r="E10" s="48">
        <v>7206165452083</v>
      </c>
      <c r="F10" s="50">
        <v>44</v>
      </c>
      <c r="G10" s="28" t="s">
        <v>183</v>
      </c>
      <c r="H10" s="28" t="s">
        <v>35</v>
      </c>
      <c r="I10" s="45"/>
      <c r="J10" s="45"/>
      <c r="K10" s="70"/>
      <c r="L10" s="70"/>
      <c r="M10" s="45"/>
      <c r="N10" s="45"/>
      <c r="O10" s="45"/>
      <c r="P10" s="45"/>
      <c r="Q10" s="70"/>
      <c r="R10" s="70"/>
      <c r="S10" s="45"/>
      <c r="T10" s="45"/>
      <c r="U10" s="45"/>
      <c r="V10" s="45"/>
      <c r="W10" s="45"/>
      <c r="X10" s="45"/>
      <c r="Y10" s="76" t="s">
        <v>551</v>
      </c>
      <c r="Z10" s="77" t="s">
        <v>500</v>
      </c>
      <c r="AA10" s="71" t="s">
        <v>491</v>
      </c>
      <c r="AB10" s="71" t="s">
        <v>492</v>
      </c>
      <c r="AC10" s="45"/>
      <c r="AD10" s="45"/>
      <c r="AE10" s="45"/>
      <c r="AF10" s="45"/>
      <c r="AG10" s="45" t="s">
        <v>566</v>
      </c>
      <c r="AH10" s="77" t="s">
        <v>474</v>
      </c>
      <c r="AI10" s="75" t="s">
        <v>551</v>
      </c>
      <c r="AJ10" s="84" t="s">
        <v>500</v>
      </c>
      <c r="AK10" s="76" t="s">
        <v>551</v>
      </c>
      <c r="AL10" s="84" t="s">
        <v>500</v>
      </c>
      <c r="AM10" s="45"/>
      <c r="AN10" s="45"/>
      <c r="AO10" s="76" t="s">
        <v>551</v>
      </c>
      <c r="AP10" s="77" t="s">
        <v>500</v>
      </c>
      <c r="AQ10" s="76" t="s">
        <v>500</v>
      </c>
      <c r="AR10" s="77" t="s">
        <v>500</v>
      </c>
      <c r="AS10" s="57" t="s">
        <v>474</v>
      </c>
    </row>
    <row r="11" spans="1:46" x14ac:dyDescent="0.25">
      <c r="A11" s="27"/>
      <c r="B11" s="45" t="s">
        <v>219</v>
      </c>
      <c r="C11" s="45" t="s">
        <v>63</v>
      </c>
      <c r="D11" s="45" t="s">
        <v>446</v>
      </c>
      <c r="E11" s="48">
        <v>7301135325087</v>
      </c>
      <c r="F11" s="50">
        <v>43</v>
      </c>
      <c r="G11" s="28" t="s">
        <v>183</v>
      </c>
      <c r="H11" s="28" t="s">
        <v>35</v>
      </c>
      <c r="I11" s="45"/>
      <c r="J11" s="45"/>
      <c r="K11" s="70"/>
      <c r="L11" s="70"/>
      <c r="M11" s="45"/>
      <c r="N11" s="45"/>
      <c r="O11" s="45"/>
      <c r="P11" s="45"/>
      <c r="Q11" s="70"/>
      <c r="R11" s="70"/>
      <c r="S11" s="45"/>
      <c r="T11" s="45"/>
      <c r="U11" s="45"/>
      <c r="V11" s="45"/>
      <c r="W11" s="45"/>
      <c r="X11" s="45"/>
      <c r="Y11" s="45"/>
      <c r="Z11" s="45"/>
      <c r="AA11" s="70" t="s">
        <v>284</v>
      </c>
      <c r="AB11" s="70" t="s">
        <v>494</v>
      </c>
      <c r="AC11" s="45"/>
      <c r="AD11" s="45"/>
      <c r="AE11" s="45"/>
      <c r="AF11" s="45"/>
      <c r="AG11" s="45" t="s">
        <v>519</v>
      </c>
      <c r="AH11" s="77" t="s">
        <v>567</v>
      </c>
      <c r="AI11" s="75" t="s">
        <v>513</v>
      </c>
      <c r="AJ11" s="77" t="s">
        <v>526</v>
      </c>
      <c r="AK11" s="76" t="s">
        <v>513</v>
      </c>
      <c r="AL11" s="77" t="s">
        <v>526</v>
      </c>
      <c r="AM11" s="45"/>
      <c r="AN11" s="45"/>
      <c r="AO11" s="76" t="s">
        <v>495</v>
      </c>
      <c r="AP11" s="77" t="s">
        <v>496</v>
      </c>
      <c r="AQ11" s="76" t="s">
        <v>284</v>
      </c>
      <c r="AR11" s="77" t="s">
        <v>494</v>
      </c>
      <c r="AS11" s="57" t="s">
        <v>493</v>
      </c>
    </row>
    <row r="12" spans="1:46" x14ac:dyDescent="0.25">
      <c r="A12" s="27"/>
      <c r="B12" s="45" t="s">
        <v>532</v>
      </c>
      <c r="C12" s="45" t="s">
        <v>433</v>
      </c>
      <c r="D12" s="45" t="s">
        <v>446</v>
      </c>
      <c r="E12" s="48">
        <v>7906145765088</v>
      </c>
      <c r="F12" s="50">
        <v>37</v>
      </c>
      <c r="G12" s="28" t="s">
        <v>183</v>
      </c>
      <c r="H12" s="28" t="s">
        <v>35</v>
      </c>
      <c r="I12" s="45"/>
      <c r="J12" s="45"/>
      <c r="K12" s="70"/>
      <c r="L12" s="70"/>
      <c r="M12" s="45"/>
      <c r="N12" s="45"/>
      <c r="O12" s="45"/>
      <c r="P12" s="45"/>
      <c r="Q12" s="70"/>
      <c r="R12" s="70"/>
      <c r="S12" s="45"/>
      <c r="T12" s="45"/>
      <c r="U12" s="45"/>
      <c r="V12" s="45"/>
      <c r="W12" s="45"/>
      <c r="X12" s="45"/>
      <c r="Y12" s="70" t="s">
        <v>515</v>
      </c>
      <c r="Z12" s="70" t="s">
        <v>498</v>
      </c>
      <c r="AA12" s="76" t="s">
        <v>478</v>
      </c>
      <c r="AB12" s="77" t="s">
        <v>586</v>
      </c>
      <c r="AC12" s="45"/>
      <c r="AD12" s="45"/>
      <c r="AE12" s="45"/>
      <c r="AF12" s="45"/>
      <c r="AG12" s="45" t="s">
        <v>568</v>
      </c>
      <c r="AH12" s="77" t="s">
        <v>569</v>
      </c>
      <c r="AI12" s="75" t="s">
        <v>513</v>
      </c>
      <c r="AJ12" s="77" t="s">
        <v>555</v>
      </c>
      <c r="AK12" s="76" t="s">
        <v>556</v>
      </c>
      <c r="AL12" s="77" t="s">
        <v>555</v>
      </c>
      <c r="AM12" s="45"/>
      <c r="AN12" s="45"/>
      <c r="AO12" s="76" t="s">
        <v>513</v>
      </c>
      <c r="AP12" s="77" t="s">
        <v>555</v>
      </c>
      <c r="AQ12" s="76" t="s">
        <v>513</v>
      </c>
      <c r="AR12" s="77" t="s">
        <v>555</v>
      </c>
      <c r="AS12" s="57" t="s">
        <v>473</v>
      </c>
    </row>
    <row r="13" spans="1:46" s="67" customFormat="1" x14ac:dyDescent="0.25">
      <c r="A13" s="27"/>
      <c r="B13" s="45" t="s">
        <v>417</v>
      </c>
      <c r="C13" s="45" t="s">
        <v>432</v>
      </c>
      <c r="D13" s="45" t="s">
        <v>446</v>
      </c>
      <c r="E13" s="48">
        <v>8406155455083</v>
      </c>
      <c r="F13" s="50">
        <v>32</v>
      </c>
      <c r="G13" s="28" t="s">
        <v>183</v>
      </c>
      <c r="H13" s="28" t="s">
        <v>35</v>
      </c>
      <c r="I13" s="45"/>
      <c r="J13" s="45"/>
      <c r="K13" s="70"/>
      <c r="L13" s="70"/>
      <c r="M13" s="45"/>
      <c r="N13" s="45"/>
      <c r="O13" s="45"/>
      <c r="P13" s="45"/>
      <c r="Q13" s="70"/>
      <c r="R13" s="70"/>
      <c r="S13" s="45"/>
      <c r="T13" s="45"/>
      <c r="U13" s="45"/>
      <c r="V13" s="45"/>
      <c r="W13" s="45"/>
      <c r="X13" s="45"/>
      <c r="Y13" s="76" t="s">
        <v>557</v>
      </c>
      <c r="Z13" s="77" t="s">
        <v>558</v>
      </c>
      <c r="AA13" s="76" t="s">
        <v>557</v>
      </c>
      <c r="AB13" s="77" t="s">
        <v>558</v>
      </c>
      <c r="AC13" s="45"/>
      <c r="AD13" s="45"/>
      <c r="AE13" s="60"/>
      <c r="AF13" s="45"/>
      <c r="AG13" s="45" t="s">
        <v>519</v>
      </c>
      <c r="AH13" s="77" t="s">
        <v>567</v>
      </c>
      <c r="AI13" s="75" t="s">
        <v>240</v>
      </c>
      <c r="AJ13" s="77" t="s">
        <v>241</v>
      </c>
      <c r="AK13" s="76" t="s">
        <v>240</v>
      </c>
      <c r="AL13" s="77" t="s">
        <v>241</v>
      </c>
      <c r="AM13" s="45"/>
      <c r="AN13" s="45"/>
      <c r="AO13" s="75" t="s">
        <v>557</v>
      </c>
      <c r="AP13" s="77" t="s">
        <v>595</v>
      </c>
      <c r="AQ13" s="76" t="s">
        <v>557</v>
      </c>
      <c r="AR13" s="77" t="s">
        <v>595</v>
      </c>
      <c r="AS13" s="57" t="s">
        <v>504</v>
      </c>
      <c r="AT13" s="67" t="s">
        <v>597</v>
      </c>
    </row>
    <row r="14" spans="1:46" x14ac:dyDescent="0.25">
      <c r="A14" s="27"/>
      <c r="B14" s="45" t="s">
        <v>419</v>
      </c>
      <c r="C14" s="45" t="s">
        <v>435</v>
      </c>
      <c r="D14" s="45" t="s">
        <v>446</v>
      </c>
      <c r="E14" s="48">
        <v>7311155352085</v>
      </c>
      <c r="F14" s="50">
        <v>43</v>
      </c>
      <c r="G14" s="28" t="s">
        <v>183</v>
      </c>
      <c r="H14" s="28" t="s">
        <v>35</v>
      </c>
      <c r="I14" s="71" t="s">
        <v>281</v>
      </c>
      <c r="J14" s="71" t="s">
        <v>282</v>
      </c>
      <c r="K14" s="72" t="s">
        <v>506</v>
      </c>
      <c r="L14" s="72" t="s">
        <v>450</v>
      </c>
      <c r="M14" s="45"/>
      <c r="N14" s="45"/>
      <c r="O14" s="45"/>
      <c r="P14" s="61"/>
      <c r="Q14" s="72" t="s">
        <v>456</v>
      </c>
      <c r="R14" s="72" t="s">
        <v>450</v>
      </c>
      <c r="S14" s="45"/>
      <c r="T14" s="45"/>
      <c r="U14" s="45"/>
      <c r="V14" s="45"/>
      <c r="W14" s="45"/>
      <c r="X14" s="45"/>
      <c r="Y14" s="76" t="s">
        <v>533</v>
      </c>
      <c r="Z14" s="77" t="s">
        <v>534</v>
      </c>
      <c r="AA14" s="45"/>
      <c r="AB14" s="77"/>
      <c r="AC14" s="45"/>
      <c r="AD14" s="45"/>
      <c r="AE14" s="45"/>
      <c r="AF14" s="45"/>
      <c r="AG14" s="45" t="s">
        <v>573</v>
      </c>
      <c r="AH14" s="77" t="s">
        <v>572</v>
      </c>
      <c r="AI14" s="75" t="s">
        <v>533</v>
      </c>
      <c r="AJ14" s="77" t="s">
        <v>534</v>
      </c>
      <c r="AK14" s="76" t="s">
        <v>533</v>
      </c>
      <c r="AL14" s="77" t="s">
        <v>534</v>
      </c>
      <c r="AM14" s="45"/>
      <c r="AN14" s="45"/>
      <c r="AO14" s="76" t="s">
        <v>533</v>
      </c>
      <c r="AP14" s="77" t="s">
        <v>534</v>
      </c>
      <c r="AQ14" s="76" t="s">
        <v>533</v>
      </c>
      <c r="AR14" s="77" t="s">
        <v>534</v>
      </c>
      <c r="AS14" s="57" t="s">
        <v>502</v>
      </c>
    </row>
    <row r="15" spans="1:46" x14ac:dyDescent="0.25">
      <c r="A15" s="27" t="s">
        <v>238</v>
      </c>
      <c r="B15" s="45" t="s">
        <v>424</v>
      </c>
      <c r="C15" s="45" t="s">
        <v>442</v>
      </c>
      <c r="D15" s="45" t="s">
        <v>447</v>
      </c>
      <c r="E15" s="48">
        <v>7102255498088</v>
      </c>
      <c r="F15" s="50">
        <v>45</v>
      </c>
      <c r="G15" s="28" t="s">
        <v>183</v>
      </c>
      <c r="H15" s="28" t="s">
        <v>35</v>
      </c>
      <c r="I15" s="76" t="s">
        <v>537</v>
      </c>
      <c r="J15" s="77" t="s">
        <v>538</v>
      </c>
      <c r="K15" s="72" t="s">
        <v>455</v>
      </c>
      <c r="L15" s="72" t="s">
        <v>450</v>
      </c>
      <c r="M15" s="45"/>
      <c r="N15" s="45"/>
      <c r="O15" s="45"/>
      <c r="P15" s="61"/>
      <c r="Q15" s="72" t="s">
        <v>456</v>
      </c>
      <c r="R15" s="72" t="s">
        <v>450</v>
      </c>
      <c r="S15" s="45"/>
      <c r="T15" s="45"/>
      <c r="U15" s="45"/>
      <c r="V15" s="45"/>
      <c r="W15" s="45"/>
      <c r="X15" s="45"/>
      <c r="Y15" s="76" t="s">
        <v>457</v>
      </c>
      <c r="Z15" s="77" t="s">
        <v>453</v>
      </c>
      <c r="AA15" s="70" t="s">
        <v>240</v>
      </c>
      <c r="AB15" s="70" t="s">
        <v>241</v>
      </c>
      <c r="AC15" s="45"/>
      <c r="AD15" s="45"/>
      <c r="AE15" s="45"/>
      <c r="AF15" s="45"/>
      <c r="AG15" s="45" t="s">
        <v>574</v>
      </c>
      <c r="AH15" s="77" t="s">
        <v>575</v>
      </c>
      <c r="AI15" s="75" t="s">
        <v>537</v>
      </c>
      <c r="AJ15" s="77" t="s">
        <v>538</v>
      </c>
      <c r="AK15" s="76" t="s">
        <v>537</v>
      </c>
      <c r="AL15" s="77" t="s">
        <v>538</v>
      </c>
      <c r="AM15" s="45"/>
      <c r="AN15" s="45"/>
      <c r="AO15" s="76" t="s">
        <v>537</v>
      </c>
      <c r="AP15" s="77" t="s">
        <v>538</v>
      </c>
      <c r="AQ15" s="76" t="s">
        <v>537</v>
      </c>
      <c r="AR15" s="77" t="s">
        <v>538</v>
      </c>
      <c r="AS15" s="57" t="s">
        <v>467</v>
      </c>
    </row>
    <row r="16" spans="1:46" x14ac:dyDescent="0.25">
      <c r="A16" s="27"/>
      <c r="B16" s="45" t="s">
        <v>423</v>
      </c>
      <c r="C16" s="45" t="s">
        <v>76</v>
      </c>
      <c r="D16" s="45" t="s">
        <v>447</v>
      </c>
      <c r="E16" s="48">
        <v>6402026364085</v>
      </c>
      <c r="F16" s="50">
        <v>52</v>
      </c>
      <c r="G16" s="28" t="s">
        <v>183</v>
      </c>
      <c r="H16" s="28" t="s">
        <v>35</v>
      </c>
      <c r="I16" s="76" t="s">
        <v>516</v>
      </c>
      <c r="J16" s="77" t="s">
        <v>517</v>
      </c>
      <c r="K16" s="72" t="s">
        <v>449</v>
      </c>
      <c r="L16" s="72" t="s">
        <v>450</v>
      </c>
      <c r="M16" s="45"/>
      <c r="N16" s="45"/>
      <c r="O16" s="45"/>
      <c r="P16" s="45"/>
      <c r="Q16" s="70"/>
      <c r="R16" s="70"/>
      <c r="S16" s="45"/>
      <c r="T16" s="45"/>
      <c r="U16" s="45"/>
      <c r="V16" s="45"/>
      <c r="W16" s="45"/>
      <c r="X16" s="45"/>
      <c r="Y16" s="45"/>
      <c r="Z16" s="45"/>
      <c r="AA16" s="45"/>
      <c r="AB16" s="77"/>
      <c r="AC16" s="45"/>
      <c r="AD16" s="45"/>
      <c r="AE16" s="45"/>
      <c r="AF16" s="45"/>
      <c r="AG16" s="45" t="s">
        <v>577</v>
      </c>
      <c r="AH16" s="77" t="s">
        <v>576</v>
      </c>
      <c r="AI16" s="75" t="s">
        <v>537</v>
      </c>
      <c r="AJ16" s="77" t="s">
        <v>538</v>
      </c>
      <c r="AK16" s="76" t="s">
        <v>537</v>
      </c>
      <c r="AL16" s="77" t="s">
        <v>538</v>
      </c>
      <c r="AM16" s="45"/>
      <c r="AN16" s="44"/>
      <c r="AO16" s="76" t="s">
        <v>537</v>
      </c>
      <c r="AP16" s="77" t="s">
        <v>537</v>
      </c>
      <c r="AQ16" s="76" t="s">
        <v>537</v>
      </c>
      <c r="AR16" s="77" t="s">
        <v>538</v>
      </c>
      <c r="AS16" s="57" t="s">
        <v>489</v>
      </c>
    </row>
    <row r="17" spans="1:45" x14ac:dyDescent="0.25">
      <c r="A17" s="27"/>
      <c r="B17" s="45" t="s">
        <v>421</v>
      </c>
      <c r="C17" s="45" t="s">
        <v>443</v>
      </c>
      <c r="D17" s="45" t="s">
        <v>447</v>
      </c>
      <c r="E17" s="48">
        <v>6503075515087</v>
      </c>
      <c r="F17" s="50">
        <v>51</v>
      </c>
      <c r="G17" s="28" t="s">
        <v>183</v>
      </c>
      <c r="H17" s="28" t="s">
        <v>35</v>
      </c>
      <c r="I17" s="76" t="s">
        <v>537</v>
      </c>
      <c r="J17" s="77" t="s">
        <v>538</v>
      </c>
      <c r="K17" s="72" t="s">
        <v>476</v>
      </c>
      <c r="L17" s="72" t="s">
        <v>450</v>
      </c>
      <c r="M17" s="45"/>
      <c r="N17" s="59"/>
      <c r="O17" s="45"/>
      <c r="P17" s="45"/>
      <c r="Q17" s="70"/>
      <c r="R17" s="70"/>
      <c r="S17" s="45"/>
      <c r="T17" s="45"/>
      <c r="U17" s="45"/>
      <c r="V17" s="45"/>
      <c r="W17" s="45"/>
      <c r="X17" s="45"/>
      <c r="Y17" s="45"/>
      <c r="Z17" s="45"/>
      <c r="AA17" s="70" t="s">
        <v>477</v>
      </c>
      <c r="AB17" s="70" t="s">
        <v>478</v>
      </c>
      <c r="AC17" s="45"/>
      <c r="AD17" s="45"/>
      <c r="AE17" s="45"/>
      <c r="AF17" s="45"/>
      <c r="AG17" s="45" t="s">
        <v>242</v>
      </c>
      <c r="AH17" s="77" t="s">
        <v>578</v>
      </c>
      <c r="AI17" s="75" t="s">
        <v>537</v>
      </c>
      <c r="AJ17" s="77" t="s">
        <v>538</v>
      </c>
      <c r="AK17" s="76" t="s">
        <v>537</v>
      </c>
      <c r="AL17" s="77" t="s">
        <v>538</v>
      </c>
      <c r="AM17" s="45"/>
      <c r="AN17" s="45"/>
      <c r="AO17" s="76" t="s">
        <v>537</v>
      </c>
      <c r="AP17" s="77" t="s">
        <v>538</v>
      </c>
      <c r="AQ17" s="76" t="s">
        <v>537</v>
      </c>
      <c r="AR17" s="77" t="s">
        <v>538</v>
      </c>
      <c r="AS17" s="57" t="s">
        <v>472</v>
      </c>
    </row>
    <row r="18" spans="1:45" x14ac:dyDescent="0.25">
      <c r="A18" s="27"/>
      <c r="B18" s="45" t="s">
        <v>411</v>
      </c>
      <c r="C18" s="45" t="s">
        <v>441</v>
      </c>
      <c r="D18" s="45" t="s">
        <v>447</v>
      </c>
      <c r="E18" s="48">
        <v>7203095367085</v>
      </c>
      <c r="F18" s="50">
        <v>44</v>
      </c>
      <c r="G18" s="28" t="s">
        <v>183</v>
      </c>
      <c r="H18" s="28" t="s">
        <v>35</v>
      </c>
      <c r="I18" s="76" t="s">
        <v>237</v>
      </c>
      <c r="J18" s="77" t="s">
        <v>554</v>
      </c>
      <c r="K18" s="72" t="s">
        <v>463</v>
      </c>
      <c r="L18" s="72" t="s">
        <v>450</v>
      </c>
      <c r="M18" s="45"/>
      <c r="N18" s="45"/>
      <c r="O18" s="45"/>
      <c r="P18" s="45"/>
      <c r="Q18" s="70"/>
      <c r="R18" s="70"/>
      <c r="S18" s="45"/>
      <c r="T18" s="45"/>
      <c r="U18" s="45"/>
      <c r="V18" s="45"/>
      <c r="W18" s="45"/>
      <c r="X18" s="45"/>
      <c r="Y18" s="45"/>
      <c r="Z18" s="45"/>
      <c r="AA18" s="76" t="s">
        <v>535</v>
      </c>
      <c r="AB18" s="77" t="s">
        <v>536</v>
      </c>
      <c r="AC18" s="45"/>
      <c r="AD18" s="45"/>
      <c r="AE18" s="45"/>
      <c r="AF18" s="45"/>
      <c r="AG18" s="45" t="s">
        <v>285</v>
      </c>
      <c r="AH18" s="77" t="s">
        <v>579</v>
      </c>
      <c r="AI18" s="75" t="s">
        <v>237</v>
      </c>
      <c r="AJ18" s="77" t="s">
        <v>554</v>
      </c>
      <c r="AK18" s="76" t="s">
        <v>237</v>
      </c>
      <c r="AL18" s="77" t="s">
        <v>554</v>
      </c>
      <c r="AM18" s="45"/>
      <c r="AN18" s="45"/>
      <c r="AO18" s="76" t="s">
        <v>237</v>
      </c>
      <c r="AP18" s="77" t="s">
        <v>554</v>
      </c>
      <c r="AQ18" s="76" t="s">
        <v>554</v>
      </c>
      <c r="AR18" s="77" t="s">
        <v>554</v>
      </c>
      <c r="AS18" s="57" t="s">
        <v>527</v>
      </c>
    </row>
    <row r="19" spans="1:45" x14ac:dyDescent="0.25">
      <c r="A19" s="27"/>
      <c r="B19" s="45" t="s">
        <v>425</v>
      </c>
      <c r="C19" s="45" t="s">
        <v>444</v>
      </c>
      <c r="D19" s="45" t="s">
        <v>447</v>
      </c>
      <c r="E19" s="48">
        <v>7612266335087</v>
      </c>
      <c r="F19" s="50">
        <v>40</v>
      </c>
      <c r="G19" s="28" t="s">
        <v>183</v>
      </c>
      <c r="H19" s="28" t="s">
        <v>35</v>
      </c>
      <c r="I19" s="76" t="s">
        <v>537</v>
      </c>
      <c r="J19" s="77" t="s">
        <v>538</v>
      </c>
      <c r="K19" s="70"/>
      <c r="L19" s="70"/>
      <c r="M19" s="45"/>
      <c r="N19" s="45"/>
      <c r="O19" s="45"/>
      <c r="P19" s="45"/>
      <c r="Q19" s="70"/>
      <c r="R19" s="70"/>
      <c r="S19" s="45"/>
      <c r="T19" s="45"/>
      <c r="U19" s="45"/>
      <c r="V19" s="45"/>
      <c r="W19" s="45"/>
      <c r="X19" s="45"/>
      <c r="Y19" s="45"/>
      <c r="Z19" s="45"/>
      <c r="AA19" s="70" t="s">
        <v>497</v>
      </c>
      <c r="AB19" s="70" t="s">
        <v>498</v>
      </c>
      <c r="AC19" s="45"/>
      <c r="AD19" s="45"/>
      <c r="AE19" s="45"/>
      <c r="AF19" s="45"/>
      <c r="AG19" s="45" t="s">
        <v>475</v>
      </c>
      <c r="AH19" s="77" t="s">
        <v>580</v>
      </c>
      <c r="AI19" s="75" t="s">
        <v>537</v>
      </c>
      <c r="AJ19" s="77" t="s">
        <v>538</v>
      </c>
      <c r="AK19" s="76" t="s">
        <v>537</v>
      </c>
      <c r="AL19" s="77" t="s">
        <v>538</v>
      </c>
      <c r="AM19" s="45"/>
      <c r="AN19" s="45"/>
      <c r="AO19" s="76" t="s">
        <v>537</v>
      </c>
      <c r="AP19" s="77" t="s">
        <v>538</v>
      </c>
      <c r="AQ19" s="76" t="s">
        <v>537</v>
      </c>
      <c r="AR19" s="77" t="s">
        <v>538</v>
      </c>
      <c r="AS19" s="57" t="s">
        <v>475</v>
      </c>
    </row>
    <row r="20" spans="1:45" x14ac:dyDescent="0.25">
      <c r="A20" s="27"/>
      <c r="B20" s="45" t="s">
        <v>188</v>
      </c>
      <c r="C20" s="45" t="s">
        <v>596</v>
      </c>
      <c r="D20" s="45" t="s">
        <v>447</v>
      </c>
      <c r="E20" s="48">
        <v>8106035502084</v>
      </c>
      <c r="F20" s="50">
        <v>35</v>
      </c>
      <c r="G20" s="28" t="s">
        <v>183</v>
      </c>
      <c r="H20" s="28" t="s">
        <v>35</v>
      </c>
      <c r="I20" s="76" t="s">
        <v>498</v>
      </c>
      <c r="J20" s="77" t="s">
        <v>593</v>
      </c>
      <c r="K20" s="72" t="s">
        <v>463</v>
      </c>
      <c r="L20" s="72" t="s">
        <v>450</v>
      </c>
      <c r="M20" s="45"/>
      <c r="N20" s="45"/>
      <c r="O20" s="45"/>
      <c r="P20" s="45"/>
      <c r="Q20" s="70"/>
      <c r="R20" s="70"/>
      <c r="S20" s="45"/>
      <c r="T20" s="45"/>
      <c r="U20" s="45"/>
      <c r="V20" s="45"/>
      <c r="W20" s="45"/>
      <c r="X20" s="45"/>
      <c r="Y20" s="76" t="s">
        <v>501</v>
      </c>
      <c r="Z20" s="77" t="s">
        <v>552</v>
      </c>
      <c r="AA20" s="76" t="s">
        <v>507</v>
      </c>
      <c r="AB20" s="77" t="s">
        <v>508</v>
      </c>
      <c r="AC20" s="45"/>
      <c r="AD20" s="45"/>
      <c r="AE20" s="45"/>
      <c r="AF20" s="45"/>
      <c r="AG20" s="45" t="s">
        <v>285</v>
      </c>
      <c r="AH20" s="77" t="s">
        <v>565</v>
      </c>
      <c r="AI20" s="75" t="s">
        <v>501</v>
      </c>
      <c r="AJ20" s="77" t="s">
        <v>552</v>
      </c>
      <c r="AK20" s="76" t="s">
        <v>501</v>
      </c>
      <c r="AL20" s="77" t="s">
        <v>552</v>
      </c>
      <c r="AM20" s="45"/>
      <c r="AN20" s="86"/>
      <c r="AO20" s="76" t="s">
        <v>501</v>
      </c>
      <c r="AP20" s="77" t="s">
        <v>552</v>
      </c>
      <c r="AQ20" s="76" t="s">
        <v>501</v>
      </c>
      <c r="AR20" s="77" t="s">
        <v>552</v>
      </c>
      <c r="AS20" s="57" t="s">
        <v>460</v>
      </c>
    </row>
    <row r="21" spans="1:45" x14ac:dyDescent="0.25">
      <c r="A21" s="27"/>
      <c r="B21" s="45" t="s">
        <v>426</v>
      </c>
      <c r="C21" s="45" t="s">
        <v>445</v>
      </c>
      <c r="D21" s="45" t="s">
        <v>447</v>
      </c>
      <c r="E21" s="48">
        <v>7308305886087</v>
      </c>
      <c r="F21" s="50">
        <v>43</v>
      </c>
      <c r="G21" s="28" t="s">
        <v>183</v>
      </c>
      <c r="H21" s="28" t="s">
        <v>35</v>
      </c>
      <c r="I21" s="76" t="s">
        <v>537</v>
      </c>
      <c r="J21" s="77" t="s">
        <v>538</v>
      </c>
      <c r="K21" s="70"/>
      <c r="L21" s="70"/>
      <c r="M21" s="45"/>
      <c r="N21" s="45"/>
      <c r="O21" s="45"/>
      <c r="P21" s="45"/>
      <c r="Q21" s="70"/>
      <c r="R21" s="70"/>
      <c r="S21" s="45"/>
      <c r="T21" s="45"/>
      <c r="U21" s="45"/>
      <c r="V21" s="45"/>
      <c r="W21" s="45"/>
      <c r="X21" s="45"/>
      <c r="Y21" s="76" t="s">
        <v>288</v>
      </c>
      <c r="Z21" s="77" t="s">
        <v>553</v>
      </c>
      <c r="AA21" s="45"/>
      <c r="AB21" s="77"/>
      <c r="AC21" s="45"/>
      <c r="AD21" s="45"/>
      <c r="AE21" s="45"/>
      <c r="AF21" s="45"/>
      <c r="AG21" s="45" t="s">
        <v>454</v>
      </c>
      <c r="AH21" s="77" t="s">
        <v>581</v>
      </c>
      <c r="AI21" s="75" t="s">
        <v>537</v>
      </c>
      <c r="AJ21" s="77" t="s">
        <v>538</v>
      </c>
      <c r="AK21" s="76" t="s">
        <v>537</v>
      </c>
      <c r="AL21" s="77" t="s">
        <v>538</v>
      </c>
      <c r="AM21" s="45"/>
      <c r="AN21" s="45"/>
      <c r="AO21" s="76" t="s">
        <v>537</v>
      </c>
      <c r="AP21" s="77" t="s">
        <v>538</v>
      </c>
      <c r="AQ21" s="76" t="s">
        <v>537</v>
      </c>
      <c r="AR21" s="77" t="s">
        <v>538</v>
      </c>
      <c r="AS21" s="57" t="s">
        <v>504</v>
      </c>
    </row>
    <row r="22" spans="1:45" x14ac:dyDescent="0.25">
      <c r="A22" s="27"/>
      <c r="B22" s="44" t="s">
        <v>413</v>
      </c>
      <c r="C22" s="44" t="s">
        <v>428</v>
      </c>
      <c r="D22" s="44" t="s">
        <v>446</v>
      </c>
      <c r="E22" s="48">
        <v>6205055289085</v>
      </c>
      <c r="F22" s="49">
        <v>54</v>
      </c>
      <c r="G22" s="28" t="s">
        <v>183</v>
      </c>
      <c r="H22" s="28" t="s">
        <v>35</v>
      </c>
      <c r="I22" s="45"/>
      <c r="J22" s="45"/>
      <c r="K22" s="70"/>
      <c r="L22" s="70"/>
      <c r="M22" s="45"/>
      <c r="N22" s="45"/>
      <c r="O22" s="45"/>
      <c r="P22" s="45"/>
      <c r="Q22" s="70"/>
      <c r="R22" s="70"/>
      <c r="S22" s="45"/>
      <c r="T22" s="45"/>
      <c r="U22" s="45"/>
      <c r="V22" s="45"/>
      <c r="W22" s="45"/>
      <c r="X22" s="45"/>
      <c r="Y22" s="76" t="s">
        <v>470</v>
      </c>
      <c r="Z22" s="77" t="s">
        <v>471</v>
      </c>
      <c r="AA22" s="45"/>
      <c r="AB22" s="77"/>
      <c r="AC22" s="45"/>
      <c r="AD22" s="45"/>
      <c r="AE22" s="45"/>
      <c r="AF22" s="45"/>
      <c r="AG22" s="45" t="s">
        <v>560</v>
      </c>
      <c r="AH22" s="77" t="s">
        <v>564</v>
      </c>
      <c r="AI22" s="75" t="s">
        <v>478</v>
      </c>
      <c r="AJ22" s="77" t="s">
        <v>592</v>
      </c>
      <c r="AK22" s="76" t="s">
        <v>478</v>
      </c>
      <c r="AL22" s="77" t="s">
        <v>586</v>
      </c>
      <c r="AM22" s="45"/>
      <c r="AN22" s="45"/>
      <c r="AO22" s="76" t="s">
        <v>478</v>
      </c>
      <c r="AP22" s="77" t="s">
        <v>586</v>
      </c>
      <c r="AQ22" s="76" t="s">
        <v>516</v>
      </c>
      <c r="AR22" s="77" t="s">
        <v>517</v>
      </c>
      <c r="AS22" s="57" t="s">
        <v>490</v>
      </c>
    </row>
    <row r="23" spans="1:45" x14ac:dyDescent="0.25">
      <c r="A23" s="27"/>
      <c r="B23" s="62" t="s">
        <v>415</v>
      </c>
      <c r="C23" s="62" t="s">
        <v>430</v>
      </c>
      <c r="D23" s="62" t="s">
        <v>446</v>
      </c>
      <c r="E23" s="64">
        <v>6206066196087</v>
      </c>
      <c r="F23" s="65">
        <v>54</v>
      </c>
      <c r="G23" s="27" t="s">
        <v>183</v>
      </c>
      <c r="H23" s="27" t="s">
        <v>35</v>
      </c>
      <c r="I23" s="62"/>
      <c r="J23" s="62"/>
      <c r="K23" s="71"/>
      <c r="L23" s="71"/>
      <c r="M23" s="62"/>
      <c r="N23" s="62"/>
      <c r="O23" s="62"/>
      <c r="P23" s="62"/>
      <c r="Q23" s="71"/>
      <c r="R23" s="71"/>
      <c r="S23" s="62"/>
      <c r="T23" s="62"/>
      <c r="U23" s="62"/>
      <c r="V23" s="62"/>
      <c r="W23" s="62"/>
      <c r="X23" s="62"/>
      <c r="Y23" s="87" t="s">
        <v>454</v>
      </c>
      <c r="Z23" s="84" t="s">
        <v>545</v>
      </c>
      <c r="AA23" s="62"/>
      <c r="AB23" s="84"/>
      <c r="AC23" s="62"/>
      <c r="AD23" s="62"/>
      <c r="AE23" s="62"/>
      <c r="AF23" s="62"/>
      <c r="AG23" s="62" t="s">
        <v>280</v>
      </c>
      <c r="AH23" s="84" t="s">
        <v>475</v>
      </c>
      <c r="AI23" s="83" t="s">
        <v>454</v>
      </c>
      <c r="AJ23" s="84" t="s">
        <v>545</v>
      </c>
      <c r="AK23" s="87" t="s">
        <v>454</v>
      </c>
      <c r="AL23" s="84" t="s">
        <v>545</v>
      </c>
      <c r="AM23" s="62"/>
      <c r="AN23" s="62"/>
      <c r="AO23" s="87" t="s">
        <v>454</v>
      </c>
      <c r="AP23" s="84" t="s">
        <v>591</v>
      </c>
      <c r="AQ23" s="87" t="s">
        <v>454</v>
      </c>
      <c r="AR23" s="84" t="s">
        <v>545</v>
      </c>
      <c r="AS23" s="73" t="s">
        <v>479</v>
      </c>
    </row>
    <row r="24" spans="1:45" x14ac:dyDescent="0.25">
      <c r="A24" s="27"/>
      <c r="B24" s="44" t="s">
        <v>411</v>
      </c>
      <c r="C24" s="44" t="s">
        <v>427</v>
      </c>
      <c r="D24" s="44" t="s">
        <v>446</v>
      </c>
      <c r="E24" s="48">
        <v>6606067522084</v>
      </c>
      <c r="F24" s="49">
        <v>50</v>
      </c>
      <c r="G24" s="28" t="s">
        <v>183</v>
      </c>
      <c r="H24" s="28" t="s">
        <v>35</v>
      </c>
      <c r="I24" s="83" t="s">
        <v>478</v>
      </c>
      <c r="J24" s="84" t="s">
        <v>586</v>
      </c>
      <c r="K24" s="70"/>
      <c r="L24" s="70"/>
      <c r="M24" s="45"/>
      <c r="N24" s="45"/>
      <c r="O24" s="45"/>
      <c r="P24" s="45"/>
      <c r="Q24" s="70"/>
      <c r="R24" s="70"/>
      <c r="S24" s="45"/>
      <c r="T24" s="45"/>
      <c r="U24" s="45"/>
      <c r="V24" s="45"/>
      <c r="W24" s="45"/>
      <c r="X24" s="45"/>
      <c r="Y24" s="76" t="s">
        <v>514</v>
      </c>
      <c r="Z24" s="77" t="s">
        <v>478</v>
      </c>
      <c r="AA24" s="45"/>
      <c r="AB24" s="77"/>
      <c r="AC24" s="45"/>
      <c r="AD24" s="69"/>
      <c r="AE24" s="45"/>
      <c r="AF24" s="45"/>
      <c r="AG24" s="45" t="s">
        <v>285</v>
      </c>
      <c r="AH24" s="77" t="s">
        <v>565</v>
      </c>
      <c r="AI24" s="75" t="s">
        <v>587</v>
      </c>
      <c r="AJ24" s="77" t="s">
        <v>588</v>
      </c>
      <c r="AK24" s="76" t="s">
        <v>587</v>
      </c>
      <c r="AL24" s="77" t="s">
        <v>588</v>
      </c>
      <c r="AM24" s="45"/>
      <c r="AN24" s="45"/>
      <c r="AO24" s="76" t="s">
        <v>590</v>
      </c>
      <c r="AP24" s="77" t="s">
        <v>588</v>
      </c>
      <c r="AQ24" s="76" t="s">
        <v>514</v>
      </c>
      <c r="AR24" s="77" t="s">
        <v>478</v>
      </c>
      <c r="AS24" s="57" t="s">
        <v>499</v>
      </c>
    </row>
    <row r="25" spans="1:45" x14ac:dyDescent="0.25">
      <c r="A25" s="27"/>
      <c r="B25" s="62" t="s">
        <v>412</v>
      </c>
      <c r="C25" s="62" t="s">
        <v>65</v>
      </c>
      <c r="D25" s="62" t="s">
        <v>446</v>
      </c>
      <c r="E25" s="64">
        <v>6607095391088</v>
      </c>
      <c r="F25" s="65">
        <v>50</v>
      </c>
      <c r="G25" s="27" t="s">
        <v>183</v>
      </c>
      <c r="H25" s="27" t="s">
        <v>35</v>
      </c>
      <c r="I25" s="71" t="s">
        <v>484</v>
      </c>
      <c r="J25" s="71" t="s">
        <v>485</v>
      </c>
      <c r="K25" s="71" t="s">
        <v>486</v>
      </c>
      <c r="L25" s="72" t="s">
        <v>450</v>
      </c>
      <c r="M25" s="61"/>
      <c r="N25" s="61"/>
      <c r="O25" s="61"/>
      <c r="P25" s="61"/>
      <c r="Q25" s="72" t="s">
        <v>487</v>
      </c>
      <c r="R25" s="72" t="s">
        <v>450</v>
      </c>
      <c r="S25" s="63"/>
      <c r="T25" s="63"/>
      <c r="U25" s="63"/>
      <c r="V25" s="63"/>
      <c r="W25" s="63"/>
      <c r="X25" s="63"/>
      <c r="Y25" s="85" t="s">
        <v>245</v>
      </c>
      <c r="Z25" s="84" t="s">
        <v>525</v>
      </c>
      <c r="AA25" s="71" t="s">
        <v>287</v>
      </c>
      <c r="AB25" s="71" t="s">
        <v>480</v>
      </c>
      <c r="AC25" s="63"/>
      <c r="AD25" s="63"/>
      <c r="AE25" s="63"/>
      <c r="AF25" s="63"/>
      <c r="AG25" s="63" t="s">
        <v>285</v>
      </c>
      <c r="AH25" s="84" t="s">
        <v>565</v>
      </c>
      <c r="AI25" s="83" t="s">
        <v>245</v>
      </c>
      <c r="AJ25" s="84" t="s">
        <v>550</v>
      </c>
      <c r="AK25" s="87" t="s">
        <v>245</v>
      </c>
      <c r="AL25" s="84" t="s">
        <v>550</v>
      </c>
      <c r="AM25" s="63"/>
      <c r="AN25" s="63"/>
      <c r="AO25" s="87" t="s">
        <v>245</v>
      </c>
      <c r="AP25" s="84" t="s">
        <v>550</v>
      </c>
      <c r="AQ25" s="87" t="s">
        <v>245</v>
      </c>
      <c r="AR25" s="84" t="s">
        <v>550</v>
      </c>
      <c r="AS25" s="66" t="s">
        <v>458</v>
      </c>
    </row>
    <row r="27" spans="1:45" s="54" customFormat="1" ht="31.5" x14ac:dyDescent="0.5">
      <c r="A27" s="702" t="s">
        <v>598</v>
      </c>
      <c r="B27" s="703"/>
      <c r="C27" s="703"/>
      <c r="D27" s="702"/>
      <c r="E27" s="702"/>
      <c r="F27" s="702"/>
      <c r="G27" s="702"/>
      <c r="H27" s="702"/>
      <c r="I27" s="702"/>
      <c r="J27" s="702"/>
      <c r="K27" s="702"/>
      <c r="L27" s="702"/>
      <c r="M27" s="702"/>
      <c r="N27" s="702"/>
      <c r="O27" s="702"/>
      <c r="P27" s="702"/>
      <c r="Q27" s="702"/>
      <c r="R27" s="702"/>
      <c r="S27" s="702"/>
      <c r="T27" s="702"/>
      <c r="U27" s="702"/>
      <c r="V27" s="702"/>
      <c r="W27" s="702"/>
      <c r="X27" s="702"/>
      <c r="Y27" s="702"/>
      <c r="Z27" s="702"/>
      <c r="AA27" s="702"/>
      <c r="AB27" s="702"/>
      <c r="AC27" s="702"/>
      <c r="AD27" s="702"/>
      <c r="AE27" s="702"/>
      <c r="AF27" s="702"/>
      <c r="AG27" s="702"/>
      <c r="AH27" s="702"/>
      <c r="AI27" s="702"/>
      <c r="AJ27" s="702"/>
      <c r="AK27" s="702"/>
      <c r="AL27" s="702"/>
      <c r="AM27" s="702"/>
      <c r="AN27" s="702"/>
      <c r="AO27" s="702"/>
      <c r="AP27" s="702"/>
      <c r="AQ27" s="702"/>
      <c r="AR27" s="702"/>
      <c r="AS27" s="702"/>
    </row>
    <row r="28" spans="1:45" ht="15.75" x14ac:dyDescent="0.25">
      <c r="A28" s="51"/>
      <c r="B28" s="89"/>
      <c r="C28" s="89"/>
      <c r="D28" s="29"/>
      <c r="E28" s="55"/>
      <c r="F28" s="29"/>
      <c r="G28" s="29"/>
      <c r="H28" s="29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3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3"/>
    </row>
    <row r="29" spans="1:45" ht="15.75" x14ac:dyDescent="0.25">
      <c r="A29" s="51"/>
      <c r="B29" s="89"/>
      <c r="C29" s="89"/>
      <c r="D29" s="29"/>
      <c r="E29" s="55"/>
      <c r="F29" s="29"/>
      <c r="G29" s="29"/>
      <c r="H29" s="29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3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3"/>
    </row>
    <row r="30" spans="1:45" ht="15.75" x14ac:dyDescent="0.25">
      <c r="A30" s="51"/>
      <c r="B30" s="89"/>
      <c r="C30" s="89"/>
      <c r="D30" s="45"/>
      <c r="E30" s="55"/>
      <c r="F30" s="29"/>
      <c r="G30" s="29"/>
      <c r="H30" s="29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3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3"/>
    </row>
    <row r="31" spans="1:45" ht="15.75" x14ac:dyDescent="0.25">
      <c r="A31" s="51"/>
      <c r="B31" s="89"/>
      <c r="C31" s="89"/>
      <c r="D31" s="45"/>
      <c r="E31" s="55"/>
      <c r="F31" s="29"/>
      <c r="G31" s="29"/>
      <c r="H31" s="29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3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3"/>
    </row>
    <row r="32" spans="1:45" ht="15.75" x14ac:dyDescent="0.25">
      <c r="A32" s="51"/>
      <c r="B32" s="89"/>
      <c r="C32" s="89"/>
      <c r="D32" s="45"/>
      <c r="E32" s="55"/>
      <c r="F32" s="29"/>
      <c r="G32" s="29"/>
      <c r="H32" s="29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3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3"/>
    </row>
    <row r="33" spans="1:45" ht="15.75" x14ac:dyDescent="0.25">
      <c r="A33" s="51"/>
      <c r="B33" s="89"/>
      <c r="C33" s="89"/>
      <c r="D33" s="45"/>
      <c r="E33" s="55"/>
      <c r="F33" s="29"/>
      <c r="G33" s="29"/>
      <c r="H33" s="29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3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3"/>
    </row>
    <row r="34" spans="1:45" ht="15.75" x14ac:dyDescent="0.25">
      <c r="A34" s="51"/>
      <c r="B34" s="89"/>
      <c r="C34" s="89"/>
      <c r="D34" s="45"/>
      <c r="E34" s="55"/>
      <c r="F34" s="29"/>
      <c r="G34" s="29"/>
      <c r="H34" s="29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3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3"/>
    </row>
    <row r="35" spans="1:45" x14ac:dyDescent="0.25">
      <c r="A35" s="51"/>
      <c r="B35" s="56"/>
      <c r="C35" s="56"/>
      <c r="D35" s="45"/>
      <c r="E35" s="55"/>
      <c r="F35" s="29"/>
      <c r="G35" s="29"/>
      <c r="H35" s="29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3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3"/>
    </row>
    <row r="36" spans="1:45" ht="15.75" x14ac:dyDescent="0.25">
      <c r="A36" s="51"/>
      <c r="B36" s="89"/>
      <c r="C36" s="89"/>
      <c r="D36" s="45"/>
      <c r="E36" s="55"/>
      <c r="F36" s="29"/>
      <c r="G36" s="29"/>
      <c r="H36" s="29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3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3"/>
    </row>
    <row r="37" spans="1:45" x14ac:dyDescent="0.25">
      <c r="A37" s="51"/>
      <c r="B37" s="56"/>
      <c r="C37" s="56"/>
      <c r="D37" s="29"/>
      <c r="E37" s="55"/>
      <c r="F37" s="29"/>
      <c r="G37" s="29"/>
      <c r="H37" s="29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3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3"/>
    </row>
    <row r="38" spans="1:45" x14ac:dyDescent="0.25">
      <c r="A38" s="51"/>
      <c r="B38" s="56"/>
      <c r="C38" s="56"/>
      <c r="D38" s="29"/>
      <c r="E38" s="55"/>
      <c r="F38" s="29"/>
      <c r="G38" s="29"/>
      <c r="H38" s="29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3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3"/>
    </row>
    <row r="39" spans="1:45" x14ac:dyDescent="0.25">
      <c r="A39" s="51"/>
      <c r="B39" s="56"/>
      <c r="C39" s="56"/>
      <c r="D39" s="29"/>
      <c r="E39" s="55"/>
      <c r="F39" s="29"/>
      <c r="G39" s="29"/>
      <c r="H39" s="29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3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3"/>
    </row>
    <row r="40" spans="1:45" x14ac:dyDescent="0.25">
      <c r="A40" s="51"/>
      <c r="B40" s="56"/>
      <c r="C40" s="56"/>
      <c r="D40" s="29"/>
      <c r="E40" s="55"/>
      <c r="F40" s="29"/>
      <c r="G40" s="29"/>
      <c r="H40" s="29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3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3"/>
    </row>
    <row r="41" spans="1:45" x14ac:dyDescent="0.25">
      <c r="A41" s="51"/>
      <c r="B41" s="56"/>
      <c r="C41" s="56"/>
      <c r="D41" s="29"/>
      <c r="E41" s="55"/>
      <c r="F41" s="29"/>
      <c r="G41" s="29"/>
      <c r="H41" s="29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3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3"/>
    </row>
  </sheetData>
  <autoFilter ref="A1:AS25" xr:uid="{00000000-0009-0000-0000-000005000000}">
    <filterColumn colId="0">
      <filters blank="1"/>
    </filterColumn>
    <sortState xmlns:xlrd2="http://schemas.microsoft.com/office/spreadsheetml/2017/richdata2" ref="A2:AS25">
      <sortCondition sortBy="cellColor" ref="B1:B25" dxfId="0"/>
    </sortState>
  </autoFilter>
  <sortState xmlns:xlrd2="http://schemas.microsoft.com/office/spreadsheetml/2017/richdata2" ref="A2:AS25">
    <sortCondition ref="D2:D25"/>
  </sortState>
  <mergeCells count="1">
    <mergeCell ref="A27:AS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47"/>
  <sheetViews>
    <sheetView workbookViewId="0">
      <pane xSplit="8" topLeftCell="AF1" activePane="topRight" state="frozen"/>
      <selection pane="topRight" activeCell="AI4" sqref="AI4"/>
    </sheetView>
  </sheetViews>
  <sheetFormatPr defaultRowHeight="15" x14ac:dyDescent="0.25"/>
  <cols>
    <col min="1" max="1" width="6.5703125" bestFit="1" customWidth="1"/>
    <col min="2" max="2" width="14.42578125" bestFit="1" customWidth="1"/>
    <col min="3" max="3" width="12.7109375" bestFit="1" customWidth="1"/>
    <col min="4" max="4" width="22.42578125" bestFit="1" customWidth="1"/>
    <col min="5" max="5" width="14.140625" style="47" bestFit="1" customWidth="1"/>
    <col min="6" max="6" width="6.7109375" style="47" customWidth="1"/>
    <col min="7" max="7" width="6.7109375" customWidth="1"/>
    <col min="8" max="8" width="7" customWidth="1"/>
    <col min="9" max="10" width="10.7109375" bestFit="1" customWidth="1"/>
    <col min="11" max="11" width="9.28515625" customWidth="1"/>
    <col min="12" max="12" width="10.85546875" customWidth="1"/>
    <col min="13" max="13" width="7.7109375" customWidth="1"/>
    <col min="14" max="14" width="7.42578125" customWidth="1"/>
    <col min="15" max="15" width="8.140625" customWidth="1"/>
    <col min="16" max="16" width="9" customWidth="1"/>
    <col min="17" max="17" width="9.28515625" customWidth="1"/>
    <col min="18" max="18" width="10.85546875" customWidth="1"/>
    <col min="19" max="19" width="4.5703125" customWidth="1"/>
    <col min="20" max="20" width="9.85546875" customWidth="1"/>
    <col min="21" max="21" width="5.42578125" customWidth="1"/>
    <col min="22" max="22" width="7.42578125" customWidth="1"/>
    <col min="23" max="23" width="5.28515625" customWidth="1"/>
    <col min="24" max="24" width="7.42578125" customWidth="1"/>
    <col min="25" max="25" width="9.5703125" customWidth="1"/>
    <col min="26" max="28" width="9.28515625" customWidth="1"/>
    <col min="29" max="29" width="9.140625" customWidth="1"/>
    <col min="30" max="30" width="8.85546875" customWidth="1"/>
    <col min="31" max="31" width="9.140625" customWidth="1"/>
    <col min="32" max="32" width="7.42578125" customWidth="1"/>
    <col min="33" max="38" width="9.28515625" customWidth="1"/>
    <col min="39" max="39" width="9.5703125" customWidth="1"/>
    <col min="40" max="40" width="7.42578125" bestFit="1" customWidth="1"/>
    <col min="41" max="42" width="10.7109375" bestFit="1" customWidth="1"/>
    <col min="43" max="43" width="12.140625" bestFit="1" customWidth="1"/>
    <col min="44" max="46" width="10.7109375" bestFit="1" customWidth="1"/>
  </cols>
  <sheetData>
    <row r="1" spans="1:46" ht="33.75" x14ac:dyDescent="0.25">
      <c r="A1" s="16" t="s">
        <v>4</v>
      </c>
      <c r="B1" s="16" t="s">
        <v>7</v>
      </c>
      <c r="C1" s="16" t="s">
        <v>0</v>
      </c>
      <c r="D1" s="16" t="s">
        <v>8</v>
      </c>
      <c r="E1" s="46" t="s">
        <v>1</v>
      </c>
      <c r="F1" s="46" t="s">
        <v>11</v>
      </c>
      <c r="G1" s="17" t="s">
        <v>10</v>
      </c>
      <c r="H1" s="17" t="s">
        <v>9</v>
      </c>
      <c r="I1" s="19" t="s">
        <v>15</v>
      </c>
      <c r="J1" s="20" t="s">
        <v>17</v>
      </c>
      <c r="K1" s="21" t="s">
        <v>16</v>
      </c>
      <c r="L1" s="20" t="s">
        <v>17</v>
      </c>
      <c r="M1" s="19" t="s">
        <v>18</v>
      </c>
      <c r="N1" s="20" t="s">
        <v>17</v>
      </c>
      <c r="O1" s="19" t="s">
        <v>19</v>
      </c>
      <c r="P1" s="20" t="s">
        <v>17</v>
      </c>
      <c r="Q1" s="19" t="s">
        <v>20</v>
      </c>
      <c r="R1" s="20" t="s">
        <v>17</v>
      </c>
      <c r="S1" s="19" t="s">
        <v>21</v>
      </c>
      <c r="T1" s="20" t="s">
        <v>17</v>
      </c>
      <c r="U1" s="19" t="s">
        <v>22</v>
      </c>
      <c r="V1" s="20" t="s">
        <v>17</v>
      </c>
      <c r="W1" s="19" t="s">
        <v>23</v>
      </c>
      <c r="X1" s="20" t="s">
        <v>17</v>
      </c>
      <c r="Y1" s="19" t="s">
        <v>24</v>
      </c>
      <c r="Z1" s="20" t="s">
        <v>17</v>
      </c>
      <c r="AA1" s="19" t="s">
        <v>25</v>
      </c>
      <c r="AB1" s="20" t="s">
        <v>17</v>
      </c>
      <c r="AC1" s="19" t="s">
        <v>251</v>
      </c>
      <c r="AD1" s="20" t="s">
        <v>17</v>
      </c>
      <c r="AE1" s="19" t="s">
        <v>252</v>
      </c>
      <c r="AF1" s="20" t="s">
        <v>17</v>
      </c>
      <c r="AG1" s="22" t="s">
        <v>26</v>
      </c>
      <c r="AH1" s="20" t="s">
        <v>6</v>
      </c>
      <c r="AI1" s="22" t="s">
        <v>27</v>
      </c>
      <c r="AJ1" s="20" t="s">
        <v>17</v>
      </c>
      <c r="AK1" s="22" t="s">
        <v>28</v>
      </c>
      <c r="AL1" s="20" t="s">
        <v>17</v>
      </c>
      <c r="AM1" s="22" t="s">
        <v>29</v>
      </c>
      <c r="AN1" s="20" t="s">
        <v>17</v>
      </c>
      <c r="AO1" s="22" t="s">
        <v>30</v>
      </c>
      <c r="AP1" s="20" t="s">
        <v>17</v>
      </c>
      <c r="AQ1" s="22" t="s">
        <v>28</v>
      </c>
      <c r="AR1" s="20" t="s">
        <v>17</v>
      </c>
      <c r="AS1" s="22" t="s">
        <v>448</v>
      </c>
      <c r="AT1" s="88" t="s">
        <v>594</v>
      </c>
    </row>
    <row r="2" spans="1:46" x14ac:dyDescent="0.25">
      <c r="A2" s="27"/>
      <c r="B2" s="140" t="s">
        <v>532</v>
      </c>
      <c r="C2" s="140" t="s">
        <v>433</v>
      </c>
      <c r="D2" s="140" t="s">
        <v>446</v>
      </c>
      <c r="E2" s="141">
        <v>7906145765088</v>
      </c>
      <c r="F2" s="142">
        <v>37</v>
      </c>
      <c r="G2" s="143" t="s">
        <v>183</v>
      </c>
      <c r="H2" s="143" t="s">
        <v>35</v>
      </c>
      <c r="I2" s="130" t="s">
        <v>738</v>
      </c>
      <c r="J2" s="129" t="s">
        <v>739</v>
      </c>
      <c r="K2" s="44"/>
      <c r="L2" s="44"/>
      <c r="M2" s="45"/>
      <c r="N2" s="45"/>
      <c r="O2" s="45"/>
      <c r="P2" s="45"/>
      <c r="Q2" s="44"/>
      <c r="R2" s="44"/>
      <c r="S2" s="45"/>
      <c r="T2" s="45"/>
      <c r="U2" s="45"/>
      <c r="V2" s="45"/>
      <c r="W2" s="45"/>
      <c r="X2" s="45"/>
      <c r="Y2" s="114" t="s">
        <v>738</v>
      </c>
      <c r="Z2" s="77" t="s">
        <v>739</v>
      </c>
      <c r="AA2" s="114" t="s">
        <v>726</v>
      </c>
      <c r="AB2" s="102" t="s">
        <v>727</v>
      </c>
      <c r="AC2" s="45"/>
      <c r="AD2" s="45"/>
      <c r="AE2" s="45"/>
      <c r="AF2" s="45"/>
      <c r="AG2" s="45" t="s">
        <v>657</v>
      </c>
      <c r="AH2" s="77" t="s">
        <v>659</v>
      </c>
      <c r="AI2" s="114" t="s">
        <v>738</v>
      </c>
      <c r="AJ2" s="77" t="s">
        <v>739</v>
      </c>
      <c r="AK2" s="114" t="s">
        <v>738</v>
      </c>
      <c r="AL2" s="77" t="s">
        <v>739</v>
      </c>
      <c r="AM2" s="45"/>
      <c r="AN2" s="45"/>
      <c r="AO2" s="135" t="s">
        <v>738</v>
      </c>
      <c r="AP2" s="136" t="s">
        <v>739</v>
      </c>
      <c r="AQ2" s="135" t="s">
        <v>738</v>
      </c>
      <c r="AR2" s="136" t="s">
        <v>739</v>
      </c>
      <c r="AS2" s="127" t="s">
        <v>745</v>
      </c>
      <c r="AT2" s="131" t="s">
        <v>746</v>
      </c>
    </row>
    <row r="3" spans="1:46" s="67" customFormat="1" x14ac:dyDescent="0.25">
      <c r="A3" s="27"/>
      <c r="B3" s="140" t="s">
        <v>417</v>
      </c>
      <c r="C3" s="140" t="s">
        <v>432</v>
      </c>
      <c r="D3" s="140" t="s">
        <v>446</v>
      </c>
      <c r="E3" s="141">
        <v>8406155455083</v>
      </c>
      <c r="F3" s="142">
        <v>32</v>
      </c>
      <c r="G3" s="143" t="s">
        <v>183</v>
      </c>
      <c r="H3" s="143" t="s">
        <v>35</v>
      </c>
      <c r="I3" s="144"/>
      <c r="J3" s="140"/>
      <c r="K3" s="44"/>
      <c r="L3" s="44"/>
      <c r="M3" s="45"/>
      <c r="N3" s="45"/>
      <c r="O3" s="45"/>
      <c r="P3" s="45"/>
      <c r="Q3" s="44"/>
      <c r="R3" s="44"/>
      <c r="S3" s="45"/>
      <c r="T3" s="45"/>
      <c r="U3" s="45"/>
      <c r="V3" s="45"/>
      <c r="W3" s="45"/>
      <c r="X3" s="45"/>
      <c r="Y3" s="114" t="s">
        <v>738</v>
      </c>
      <c r="Z3" s="77" t="s">
        <v>739</v>
      </c>
      <c r="AA3" s="114" t="s">
        <v>721</v>
      </c>
      <c r="AB3" s="77" t="s">
        <v>740</v>
      </c>
      <c r="AC3" s="45"/>
      <c r="AD3" s="45"/>
      <c r="AE3" s="60"/>
      <c r="AF3" s="45"/>
      <c r="AG3" s="45" t="s">
        <v>657</v>
      </c>
      <c r="AH3" s="77" t="s">
        <v>659</v>
      </c>
      <c r="AI3" s="114" t="s">
        <v>738</v>
      </c>
      <c r="AJ3" s="77" t="s">
        <v>739</v>
      </c>
      <c r="AK3" s="114" t="s">
        <v>657</v>
      </c>
      <c r="AL3" s="77" t="s">
        <v>658</v>
      </c>
      <c r="AM3" s="45"/>
      <c r="AN3" s="45"/>
      <c r="AO3" s="135" t="s">
        <v>640</v>
      </c>
      <c r="AP3" s="136" t="s">
        <v>662</v>
      </c>
      <c r="AQ3" s="135" t="s">
        <v>663</v>
      </c>
      <c r="AR3" s="136" t="s">
        <v>664</v>
      </c>
      <c r="AS3" s="127" t="s">
        <v>742</v>
      </c>
      <c r="AT3" s="112" t="s">
        <v>743</v>
      </c>
    </row>
    <row r="4" spans="1:46" x14ac:dyDescent="0.25">
      <c r="A4" s="27"/>
      <c r="B4" s="140" t="s">
        <v>609</v>
      </c>
      <c r="C4" s="140" t="s">
        <v>610</v>
      </c>
      <c r="D4" s="140" t="s">
        <v>606</v>
      </c>
      <c r="E4" s="141">
        <v>6503135377080</v>
      </c>
      <c r="F4" s="142">
        <v>53</v>
      </c>
      <c r="G4" s="143" t="s">
        <v>183</v>
      </c>
      <c r="H4" s="143" t="s">
        <v>35</v>
      </c>
      <c r="I4" s="145"/>
      <c r="J4" s="145"/>
      <c r="K4" s="99"/>
      <c r="L4" s="99"/>
      <c r="M4" s="45"/>
      <c r="N4" s="45"/>
      <c r="O4" s="45"/>
      <c r="P4" s="61"/>
      <c r="Q4" s="99"/>
      <c r="R4" s="99"/>
      <c r="S4" s="45"/>
      <c r="T4" s="45"/>
      <c r="U4" s="45"/>
      <c r="V4" s="45"/>
      <c r="W4" s="45"/>
      <c r="X4" s="45"/>
      <c r="Y4" s="114" t="s">
        <v>738</v>
      </c>
      <c r="Z4" s="77" t="s">
        <v>739</v>
      </c>
      <c r="AA4" s="45"/>
      <c r="AB4" s="44"/>
      <c r="AC4" s="45"/>
      <c r="AD4" s="45"/>
      <c r="AE4" s="45"/>
      <c r="AF4" s="45"/>
      <c r="AG4" s="45" t="s">
        <v>769</v>
      </c>
      <c r="AH4" s="77" t="s">
        <v>770</v>
      </c>
      <c r="AI4" s="114" t="s">
        <v>679</v>
      </c>
      <c r="AJ4" s="77" t="s">
        <v>680</v>
      </c>
      <c r="AK4" s="114" t="s">
        <v>738</v>
      </c>
      <c r="AL4" s="77" t="s">
        <v>741</v>
      </c>
      <c r="AM4" s="45"/>
      <c r="AN4" s="45"/>
      <c r="AO4" s="135" t="s">
        <v>738</v>
      </c>
      <c r="AP4" s="136" t="s">
        <v>739</v>
      </c>
      <c r="AQ4" s="135" t="s">
        <v>738</v>
      </c>
      <c r="AR4" s="136" t="s">
        <v>739</v>
      </c>
      <c r="AS4" s="127" t="s">
        <v>742</v>
      </c>
      <c r="AT4" s="131" t="s">
        <v>743</v>
      </c>
    </row>
    <row r="5" spans="1:46" x14ac:dyDescent="0.25">
      <c r="A5" s="27" t="s">
        <v>238</v>
      </c>
      <c r="B5" s="140" t="s">
        <v>424</v>
      </c>
      <c r="C5" s="140" t="s">
        <v>442</v>
      </c>
      <c r="D5" s="140" t="s">
        <v>447</v>
      </c>
      <c r="E5" s="141">
        <v>7102255498088</v>
      </c>
      <c r="F5" s="142">
        <v>45</v>
      </c>
      <c r="G5" s="143" t="s">
        <v>183</v>
      </c>
      <c r="H5" s="143" t="s">
        <v>35</v>
      </c>
      <c r="I5" s="130" t="s">
        <v>694</v>
      </c>
      <c r="J5" s="129" t="s">
        <v>695</v>
      </c>
      <c r="K5" s="99"/>
      <c r="L5" s="99"/>
      <c r="M5" s="45"/>
      <c r="N5" s="45"/>
      <c r="O5" s="45"/>
      <c r="P5" s="61"/>
      <c r="Q5" s="99"/>
      <c r="R5" s="99"/>
      <c r="S5" s="45"/>
      <c r="T5" s="45"/>
      <c r="U5" s="45"/>
      <c r="V5" s="45"/>
      <c r="W5" s="45"/>
      <c r="X5" s="45"/>
      <c r="Y5" s="114" t="s">
        <v>738</v>
      </c>
      <c r="Z5" s="77" t="s">
        <v>739</v>
      </c>
      <c r="AA5" s="44"/>
      <c r="AB5" s="44"/>
      <c r="AC5" s="45"/>
      <c r="AD5" s="45"/>
      <c r="AE5" s="45"/>
      <c r="AF5" s="45"/>
      <c r="AG5" s="45" t="s">
        <v>615</v>
      </c>
      <c r="AH5" s="77" t="s">
        <v>710</v>
      </c>
      <c r="AI5" s="114" t="s">
        <v>615</v>
      </c>
      <c r="AJ5" s="77" t="s">
        <v>711</v>
      </c>
      <c r="AK5" s="114" t="s">
        <v>615</v>
      </c>
      <c r="AL5" s="77" t="s">
        <v>711</v>
      </c>
      <c r="AM5" s="45"/>
      <c r="AN5" s="45"/>
      <c r="AO5" s="135" t="s">
        <v>694</v>
      </c>
      <c r="AP5" s="136" t="s">
        <v>695</v>
      </c>
      <c r="AQ5" s="135" t="s">
        <v>615</v>
      </c>
      <c r="AR5" s="136" t="s">
        <v>711</v>
      </c>
      <c r="AS5" s="127" t="s">
        <v>617</v>
      </c>
      <c r="AT5" s="131" t="s">
        <v>618</v>
      </c>
    </row>
    <row r="6" spans="1:46" x14ac:dyDescent="0.25">
      <c r="A6" s="27"/>
      <c r="B6" s="140" t="s">
        <v>423</v>
      </c>
      <c r="C6" s="140" t="s">
        <v>76</v>
      </c>
      <c r="D6" s="140" t="s">
        <v>447</v>
      </c>
      <c r="E6" s="141">
        <v>6402026364085</v>
      </c>
      <c r="F6" s="142">
        <v>52</v>
      </c>
      <c r="G6" s="143" t="s">
        <v>183</v>
      </c>
      <c r="H6" s="143" t="s">
        <v>35</v>
      </c>
      <c r="I6" s="130" t="s">
        <v>719</v>
      </c>
      <c r="J6" s="129" t="s">
        <v>720</v>
      </c>
      <c r="K6" s="99"/>
      <c r="L6" s="99"/>
      <c r="M6" s="45"/>
      <c r="N6" s="45"/>
      <c r="O6" s="45"/>
      <c r="P6" s="45"/>
      <c r="Q6" s="44"/>
      <c r="R6" s="44"/>
      <c r="S6" s="45"/>
      <c r="T6" s="45"/>
      <c r="U6" s="45"/>
      <c r="V6" s="45"/>
      <c r="W6" s="45"/>
      <c r="X6" s="45"/>
      <c r="Y6" s="121" t="s">
        <v>721</v>
      </c>
      <c r="Z6" s="77" t="s">
        <v>722</v>
      </c>
      <c r="AA6" s="45"/>
      <c r="AB6" s="44"/>
      <c r="AC6" s="45"/>
      <c r="AD6" s="45"/>
      <c r="AE6" s="45"/>
      <c r="AF6" s="45"/>
      <c r="AG6" s="45" t="s">
        <v>645</v>
      </c>
      <c r="AH6" s="77" t="s">
        <v>689</v>
      </c>
      <c r="AI6" s="114" t="s">
        <v>719</v>
      </c>
      <c r="AJ6" s="77" t="s">
        <v>723</v>
      </c>
      <c r="AK6" s="114" t="s">
        <v>719</v>
      </c>
      <c r="AL6" s="77" t="s">
        <v>723</v>
      </c>
      <c r="AM6" s="45"/>
      <c r="AN6" s="44"/>
      <c r="AO6" s="135" t="s">
        <v>719</v>
      </c>
      <c r="AP6" s="136" t="s">
        <v>723</v>
      </c>
      <c r="AQ6" s="135" t="s">
        <v>719</v>
      </c>
      <c r="AR6" s="136" t="s">
        <v>723</v>
      </c>
      <c r="AS6" s="127" t="s">
        <v>724</v>
      </c>
      <c r="AT6" s="131" t="s">
        <v>725</v>
      </c>
    </row>
    <row r="7" spans="1:46" x14ac:dyDescent="0.25">
      <c r="A7" s="27"/>
      <c r="B7" s="140" t="s">
        <v>421</v>
      </c>
      <c r="C7" s="140" t="s">
        <v>443</v>
      </c>
      <c r="D7" s="140" t="s">
        <v>447</v>
      </c>
      <c r="E7" s="141">
        <v>6503075515087</v>
      </c>
      <c r="F7" s="142">
        <v>51</v>
      </c>
      <c r="G7" s="143" t="s">
        <v>183</v>
      </c>
      <c r="H7" s="143" t="s">
        <v>35</v>
      </c>
      <c r="I7" s="130" t="s">
        <v>762</v>
      </c>
      <c r="J7" s="129" t="s">
        <v>764</v>
      </c>
      <c r="K7" s="99"/>
      <c r="L7" s="99"/>
      <c r="M7" s="45"/>
      <c r="N7" s="59"/>
      <c r="O7" s="45"/>
      <c r="P7" s="45"/>
      <c r="Q7" s="44"/>
      <c r="R7" s="44"/>
      <c r="S7" s="45"/>
      <c r="T7" s="45"/>
      <c r="U7" s="45"/>
      <c r="V7" s="45"/>
      <c r="W7" s="45"/>
      <c r="X7" s="45"/>
      <c r="Y7" s="114" t="s">
        <v>762</v>
      </c>
      <c r="Z7" s="77" t="s">
        <v>762</v>
      </c>
      <c r="AA7" s="114" t="s">
        <v>757</v>
      </c>
      <c r="AB7" s="77" t="s">
        <v>754</v>
      </c>
      <c r="AC7" s="45"/>
      <c r="AD7" s="45"/>
      <c r="AE7" s="44"/>
      <c r="AF7" s="45"/>
      <c r="AG7" s="45" t="s">
        <v>673</v>
      </c>
      <c r="AH7" s="77" t="s">
        <v>674</v>
      </c>
      <c r="AI7" s="114" t="s">
        <v>762</v>
      </c>
      <c r="AJ7" s="77" t="s">
        <v>765</v>
      </c>
      <c r="AK7" s="114" t="s">
        <v>762</v>
      </c>
      <c r="AL7" s="77" t="s">
        <v>764</v>
      </c>
      <c r="AM7" s="45"/>
      <c r="AN7" s="45"/>
      <c r="AO7" s="135" t="s">
        <v>762</v>
      </c>
      <c r="AP7" s="136" t="s">
        <v>764</v>
      </c>
      <c r="AQ7" s="135" t="s">
        <v>763</v>
      </c>
      <c r="AR7" s="136" t="s">
        <v>764</v>
      </c>
      <c r="AS7" s="127" t="s">
        <v>619</v>
      </c>
      <c r="AT7" s="131" t="s">
        <v>620</v>
      </c>
    </row>
    <row r="8" spans="1:46" x14ac:dyDescent="0.25">
      <c r="A8" s="27"/>
      <c r="B8" s="140" t="s">
        <v>411</v>
      </c>
      <c r="C8" s="140" t="s">
        <v>441</v>
      </c>
      <c r="D8" s="140" t="s">
        <v>447</v>
      </c>
      <c r="E8" s="141">
        <v>7203095367085</v>
      </c>
      <c r="F8" s="142">
        <v>44</v>
      </c>
      <c r="G8" s="143" t="s">
        <v>183</v>
      </c>
      <c r="H8" s="143" t="s">
        <v>35</v>
      </c>
      <c r="I8" s="146" t="s">
        <v>726</v>
      </c>
      <c r="J8" s="129" t="s">
        <v>727</v>
      </c>
      <c r="K8" s="99"/>
      <c r="L8" s="99"/>
      <c r="M8" s="45"/>
      <c r="N8" s="45"/>
      <c r="O8" s="45"/>
      <c r="P8" s="45"/>
      <c r="Q8" s="44"/>
      <c r="R8" s="44"/>
      <c r="S8" s="45"/>
      <c r="T8" s="45"/>
      <c r="U8" s="45"/>
      <c r="V8" s="45"/>
      <c r="W8" s="45"/>
      <c r="X8" s="45"/>
      <c r="Y8" s="114" t="s">
        <v>726</v>
      </c>
      <c r="Z8" s="77" t="s">
        <v>727</v>
      </c>
      <c r="AA8" s="118" t="s">
        <v>686</v>
      </c>
      <c r="AB8" s="77" t="s">
        <v>687</v>
      </c>
      <c r="AC8" s="45"/>
      <c r="AD8" s="45"/>
      <c r="AE8" s="45"/>
      <c r="AF8" s="45"/>
      <c r="AG8" s="45" t="s">
        <v>682</v>
      </c>
      <c r="AH8" s="77" t="s">
        <v>688</v>
      </c>
      <c r="AI8" s="114" t="s">
        <v>684</v>
      </c>
      <c r="AJ8" s="77" t="s">
        <v>685</v>
      </c>
      <c r="AK8" s="114" t="s">
        <v>684</v>
      </c>
      <c r="AL8" s="77" t="s">
        <v>685</v>
      </c>
      <c r="AM8" s="45"/>
      <c r="AN8" s="45"/>
      <c r="AO8" s="135" t="s">
        <v>682</v>
      </c>
      <c r="AP8" s="136" t="s">
        <v>683</v>
      </c>
      <c r="AQ8" s="135" t="s">
        <v>684</v>
      </c>
      <c r="AR8" s="136" t="s">
        <v>685</v>
      </c>
      <c r="AS8" s="127" t="s">
        <v>621</v>
      </c>
      <c r="AT8" s="131" t="s">
        <v>622</v>
      </c>
    </row>
    <row r="9" spans="1:46" x14ac:dyDescent="0.25">
      <c r="A9" s="27"/>
      <c r="B9" s="140" t="s">
        <v>425</v>
      </c>
      <c r="C9" s="140" t="s">
        <v>444</v>
      </c>
      <c r="D9" s="140" t="s">
        <v>447</v>
      </c>
      <c r="E9" s="141">
        <v>7612266335087</v>
      </c>
      <c r="F9" s="142">
        <v>40</v>
      </c>
      <c r="G9" s="143" t="s">
        <v>183</v>
      </c>
      <c r="H9" s="143" t="s">
        <v>35</v>
      </c>
      <c r="I9" s="130" t="s">
        <v>726</v>
      </c>
      <c r="J9" s="129" t="s">
        <v>727</v>
      </c>
      <c r="K9" s="44"/>
      <c r="L9" s="44"/>
      <c r="M9" s="45"/>
      <c r="N9" s="45"/>
      <c r="O9" s="45"/>
      <c r="P9" s="45"/>
      <c r="Q9" s="44"/>
      <c r="R9" s="44"/>
      <c r="S9" s="45"/>
      <c r="T9" s="45"/>
      <c r="U9" s="45"/>
      <c r="V9" s="45"/>
      <c r="W9" s="45"/>
      <c r="X9" s="45"/>
      <c r="Y9" s="45"/>
      <c r="Z9" s="45"/>
      <c r="AA9" s="114" t="s">
        <v>633</v>
      </c>
      <c r="AB9" s="77" t="s">
        <v>634</v>
      </c>
      <c r="AC9" s="45"/>
      <c r="AD9" s="45"/>
      <c r="AE9" s="45"/>
      <c r="AF9" s="45"/>
      <c r="AG9" s="45" t="s">
        <v>615</v>
      </c>
      <c r="AH9" s="77" t="s">
        <v>710</v>
      </c>
      <c r="AI9" s="114" t="s">
        <v>641</v>
      </c>
      <c r="AJ9" s="77" t="s">
        <v>642</v>
      </c>
      <c r="AK9" s="114" t="s">
        <v>641</v>
      </c>
      <c r="AL9" s="77" t="s">
        <v>642</v>
      </c>
      <c r="AM9" s="45"/>
      <c r="AN9" s="45"/>
      <c r="AO9" s="135" t="s">
        <v>633</v>
      </c>
      <c r="AP9" s="136" t="s">
        <v>634</v>
      </c>
      <c r="AQ9" s="135" t="s">
        <v>633</v>
      </c>
      <c r="AR9" s="136" t="s">
        <v>634</v>
      </c>
      <c r="AS9" s="127" t="s">
        <v>623</v>
      </c>
      <c r="AT9" s="131" t="s">
        <v>624</v>
      </c>
    </row>
    <row r="10" spans="1:46" x14ac:dyDescent="0.25">
      <c r="A10" s="27"/>
      <c r="B10" s="140" t="s">
        <v>188</v>
      </c>
      <c r="C10" s="140" t="s">
        <v>596</v>
      </c>
      <c r="D10" s="140" t="s">
        <v>447</v>
      </c>
      <c r="E10" s="141">
        <v>8106035502084</v>
      </c>
      <c r="F10" s="142">
        <v>35</v>
      </c>
      <c r="G10" s="143" t="s">
        <v>183</v>
      </c>
      <c r="H10" s="143" t="s">
        <v>35</v>
      </c>
      <c r="I10" s="130" t="s">
        <v>726</v>
      </c>
      <c r="J10" s="147" t="s">
        <v>727</v>
      </c>
      <c r="K10" s="99"/>
      <c r="L10" s="99"/>
      <c r="M10" s="45"/>
      <c r="N10" s="45"/>
      <c r="O10" s="45"/>
      <c r="P10" s="45"/>
      <c r="Q10" s="44"/>
      <c r="R10" s="44"/>
      <c r="S10" s="45"/>
      <c r="T10" s="45"/>
      <c r="U10" s="45"/>
      <c r="V10" s="45"/>
      <c r="W10" s="45"/>
      <c r="X10" s="45"/>
      <c r="Y10" s="114" t="s">
        <v>726</v>
      </c>
      <c r="Z10" s="77" t="s">
        <v>727</v>
      </c>
      <c r="AA10" s="114" t="s">
        <v>607</v>
      </c>
      <c r="AB10" s="77" t="s">
        <v>656</v>
      </c>
      <c r="AC10" s="45"/>
      <c r="AD10" s="45"/>
      <c r="AE10" s="45"/>
      <c r="AF10" s="45"/>
      <c r="AG10" s="45" t="s">
        <v>646</v>
      </c>
      <c r="AH10" s="77" t="s">
        <v>690</v>
      </c>
      <c r="AI10" s="114" t="s">
        <v>607</v>
      </c>
      <c r="AJ10" s="77" t="s">
        <v>656</v>
      </c>
      <c r="AK10" s="114" t="s">
        <v>607</v>
      </c>
      <c r="AL10" s="77" t="s">
        <v>656</v>
      </c>
      <c r="AM10" s="45"/>
      <c r="AN10" s="86"/>
      <c r="AO10" s="135" t="s">
        <v>635</v>
      </c>
      <c r="AP10" s="136" t="s">
        <v>636</v>
      </c>
      <c r="AQ10" s="135" t="s">
        <v>637</v>
      </c>
      <c r="AR10" s="136" t="s">
        <v>638</v>
      </c>
      <c r="AS10" s="127" t="s">
        <v>625</v>
      </c>
      <c r="AT10" s="131" t="s">
        <v>626</v>
      </c>
    </row>
    <row r="11" spans="1:46" x14ac:dyDescent="0.25">
      <c r="A11" s="27"/>
      <c r="B11" s="140" t="s">
        <v>426</v>
      </c>
      <c r="C11" s="140" t="s">
        <v>445</v>
      </c>
      <c r="D11" s="140" t="s">
        <v>447</v>
      </c>
      <c r="E11" s="141">
        <v>7308305886087</v>
      </c>
      <c r="F11" s="142">
        <v>43</v>
      </c>
      <c r="G11" s="143" t="s">
        <v>183</v>
      </c>
      <c r="H11" s="143" t="s">
        <v>35</v>
      </c>
      <c r="I11" s="130" t="s">
        <v>726</v>
      </c>
      <c r="J11" s="129" t="s">
        <v>727</v>
      </c>
      <c r="K11" s="44"/>
      <c r="L11" s="44"/>
      <c r="M11" s="45"/>
      <c r="N11" s="45"/>
      <c r="O11" s="45"/>
      <c r="P11" s="45"/>
      <c r="Q11" s="44"/>
      <c r="R11" s="44"/>
      <c r="S11" s="45"/>
      <c r="T11" s="45"/>
      <c r="U11" s="45"/>
      <c r="V11" s="45"/>
      <c r="W11" s="45"/>
      <c r="X11" s="45"/>
      <c r="Y11" s="114" t="s">
        <v>671</v>
      </c>
      <c r="Z11" s="113" t="s">
        <v>616</v>
      </c>
      <c r="AA11" s="45"/>
      <c r="AB11" s="44"/>
      <c r="AC11" s="45"/>
      <c r="AD11" s="45"/>
      <c r="AE11" s="45"/>
      <c r="AF11" s="45"/>
      <c r="AG11" s="45" t="s">
        <v>665</v>
      </c>
      <c r="AH11" s="77" t="s">
        <v>672</v>
      </c>
      <c r="AI11" s="114" t="s">
        <v>649</v>
      </c>
      <c r="AJ11" s="77" t="s">
        <v>650</v>
      </c>
      <c r="AK11" s="114" t="s">
        <v>649</v>
      </c>
      <c r="AL11" s="77" t="s">
        <v>650</v>
      </c>
      <c r="AM11" s="45"/>
      <c r="AN11" s="45"/>
      <c r="AO11" s="135" t="s">
        <v>649</v>
      </c>
      <c r="AP11" s="136" t="s">
        <v>650</v>
      </c>
      <c r="AQ11" s="135" t="s">
        <v>649</v>
      </c>
      <c r="AR11" s="136" t="s">
        <v>650</v>
      </c>
      <c r="AS11" s="127" t="s">
        <v>627</v>
      </c>
      <c r="AT11" s="131" t="s">
        <v>628</v>
      </c>
    </row>
    <row r="12" spans="1:46" x14ac:dyDescent="0.25">
      <c r="A12" s="103"/>
      <c r="B12" s="148" t="s">
        <v>411</v>
      </c>
      <c r="C12" s="148" t="s">
        <v>427</v>
      </c>
      <c r="D12" s="148" t="s">
        <v>446</v>
      </c>
      <c r="E12" s="149">
        <v>6606067522084</v>
      </c>
      <c r="F12" s="150">
        <v>50</v>
      </c>
      <c r="G12" s="151" t="s">
        <v>183</v>
      </c>
      <c r="H12" s="151" t="s">
        <v>35</v>
      </c>
      <c r="I12" s="152" t="s">
        <v>726</v>
      </c>
      <c r="J12" s="153" t="s">
        <v>727</v>
      </c>
      <c r="K12" s="104"/>
      <c r="L12" s="104"/>
      <c r="M12" s="105"/>
      <c r="N12" s="105"/>
      <c r="O12" s="105"/>
      <c r="P12" s="105"/>
      <c r="Q12" s="104"/>
      <c r="R12" s="104"/>
      <c r="S12" s="105"/>
      <c r="T12" s="105"/>
      <c r="U12" s="105"/>
      <c r="V12" s="105"/>
      <c r="W12" s="105"/>
      <c r="X12" s="105"/>
      <c r="Y12" s="115"/>
      <c r="Z12" s="106" t="s">
        <v>646</v>
      </c>
      <c r="AA12" s="105"/>
      <c r="AB12" s="104"/>
      <c r="AC12" s="105"/>
      <c r="AD12" s="107"/>
      <c r="AE12" s="105"/>
      <c r="AF12" s="105"/>
      <c r="AG12" s="105" t="s">
        <v>645</v>
      </c>
      <c r="AH12" s="106" t="s">
        <v>713</v>
      </c>
      <c r="AI12" s="115" t="s">
        <v>660</v>
      </c>
      <c r="AJ12" s="106" t="s">
        <v>661</v>
      </c>
      <c r="AK12" s="115" t="s">
        <v>660</v>
      </c>
      <c r="AL12" s="106" t="s">
        <v>661</v>
      </c>
      <c r="AM12" s="105"/>
      <c r="AN12" s="105"/>
      <c r="AO12" s="137" t="s">
        <v>668</v>
      </c>
      <c r="AP12" s="138" t="s">
        <v>646</v>
      </c>
      <c r="AQ12" s="137" t="s">
        <v>660</v>
      </c>
      <c r="AR12" s="138" t="s">
        <v>661</v>
      </c>
      <c r="AS12" s="139" t="s">
        <v>747</v>
      </c>
      <c r="AT12" s="131" t="s">
        <v>748</v>
      </c>
    </row>
    <row r="13" spans="1:46" s="108" customFormat="1" x14ac:dyDescent="0.25">
      <c r="B13" s="140" t="s">
        <v>608</v>
      </c>
      <c r="C13" s="140" t="s">
        <v>605</v>
      </c>
      <c r="D13" s="158" t="s">
        <v>606</v>
      </c>
      <c r="E13" s="154">
        <v>7602155979087</v>
      </c>
      <c r="F13" s="159">
        <v>42</v>
      </c>
      <c r="G13" s="155" t="s">
        <v>183</v>
      </c>
      <c r="H13" s="155" t="s">
        <v>35</v>
      </c>
      <c r="I13" s="158"/>
      <c r="J13" s="158"/>
      <c r="Y13" s="116" t="s">
        <v>705</v>
      </c>
      <c r="Z13" s="109" t="s">
        <v>706</v>
      </c>
      <c r="AG13" s="108" t="s">
        <v>707</v>
      </c>
      <c r="AH13" s="109" t="s">
        <v>708</v>
      </c>
      <c r="AI13" s="116" t="s">
        <v>705</v>
      </c>
      <c r="AJ13" s="109" t="s">
        <v>706</v>
      </c>
      <c r="AK13" s="116" t="s">
        <v>705</v>
      </c>
      <c r="AL13" s="109" t="s">
        <v>706</v>
      </c>
      <c r="AO13" s="128" t="s">
        <v>671</v>
      </c>
      <c r="AP13" s="125" t="s">
        <v>616</v>
      </c>
      <c r="AQ13" s="128" t="s">
        <v>705</v>
      </c>
      <c r="AR13" s="125" t="s">
        <v>706</v>
      </c>
      <c r="AS13" s="128" t="s">
        <v>643</v>
      </c>
      <c r="AT13" s="125" t="s">
        <v>644</v>
      </c>
    </row>
    <row r="14" spans="1:46" s="90" customFormat="1" x14ac:dyDescent="0.25">
      <c r="A14" s="51"/>
      <c r="B14" s="157" t="s">
        <v>601</v>
      </c>
      <c r="C14" s="157" t="s">
        <v>600</v>
      </c>
      <c r="D14" s="140" t="s">
        <v>446</v>
      </c>
      <c r="E14" s="154">
        <v>8010295596085</v>
      </c>
      <c r="F14" s="155">
        <v>36</v>
      </c>
      <c r="G14" s="155" t="s">
        <v>183</v>
      </c>
      <c r="H14" s="155" t="s">
        <v>35</v>
      </c>
      <c r="I14" s="160"/>
      <c r="J14" s="160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117" t="s">
        <v>679</v>
      </c>
      <c r="Z14" s="101" t="s">
        <v>680</v>
      </c>
      <c r="AA14" s="52"/>
      <c r="AB14" s="52"/>
      <c r="AC14" s="52"/>
      <c r="AD14" s="52"/>
      <c r="AE14" s="52"/>
      <c r="AF14" s="53"/>
      <c r="AG14" s="52" t="s">
        <v>707</v>
      </c>
      <c r="AH14" s="101" t="s">
        <v>709</v>
      </c>
      <c r="AI14" s="117" t="s">
        <v>679</v>
      </c>
      <c r="AJ14" s="124" t="s">
        <v>680</v>
      </c>
      <c r="AK14" s="123" t="s">
        <v>679</v>
      </c>
      <c r="AL14" s="124" t="s">
        <v>680</v>
      </c>
      <c r="AM14" s="52"/>
      <c r="AN14" s="52"/>
      <c r="AO14" s="132" t="s">
        <v>679</v>
      </c>
      <c r="AP14" s="133" t="s">
        <v>680</v>
      </c>
      <c r="AQ14" s="132" t="s">
        <v>679</v>
      </c>
      <c r="AR14" s="133" t="s">
        <v>680</v>
      </c>
      <c r="AS14" s="127" t="s">
        <v>655</v>
      </c>
      <c r="AT14" s="125" t="s">
        <v>749</v>
      </c>
    </row>
    <row r="15" spans="1:46" s="90" customFormat="1" x14ac:dyDescent="0.25">
      <c r="A15" s="51"/>
      <c r="B15" s="157" t="s">
        <v>599</v>
      </c>
      <c r="C15" s="157" t="s">
        <v>213</v>
      </c>
      <c r="D15" s="140" t="s">
        <v>446</v>
      </c>
      <c r="E15" s="154">
        <v>8709135342085</v>
      </c>
      <c r="F15" s="155">
        <v>29</v>
      </c>
      <c r="G15" s="155" t="s">
        <v>183</v>
      </c>
      <c r="H15" s="155" t="s">
        <v>35</v>
      </c>
      <c r="I15" s="160"/>
      <c r="J15" s="160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100"/>
      <c r="Z15" s="100"/>
      <c r="AA15" s="117" t="s">
        <v>675</v>
      </c>
      <c r="AB15" s="101" t="s">
        <v>676</v>
      </c>
      <c r="AC15" s="52"/>
      <c r="AD15" s="52"/>
      <c r="AE15" s="52"/>
      <c r="AF15" s="53"/>
      <c r="AG15" s="52" t="s">
        <v>703</v>
      </c>
      <c r="AH15" s="101" t="s">
        <v>704</v>
      </c>
      <c r="AI15" s="117" t="s">
        <v>675</v>
      </c>
      <c r="AJ15" s="124" t="s">
        <v>676</v>
      </c>
      <c r="AK15" s="123" t="s">
        <v>675</v>
      </c>
      <c r="AL15" s="124" t="s">
        <v>676</v>
      </c>
      <c r="AM15" s="52"/>
      <c r="AN15" s="52"/>
      <c r="AO15" s="132" t="s">
        <v>718</v>
      </c>
      <c r="AP15" s="133" t="s">
        <v>652</v>
      </c>
      <c r="AQ15" s="132" t="s">
        <v>651</v>
      </c>
      <c r="AR15" s="133" t="s">
        <v>652</v>
      </c>
      <c r="AS15" s="127" t="s">
        <v>654</v>
      </c>
      <c r="AT15" s="125" t="s">
        <v>750</v>
      </c>
    </row>
    <row r="16" spans="1:46" s="90" customFormat="1" x14ac:dyDescent="0.25">
      <c r="A16" s="51"/>
      <c r="B16" s="157" t="s">
        <v>602</v>
      </c>
      <c r="C16" s="157" t="s">
        <v>603</v>
      </c>
      <c r="D16" s="140" t="s">
        <v>446</v>
      </c>
      <c r="E16" s="154">
        <v>7808285597083</v>
      </c>
      <c r="F16" s="155">
        <v>40</v>
      </c>
      <c r="G16" s="155" t="s">
        <v>183</v>
      </c>
      <c r="H16" s="155" t="s">
        <v>35</v>
      </c>
      <c r="I16" s="160"/>
      <c r="J16" s="160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117" t="s">
        <v>716</v>
      </c>
      <c r="Z16" s="101" t="s">
        <v>717</v>
      </c>
      <c r="AA16" s="52"/>
      <c r="AB16" s="52"/>
      <c r="AC16" s="52"/>
      <c r="AD16" s="52"/>
      <c r="AE16" s="52"/>
      <c r="AF16" s="53"/>
      <c r="AG16" s="52" t="s">
        <v>703</v>
      </c>
      <c r="AH16" s="101" t="s">
        <v>767</v>
      </c>
      <c r="AI16" s="123" t="s">
        <v>716</v>
      </c>
      <c r="AJ16" s="124" t="s">
        <v>717</v>
      </c>
      <c r="AK16" s="123" t="s">
        <v>716</v>
      </c>
      <c r="AL16" s="124" t="s">
        <v>717</v>
      </c>
      <c r="AM16" s="52"/>
      <c r="AN16" s="52"/>
      <c r="AO16" s="132" t="s">
        <v>718</v>
      </c>
      <c r="AP16" s="133" t="s">
        <v>744</v>
      </c>
      <c r="AQ16" s="132" t="s">
        <v>716</v>
      </c>
      <c r="AR16" s="133" t="s">
        <v>717</v>
      </c>
      <c r="AS16" s="127" t="s">
        <v>751</v>
      </c>
      <c r="AT16" s="125" t="s">
        <v>752</v>
      </c>
    </row>
    <row r="17" spans="1:46" s="90" customFormat="1" x14ac:dyDescent="0.25">
      <c r="A17" s="51"/>
      <c r="B17" s="157" t="s">
        <v>215</v>
      </c>
      <c r="C17" s="157" t="s">
        <v>214</v>
      </c>
      <c r="D17" s="140" t="s">
        <v>446</v>
      </c>
      <c r="E17" s="154">
        <v>8806285956084</v>
      </c>
      <c r="F17" s="155">
        <v>29</v>
      </c>
      <c r="G17" s="155" t="s">
        <v>183</v>
      </c>
      <c r="H17" s="155" t="s">
        <v>35</v>
      </c>
      <c r="I17" s="161" t="s">
        <v>645</v>
      </c>
      <c r="J17" s="162" t="s">
        <v>681</v>
      </c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117" t="s">
        <v>666</v>
      </c>
      <c r="Z17" s="101" t="s">
        <v>667</v>
      </c>
      <c r="AA17" s="119" t="s">
        <v>666</v>
      </c>
      <c r="AB17" s="101" t="s">
        <v>667</v>
      </c>
      <c r="AC17" s="52"/>
      <c r="AD17" s="52"/>
      <c r="AE17" s="52"/>
      <c r="AF17" s="53"/>
      <c r="AG17" s="52" t="s">
        <v>768</v>
      </c>
      <c r="AH17" s="101" t="s">
        <v>734</v>
      </c>
      <c r="AI17" s="123" t="s">
        <v>645</v>
      </c>
      <c r="AJ17" s="124" t="s">
        <v>681</v>
      </c>
      <c r="AK17" s="123" t="s">
        <v>645</v>
      </c>
      <c r="AL17" s="124" t="s">
        <v>681</v>
      </c>
      <c r="AM17" s="52"/>
      <c r="AN17" s="52"/>
      <c r="AO17" s="132" t="s">
        <v>639</v>
      </c>
      <c r="AP17" s="133" t="s">
        <v>640</v>
      </c>
      <c r="AQ17" s="132" t="s">
        <v>632</v>
      </c>
      <c r="AR17" s="133" t="s">
        <v>629</v>
      </c>
      <c r="AS17" s="127" t="s">
        <v>630</v>
      </c>
      <c r="AT17" s="125" t="s">
        <v>631</v>
      </c>
    </row>
    <row r="18" spans="1:46" s="90" customFormat="1" x14ac:dyDescent="0.25">
      <c r="A18" s="51"/>
      <c r="B18" s="157" t="s">
        <v>678</v>
      </c>
      <c r="C18" s="157" t="s">
        <v>677</v>
      </c>
      <c r="D18" s="140" t="s">
        <v>606</v>
      </c>
      <c r="E18" s="154">
        <v>8103135438087</v>
      </c>
      <c r="F18" s="155">
        <v>37</v>
      </c>
      <c r="G18" s="155" t="s">
        <v>183</v>
      </c>
      <c r="H18" s="155" t="s">
        <v>35</v>
      </c>
      <c r="I18" s="160"/>
      <c r="J18" s="160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117" t="s">
        <v>691</v>
      </c>
      <c r="Z18" s="101" t="s">
        <v>692</v>
      </c>
      <c r="AA18" s="52"/>
      <c r="AB18" s="52"/>
      <c r="AC18" s="52"/>
      <c r="AD18" s="52"/>
      <c r="AE18" s="52"/>
      <c r="AF18" s="53"/>
      <c r="AG18" s="52" t="s">
        <v>714</v>
      </c>
      <c r="AH18" s="101" t="s">
        <v>715</v>
      </c>
      <c r="AI18" s="123" t="s">
        <v>691</v>
      </c>
      <c r="AJ18" s="124" t="s">
        <v>692</v>
      </c>
      <c r="AK18" s="123" t="s">
        <v>691</v>
      </c>
      <c r="AL18" s="124" t="s">
        <v>692</v>
      </c>
      <c r="AM18" s="52"/>
      <c r="AN18" s="52"/>
      <c r="AO18" s="132" t="s">
        <v>647</v>
      </c>
      <c r="AP18" s="133" t="s">
        <v>625</v>
      </c>
      <c r="AQ18" s="132" t="s">
        <v>691</v>
      </c>
      <c r="AR18" s="133" t="s">
        <v>692</v>
      </c>
      <c r="AS18" s="127" t="s">
        <v>674</v>
      </c>
      <c r="AT18" s="125" t="s">
        <v>693</v>
      </c>
    </row>
    <row r="19" spans="1:46" s="90" customFormat="1" x14ac:dyDescent="0.25">
      <c r="A19" s="51"/>
      <c r="B19" s="157" t="s">
        <v>696</v>
      </c>
      <c r="C19" s="157" t="s">
        <v>697</v>
      </c>
      <c r="D19" s="140" t="s">
        <v>606</v>
      </c>
      <c r="E19" s="154">
        <v>6603305604089</v>
      </c>
      <c r="F19" s="155">
        <v>53</v>
      </c>
      <c r="G19" s="155" t="s">
        <v>183</v>
      </c>
      <c r="H19" s="155" t="s">
        <v>35</v>
      </c>
      <c r="I19" s="160"/>
      <c r="J19" s="160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120" t="s">
        <v>738</v>
      </c>
      <c r="Z19" s="101" t="s">
        <v>739</v>
      </c>
      <c r="AA19" s="52"/>
      <c r="AB19" s="100"/>
      <c r="AC19" s="52"/>
      <c r="AD19" s="52"/>
      <c r="AE19" s="52"/>
      <c r="AF19" s="53"/>
      <c r="AG19" s="52" t="s">
        <v>703</v>
      </c>
      <c r="AH19" s="101" t="s">
        <v>704</v>
      </c>
      <c r="AI19" s="122" t="s">
        <v>738</v>
      </c>
      <c r="AJ19" s="101" t="s">
        <v>739</v>
      </c>
      <c r="AK19" s="122" t="s">
        <v>738</v>
      </c>
      <c r="AL19" s="101" t="s">
        <v>739</v>
      </c>
      <c r="AM19" s="52"/>
      <c r="AN19" s="52"/>
      <c r="AO19" s="134" t="s">
        <v>738</v>
      </c>
      <c r="AP19" s="133" t="s">
        <v>739</v>
      </c>
      <c r="AQ19" s="134" t="s">
        <v>759</v>
      </c>
      <c r="AR19" s="133" t="s">
        <v>739</v>
      </c>
      <c r="AS19" s="126" t="s">
        <v>760</v>
      </c>
      <c r="AT19" s="125" t="s">
        <v>761</v>
      </c>
    </row>
    <row r="20" spans="1:46" s="90" customFormat="1" x14ac:dyDescent="0.25">
      <c r="A20" s="51"/>
      <c r="B20" s="157" t="s">
        <v>420</v>
      </c>
      <c r="C20" s="157" t="s">
        <v>698</v>
      </c>
      <c r="D20" s="140" t="s">
        <v>606</v>
      </c>
      <c r="E20" s="154">
        <v>6101145760088</v>
      </c>
      <c r="F20" s="155">
        <v>58</v>
      </c>
      <c r="G20" s="155" t="s">
        <v>183</v>
      </c>
      <c r="H20" s="155" t="s">
        <v>35</v>
      </c>
      <c r="I20" s="160"/>
      <c r="J20" s="160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120" t="s">
        <v>757</v>
      </c>
      <c r="Z20" s="101" t="s">
        <v>754</v>
      </c>
      <c r="AA20" s="100"/>
      <c r="AB20" s="100"/>
      <c r="AC20" s="52"/>
      <c r="AD20" s="52"/>
      <c r="AE20" s="52"/>
      <c r="AF20" s="53"/>
      <c r="AG20" s="52" t="s">
        <v>701</v>
      </c>
      <c r="AH20" s="101" t="s">
        <v>702</v>
      </c>
      <c r="AI20" s="122" t="s">
        <v>757</v>
      </c>
      <c r="AJ20" s="101" t="s">
        <v>754</v>
      </c>
      <c r="AK20" s="122" t="s">
        <v>757</v>
      </c>
      <c r="AL20" s="101" t="s">
        <v>754</v>
      </c>
      <c r="AM20" s="52"/>
      <c r="AN20" s="52"/>
      <c r="AO20" s="134" t="s">
        <v>757</v>
      </c>
      <c r="AP20" s="133" t="s">
        <v>758</v>
      </c>
      <c r="AQ20" s="134" t="s">
        <v>757</v>
      </c>
      <c r="AR20" s="133" t="s">
        <v>754</v>
      </c>
      <c r="AS20" s="126" t="s">
        <v>766</v>
      </c>
      <c r="AT20" s="125" t="s">
        <v>618</v>
      </c>
    </row>
    <row r="21" spans="1:46" s="90" customFormat="1" x14ac:dyDescent="0.25">
      <c r="A21" s="51"/>
      <c r="B21" s="157" t="s">
        <v>699</v>
      </c>
      <c r="C21" s="157" t="s">
        <v>700</v>
      </c>
      <c r="D21" s="155" t="s">
        <v>606</v>
      </c>
      <c r="E21" s="154">
        <v>7809165585081</v>
      </c>
      <c r="F21" s="155">
        <v>39</v>
      </c>
      <c r="G21" s="155" t="s">
        <v>183</v>
      </c>
      <c r="H21" s="155" t="s">
        <v>35</v>
      </c>
      <c r="I21" s="160"/>
      <c r="J21" s="160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120" t="s">
        <v>753</v>
      </c>
      <c r="Z21" s="101" t="s">
        <v>754</v>
      </c>
      <c r="AA21" s="52"/>
      <c r="AB21" s="100"/>
      <c r="AC21" s="52"/>
      <c r="AD21" s="52"/>
      <c r="AE21" s="52"/>
      <c r="AF21" s="53"/>
      <c r="AG21" s="52" t="s">
        <v>701</v>
      </c>
      <c r="AH21" s="101" t="s">
        <v>702</v>
      </c>
      <c r="AI21" s="122" t="s">
        <v>757</v>
      </c>
      <c r="AJ21" s="101" t="s">
        <v>754</v>
      </c>
      <c r="AK21" s="122" t="s">
        <v>757</v>
      </c>
      <c r="AL21" s="101" t="s">
        <v>754</v>
      </c>
      <c r="AM21" s="52"/>
      <c r="AN21" s="52"/>
      <c r="AO21" s="134" t="s">
        <v>757</v>
      </c>
      <c r="AP21" s="133" t="s">
        <v>754</v>
      </c>
      <c r="AQ21" s="134" t="s">
        <v>757</v>
      </c>
      <c r="AR21" s="133" t="s">
        <v>754</v>
      </c>
      <c r="AS21" s="126" t="s">
        <v>755</v>
      </c>
      <c r="AT21" s="125" t="s">
        <v>756</v>
      </c>
    </row>
    <row r="22" spans="1:46" s="98" customFormat="1" ht="25.5" customHeight="1" x14ac:dyDescent="0.5">
      <c r="A22" s="91"/>
      <c r="B22" s="92"/>
      <c r="C22" s="92"/>
      <c r="D22" s="34"/>
      <c r="E22" s="93"/>
      <c r="F22" s="34"/>
      <c r="G22" s="34"/>
      <c r="H22" s="34"/>
      <c r="I22" s="94"/>
      <c r="J22" s="94"/>
      <c r="K22" s="94"/>
      <c r="L22" s="94"/>
      <c r="M22" s="94"/>
      <c r="N22" s="94"/>
      <c r="O22" s="94"/>
      <c r="P22" s="94"/>
      <c r="Q22" s="95"/>
      <c r="R22" s="95"/>
      <c r="S22" s="96"/>
      <c r="T22" s="96" t="s">
        <v>604</v>
      </c>
      <c r="U22" s="96"/>
      <c r="V22" s="95"/>
      <c r="W22" s="95"/>
      <c r="X22" s="95"/>
      <c r="Y22" s="94"/>
      <c r="Z22" s="94"/>
      <c r="AA22" s="94"/>
      <c r="AB22" s="94"/>
      <c r="AC22" s="94"/>
      <c r="AD22" s="94"/>
      <c r="AE22" s="94"/>
      <c r="AF22" s="97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111"/>
    </row>
    <row r="23" spans="1:46" ht="33.75" x14ac:dyDescent="0.25">
      <c r="A23" s="16" t="s">
        <v>4</v>
      </c>
      <c r="B23" s="16" t="s">
        <v>7</v>
      </c>
      <c r="C23" s="16" t="s">
        <v>0</v>
      </c>
      <c r="D23" s="16" t="s">
        <v>8</v>
      </c>
      <c r="E23" s="46" t="s">
        <v>1</v>
      </c>
      <c r="F23" s="46" t="s">
        <v>11</v>
      </c>
      <c r="G23" s="17" t="s">
        <v>10</v>
      </c>
      <c r="H23" s="17" t="s">
        <v>9</v>
      </c>
      <c r="I23" s="19" t="s">
        <v>15</v>
      </c>
      <c r="J23" s="20" t="s">
        <v>17</v>
      </c>
      <c r="K23" s="21" t="s">
        <v>16</v>
      </c>
      <c r="L23" s="20" t="s">
        <v>17</v>
      </c>
      <c r="M23" s="19" t="s">
        <v>18</v>
      </c>
      <c r="N23" s="20" t="s">
        <v>17</v>
      </c>
      <c r="O23" s="19" t="s">
        <v>19</v>
      </c>
      <c r="P23" s="20" t="s">
        <v>17</v>
      </c>
      <c r="Q23" s="19" t="s">
        <v>20</v>
      </c>
      <c r="R23" s="20" t="s">
        <v>17</v>
      </c>
      <c r="S23" s="19" t="s">
        <v>21</v>
      </c>
      <c r="T23" s="20" t="s">
        <v>17</v>
      </c>
      <c r="U23" s="19" t="s">
        <v>22</v>
      </c>
      <c r="V23" s="20" t="s">
        <v>17</v>
      </c>
      <c r="W23" s="19" t="s">
        <v>23</v>
      </c>
      <c r="X23" s="20" t="s">
        <v>17</v>
      </c>
      <c r="Y23" s="19" t="s">
        <v>24</v>
      </c>
      <c r="Z23" s="20" t="s">
        <v>17</v>
      </c>
      <c r="AA23" s="19" t="s">
        <v>25</v>
      </c>
      <c r="AB23" s="20" t="s">
        <v>17</v>
      </c>
      <c r="AC23" s="19" t="s">
        <v>251</v>
      </c>
      <c r="AD23" s="20" t="s">
        <v>17</v>
      </c>
      <c r="AE23" s="19" t="s">
        <v>252</v>
      </c>
      <c r="AF23" s="20" t="s">
        <v>17</v>
      </c>
      <c r="AG23" s="22" t="s">
        <v>26</v>
      </c>
      <c r="AH23" s="20" t="s">
        <v>6</v>
      </c>
      <c r="AI23" s="22" t="s">
        <v>27</v>
      </c>
      <c r="AJ23" s="20" t="s">
        <v>17</v>
      </c>
      <c r="AK23" s="22" t="s">
        <v>28</v>
      </c>
      <c r="AL23" s="20" t="s">
        <v>17</v>
      </c>
      <c r="AM23" s="22" t="s">
        <v>29</v>
      </c>
      <c r="AN23" s="20" t="s">
        <v>17</v>
      </c>
      <c r="AO23" s="22" t="s">
        <v>30</v>
      </c>
      <c r="AP23" s="20" t="s">
        <v>17</v>
      </c>
      <c r="AQ23" s="22" t="s">
        <v>28</v>
      </c>
      <c r="AR23" s="20" t="s">
        <v>17</v>
      </c>
      <c r="AS23" s="22" t="s">
        <v>448</v>
      </c>
      <c r="AT23" s="88" t="s">
        <v>594</v>
      </c>
    </row>
    <row r="24" spans="1:46" s="90" customFormat="1" x14ac:dyDescent="0.25">
      <c r="A24" s="163"/>
      <c r="B24" s="157" t="s">
        <v>611</v>
      </c>
      <c r="C24" s="157" t="s">
        <v>612</v>
      </c>
      <c r="D24" s="155" t="s">
        <v>606</v>
      </c>
      <c r="E24" s="154">
        <v>7402055122080</v>
      </c>
      <c r="F24" s="155">
        <v>44</v>
      </c>
      <c r="G24" s="155" t="s">
        <v>54</v>
      </c>
      <c r="H24" s="155" t="s">
        <v>35</v>
      </c>
      <c r="I24" s="132" t="s">
        <v>728</v>
      </c>
      <c r="J24" s="133" t="s">
        <v>729</v>
      </c>
      <c r="K24" s="132" t="s">
        <v>736</v>
      </c>
      <c r="L24" s="133" t="s">
        <v>737</v>
      </c>
      <c r="M24" s="156"/>
      <c r="N24" s="156"/>
      <c r="O24" s="132" t="s">
        <v>728</v>
      </c>
      <c r="P24" s="133" t="s">
        <v>729</v>
      </c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32" t="s">
        <v>736</v>
      </c>
      <c r="AD24" s="133" t="s">
        <v>737</v>
      </c>
      <c r="AE24" s="156"/>
      <c r="AF24" s="164"/>
      <c r="AG24" s="156" t="s">
        <v>669</v>
      </c>
      <c r="AH24" s="133" t="s">
        <v>670</v>
      </c>
      <c r="AI24" s="132" t="s">
        <v>728</v>
      </c>
      <c r="AJ24" s="133" t="s">
        <v>729</v>
      </c>
      <c r="AK24" s="132" t="s">
        <v>728</v>
      </c>
      <c r="AL24" s="133" t="s">
        <v>729</v>
      </c>
      <c r="AM24" s="156"/>
      <c r="AN24" s="156"/>
      <c r="AO24" s="132" t="s">
        <v>731</v>
      </c>
      <c r="AP24" s="133" t="s">
        <v>732</v>
      </c>
      <c r="AQ24" s="132" t="s">
        <v>728</v>
      </c>
      <c r="AR24" s="133" t="s">
        <v>730</v>
      </c>
      <c r="AS24" s="127" t="s">
        <v>734</v>
      </c>
      <c r="AT24" s="125" t="s">
        <v>735</v>
      </c>
    </row>
    <row r="25" spans="1:46" s="90" customFormat="1" x14ac:dyDescent="0.25">
      <c r="A25" s="163"/>
      <c r="B25" s="157" t="s">
        <v>613</v>
      </c>
      <c r="C25" s="157" t="s">
        <v>614</v>
      </c>
      <c r="D25" s="155" t="s">
        <v>606</v>
      </c>
      <c r="E25" s="154">
        <v>8107145265083</v>
      </c>
      <c r="F25" s="155">
        <v>37</v>
      </c>
      <c r="G25" s="155" t="s">
        <v>54</v>
      </c>
      <c r="H25" s="155" t="s">
        <v>35</v>
      </c>
      <c r="I25" s="132" t="s">
        <v>728</v>
      </c>
      <c r="J25" s="133" t="s">
        <v>730</v>
      </c>
      <c r="K25" s="132" t="s">
        <v>736</v>
      </c>
      <c r="L25" s="133" t="s">
        <v>737</v>
      </c>
      <c r="M25" s="156"/>
      <c r="N25" s="156"/>
      <c r="O25" s="132" t="s">
        <v>728</v>
      </c>
      <c r="P25" s="133" t="s">
        <v>729</v>
      </c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32" t="s">
        <v>736</v>
      </c>
      <c r="AD25" s="133" t="s">
        <v>737</v>
      </c>
      <c r="AE25" s="156"/>
      <c r="AF25" s="164"/>
      <c r="AG25" s="156" t="s">
        <v>669</v>
      </c>
      <c r="AH25" s="133" t="s">
        <v>670</v>
      </c>
      <c r="AI25" s="132" t="s">
        <v>728</v>
      </c>
      <c r="AJ25" s="133" t="s">
        <v>729</v>
      </c>
      <c r="AK25" s="132" t="s">
        <v>728</v>
      </c>
      <c r="AL25" s="133" t="s">
        <v>729</v>
      </c>
      <c r="AM25" s="156"/>
      <c r="AN25" s="156"/>
      <c r="AO25" s="132" t="s">
        <v>731</v>
      </c>
      <c r="AP25" s="133" t="s">
        <v>733</v>
      </c>
      <c r="AQ25" s="132" t="s">
        <v>653</v>
      </c>
      <c r="AR25" s="133" t="s">
        <v>730</v>
      </c>
      <c r="AS25" s="127" t="s">
        <v>712</v>
      </c>
      <c r="AT25" s="125" t="s">
        <v>648</v>
      </c>
    </row>
    <row r="26" spans="1:46" s="90" customFormat="1" x14ac:dyDescent="0.25">
      <c r="A26" s="165"/>
      <c r="B26" s="166"/>
      <c r="C26" s="166"/>
      <c r="D26" s="167"/>
      <c r="E26" s="168"/>
      <c r="F26" s="167"/>
      <c r="G26" s="167"/>
      <c r="H26" s="167"/>
      <c r="I26" s="169"/>
      <c r="J26" s="170"/>
      <c r="K26" s="171"/>
      <c r="L26" s="171"/>
      <c r="M26" s="171"/>
      <c r="N26" s="171"/>
      <c r="O26" s="169"/>
      <c r="P26" s="170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69"/>
      <c r="AD26" s="170"/>
      <c r="AE26" s="171"/>
      <c r="AF26" s="172"/>
      <c r="AG26" s="171"/>
      <c r="AH26" s="173"/>
      <c r="AI26" s="173"/>
      <c r="AJ26" s="173"/>
      <c r="AK26" s="173"/>
      <c r="AL26" s="173"/>
      <c r="AM26" s="171"/>
      <c r="AN26" s="171"/>
      <c r="AO26" s="173"/>
      <c r="AP26" s="173"/>
      <c r="AQ26" s="173"/>
      <c r="AR26" s="173"/>
      <c r="AS26" s="174"/>
      <c r="AT26" s="175"/>
    </row>
    <row r="27" spans="1:46" s="110" customFormat="1" x14ac:dyDescent="0.25">
      <c r="E27" s="176"/>
      <c r="F27" s="177"/>
      <c r="AI27" s="175"/>
    </row>
    <row r="28" spans="1:46" s="110" customFormat="1" x14ac:dyDescent="0.25">
      <c r="E28" s="177"/>
      <c r="F28" s="177"/>
    </row>
    <row r="29" spans="1:46" s="110" customFormat="1" x14ac:dyDescent="0.25">
      <c r="E29" s="177"/>
      <c r="F29" s="177"/>
    </row>
    <row r="30" spans="1:46" s="110" customFormat="1" x14ac:dyDescent="0.25">
      <c r="E30" s="177"/>
      <c r="F30" s="177"/>
    </row>
    <row r="31" spans="1:46" s="110" customFormat="1" x14ac:dyDescent="0.25">
      <c r="E31" s="177"/>
      <c r="F31" s="177"/>
    </row>
    <row r="32" spans="1:46" s="110" customFormat="1" x14ac:dyDescent="0.25">
      <c r="E32" s="177"/>
      <c r="F32" s="177"/>
    </row>
    <row r="33" spans="5:6" s="110" customFormat="1" x14ac:dyDescent="0.25">
      <c r="E33" s="177"/>
      <c r="F33" s="177"/>
    </row>
    <row r="34" spans="5:6" s="110" customFormat="1" x14ac:dyDescent="0.25">
      <c r="E34" s="177"/>
      <c r="F34" s="177"/>
    </row>
    <row r="35" spans="5:6" s="110" customFormat="1" x14ac:dyDescent="0.25">
      <c r="E35" s="177"/>
      <c r="F35" s="177"/>
    </row>
    <row r="36" spans="5:6" s="110" customFormat="1" x14ac:dyDescent="0.25">
      <c r="E36" s="177"/>
      <c r="F36" s="177"/>
    </row>
    <row r="37" spans="5:6" s="110" customFormat="1" x14ac:dyDescent="0.25">
      <c r="E37" s="177"/>
      <c r="F37" s="177"/>
    </row>
    <row r="38" spans="5:6" s="110" customFormat="1" x14ac:dyDescent="0.25">
      <c r="E38" s="177"/>
      <c r="F38" s="177"/>
    </row>
    <row r="39" spans="5:6" s="110" customFormat="1" x14ac:dyDescent="0.25">
      <c r="E39" s="177"/>
      <c r="F39" s="177"/>
    </row>
    <row r="40" spans="5:6" s="110" customFormat="1" x14ac:dyDescent="0.25">
      <c r="E40" s="177"/>
      <c r="F40" s="177"/>
    </row>
    <row r="41" spans="5:6" s="110" customFormat="1" x14ac:dyDescent="0.25">
      <c r="E41" s="177"/>
      <c r="F41" s="177"/>
    </row>
    <row r="42" spans="5:6" s="110" customFormat="1" x14ac:dyDescent="0.25">
      <c r="E42" s="177"/>
      <c r="F42" s="177"/>
    </row>
    <row r="43" spans="5:6" s="110" customFormat="1" x14ac:dyDescent="0.25">
      <c r="E43" s="177"/>
      <c r="F43" s="177"/>
    </row>
    <row r="44" spans="5:6" s="110" customFormat="1" x14ac:dyDescent="0.25">
      <c r="E44" s="177"/>
      <c r="F44" s="177"/>
    </row>
    <row r="45" spans="5:6" s="110" customFormat="1" x14ac:dyDescent="0.25">
      <c r="E45" s="177"/>
      <c r="F45" s="177"/>
    </row>
    <row r="46" spans="5:6" s="110" customFormat="1" x14ac:dyDescent="0.25">
      <c r="E46" s="177"/>
      <c r="F46" s="177"/>
    </row>
    <row r="47" spans="5:6" s="110" customFormat="1" x14ac:dyDescent="0.25">
      <c r="E47" s="177"/>
      <c r="F47" s="177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BB150"/>
  <sheetViews>
    <sheetView zoomScaleNormal="100" zoomScaleSheetLayoutView="85" workbookViewId="0">
      <pane xSplit="8" ySplit="1" topLeftCell="I110" activePane="bottomRight" state="frozen"/>
      <selection pane="topRight" activeCell="J1" sqref="J1"/>
      <selection pane="bottomLeft" activeCell="A7" sqref="A7"/>
      <selection pane="bottomRight" activeCell="A100" sqref="A100:XFD118"/>
    </sheetView>
  </sheetViews>
  <sheetFormatPr defaultColWidth="9.140625" defaultRowHeight="11.25" x14ac:dyDescent="0.2"/>
  <cols>
    <col min="1" max="1" width="16.85546875" style="25" customWidth="1"/>
    <col min="2" max="2" width="15.28515625" style="23" customWidth="1"/>
    <col min="3" max="3" width="13.28515625" style="23" customWidth="1"/>
    <col min="4" max="4" width="18.28515625" style="23" bestFit="1" customWidth="1"/>
    <col min="5" max="5" width="15.28515625" style="185" customWidth="1"/>
    <col min="6" max="6" width="7.28515625" style="23" customWidth="1"/>
    <col min="7" max="7" width="9.140625" style="23" customWidth="1"/>
    <col min="8" max="8" width="10.140625" style="23" customWidth="1"/>
    <col min="9" max="9" width="0.28515625" style="23" customWidth="1"/>
    <col min="10" max="10" width="0.140625" style="1" hidden="1" customWidth="1"/>
    <col min="11" max="11" width="5.140625" style="2" hidden="1" customWidth="1"/>
    <col min="12" max="12" width="5.7109375" style="1" hidden="1" customWidth="1"/>
    <col min="13" max="13" width="0.28515625" style="1" hidden="1" customWidth="1"/>
    <col min="14" max="14" width="8" style="1" hidden="1" customWidth="1"/>
    <col min="15" max="15" width="8.7109375" style="23" bestFit="1" customWidth="1"/>
    <col min="16" max="16" width="11.140625" style="23" customWidth="1"/>
    <col min="17" max="17" width="10.7109375" style="23" customWidth="1"/>
    <col min="18" max="18" width="12.42578125" style="23" customWidth="1"/>
    <col min="19" max="19" width="10.140625" style="23" bestFit="1" customWidth="1"/>
    <col min="20" max="22" width="10" style="23" customWidth="1"/>
    <col min="23" max="23" width="11.28515625" style="23" bestFit="1" customWidth="1"/>
    <col min="24" max="29" width="10" style="23" customWidth="1"/>
    <col min="30" max="30" width="10.42578125" style="23" customWidth="1"/>
    <col min="31" max="31" width="9.42578125" style="23" customWidth="1"/>
    <col min="32" max="34" width="10.42578125" style="23" customWidth="1"/>
    <col min="35" max="35" width="9.42578125" style="23" customWidth="1"/>
    <col min="36" max="36" width="10.42578125" style="23" customWidth="1"/>
    <col min="37" max="37" width="9.42578125" style="23" customWidth="1"/>
    <col min="38" max="38" width="10.42578125" style="23" customWidth="1"/>
    <col min="39" max="39" width="14.42578125" style="23" customWidth="1"/>
    <col min="40" max="40" width="12.42578125" style="23" customWidth="1"/>
    <col min="41" max="41" width="14" style="23" customWidth="1"/>
    <col min="42" max="42" width="11.5703125" style="23" customWidth="1"/>
    <col min="43" max="43" width="11.5703125" style="23" bestFit="1" customWidth="1"/>
    <col min="44" max="44" width="10.85546875" style="23" customWidth="1"/>
    <col min="45" max="45" width="15.42578125" style="23" bestFit="1" customWidth="1"/>
    <col min="46" max="46" width="12.140625" style="23" customWidth="1"/>
    <col min="47" max="47" width="13.42578125" style="23" customWidth="1"/>
    <col min="48" max="48" width="9.85546875" style="23" bestFit="1" customWidth="1"/>
    <col min="49" max="49" width="16.5703125" style="23" customWidth="1"/>
    <col min="50" max="50" width="10" style="23" bestFit="1" customWidth="1"/>
    <col min="51" max="51" width="10.28515625" style="23" customWidth="1"/>
    <col min="52" max="52" width="10.5703125" style="23" customWidth="1"/>
    <col min="53" max="16384" width="9.140625" style="23"/>
  </cols>
  <sheetData>
    <row r="1" spans="1:54" ht="110.25" customHeight="1" x14ac:dyDescent="0.2">
      <c r="A1" s="16" t="s">
        <v>4</v>
      </c>
      <c r="B1" s="16" t="s">
        <v>7</v>
      </c>
      <c r="C1" s="16" t="s">
        <v>0</v>
      </c>
      <c r="D1" s="16" t="s">
        <v>8</v>
      </c>
      <c r="E1" s="179" t="s">
        <v>1</v>
      </c>
      <c r="F1" s="16" t="s">
        <v>11</v>
      </c>
      <c r="G1" s="17" t="s">
        <v>10</v>
      </c>
      <c r="H1" s="17" t="s">
        <v>9</v>
      </c>
      <c r="I1" s="18" t="s">
        <v>5</v>
      </c>
      <c r="J1" s="10" t="s">
        <v>14</v>
      </c>
      <c r="K1" s="6" t="s">
        <v>2</v>
      </c>
      <c r="L1" s="5" t="s">
        <v>3</v>
      </c>
      <c r="M1" s="5" t="s">
        <v>13</v>
      </c>
      <c r="N1" s="9" t="s">
        <v>12</v>
      </c>
      <c r="O1" s="19" t="s">
        <v>15</v>
      </c>
      <c r="P1" s="20" t="s">
        <v>17</v>
      </c>
      <c r="Q1" s="21" t="s">
        <v>16</v>
      </c>
      <c r="R1" s="20" t="s">
        <v>17</v>
      </c>
      <c r="S1" s="19" t="s">
        <v>18</v>
      </c>
      <c r="T1" s="20" t="s">
        <v>17</v>
      </c>
      <c r="U1" s="19" t="s">
        <v>19</v>
      </c>
      <c r="V1" s="20" t="s">
        <v>17</v>
      </c>
      <c r="W1" s="19" t="s">
        <v>20</v>
      </c>
      <c r="X1" s="20" t="s">
        <v>17</v>
      </c>
      <c r="Y1" s="19" t="s">
        <v>21</v>
      </c>
      <c r="Z1" s="20" t="s">
        <v>17</v>
      </c>
      <c r="AA1" s="19" t="s">
        <v>22</v>
      </c>
      <c r="AB1" s="20" t="s">
        <v>17</v>
      </c>
      <c r="AC1" s="19" t="s">
        <v>23</v>
      </c>
      <c r="AD1" s="20" t="s">
        <v>17</v>
      </c>
      <c r="AE1" s="19" t="s">
        <v>24</v>
      </c>
      <c r="AF1" s="20" t="s">
        <v>17</v>
      </c>
      <c r="AG1" s="19" t="s">
        <v>25</v>
      </c>
      <c r="AH1" s="20" t="s">
        <v>17</v>
      </c>
      <c r="AI1" s="19" t="s">
        <v>251</v>
      </c>
      <c r="AJ1" s="20" t="s">
        <v>17</v>
      </c>
      <c r="AK1" s="19" t="s">
        <v>252</v>
      </c>
      <c r="AL1" s="20" t="s">
        <v>17</v>
      </c>
      <c r="AM1" s="22" t="s">
        <v>26</v>
      </c>
      <c r="AN1" s="20" t="s">
        <v>6</v>
      </c>
      <c r="AO1" s="22" t="s">
        <v>27</v>
      </c>
      <c r="AP1" s="20" t="s">
        <v>17</v>
      </c>
      <c r="AQ1" s="22" t="s">
        <v>28</v>
      </c>
      <c r="AR1" s="20" t="s">
        <v>17</v>
      </c>
      <c r="AS1" s="22" t="s">
        <v>29</v>
      </c>
      <c r="AT1" s="20" t="s">
        <v>17</v>
      </c>
      <c r="AU1" s="22" t="s">
        <v>30</v>
      </c>
      <c r="AV1" s="20" t="s">
        <v>17</v>
      </c>
      <c r="AW1" s="22" t="s">
        <v>28</v>
      </c>
      <c r="AX1" s="20" t="s">
        <v>17</v>
      </c>
      <c r="AY1" s="178" t="s">
        <v>771</v>
      </c>
      <c r="AZ1" s="178" t="s">
        <v>594</v>
      </c>
    </row>
    <row r="2" spans="1:54" s="13" customFormat="1" ht="17.100000000000001" customHeight="1" x14ac:dyDescent="0.25">
      <c r="A2" s="26"/>
      <c r="B2" s="43" t="s">
        <v>31</v>
      </c>
      <c r="C2" s="43" t="s">
        <v>58</v>
      </c>
      <c r="D2" s="42" t="s">
        <v>405</v>
      </c>
      <c r="E2" s="180" t="s">
        <v>302</v>
      </c>
      <c r="F2" s="32">
        <v>43</v>
      </c>
      <c r="G2" s="33" t="s">
        <v>183</v>
      </c>
      <c r="H2" s="33" t="s">
        <v>35</v>
      </c>
      <c r="I2" s="4"/>
      <c r="J2" s="11"/>
      <c r="K2" s="3"/>
      <c r="L2" s="3"/>
      <c r="M2" s="3"/>
      <c r="N2" s="12"/>
    </row>
    <row r="3" spans="1:54" s="24" customFormat="1" ht="17.100000000000001" customHeight="1" x14ac:dyDescent="0.2">
      <c r="A3" s="27"/>
      <c r="B3" s="28" t="s">
        <v>33</v>
      </c>
      <c r="C3" s="28" t="s">
        <v>59</v>
      </c>
      <c r="D3" s="28" t="s">
        <v>405</v>
      </c>
      <c r="E3" s="181">
        <v>7506286051080</v>
      </c>
      <c r="F3" s="28">
        <v>41</v>
      </c>
      <c r="G3" s="28" t="s">
        <v>183</v>
      </c>
      <c r="H3" s="28" t="s">
        <v>35</v>
      </c>
      <c r="J3" s="14"/>
      <c r="K3" s="15"/>
      <c r="L3" s="14"/>
      <c r="M3" s="14"/>
      <c r="N3" s="14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</row>
    <row r="4" spans="1:54" s="24" customFormat="1" ht="17.100000000000001" customHeight="1" x14ac:dyDescent="0.2">
      <c r="A4" s="27"/>
      <c r="B4" s="28" t="s">
        <v>772</v>
      </c>
      <c r="C4" s="28" t="s">
        <v>773</v>
      </c>
      <c r="D4" s="28" t="s">
        <v>405</v>
      </c>
      <c r="E4" s="181"/>
      <c r="F4" s="28"/>
      <c r="G4" s="28" t="s">
        <v>183</v>
      </c>
      <c r="H4" s="28" t="s">
        <v>35</v>
      </c>
      <c r="J4" s="14"/>
      <c r="K4" s="15"/>
      <c r="L4" s="14"/>
      <c r="M4" s="14"/>
      <c r="N4" s="14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</row>
    <row r="5" spans="1:54" s="24" customFormat="1" ht="17.100000000000001" customHeight="1" x14ac:dyDescent="0.2">
      <c r="A5" s="27"/>
      <c r="B5" s="28" t="s">
        <v>774</v>
      </c>
      <c r="C5" s="28" t="s">
        <v>116</v>
      </c>
      <c r="D5" s="28" t="s">
        <v>405</v>
      </c>
      <c r="E5" s="181"/>
      <c r="F5" s="28">
        <v>40</v>
      </c>
      <c r="G5" s="28" t="s">
        <v>183</v>
      </c>
      <c r="H5" s="28" t="s">
        <v>35</v>
      </c>
      <c r="J5" s="14"/>
      <c r="K5" s="15"/>
      <c r="L5" s="14"/>
      <c r="M5" s="14"/>
      <c r="N5" s="14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</row>
    <row r="6" spans="1:54" s="24" customFormat="1" ht="17.100000000000001" customHeight="1" x14ac:dyDescent="0.2">
      <c r="A6" s="27"/>
      <c r="B6" s="28" t="s">
        <v>776</v>
      </c>
      <c r="C6" s="28" t="s">
        <v>437</v>
      </c>
      <c r="D6" s="28" t="s">
        <v>405</v>
      </c>
      <c r="E6" s="181">
        <v>6511195441084</v>
      </c>
      <c r="F6" s="28">
        <v>55</v>
      </c>
      <c r="G6" s="28" t="s">
        <v>183</v>
      </c>
      <c r="H6" s="28" t="s">
        <v>35</v>
      </c>
      <c r="J6" s="14"/>
      <c r="K6" s="15"/>
      <c r="L6" s="14"/>
      <c r="M6" s="14"/>
      <c r="N6" s="14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</row>
    <row r="7" spans="1:54" s="24" customFormat="1" ht="17.100000000000001" customHeight="1" x14ac:dyDescent="0.2">
      <c r="A7" s="27"/>
      <c r="B7" s="28" t="s">
        <v>32</v>
      </c>
      <c r="C7" s="28" t="s">
        <v>60</v>
      </c>
      <c r="D7" s="28" t="s">
        <v>405</v>
      </c>
      <c r="E7" s="181" t="s">
        <v>290</v>
      </c>
      <c r="F7" s="28">
        <v>30</v>
      </c>
      <c r="G7" s="28" t="s">
        <v>183</v>
      </c>
      <c r="H7" s="28" t="s">
        <v>35</v>
      </c>
      <c r="J7" s="14"/>
      <c r="K7" s="15"/>
      <c r="L7" s="14"/>
      <c r="M7" s="14"/>
      <c r="N7" s="14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</row>
    <row r="8" spans="1:54" ht="17.100000000000001" customHeight="1" x14ac:dyDescent="0.2">
      <c r="A8" s="27"/>
      <c r="B8" s="29" t="s">
        <v>777</v>
      </c>
      <c r="C8" s="29" t="s">
        <v>65</v>
      </c>
      <c r="D8" s="29" t="s">
        <v>405</v>
      </c>
      <c r="E8" s="182">
        <v>5508075335080</v>
      </c>
      <c r="F8" s="29">
        <v>64</v>
      </c>
      <c r="G8" s="29" t="s">
        <v>183</v>
      </c>
      <c r="H8" s="29" t="s">
        <v>35</v>
      </c>
      <c r="O8" s="28"/>
      <c r="P8" s="28"/>
      <c r="Q8" s="28"/>
      <c r="R8" s="28"/>
      <c r="S8" s="28"/>
      <c r="T8" s="29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4" ht="17.100000000000001" customHeight="1" x14ac:dyDescent="0.2">
      <c r="A9" s="27"/>
      <c r="B9" s="29" t="s">
        <v>143</v>
      </c>
      <c r="C9" s="29" t="s">
        <v>62</v>
      </c>
      <c r="D9" s="29" t="s">
        <v>405</v>
      </c>
      <c r="E9" s="182" t="s">
        <v>291</v>
      </c>
      <c r="F9" s="29">
        <v>32</v>
      </c>
      <c r="G9" s="29" t="s">
        <v>183</v>
      </c>
      <c r="H9" s="29" t="s">
        <v>35</v>
      </c>
      <c r="O9" s="28"/>
      <c r="P9" s="28"/>
      <c r="Q9" s="28"/>
      <c r="R9" s="28"/>
      <c r="S9" s="28"/>
      <c r="T9" s="29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4" ht="17.100000000000001" customHeight="1" x14ac:dyDescent="0.2">
      <c r="A10" s="27"/>
      <c r="B10" s="29" t="s">
        <v>142</v>
      </c>
      <c r="C10" s="29" t="s">
        <v>62</v>
      </c>
      <c r="D10" s="29" t="s">
        <v>405</v>
      </c>
      <c r="E10" s="182" t="s">
        <v>292</v>
      </c>
      <c r="F10" s="29">
        <v>38</v>
      </c>
      <c r="G10" s="29" t="s">
        <v>183</v>
      </c>
      <c r="H10" s="29" t="s">
        <v>35</v>
      </c>
      <c r="O10" s="28"/>
      <c r="P10" s="28"/>
      <c r="Q10" s="28"/>
      <c r="R10" s="28"/>
      <c r="S10" s="28"/>
      <c r="T10" s="29"/>
      <c r="U10" s="28"/>
      <c r="V10" s="28"/>
      <c r="W10" s="28"/>
      <c r="X10" s="28"/>
      <c r="Y10" s="28"/>
      <c r="Z10" s="28"/>
      <c r="AA10" s="28"/>
      <c r="AB10" s="28"/>
      <c r="AC10" s="28"/>
      <c r="AD10" s="18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4" ht="17.100000000000001" customHeight="1" x14ac:dyDescent="0.2">
      <c r="A11" s="27"/>
      <c r="B11" s="29" t="s">
        <v>243</v>
      </c>
      <c r="C11" s="29" t="s">
        <v>63</v>
      </c>
      <c r="D11" s="29" t="s">
        <v>405</v>
      </c>
      <c r="E11" s="182" t="s">
        <v>293</v>
      </c>
      <c r="F11" s="29">
        <v>50</v>
      </c>
      <c r="G11" s="29" t="s">
        <v>183</v>
      </c>
      <c r="H11" s="29" t="s">
        <v>35</v>
      </c>
      <c r="O11" s="28"/>
      <c r="P11" s="28"/>
      <c r="Q11" s="28"/>
      <c r="R11" s="28"/>
      <c r="S11" s="28"/>
      <c r="T11" s="29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4" ht="17.100000000000001" customHeight="1" x14ac:dyDescent="0.2">
      <c r="A12" s="27"/>
      <c r="B12" s="29" t="s">
        <v>781</v>
      </c>
      <c r="C12" s="29" t="s">
        <v>63</v>
      </c>
      <c r="D12" s="29" t="s">
        <v>405</v>
      </c>
      <c r="E12" s="182">
        <v>7501275686087</v>
      </c>
      <c r="F12" s="29">
        <v>44</v>
      </c>
      <c r="G12" s="29" t="s">
        <v>183</v>
      </c>
      <c r="H12" s="29" t="s">
        <v>35</v>
      </c>
      <c r="O12" s="28"/>
      <c r="P12" s="28"/>
      <c r="Q12" s="28"/>
      <c r="R12" s="28"/>
      <c r="S12" s="28"/>
      <c r="T12" s="29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4" ht="17.100000000000001" customHeight="1" x14ac:dyDescent="0.25">
      <c r="A13" s="27"/>
      <c r="B13" s="29" t="s">
        <v>782</v>
      </c>
      <c r="C13" s="29" t="s">
        <v>543</v>
      </c>
      <c r="D13" s="29"/>
      <c r="E13" s="182"/>
      <c r="F13" s="29"/>
      <c r="G13" s="29"/>
      <c r="H13" s="29"/>
      <c r="O13" s="28"/>
      <c r="P13" s="28"/>
      <c r="Q13" s="28"/>
      <c r="R13" s="38"/>
      <c r="S13" s="39"/>
      <c r="T13" s="38"/>
      <c r="U13" s="39"/>
      <c r="V13" s="38"/>
      <c r="W13" s="39"/>
      <c r="X13" s="40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9"/>
      <c r="AR13" s="38"/>
      <c r="AS13" s="39"/>
      <c r="AT13" s="8"/>
      <c r="AU13" s="4"/>
      <c r="AV13" s="8"/>
      <c r="AW13" s="4"/>
      <c r="AX13" s="8"/>
      <c r="AY13" s="7"/>
      <c r="AZ13" s="8"/>
      <c r="BA13" s="8"/>
      <c r="BB13" s="13"/>
    </row>
    <row r="14" spans="1:54" ht="17.100000000000001" customHeight="1" x14ac:dyDescent="0.2">
      <c r="A14" s="27"/>
      <c r="B14" s="29" t="s">
        <v>36</v>
      </c>
      <c r="C14" s="29" t="s">
        <v>64</v>
      </c>
      <c r="D14" s="29" t="s">
        <v>405</v>
      </c>
      <c r="E14" s="182" t="s">
        <v>294</v>
      </c>
      <c r="F14" s="29">
        <v>46</v>
      </c>
      <c r="G14" s="29" t="s">
        <v>183</v>
      </c>
      <c r="H14" s="29" t="s">
        <v>35</v>
      </c>
      <c r="O14" s="28"/>
      <c r="P14" s="28"/>
      <c r="Q14" s="28"/>
      <c r="R14" s="28"/>
      <c r="S14" s="28"/>
      <c r="T14" s="29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spans="1:54" ht="17.100000000000001" customHeight="1" x14ac:dyDescent="0.2">
      <c r="A15" s="27"/>
      <c r="B15" s="29" t="s">
        <v>144</v>
      </c>
      <c r="C15" s="29" t="s">
        <v>65</v>
      </c>
      <c r="D15" s="29" t="s">
        <v>405</v>
      </c>
      <c r="E15" s="182" t="s">
        <v>295</v>
      </c>
      <c r="F15" s="29">
        <v>61</v>
      </c>
      <c r="G15" s="29" t="s">
        <v>183</v>
      </c>
      <c r="H15" s="29" t="s">
        <v>35</v>
      </c>
      <c r="O15" s="28"/>
      <c r="P15" s="28"/>
      <c r="Q15" s="28"/>
      <c r="R15" s="28"/>
      <c r="S15" s="28"/>
      <c r="T15" s="29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spans="1:54" ht="17.100000000000001" customHeight="1" x14ac:dyDescent="0.2">
      <c r="A16" s="27"/>
      <c r="B16" s="29" t="s">
        <v>779</v>
      </c>
      <c r="C16" s="29" t="s">
        <v>65</v>
      </c>
      <c r="D16" s="29" t="s">
        <v>405</v>
      </c>
      <c r="E16" s="182">
        <v>8703205751085</v>
      </c>
      <c r="F16" s="29">
        <v>3</v>
      </c>
      <c r="G16" s="29" t="s">
        <v>183</v>
      </c>
      <c r="H16" s="29" t="s">
        <v>35</v>
      </c>
      <c r="O16" s="28"/>
      <c r="P16" s="28"/>
      <c r="Q16" s="28"/>
      <c r="R16" s="28"/>
      <c r="S16" s="28"/>
      <c r="T16" s="29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spans="1:52" ht="17.100000000000001" customHeight="1" x14ac:dyDescent="0.2">
      <c r="A17" s="27"/>
      <c r="B17" s="29" t="s">
        <v>263</v>
      </c>
      <c r="C17" s="29" t="s">
        <v>65</v>
      </c>
      <c r="D17" s="29" t="s">
        <v>405</v>
      </c>
      <c r="E17" s="182" t="s">
        <v>296</v>
      </c>
      <c r="F17" s="29">
        <v>52</v>
      </c>
      <c r="G17" s="29" t="s">
        <v>183</v>
      </c>
      <c r="H17" s="29" t="s">
        <v>35</v>
      </c>
      <c r="O17" s="28"/>
      <c r="P17" s="28"/>
      <c r="Q17" s="28"/>
      <c r="R17" s="28"/>
      <c r="S17" s="28"/>
      <c r="T17" s="29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 ht="17.100000000000001" customHeight="1" x14ac:dyDescent="0.2">
      <c r="A18" s="27"/>
      <c r="B18" s="29" t="s">
        <v>780</v>
      </c>
      <c r="C18" s="29" t="s">
        <v>62</v>
      </c>
      <c r="D18" s="29" t="s">
        <v>405</v>
      </c>
      <c r="E18" s="182">
        <v>68052255588082</v>
      </c>
      <c r="F18" s="29">
        <v>51</v>
      </c>
      <c r="G18" s="29" t="s">
        <v>183</v>
      </c>
      <c r="H18" s="29" t="s">
        <v>35</v>
      </c>
      <c r="O18" s="28"/>
      <c r="P18" s="28"/>
      <c r="Q18" s="28"/>
      <c r="R18" s="28"/>
      <c r="S18" s="28"/>
      <c r="T18" s="29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ht="17.100000000000001" customHeight="1" x14ac:dyDescent="0.2">
      <c r="A19" s="27"/>
      <c r="B19" s="29" t="s">
        <v>145</v>
      </c>
      <c r="C19" s="29" t="s">
        <v>66</v>
      </c>
      <c r="D19" s="29" t="s">
        <v>405</v>
      </c>
      <c r="E19" s="182" t="s">
        <v>297</v>
      </c>
      <c r="F19" s="29">
        <v>37</v>
      </c>
      <c r="G19" s="29" t="s">
        <v>183</v>
      </c>
      <c r="H19" s="29" t="s">
        <v>35</v>
      </c>
      <c r="O19" s="28"/>
      <c r="P19" s="28"/>
      <c r="Q19" s="28"/>
      <c r="R19" s="28"/>
      <c r="S19" s="28"/>
      <c r="T19" s="29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spans="1:52" ht="17.100000000000001" customHeight="1" x14ac:dyDescent="0.2">
      <c r="A20" s="27"/>
      <c r="B20" s="29" t="s">
        <v>264</v>
      </c>
      <c r="C20" s="29" t="s">
        <v>67</v>
      </c>
      <c r="D20" s="29" t="s">
        <v>405</v>
      </c>
      <c r="E20" s="182" t="s">
        <v>298</v>
      </c>
      <c r="F20" s="29">
        <v>38</v>
      </c>
      <c r="G20" s="29" t="s">
        <v>183</v>
      </c>
      <c r="H20" s="29" t="s">
        <v>35</v>
      </c>
      <c r="O20" s="28"/>
      <c r="P20" s="28"/>
      <c r="Q20" s="28"/>
      <c r="R20" s="28"/>
      <c r="S20" s="28"/>
      <c r="T20" s="29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spans="1:52" ht="17.100000000000001" customHeight="1" x14ac:dyDescent="0.2">
      <c r="A21" s="27"/>
      <c r="B21" s="29" t="s">
        <v>44</v>
      </c>
      <c r="C21" s="29" t="s">
        <v>68</v>
      </c>
      <c r="D21" s="29" t="s">
        <v>405</v>
      </c>
      <c r="E21" s="182" t="s">
        <v>299</v>
      </c>
      <c r="F21" s="29">
        <v>55</v>
      </c>
      <c r="G21" s="29" t="s">
        <v>183</v>
      </c>
      <c r="H21" s="29" t="s">
        <v>35</v>
      </c>
      <c r="O21" s="28"/>
      <c r="P21" s="28"/>
      <c r="Q21" s="28"/>
      <c r="R21" s="28"/>
      <c r="S21" s="28"/>
      <c r="T21" s="29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 ht="17.100000000000001" customHeight="1" x14ac:dyDescent="0.2">
      <c r="A22" s="27"/>
      <c r="B22" s="29" t="s">
        <v>146</v>
      </c>
      <c r="C22" s="29" t="s">
        <v>69</v>
      </c>
      <c r="D22" s="29" t="s">
        <v>405</v>
      </c>
      <c r="E22" s="182" t="s">
        <v>300</v>
      </c>
      <c r="F22" s="29">
        <v>45</v>
      </c>
      <c r="G22" s="29" t="s">
        <v>183</v>
      </c>
      <c r="H22" s="29" t="s">
        <v>35</v>
      </c>
      <c r="O22" s="28"/>
      <c r="P22" s="28"/>
      <c r="Q22" s="28"/>
      <c r="R22" s="28"/>
      <c r="S22" s="28"/>
      <c r="T22" s="29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 ht="17.100000000000001" customHeight="1" x14ac:dyDescent="0.2">
      <c r="A23" s="27"/>
      <c r="B23" s="29" t="s">
        <v>148</v>
      </c>
      <c r="C23" s="29" t="s">
        <v>69</v>
      </c>
      <c r="D23" s="29" t="s">
        <v>405</v>
      </c>
      <c r="E23" s="182" t="s">
        <v>301</v>
      </c>
      <c r="F23" s="29">
        <v>45</v>
      </c>
      <c r="G23" s="29" t="s">
        <v>183</v>
      </c>
      <c r="H23" s="29" t="s">
        <v>35</v>
      </c>
      <c r="O23" s="28"/>
      <c r="P23" s="28"/>
      <c r="Q23" s="28"/>
      <c r="R23" s="28"/>
      <c r="S23" s="28"/>
      <c r="T23" s="29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spans="1:52" ht="17.100000000000001" customHeight="1" x14ac:dyDescent="0.2">
      <c r="A24" s="27"/>
      <c r="B24" s="29" t="s">
        <v>147</v>
      </c>
      <c r="C24" s="29" t="s">
        <v>70</v>
      </c>
      <c r="D24" s="29" t="s">
        <v>405</v>
      </c>
      <c r="E24" s="182" t="s">
        <v>303</v>
      </c>
      <c r="F24" s="29">
        <v>41</v>
      </c>
      <c r="G24" s="29" t="s">
        <v>183</v>
      </c>
      <c r="H24" s="29" t="s">
        <v>35</v>
      </c>
      <c r="O24" s="28"/>
      <c r="P24" s="28"/>
      <c r="Q24" s="28"/>
      <c r="R24" s="28"/>
      <c r="S24" s="28"/>
      <c r="T24" s="29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spans="1:52" ht="17.100000000000001" customHeight="1" x14ac:dyDescent="0.2">
      <c r="A25" s="27"/>
      <c r="B25" s="29" t="s">
        <v>38</v>
      </c>
      <c r="C25" s="29" t="s">
        <v>70</v>
      </c>
      <c r="D25" s="29" t="s">
        <v>405</v>
      </c>
      <c r="E25" s="182" t="s">
        <v>304</v>
      </c>
      <c r="F25" s="29">
        <v>42</v>
      </c>
      <c r="G25" s="29" t="s">
        <v>183</v>
      </c>
      <c r="H25" s="29" t="s">
        <v>35</v>
      </c>
      <c r="O25" s="28"/>
      <c r="P25" s="28"/>
      <c r="Q25" s="28"/>
      <c r="R25" s="28"/>
      <c r="S25" s="28"/>
      <c r="T25" s="29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spans="1:52" ht="17.100000000000001" customHeight="1" x14ac:dyDescent="0.2">
      <c r="A26" s="27"/>
      <c r="B26" s="29" t="s">
        <v>149</v>
      </c>
      <c r="C26" s="29" t="s">
        <v>71</v>
      </c>
      <c r="D26" s="29" t="s">
        <v>405</v>
      </c>
      <c r="E26" s="182" t="s">
        <v>305</v>
      </c>
      <c r="F26" s="29">
        <v>57</v>
      </c>
      <c r="G26" s="29" t="s">
        <v>183</v>
      </c>
      <c r="H26" s="29" t="s">
        <v>35</v>
      </c>
      <c r="O26" s="28"/>
      <c r="P26" s="28"/>
      <c r="Q26" s="28"/>
      <c r="R26" s="28"/>
      <c r="S26" s="28"/>
      <c r="T26" s="29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 spans="1:52" ht="17.100000000000001" customHeight="1" x14ac:dyDescent="0.2">
      <c r="A27" s="27"/>
      <c r="B27" s="29" t="s">
        <v>150</v>
      </c>
      <c r="C27" s="29" t="s">
        <v>72</v>
      </c>
      <c r="D27" s="29" t="s">
        <v>405</v>
      </c>
      <c r="E27" s="182" t="s">
        <v>324</v>
      </c>
      <c r="F27" s="29">
        <v>34</v>
      </c>
      <c r="G27" s="29" t="s">
        <v>183</v>
      </c>
      <c r="H27" s="29" t="s">
        <v>35</v>
      </c>
      <c r="O27" s="28"/>
      <c r="P27" s="28"/>
      <c r="Q27" s="28"/>
      <c r="R27" s="28"/>
      <c r="S27" s="28"/>
      <c r="T27" s="29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ht="17.100000000000001" customHeight="1" x14ac:dyDescent="0.2">
      <c r="A28" s="27"/>
      <c r="B28" s="29" t="s">
        <v>325</v>
      </c>
      <c r="C28" s="29" t="s">
        <v>73</v>
      </c>
      <c r="D28" s="29" t="s">
        <v>405</v>
      </c>
      <c r="E28" s="182" t="s">
        <v>326</v>
      </c>
      <c r="F28" s="29">
        <v>42</v>
      </c>
      <c r="G28" s="29" t="s">
        <v>183</v>
      </c>
      <c r="H28" s="29" t="s">
        <v>35</v>
      </c>
      <c r="O28" s="28"/>
      <c r="P28" s="28"/>
      <c r="Q28" s="28"/>
      <c r="R28" s="28"/>
      <c r="S28" s="28"/>
      <c r="T28" s="29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ht="17.100000000000001" customHeight="1" x14ac:dyDescent="0.2">
      <c r="A29" s="27" t="s">
        <v>238</v>
      </c>
      <c r="B29" s="29" t="s">
        <v>286</v>
      </c>
      <c r="C29" s="29" t="s">
        <v>73</v>
      </c>
      <c r="D29" s="29" t="s">
        <v>405</v>
      </c>
      <c r="E29" s="182" t="s">
        <v>327</v>
      </c>
      <c r="F29" s="29">
        <v>46</v>
      </c>
      <c r="G29" s="29" t="s">
        <v>183</v>
      </c>
      <c r="H29" s="29" t="s">
        <v>35</v>
      </c>
      <c r="O29" s="28"/>
      <c r="P29" s="28"/>
      <c r="Q29" s="28"/>
      <c r="R29" s="28"/>
      <c r="S29" s="28"/>
      <c r="T29" s="29">
        <v>0</v>
      </c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ht="17.100000000000001" customHeight="1" x14ac:dyDescent="0.2">
      <c r="A30" s="27"/>
      <c r="B30" s="29" t="s">
        <v>253</v>
      </c>
      <c r="C30" s="29" t="s">
        <v>73</v>
      </c>
      <c r="D30" s="29" t="s">
        <v>405</v>
      </c>
      <c r="E30" s="182" t="s">
        <v>328</v>
      </c>
      <c r="F30" s="29">
        <v>37</v>
      </c>
      <c r="G30" s="29" t="s">
        <v>183</v>
      </c>
      <c r="H30" s="29" t="s">
        <v>35</v>
      </c>
      <c r="O30" s="28"/>
      <c r="P30" s="28"/>
      <c r="Q30" s="28"/>
      <c r="R30" s="28"/>
      <c r="S30" s="28"/>
      <c r="T30" s="29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ht="17.100000000000001" customHeight="1" x14ac:dyDescent="0.2">
      <c r="A31" s="27"/>
      <c r="B31" s="29" t="s">
        <v>39</v>
      </c>
      <c r="C31" s="29" t="s">
        <v>74</v>
      </c>
      <c r="D31" s="29" t="s">
        <v>405</v>
      </c>
      <c r="E31" s="182" t="s">
        <v>329</v>
      </c>
      <c r="F31" s="29">
        <v>44</v>
      </c>
      <c r="G31" s="29" t="s">
        <v>183</v>
      </c>
      <c r="H31" s="29" t="s">
        <v>35</v>
      </c>
      <c r="O31" s="28"/>
      <c r="P31" s="28"/>
      <c r="Q31" s="28"/>
      <c r="R31" s="28"/>
      <c r="S31" s="28"/>
      <c r="T31" s="29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ht="17.100000000000001" customHeight="1" x14ac:dyDescent="0.2">
      <c r="A32" s="27"/>
      <c r="B32" s="29" t="s">
        <v>40</v>
      </c>
      <c r="C32" s="29" t="s">
        <v>75</v>
      </c>
      <c r="D32" s="29" t="s">
        <v>405</v>
      </c>
      <c r="E32" s="182" t="s">
        <v>330</v>
      </c>
      <c r="F32" s="29">
        <v>35</v>
      </c>
      <c r="G32" s="29" t="s">
        <v>183</v>
      </c>
      <c r="H32" s="29" t="s">
        <v>35</v>
      </c>
      <c r="O32" s="28"/>
      <c r="P32" s="28"/>
      <c r="Q32" s="28"/>
      <c r="R32" s="28"/>
      <c r="S32" s="28"/>
      <c r="T32" s="29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ht="17.100000000000001" customHeight="1" x14ac:dyDescent="0.2">
      <c r="A33" s="27"/>
      <c r="B33" s="29" t="s">
        <v>247</v>
      </c>
      <c r="C33" s="29" t="s">
        <v>76</v>
      </c>
      <c r="D33" s="29" t="s">
        <v>405</v>
      </c>
      <c r="E33" s="182" t="s">
        <v>331</v>
      </c>
      <c r="F33" s="29">
        <v>54</v>
      </c>
      <c r="G33" s="29" t="s">
        <v>183</v>
      </c>
      <c r="H33" s="29" t="s">
        <v>35</v>
      </c>
      <c r="O33" s="28"/>
      <c r="P33" s="28"/>
      <c r="Q33" s="28"/>
      <c r="R33" s="28"/>
      <c r="S33" s="28"/>
      <c r="T33" s="29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ht="17.100000000000001" customHeight="1" x14ac:dyDescent="0.2">
      <c r="A34" s="27"/>
      <c r="B34" s="29" t="s">
        <v>41</v>
      </c>
      <c r="C34" s="29" t="s">
        <v>76</v>
      </c>
      <c r="D34" s="29" t="s">
        <v>405</v>
      </c>
      <c r="E34" s="182" t="s">
        <v>332</v>
      </c>
      <c r="F34" s="29">
        <v>37</v>
      </c>
      <c r="G34" s="29" t="s">
        <v>183</v>
      </c>
      <c r="H34" s="29" t="s">
        <v>35</v>
      </c>
      <c r="O34" s="28"/>
      <c r="P34" s="28"/>
      <c r="Q34" s="28"/>
      <c r="R34" s="28"/>
      <c r="S34" s="28"/>
      <c r="T34" s="29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ht="17.100000000000001" customHeight="1" x14ac:dyDescent="0.2">
      <c r="A35" s="27"/>
      <c r="B35" s="29" t="s">
        <v>42</v>
      </c>
      <c r="C35" s="29" t="s">
        <v>77</v>
      </c>
      <c r="D35" s="29" t="s">
        <v>405</v>
      </c>
      <c r="E35" s="182" t="s">
        <v>333</v>
      </c>
      <c r="F35" s="29">
        <v>45</v>
      </c>
      <c r="G35" s="29" t="s">
        <v>183</v>
      </c>
      <c r="H35" s="29" t="s">
        <v>35</v>
      </c>
      <c r="O35" s="28"/>
      <c r="P35" s="28"/>
      <c r="Q35" s="28"/>
      <c r="R35" s="28"/>
      <c r="S35" s="28"/>
      <c r="T35" s="29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 spans="1:52" ht="17.100000000000001" customHeight="1" x14ac:dyDescent="0.2">
      <c r="A36" s="27"/>
      <c r="B36" s="29" t="s">
        <v>151</v>
      </c>
      <c r="C36" s="29" t="s">
        <v>78</v>
      </c>
      <c r="D36" s="29" t="s">
        <v>405</v>
      </c>
      <c r="E36" s="182" t="s">
        <v>386</v>
      </c>
      <c r="F36" s="29">
        <v>45</v>
      </c>
      <c r="G36" s="29" t="s">
        <v>183</v>
      </c>
      <c r="H36" s="29" t="s">
        <v>35</v>
      </c>
      <c r="O36" s="28"/>
      <c r="P36" s="28"/>
      <c r="Q36" s="28"/>
      <c r="R36" s="28"/>
      <c r="S36" s="28"/>
      <c r="T36" s="29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spans="1:52" ht="17.100000000000001" customHeight="1" x14ac:dyDescent="0.2">
      <c r="A37" s="27"/>
      <c r="B37" s="29" t="s">
        <v>152</v>
      </c>
      <c r="C37" s="29" t="s">
        <v>79</v>
      </c>
      <c r="D37" s="29" t="s">
        <v>405</v>
      </c>
      <c r="E37" s="182" t="s">
        <v>334</v>
      </c>
      <c r="F37" s="29">
        <v>44</v>
      </c>
      <c r="G37" s="29" t="s">
        <v>183</v>
      </c>
      <c r="H37" s="29" t="s">
        <v>35</v>
      </c>
      <c r="O37" s="28"/>
      <c r="P37" s="28"/>
      <c r="Q37" s="28"/>
      <c r="R37" s="28"/>
      <c r="S37" s="28"/>
      <c r="T37" s="29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spans="1:52" ht="17.100000000000001" customHeight="1" x14ac:dyDescent="0.2">
      <c r="A38" s="27"/>
      <c r="B38" s="29" t="s">
        <v>153</v>
      </c>
      <c r="C38" s="29" t="s">
        <v>80</v>
      </c>
      <c r="D38" s="29" t="s">
        <v>405</v>
      </c>
      <c r="E38" s="182" t="s">
        <v>335</v>
      </c>
      <c r="F38" s="29">
        <v>59</v>
      </c>
      <c r="G38" s="29" t="s">
        <v>183</v>
      </c>
      <c r="H38" s="29" t="s">
        <v>35</v>
      </c>
      <c r="O38" s="28"/>
      <c r="P38" s="28"/>
      <c r="Q38" s="28"/>
      <c r="R38" s="28"/>
      <c r="S38" s="28"/>
      <c r="T38" s="29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ht="17.100000000000001" customHeight="1" x14ac:dyDescent="0.2">
      <c r="A39" s="27"/>
      <c r="B39" s="29" t="s">
        <v>43</v>
      </c>
      <c r="C39" s="29" t="s">
        <v>81</v>
      </c>
      <c r="D39" s="29" t="s">
        <v>405</v>
      </c>
      <c r="E39" s="182" t="s">
        <v>336</v>
      </c>
      <c r="F39" s="29">
        <v>62</v>
      </c>
      <c r="G39" s="29" t="s">
        <v>183</v>
      </c>
      <c r="H39" s="29" t="s">
        <v>35</v>
      </c>
      <c r="O39" s="28"/>
      <c r="P39" s="28"/>
      <c r="Q39" s="28"/>
      <c r="R39" s="28"/>
      <c r="S39" s="28"/>
      <c r="T39" s="29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spans="1:52" ht="17.100000000000001" customHeight="1" x14ac:dyDescent="0.2">
      <c r="A40" s="27"/>
      <c r="B40" s="29" t="s">
        <v>249</v>
      </c>
      <c r="C40" s="29" t="s">
        <v>119</v>
      </c>
      <c r="D40" s="29" t="s">
        <v>405</v>
      </c>
      <c r="E40" s="182" t="s">
        <v>337</v>
      </c>
      <c r="F40" s="29">
        <v>34</v>
      </c>
      <c r="G40" s="29" t="s">
        <v>183</v>
      </c>
      <c r="H40" s="29" t="s">
        <v>35</v>
      </c>
      <c r="O40" s="28"/>
      <c r="P40" s="28"/>
      <c r="Q40" s="28"/>
      <c r="R40" s="28"/>
      <c r="S40" s="28"/>
      <c r="T40" s="29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spans="1:52" ht="17.100000000000001" customHeight="1" x14ac:dyDescent="0.2">
      <c r="A41" s="27"/>
      <c r="B41" s="29" t="s">
        <v>44</v>
      </c>
      <c r="C41" s="29" t="s">
        <v>82</v>
      </c>
      <c r="D41" s="29" t="s">
        <v>405</v>
      </c>
      <c r="E41" s="182" t="s">
        <v>338</v>
      </c>
      <c r="F41" s="29">
        <v>36</v>
      </c>
      <c r="G41" s="29" t="s">
        <v>183</v>
      </c>
      <c r="H41" s="29" t="s">
        <v>35</v>
      </c>
      <c r="O41" s="28"/>
      <c r="P41" s="28"/>
      <c r="Q41" s="28"/>
      <c r="R41" s="28"/>
      <c r="S41" s="28"/>
      <c r="T41" s="29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ht="17.100000000000001" customHeight="1" x14ac:dyDescent="0.2">
      <c r="A42" s="27"/>
      <c r="B42" s="29" t="s">
        <v>155</v>
      </c>
      <c r="C42" s="29" t="s">
        <v>83</v>
      </c>
      <c r="D42" s="29" t="s">
        <v>405</v>
      </c>
      <c r="E42" s="182" t="s">
        <v>339</v>
      </c>
      <c r="F42" s="29">
        <v>43</v>
      </c>
      <c r="G42" s="29" t="s">
        <v>183</v>
      </c>
      <c r="H42" s="29" t="s">
        <v>35</v>
      </c>
      <c r="O42" s="28"/>
      <c r="P42" s="28"/>
      <c r="Q42" s="28"/>
      <c r="R42" s="28"/>
      <c r="S42" s="28"/>
      <c r="T42" s="29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ht="17.100000000000001" customHeight="1" x14ac:dyDescent="0.2">
      <c r="A43" s="27"/>
      <c r="B43" s="29" t="s">
        <v>154</v>
      </c>
      <c r="C43" s="29" t="s">
        <v>84</v>
      </c>
      <c r="D43" s="29" t="s">
        <v>405</v>
      </c>
      <c r="E43" s="182" t="s">
        <v>340</v>
      </c>
      <c r="F43" s="29">
        <v>36</v>
      </c>
      <c r="G43" s="29" t="s">
        <v>183</v>
      </c>
      <c r="H43" s="29" t="s">
        <v>35</v>
      </c>
      <c r="O43" s="29"/>
      <c r="P43" s="29"/>
      <c r="Q43" s="29"/>
      <c r="R43" s="29"/>
      <c r="S43" s="29"/>
      <c r="T43" s="29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spans="1:52" ht="17.100000000000001" customHeight="1" x14ac:dyDescent="0.2">
      <c r="A44" s="27"/>
      <c r="B44" s="29" t="s">
        <v>172</v>
      </c>
      <c r="C44" s="29" t="s">
        <v>120</v>
      </c>
      <c r="D44" s="29" t="s">
        <v>405</v>
      </c>
      <c r="E44" s="182" t="s">
        <v>277</v>
      </c>
      <c r="F44" s="29">
        <v>27</v>
      </c>
      <c r="G44" s="29" t="s">
        <v>183</v>
      </c>
      <c r="H44" s="29" t="s">
        <v>35</v>
      </c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spans="1:52" ht="17.100000000000001" customHeight="1" x14ac:dyDescent="0.2">
      <c r="A45" s="27"/>
      <c r="B45" s="29" t="s">
        <v>283</v>
      </c>
      <c r="C45" s="29" t="s">
        <v>85</v>
      </c>
      <c r="D45" s="29" t="s">
        <v>405</v>
      </c>
      <c r="E45" s="182" t="s">
        <v>341</v>
      </c>
      <c r="F45" s="29">
        <v>34</v>
      </c>
      <c r="G45" s="29" t="s">
        <v>183</v>
      </c>
      <c r="H45" s="29" t="s">
        <v>35</v>
      </c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ht="17.100000000000001" customHeight="1" x14ac:dyDescent="0.2">
      <c r="A46" s="27"/>
      <c r="B46" s="29" t="s">
        <v>156</v>
      </c>
      <c r="C46" s="29" t="s">
        <v>342</v>
      </c>
      <c r="D46" s="29" t="s">
        <v>405</v>
      </c>
      <c r="E46" s="182" t="s">
        <v>343</v>
      </c>
      <c r="F46" s="29">
        <v>33</v>
      </c>
      <c r="G46" s="29" t="s">
        <v>183</v>
      </c>
      <c r="H46" s="29" t="s">
        <v>35</v>
      </c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ht="17.100000000000001" customHeight="1" x14ac:dyDescent="0.2">
      <c r="A47" s="27"/>
      <c r="B47" s="29" t="s">
        <v>250</v>
      </c>
      <c r="C47" s="29" t="s">
        <v>86</v>
      </c>
      <c r="D47" s="29" t="s">
        <v>405</v>
      </c>
      <c r="E47" s="182" t="s">
        <v>344</v>
      </c>
      <c r="F47" s="29">
        <v>52</v>
      </c>
      <c r="G47" s="29" t="s">
        <v>183</v>
      </c>
      <c r="H47" s="29" t="s">
        <v>35</v>
      </c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 spans="1:52" ht="17.100000000000001" customHeight="1" x14ac:dyDescent="0.2">
      <c r="A48" s="27"/>
      <c r="B48" s="29" t="s">
        <v>46</v>
      </c>
      <c r="C48" s="29" t="s">
        <v>87</v>
      </c>
      <c r="D48" s="29" t="s">
        <v>405</v>
      </c>
      <c r="E48" s="182" t="s">
        <v>345</v>
      </c>
      <c r="F48" s="29">
        <v>36</v>
      </c>
      <c r="G48" s="29" t="s">
        <v>183</v>
      </c>
      <c r="H48" s="29" t="s">
        <v>35</v>
      </c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spans="1:52" ht="17.100000000000001" customHeight="1" x14ac:dyDescent="0.2">
      <c r="A49" s="27"/>
      <c r="B49" s="29" t="s">
        <v>47</v>
      </c>
      <c r="C49" s="29" t="s">
        <v>88</v>
      </c>
      <c r="D49" s="29" t="s">
        <v>405</v>
      </c>
      <c r="E49" s="182" t="s">
        <v>346</v>
      </c>
      <c r="F49" s="29">
        <v>38</v>
      </c>
      <c r="G49" s="29" t="s">
        <v>183</v>
      </c>
      <c r="H49" s="29" t="s">
        <v>35</v>
      </c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spans="1:52" ht="17.100000000000001" customHeight="1" x14ac:dyDescent="0.2">
      <c r="A50" s="27"/>
      <c r="B50" s="29" t="s">
        <v>48</v>
      </c>
      <c r="C50" s="29" t="s">
        <v>89</v>
      </c>
      <c r="D50" s="29" t="s">
        <v>405</v>
      </c>
      <c r="E50" s="182" t="s">
        <v>350</v>
      </c>
      <c r="F50" s="29">
        <v>36</v>
      </c>
      <c r="G50" s="29" t="s">
        <v>183</v>
      </c>
      <c r="H50" s="29" t="s">
        <v>35</v>
      </c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ht="17.100000000000001" customHeight="1" x14ac:dyDescent="0.2">
      <c r="A51" s="27"/>
      <c r="B51" s="29" t="s">
        <v>354</v>
      </c>
      <c r="C51" s="29" t="s">
        <v>90</v>
      </c>
      <c r="D51" s="29" t="s">
        <v>405</v>
      </c>
      <c r="E51" s="182" t="s">
        <v>351</v>
      </c>
      <c r="F51" s="29">
        <v>46</v>
      </c>
      <c r="G51" s="29" t="s">
        <v>184</v>
      </c>
      <c r="H51" s="29" t="s">
        <v>35</v>
      </c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ht="17.100000000000001" customHeight="1" x14ac:dyDescent="0.2">
      <c r="A52" s="27"/>
      <c r="B52" s="29" t="s">
        <v>157</v>
      </c>
      <c r="C52" s="29" t="s">
        <v>91</v>
      </c>
      <c r="D52" s="29" t="s">
        <v>405</v>
      </c>
      <c r="E52" s="182" t="s">
        <v>352</v>
      </c>
      <c r="F52" s="29">
        <v>55</v>
      </c>
      <c r="G52" s="29" t="s">
        <v>183</v>
      </c>
      <c r="H52" s="29" t="s">
        <v>35</v>
      </c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ht="17.100000000000001" customHeight="1" x14ac:dyDescent="0.2">
      <c r="A53" s="27"/>
      <c r="B53" s="29" t="s">
        <v>165</v>
      </c>
      <c r="C53" s="29" t="s">
        <v>92</v>
      </c>
      <c r="D53" s="29" t="s">
        <v>405</v>
      </c>
      <c r="E53" s="182" t="s">
        <v>353</v>
      </c>
      <c r="F53" s="29">
        <v>34</v>
      </c>
      <c r="G53" s="29" t="s">
        <v>183</v>
      </c>
      <c r="H53" s="29" t="s">
        <v>35</v>
      </c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ht="17.100000000000001" customHeight="1" x14ac:dyDescent="0.2">
      <c r="A54" s="27"/>
      <c r="B54" s="29" t="s">
        <v>355</v>
      </c>
      <c r="C54" s="29" t="s">
        <v>93</v>
      </c>
      <c r="D54" s="29" t="s">
        <v>405</v>
      </c>
      <c r="E54" s="182" t="s">
        <v>361</v>
      </c>
      <c r="F54" s="29">
        <v>33</v>
      </c>
      <c r="G54" s="29" t="s">
        <v>183</v>
      </c>
      <c r="H54" s="29" t="s">
        <v>35</v>
      </c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ht="17.100000000000001" customHeight="1" x14ac:dyDescent="0.2">
      <c r="A55" s="27"/>
      <c r="B55" s="29" t="s">
        <v>356</v>
      </c>
      <c r="C55" s="29" t="s">
        <v>93</v>
      </c>
      <c r="D55" s="29" t="s">
        <v>405</v>
      </c>
      <c r="E55" s="182" t="s">
        <v>362</v>
      </c>
      <c r="F55" s="29">
        <v>45</v>
      </c>
      <c r="G55" s="29" t="s">
        <v>183</v>
      </c>
      <c r="H55" s="29" t="s">
        <v>35</v>
      </c>
      <c r="O55" s="28"/>
      <c r="P55" s="28"/>
      <c r="Q55" s="24"/>
      <c r="R55" s="24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ht="17.100000000000001" customHeight="1" x14ac:dyDescent="0.2">
      <c r="A56" s="27"/>
      <c r="B56" s="29" t="s">
        <v>357</v>
      </c>
      <c r="C56" s="29" t="s">
        <v>93</v>
      </c>
      <c r="D56" s="29" t="s">
        <v>405</v>
      </c>
      <c r="E56" s="182" t="s">
        <v>363</v>
      </c>
      <c r="F56" s="29">
        <v>39</v>
      </c>
      <c r="G56" s="29" t="s">
        <v>183</v>
      </c>
      <c r="H56" s="29" t="s">
        <v>35</v>
      </c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spans="1:52" ht="17.100000000000001" customHeight="1" x14ac:dyDescent="0.2">
      <c r="A57" s="27"/>
      <c r="B57" s="29" t="s">
        <v>358</v>
      </c>
      <c r="C57" s="29" t="s">
        <v>93</v>
      </c>
      <c r="D57" s="29" t="s">
        <v>405</v>
      </c>
      <c r="E57" s="182" t="s">
        <v>364</v>
      </c>
      <c r="F57" s="29">
        <v>38</v>
      </c>
      <c r="G57" s="29" t="s">
        <v>183</v>
      </c>
      <c r="H57" s="29" t="s">
        <v>35</v>
      </c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spans="1:52" ht="17.100000000000001" customHeight="1" x14ac:dyDescent="0.2">
      <c r="A58" s="27"/>
      <c r="B58" s="29" t="s">
        <v>159</v>
      </c>
      <c r="C58" s="29" t="s">
        <v>94</v>
      </c>
      <c r="D58" s="29" t="s">
        <v>405</v>
      </c>
      <c r="E58" s="182" t="s">
        <v>365</v>
      </c>
      <c r="F58" s="29">
        <v>43</v>
      </c>
      <c r="G58" s="29" t="s">
        <v>183</v>
      </c>
      <c r="H58" s="29" t="s">
        <v>35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spans="1:52" ht="17.100000000000001" customHeight="1" x14ac:dyDescent="0.2">
      <c r="A59" s="27"/>
      <c r="B59" s="29" t="s">
        <v>357</v>
      </c>
      <c r="C59" s="29" t="s">
        <v>95</v>
      </c>
      <c r="D59" s="29" t="s">
        <v>405</v>
      </c>
      <c r="E59" s="182" t="s">
        <v>370</v>
      </c>
      <c r="F59" s="29">
        <v>42</v>
      </c>
      <c r="G59" s="29" t="s">
        <v>183</v>
      </c>
      <c r="H59" s="29" t="s">
        <v>35</v>
      </c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spans="1:52" ht="17.100000000000001" customHeight="1" x14ac:dyDescent="0.2">
      <c r="A60" s="27"/>
      <c r="B60" s="29" t="s">
        <v>158</v>
      </c>
      <c r="C60" s="29" t="s">
        <v>96</v>
      </c>
      <c r="D60" s="29" t="s">
        <v>405</v>
      </c>
      <c r="E60" s="182" t="s">
        <v>366</v>
      </c>
      <c r="F60" s="29">
        <v>38</v>
      </c>
      <c r="G60" s="29" t="s">
        <v>183</v>
      </c>
      <c r="H60" s="29" t="s">
        <v>35</v>
      </c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spans="1:52" ht="17.100000000000001" customHeight="1" x14ac:dyDescent="0.2">
      <c r="A61" s="27"/>
      <c r="B61" s="29" t="s">
        <v>359</v>
      </c>
      <c r="C61" s="29" t="s">
        <v>96</v>
      </c>
      <c r="D61" s="29" t="s">
        <v>405</v>
      </c>
      <c r="E61" s="182" t="s">
        <v>368</v>
      </c>
      <c r="F61" s="29">
        <v>44</v>
      </c>
      <c r="G61" s="29" t="s">
        <v>183</v>
      </c>
      <c r="H61" s="29" t="s">
        <v>35</v>
      </c>
      <c r="O61" s="28"/>
      <c r="P61" s="28"/>
      <c r="Q61" s="28"/>
      <c r="R61" s="28"/>
      <c r="S61" s="28"/>
      <c r="T61" s="28"/>
      <c r="U61" s="187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spans="1:52" ht="17.100000000000001" customHeight="1" x14ac:dyDescent="0.2">
      <c r="A62" s="27"/>
      <c r="B62" s="29" t="s">
        <v>160</v>
      </c>
      <c r="C62" s="29" t="s">
        <v>97</v>
      </c>
      <c r="D62" s="29" t="s">
        <v>405</v>
      </c>
      <c r="E62" s="182" t="s">
        <v>367</v>
      </c>
      <c r="F62" s="29">
        <v>59</v>
      </c>
      <c r="G62" s="29" t="s">
        <v>183</v>
      </c>
      <c r="H62" s="29" t="s">
        <v>35</v>
      </c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spans="1:52" ht="17.100000000000001" customHeight="1" x14ac:dyDescent="0.2">
      <c r="A63" s="27"/>
      <c r="B63" s="29" t="s">
        <v>360</v>
      </c>
      <c r="C63" s="29" t="s">
        <v>98</v>
      </c>
      <c r="D63" s="29" t="s">
        <v>405</v>
      </c>
      <c r="E63" s="182" t="s">
        <v>369</v>
      </c>
      <c r="F63" s="29">
        <v>38</v>
      </c>
      <c r="G63" s="29" t="s">
        <v>183</v>
      </c>
      <c r="H63" s="29" t="s">
        <v>35</v>
      </c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spans="1:52" ht="17.100000000000001" customHeight="1" x14ac:dyDescent="0.2">
      <c r="A64" s="27"/>
      <c r="B64" s="29" t="s">
        <v>256</v>
      </c>
      <c r="C64" s="29" t="s">
        <v>99</v>
      </c>
      <c r="D64" s="29" t="s">
        <v>405</v>
      </c>
      <c r="E64" s="182" t="s">
        <v>371</v>
      </c>
      <c r="F64" s="29">
        <v>33</v>
      </c>
      <c r="G64" s="29" t="s">
        <v>183</v>
      </c>
      <c r="H64" s="29" t="s">
        <v>35</v>
      </c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spans="1:52" ht="15" customHeight="1" x14ac:dyDescent="0.2">
      <c r="A65" s="27"/>
      <c r="B65" s="29" t="s">
        <v>161</v>
      </c>
      <c r="C65" s="29" t="s">
        <v>100</v>
      </c>
      <c r="D65" s="29" t="s">
        <v>405</v>
      </c>
      <c r="E65" s="182" t="s">
        <v>373</v>
      </c>
      <c r="F65" s="29">
        <v>47</v>
      </c>
      <c r="G65" s="29" t="s">
        <v>183</v>
      </c>
      <c r="H65" s="29" t="s">
        <v>35</v>
      </c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spans="1:52" ht="15" customHeight="1" x14ac:dyDescent="0.2">
      <c r="A66" s="27"/>
      <c r="B66" s="29" t="s">
        <v>162</v>
      </c>
      <c r="C66" s="29" t="s">
        <v>101</v>
      </c>
      <c r="D66" s="29" t="s">
        <v>405</v>
      </c>
      <c r="E66" s="182" t="s">
        <v>374</v>
      </c>
      <c r="F66" s="29">
        <v>32</v>
      </c>
      <c r="G66" s="29" t="s">
        <v>183</v>
      </c>
      <c r="H66" s="29" t="s">
        <v>35</v>
      </c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spans="1:52" ht="15" customHeight="1" x14ac:dyDescent="0.2">
      <c r="A67" s="27"/>
      <c r="B67" s="29" t="s">
        <v>163</v>
      </c>
      <c r="C67" s="29" t="s">
        <v>102</v>
      </c>
      <c r="D67" s="29" t="s">
        <v>405</v>
      </c>
      <c r="E67" s="182" t="s">
        <v>372</v>
      </c>
      <c r="F67" s="29">
        <v>41</v>
      </c>
      <c r="G67" s="29" t="s">
        <v>183</v>
      </c>
      <c r="H67" s="29" t="s">
        <v>35</v>
      </c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4"/>
      <c r="AR67" s="24"/>
      <c r="AS67" s="24"/>
      <c r="AT67" s="24"/>
      <c r="AU67" s="24"/>
      <c r="AV67" s="24"/>
      <c r="AW67" s="24"/>
      <c r="AX67" s="24"/>
      <c r="AY67" s="24"/>
      <c r="AZ67" s="24"/>
    </row>
    <row r="68" spans="1:52" ht="15" customHeight="1" x14ac:dyDescent="0.2">
      <c r="A68" s="27"/>
      <c r="B68" s="29" t="s">
        <v>103</v>
      </c>
      <c r="C68" s="29" t="s">
        <v>164</v>
      </c>
      <c r="D68" s="29" t="s">
        <v>405</v>
      </c>
      <c r="E68" s="182" t="s">
        <v>375</v>
      </c>
      <c r="F68" s="29">
        <v>63</v>
      </c>
      <c r="G68" s="29" t="s">
        <v>183</v>
      </c>
      <c r="H68" s="29" t="s">
        <v>35</v>
      </c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4"/>
      <c r="AR68" s="24"/>
      <c r="AS68" s="24"/>
      <c r="AT68" s="24"/>
      <c r="AU68" s="24"/>
      <c r="AV68" s="24"/>
      <c r="AW68" s="24"/>
      <c r="AX68" s="24"/>
      <c r="AY68" s="24"/>
      <c r="AZ68" s="24"/>
    </row>
    <row r="69" spans="1:52" ht="15" customHeight="1" x14ac:dyDescent="0.2">
      <c r="A69" s="27"/>
      <c r="B69" s="29" t="s">
        <v>47</v>
      </c>
      <c r="C69" s="29" t="s">
        <v>104</v>
      </c>
      <c r="D69" s="29" t="s">
        <v>405</v>
      </c>
      <c r="E69" s="182" t="s">
        <v>376</v>
      </c>
      <c r="F69" s="29">
        <v>42</v>
      </c>
      <c r="G69" s="29" t="s">
        <v>183</v>
      </c>
      <c r="H69" s="29" t="s">
        <v>35</v>
      </c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4"/>
      <c r="AR69" s="24"/>
      <c r="AS69" s="24"/>
      <c r="AT69" s="24"/>
      <c r="AU69" s="24"/>
      <c r="AV69" s="24"/>
      <c r="AW69" s="24"/>
      <c r="AX69" s="24"/>
      <c r="AY69" s="24"/>
      <c r="AZ69" s="24"/>
    </row>
    <row r="70" spans="1:52" ht="15" customHeight="1" x14ac:dyDescent="0.2">
      <c r="A70" s="27"/>
      <c r="B70" s="29" t="s">
        <v>165</v>
      </c>
      <c r="C70" s="29" t="s">
        <v>105</v>
      </c>
      <c r="D70" s="29" t="s">
        <v>405</v>
      </c>
      <c r="E70" s="182" t="s">
        <v>377</v>
      </c>
      <c r="F70" s="29">
        <v>37</v>
      </c>
      <c r="G70" s="29" t="s">
        <v>183</v>
      </c>
      <c r="H70" s="29" t="s">
        <v>35</v>
      </c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4"/>
      <c r="AR70" s="24"/>
      <c r="AS70" s="24"/>
      <c r="AT70" s="24"/>
      <c r="AU70" s="24"/>
      <c r="AV70" s="24"/>
      <c r="AW70" s="24"/>
      <c r="AX70" s="24"/>
      <c r="AY70" s="24"/>
      <c r="AZ70" s="24"/>
    </row>
    <row r="71" spans="1:52" ht="15" customHeight="1" x14ac:dyDescent="0.2">
      <c r="A71" s="27"/>
      <c r="B71" s="29" t="s">
        <v>402</v>
      </c>
      <c r="C71" s="29" t="s">
        <v>123</v>
      </c>
      <c r="D71" s="29" t="s">
        <v>405</v>
      </c>
      <c r="E71" s="182" t="s">
        <v>403</v>
      </c>
      <c r="F71" s="29">
        <v>41</v>
      </c>
      <c r="G71" s="29" t="s">
        <v>183</v>
      </c>
      <c r="H71" s="29" t="s">
        <v>35</v>
      </c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4"/>
      <c r="AR71" s="24"/>
      <c r="AS71" s="24"/>
      <c r="AT71" s="24"/>
      <c r="AU71" s="24"/>
      <c r="AV71" s="24"/>
      <c r="AW71" s="24"/>
      <c r="AX71" s="24"/>
      <c r="AY71" s="24"/>
      <c r="AZ71" s="24"/>
    </row>
    <row r="72" spans="1:52" ht="15" customHeight="1" x14ac:dyDescent="0.2">
      <c r="A72" s="27"/>
      <c r="B72" s="29" t="s">
        <v>239</v>
      </c>
      <c r="C72" s="29" t="s">
        <v>106</v>
      </c>
      <c r="D72" s="29" t="s">
        <v>405</v>
      </c>
      <c r="E72" s="182" t="s">
        <v>378</v>
      </c>
      <c r="F72" s="29">
        <v>40</v>
      </c>
      <c r="G72" s="29" t="s">
        <v>183</v>
      </c>
      <c r="H72" s="29" t="s">
        <v>35</v>
      </c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4"/>
      <c r="AR72" s="24"/>
      <c r="AS72" s="24"/>
      <c r="AT72" s="24"/>
      <c r="AU72" s="24"/>
      <c r="AV72" s="24"/>
      <c r="AW72" s="24"/>
      <c r="AX72" s="24"/>
      <c r="AY72" s="24"/>
      <c r="AZ72" s="24"/>
    </row>
    <row r="73" spans="1:52" ht="15" customHeight="1" x14ac:dyDescent="0.2">
      <c r="A73" s="27"/>
      <c r="B73" s="29" t="s">
        <v>246</v>
      </c>
      <c r="C73" s="29" t="s">
        <v>107</v>
      </c>
      <c r="D73" s="29" t="s">
        <v>405</v>
      </c>
      <c r="E73" s="183" t="s">
        <v>289</v>
      </c>
      <c r="F73" s="29"/>
      <c r="G73" s="29" t="s">
        <v>183</v>
      </c>
      <c r="H73" s="29" t="s">
        <v>35</v>
      </c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4"/>
      <c r="AR73" s="24"/>
      <c r="AS73" s="24"/>
      <c r="AT73" s="24"/>
      <c r="AU73" s="24"/>
      <c r="AV73" s="24"/>
      <c r="AW73" s="24"/>
      <c r="AX73" s="24"/>
      <c r="AY73" s="24"/>
      <c r="AZ73" s="24"/>
    </row>
    <row r="74" spans="1:52" ht="15" customHeight="1" x14ac:dyDescent="0.2">
      <c r="A74" s="27"/>
      <c r="B74" s="29" t="s">
        <v>178</v>
      </c>
      <c r="C74" s="29" t="s">
        <v>108</v>
      </c>
      <c r="D74" s="29" t="s">
        <v>405</v>
      </c>
      <c r="E74" s="182" t="s">
        <v>380</v>
      </c>
      <c r="F74" s="29">
        <v>46</v>
      </c>
      <c r="G74" s="29" t="s">
        <v>183</v>
      </c>
      <c r="H74" s="29" t="s">
        <v>35</v>
      </c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4"/>
      <c r="AR74" s="24"/>
      <c r="AS74" s="24"/>
      <c r="AT74" s="24"/>
      <c r="AU74" s="24"/>
      <c r="AV74" s="24"/>
      <c r="AW74" s="24"/>
      <c r="AX74" s="24"/>
      <c r="AY74" s="24"/>
      <c r="AZ74" s="24"/>
    </row>
    <row r="75" spans="1:52" ht="15" customHeight="1" x14ac:dyDescent="0.2">
      <c r="A75" s="27"/>
      <c r="B75" s="29" t="s">
        <v>177</v>
      </c>
      <c r="C75" s="29" t="s">
        <v>109</v>
      </c>
      <c r="D75" s="29" t="s">
        <v>405</v>
      </c>
      <c r="E75" s="182" t="s">
        <v>379</v>
      </c>
      <c r="F75" s="29">
        <v>32</v>
      </c>
      <c r="G75" s="29" t="s">
        <v>183</v>
      </c>
      <c r="H75" s="29" t="s">
        <v>35</v>
      </c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4"/>
      <c r="AR75" s="24"/>
      <c r="AS75" s="24"/>
      <c r="AT75" s="24"/>
      <c r="AU75" s="24"/>
      <c r="AV75" s="24"/>
      <c r="AW75" s="24"/>
      <c r="AX75" s="24"/>
      <c r="AY75" s="24"/>
      <c r="AZ75" s="24"/>
    </row>
    <row r="76" spans="1:52" ht="15" customHeight="1" x14ac:dyDescent="0.2">
      <c r="A76" s="27"/>
      <c r="B76" s="29" t="s">
        <v>255</v>
      </c>
      <c r="C76" s="29" t="s">
        <v>126</v>
      </c>
      <c r="D76" s="29" t="s">
        <v>405</v>
      </c>
      <c r="E76" s="182" t="s">
        <v>381</v>
      </c>
      <c r="F76" s="29">
        <v>36</v>
      </c>
      <c r="G76" s="29" t="s">
        <v>183</v>
      </c>
      <c r="H76" s="29" t="s">
        <v>35</v>
      </c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4"/>
      <c r="AR76" s="24"/>
      <c r="AS76" s="24"/>
      <c r="AT76" s="24"/>
      <c r="AU76" s="24"/>
      <c r="AV76" s="24"/>
      <c r="AW76" s="24"/>
      <c r="AX76" s="24"/>
      <c r="AY76" s="24"/>
      <c r="AZ76" s="24"/>
    </row>
    <row r="77" spans="1:52" ht="15" customHeight="1" x14ac:dyDescent="0.2">
      <c r="A77" s="27"/>
      <c r="B77" s="29" t="s">
        <v>176</v>
      </c>
      <c r="C77" s="29" t="s">
        <v>110</v>
      </c>
      <c r="D77" s="29" t="s">
        <v>405</v>
      </c>
      <c r="E77" s="182" t="s">
        <v>306</v>
      </c>
      <c r="F77" s="29">
        <v>31</v>
      </c>
      <c r="G77" s="29" t="s">
        <v>183</v>
      </c>
      <c r="H77" s="29" t="s">
        <v>35</v>
      </c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4"/>
      <c r="AR77" s="24"/>
      <c r="AS77" s="24"/>
      <c r="AT77" s="24"/>
      <c r="AU77" s="24"/>
      <c r="AV77" s="24"/>
      <c r="AW77" s="24"/>
      <c r="AX77" s="24"/>
      <c r="AY77" s="24"/>
      <c r="AZ77" s="24"/>
    </row>
    <row r="78" spans="1:52" ht="15" customHeight="1" x14ac:dyDescent="0.2">
      <c r="A78" s="27"/>
      <c r="B78" s="29" t="s">
        <v>175</v>
      </c>
      <c r="C78" s="29" t="s">
        <v>111</v>
      </c>
      <c r="D78" s="29" t="s">
        <v>405</v>
      </c>
      <c r="E78" s="182" t="s">
        <v>382</v>
      </c>
      <c r="F78" s="29">
        <v>49</v>
      </c>
      <c r="G78" s="29" t="s">
        <v>183</v>
      </c>
      <c r="H78" s="29" t="s">
        <v>35</v>
      </c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4"/>
      <c r="AR78" s="24"/>
      <c r="AS78" s="24"/>
      <c r="AT78" s="24"/>
      <c r="AU78" s="24"/>
      <c r="AV78" s="24"/>
      <c r="AW78" s="24"/>
      <c r="AX78" s="24"/>
      <c r="AY78" s="24"/>
      <c r="AZ78" s="24"/>
    </row>
    <row r="79" spans="1:52" ht="15" customHeight="1" x14ac:dyDescent="0.2">
      <c r="A79" s="27"/>
      <c r="B79" s="29" t="s">
        <v>160</v>
      </c>
      <c r="C79" s="29" t="s">
        <v>112</v>
      </c>
      <c r="D79" s="29" t="s">
        <v>405</v>
      </c>
      <c r="E79" s="182" t="s">
        <v>383</v>
      </c>
      <c r="F79" s="29">
        <v>43</v>
      </c>
      <c r="G79" s="29" t="s">
        <v>183</v>
      </c>
      <c r="H79" s="29" t="s">
        <v>35</v>
      </c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4"/>
      <c r="AR79" s="24"/>
      <c r="AS79" s="24"/>
      <c r="AT79" s="24"/>
      <c r="AU79" s="24"/>
      <c r="AV79" s="24"/>
      <c r="AW79" s="24"/>
      <c r="AX79" s="24"/>
      <c r="AY79" s="24"/>
      <c r="AZ79" s="24"/>
    </row>
    <row r="80" spans="1:52" ht="15" customHeight="1" x14ac:dyDescent="0.2">
      <c r="A80" s="27"/>
      <c r="B80" s="29" t="s">
        <v>168</v>
      </c>
      <c r="C80" s="29" t="s">
        <v>113</v>
      </c>
      <c r="D80" s="29" t="s">
        <v>405</v>
      </c>
      <c r="E80" s="182" t="s">
        <v>384</v>
      </c>
      <c r="F80" s="29">
        <v>55</v>
      </c>
      <c r="G80" s="29" t="s">
        <v>183</v>
      </c>
      <c r="H80" s="29" t="s">
        <v>35</v>
      </c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4"/>
      <c r="AR80" s="24"/>
      <c r="AS80" s="24"/>
      <c r="AT80" s="24"/>
      <c r="AU80" s="24"/>
      <c r="AV80" s="24"/>
      <c r="AW80" s="24"/>
      <c r="AX80" s="24"/>
      <c r="AY80" s="24"/>
      <c r="AZ80" s="24"/>
    </row>
    <row r="81" spans="1:52" ht="15" customHeight="1" x14ac:dyDescent="0.2">
      <c r="A81" s="27"/>
      <c r="B81" s="29" t="s">
        <v>174</v>
      </c>
      <c r="C81" s="29" t="s">
        <v>114</v>
      </c>
      <c r="D81" s="29" t="s">
        <v>405</v>
      </c>
      <c r="E81" s="182" t="s">
        <v>273</v>
      </c>
      <c r="F81" s="29">
        <v>42</v>
      </c>
      <c r="G81" s="29" t="s">
        <v>183</v>
      </c>
      <c r="H81" s="29" t="s">
        <v>35</v>
      </c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spans="1:52" ht="15" customHeight="1" x14ac:dyDescent="0.2">
      <c r="A82" s="27"/>
      <c r="B82" s="29" t="s">
        <v>173</v>
      </c>
      <c r="C82" s="29" t="s">
        <v>115</v>
      </c>
      <c r="D82" s="29" t="s">
        <v>405</v>
      </c>
      <c r="E82" s="182" t="s">
        <v>385</v>
      </c>
      <c r="F82" s="29">
        <v>54</v>
      </c>
      <c r="G82" s="29" t="s">
        <v>183</v>
      </c>
      <c r="H82" s="29" t="s">
        <v>35</v>
      </c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4"/>
      <c r="AR82" s="24"/>
      <c r="AS82" s="24"/>
      <c r="AT82" s="24"/>
      <c r="AU82" s="24"/>
      <c r="AV82" s="24"/>
      <c r="AW82" s="24"/>
      <c r="AX82" s="24"/>
      <c r="AY82" s="24"/>
      <c r="AZ82" s="24"/>
    </row>
    <row r="83" spans="1:52" ht="15" customHeight="1" x14ac:dyDescent="0.2">
      <c r="A83" s="27"/>
      <c r="B83" s="29"/>
      <c r="C83" s="29"/>
      <c r="D83" s="29"/>
      <c r="E83" s="183"/>
      <c r="F83" s="29"/>
      <c r="G83" s="29"/>
      <c r="H83" s="29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4"/>
      <c r="AR83" s="24"/>
      <c r="AS83" s="24"/>
      <c r="AT83" s="24"/>
      <c r="AU83" s="24"/>
      <c r="AV83" s="24"/>
      <c r="AW83" s="24"/>
      <c r="AX83" s="24"/>
      <c r="AY83" s="24"/>
      <c r="AZ83" s="24"/>
    </row>
    <row r="84" spans="1:52" ht="15" customHeight="1" x14ac:dyDescent="0.3">
      <c r="A84" s="27"/>
      <c r="B84" s="30" t="s">
        <v>261</v>
      </c>
      <c r="C84" s="30" t="s">
        <v>262</v>
      </c>
      <c r="D84" s="34"/>
      <c r="E84" s="184"/>
      <c r="F84" s="34"/>
      <c r="G84" s="34"/>
      <c r="H84" s="34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4"/>
      <c r="AR84" s="24"/>
      <c r="AS84" s="24"/>
      <c r="AT84" s="24"/>
      <c r="AU84" s="24"/>
      <c r="AV84" s="24"/>
      <c r="AW84" s="24"/>
      <c r="AX84" s="24"/>
      <c r="AY84" s="24"/>
      <c r="AZ84" s="24"/>
    </row>
    <row r="85" spans="1:52" ht="15" customHeight="1" x14ac:dyDescent="0.2">
      <c r="A85" s="27"/>
      <c r="B85" s="29" t="s">
        <v>180</v>
      </c>
      <c r="C85" s="29" t="s">
        <v>116</v>
      </c>
      <c r="D85" s="29" t="s">
        <v>405</v>
      </c>
      <c r="E85" s="182" t="s">
        <v>307</v>
      </c>
      <c r="F85" s="29">
        <v>37</v>
      </c>
      <c r="G85" s="29" t="s">
        <v>183</v>
      </c>
      <c r="H85" s="29" t="s">
        <v>35</v>
      </c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4"/>
      <c r="AR85" s="24"/>
      <c r="AS85" s="24"/>
      <c r="AT85" s="24"/>
      <c r="AU85" s="24"/>
      <c r="AV85" s="24"/>
      <c r="AW85" s="24"/>
      <c r="AX85" s="24"/>
      <c r="AY85" s="24"/>
      <c r="AZ85" s="24"/>
    </row>
    <row r="86" spans="1:52" ht="15" customHeight="1" x14ac:dyDescent="0.2">
      <c r="A86" s="27"/>
      <c r="B86" s="29" t="s">
        <v>260</v>
      </c>
      <c r="C86" s="29" t="s">
        <v>70</v>
      </c>
      <c r="D86" s="29" t="s">
        <v>405</v>
      </c>
      <c r="E86" s="182" t="s">
        <v>272</v>
      </c>
      <c r="F86" s="29">
        <v>44</v>
      </c>
      <c r="G86" s="29" t="s">
        <v>183</v>
      </c>
      <c r="H86" s="29" t="s">
        <v>35</v>
      </c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4"/>
      <c r="AR86" s="24"/>
      <c r="AS86" s="24"/>
      <c r="AT86" s="24"/>
      <c r="AU86" s="24"/>
      <c r="AV86" s="24"/>
      <c r="AW86" s="24"/>
      <c r="AX86" s="24"/>
      <c r="AY86" s="24"/>
      <c r="AZ86" s="24"/>
    </row>
    <row r="87" spans="1:52" ht="15" customHeight="1" x14ac:dyDescent="0.2">
      <c r="A87" s="27"/>
      <c r="B87" s="29" t="s">
        <v>257</v>
      </c>
      <c r="C87" s="29" t="s">
        <v>72</v>
      </c>
      <c r="D87" s="29" t="s">
        <v>405</v>
      </c>
      <c r="E87" s="182" t="s">
        <v>278</v>
      </c>
      <c r="F87" s="29">
        <v>37</v>
      </c>
      <c r="G87" s="29" t="s">
        <v>183</v>
      </c>
      <c r="H87" s="29" t="s">
        <v>35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4"/>
      <c r="AR87" s="24"/>
      <c r="AS87" s="24"/>
      <c r="AT87" s="24"/>
      <c r="AU87" s="24"/>
      <c r="AV87" s="24"/>
      <c r="AW87" s="24"/>
      <c r="AX87" s="24"/>
      <c r="AY87" s="24"/>
      <c r="AZ87" s="24"/>
    </row>
    <row r="88" spans="1:52" ht="15" customHeight="1" x14ac:dyDescent="0.2">
      <c r="A88" s="27"/>
      <c r="B88" s="29" t="s">
        <v>265</v>
      </c>
      <c r="C88" s="29" t="s">
        <v>266</v>
      </c>
      <c r="D88" s="29" t="s">
        <v>405</v>
      </c>
      <c r="E88" s="182" t="s">
        <v>308</v>
      </c>
      <c r="F88" s="29">
        <v>37</v>
      </c>
      <c r="G88" s="29" t="s">
        <v>183</v>
      </c>
      <c r="H88" s="29" t="s">
        <v>35</v>
      </c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spans="1:52" ht="15" customHeight="1" x14ac:dyDescent="0.2">
      <c r="A89" s="27"/>
      <c r="B89" s="29" t="s">
        <v>181</v>
      </c>
      <c r="C89" s="29" t="s">
        <v>117</v>
      </c>
      <c r="D89" s="29" t="s">
        <v>405</v>
      </c>
      <c r="E89" s="182" t="s">
        <v>279</v>
      </c>
      <c r="F89" s="29">
        <v>55</v>
      </c>
      <c r="G89" s="29" t="s">
        <v>183</v>
      </c>
      <c r="H89" s="29" t="s">
        <v>35</v>
      </c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4"/>
      <c r="AR89" s="24"/>
      <c r="AS89" s="24"/>
      <c r="AT89" s="24"/>
      <c r="AU89" s="24"/>
      <c r="AV89" s="24"/>
      <c r="AW89" s="24"/>
      <c r="AX89" s="24"/>
      <c r="AY89" s="24"/>
      <c r="AZ89" s="24"/>
    </row>
    <row r="90" spans="1:52" ht="15" customHeight="1" x14ac:dyDescent="0.2">
      <c r="A90" s="27"/>
      <c r="B90" s="29" t="s">
        <v>258</v>
      </c>
      <c r="C90" s="29" t="s">
        <v>117</v>
      </c>
      <c r="D90" s="29" t="s">
        <v>405</v>
      </c>
      <c r="E90" s="182" t="s">
        <v>309</v>
      </c>
      <c r="F90" s="29">
        <v>50</v>
      </c>
      <c r="G90" s="29" t="s">
        <v>183</v>
      </c>
      <c r="H90" s="29" t="s">
        <v>35</v>
      </c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spans="1:52" ht="15" customHeight="1" x14ac:dyDescent="0.2">
      <c r="A91" s="27"/>
      <c r="B91" s="29" t="s">
        <v>259</v>
      </c>
      <c r="C91" s="29" t="s">
        <v>118</v>
      </c>
      <c r="D91" s="29" t="s">
        <v>405</v>
      </c>
      <c r="E91" s="182" t="s">
        <v>310</v>
      </c>
      <c r="F91" s="29">
        <v>57</v>
      </c>
      <c r="G91" s="29" t="s">
        <v>183</v>
      </c>
      <c r="H91" s="29" t="s">
        <v>35</v>
      </c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4"/>
      <c r="AR91" s="24"/>
      <c r="AS91" s="24"/>
      <c r="AT91" s="24"/>
      <c r="AU91" s="24"/>
      <c r="AV91" s="24"/>
      <c r="AW91" s="24"/>
      <c r="AX91" s="24"/>
      <c r="AY91" s="24"/>
      <c r="AZ91" s="24"/>
    </row>
    <row r="92" spans="1:52" ht="15" customHeight="1" x14ac:dyDescent="0.2">
      <c r="A92" s="27"/>
      <c r="B92" s="41" t="s">
        <v>267</v>
      </c>
      <c r="C92" s="41" t="s">
        <v>268</v>
      </c>
      <c r="D92" s="29" t="s">
        <v>405</v>
      </c>
      <c r="E92" s="182" t="s">
        <v>274</v>
      </c>
      <c r="F92" s="29">
        <v>44</v>
      </c>
      <c r="G92" s="29" t="s">
        <v>183</v>
      </c>
      <c r="H92" s="29" t="s">
        <v>35</v>
      </c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spans="1:52" ht="15" customHeight="1" x14ac:dyDescent="0.2">
      <c r="A93" s="27"/>
      <c r="B93" s="29" t="s">
        <v>171</v>
      </c>
      <c r="C93" s="29" t="s">
        <v>121</v>
      </c>
      <c r="D93" s="29" t="s">
        <v>405</v>
      </c>
      <c r="E93" s="182" t="s">
        <v>311</v>
      </c>
      <c r="F93" s="29">
        <v>37</v>
      </c>
      <c r="G93" s="29" t="s">
        <v>183</v>
      </c>
      <c r="H93" s="29" t="s">
        <v>35</v>
      </c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4"/>
      <c r="AR93" s="24"/>
      <c r="AS93" s="24"/>
      <c r="AT93" s="24"/>
      <c r="AU93" s="24"/>
      <c r="AV93" s="24"/>
      <c r="AW93" s="24"/>
      <c r="AX93" s="24"/>
      <c r="AY93" s="24"/>
      <c r="AZ93" s="24"/>
    </row>
    <row r="94" spans="1:52" ht="15" customHeight="1" x14ac:dyDescent="0.2">
      <c r="A94" s="27"/>
      <c r="B94" s="29" t="s">
        <v>270</v>
      </c>
      <c r="C94" s="29" t="s">
        <v>122</v>
      </c>
      <c r="D94" s="29" t="s">
        <v>406</v>
      </c>
      <c r="E94" s="182" t="s">
        <v>312</v>
      </c>
      <c r="F94" s="29">
        <v>57</v>
      </c>
      <c r="G94" s="29" t="s">
        <v>183</v>
      </c>
      <c r="H94" s="29" t="s">
        <v>35</v>
      </c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spans="1:52" x14ac:dyDescent="0.2">
      <c r="A95" s="27"/>
      <c r="B95" s="29" t="s">
        <v>275</v>
      </c>
      <c r="C95" s="29" t="s">
        <v>123</v>
      </c>
      <c r="D95" s="29" t="s">
        <v>405</v>
      </c>
      <c r="E95" s="182" t="s">
        <v>276</v>
      </c>
      <c r="F95" s="29">
        <v>50</v>
      </c>
      <c r="G95" s="29" t="s">
        <v>183</v>
      </c>
      <c r="H95" s="29" t="s">
        <v>35</v>
      </c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4"/>
      <c r="AR95" s="24"/>
      <c r="AS95" s="24"/>
      <c r="AT95" s="24"/>
      <c r="AU95" s="24"/>
      <c r="AV95" s="24"/>
      <c r="AW95" s="24"/>
      <c r="AX95" s="24"/>
      <c r="AY95" s="24"/>
      <c r="AZ95" s="24"/>
    </row>
    <row r="96" spans="1:52" x14ac:dyDescent="0.2">
      <c r="A96" s="27"/>
      <c r="B96" s="29" t="s">
        <v>179</v>
      </c>
      <c r="C96" s="29" t="s">
        <v>124</v>
      </c>
      <c r="D96" s="29" t="s">
        <v>405</v>
      </c>
      <c r="E96" s="182" t="s">
        <v>313</v>
      </c>
      <c r="F96" s="29">
        <v>35</v>
      </c>
      <c r="G96" s="29" t="s">
        <v>183</v>
      </c>
      <c r="H96" s="29" t="s">
        <v>35</v>
      </c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spans="1:52" x14ac:dyDescent="0.2">
      <c r="A97" s="27"/>
      <c r="B97" s="29" t="s">
        <v>254</v>
      </c>
      <c r="C97" s="29" t="s">
        <v>125</v>
      </c>
      <c r="D97" s="29" t="s">
        <v>405</v>
      </c>
      <c r="E97" s="182" t="s">
        <v>315</v>
      </c>
      <c r="F97" s="29">
        <v>37</v>
      </c>
      <c r="G97" s="29" t="s">
        <v>183</v>
      </c>
      <c r="H97" s="29" t="s">
        <v>35</v>
      </c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4"/>
      <c r="AR97" s="24"/>
      <c r="AS97" s="24"/>
      <c r="AT97" s="24"/>
      <c r="AU97" s="24"/>
      <c r="AV97" s="24"/>
      <c r="AW97" s="24"/>
      <c r="AX97" s="24"/>
      <c r="AY97" s="24"/>
      <c r="AZ97" s="24"/>
    </row>
    <row r="98" spans="1:52" x14ac:dyDescent="0.2">
      <c r="A98" s="27"/>
      <c r="B98" s="29" t="s">
        <v>168</v>
      </c>
      <c r="C98" s="29" t="s">
        <v>269</v>
      </c>
      <c r="D98" s="29" t="s">
        <v>406</v>
      </c>
      <c r="E98" s="182" t="s">
        <v>314</v>
      </c>
      <c r="F98" s="29">
        <v>38</v>
      </c>
      <c r="G98" s="29" t="s">
        <v>183</v>
      </c>
      <c r="H98" s="29" t="s">
        <v>35</v>
      </c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4"/>
      <c r="AR98" s="24"/>
      <c r="AS98" s="24"/>
      <c r="AT98" s="24"/>
      <c r="AU98" s="24"/>
      <c r="AV98" s="24"/>
      <c r="AW98" s="24"/>
      <c r="AX98" s="24"/>
      <c r="AY98" s="24"/>
      <c r="AZ98" s="24"/>
    </row>
    <row r="99" spans="1:52" x14ac:dyDescent="0.2">
      <c r="A99" s="27"/>
      <c r="B99" s="29"/>
      <c r="C99" s="29"/>
      <c r="D99" s="29"/>
      <c r="E99" s="183"/>
      <c r="F99" s="29"/>
      <c r="G99" s="29"/>
      <c r="H99" s="29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4"/>
      <c r="AR99" s="24"/>
      <c r="AS99" s="24"/>
      <c r="AT99" s="24"/>
      <c r="AU99" s="24"/>
      <c r="AV99" s="24"/>
      <c r="AW99" s="24"/>
      <c r="AX99" s="24"/>
      <c r="AY99" s="24"/>
      <c r="AZ99" s="24"/>
    </row>
    <row r="100" spans="1:52" x14ac:dyDescent="0.2">
      <c r="A100" s="27"/>
      <c r="B100" s="29" t="s">
        <v>167</v>
      </c>
      <c r="C100" s="29" t="s">
        <v>101</v>
      </c>
      <c r="D100" s="29" t="s">
        <v>407</v>
      </c>
      <c r="E100" s="183"/>
      <c r="F100" s="29"/>
      <c r="G100" s="29" t="s">
        <v>183</v>
      </c>
      <c r="H100" s="29" t="s">
        <v>35</v>
      </c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</row>
    <row r="101" spans="1:52" x14ac:dyDescent="0.2">
      <c r="A101" s="27"/>
      <c r="B101" s="29" t="s">
        <v>166</v>
      </c>
      <c r="C101" s="29" t="s">
        <v>127</v>
      </c>
      <c r="D101" s="29" t="s">
        <v>407</v>
      </c>
      <c r="E101" s="183"/>
      <c r="F101" s="29"/>
      <c r="G101" s="29" t="s">
        <v>183</v>
      </c>
      <c r="H101" s="29" t="s">
        <v>35</v>
      </c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</row>
    <row r="102" spans="1:52" x14ac:dyDescent="0.2">
      <c r="A102" s="27"/>
      <c r="B102" s="29" t="s">
        <v>51</v>
      </c>
      <c r="C102" s="29" t="s">
        <v>116</v>
      </c>
      <c r="D102" s="29" t="s">
        <v>408</v>
      </c>
      <c r="E102" s="183"/>
      <c r="F102" s="29"/>
      <c r="G102" s="29" t="s">
        <v>183</v>
      </c>
      <c r="H102" s="29" t="s">
        <v>35</v>
      </c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</row>
    <row r="103" spans="1:52" x14ac:dyDescent="0.2">
      <c r="A103" s="27"/>
      <c r="B103" s="29" t="s">
        <v>49</v>
      </c>
      <c r="C103" s="29" t="s">
        <v>61</v>
      </c>
      <c r="D103" s="29" t="s">
        <v>408</v>
      </c>
      <c r="E103" s="183"/>
      <c r="F103" s="29"/>
      <c r="G103" s="29" t="s">
        <v>184</v>
      </c>
      <c r="H103" s="29" t="s">
        <v>35</v>
      </c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</row>
    <row r="104" spans="1:52" x14ac:dyDescent="0.2">
      <c r="A104" s="27"/>
      <c r="B104" s="29" t="s">
        <v>34</v>
      </c>
      <c r="C104" s="29" t="s">
        <v>128</v>
      </c>
      <c r="D104" s="29" t="s">
        <v>408</v>
      </c>
      <c r="E104" s="183"/>
      <c r="F104" s="29"/>
      <c r="G104" s="29" t="s">
        <v>184</v>
      </c>
      <c r="H104" s="29" t="s">
        <v>35</v>
      </c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</row>
    <row r="105" spans="1:52" x14ac:dyDescent="0.2">
      <c r="A105" s="27"/>
      <c r="B105" s="29" t="s">
        <v>52</v>
      </c>
      <c r="C105" s="29" t="s">
        <v>129</v>
      </c>
      <c r="D105" s="29" t="s">
        <v>408</v>
      </c>
      <c r="E105" s="183"/>
      <c r="F105" s="29"/>
      <c r="G105" s="29" t="s">
        <v>184</v>
      </c>
      <c r="H105" s="29" t="s">
        <v>35</v>
      </c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</row>
    <row r="106" spans="1:52" x14ac:dyDescent="0.2">
      <c r="A106" s="27"/>
      <c r="B106" s="29" t="s">
        <v>53</v>
      </c>
      <c r="C106" s="29" t="s">
        <v>130</v>
      </c>
      <c r="D106" s="29" t="s">
        <v>408</v>
      </c>
      <c r="E106" s="183"/>
      <c r="F106" s="29"/>
      <c r="G106" s="29" t="s">
        <v>184</v>
      </c>
      <c r="H106" s="29" t="s">
        <v>35</v>
      </c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</row>
    <row r="107" spans="1:52" x14ac:dyDescent="0.2">
      <c r="A107" s="27"/>
      <c r="B107" s="29" t="s">
        <v>50</v>
      </c>
      <c r="C107" s="29" t="s">
        <v>131</v>
      </c>
      <c r="D107" s="29" t="s">
        <v>408</v>
      </c>
      <c r="E107" s="183"/>
      <c r="F107" s="29"/>
      <c r="G107" s="29" t="s">
        <v>184</v>
      </c>
      <c r="H107" s="29" t="s">
        <v>35</v>
      </c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</row>
    <row r="108" spans="1:52" x14ac:dyDescent="0.2">
      <c r="A108" s="27"/>
      <c r="B108" s="29" t="s">
        <v>52</v>
      </c>
      <c r="C108" s="29" t="s">
        <v>132</v>
      </c>
      <c r="D108" s="29" t="s">
        <v>408</v>
      </c>
      <c r="E108" s="183"/>
      <c r="F108" s="29"/>
      <c r="G108" s="29" t="s">
        <v>183</v>
      </c>
      <c r="H108" s="29" t="s">
        <v>35</v>
      </c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4"/>
      <c r="AN108" s="28"/>
      <c r="AO108" s="28"/>
      <c r="AP108" s="28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</row>
    <row r="109" spans="1:52" x14ac:dyDescent="0.2">
      <c r="A109" s="27"/>
      <c r="B109" s="29" t="s">
        <v>404</v>
      </c>
      <c r="C109" s="29" t="s">
        <v>133</v>
      </c>
      <c r="D109" s="29" t="s">
        <v>407</v>
      </c>
      <c r="E109" s="183"/>
      <c r="F109" s="29"/>
      <c r="G109" s="29" t="s">
        <v>184</v>
      </c>
      <c r="H109" s="29" t="s">
        <v>35</v>
      </c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</row>
    <row r="110" spans="1:52" x14ac:dyDescent="0.2">
      <c r="A110" s="27"/>
      <c r="B110" s="29" t="s">
        <v>170</v>
      </c>
      <c r="C110" s="29" t="s">
        <v>134</v>
      </c>
      <c r="D110" s="29" t="s">
        <v>410</v>
      </c>
      <c r="E110" s="183"/>
      <c r="F110" s="29"/>
      <c r="G110" s="29" t="s">
        <v>183</v>
      </c>
      <c r="H110" s="29" t="s">
        <v>35</v>
      </c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</row>
    <row r="111" spans="1:52" x14ac:dyDescent="0.2">
      <c r="A111" s="27"/>
      <c r="B111" s="29" t="s">
        <v>169</v>
      </c>
      <c r="C111" s="29" t="s">
        <v>111</v>
      </c>
      <c r="D111" s="29" t="s">
        <v>410</v>
      </c>
      <c r="E111" s="183"/>
      <c r="F111" s="29"/>
      <c r="G111" s="29" t="s">
        <v>183</v>
      </c>
      <c r="H111" s="29" t="s">
        <v>182</v>
      </c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</row>
    <row r="112" spans="1:52" x14ac:dyDescent="0.2">
      <c r="A112" s="27"/>
      <c r="B112" s="29" t="s">
        <v>37</v>
      </c>
      <c r="C112" s="29" t="s">
        <v>135</v>
      </c>
      <c r="D112" s="29" t="s">
        <v>407</v>
      </c>
      <c r="E112" s="183"/>
      <c r="F112" s="29"/>
      <c r="G112" s="29" t="s">
        <v>184</v>
      </c>
      <c r="H112" s="29" t="s">
        <v>35</v>
      </c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</row>
    <row r="113" spans="1:52" x14ac:dyDescent="0.2">
      <c r="A113" s="27"/>
      <c r="B113" s="29" t="s">
        <v>55</v>
      </c>
      <c r="C113" s="29" t="s">
        <v>136</v>
      </c>
      <c r="D113" s="29" t="s">
        <v>410</v>
      </c>
      <c r="E113" s="183"/>
      <c r="F113" s="29"/>
      <c r="G113" s="29" t="s">
        <v>45</v>
      </c>
      <c r="H113" s="29" t="s">
        <v>182</v>
      </c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</row>
    <row r="114" spans="1:52" x14ac:dyDescent="0.2">
      <c r="A114" s="27"/>
      <c r="B114" s="29" t="s">
        <v>56</v>
      </c>
      <c r="C114" s="29" t="s">
        <v>137</v>
      </c>
      <c r="D114" s="29" t="s">
        <v>408</v>
      </c>
      <c r="E114" s="183"/>
      <c r="F114" s="29"/>
      <c r="G114" s="29" t="s">
        <v>184</v>
      </c>
      <c r="H114" s="29" t="s">
        <v>35</v>
      </c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</row>
    <row r="115" spans="1:52" x14ac:dyDescent="0.2">
      <c r="A115" s="27"/>
      <c r="B115" s="29" t="s">
        <v>57</v>
      </c>
      <c r="C115" s="29" t="s">
        <v>138</v>
      </c>
      <c r="D115" s="29" t="s">
        <v>407</v>
      </c>
      <c r="E115" s="183"/>
      <c r="F115" s="29"/>
      <c r="G115" s="29" t="s">
        <v>45</v>
      </c>
      <c r="H115" s="29" t="s">
        <v>35</v>
      </c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</row>
    <row r="116" spans="1:52" x14ac:dyDescent="0.2">
      <c r="A116" s="27"/>
      <c r="B116" s="29" t="s">
        <v>50</v>
      </c>
      <c r="C116" s="29" t="s">
        <v>139</v>
      </c>
      <c r="D116" s="29" t="s">
        <v>408</v>
      </c>
      <c r="E116" s="183"/>
      <c r="F116" s="29"/>
      <c r="G116" s="29" t="s">
        <v>184</v>
      </c>
      <c r="H116" s="29" t="s">
        <v>35</v>
      </c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</row>
    <row r="117" spans="1:52" x14ac:dyDescent="0.2">
      <c r="A117" s="27"/>
      <c r="B117" s="29" t="s">
        <v>56</v>
      </c>
      <c r="C117" s="29" t="s">
        <v>140</v>
      </c>
      <c r="D117" s="29" t="s">
        <v>409</v>
      </c>
      <c r="E117" s="183"/>
      <c r="F117" s="29"/>
      <c r="G117" s="29" t="s">
        <v>183</v>
      </c>
      <c r="H117" s="29" t="s">
        <v>35</v>
      </c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</row>
    <row r="118" spans="1:52" x14ac:dyDescent="0.2">
      <c r="A118" s="27"/>
      <c r="B118" s="29" t="s">
        <v>54</v>
      </c>
      <c r="C118" s="29" t="s">
        <v>141</v>
      </c>
      <c r="D118" s="29" t="s">
        <v>408</v>
      </c>
      <c r="E118" s="183"/>
      <c r="F118" s="29"/>
      <c r="G118" s="29" t="s">
        <v>184</v>
      </c>
      <c r="H118" s="29" t="s">
        <v>35</v>
      </c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</row>
    <row r="119" spans="1:52" x14ac:dyDescent="0.2">
      <c r="A119" s="27"/>
      <c r="B119" s="29"/>
      <c r="C119" s="29"/>
      <c r="D119" s="29"/>
      <c r="E119" s="183"/>
      <c r="F119" s="29"/>
      <c r="G119" s="29"/>
      <c r="H119" s="29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</row>
    <row r="120" spans="1:52" ht="18.75" x14ac:dyDescent="0.3">
      <c r="A120" s="31" t="s">
        <v>271</v>
      </c>
      <c r="B120" s="30" t="s">
        <v>186</v>
      </c>
      <c r="C120" s="30" t="s">
        <v>185</v>
      </c>
      <c r="D120" s="34"/>
      <c r="E120" s="184"/>
      <c r="F120" s="34"/>
      <c r="G120" s="34"/>
      <c r="H120" s="34"/>
      <c r="I120" s="35"/>
      <c r="J120" s="36"/>
      <c r="K120" s="37"/>
      <c r="L120" s="36"/>
      <c r="M120" s="36"/>
      <c r="N120" s="36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</row>
    <row r="121" spans="1:52" x14ac:dyDescent="0.2">
      <c r="A121" s="27">
        <v>7</v>
      </c>
      <c r="B121" s="29" t="s">
        <v>188</v>
      </c>
      <c r="C121" s="29" t="s">
        <v>187</v>
      </c>
      <c r="D121" s="29" t="s">
        <v>405</v>
      </c>
      <c r="E121" s="182" t="s">
        <v>347</v>
      </c>
      <c r="F121" s="29">
        <v>50</v>
      </c>
      <c r="G121" s="29" t="s">
        <v>183</v>
      </c>
      <c r="H121" s="29" t="s">
        <v>35</v>
      </c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</row>
    <row r="122" spans="1:52" x14ac:dyDescent="0.2">
      <c r="A122" s="27">
        <v>8</v>
      </c>
      <c r="B122" s="29" t="s">
        <v>189</v>
      </c>
      <c r="C122" s="29" t="s">
        <v>63</v>
      </c>
      <c r="D122" s="29" t="s">
        <v>405</v>
      </c>
      <c r="E122" s="182" t="s">
        <v>348</v>
      </c>
      <c r="F122" s="29">
        <v>41</v>
      </c>
      <c r="G122" s="29" t="s">
        <v>183</v>
      </c>
      <c r="H122" s="29" t="s">
        <v>35</v>
      </c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</row>
    <row r="123" spans="1:52" x14ac:dyDescent="0.2">
      <c r="A123" s="27">
        <v>5</v>
      </c>
      <c r="B123" s="29" t="s">
        <v>191</v>
      </c>
      <c r="C123" s="29" t="s">
        <v>190</v>
      </c>
      <c r="D123" s="29" t="s">
        <v>405</v>
      </c>
      <c r="E123" s="182" t="s">
        <v>349</v>
      </c>
      <c r="F123" s="29">
        <v>43</v>
      </c>
      <c r="G123" s="29" t="s">
        <v>183</v>
      </c>
      <c r="H123" s="29" t="s">
        <v>35</v>
      </c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</row>
    <row r="124" spans="1:52" x14ac:dyDescent="0.2">
      <c r="A124" s="27">
        <v>1</v>
      </c>
      <c r="B124" s="29" t="s">
        <v>193</v>
      </c>
      <c r="C124" s="29" t="s">
        <v>192</v>
      </c>
      <c r="D124" s="41" t="s">
        <v>388</v>
      </c>
      <c r="F124" s="29"/>
      <c r="G124" s="29" t="s">
        <v>183</v>
      </c>
      <c r="H124" s="29" t="s">
        <v>35</v>
      </c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</row>
    <row r="125" spans="1:52" x14ac:dyDescent="0.2">
      <c r="A125" s="27">
        <v>4</v>
      </c>
      <c r="B125" s="29" t="s">
        <v>195</v>
      </c>
      <c r="C125" s="29" t="s">
        <v>194</v>
      </c>
      <c r="D125" s="29" t="s">
        <v>405</v>
      </c>
      <c r="E125" s="183"/>
      <c r="F125" s="29"/>
      <c r="G125" s="29" t="s">
        <v>183</v>
      </c>
      <c r="H125" s="29" t="s">
        <v>35</v>
      </c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</row>
    <row r="126" spans="1:52" x14ac:dyDescent="0.2">
      <c r="A126" s="27">
        <v>6</v>
      </c>
      <c r="B126" s="29" t="s">
        <v>197</v>
      </c>
      <c r="C126" s="29" t="s">
        <v>196</v>
      </c>
      <c r="D126" s="29" t="s">
        <v>405</v>
      </c>
      <c r="E126" s="183"/>
      <c r="F126" s="29"/>
      <c r="G126" s="29" t="s">
        <v>183</v>
      </c>
      <c r="H126" s="29" t="s">
        <v>35</v>
      </c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</row>
    <row r="127" spans="1:52" x14ac:dyDescent="0.2">
      <c r="A127" s="27">
        <v>2</v>
      </c>
      <c r="B127" s="29" t="s">
        <v>199</v>
      </c>
      <c r="C127" s="29" t="s">
        <v>198</v>
      </c>
      <c r="D127" s="29" t="s">
        <v>405</v>
      </c>
      <c r="E127" s="182" t="s">
        <v>316</v>
      </c>
      <c r="F127" s="29">
        <v>54</v>
      </c>
      <c r="G127" s="29" t="s">
        <v>183</v>
      </c>
      <c r="H127" s="29" t="s">
        <v>35</v>
      </c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</row>
    <row r="128" spans="1:52" x14ac:dyDescent="0.2">
      <c r="A128" s="27">
        <v>3</v>
      </c>
      <c r="B128" s="29" t="s">
        <v>201</v>
      </c>
      <c r="C128" s="29" t="s">
        <v>200</v>
      </c>
      <c r="D128" s="29" t="s">
        <v>405</v>
      </c>
      <c r="E128" s="183"/>
      <c r="F128" s="29"/>
      <c r="G128" s="29" t="s">
        <v>183</v>
      </c>
      <c r="H128" s="29" t="s">
        <v>35</v>
      </c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</row>
    <row r="129" spans="1:52" x14ac:dyDescent="0.2">
      <c r="A129" s="27">
        <v>22</v>
      </c>
      <c r="B129" s="29" t="s">
        <v>203</v>
      </c>
      <c r="C129" s="29" t="s">
        <v>202</v>
      </c>
      <c r="D129" s="41" t="s">
        <v>388</v>
      </c>
      <c r="E129" s="182" t="s">
        <v>317</v>
      </c>
      <c r="F129" s="23">
        <v>31</v>
      </c>
      <c r="G129" s="29" t="s">
        <v>183</v>
      </c>
      <c r="H129" s="29" t="s">
        <v>35</v>
      </c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</row>
    <row r="130" spans="1:52" x14ac:dyDescent="0.2">
      <c r="A130" s="27">
        <v>38</v>
      </c>
      <c r="B130" s="29" t="s">
        <v>205</v>
      </c>
      <c r="C130" s="29" t="s">
        <v>204</v>
      </c>
      <c r="D130" s="29" t="s">
        <v>405</v>
      </c>
      <c r="E130" s="182" t="s">
        <v>318</v>
      </c>
      <c r="F130" s="29">
        <v>51</v>
      </c>
      <c r="G130" s="29" t="s">
        <v>183</v>
      </c>
      <c r="H130" s="29" t="s">
        <v>35</v>
      </c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</row>
    <row r="131" spans="1:52" x14ac:dyDescent="0.2">
      <c r="A131" s="27">
        <v>42</v>
      </c>
      <c r="B131" s="29" t="s">
        <v>207</v>
      </c>
      <c r="C131" s="29" t="s">
        <v>206</v>
      </c>
      <c r="D131" s="29" t="s">
        <v>405</v>
      </c>
      <c r="E131" s="182" t="s">
        <v>319</v>
      </c>
      <c r="F131" s="29">
        <v>48</v>
      </c>
      <c r="G131" s="29" t="s">
        <v>183</v>
      </c>
      <c r="H131" s="29" t="s">
        <v>35</v>
      </c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</row>
    <row r="132" spans="1:52" x14ac:dyDescent="0.2">
      <c r="A132" s="27">
        <v>37</v>
      </c>
      <c r="B132" s="29" t="s">
        <v>208</v>
      </c>
      <c r="C132" s="29" t="s">
        <v>202</v>
      </c>
      <c r="D132" s="29" t="s">
        <v>405</v>
      </c>
      <c r="E132" s="182" t="s">
        <v>320</v>
      </c>
      <c r="F132" s="29">
        <v>31</v>
      </c>
      <c r="G132" s="29" t="s">
        <v>183</v>
      </c>
      <c r="H132" s="29" t="s">
        <v>35</v>
      </c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</row>
    <row r="133" spans="1:52" x14ac:dyDescent="0.2">
      <c r="A133" s="27">
        <v>36</v>
      </c>
      <c r="B133" s="29" t="s">
        <v>209</v>
      </c>
      <c r="C133" s="29" t="s">
        <v>97</v>
      </c>
      <c r="D133" s="29" t="s">
        <v>405</v>
      </c>
      <c r="E133" s="182" t="s">
        <v>321</v>
      </c>
      <c r="F133" s="29">
        <v>52</v>
      </c>
      <c r="G133" s="29" t="s">
        <v>183</v>
      </c>
      <c r="H133" s="29" t="s">
        <v>35</v>
      </c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</row>
    <row r="134" spans="1:52" x14ac:dyDescent="0.2">
      <c r="A134" s="27">
        <v>39</v>
      </c>
      <c r="B134" s="29" t="s">
        <v>210</v>
      </c>
      <c r="C134" s="29" t="s">
        <v>63</v>
      </c>
      <c r="D134" s="29" t="s">
        <v>405</v>
      </c>
      <c r="E134" s="182" t="s">
        <v>322</v>
      </c>
      <c r="F134" s="29">
        <v>39</v>
      </c>
      <c r="G134" s="29" t="s">
        <v>183</v>
      </c>
      <c r="H134" s="29" t="s">
        <v>35</v>
      </c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</row>
    <row r="135" spans="1:52" x14ac:dyDescent="0.2">
      <c r="A135" s="27">
        <v>33</v>
      </c>
      <c r="B135" s="29" t="s">
        <v>212</v>
      </c>
      <c r="C135" s="29" t="s">
        <v>211</v>
      </c>
      <c r="D135" s="29" t="s">
        <v>405</v>
      </c>
      <c r="E135" s="182" t="s">
        <v>323</v>
      </c>
      <c r="F135" s="29">
        <v>52</v>
      </c>
      <c r="G135" s="29" t="s">
        <v>183</v>
      </c>
      <c r="H135" s="29" t="s">
        <v>35</v>
      </c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</row>
    <row r="136" spans="1:52" x14ac:dyDescent="0.2">
      <c r="A136" s="27">
        <v>25</v>
      </c>
      <c r="B136" s="29" t="s">
        <v>387</v>
      </c>
      <c r="C136" s="29" t="s">
        <v>213</v>
      </c>
      <c r="D136" s="29" t="s">
        <v>405</v>
      </c>
      <c r="E136" s="182" t="s">
        <v>394</v>
      </c>
      <c r="F136" s="29">
        <v>29</v>
      </c>
      <c r="G136" s="29" t="s">
        <v>183</v>
      </c>
      <c r="H136" s="29" t="s">
        <v>35</v>
      </c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</row>
    <row r="137" spans="1:52" x14ac:dyDescent="0.2">
      <c r="A137" s="27">
        <v>34</v>
      </c>
      <c r="B137" s="29" t="s">
        <v>215</v>
      </c>
      <c r="C137" s="29" t="s">
        <v>214</v>
      </c>
      <c r="D137" s="29" t="s">
        <v>405</v>
      </c>
      <c r="E137" s="182" t="s">
        <v>390</v>
      </c>
      <c r="F137" s="29">
        <v>28</v>
      </c>
      <c r="G137" s="29" t="s">
        <v>183</v>
      </c>
      <c r="H137" s="29" t="s">
        <v>35</v>
      </c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</row>
    <row r="138" spans="1:52" x14ac:dyDescent="0.2">
      <c r="A138" s="27">
        <v>41</v>
      </c>
      <c r="B138" s="29" t="s">
        <v>217</v>
      </c>
      <c r="C138" s="29" t="s">
        <v>216</v>
      </c>
      <c r="D138" s="29" t="s">
        <v>405</v>
      </c>
      <c r="E138" s="182" t="s">
        <v>391</v>
      </c>
      <c r="F138" s="29">
        <v>54</v>
      </c>
      <c r="G138" s="29" t="s">
        <v>183</v>
      </c>
      <c r="H138" s="29" t="s">
        <v>35</v>
      </c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</row>
    <row r="139" spans="1:52" x14ac:dyDescent="0.2">
      <c r="A139" s="27">
        <v>29</v>
      </c>
      <c r="B139" s="29" t="s">
        <v>219</v>
      </c>
      <c r="C139" s="29" t="s">
        <v>218</v>
      </c>
      <c r="D139" s="29" t="s">
        <v>405</v>
      </c>
      <c r="E139" s="182" t="s">
        <v>395</v>
      </c>
      <c r="F139" s="29">
        <v>45</v>
      </c>
      <c r="G139" s="29" t="s">
        <v>183</v>
      </c>
      <c r="H139" s="29" t="s">
        <v>35</v>
      </c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</row>
    <row r="140" spans="1:52" x14ac:dyDescent="0.2">
      <c r="A140" s="27">
        <v>30</v>
      </c>
      <c r="B140" s="29" t="s">
        <v>221</v>
      </c>
      <c r="C140" s="29" t="s">
        <v>220</v>
      </c>
      <c r="D140" s="29" t="s">
        <v>405</v>
      </c>
      <c r="E140" s="182" t="s">
        <v>392</v>
      </c>
      <c r="F140" s="29">
        <v>58</v>
      </c>
      <c r="G140" s="29" t="s">
        <v>183</v>
      </c>
      <c r="H140" s="29" t="s">
        <v>35</v>
      </c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</row>
    <row r="141" spans="1:52" x14ac:dyDescent="0.2">
      <c r="A141" s="27">
        <v>31</v>
      </c>
      <c r="B141" s="29" t="s">
        <v>223</v>
      </c>
      <c r="C141" s="29" t="s">
        <v>222</v>
      </c>
      <c r="D141" s="29" t="s">
        <v>405</v>
      </c>
      <c r="E141" s="182" t="s">
        <v>393</v>
      </c>
      <c r="F141" s="29">
        <v>51</v>
      </c>
      <c r="G141" s="29" t="s">
        <v>183</v>
      </c>
      <c r="H141" s="29" t="s">
        <v>35</v>
      </c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</row>
    <row r="142" spans="1:52" x14ac:dyDescent="0.2">
      <c r="A142" s="27">
        <v>40</v>
      </c>
      <c r="B142" s="29" t="s">
        <v>225</v>
      </c>
      <c r="C142" s="29" t="s">
        <v>224</v>
      </c>
      <c r="D142" s="29" t="s">
        <v>405</v>
      </c>
      <c r="E142" s="182" t="s">
        <v>396</v>
      </c>
      <c r="F142" s="29">
        <v>53</v>
      </c>
      <c r="G142" s="29" t="s">
        <v>183</v>
      </c>
      <c r="H142" s="29" t="s">
        <v>35</v>
      </c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</row>
    <row r="143" spans="1:52" x14ac:dyDescent="0.2">
      <c r="A143" s="27">
        <v>23</v>
      </c>
      <c r="B143" s="29" t="s">
        <v>40</v>
      </c>
      <c r="C143" s="29" t="s">
        <v>226</v>
      </c>
      <c r="D143" s="29" t="s">
        <v>405</v>
      </c>
      <c r="E143" s="182" t="s">
        <v>397</v>
      </c>
      <c r="F143" s="29">
        <v>46</v>
      </c>
      <c r="G143" s="29" t="s">
        <v>183</v>
      </c>
      <c r="H143" s="29" t="s">
        <v>35</v>
      </c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</row>
    <row r="144" spans="1:52" x14ac:dyDescent="0.2">
      <c r="A144" s="27">
        <v>24</v>
      </c>
      <c r="B144" s="29" t="s">
        <v>40</v>
      </c>
      <c r="C144" s="29" t="s">
        <v>227</v>
      </c>
      <c r="D144" s="29" t="s">
        <v>405</v>
      </c>
      <c r="E144" s="182" t="s">
        <v>398</v>
      </c>
      <c r="F144" s="29">
        <v>55</v>
      </c>
      <c r="G144" s="29" t="s">
        <v>183</v>
      </c>
      <c r="H144" s="29" t="s">
        <v>35</v>
      </c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spans="1:52" x14ac:dyDescent="0.2">
      <c r="A145" s="27">
        <v>28</v>
      </c>
      <c r="B145" s="29" t="s">
        <v>229</v>
      </c>
      <c r="C145" s="29" t="s">
        <v>228</v>
      </c>
      <c r="D145" s="29" t="s">
        <v>405</v>
      </c>
      <c r="E145" s="182" t="s">
        <v>399</v>
      </c>
      <c r="F145" s="29">
        <v>49</v>
      </c>
      <c r="G145" s="29" t="s">
        <v>183</v>
      </c>
      <c r="H145" s="29" t="s">
        <v>35</v>
      </c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</row>
    <row r="146" spans="1:52" x14ac:dyDescent="0.2">
      <c r="A146" s="27">
        <v>27</v>
      </c>
      <c r="B146" s="29" t="s">
        <v>231</v>
      </c>
      <c r="C146" s="29" t="s">
        <v>230</v>
      </c>
      <c r="D146" s="29" t="s">
        <v>405</v>
      </c>
      <c r="E146" s="182" t="s">
        <v>400</v>
      </c>
      <c r="F146" s="29">
        <v>34</v>
      </c>
      <c r="G146" s="29" t="s">
        <v>183</v>
      </c>
      <c r="H146" s="29" t="s">
        <v>35</v>
      </c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</row>
    <row r="147" spans="1:52" x14ac:dyDescent="0.2">
      <c r="A147" s="27">
        <v>35</v>
      </c>
      <c r="B147" s="29" t="s">
        <v>233</v>
      </c>
      <c r="C147" s="29" t="s">
        <v>232</v>
      </c>
      <c r="D147" s="29" t="s">
        <v>405</v>
      </c>
      <c r="E147" s="182" t="s">
        <v>389</v>
      </c>
      <c r="F147" s="29"/>
      <c r="G147" s="29" t="s">
        <v>183</v>
      </c>
      <c r="H147" s="29" t="s">
        <v>35</v>
      </c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</row>
    <row r="148" spans="1:52" x14ac:dyDescent="0.2">
      <c r="A148" s="27"/>
      <c r="B148" s="29" t="s">
        <v>235</v>
      </c>
      <c r="C148" s="29" t="s">
        <v>234</v>
      </c>
      <c r="D148" s="29" t="s">
        <v>405</v>
      </c>
      <c r="E148" s="182" t="s">
        <v>401</v>
      </c>
      <c r="F148" s="29">
        <v>39</v>
      </c>
      <c r="G148" s="29" t="s">
        <v>183</v>
      </c>
      <c r="H148" s="29" t="s">
        <v>35</v>
      </c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</row>
    <row r="149" spans="1:52" x14ac:dyDescent="0.2">
      <c r="A149" s="27"/>
      <c r="B149" s="29" t="s">
        <v>236</v>
      </c>
      <c r="C149" s="29" t="s">
        <v>123</v>
      </c>
      <c r="D149" s="29" t="s">
        <v>405</v>
      </c>
      <c r="E149" s="182"/>
      <c r="F149" s="29"/>
      <c r="G149" s="29" t="s">
        <v>183</v>
      </c>
      <c r="H149" s="29" t="s">
        <v>35</v>
      </c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</row>
    <row r="150" spans="1:52" x14ac:dyDescent="0.2"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</row>
  </sheetData>
  <pageMargins left="0.70866141732283472" right="0.70866141732283472" top="0.74803149606299213" bottom="0.74803149606299213" header="0.31496062992125984" footer="0.31496062992125984"/>
  <pageSetup paperSize="9" scale="45" orientation="landscape" r:id="rId1"/>
  <colBreaks count="1" manualBreakCount="1">
    <brk id="33" max="33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Driver Medicals</vt:lpstr>
      <vt:lpstr>Driver Medical Tracker 2021</vt:lpstr>
      <vt:lpstr>Simon National Training Matrix</vt:lpstr>
      <vt:lpstr>Durban drivers</vt:lpstr>
      <vt:lpstr> cell no</vt:lpstr>
      <vt:lpstr>ac</vt:lpstr>
      <vt:lpstr>ACdrivers</vt:lpstr>
      <vt:lpstr>done D </vt:lpstr>
      <vt:lpstr>Not done</vt:lpstr>
      <vt:lpstr>Rosslyn</vt:lpstr>
      <vt:lpstr>Sheet1</vt:lpstr>
      <vt:lpstr>National Training Matrix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zibused</dc:creator>
  <cp:lastModifiedBy>Leroy Dwyer</cp:lastModifiedBy>
  <cp:lastPrinted>2022-06-13T12:56:57Z</cp:lastPrinted>
  <dcterms:created xsi:type="dcterms:W3CDTF">2010-06-08T09:39:04Z</dcterms:created>
  <dcterms:modified xsi:type="dcterms:W3CDTF">2026-02-24T15:13:55Z</dcterms:modified>
</cp:coreProperties>
</file>