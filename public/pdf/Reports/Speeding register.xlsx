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eyGobind\Downloads\"/>
    </mc:Choice>
  </mc:AlternateContent>
  <xr:revisionPtr revIDLastSave="0" documentId="13_ncr:1_{ADD021F6-051B-43EE-9E2F-86AADBACB101}" xr6:coauthVersionLast="47" xr6:coauthVersionMax="47" xr10:uidLastSave="{00000000-0000-0000-0000-000000000000}"/>
  <bookViews>
    <workbookView xWindow="-120" yWindow="-120" windowWidth="29040" windowHeight="15720" activeTab="1" xr2:uid="{F788A82B-2E40-4E20-9FB0-12282585589F}"/>
  </bookViews>
  <sheets>
    <sheet name="2025" sheetId="1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tc={9A845ABC-60DA-4AFB-AE17-3C086257080B}</author>
  </authors>
  <commentList>
    <comment ref="L61" authorId="0" shapeId="0" xr:uid="{9A845ABC-60DA-4AFB-AE17-3C086257080B}">
      <text>
        <t>[Threaded comment]
Your version of Excel allows you to read this threaded comment; however, any edits to it will get removed if the file is opened in a newer version of Excel. Learn more: https://go.microsoft.com/fwlink/?linkid=870924
Comment:
    Nicholas</t>
      </text>
    </comment>
  </commentList>
</comments>
</file>

<file path=xl/sharedStrings.xml><?xml version="1.0" encoding="utf-8"?>
<sst xmlns="http://schemas.openxmlformats.org/spreadsheetml/2006/main" count="180" uniqueCount="168">
  <si>
    <t>Quinton</t>
  </si>
  <si>
    <t>Mluleki Nicholas Mtshintshi</t>
  </si>
  <si>
    <t>Bheki Cyril  Khalishwayo</t>
  </si>
  <si>
    <t>Edward Nxumalo</t>
  </si>
  <si>
    <t>Freedom Thulani</t>
  </si>
  <si>
    <t>Goodman Vukani Gwala</t>
  </si>
  <si>
    <t>Luvo Mfecane</t>
  </si>
  <si>
    <t>Bongani Dosi</t>
  </si>
  <si>
    <t>Aaron Ntokozo Sibiya</t>
  </si>
  <si>
    <t>Sibonokuhle Bilibili</t>
  </si>
  <si>
    <t>Bongani Diniso</t>
  </si>
  <si>
    <t>Dumisani Mbatha</t>
  </si>
  <si>
    <t>Bonginkosi Ludidi</t>
  </si>
  <si>
    <t>Paulos Msomi</t>
  </si>
  <si>
    <t>Njabulo Stirton Dube</t>
  </si>
  <si>
    <t>Sonwabiso Mbhele</t>
  </si>
  <si>
    <t>Jeffrey Zakhele Shabalala</t>
  </si>
  <si>
    <t>Mondli Terrence Dube</t>
  </si>
  <si>
    <t>Bathandwa Jara</t>
  </si>
  <si>
    <t>Siyabonga Emmanuel Khumalo</t>
  </si>
  <si>
    <t>Wilfred Buleleni Dlamini</t>
  </si>
  <si>
    <t>Sicelo Luthando Zandi</t>
  </si>
  <si>
    <t>Bongani Ernest Hadebe</t>
  </si>
  <si>
    <t>Msizi Dladla</t>
  </si>
  <si>
    <t>Msizi Vincent Ndlovu</t>
  </si>
  <si>
    <t>Mtolo Bethuel  Nhlanhla</t>
  </si>
  <si>
    <t>Ayanda Mbatha</t>
  </si>
  <si>
    <t>Mngomezulu Sikhumbuzo Mdumiseni</t>
  </si>
  <si>
    <t>Sibongiseni David Lembede</t>
  </si>
  <si>
    <t>Thulani Moses Nokwe</t>
  </si>
  <si>
    <t>Senzo Shabalala</t>
  </si>
  <si>
    <t>Vensin Soobramoney Naicker</t>
  </si>
  <si>
    <t>Frederick Jacob Pieterse</t>
  </si>
  <si>
    <t>William Jonga</t>
  </si>
  <si>
    <t>Lungi Ndlovu</t>
  </si>
  <si>
    <t>Slindelo Grecoius Mbatha</t>
  </si>
  <si>
    <t>Wander Almon Mbele</t>
  </si>
  <si>
    <t>Thembinkosi</t>
  </si>
  <si>
    <t>Innocent Mthembu</t>
  </si>
  <si>
    <t>Mandla Mjoli</t>
  </si>
  <si>
    <t>Seeiso Moenti</t>
  </si>
  <si>
    <t>AC305</t>
  </si>
  <si>
    <t>AC306</t>
  </si>
  <si>
    <t>AC307</t>
  </si>
  <si>
    <t>AC308</t>
  </si>
  <si>
    <t>AC309</t>
  </si>
  <si>
    <t>AC310</t>
  </si>
  <si>
    <t>AC311</t>
  </si>
  <si>
    <t>AC312</t>
  </si>
  <si>
    <t>AC313</t>
  </si>
  <si>
    <t>AC314</t>
  </si>
  <si>
    <t>AC315</t>
  </si>
  <si>
    <t>AC316</t>
  </si>
  <si>
    <t>AC317</t>
  </si>
  <si>
    <t>AC318</t>
  </si>
  <si>
    <t>AC319</t>
  </si>
  <si>
    <t>AC320</t>
  </si>
  <si>
    <t>AC321</t>
  </si>
  <si>
    <t>AC322</t>
  </si>
  <si>
    <t>AC323</t>
  </si>
  <si>
    <t>AC324</t>
  </si>
  <si>
    <t>AC325</t>
  </si>
  <si>
    <t>AC326</t>
  </si>
  <si>
    <t>AC327</t>
  </si>
  <si>
    <t>AC328</t>
  </si>
  <si>
    <t>AC330</t>
  </si>
  <si>
    <t>AC334</t>
  </si>
  <si>
    <t>AC335</t>
  </si>
  <si>
    <t>AC337</t>
  </si>
  <si>
    <t>AC338</t>
  </si>
  <si>
    <t>AC341</t>
  </si>
  <si>
    <t>AC342</t>
  </si>
  <si>
    <t>AC373</t>
  </si>
  <si>
    <t>AC374</t>
  </si>
  <si>
    <t>AC400</t>
  </si>
  <si>
    <t>AC405</t>
  </si>
  <si>
    <t>AC406</t>
  </si>
  <si>
    <t>AC407</t>
  </si>
  <si>
    <t>AC408</t>
  </si>
  <si>
    <t>AC409</t>
  </si>
  <si>
    <t>AC410</t>
  </si>
  <si>
    <t>AC411</t>
  </si>
  <si>
    <t>Siyabonga Raiseman Shezi</t>
  </si>
  <si>
    <t>James Gumede</t>
  </si>
  <si>
    <t>Khayelihle Carlos Getyeza</t>
  </si>
  <si>
    <t>William Doctor Thwala</t>
  </si>
  <si>
    <t>Sthembiso Ndlovu</t>
  </si>
  <si>
    <t>Lindokuhle Sokhela</t>
  </si>
  <si>
    <t>Sipho Ngcobo</t>
  </si>
  <si>
    <t>Sibiya</t>
  </si>
  <si>
    <t>Nduduzo Ndwandwe</t>
  </si>
  <si>
    <t>Baker Cele</t>
  </si>
  <si>
    <t>Michael Mbambo</t>
  </si>
  <si>
    <t>Percival Ndumiso Cele</t>
  </si>
  <si>
    <t>Patrick Gumbi</t>
  </si>
  <si>
    <t>Solonus Sifiso Zondi</t>
  </si>
  <si>
    <t>Frank Hlongwane</t>
  </si>
  <si>
    <t>Ayanda Malevu</t>
  </si>
  <si>
    <t>Nhlanhla Mokoena</t>
  </si>
  <si>
    <t>Zwakhele Nzimande</t>
  </si>
  <si>
    <t>Muzi Mkhize</t>
  </si>
  <si>
    <t>Mr Nkosinathi Zukile Tikisa</t>
  </si>
  <si>
    <t>Mr Reginald Bhekamakhize Mkhize</t>
  </si>
  <si>
    <t>AC363</t>
  </si>
  <si>
    <t>AC364</t>
  </si>
  <si>
    <t>AC365</t>
  </si>
  <si>
    <t>AC366</t>
  </si>
  <si>
    <t>AC367</t>
  </si>
  <si>
    <t>AC375</t>
  </si>
  <si>
    <t>AC376</t>
  </si>
  <si>
    <t>AC377</t>
  </si>
  <si>
    <t>AC378</t>
  </si>
  <si>
    <t>AC380</t>
  </si>
  <si>
    <t>AC383</t>
  </si>
  <si>
    <t>AC384</t>
  </si>
  <si>
    <t>AC386</t>
  </si>
  <si>
    <t>AC387</t>
  </si>
  <si>
    <t>AC388</t>
  </si>
  <si>
    <t>AC389</t>
  </si>
  <si>
    <t>AC390</t>
  </si>
  <si>
    <t>AC391</t>
  </si>
  <si>
    <t>AC392</t>
  </si>
  <si>
    <t>AC394</t>
  </si>
  <si>
    <t>AC395</t>
  </si>
  <si>
    <t>February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</si>
  <si>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</si>
  <si>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</si>
  <si>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</si>
  <si>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</si>
  <si>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</si>
  <si>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</si>
  <si>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</si>
  <si>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</si>
  <si>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</si>
  <si>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</si>
  <si>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</si>
  <si>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DRIVER NAME LONGHAUL</t>
  </si>
  <si>
    <t>DRIVER NAME LOCAL</t>
  </si>
  <si>
    <t>Speeding Occurences</t>
  </si>
  <si>
    <t>Shift hours worked</t>
  </si>
  <si>
    <t>Accidents/Crashes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</si>
  <si>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</si>
  <si>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</si>
  <si>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</si>
  <si>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</si>
  <si>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</si>
  <si>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</si>
  <si>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</si>
  <si>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</si>
  <si>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</si>
  <si>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</si>
  <si>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</si>
  <si>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</si>
  <si>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Distance Covered Longhaul</t>
  </si>
  <si>
    <t>Total Distance Covered Local</t>
  </si>
  <si>
    <t>Total Distance</t>
  </si>
  <si>
    <t>12085:00:00</t>
  </si>
  <si>
    <t>10287:00:00</t>
  </si>
  <si>
    <t>13396:00:00</t>
  </si>
  <si>
    <t>10930:00:00</t>
  </si>
  <si>
    <t>11170:00:00</t>
  </si>
  <si>
    <t>12223:00:00</t>
  </si>
  <si>
    <t>14671:00:00</t>
  </si>
  <si>
    <t>15415:00:00</t>
  </si>
  <si>
    <t>16748:00:00</t>
  </si>
  <si>
    <t>15999:00:00</t>
  </si>
  <si>
    <t>17107:00:00</t>
  </si>
  <si>
    <t>10053:00:00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</si>
</sst>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h:mm:ss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2" xfId="0" applyFont="1" applyFill="1" applyBorder="1" applyAlignment="1">
      <alignment horizontal="center"/>
    </xf>
    <xf numFmtId="0" fontId="1" fillId="0" borderId="1" xfId="0" applyFont="1" applyBorder="1"/>
    <xf numFmtId="0" fontId="0" fillId="0" borderId="2" xfId="0" applyBorder="1"/>
    <xf numFmtId="0" fontId="0" fillId="3" borderId="1" xfId="0" applyFill="1" applyBorder="1"/>
    <xf numFmtId="0" fontId="0" fillId="4" borderId="1" xfId="0" applyFill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/>
    <xf numFmtId="0" fontId="1" fillId="5" borderId="1" xfId="0" applyFont="1" applyFill="1" applyBorder="1"/>
    <xf numFmtId="165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Quantitave</a:t>
            </a:r>
            <a:r>
              <a:rPr lang="en-ZA" baseline="0"/>
              <a:t> Data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Speeding Occurences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1-42B9-AB9B-979E507EE17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Shift hours worked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 formatCode="hh:mm:ss;@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81-42B9-AB9B-979E507EE17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Accidents/Crashes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81-42B9-AB9B-979E507EE17E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Total Distance Covered Longhaul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671330</c:v>
                </c:pt>
                <c:pt idx="1">
                  <c:v>586344</c:v>
                </c:pt>
                <c:pt idx="2">
                  <c:v>710369</c:v>
                </c:pt>
                <c:pt idx="3">
                  <c:v>835590</c:v>
                </c:pt>
                <c:pt idx="4">
                  <c:v>631983</c:v>
                </c:pt>
                <c:pt idx="5">
                  <c:v>693451</c:v>
                </c:pt>
                <c:pt idx="6">
                  <c:v>785219</c:v>
                </c:pt>
                <c:pt idx="7">
                  <c:v>835590</c:v>
                </c:pt>
                <c:pt idx="8">
                  <c:v>831169</c:v>
                </c:pt>
                <c:pt idx="9">
                  <c:v>797752</c:v>
                </c:pt>
                <c:pt idx="10">
                  <c:v>853065</c:v>
                </c:pt>
                <c:pt idx="11">
                  <c:v>513865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81-42B9-AB9B-979E507EE17E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Total Distance Covered Local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Sheet1!$F$2:$F$13</c:f>
              <c:numCache>
                <c:formatCode>General</c:formatCode>
                <c:ptCount val="12"/>
                <c:pt idx="0">
                  <c:v>134187</c:v>
                </c:pt>
                <c:pt idx="1">
                  <c:v>116579</c:v>
                </c:pt>
                <c:pt idx="2">
                  <c:v>171016</c:v>
                </c:pt>
                <c:pt idx="3">
                  <c:v>108678</c:v>
                </c:pt>
                <c:pt idx="4">
                  <c:v>98812</c:v>
                </c:pt>
                <c:pt idx="5">
                  <c:v>117274</c:v>
                </c:pt>
                <c:pt idx="6">
                  <c:v>184989</c:v>
                </c:pt>
                <c:pt idx="7">
                  <c:v>196528</c:v>
                </c:pt>
                <c:pt idx="8">
                  <c:v>286081</c:v>
                </c:pt>
                <c:pt idx="9">
                  <c:v>261201</c:v>
                </c:pt>
                <c:pt idx="10">
                  <c:v>287199</c:v>
                </c:pt>
                <c:pt idx="11">
                  <c:v>152781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81-42B9-AB9B-979E507EE17E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Total Distance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Sheet1!$G$2:$G$13</c:f>
              <c:numCache>
                <c:formatCode>General</c:formatCode>
                <c:ptCount val="12"/>
                <c:pt idx="0">
                  <c:v>805517</c:v>
                </c:pt>
                <c:pt idx="1">
                  <c:v>702923</c:v>
                </c:pt>
                <c:pt idx="2">
                  <c:v>881385</c:v>
                </c:pt>
                <c:pt idx="3">
                  <c:v>944268</c:v>
                </c:pt>
                <c:pt idx="4">
                  <c:v>730795</c:v>
                </c:pt>
                <c:pt idx="5">
                  <c:v>810725</c:v>
                </c:pt>
                <c:pt idx="6">
                  <c:v>970208</c:v>
                </c:pt>
                <c:pt idx="7">
                  <c:v>1032118</c:v>
                </c:pt>
                <c:pt idx="8">
                  <c:v>1117250</c:v>
                </c:pt>
                <c:pt idx="9">
                  <c:v>1058953</c:v>
                </c:pt>
                <c:pt idx="10">
                  <c:v>1140264</c:v>
                </c:pt>
                <c:pt idx="11">
                  <c:v>666646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81-42B9-AB9B-979E507EE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5963807"/>
        <c:axId val="2045960447"/>
      </c:barChart>
      <c:catAx>
        <c:axId val="20459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960447"/>
        <c:crosses val="autoZero"/>
        <c:auto val="1"/>
        <c:lblAlgn val="ctr"/>
        <c:lblOffset val="100"/>
        <c:noMultiLvlLbl val="0"/>
      </c:catAx>
      <c:valAx>
        <c:axId val="204596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96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15</xdr:row>
      <xdr:rowOff>14286</xdr:rowOff>
    </xdr:from>
    <xdr:to>
      <xdr:col>4</xdr:col>
      <xdr:colOff>1609724</xdr:colOff>
      <xdr:row>32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F1D9CC-5EC7-0616-8FDA-16D21771C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arey Gobind" id="{26EE06E6-0F3D-48CF-A2A2-80DF1AE1107D}" userId="S::Carey.Gobind@autocarriers.co.za::7de33104-bda1-416a-896f-67fc93713d3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61" dT="2026-02-03T13:19:05.18" personId="{26EE06E6-0F3D-48CF-A2A2-80DF1AE1107D}" id="{9A845ABC-60DA-4AFB-AE17-3C086257080B}">
    <text>Nicholas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AED4-77EC-491D-8041-EFA96557FAA7}">
  <dimension ref="A1:N66"/>
  <sheetViews>
    <sheetView workbookViewId="0">
      <selection activeCell="H46" sqref="H46:H66"/>
    </sheetView>
  </sheetViews>
  <sheetFormatPr defaultRowHeight="15" x14ac:dyDescent="0.25"/>
  <cols>
    <col min="1" max="1" width="36.28515625" customWidth="1"/>
    <col min="11" max="11" width="12.5703125" customWidth="1"/>
    <col min="13" max="13" width="13.5703125" customWidth="1"/>
  </cols>
  <sheetData>
    <row r="1" spans="1:14" x14ac:dyDescent="0.25">
      <c r="A1" s="3" t="s">
        <v>136</v>
      </c>
      <c r="B1" s="1"/>
      <c r="C1" s="3" t="s">
        <v>125</v>
      </c>
      <c r="D1" s="3" t="s">
        <v>124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</row>
    <row r="2" spans="1:14" x14ac:dyDescent="0.25">
      <c r="A2" s="1" t="s">
        <v>0</v>
      </c>
      <c r="B2" s="2" t="s">
        <v>41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 t="s">
        <v>1</v>
      </c>
      <c r="B3" s="2" t="s">
        <v>42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 t="s">
        <v>2</v>
      </c>
      <c r="B4" s="2" t="s">
        <v>43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 t="s">
        <v>3</v>
      </c>
      <c r="B5" s="2" t="s">
        <v>44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 t="s">
        <v>4</v>
      </c>
      <c r="B6" s="2" t="s">
        <v>45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 t="s">
        <v>5</v>
      </c>
      <c r="B7" s="2" t="s">
        <v>46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 t="s">
        <v>6</v>
      </c>
      <c r="B8" s="2" t="s">
        <v>47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 t="s">
        <v>7</v>
      </c>
      <c r="B9" s="2" t="s">
        <v>48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 t="s">
        <v>8</v>
      </c>
      <c r="B10" s="2" t="s">
        <v>49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 t="s">
        <v>9</v>
      </c>
      <c r="B11" s="2" t="s">
        <v>50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 t="s">
        <v>10</v>
      </c>
      <c r="B12" s="2" t="s">
        <v>51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 t="s">
        <v>11</v>
      </c>
      <c r="B13" s="2" t="s">
        <v>52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 t="s">
        <v>12</v>
      </c>
      <c r="B14" s="2" t="s">
        <v>53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 t="s">
        <v>13</v>
      </c>
      <c r="B15" s="2" t="s">
        <v>54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 t="s">
        <v>14</v>
      </c>
      <c r="B16" s="2" t="s">
        <v>55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 t="s">
        <v>15</v>
      </c>
      <c r="B17" s="2" t="s">
        <v>56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 t="s">
        <v>16</v>
      </c>
      <c r="B18" s="2" t="s">
        <v>57</v>
      </c>
      <c r="C18" s="5">
        <v>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 t="s">
        <v>17</v>
      </c>
      <c r="B19" s="2" t="s">
        <v>58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 t="s">
        <v>18</v>
      </c>
      <c r="B20" s="2" t="s">
        <v>59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 t="s">
        <v>19</v>
      </c>
      <c r="B21" s="2" t="s">
        <v>60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 t="s">
        <v>20</v>
      </c>
      <c r="B22" s="2" t="s">
        <v>61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 t="s">
        <v>21</v>
      </c>
      <c r="B23" s="2" t="s">
        <v>62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 t="s">
        <v>22</v>
      </c>
      <c r="B24" s="2" t="s">
        <v>63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 t="s">
        <v>23</v>
      </c>
      <c r="B25" s="2" t="s">
        <v>64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 t="s">
        <v>24</v>
      </c>
      <c r="B26" s="2" t="s">
        <v>65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 t="s">
        <v>25</v>
      </c>
      <c r="B27" s="2" t="s">
        <v>66</v>
      </c>
      <c r="C27" s="5">
        <v>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 t="s">
        <v>26</v>
      </c>
      <c r="B28" s="2" t="s">
        <v>67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 t="s">
        <v>27</v>
      </c>
      <c r="B29" s="2" t="s">
        <v>68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 t="s">
        <v>28</v>
      </c>
      <c r="B30" s="2" t="s">
        <v>69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 t="s">
        <v>29</v>
      </c>
      <c r="B31" s="2" t="s">
        <v>70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 t="s">
        <v>30</v>
      </c>
      <c r="B32" s="2" t="s">
        <v>71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 t="s">
        <v>31</v>
      </c>
      <c r="B33" s="2" t="s">
        <v>72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 t="s">
        <v>32</v>
      </c>
      <c r="B34" s="2" t="s">
        <v>73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 t="s">
        <v>33</v>
      </c>
      <c r="B35" s="2" t="s">
        <v>74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 t="s">
        <v>34</v>
      </c>
      <c r="B36" s="2" t="s">
        <v>75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 t="s">
        <v>35</v>
      </c>
      <c r="B37" s="2" t="s">
        <v>76</v>
      </c>
      <c r="C37" s="5">
        <v>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 t="s">
        <v>36</v>
      </c>
      <c r="B38" s="2" t="s">
        <v>77</v>
      </c>
      <c r="C38" s="1"/>
      <c r="D38" s="5">
        <v>1</v>
      </c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 t="s">
        <v>37</v>
      </c>
      <c r="B39" s="2" t="s">
        <v>78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 t="s">
        <v>38</v>
      </c>
      <c r="B40" s="2" t="s">
        <v>79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 t="s">
        <v>39</v>
      </c>
      <c r="B41" s="2" t="s">
        <v>80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 t="s">
        <v>40</v>
      </c>
      <c r="B42" s="2" t="s">
        <v>81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5">
        <v>1</v>
      </c>
      <c r="N42" s="1"/>
    </row>
    <row r="43" spans="1:14" ht="9.75" customHeight="1" x14ac:dyDescent="0.25">
      <c r="A43" s="1"/>
      <c r="B43" s="7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5">
      <c r="C44" s="3" t="s">
        <v>125</v>
      </c>
      <c r="D44" s="3" t="s">
        <v>124</v>
      </c>
      <c r="E44" s="3" t="s">
        <v>126</v>
      </c>
      <c r="F44" s="3" t="s">
        <v>127</v>
      </c>
      <c r="G44" s="3" t="s">
        <v>128</v>
      </c>
      <c r="H44" s="3" t="s">
        <v>129</v>
      </c>
      <c r="I44" s="3" t="s">
        <v>130</v>
      </c>
      <c r="J44" s="3" t="s">
        <v>131</v>
      </c>
      <c r="K44" s="3" t="s">
        <v>132</v>
      </c>
      <c r="L44" s="3" t="s">
        <v>133</v>
      </c>
      <c r="M44" s="3" t="s">
        <v>134</v>
      </c>
      <c r="N44" s="3" t="s">
        <v>135</v>
      </c>
    </row>
    <row r="45" spans="1:14" x14ac:dyDescent="0.25">
      <c r="A45" s="3" t="s">
        <v>137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 t="s">
        <v>82</v>
      </c>
      <c r="B46" s="4" t="s">
        <v>103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 t="s">
        <v>83</v>
      </c>
      <c r="B47" s="4" t="s">
        <v>104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 t="s">
        <v>84</v>
      </c>
      <c r="B48" s="4" t="s">
        <v>105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5">
        <v>1</v>
      </c>
      <c r="N48" s="1"/>
    </row>
    <row r="49" spans="1:14" x14ac:dyDescent="0.25">
      <c r="A49" s="1" t="s">
        <v>85</v>
      </c>
      <c r="B49" s="4" t="s">
        <v>106</v>
      </c>
      <c r="C49" s="1"/>
      <c r="D49" s="1"/>
      <c r="E49" s="1"/>
      <c r="F49" s="1"/>
      <c r="G49" s="1"/>
      <c r="H49" s="5">
        <v>1</v>
      </c>
      <c r="I49" s="5">
        <v>1</v>
      </c>
      <c r="J49" s="1"/>
      <c r="K49" s="1"/>
      <c r="L49" s="1"/>
      <c r="M49" s="1"/>
      <c r="N49" s="1"/>
    </row>
    <row r="50" spans="1:14" x14ac:dyDescent="0.25">
      <c r="A50" s="1" t="s">
        <v>86</v>
      </c>
      <c r="B50" s="4" t="s">
        <v>107</v>
      </c>
      <c r="C50" s="1"/>
      <c r="D50" s="1"/>
      <c r="E50" s="1"/>
      <c r="F50" s="1"/>
      <c r="G50" s="1"/>
      <c r="H50" s="1"/>
      <c r="I50" s="1"/>
      <c r="J50" s="1"/>
      <c r="K50" s="1"/>
      <c r="L50" s="5">
        <v>1</v>
      </c>
      <c r="M50" s="1"/>
      <c r="N50" s="1"/>
    </row>
    <row r="51" spans="1:14" x14ac:dyDescent="0.25">
      <c r="A51" s="1" t="s">
        <v>87</v>
      </c>
      <c r="B51" s="4" t="s">
        <v>108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 t="s">
        <v>88</v>
      </c>
      <c r="B52" s="4" t="s">
        <v>109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1" t="s">
        <v>89</v>
      </c>
      <c r="B53" s="4" t="s">
        <v>110</v>
      </c>
      <c r="C53" s="1"/>
      <c r="D53" s="1"/>
      <c r="E53" s="1"/>
      <c r="F53" s="1"/>
      <c r="G53" s="1"/>
      <c r="H53" s="1"/>
      <c r="I53" s="1"/>
      <c r="J53" s="1"/>
      <c r="K53" s="5">
        <v>1</v>
      </c>
      <c r="L53" s="1"/>
      <c r="M53" s="1"/>
      <c r="N53" s="1"/>
    </row>
    <row r="54" spans="1:14" x14ac:dyDescent="0.25">
      <c r="A54" s="1" t="s">
        <v>90</v>
      </c>
      <c r="B54" s="4" t="s">
        <v>111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 t="s">
        <v>91</v>
      </c>
      <c r="B55" s="4" t="s">
        <v>112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5">
      <c r="A56" s="1" t="s">
        <v>92</v>
      </c>
      <c r="B56" s="4" t="s">
        <v>113</v>
      </c>
      <c r="C56" s="1"/>
      <c r="D56" s="1"/>
      <c r="E56" s="1"/>
      <c r="F56" s="1"/>
      <c r="G56" s="1"/>
      <c r="H56" s="5">
        <v>1</v>
      </c>
      <c r="I56" s="1"/>
      <c r="J56" s="1"/>
      <c r="K56" s="1"/>
      <c r="L56" s="1"/>
      <c r="M56" s="1"/>
      <c r="N56" s="1"/>
    </row>
    <row r="57" spans="1:14" x14ac:dyDescent="0.25">
      <c r="A57" s="1" t="s">
        <v>93</v>
      </c>
      <c r="B57" s="4" t="s">
        <v>114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 t="s">
        <v>94</v>
      </c>
      <c r="B58" s="4" t="s">
        <v>115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 t="s">
        <v>95</v>
      </c>
      <c r="B59" s="4" t="s">
        <v>116</v>
      </c>
      <c r="C59" s="1"/>
      <c r="D59" s="1"/>
      <c r="E59" s="5">
        <v>1</v>
      </c>
      <c r="F59" s="1"/>
      <c r="G59" s="5">
        <v>1</v>
      </c>
      <c r="H59" s="1"/>
      <c r="I59" s="5">
        <v>1</v>
      </c>
      <c r="J59" s="5">
        <v>1</v>
      </c>
      <c r="K59" s="5">
        <v>1</v>
      </c>
      <c r="L59" s="1"/>
      <c r="M59" s="5">
        <v>1</v>
      </c>
      <c r="N59" s="1"/>
    </row>
    <row r="60" spans="1:14" x14ac:dyDescent="0.25">
      <c r="A60" s="1" t="s">
        <v>96</v>
      </c>
      <c r="B60" s="4" t="s">
        <v>117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 t="s">
        <v>97</v>
      </c>
      <c r="B61" s="4" t="s">
        <v>118</v>
      </c>
      <c r="C61" s="1"/>
      <c r="D61" s="1"/>
      <c r="E61" s="1"/>
      <c r="F61" s="1"/>
      <c r="G61" s="1"/>
      <c r="H61" s="1"/>
      <c r="I61" s="1"/>
      <c r="J61" s="5">
        <v>1</v>
      </c>
      <c r="K61" s="1"/>
      <c r="L61" s="5">
        <v>1</v>
      </c>
      <c r="M61" s="1"/>
      <c r="N61" s="1"/>
    </row>
    <row r="62" spans="1:14" x14ac:dyDescent="0.25">
      <c r="A62" s="1" t="s">
        <v>98</v>
      </c>
      <c r="B62" s="4" t="s">
        <v>119</v>
      </c>
      <c r="C62" s="1"/>
      <c r="D62" s="1"/>
      <c r="E62" s="1"/>
      <c r="F62" s="1"/>
      <c r="G62" s="1"/>
      <c r="H62" s="5">
        <v>1</v>
      </c>
      <c r="I62" s="1"/>
      <c r="J62" s="1"/>
      <c r="K62" s="1"/>
      <c r="L62" s="1"/>
      <c r="M62" s="1"/>
      <c r="N62" s="1"/>
    </row>
    <row r="63" spans="1:14" x14ac:dyDescent="0.25">
      <c r="A63" s="1" t="s">
        <v>99</v>
      </c>
      <c r="B63" s="4" t="s">
        <v>120</v>
      </c>
      <c r="C63" s="1"/>
      <c r="D63" s="1"/>
      <c r="E63" s="1"/>
      <c r="F63" s="1"/>
      <c r="G63" s="1"/>
      <c r="H63" s="1"/>
      <c r="I63" s="1"/>
      <c r="J63" s="1"/>
      <c r="K63" s="5">
        <v>1</v>
      </c>
      <c r="L63" s="1"/>
      <c r="M63" s="1"/>
      <c r="N63" s="1"/>
    </row>
    <row r="64" spans="1:14" x14ac:dyDescent="0.25">
      <c r="A64" s="1" t="s">
        <v>100</v>
      </c>
      <c r="B64" s="4" t="s">
        <v>121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1" t="s">
        <v>101</v>
      </c>
      <c r="B65" s="4" t="s">
        <v>122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 t="s">
        <v>102</v>
      </c>
      <c r="B66" s="4" t="s">
        <v>123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</sheetData>
  <phoneticPr fontId="3" type="noConversion"/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5382F-6076-46BA-A99D-7FC292045FD2}">
  <dimension ref="A1:G13"/>
  <sheetViews>
    <sheetView tabSelected="1" workbookViewId="0">
      <selection sqref="A1:XFD1048576"/>
    </sheetView>
  </sheetViews>
  <sheetFormatPr defaultRowHeight="15" x14ac:dyDescent="0.25"/>
  <cols>
    <col min="1" max="1" width="12.5703125" customWidth="1"/>
    <col min="2" max="2" width="21.7109375" customWidth="1"/>
    <col min="3" max="3" width="20.85546875" customWidth="1"/>
    <col min="4" max="4" width="20" customWidth="1"/>
    <col min="5" max="5" width="35.140625" customWidth="1"/>
    <col min="6" max="6" width="36.85546875" customWidth="1"/>
    <col min="7" max="7" width="16.7109375" customWidth="1"/>
  </cols>
  <sheetData>
    <row r="1" spans="1:7" x14ac:dyDescent="0.25">
      <c r="A1" s="10"/>
      <c r="B1" s="9" t="s">
        <v>138</v>
      </c>
      <c r="C1" s="9" t="s">
        <v>139</v>
      </c>
      <c r="D1" s="9" t="s">
        <v>140</v>
      </c>
      <c r="E1" s="8" t="s">
        <v>153</v>
      </c>
      <c r="F1" s="8" t="s">
        <v>154</v>
      </c>
      <c r="G1" s="9" t="s">
        <v>155</v>
      </c>
    </row>
    <row r="2" spans="1:7" x14ac:dyDescent="0.25">
      <c r="A2" s="11" t="s">
        <v>141</v>
      </c>
      <c r="B2" s="10">
        <v>3</v>
      </c>
      <c r="C2" s="12" t="s">
        <v>156</v>
      </c>
      <c r="D2" s="10">
        <v>4</v>
      </c>
      <c r="E2" s="1">
        <v>671330</v>
      </c>
      <c r="F2" s="1">
        <v>134187</v>
      </c>
      <c r="G2" s="10">
        <f>SUM(E2,F2)</f>
        <v>805517</v>
      </c>
    </row>
    <row r="3" spans="1:7" x14ac:dyDescent="0.25">
      <c r="A3" s="11" t="s">
        <v>142</v>
      </c>
      <c r="B3" s="10">
        <v>1</v>
      </c>
      <c r="C3" s="10" t="s">
        <v>157</v>
      </c>
      <c r="D3" s="10">
        <v>1</v>
      </c>
      <c r="E3" s="1">
        <v>586344</v>
      </c>
      <c r="F3" s="1">
        <v>116579</v>
      </c>
      <c r="G3" s="10">
        <f t="shared" ref="G3:G13" si="0">SUM(E3,F3)</f>
        <v>702923</v>
      </c>
    </row>
    <row r="4" spans="1:7" x14ac:dyDescent="0.25">
      <c r="A4" s="11" t="s">
        <v>143</v>
      </c>
      <c r="B4" s="10">
        <v>1</v>
      </c>
      <c r="C4" s="10" t="s">
        <v>158</v>
      </c>
      <c r="D4" s="10">
        <v>0</v>
      </c>
      <c r="E4" s="1">
        <v>710369</v>
      </c>
      <c r="F4" s="1">
        <v>171016</v>
      </c>
      <c r="G4" s="10">
        <f t="shared" si="0"/>
        <v>881385</v>
      </c>
    </row>
    <row r="5" spans="1:7" x14ac:dyDescent="0.25">
      <c r="A5" s="11" t="s">
        <v>144</v>
      </c>
      <c r="B5" s="10">
        <v>0</v>
      </c>
      <c r="C5" s="10" t="s">
        <v>159</v>
      </c>
      <c r="D5" s="10">
        <v>1</v>
      </c>
      <c r="E5" s="1">
        <v>835590</v>
      </c>
      <c r="F5" s="1">
        <v>108678</v>
      </c>
      <c r="G5" s="10">
        <f t="shared" si="0"/>
        <v>944268</v>
      </c>
    </row>
    <row r="6" spans="1:7" x14ac:dyDescent="0.25">
      <c r="A6" s="11" t="s">
        <v>145</v>
      </c>
      <c r="B6" s="10">
        <v>1</v>
      </c>
      <c r="C6" s="10" t="s">
        <v>160</v>
      </c>
      <c r="D6" s="10">
        <v>3</v>
      </c>
      <c r="E6" s="1">
        <v>631983</v>
      </c>
      <c r="F6" s="1">
        <v>98812</v>
      </c>
      <c r="G6" s="10">
        <f t="shared" si="0"/>
        <v>730795</v>
      </c>
    </row>
    <row r="7" spans="1:7" x14ac:dyDescent="0.25">
      <c r="A7" s="11" t="s">
        <v>146</v>
      </c>
      <c r="B7" s="10">
        <v>3</v>
      </c>
      <c r="C7" s="10" t="s">
        <v>161</v>
      </c>
      <c r="D7" s="10">
        <v>2</v>
      </c>
      <c r="E7" s="1">
        <v>693451</v>
      </c>
      <c r="F7" s="1">
        <v>117274</v>
      </c>
      <c r="G7" s="10">
        <f t="shared" si="0"/>
        <v>810725</v>
      </c>
    </row>
    <row r="8" spans="1:7" x14ac:dyDescent="0.25">
      <c r="A8" s="11" t="s">
        <v>147</v>
      </c>
      <c r="B8" s="10">
        <v>2</v>
      </c>
      <c r="C8" s="10" t="s">
        <v>162</v>
      </c>
      <c r="D8" s="10">
        <v>4</v>
      </c>
      <c r="E8" s="1">
        <v>785219</v>
      </c>
      <c r="F8" s="1">
        <v>184989</v>
      </c>
      <c r="G8" s="10">
        <f t="shared" si="0"/>
        <v>970208</v>
      </c>
    </row>
    <row r="9" spans="1:7" x14ac:dyDescent="0.25">
      <c r="A9" s="11" t="s">
        <v>148</v>
      </c>
      <c r="B9" s="10">
        <v>2</v>
      </c>
      <c r="C9" s="10" t="s">
        <v>163</v>
      </c>
      <c r="D9" s="10">
        <v>2</v>
      </c>
      <c r="E9" s="1">
        <v>835590</v>
      </c>
      <c r="F9" s="1">
        <v>196528</v>
      </c>
      <c r="G9" s="10">
        <f t="shared" si="0"/>
        <v>1032118</v>
      </c>
    </row>
    <row r="10" spans="1:7" x14ac:dyDescent="0.25">
      <c r="A10" s="11" t="s">
        <v>149</v>
      </c>
      <c r="B10" s="10">
        <v>3</v>
      </c>
      <c r="C10" s="10" t="s">
        <v>164</v>
      </c>
      <c r="D10" s="10">
        <v>2</v>
      </c>
      <c r="E10" s="1">
        <v>831169</v>
      </c>
      <c r="F10" s="1">
        <v>286081</v>
      </c>
      <c r="G10" s="10">
        <f t="shared" si="0"/>
        <v>1117250</v>
      </c>
    </row>
    <row r="11" spans="1:7" x14ac:dyDescent="0.25">
      <c r="A11" s="11" t="s">
        <v>150</v>
      </c>
      <c r="B11" s="10">
        <v>2</v>
      </c>
      <c r="C11" s="10" t="s">
        <v>165</v>
      </c>
      <c r="D11" s="10">
        <v>4</v>
      </c>
      <c r="E11" s="1">
        <v>797752</v>
      </c>
      <c r="F11" s="1">
        <v>261201</v>
      </c>
      <c r="G11" s="10">
        <f t="shared" si="0"/>
        <v>1058953</v>
      </c>
    </row>
    <row r="12" spans="1:7" x14ac:dyDescent="0.25">
      <c r="A12" s="11" t="s">
        <v>151</v>
      </c>
      <c r="B12" s="10">
        <v>3</v>
      </c>
      <c r="C12" s="10" t="s">
        <v>166</v>
      </c>
      <c r="D12" s="10">
        <v>1</v>
      </c>
      <c r="E12" s="1">
        <v>853065</v>
      </c>
      <c r="F12" s="1">
        <v>287199</v>
      </c>
      <c r="G12" s="10">
        <f t="shared" si="0"/>
        <v>1140264</v>
      </c>
    </row>
    <row r="13" spans="1:7" x14ac:dyDescent="0.25">
      <c r="A13" s="11" t="s">
        <v>152</v>
      </c>
      <c r="B13" s="10">
        <v>0</v>
      </c>
      <c r="C13" s="10" t="s">
        <v>167</v>
      </c>
      <c r="D13" s="10">
        <v>2</v>
      </c>
      <c r="E13" s="1">
        <v>513865</v>
      </c>
      <c r="F13" s="1">
        <v>152781</v>
      </c>
      <c r="G13" s="10">
        <f t="shared" si="0"/>
        <v>666646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 Gobind</dc:creator>
  <cp:lastModifiedBy>Carey Gobind</cp:lastModifiedBy>
  <cp:lastPrinted>2026-02-03T13:21:07Z</cp:lastPrinted>
  <dcterms:created xsi:type="dcterms:W3CDTF">2026-02-03T12:03:03Z</dcterms:created>
  <dcterms:modified xsi:type="dcterms:W3CDTF">2026-02-13T13:32:26Z</dcterms:modified>
</cp:coreProperties>
</file>