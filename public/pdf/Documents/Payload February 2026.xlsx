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picorp-my.sharepoint.com/personal/pamela_mchunu_autocarriers_co_za/Documents/Desktop/Payload &amp; Despatches/"/>
    </mc:Choice>
  </mc:AlternateContent>
  <xr:revisionPtr revIDLastSave="3955" documentId="8_{CAB2C92F-2B43-49AD-8C49-653748A5F6F8}" xr6:coauthVersionLast="47" xr6:coauthVersionMax="47" xr10:uidLastSave="{50159966-CBBA-4FC5-9E83-F4762E0A9078}"/>
  <bookViews>
    <workbookView xWindow="28680" yWindow="-120" windowWidth="29040" windowHeight="15720" firstSheet="48" activeTab="53" xr2:uid="{C2FA024C-28C2-429A-807F-CDFC089EB590}"/>
  </bookViews>
  <sheets>
    <sheet name="Oct 2023" sheetId="1" r:id="rId1"/>
    <sheet name="Nov 2023" sheetId="3" r:id="rId2"/>
    <sheet name="Nov 23 Sum" sheetId="2" r:id="rId3"/>
    <sheet name="Dec 2023" sheetId="4" r:id="rId4"/>
    <sheet name="Dec 23 Sum" sheetId="5" r:id="rId5"/>
    <sheet name="Jan 2024" sheetId="6" r:id="rId6"/>
    <sheet name="Jan 24 Sum" sheetId="7" r:id="rId7"/>
    <sheet name="Feb 2024" sheetId="8" r:id="rId8"/>
    <sheet name="Feb 24 Sum" sheetId="9" r:id="rId9"/>
    <sheet name="Mar 2024" sheetId="10" r:id="rId10"/>
    <sheet name="Mar 24 Sum" sheetId="11" r:id="rId11"/>
    <sheet name="April 2024" sheetId="12" r:id="rId12"/>
    <sheet name="April 24 Sum" sheetId="13" r:id="rId13"/>
    <sheet name="May 2024" sheetId="14" r:id="rId14"/>
    <sheet name="May 24 Sum" sheetId="15" r:id="rId15"/>
    <sheet name="June 2024" sheetId="16" r:id="rId16"/>
    <sheet name="June 24 Sum" sheetId="17" r:id="rId17"/>
    <sheet name="July 2024" sheetId="18" r:id="rId18"/>
    <sheet name="July 24 Sum" sheetId="19" r:id="rId19"/>
    <sheet name="August 2024" sheetId="20" r:id="rId20"/>
    <sheet name="August 24 Sum" sheetId="21" r:id="rId21"/>
    <sheet name="September 24" sheetId="22" r:id="rId22"/>
    <sheet name="September 24 Sum" sheetId="23" r:id="rId23"/>
    <sheet name="November 2024" sheetId="24" r:id="rId24"/>
    <sheet name="November 24 Sum" sheetId="25" r:id="rId25"/>
    <sheet name="December 2024" sheetId="26" r:id="rId26"/>
    <sheet name="December 24 Sum" sheetId="27" r:id="rId27"/>
    <sheet name="January 2025" sheetId="28" r:id="rId28"/>
    <sheet name="Jan 25 Sum" sheetId="29" r:id="rId29"/>
    <sheet name="February 2025" sheetId="30" r:id="rId30"/>
    <sheet name="Feb 25 Sum" sheetId="32" r:id="rId31"/>
    <sheet name="March 2025" sheetId="34" r:id="rId32"/>
    <sheet name="Mar 25 Sum" sheetId="35" r:id="rId33"/>
    <sheet name="April 2025" sheetId="36" r:id="rId34"/>
    <sheet name="April 25 Sum" sheetId="37" r:id="rId35"/>
    <sheet name="May 2025" sheetId="38" r:id="rId36"/>
    <sheet name="May 25 Sum" sheetId="39" r:id="rId37"/>
    <sheet name="June25" sheetId="42" r:id="rId38"/>
    <sheet name="June 25 Sum" sheetId="44" r:id="rId39"/>
    <sheet name="July 2025" sheetId="45" r:id="rId40"/>
    <sheet name="July 25 Sum" sheetId="46" r:id="rId41"/>
    <sheet name="August 2025" sheetId="47" r:id="rId42"/>
    <sheet name="Aug 25 Sum" sheetId="48" r:id="rId43"/>
    <sheet name="September 2025" sheetId="49" r:id="rId44"/>
    <sheet name="Sept 25 Sum" sheetId="50" r:id="rId45"/>
    <sheet name="October 2025" sheetId="51" r:id="rId46"/>
    <sheet name="Oct 25 Sum" sheetId="52" r:id="rId47"/>
    <sheet name="November 2025" sheetId="53" r:id="rId48"/>
    <sheet name="Nov 25 Sum" sheetId="54" r:id="rId49"/>
    <sheet name="December 2025" sheetId="55" r:id="rId50"/>
    <sheet name="Dec 25 Sum " sheetId="56" r:id="rId51"/>
    <sheet name="January 2026" sheetId="57" r:id="rId52"/>
    <sheet name="Jan 26 Sum " sheetId="58" r:id="rId53"/>
    <sheet name="February 2026" sheetId="59" r:id="rId54"/>
    <sheet name="Feb 26 Sum " sheetId="60" r:id="rId55"/>
  </sheets>
  <externalReferences>
    <externalReference r:id="rId5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60" l="1"/>
  <c r="CA22" i="59"/>
  <c r="CA23" i="59"/>
  <c r="CA24" i="59"/>
  <c r="CA25" i="59"/>
  <c r="CA26" i="59"/>
  <c r="CA27" i="59"/>
  <c r="CA28" i="59"/>
  <c r="CA29" i="59"/>
  <c r="CA30" i="59"/>
  <c r="CA31" i="59"/>
  <c r="CA32" i="59"/>
  <c r="CA33" i="59"/>
  <c r="CA34" i="59"/>
  <c r="CA35" i="59"/>
  <c r="CA21" i="59"/>
  <c r="CA20" i="59"/>
  <c r="CA19" i="59"/>
  <c r="CA18" i="59"/>
  <c r="CA17" i="59"/>
  <c r="CA16" i="59"/>
  <c r="CA15" i="59"/>
  <c r="CA14" i="59"/>
  <c r="CA13" i="59"/>
  <c r="CA12" i="59"/>
  <c r="CA11" i="59"/>
  <c r="CA10" i="59"/>
  <c r="CA9" i="59"/>
  <c r="CA8" i="59"/>
  <c r="CA7" i="59"/>
  <c r="CA6" i="59"/>
  <c r="CA5" i="59"/>
  <c r="BZ36" i="59"/>
  <c r="K17" i="60" s="1"/>
  <c r="BY36" i="59"/>
  <c r="CB6" i="59"/>
  <c r="CB7" i="59"/>
  <c r="CB8" i="59"/>
  <c r="CB9" i="59"/>
  <c r="CB10" i="59"/>
  <c r="CB11" i="59"/>
  <c r="CB12" i="59"/>
  <c r="CB13" i="59"/>
  <c r="CB14" i="59"/>
  <c r="CB15" i="59"/>
  <c r="CB16" i="59"/>
  <c r="CB17" i="59"/>
  <c r="CB18" i="59"/>
  <c r="CB19" i="59"/>
  <c r="CB20" i="59"/>
  <c r="CB21" i="59"/>
  <c r="CB5" i="59"/>
  <c r="CC21" i="59"/>
  <c r="CC6" i="59"/>
  <c r="CC7" i="59"/>
  <c r="CC8" i="59"/>
  <c r="CC9" i="59"/>
  <c r="CC10" i="59"/>
  <c r="CC11" i="59"/>
  <c r="CC12" i="59"/>
  <c r="CC13" i="59"/>
  <c r="CC14" i="59"/>
  <c r="CC15" i="59"/>
  <c r="CC16" i="59"/>
  <c r="CC17" i="59"/>
  <c r="CC18" i="59"/>
  <c r="CC19" i="59"/>
  <c r="CC20" i="59"/>
  <c r="CB22" i="59"/>
  <c r="CC22" i="59"/>
  <c r="CB23" i="59"/>
  <c r="CC23" i="59"/>
  <c r="CB24" i="59"/>
  <c r="CC24" i="59"/>
  <c r="CB25" i="59"/>
  <c r="CC25" i="59"/>
  <c r="CB26" i="59"/>
  <c r="CC26" i="59"/>
  <c r="CB27" i="59"/>
  <c r="CC27" i="59"/>
  <c r="CB28" i="59"/>
  <c r="CC28" i="59"/>
  <c r="CB29" i="59"/>
  <c r="CC29" i="59"/>
  <c r="CB30" i="59"/>
  <c r="CC30" i="59"/>
  <c r="CB31" i="59"/>
  <c r="CC31" i="59"/>
  <c r="CB32" i="59"/>
  <c r="CC32" i="59"/>
  <c r="CB33" i="59"/>
  <c r="CC33" i="59"/>
  <c r="CB34" i="59"/>
  <c r="CC34" i="59"/>
  <c r="CB35" i="59"/>
  <c r="CC35" i="59"/>
  <c r="CC5" i="59"/>
  <c r="CA36" i="59" l="1"/>
  <c r="BL5" i="59"/>
  <c r="BL6" i="59"/>
  <c r="BL7" i="59"/>
  <c r="BL8" i="59"/>
  <c r="BL9" i="59"/>
  <c r="BL10" i="59"/>
  <c r="BL11" i="59"/>
  <c r="BL12" i="59"/>
  <c r="BL13" i="59"/>
  <c r="BL14" i="59"/>
  <c r="BL15" i="59"/>
  <c r="BL16" i="59"/>
  <c r="BL17" i="59"/>
  <c r="BL18" i="59"/>
  <c r="BL19" i="59"/>
  <c r="BL20" i="59"/>
  <c r="BL21" i="59"/>
  <c r="BL22" i="59"/>
  <c r="BL23" i="59"/>
  <c r="BL24" i="59"/>
  <c r="BL25" i="59"/>
  <c r="BL26" i="59"/>
  <c r="BL27" i="59"/>
  <c r="BL28" i="59"/>
  <c r="BL29" i="59"/>
  <c r="BL30" i="59"/>
  <c r="BL31" i="59"/>
  <c r="BL32" i="59"/>
  <c r="BL33" i="59"/>
  <c r="BL34" i="59"/>
  <c r="BL35" i="59"/>
  <c r="BJ36" i="59"/>
  <c r="H16" i="60" s="1"/>
  <c r="BK36" i="59"/>
  <c r="H17" i="60" s="1"/>
  <c r="B14" i="60"/>
  <c r="K18" i="60"/>
  <c r="N12" i="60"/>
  <c r="N9" i="60"/>
  <c r="BQ8" i="60"/>
  <c r="BW36" i="59"/>
  <c r="BV36" i="59"/>
  <c r="K13" i="60" s="1"/>
  <c r="BT36" i="59"/>
  <c r="K11" i="60" s="1"/>
  <c r="BS36" i="59"/>
  <c r="K10" i="60" s="1"/>
  <c r="BQ36" i="59"/>
  <c r="BR36" i="59" s="1"/>
  <c r="BP36" i="59"/>
  <c r="K7" i="60" s="1"/>
  <c r="BN36" i="59"/>
  <c r="K5" i="60" s="1"/>
  <c r="BM36" i="59"/>
  <c r="K4" i="60" s="1"/>
  <c r="BH36" i="59"/>
  <c r="BG36" i="59"/>
  <c r="H13" i="60" s="1"/>
  <c r="BE36" i="59"/>
  <c r="BD36" i="59"/>
  <c r="BB36" i="59"/>
  <c r="BA36" i="59"/>
  <c r="H10" i="60" s="1"/>
  <c r="AY36" i="59"/>
  <c r="H8" i="60" s="1"/>
  <c r="AX36" i="59"/>
  <c r="H7" i="60" s="1"/>
  <c r="H9" i="60" s="1"/>
  <c r="AV36" i="59"/>
  <c r="AW36" i="59" s="1"/>
  <c r="AU36" i="59"/>
  <c r="H4" i="60" s="1"/>
  <c r="AS36" i="59"/>
  <c r="AR36" i="59"/>
  <c r="E28" i="60" s="1"/>
  <c r="AP36" i="59"/>
  <c r="E26" i="60" s="1"/>
  <c r="AO36" i="59"/>
  <c r="E25" i="60" s="1"/>
  <c r="AM36" i="59"/>
  <c r="AL36" i="59"/>
  <c r="E22" i="60" s="1"/>
  <c r="AJ36" i="59"/>
  <c r="AI36" i="59"/>
  <c r="E19" i="60" s="1"/>
  <c r="AG36" i="59"/>
  <c r="AF36" i="59"/>
  <c r="E16" i="60" s="1"/>
  <c r="AD36" i="59"/>
  <c r="AC36" i="59"/>
  <c r="E13" i="60" s="1"/>
  <c r="AA36" i="59"/>
  <c r="Z36" i="59"/>
  <c r="X36" i="59"/>
  <c r="Y36" i="59" s="1"/>
  <c r="W36" i="59"/>
  <c r="E10" i="60" s="1"/>
  <c r="U36" i="59"/>
  <c r="T36" i="59"/>
  <c r="E7" i="60" s="1"/>
  <c r="R36" i="59"/>
  <c r="E5" i="60" s="1"/>
  <c r="Q36" i="59"/>
  <c r="O36" i="59"/>
  <c r="P36" i="59" s="1"/>
  <c r="N36" i="59"/>
  <c r="B13" i="60" s="1"/>
  <c r="B15" i="60" s="1"/>
  <c r="L36" i="59"/>
  <c r="K36" i="59"/>
  <c r="B10" i="60" s="1"/>
  <c r="I36" i="59"/>
  <c r="H36" i="59"/>
  <c r="N4" i="60" s="1"/>
  <c r="F36" i="59"/>
  <c r="E36" i="59"/>
  <c r="B7" i="60" s="1"/>
  <c r="C36" i="59"/>
  <c r="B36" i="59"/>
  <c r="B4" i="60" s="1"/>
  <c r="BX35" i="59"/>
  <c r="BU35" i="59"/>
  <c r="BR35" i="59"/>
  <c r="BO35" i="59"/>
  <c r="BI35" i="59"/>
  <c r="BF35" i="59"/>
  <c r="BC35" i="59"/>
  <c r="AZ35" i="59"/>
  <c r="AW35" i="59"/>
  <c r="AT35" i="59"/>
  <c r="AQ35" i="59"/>
  <c r="AN35" i="59"/>
  <c r="AK35" i="59"/>
  <c r="AH35" i="59"/>
  <c r="AE35" i="59"/>
  <c r="AB35" i="59"/>
  <c r="Y35" i="59"/>
  <c r="V35" i="59"/>
  <c r="S35" i="59"/>
  <c r="P35" i="59"/>
  <c r="M35" i="59"/>
  <c r="J35" i="59"/>
  <c r="G35" i="59"/>
  <c r="D35" i="59"/>
  <c r="BX34" i="59"/>
  <c r="BU34" i="59"/>
  <c r="BR34" i="59"/>
  <c r="BO34" i="59"/>
  <c r="BI34" i="59"/>
  <c r="BF34" i="59"/>
  <c r="BC34" i="59"/>
  <c r="AZ34" i="59"/>
  <c r="AW34" i="59"/>
  <c r="AT34" i="59"/>
  <c r="AQ34" i="59"/>
  <c r="AN34" i="59"/>
  <c r="AK34" i="59"/>
  <c r="AH34" i="59"/>
  <c r="AE34" i="59"/>
  <c r="AB34" i="59"/>
  <c r="Y34" i="59"/>
  <c r="V34" i="59"/>
  <c r="S34" i="59"/>
  <c r="P34" i="59"/>
  <c r="M34" i="59"/>
  <c r="J34" i="59"/>
  <c r="G34" i="59"/>
  <c r="D34" i="59"/>
  <c r="BX33" i="59"/>
  <c r="BU33" i="59"/>
  <c r="BR33" i="59"/>
  <c r="BO33" i="59"/>
  <c r="BI33" i="59"/>
  <c r="BF33" i="59"/>
  <c r="BC33" i="59"/>
  <c r="AZ33" i="59"/>
  <c r="AW33" i="59"/>
  <c r="AT33" i="59"/>
  <c r="AQ33" i="59"/>
  <c r="AN33" i="59"/>
  <c r="AK33" i="59"/>
  <c r="AH33" i="59"/>
  <c r="AE33" i="59"/>
  <c r="AB33" i="59"/>
  <c r="Y33" i="59"/>
  <c r="V33" i="59"/>
  <c r="S33" i="59"/>
  <c r="P33" i="59"/>
  <c r="M33" i="59"/>
  <c r="J33" i="59"/>
  <c r="G33" i="59"/>
  <c r="D33" i="59"/>
  <c r="BX32" i="59"/>
  <c r="BU32" i="59"/>
  <c r="BR32" i="59"/>
  <c r="BO32" i="59"/>
  <c r="BI32" i="59"/>
  <c r="BF32" i="59"/>
  <c r="BC32" i="59"/>
  <c r="AZ32" i="59"/>
  <c r="AW32" i="59"/>
  <c r="AT32" i="59"/>
  <c r="AQ32" i="59"/>
  <c r="AN32" i="59"/>
  <c r="AK32" i="59"/>
  <c r="AH32" i="59"/>
  <c r="AE32" i="59"/>
  <c r="AB32" i="59"/>
  <c r="Y32" i="59"/>
  <c r="V32" i="59"/>
  <c r="S32" i="59"/>
  <c r="P32" i="59"/>
  <c r="M32" i="59"/>
  <c r="J32" i="59"/>
  <c r="G32" i="59"/>
  <c r="D32" i="59"/>
  <c r="BX31" i="59"/>
  <c r="BU31" i="59"/>
  <c r="BR31" i="59"/>
  <c r="BO31" i="59"/>
  <c r="BI31" i="59"/>
  <c r="BF31" i="59"/>
  <c r="BC31" i="59"/>
  <c r="AZ31" i="59"/>
  <c r="AW31" i="59"/>
  <c r="AT31" i="59"/>
  <c r="AQ31" i="59"/>
  <c r="AN31" i="59"/>
  <c r="AK31" i="59"/>
  <c r="AH31" i="59"/>
  <c r="AE31" i="59"/>
  <c r="AB31" i="59"/>
  <c r="Y31" i="59"/>
  <c r="V31" i="59"/>
  <c r="S31" i="59"/>
  <c r="P31" i="59"/>
  <c r="M31" i="59"/>
  <c r="J31" i="59"/>
  <c r="D31" i="59"/>
  <c r="BX30" i="59"/>
  <c r="BU30" i="59"/>
  <c r="BR30" i="59"/>
  <c r="BO30" i="59"/>
  <c r="BI30" i="59"/>
  <c r="BF30" i="59"/>
  <c r="BC30" i="59"/>
  <c r="AZ30" i="59"/>
  <c r="AW30" i="59"/>
  <c r="AT30" i="59"/>
  <c r="AQ30" i="59"/>
  <c r="AN30" i="59"/>
  <c r="AK30" i="59"/>
  <c r="AH30" i="59"/>
  <c r="AE30" i="59"/>
  <c r="AB30" i="59"/>
  <c r="Y30" i="59"/>
  <c r="V30" i="59"/>
  <c r="S30" i="59"/>
  <c r="P30" i="59"/>
  <c r="M30" i="59"/>
  <c r="J30" i="59"/>
  <c r="G30" i="59"/>
  <c r="D30" i="59"/>
  <c r="BX29" i="59"/>
  <c r="BU29" i="59"/>
  <c r="BR29" i="59"/>
  <c r="BO29" i="59"/>
  <c r="BI29" i="59"/>
  <c r="BF29" i="59"/>
  <c r="BC29" i="59"/>
  <c r="AZ29" i="59"/>
  <c r="AW29" i="59"/>
  <c r="AT29" i="59"/>
  <c r="AQ29" i="59"/>
  <c r="AN29" i="59"/>
  <c r="AK29" i="59"/>
  <c r="AH29" i="59"/>
  <c r="AE29" i="59"/>
  <c r="AB29" i="59"/>
  <c r="Y29" i="59"/>
  <c r="V29" i="59"/>
  <c r="S29" i="59"/>
  <c r="P29" i="59"/>
  <c r="M29" i="59"/>
  <c r="J29" i="59"/>
  <c r="G29" i="59"/>
  <c r="D29" i="59"/>
  <c r="BX28" i="59"/>
  <c r="BU28" i="59"/>
  <c r="BR28" i="59"/>
  <c r="BO28" i="59"/>
  <c r="BI28" i="59"/>
  <c r="BF28" i="59"/>
  <c r="BC28" i="59"/>
  <c r="AZ28" i="59"/>
  <c r="AW28" i="59"/>
  <c r="AT28" i="59"/>
  <c r="AQ28" i="59"/>
  <c r="AN28" i="59"/>
  <c r="AK28" i="59"/>
  <c r="AH28" i="59"/>
  <c r="AE28" i="59"/>
  <c r="AB28" i="59"/>
  <c r="Y28" i="59"/>
  <c r="V28" i="59"/>
  <c r="S28" i="59"/>
  <c r="P28" i="59"/>
  <c r="M28" i="59"/>
  <c r="J28" i="59"/>
  <c r="G28" i="59"/>
  <c r="D28" i="59"/>
  <c r="BX27" i="59"/>
  <c r="BU27" i="59"/>
  <c r="BR27" i="59"/>
  <c r="BO27" i="59"/>
  <c r="BI27" i="59"/>
  <c r="BF27" i="59"/>
  <c r="BC27" i="59"/>
  <c r="AZ27" i="59"/>
  <c r="AW27" i="59"/>
  <c r="AT27" i="59"/>
  <c r="AQ27" i="59"/>
  <c r="AN27" i="59"/>
  <c r="AK27" i="59"/>
  <c r="AH27" i="59"/>
  <c r="AE27" i="59"/>
  <c r="AB27" i="59"/>
  <c r="Y27" i="59"/>
  <c r="V27" i="59"/>
  <c r="S27" i="59"/>
  <c r="P27" i="59"/>
  <c r="M27" i="59"/>
  <c r="J27" i="59"/>
  <c r="G27" i="59"/>
  <c r="D27" i="59"/>
  <c r="BX26" i="59"/>
  <c r="BU26" i="59"/>
  <c r="BR26" i="59"/>
  <c r="BO26" i="59"/>
  <c r="BI26" i="59"/>
  <c r="BF26" i="59"/>
  <c r="BC26" i="59"/>
  <c r="AZ26" i="59"/>
  <c r="AW26" i="59"/>
  <c r="AT26" i="59"/>
  <c r="AQ26" i="59"/>
  <c r="AN26" i="59"/>
  <c r="AK26" i="59"/>
  <c r="AH26" i="59"/>
  <c r="AE26" i="59"/>
  <c r="AB26" i="59"/>
  <c r="Y26" i="59"/>
  <c r="V26" i="59"/>
  <c r="S26" i="59"/>
  <c r="P26" i="59"/>
  <c r="M26" i="59"/>
  <c r="J26" i="59"/>
  <c r="G26" i="59"/>
  <c r="D26" i="59"/>
  <c r="BX25" i="59"/>
  <c r="BU25" i="59"/>
  <c r="BR25" i="59"/>
  <c r="BO25" i="59"/>
  <c r="BI25" i="59"/>
  <c r="BF25" i="59"/>
  <c r="BC25" i="59"/>
  <c r="AZ25" i="59"/>
  <c r="AW25" i="59"/>
  <c r="AT25" i="59"/>
  <c r="AQ25" i="59"/>
  <c r="AN25" i="59"/>
  <c r="AK25" i="59"/>
  <c r="AH25" i="59"/>
  <c r="AE25" i="59"/>
  <c r="AB25" i="59"/>
  <c r="Y25" i="59"/>
  <c r="V25" i="59"/>
  <c r="S25" i="59"/>
  <c r="P25" i="59"/>
  <c r="M25" i="59"/>
  <c r="J25" i="59"/>
  <c r="G25" i="59"/>
  <c r="D25" i="59"/>
  <c r="BX24" i="59"/>
  <c r="BU24" i="59"/>
  <c r="BR24" i="59"/>
  <c r="BO24" i="59"/>
  <c r="BI24" i="59"/>
  <c r="BF24" i="59"/>
  <c r="BC24" i="59"/>
  <c r="AZ24" i="59"/>
  <c r="AW24" i="59"/>
  <c r="AT24" i="59"/>
  <c r="AQ24" i="59"/>
  <c r="AN24" i="59"/>
  <c r="AK24" i="59"/>
  <c r="AH24" i="59"/>
  <c r="AE24" i="59"/>
  <c r="AB24" i="59"/>
  <c r="Y24" i="59"/>
  <c r="V24" i="59"/>
  <c r="S24" i="59"/>
  <c r="P24" i="59"/>
  <c r="M24" i="59"/>
  <c r="J24" i="59"/>
  <c r="G24" i="59"/>
  <c r="D24" i="59"/>
  <c r="BX23" i="59"/>
  <c r="BU23" i="59"/>
  <c r="BR23" i="59"/>
  <c r="BO23" i="59"/>
  <c r="BI23" i="59"/>
  <c r="BF23" i="59"/>
  <c r="BC23" i="59"/>
  <c r="AZ23" i="59"/>
  <c r="AW23" i="59"/>
  <c r="AT23" i="59"/>
  <c r="AQ23" i="59"/>
  <c r="AN23" i="59"/>
  <c r="AK23" i="59"/>
  <c r="AH23" i="59"/>
  <c r="AE23" i="59"/>
  <c r="AB23" i="59"/>
  <c r="Y23" i="59"/>
  <c r="V23" i="59"/>
  <c r="S23" i="59"/>
  <c r="P23" i="59"/>
  <c r="M23" i="59"/>
  <c r="J23" i="59"/>
  <c r="G23" i="59"/>
  <c r="D23" i="59"/>
  <c r="BX22" i="59"/>
  <c r="BU22" i="59"/>
  <c r="BR22" i="59"/>
  <c r="BO22" i="59"/>
  <c r="BI22" i="59"/>
  <c r="BF22" i="59"/>
  <c r="BC22" i="59"/>
  <c r="AZ22" i="59"/>
  <c r="AW22" i="59"/>
  <c r="AT22" i="59"/>
  <c r="AQ22" i="59"/>
  <c r="AN22" i="59"/>
  <c r="AK22" i="59"/>
  <c r="AH22" i="59"/>
  <c r="AE22" i="59"/>
  <c r="AB22" i="59"/>
  <c r="Y22" i="59"/>
  <c r="V22" i="59"/>
  <c r="S22" i="59"/>
  <c r="P22" i="59"/>
  <c r="M22" i="59"/>
  <c r="J22" i="59"/>
  <c r="G22" i="59"/>
  <c r="D22" i="59"/>
  <c r="BX21" i="59"/>
  <c r="BU21" i="59"/>
  <c r="BR21" i="59"/>
  <c r="BO21" i="59"/>
  <c r="BI21" i="59"/>
  <c r="BF21" i="59"/>
  <c r="BC21" i="59"/>
  <c r="AZ21" i="59"/>
  <c r="AW21" i="59"/>
  <c r="AT21" i="59"/>
  <c r="AQ21" i="59"/>
  <c r="AN21" i="59"/>
  <c r="AK21" i="59"/>
  <c r="AH21" i="59"/>
  <c r="AE21" i="59"/>
  <c r="AB21" i="59"/>
  <c r="Y21" i="59"/>
  <c r="V21" i="59"/>
  <c r="S21" i="59"/>
  <c r="P21" i="59"/>
  <c r="M21" i="59"/>
  <c r="J21" i="59"/>
  <c r="G21" i="59"/>
  <c r="D21" i="59"/>
  <c r="BX20" i="59"/>
  <c r="BU20" i="59"/>
  <c r="BR20" i="59"/>
  <c r="BO20" i="59"/>
  <c r="BI20" i="59"/>
  <c r="BF20" i="59"/>
  <c r="BC20" i="59"/>
  <c r="AZ20" i="59"/>
  <c r="AW20" i="59"/>
  <c r="AT20" i="59"/>
  <c r="AQ20" i="59"/>
  <c r="AN20" i="59"/>
  <c r="AK20" i="59"/>
  <c r="AH20" i="59"/>
  <c r="AE20" i="59"/>
  <c r="AB20" i="59"/>
  <c r="Y20" i="59"/>
  <c r="V20" i="59"/>
  <c r="S20" i="59"/>
  <c r="P20" i="59"/>
  <c r="M20" i="59"/>
  <c r="J20" i="59"/>
  <c r="G20" i="59"/>
  <c r="D20" i="59"/>
  <c r="BX19" i="59"/>
  <c r="BU19" i="59"/>
  <c r="BR19" i="59"/>
  <c r="BO19" i="59"/>
  <c r="BI19" i="59"/>
  <c r="BF19" i="59"/>
  <c r="BC19" i="59"/>
  <c r="AZ19" i="59"/>
  <c r="AW19" i="59"/>
  <c r="AT19" i="59"/>
  <c r="AQ19" i="59"/>
  <c r="AN19" i="59"/>
  <c r="AK19" i="59"/>
  <c r="AH19" i="59"/>
  <c r="AE19" i="59"/>
  <c r="AB19" i="59"/>
  <c r="Y19" i="59"/>
  <c r="V19" i="59"/>
  <c r="S19" i="59"/>
  <c r="P19" i="59"/>
  <c r="M19" i="59"/>
  <c r="J19" i="59"/>
  <c r="G19" i="59"/>
  <c r="D19" i="59"/>
  <c r="BX18" i="59"/>
  <c r="BU18" i="59"/>
  <c r="BR18" i="59"/>
  <c r="BO18" i="59"/>
  <c r="BI18" i="59"/>
  <c r="BF18" i="59"/>
  <c r="BC18" i="59"/>
  <c r="AZ18" i="59"/>
  <c r="AW18" i="59"/>
  <c r="AT18" i="59"/>
  <c r="AQ18" i="59"/>
  <c r="AN18" i="59"/>
  <c r="AK18" i="59"/>
  <c r="AH18" i="59"/>
  <c r="AE18" i="59"/>
  <c r="AB18" i="59"/>
  <c r="Y18" i="59"/>
  <c r="V18" i="59"/>
  <c r="S18" i="59"/>
  <c r="P18" i="59"/>
  <c r="M18" i="59"/>
  <c r="J18" i="59"/>
  <c r="G18" i="59"/>
  <c r="D18" i="59"/>
  <c r="BX17" i="59"/>
  <c r="BU17" i="59"/>
  <c r="BR17" i="59"/>
  <c r="BO17" i="59"/>
  <c r="BI17" i="59"/>
  <c r="BF17" i="59"/>
  <c r="BC17" i="59"/>
  <c r="AZ17" i="59"/>
  <c r="AW17" i="59"/>
  <c r="AT17" i="59"/>
  <c r="AQ17" i="59"/>
  <c r="AN17" i="59"/>
  <c r="AK17" i="59"/>
  <c r="AH17" i="59"/>
  <c r="AE17" i="59"/>
  <c r="AB17" i="59"/>
  <c r="Y17" i="59"/>
  <c r="V17" i="59"/>
  <c r="S17" i="59"/>
  <c r="P17" i="59"/>
  <c r="M17" i="59"/>
  <c r="J17" i="59"/>
  <c r="G17" i="59"/>
  <c r="D17" i="59"/>
  <c r="BX16" i="59"/>
  <c r="BU16" i="59"/>
  <c r="BR16" i="59"/>
  <c r="BO16" i="59"/>
  <c r="BI16" i="59"/>
  <c r="BF16" i="59"/>
  <c r="BC16" i="59"/>
  <c r="AZ16" i="59"/>
  <c r="AW16" i="59"/>
  <c r="AT16" i="59"/>
  <c r="AQ16" i="59"/>
  <c r="AN16" i="59"/>
  <c r="AK16" i="59"/>
  <c r="AH16" i="59"/>
  <c r="AE16" i="59"/>
  <c r="AB16" i="59"/>
  <c r="Y16" i="59"/>
  <c r="V16" i="59"/>
  <c r="S16" i="59"/>
  <c r="P16" i="59"/>
  <c r="M16" i="59"/>
  <c r="J16" i="59"/>
  <c r="G16" i="59"/>
  <c r="D16" i="59"/>
  <c r="BX15" i="59"/>
  <c r="BU15" i="59"/>
  <c r="BR15" i="59"/>
  <c r="BO15" i="59"/>
  <c r="BI15" i="59"/>
  <c r="BF15" i="59"/>
  <c r="BC15" i="59"/>
  <c r="AZ15" i="59"/>
  <c r="AW15" i="59"/>
  <c r="AT15" i="59"/>
  <c r="AQ15" i="59"/>
  <c r="AN15" i="59"/>
  <c r="AK15" i="59"/>
  <c r="AH15" i="59"/>
  <c r="AE15" i="59"/>
  <c r="AB15" i="59"/>
  <c r="Y15" i="59"/>
  <c r="V15" i="59"/>
  <c r="S15" i="59"/>
  <c r="P15" i="59"/>
  <c r="M15" i="59"/>
  <c r="J15" i="59"/>
  <c r="G15" i="59"/>
  <c r="D15" i="59"/>
  <c r="BX14" i="59"/>
  <c r="BU14" i="59"/>
  <c r="BR14" i="59"/>
  <c r="BO14" i="59"/>
  <c r="BI14" i="59"/>
  <c r="BF14" i="59"/>
  <c r="BC14" i="59"/>
  <c r="AZ14" i="59"/>
  <c r="AW14" i="59"/>
  <c r="AT14" i="59"/>
  <c r="AQ14" i="59"/>
  <c r="AN14" i="59"/>
  <c r="AK14" i="59"/>
  <c r="AH14" i="59"/>
  <c r="AE14" i="59"/>
  <c r="AB14" i="59"/>
  <c r="Y14" i="59"/>
  <c r="V14" i="59"/>
  <c r="S14" i="59"/>
  <c r="P14" i="59"/>
  <c r="M14" i="59"/>
  <c r="J14" i="59"/>
  <c r="G14" i="59"/>
  <c r="D14" i="59"/>
  <c r="BX13" i="59"/>
  <c r="BU13" i="59"/>
  <c r="BR13" i="59"/>
  <c r="BO13" i="59"/>
  <c r="BI13" i="59"/>
  <c r="BF13" i="59"/>
  <c r="BC13" i="59"/>
  <c r="AZ13" i="59"/>
  <c r="AW13" i="59"/>
  <c r="AT13" i="59"/>
  <c r="AQ13" i="59"/>
  <c r="AN13" i="59"/>
  <c r="AK13" i="59"/>
  <c r="AH13" i="59"/>
  <c r="AE13" i="59"/>
  <c r="AB13" i="59"/>
  <c r="Y13" i="59"/>
  <c r="V13" i="59"/>
  <c r="S13" i="59"/>
  <c r="P13" i="59"/>
  <c r="M13" i="59"/>
  <c r="J13" i="59"/>
  <c r="G13" i="59"/>
  <c r="D13" i="59"/>
  <c r="BX12" i="59"/>
  <c r="BU12" i="59"/>
  <c r="BR12" i="59"/>
  <c r="BO12" i="59"/>
  <c r="BI12" i="59"/>
  <c r="BF12" i="59"/>
  <c r="BC12" i="59"/>
  <c r="AZ12" i="59"/>
  <c r="AW12" i="59"/>
  <c r="AT12" i="59"/>
  <c r="AQ12" i="59"/>
  <c r="AN12" i="59"/>
  <c r="AK12" i="59"/>
  <c r="AH12" i="59"/>
  <c r="AE12" i="59"/>
  <c r="AB12" i="59"/>
  <c r="Y12" i="59"/>
  <c r="V12" i="59"/>
  <c r="S12" i="59"/>
  <c r="P12" i="59"/>
  <c r="M12" i="59"/>
  <c r="J12" i="59"/>
  <c r="G12" i="59"/>
  <c r="D12" i="59"/>
  <c r="BX11" i="59"/>
  <c r="BU11" i="59"/>
  <c r="BR11" i="59"/>
  <c r="BO11" i="59"/>
  <c r="BI11" i="59"/>
  <c r="BF11" i="59"/>
  <c r="BC11" i="59"/>
  <c r="AZ11" i="59"/>
  <c r="AW11" i="59"/>
  <c r="AT11" i="59"/>
  <c r="AQ11" i="59"/>
  <c r="AN11" i="59"/>
  <c r="AK11" i="59"/>
  <c r="AH11" i="59"/>
  <c r="AE11" i="59"/>
  <c r="AB11" i="59"/>
  <c r="Y11" i="59"/>
  <c r="V11" i="59"/>
  <c r="S11" i="59"/>
  <c r="P11" i="59"/>
  <c r="M11" i="59"/>
  <c r="J11" i="59"/>
  <c r="G11" i="59"/>
  <c r="D11" i="59"/>
  <c r="BX10" i="59"/>
  <c r="BU10" i="59"/>
  <c r="BR10" i="59"/>
  <c r="BO10" i="59"/>
  <c r="BI10" i="59"/>
  <c r="BF10" i="59"/>
  <c r="BC10" i="59"/>
  <c r="AZ10" i="59"/>
  <c r="AW10" i="59"/>
  <c r="AT10" i="59"/>
  <c r="AQ10" i="59"/>
  <c r="AN10" i="59"/>
  <c r="AK10" i="59"/>
  <c r="AH10" i="59"/>
  <c r="AE10" i="59"/>
  <c r="AB10" i="59"/>
  <c r="Y10" i="59"/>
  <c r="V10" i="59"/>
  <c r="S10" i="59"/>
  <c r="P10" i="59"/>
  <c r="M10" i="59"/>
  <c r="J10" i="59"/>
  <c r="G10" i="59"/>
  <c r="D10" i="59"/>
  <c r="BX9" i="59"/>
  <c r="BU9" i="59"/>
  <c r="BR9" i="59"/>
  <c r="BO9" i="59"/>
  <c r="BI9" i="59"/>
  <c r="BF9" i="59"/>
  <c r="BC9" i="59"/>
  <c r="AZ9" i="59"/>
  <c r="AW9" i="59"/>
  <c r="AT9" i="59"/>
  <c r="AQ9" i="59"/>
  <c r="AN9" i="59"/>
  <c r="AK9" i="59"/>
  <c r="AH9" i="59"/>
  <c r="AE9" i="59"/>
  <c r="AB9" i="59"/>
  <c r="Y9" i="59"/>
  <c r="V9" i="59"/>
  <c r="S9" i="59"/>
  <c r="P9" i="59"/>
  <c r="M9" i="59"/>
  <c r="J9" i="59"/>
  <c r="G9" i="59"/>
  <c r="D9" i="59"/>
  <c r="BX8" i="59"/>
  <c r="BU8" i="59"/>
  <c r="BR8" i="59"/>
  <c r="BO8" i="59"/>
  <c r="BI8" i="59"/>
  <c r="BF8" i="59"/>
  <c r="BC8" i="59"/>
  <c r="AZ8" i="59"/>
  <c r="AW8" i="59"/>
  <c r="AT8" i="59"/>
  <c r="AQ8" i="59"/>
  <c r="AN8" i="59"/>
  <c r="AK8" i="59"/>
  <c r="AH8" i="59"/>
  <c r="AE8" i="59"/>
  <c r="AB8" i="59"/>
  <c r="Y8" i="59"/>
  <c r="V8" i="59"/>
  <c r="S8" i="59"/>
  <c r="P8" i="59"/>
  <c r="M8" i="59"/>
  <c r="J8" i="59"/>
  <c r="G8" i="59"/>
  <c r="D8" i="59"/>
  <c r="BX7" i="59"/>
  <c r="BU7" i="59"/>
  <c r="BR7" i="59"/>
  <c r="BO7" i="59"/>
  <c r="BI7" i="59"/>
  <c r="BF7" i="59"/>
  <c r="BC7" i="59"/>
  <c r="AZ7" i="59"/>
  <c r="AW7" i="59"/>
  <c r="AT7" i="59"/>
  <c r="AQ7" i="59"/>
  <c r="AN7" i="59"/>
  <c r="AK7" i="59"/>
  <c r="AH7" i="59"/>
  <c r="AE7" i="59"/>
  <c r="AB7" i="59"/>
  <c r="Y7" i="59"/>
  <c r="V7" i="59"/>
  <c r="S7" i="59"/>
  <c r="P7" i="59"/>
  <c r="M7" i="59"/>
  <c r="J7" i="59"/>
  <c r="G7" i="59"/>
  <c r="D7" i="59"/>
  <c r="BX6" i="59"/>
  <c r="BU6" i="59"/>
  <c r="BR6" i="59"/>
  <c r="BO6" i="59"/>
  <c r="BI6" i="59"/>
  <c r="BF6" i="59"/>
  <c r="BC6" i="59"/>
  <c r="AZ6" i="59"/>
  <c r="AW6" i="59"/>
  <c r="AT6" i="59"/>
  <c r="AQ6" i="59"/>
  <c r="AN6" i="59"/>
  <c r="AK6" i="59"/>
  <c r="AH6" i="59"/>
  <c r="AE6" i="59"/>
  <c r="AB6" i="59"/>
  <c r="Y6" i="59"/>
  <c r="V6" i="59"/>
  <c r="S6" i="59"/>
  <c r="P6" i="59"/>
  <c r="M6" i="59"/>
  <c r="J6" i="59"/>
  <c r="G6" i="59"/>
  <c r="D6" i="59"/>
  <c r="BX5" i="59"/>
  <c r="BU5" i="59"/>
  <c r="BR5" i="59"/>
  <c r="BO5" i="59"/>
  <c r="BI5" i="59"/>
  <c r="BF5" i="59"/>
  <c r="BC5" i="59"/>
  <c r="AZ5" i="59"/>
  <c r="AW5" i="59"/>
  <c r="AT5" i="59"/>
  <c r="AQ5" i="59"/>
  <c r="AN5" i="59"/>
  <c r="AK5" i="59"/>
  <c r="AH5" i="59"/>
  <c r="AE5" i="59"/>
  <c r="AB5" i="59"/>
  <c r="Y5" i="59"/>
  <c r="V5" i="59"/>
  <c r="S5" i="59"/>
  <c r="P5" i="59"/>
  <c r="M5" i="59"/>
  <c r="J5" i="59"/>
  <c r="G5" i="59"/>
  <c r="D5" i="59"/>
  <c r="CD15" i="59" l="1"/>
  <c r="BC36" i="59"/>
  <c r="H18" i="60"/>
  <c r="BL36" i="59"/>
  <c r="AE36" i="59"/>
  <c r="AB36" i="59"/>
  <c r="BX36" i="59"/>
  <c r="AZ36" i="59"/>
  <c r="BF36" i="59"/>
  <c r="K6" i="60"/>
  <c r="K8" i="60"/>
  <c r="K9" i="60" s="1"/>
  <c r="J36" i="59"/>
  <c r="H5" i="60"/>
  <c r="H6" i="60" s="1"/>
  <c r="H11" i="60"/>
  <c r="H12" i="60" s="1"/>
  <c r="BI36" i="59"/>
  <c r="H14" i="60"/>
  <c r="H15" i="60" s="1"/>
  <c r="AN36" i="59"/>
  <c r="AK36" i="59"/>
  <c r="AH36" i="59"/>
  <c r="K14" i="60"/>
  <c r="K15" i="60" s="1"/>
  <c r="K12" i="60"/>
  <c r="BU36" i="59"/>
  <c r="AT36" i="59"/>
  <c r="V36" i="59"/>
  <c r="E23" i="60"/>
  <c r="E24" i="60" s="1"/>
  <c r="E20" i="60"/>
  <c r="E21" i="60" s="1"/>
  <c r="E14" i="60"/>
  <c r="E15" i="60" s="1"/>
  <c r="E11" i="60"/>
  <c r="E12" i="60" s="1"/>
  <c r="E29" i="60"/>
  <c r="E30" i="60" s="1"/>
  <c r="E27" i="60"/>
  <c r="E17" i="60"/>
  <c r="E18" i="60" s="1"/>
  <c r="E8" i="60"/>
  <c r="E9" i="60" s="1"/>
  <c r="CD8" i="59"/>
  <c r="S36" i="59"/>
  <c r="E4" i="60"/>
  <c r="M18" i="60" s="1"/>
  <c r="M36" i="59"/>
  <c r="G36" i="59"/>
  <c r="CD7" i="59"/>
  <c r="B11" i="60"/>
  <c r="B12" i="60" s="1"/>
  <c r="B8" i="60"/>
  <c r="B9" i="60" s="1"/>
  <c r="CD6" i="59"/>
  <c r="N5" i="60"/>
  <c r="N6" i="60" s="1"/>
  <c r="D36" i="59"/>
  <c r="B5" i="60"/>
  <c r="B6" i="60" s="1"/>
  <c r="BO36" i="59"/>
  <c r="AQ36" i="59"/>
  <c r="CD33" i="59"/>
  <c r="CD24" i="59"/>
  <c r="CD26" i="59"/>
  <c r="CD35" i="59"/>
  <c r="CD12" i="59"/>
  <c r="CD20" i="59"/>
  <c r="CD31" i="59"/>
  <c r="CD25" i="59"/>
  <c r="CD28" i="59"/>
  <c r="CD23" i="59"/>
  <c r="CD30" i="59"/>
  <c r="CD18" i="59"/>
  <c r="CD29" i="59"/>
  <c r="CD34" i="59"/>
  <c r="CD11" i="59"/>
  <c r="CD19" i="59"/>
  <c r="CD27" i="59"/>
  <c r="CD10" i="59"/>
  <c r="CD14" i="59"/>
  <c r="CD22" i="59"/>
  <c r="CB36" i="59"/>
  <c r="N13" i="60" s="1"/>
  <c r="CC36" i="59"/>
  <c r="N14" i="60" s="1"/>
  <c r="CD13" i="59"/>
  <c r="CD21" i="59"/>
  <c r="CD16" i="59"/>
  <c r="CD32" i="59"/>
  <c r="CD9" i="59"/>
  <c r="CD17" i="59"/>
  <c r="CD5" i="59"/>
  <c r="BY10" i="57"/>
  <c r="BY11" i="57"/>
  <c r="BY12" i="57"/>
  <c r="BY13" i="57"/>
  <c r="BY14" i="57"/>
  <c r="BY15" i="57"/>
  <c r="BY16" i="57"/>
  <c r="BY17" i="57"/>
  <c r="BY18" i="57"/>
  <c r="BY19" i="57"/>
  <c r="BY20" i="57"/>
  <c r="BY21" i="57"/>
  <c r="BY22" i="57"/>
  <c r="CA22" i="57" s="1"/>
  <c r="BY23" i="57"/>
  <c r="BY24" i="57"/>
  <c r="CA24" i="57" s="1"/>
  <c r="BY25" i="57"/>
  <c r="BY26" i="57"/>
  <c r="BY27" i="57"/>
  <c r="BY28" i="57"/>
  <c r="BY29" i="57"/>
  <c r="BY30" i="57"/>
  <c r="BY31" i="57"/>
  <c r="BY32" i="57"/>
  <c r="BY33" i="57"/>
  <c r="BY34" i="57"/>
  <c r="BY35" i="57"/>
  <c r="I36" i="57"/>
  <c r="BZ31" i="57"/>
  <c r="BZ32" i="57"/>
  <c r="BZ33" i="57"/>
  <c r="BZ34" i="57"/>
  <c r="BZ35" i="57"/>
  <c r="BZ6" i="57"/>
  <c r="BZ7" i="57"/>
  <c r="BZ8" i="57"/>
  <c r="BZ9" i="57"/>
  <c r="CA9" i="57" s="1"/>
  <c r="BZ10" i="57"/>
  <c r="BZ11" i="57"/>
  <c r="BZ12" i="57"/>
  <c r="BZ13" i="57"/>
  <c r="BZ14" i="57"/>
  <c r="BZ15" i="57"/>
  <c r="BZ16" i="57"/>
  <c r="BZ17" i="57"/>
  <c r="BZ18" i="57"/>
  <c r="BZ19" i="57"/>
  <c r="CA19" i="57" s="1"/>
  <c r="BZ20" i="57"/>
  <c r="BZ21" i="57"/>
  <c r="BZ22" i="57"/>
  <c r="BZ23" i="57"/>
  <c r="BZ24" i="57"/>
  <c r="BZ25" i="57"/>
  <c r="BZ26" i="57"/>
  <c r="BZ27" i="57"/>
  <c r="BZ28" i="57"/>
  <c r="BZ29" i="57"/>
  <c r="BZ30" i="57"/>
  <c r="CA6" i="57"/>
  <c r="CA7" i="57"/>
  <c r="CA8" i="57"/>
  <c r="CA10" i="57"/>
  <c r="CA15" i="57"/>
  <c r="CA16" i="57"/>
  <c r="CA21" i="57"/>
  <c r="CA26" i="57"/>
  <c r="CA28" i="57"/>
  <c r="CA29" i="57"/>
  <c r="BZ5" i="57"/>
  <c r="BY36" i="55"/>
  <c r="BY22" i="55"/>
  <c r="BY19" i="55"/>
  <c r="H4" i="56"/>
  <c r="BY23" i="55"/>
  <c r="BZ23" i="55"/>
  <c r="E6" i="60" l="1"/>
  <c r="N18" i="60"/>
  <c r="N19" i="60" s="1"/>
  <c r="N15" i="60"/>
  <c r="M19" i="60"/>
  <c r="CD36" i="59"/>
  <c r="CA27" i="57"/>
  <c r="CA20" i="57"/>
  <c r="CA18" i="57"/>
  <c r="BY36" i="57"/>
  <c r="BZ36" i="57"/>
  <c r="N14" i="58" s="1"/>
  <c r="CA23" i="55"/>
  <c r="V23" i="55"/>
  <c r="O18" i="60" l="1"/>
  <c r="H17" i="58"/>
  <c r="H16" i="58"/>
  <c r="H8" i="58"/>
  <c r="H9" i="58" s="1"/>
  <c r="H7" i="58"/>
  <c r="B14" i="58"/>
  <c r="K18" i="58"/>
  <c r="N12" i="58"/>
  <c r="N9" i="58"/>
  <c r="BQ8" i="58"/>
  <c r="BW36" i="57"/>
  <c r="BV36" i="57"/>
  <c r="K13" i="58" s="1"/>
  <c r="BT36" i="57"/>
  <c r="BS36" i="57"/>
  <c r="K10" i="58" s="1"/>
  <c r="BQ36" i="57"/>
  <c r="BP36" i="57"/>
  <c r="K7" i="58" s="1"/>
  <c r="BN36" i="57"/>
  <c r="BM36" i="57"/>
  <c r="K4" i="58" s="1"/>
  <c r="BK36" i="57"/>
  <c r="BJ36" i="57"/>
  <c r="BH36" i="57"/>
  <c r="BG36" i="57"/>
  <c r="H13" i="58" s="1"/>
  <c r="BE36" i="57"/>
  <c r="BD36" i="57"/>
  <c r="BB36" i="57"/>
  <c r="BA36" i="57"/>
  <c r="H10" i="58" s="1"/>
  <c r="AY36" i="57"/>
  <c r="AX36" i="57"/>
  <c r="AV36" i="57"/>
  <c r="AU36" i="57"/>
  <c r="H4" i="58" s="1"/>
  <c r="AS36" i="57"/>
  <c r="AR36" i="57"/>
  <c r="E28" i="58" s="1"/>
  <c r="AP36" i="57"/>
  <c r="AO36" i="57"/>
  <c r="E25" i="58" s="1"/>
  <c r="AM36" i="57"/>
  <c r="E23" i="58" s="1"/>
  <c r="AL36" i="57"/>
  <c r="E22" i="58" s="1"/>
  <c r="AJ36" i="57"/>
  <c r="AI36" i="57"/>
  <c r="E19" i="58" s="1"/>
  <c r="AG36" i="57"/>
  <c r="AF36" i="57"/>
  <c r="E16" i="58" s="1"/>
  <c r="AD36" i="57"/>
  <c r="AC36" i="57"/>
  <c r="E13" i="58" s="1"/>
  <c r="AA36" i="57"/>
  <c r="Z36" i="57"/>
  <c r="X36" i="57"/>
  <c r="W36" i="57"/>
  <c r="E10" i="58" s="1"/>
  <c r="U36" i="57"/>
  <c r="E8" i="58" s="1"/>
  <c r="T36" i="57"/>
  <c r="E7" i="58" s="1"/>
  <c r="R36" i="57"/>
  <c r="Q36" i="57"/>
  <c r="E4" i="58" s="1"/>
  <c r="O36" i="57"/>
  <c r="P36" i="57" s="1"/>
  <c r="N36" i="57"/>
  <c r="B13" i="58" s="1"/>
  <c r="L36" i="57"/>
  <c r="K36" i="57"/>
  <c r="B10" i="58" s="1"/>
  <c r="N5" i="58"/>
  <c r="H36" i="57"/>
  <c r="N4" i="58" s="1"/>
  <c r="F36" i="57"/>
  <c r="E36" i="57"/>
  <c r="B7" i="58" s="1"/>
  <c r="C36" i="57"/>
  <c r="B5" i="58" s="1"/>
  <c r="B36" i="57"/>
  <c r="B4" i="58" s="1"/>
  <c r="CA35" i="57"/>
  <c r="BX35" i="57"/>
  <c r="BU35" i="57"/>
  <c r="BR35" i="57"/>
  <c r="BO35" i="57"/>
  <c r="BL35" i="57"/>
  <c r="BI35" i="57"/>
  <c r="BF35" i="57"/>
  <c r="BC35" i="57"/>
  <c r="AZ35" i="57"/>
  <c r="AW35" i="57"/>
  <c r="AT35" i="57"/>
  <c r="AQ35" i="57"/>
  <c r="AN35" i="57"/>
  <c r="AK35" i="57"/>
  <c r="AH35" i="57"/>
  <c r="AE35" i="57"/>
  <c r="AB35" i="57"/>
  <c r="Y35" i="57"/>
  <c r="V35" i="57"/>
  <c r="S35" i="57"/>
  <c r="P35" i="57"/>
  <c r="M35" i="57"/>
  <c r="J35" i="57"/>
  <c r="G35" i="57"/>
  <c r="D35" i="57"/>
  <c r="CA34" i="57"/>
  <c r="BX34" i="57"/>
  <c r="BU34" i="57"/>
  <c r="BR34" i="57"/>
  <c r="BO34" i="57"/>
  <c r="BL34" i="57"/>
  <c r="BI34" i="57"/>
  <c r="BF34" i="57"/>
  <c r="BC34" i="57"/>
  <c r="AZ34" i="57"/>
  <c r="AW34" i="57"/>
  <c r="AT34" i="57"/>
  <c r="AQ34" i="57"/>
  <c r="AN34" i="57"/>
  <c r="AK34" i="57"/>
  <c r="AH34" i="57"/>
  <c r="AE34" i="57"/>
  <c r="AB34" i="57"/>
  <c r="Y34" i="57"/>
  <c r="V34" i="57"/>
  <c r="S34" i="57"/>
  <c r="P34" i="57"/>
  <c r="M34" i="57"/>
  <c r="J34" i="57"/>
  <c r="G34" i="57"/>
  <c r="D34" i="57"/>
  <c r="CA33" i="57"/>
  <c r="BX33" i="57"/>
  <c r="BU33" i="57"/>
  <c r="BR33" i="57"/>
  <c r="BO33" i="57"/>
  <c r="BL33" i="57"/>
  <c r="BI33" i="57"/>
  <c r="BF33" i="57"/>
  <c r="BC33" i="57"/>
  <c r="AZ33" i="57"/>
  <c r="AW33" i="57"/>
  <c r="AT33" i="57"/>
  <c r="AQ33" i="57"/>
  <c r="AN33" i="57"/>
  <c r="AK33" i="57"/>
  <c r="AH33" i="57"/>
  <c r="AE33" i="57"/>
  <c r="AB33" i="57"/>
  <c r="Y33" i="57"/>
  <c r="V33" i="57"/>
  <c r="S33" i="57"/>
  <c r="P33" i="57"/>
  <c r="M33" i="57"/>
  <c r="J33" i="57"/>
  <c r="G33" i="57"/>
  <c r="D33" i="57"/>
  <c r="CA32" i="57"/>
  <c r="BX32" i="57"/>
  <c r="BU32" i="57"/>
  <c r="BR32" i="57"/>
  <c r="BO32" i="57"/>
  <c r="BL32" i="57"/>
  <c r="BI32" i="57"/>
  <c r="BF32" i="57"/>
  <c r="BC32" i="57"/>
  <c r="AZ32" i="57"/>
  <c r="AW32" i="57"/>
  <c r="AT32" i="57"/>
  <c r="AQ32" i="57"/>
  <c r="AN32" i="57"/>
  <c r="AK32" i="57"/>
  <c r="AH32" i="57"/>
  <c r="AE32" i="57"/>
  <c r="AB32" i="57"/>
  <c r="Y32" i="57"/>
  <c r="V32" i="57"/>
  <c r="S32" i="57"/>
  <c r="P32" i="57"/>
  <c r="M32" i="57"/>
  <c r="J32" i="57"/>
  <c r="G32" i="57"/>
  <c r="D32" i="57"/>
  <c r="CA31" i="57"/>
  <c r="BX31" i="57"/>
  <c r="BU31" i="57"/>
  <c r="BR31" i="57"/>
  <c r="BO31" i="57"/>
  <c r="BL31" i="57"/>
  <c r="BI31" i="57"/>
  <c r="BF31" i="57"/>
  <c r="BC31" i="57"/>
  <c r="AZ31" i="57"/>
  <c r="AW31" i="57"/>
  <c r="AT31" i="57"/>
  <c r="AQ31" i="57"/>
  <c r="AN31" i="57"/>
  <c r="AK31" i="57"/>
  <c r="AH31" i="57"/>
  <c r="AE31" i="57"/>
  <c r="AB31" i="57"/>
  <c r="Y31" i="57"/>
  <c r="V31" i="57"/>
  <c r="S31" i="57"/>
  <c r="P31" i="57"/>
  <c r="M31" i="57"/>
  <c r="J31" i="57"/>
  <c r="D31" i="57"/>
  <c r="CA30" i="57"/>
  <c r="BX30" i="57"/>
  <c r="BU30" i="57"/>
  <c r="BR30" i="57"/>
  <c r="BO30" i="57"/>
  <c r="BL30" i="57"/>
  <c r="BI30" i="57"/>
  <c r="BF30" i="57"/>
  <c r="BC30" i="57"/>
  <c r="AZ30" i="57"/>
  <c r="AW30" i="57"/>
  <c r="AT30" i="57"/>
  <c r="AQ30" i="57"/>
  <c r="AN30" i="57"/>
  <c r="AK30" i="57"/>
  <c r="AH30" i="57"/>
  <c r="AE30" i="57"/>
  <c r="AB30" i="57"/>
  <c r="Y30" i="57"/>
  <c r="V30" i="57"/>
  <c r="S30" i="57"/>
  <c r="P30" i="57"/>
  <c r="M30" i="57"/>
  <c r="J30" i="57"/>
  <c r="G30" i="57"/>
  <c r="D30" i="57"/>
  <c r="BX29" i="57"/>
  <c r="BU29" i="57"/>
  <c r="BR29" i="57"/>
  <c r="BO29" i="57"/>
  <c r="BL29" i="57"/>
  <c r="BI29" i="57"/>
  <c r="BF29" i="57"/>
  <c r="BC29" i="57"/>
  <c r="AZ29" i="57"/>
  <c r="AW29" i="57"/>
  <c r="AT29" i="57"/>
  <c r="AQ29" i="57"/>
  <c r="AN29" i="57"/>
  <c r="AK29" i="57"/>
  <c r="AH29" i="57"/>
  <c r="AE29" i="57"/>
  <c r="AB29" i="57"/>
  <c r="Y29" i="57"/>
  <c r="V29" i="57"/>
  <c r="S29" i="57"/>
  <c r="P29" i="57"/>
  <c r="M29" i="57"/>
  <c r="J29" i="57"/>
  <c r="G29" i="57"/>
  <c r="D29" i="57"/>
  <c r="BX28" i="57"/>
  <c r="BU28" i="57"/>
  <c r="BR28" i="57"/>
  <c r="BO28" i="57"/>
  <c r="BL28" i="57"/>
  <c r="BI28" i="57"/>
  <c r="BF28" i="57"/>
  <c r="BC28" i="57"/>
  <c r="AZ28" i="57"/>
  <c r="AW28" i="57"/>
  <c r="AT28" i="57"/>
  <c r="AQ28" i="57"/>
  <c r="AN28" i="57"/>
  <c r="AK28" i="57"/>
  <c r="AH28" i="57"/>
  <c r="AE28" i="57"/>
  <c r="AB28" i="57"/>
  <c r="Y28" i="57"/>
  <c r="V28" i="57"/>
  <c r="S28" i="57"/>
  <c r="P28" i="57"/>
  <c r="M28" i="57"/>
  <c r="J28" i="57"/>
  <c r="G28" i="57"/>
  <c r="D28" i="57"/>
  <c r="BX27" i="57"/>
  <c r="BU27" i="57"/>
  <c r="BR27" i="57"/>
  <c r="BO27" i="57"/>
  <c r="BL27" i="57"/>
  <c r="BI27" i="57"/>
  <c r="BF27" i="57"/>
  <c r="BC27" i="57"/>
  <c r="AZ27" i="57"/>
  <c r="AW27" i="57"/>
  <c r="AT27" i="57"/>
  <c r="AQ27" i="57"/>
  <c r="AN27" i="57"/>
  <c r="AK27" i="57"/>
  <c r="AH27" i="57"/>
  <c r="AE27" i="57"/>
  <c r="AB27" i="57"/>
  <c r="Y27" i="57"/>
  <c r="V27" i="57"/>
  <c r="S27" i="57"/>
  <c r="P27" i="57"/>
  <c r="M27" i="57"/>
  <c r="J27" i="57"/>
  <c r="G27" i="57"/>
  <c r="D27" i="57"/>
  <c r="BX26" i="57"/>
  <c r="BU26" i="57"/>
  <c r="BR26" i="57"/>
  <c r="BO26" i="57"/>
  <c r="BL26" i="57"/>
  <c r="BI26" i="57"/>
  <c r="BF26" i="57"/>
  <c r="BC26" i="57"/>
  <c r="AZ26" i="57"/>
  <c r="AW26" i="57"/>
  <c r="AT26" i="57"/>
  <c r="AQ26" i="57"/>
  <c r="AN26" i="57"/>
  <c r="AK26" i="57"/>
  <c r="AH26" i="57"/>
  <c r="AE26" i="57"/>
  <c r="AB26" i="57"/>
  <c r="Y26" i="57"/>
  <c r="V26" i="57"/>
  <c r="S26" i="57"/>
  <c r="P26" i="57"/>
  <c r="M26" i="57"/>
  <c r="J26" i="57"/>
  <c r="G26" i="57"/>
  <c r="D26" i="57"/>
  <c r="CA25" i="57"/>
  <c r="BX25" i="57"/>
  <c r="BU25" i="57"/>
  <c r="BR25" i="57"/>
  <c r="BO25" i="57"/>
  <c r="BL25" i="57"/>
  <c r="BI25" i="57"/>
  <c r="BF25" i="57"/>
  <c r="BC25" i="57"/>
  <c r="AZ25" i="57"/>
  <c r="AW25" i="57"/>
  <c r="AT25" i="57"/>
  <c r="AQ25" i="57"/>
  <c r="AN25" i="57"/>
  <c r="AK25" i="57"/>
  <c r="AH25" i="57"/>
  <c r="AE25" i="57"/>
  <c r="AB25" i="57"/>
  <c r="Y25" i="57"/>
  <c r="V25" i="57"/>
  <c r="S25" i="57"/>
  <c r="P25" i="57"/>
  <c r="M25" i="57"/>
  <c r="J25" i="57"/>
  <c r="G25" i="57"/>
  <c r="D25" i="57"/>
  <c r="BX24" i="57"/>
  <c r="BU24" i="57"/>
  <c r="BR24" i="57"/>
  <c r="BO24" i="57"/>
  <c r="BL24" i="57"/>
  <c r="BI24" i="57"/>
  <c r="BF24" i="57"/>
  <c r="BC24" i="57"/>
  <c r="AZ24" i="57"/>
  <c r="AW24" i="57"/>
  <c r="AT24" i="57"/>
  <c r="AQ24" i="57"/>
  <c r="AN24" i="57"/>
  <c r="AK24" i="57"/>
  <c r="AH24" i="57"/>
  <c r="AE24" i="57"/>
  <c r="AB24" i="57"/>
  <c r="Y24" i="57"/>
  <c r="V24" i="57"/>
  <c r="S24" i="57"/>
  <c r="P24" i="57"/>
  <c r="M24" i="57"/>
  <c r="J24" i="57"/>
  <c r="G24" i="57"/>
  <c r="D24" i="57"/>
  <c r="CA23" i="57"/>
  <c r="BX23" i="57"/>
  <c r="BU23" i="57"/>
  <c r="BR23" i="57"/>
  <c r="BO23" i="57"/>
  <c r="BL23" i="57"/>
  <c r="BI23" i="57"/>
  <c r="BF23" i="57"/>
  <c r="BC23" i="57"/>
  <c r="AZ23" i="57"/>
  <c r="AW23" i="57"/>
  <c r="AT23" i="57"/>
  <c r="AQ23" i="57"/>
  <c r="AN23" i="57"/>
  <c r="AK23" i="57"/>
  <c r="AH23" i="57"/>
  <c r="AE23" i="57"/>
  <c r="AB23" i="57"/>
  <c r="Y23" i="57"/>
  <c r="V23" i="57"/>
  <c r="S23" i="57"/>
  <c r="P23" i="57"/>
  <c r="M23" i="57"/>
  <c r="J23" i="57"/>
  <c r="G23" i="57"/>
  <c r="D23" i="57"/>
  <c r="BX22" i="57"/>
  <c r="BU22" i="57"/>
  <c r="BR22" i="57"/>
  <c r="BO22" i="57"/>
  <c r="BL22" i="57"/>
  <c r="BI22" i="57"/>
  <c r="BF22" i="57"/>
  <c r="BC22" i="57"/>
  <c r="AZ22" i="57"/>
  <c r="AW22" i="57"/>
  <c r="AT22" i="57"/>
  <c r="AQ22" i="57"/>
  <c r="AN22" i="57"/>
  <c r="AK22" i="57"/>
  <c r="AH22" i="57"/>
  <c r="AE22" i="57"/>
  <c r="AB22" i="57"/>
  <c r="Y22" i="57"/>
  <c r="V22" i="57"/>
  <c r="S22" i="57"/>
  <c r="P22" i="57"/>
  <c r="M22" i="57"/>
  <c r="J22" i="57"/>
  <c r="G22" i="57"/>
  <c r="D22" i="57"/>
  <c r="BX21" i="57"/>
  <c r="BU21" i="57"/>
  <c r="BR21" i="57"/>
  <c r="BO21" i="57"/>
  <c r="BL21" i="57"/>
  <c r="BI21" i="57"/>
  <c r="BF21" i="57"/>
  <c r="BC21" i="57"/>
  <c r="AZ21" i="57"/>
  <c r="AW21" i="57"/>
  <c r="AT21" i="57"/>
  <c r="AQ21" i="57"/>
  <c r="AN21" i="57"/>
  <c r="AK21" i="57"/>
  <c r="AH21" i="57"/>
  <c r="AE21" i="57"/>
  <c r="AB21" i="57"/>
  <c r="Y21" i="57"/>
  <c r="V21" i="57"/>
  <c r="S21" i="57"/>
  <c r="P21" i="57"/>
  <c r="M21" i="57"/>
  <c r="J21" i="57"/>
  <c r="G21" i="57"/>
  <c r="D21" i="57"/>
  <c r="BX20" i="57"/>
  <c r="BU20" i="57"/>
  <c r="BR20" i="57"/>
  <c r="BO20" i="57"/>
  <c r="BL20" i="57"/>
  <c r="BI20" i="57"/>
  <c r="BF20" i="57"/>
  <c r="BC20" i="57"/>
  <c r="AZ20" i="57"/>
  <c r="AW20" i="57"/>
  <c r="AT20" i="57"/>
  <c r="AQ20" i="57"/>
  <c r="AN20" i="57"/>
  <c r="AK20" i="57"/>
  <c r="AH20" i="57"/>
  <c r="AE20" i="57"/>
  <c r="AB20" i="57"/>
  <c r="Y20" i="57"/>
  <c r="V20" i="57"/>
  <c r="S20" i="57"/>
  <c r="P20" i="57"/>
  <c r="M20" i="57"/>
  <c r="J20" i="57"/>
  <c r="G20" i="57"/>
  <c r="D20" i="57"/>
  <c r="BX19" i="57"/>
  <c r="BU19" i="57"/>
  <c r="BR19" i="57"/>
  <c r="BO19" i="57"/>
  <c r="BL19" i="57"/>
  <c r="BI19" i="57"/>
  <c r="BF19" i="57"/>
  <c r="BC19" i="57"/>
  <c r="AZ19" i="57"/>
  <c r="AW19" i="57"/>
  <c r="AT19" i="57"/>
  <c r="AQ19" i="57"/>
  <c r="AN19" i="57"/>
  <c r="AK19" i="57"/>
  <c r="AH19" i="57"/>
  <c r="AE19" i="57"/>
  <c r="AB19" i="57"/>
  <c r="Y19" i="57"/>
  <c r="V19" i="57"/>
  <c r="S19" i="57"/>
  <c r="P19" i="57"/>
  <c r="M19" i="57"/>
  <c r="J19" i="57"/>
  <c r="G19" i="57"/>
  <c r="D19" i="57"/>
  <c r="BX18" i="57"/>
  <c r="BU18" i="57"/>
  <c r="BR18" i="57"/>
  <c r="BO18" i="57"/>
  <c r="BL18" i="57"/>
  <c r="BI18" i="57"/>
  <c r="BF18" i="57"/>
  <c r="BC18" i="57"/>
  <c r="AZ18" i="57"/>
  <c r="AW18" i="57"/>
  <c r="AT18" i="57"/>
  <c r="AQ18" i="57"/>
  <c r="AN18" i="57"/>
  <c r="AK18" i="57"/>
  <c r="AH18" i="57"/>
  <c r="AE18" i="57"/>
  <c r="AB18" i="57"/>
  <c r="Y18" i="57"/>
  <c r="V18" i="57"/>
  <c r="S18" i="57"/>
  <c r="P18" i="57"/>
  <c r="M18" i="57"/>
  <c r="J18" i="57"/>
  <c r="G18" i="57"/>
  <c r="D18" i="57"/>
  <c r="CA17" i="57"/>
  <c r="BX17" i="57"/>
  <c r="BU17" i="57"/>
  <c r="BR17" i="57"/>
  <c r="BO17" i="57"/>
  <c r="BL17" i="57"/>
  <c r="BI17" i="57"/>
  <c r="BF17" i="57"/>
  <c r="BC17" i="57"/>
  <c r="AZ17" i="57"/>
  <c r="AW17" i="57"/>
  <c r="AT17" i="57"/>
  <c r="AQ17" i="57"/>
  <c r="AN17" i="57"/>
  <c r="AK17" i="57"/>
  <c r="AH17" i="57"/>
  <c r="AE17" i="57"/>
  <c r="AB17" i="57"/>
  <c r="Y17" i="57"/>
  <c r="V17" i="57"/>
  <c r="S17" i="57"/>
  <c r="P17" i="57"/>
  <c r="M17" i="57"/>
  <c r="J17" i="57"/>
  <c r="G17" i="57"/>
  <c r="D17" i="57"/>
  <c r="BX16" i="57"/>
  <c r="BU16" i="57"/>
  <c r="BR16" i="57"/>
  <c r="BO16" i="57"/>
  <c r="BL16" i="57"/>
  <c r="BI16" i="57"/>
  <c r="BF16" i="57"/>
  <c r="BC16" i="57"/>
  <c r="AZ16" i="57"/>
  <c r="AW16" i="57"/>
  <c r="AT16" i="57"/>
  <c r="AQ16" i="57"/>
  <c r="AN16" i="57"/>
  <c r="AK16" i="57"/>
  <c r="AH16" i="57"/>
  <c r="AE16" i="57"/>
  <c r="AB16" i="57"/>
  <c r="Y16" i="57"/>
  <c r="V16" i="57"/>
  <c r="S16" i="57"/>
  <c r="P16" i="57"/>
  <c r="M16" i="57"/>
  <c r="J16" i="57"/>
  <c r="G16" i="57"/>
  <c r="D16" i="57"/>
  <c r="BX15" i="57"/>
  <c r="BU15" i="57"/>
  <c r="BR15" i="57"/>
  <c r="BO15" i="57"/>
  <c r="BL15" i="57"/>
  <c r="BI15" i="57"/>
  <c r="BF15" i="57"/>
  <c r="BC15" i="57"/>
  <c r="AZ15" i="57"/>
  <c r="AW15" i="57"/>
  <c r="AT15" i="57"/>
  <c r="AQ15" i="57"/>
  <c r="AN15" i="57"/>
  <c r="AK15" i="57"/>
  <c r="AH15" i="57"/>
  <c r="AE15" i="57"/>
  <c r="AB15" i="57"/>
  <c r="Y15" i="57"/>
  <c r="V15" i="57"/>
  <c r="S15" i="57"/>
  <c r="P15" i="57"/>
  <c r="M15" i="57"/>
  <c r="J15" i="57"/>
  <c r="G15" i="57"/>
  <c r="D15" i="57"/>
  <c r="CA14" i="57"/>
  <c r="BX14" i="57"/>
  <c r="BU14" i="57"/>
  <c r="BR14" i="57"/>
  <c r="BO14" i="57"/>
  <c r="BL14" i="57"/>
  <c r="BI14" i="57"/>
  <c r="BF14" i="57"/>
  <c r="BC14" i="57"/>
  <c r="AZ14" i="57"/>
  <c r="AW14" i="57"/>
  <c r="AT14" i="57"/>
  <c r="AQ14" i="57"/>
  <c r="AN14" i="57"/>
  <c r="AK14" i="57"/>
  <c r="AH14" i="57"/>
  <c r="AE14" i="57"/>
  <c r="AB14" i="57"/>
  <c r="Y14" i="57"/>
  <c r="V14" i="57"/>
  <c r="S14" i="57"/>
  <c r="P14" i="57"/>
  <c r="M14" i="57"/>
  <c r="J14" i="57"/>
  <c r="G14" i="57"/>
  <c r="D14" i="57"/>
  <c r="CA13" i="57"/>
  <c r="BX13" i="57"/>
  <c r="BU13" i="57"/>
  <c r="BR13" i="57"/>
  <c r="BO13" i="57"/>
  <c r="BL13" i="57"/>
  <c r="BI13" i="57"/>
  <c r="BF13" i="57"/>
  <c r="BC13" i="57"/>
  <c r="AZ13" i="57"/>
  <c r="AW13" i="57"/>
  <c r="AT13" i="57"/>
  <c r="AQ13" i="57"/>
  <c r="AN13" i="57"/>
  <c r="AK13" i="57"/>
  <c r="AH13" i="57"/>
  <c r="AE13" i="57"/>
  <c r="AB13" i="57"/>
  <c r="Y13" i="57"/>
  <c r="V13" i="57"/>
  <c r="S13" i="57"/>
  <c r="P13" i="57"/>
  <c r="M13" i="57"/>
  <c r="J13" i="57"/>
  <c r="G13" i="57"/>
  <c r="D13" i="57"/>
  <c r="CA12" i="57"/>
  <c r="BX12" i="57"/>
  <c r="BU12" i="57"/>
  <c r="BR12" i="57"/>
  <c r="BO12" i="57"/>
  <c r="BL12" i="57"/>
  <c r="BI12" i="57"/>
  <c r="BF12" i="57"/>
  <c r="BC12" i="57"/>
  <c r="AZ12" i="57"/>
  <c r="AW12" i="57"/>
  <c r="AT12" i="57"/>
  <c r="AQ12" i="57"/>
  <c r="AN12" i="57"/>
  <c r="AK12" i="57"/>
  <c r="AH12" i="57"/>
  <c r="AE12" i="57"/>
  <c r="AB12" i="57"/>
  <c r="Y12" i="57"/>
  <c r="V12" i="57"/>
  <c r="S12" i="57"/>
  <c r="P12" i="57"/>
  <c r="M12" i="57"/>
  <c r="J12" i="57"/>
  <c r="G12" i="57"/>
  <c r="D12" i="57"/>
  <c r="CA11" i="57"/>
  <c r="BX11" i="57"/>
  <c r="BU11" i="57"/>
  <c r="BR11" i="57"/>
  <c r="BO11" i="57"/>
  <c r="BL11" i="57"/>
  <c r="BI11" i="57"/>
  <c r="BF11" i="57"/>
  <c r="BC11" i="57"/>
  <c r="AZ11" i="57"/>
  <c r="AW11" i="57"/>
  <c r="AT11" i="57"/>
  <c r="AQ11" i="57"/>
  <c r="AN11" i="57"/>
  <c r="AK11" i="57"/>
  <c r="AH11" i="57"/>
  <c r="AE11" i="57"/>
  <c r="AB11" i="57"/>
  <c r="Y11" i="57"/>
  <c r="V11" i="57"/>
  <c r="S11" i="57"/>
  <c r="P11" i="57"/>
  <c r="M11" i="57"/>
  <c r="J11" i="57"/>
  <c r="G11" i="57"/>
  <c r="D11" i="57"/>
  <c r="BX10" i="57"/>
  <c r="BU10" i="57"/>
  <c r="BR10" i="57"/>
  <c r="BO10" i="57"/>
  <c r="BL10" i="57"/>
  <c r="BI10" i="57"/>
  <c r="BF10" i="57"/>
  <c r="BC10" i="57"/>
  <c r="AZ10" i="57"/>
  <c r="AW10" i="57"/>
  <c r="AT10" i="57"/>
  <c r="AQ10" i="57"/>
  <c r="AN10" i="57"/>
  <c r="AK10" i="57"/>
  <c r="AH10" i="57"/>
  <c r="AE10" i="57"/>
  <c r="AB10" i="57"/>
  <c r="Y10" i="57"/>
  <c r="V10" i="57"/>
  <c r="S10" i="57"/>
  <c r="P10" i="57"/>
  <c r="M10" i="57"/>
  <c r="J10" i="57"/>
  <c r="G10" i="57"/>
  <c r="D10" i="57"/>
  <c r="BY9" i="57"/>
  <c r="BX9" i="57"/>
  <c r="BU9" i="57"/>
  <c r="BR9" i="57"/>
  <c r="BO9" i="57"/>
  <c r="BL9" i="57"/>
  <c r="BI9" i="57"/>
  <c r="BF9" i="57"/>
  <c r="BC9" i="57"/>
  <c r="AZ9" i="57"/>
  <c r="AW9" i="57"/>
  <c r="AT9" i="57"/>
  <c r="AQ9" i="57"/>
  <c r="AN9" i="57"/>
  <c r="AK9" i="57"/>
  <c r="AH9" i="57"/>
  <c r="AE9" i="57"/>
  <c r="AB9" i="57"/>
  <c r="Y9" i="57"/>
  <c r="V9" i="57"/>
  <c r="S9" i="57"/>
  <c r="P9" i="57"/>
  <c r="M9" i="57"/>
  <c r="J9" i="57"/>
  <c r="G9" i="57"/>
  <c r="D9" i="57"/>
  <c r="BY8" i="57"/>
  <c r="BX8" i="57"/>
  <c r="BU8" i="57"/>
  <c r="BR8" i="57"/>
  <c r="BO8" i="57"/>
  <c r="BL8" i="57"/>
  <c r="BI8" i="57"/>
  <c r="BF8" i="57"/>
  <c r="BC8" i="57"/>
  <c r="AZ8" i="57"/>
  <c r="AW8" i="57"/>
  <c r="AT8" i="57"/>
  <c r="AQ8" i="57"/>
  <c r="AN8" i="57"/>
  <c r="AK8" i="57"/>
  <c r="AH8" i="57"/>
  <c r="AE8" i="57"/>
  <c r="AB8" i="57"/>
  <c r="Y8" i="57"/>
  <c r="V8" i="57"/>
  <c r="S8" i="57"/>
  <c r="P8" i="57"/>
  <c r="M8" i="57"/>
  <c r="J8" i="57"/>
  <c r="G8" i="57"/>
  <c r="D8" i="57"/>
  <c r="BY7" i="57"/>
  <c r="BX7" i="57"/>
  <c r="BU7" i="57"/>
  <c r="BR7" i="57"/>
  <c r="BO7" i="57"/>
  <c r="BL7" i="57"/>
  <c r="BI7" i="57"/>
  <c r="BF7" i="57"/>
  <c r="BC7" i="57"/>
  <c r="AZ7" i="57"/>
  <c r="AW7" i="57"/>
  <c r="AT7" i="57"/>
  <c r="AQ7" i="57"/>
  <c r="AN7" i="57"/>
  <c r="AK7" i="57"/>
  <c r="AH7" i="57"/>
  <c r="AE7" i="57"/>
  <c r="AB7" i="57"/>
  <c r="Y7" i="57"/>
  <c r="V7" i="57"/>
  <c r="S7" i="57"/>
  <c r="P7" i="57"/>
  <c r="M7" i="57"/>
  <c r="J7" i="57"/>
  <c r="G7" i="57"/>
  <c r="D7" i="57"/>
  <c r="BY6" i="57"/>
  <c r="BX6" i="57"/>
  <c r="BU6" i="57"/>
  <c r="BR6" i="57"/>
  <c r="BO6" i="57"/>
  <c r="BL6" i="57"/>
  <c r="BI6" i="57"/>
  <c r="BF6" i="57"/>
  <c r="BC6" i="57"/>
  <c r="AZ6" i="57"/>
  <c r="AW6" i="57"/>
  <c r="AT6" i="57"/>
  <c r="AQ6" i="57"/>
  <c r="AN6" i="57"/>
  <c r="AK6" i="57"/>
  <c r="AH6" i="57"/>
  <c r="AE6" i="57"/>
  <c r="AB6" i="57"/>
  <c r="Y6" i="57"/>
  <c r="V6" i="57"/>
  <c r="S6" i="57"/>
  <c r="P6" i="57"/>
  <c r="M6" i="57"/>
  <c r="J6" i="57"/>
  <c r="G6" i="57"/>
  <c r="D6" i="57"/>
  <c r="BY5" i="57"/>
  <c r="BX5" i="57"/>
  <c r="BU5" i="57"/>
  <c r="BR5" i="57"/>
  <c r="BO5" i="57"/>
  <c r="BL5" i="57"/>
  <c r="BL36" i="57" s="1"/>
  <c r="BI5" i="57"/>
  <c r="BF5" i="57"/>
  <c r="BF36" i="57" s="1"/>
  <c r="BC5" i="57"/>
  <c r="AZ5" i="57"/>
  <c r="AZ36" i="57" s="1"/>
  <c r="AW5" i="57"/>
  <c r="AT5" i="57"/>
  <c r="AQ5" i="57"/>
  <c r="AN5" i="57"/>
  <c r="AK5" i="57"/>
  <c r="AH5" i="57"/>
  <c r="AE5" i="57"/>
  <c r="AB5" i="57"/>
  <c r="AB36" i="57" s="1"/>
  <c r="Y5" i="57"/>
  <c r="V5" i="57"/>
  <c r="S5" i="57"/>
  <c r="P5" i="57"/>
  <c r="M5" i="57"/>
  <c r="J5" i="57"/>
  <c r="G5" i="57"/>
  <c r="D5" i="57"/>
  <c r="BY16" i="55"/>
  <c r="BZ16" i="55"/>
  <c r="CA16" i="55" s="1"/>
  <c r="S36" i="57" l="1"/>
  <c r="BU36" i="57"/>
  <c r="AQ36" i="57"/>
  <c r="Y36" i="57"/>
  <c r="AW36" i="57"/>
  <c r="BR36" i="57"/>
  <c r="BI36" i="57"/>
  <c r="AH36" i="57"/>
  <c r="AE36" i="57"/>
  <c r="AT36" i="57"/>
  <c r="E5" i="58"/>
  <c r="E6" i="58" s="1"/>
  <c r="E29" i="58"/>
  <c r="E30" i="58" s="1"/>
  <c r="E24" i="58"/>
  <c r="E9" i="58"/>
  <c r="G36" i="57"/>
  <c r="M36" i="57"/>
  <c r="D36" i="57"/>
  <c r="BO36" i="57"/>
  <c r="BC36" i="57"/>
  <c r="AK36" i="57"/>
  <c r="BX36" i="57"/>
  <c r="K8" i="58"/>
  <c r="K9" i="58" s="1"/>
  <c r="K14" i="58"/>
  <c r="K15" i="58" s="1"/>
  <c r="K11" i="58"/>
  <c r="K12" i="58" s="1"/>
  <c r="K5" i="58"/>
  <c r="K6" i="58" s="1"/>
  <c r="H14" i="58"/>
  <c r="H15" i="58" s="1"/>
  <c r="H11" i="58"/>
  <c r="H12" i="58" s="1"/>
  <c r="H5" i="58"/>
  <c r="H6" i="58" s="1"/>
  <c r="E26" i="58"/>
  <c r="E27" i="58" s="1"/>
  <c r="AN36" i="57"/>
  <c r="E20" i="58"/>
  <c r="E21" i="58" s="1"/>
  <c r="E17" i="58"/>
  <c r="E18" i="58" s="1"/>
  <c r="E14" i="58"/>
  <c r="E15" i="58" s="1"/>
  <c r="E11" i="58"/>
  <c r="E12" i="58" s="1"/>
  <c r="V36" i="57"/>
  <c r="B15" i="58"/>
  <c r="B11" i="58"/>
  <c r="J36" i="57"/>
  <c r="N6" i="58"/>
  <c r="B8" i="58"/>
  <c r="B9" i="58" s="1"/>
  <c r="N13" i="58"/>
  <c r="B6" i="58"/>
  <c r="H18" i="58"/>
  <c r="M18" i="58"/>
  <c r="CA5" i="57"/>
  <c r="AT15" i="55"/>
  <c r="AT16" i="55"/>
  <c r="AT17" i="55"/>
  <c r="AQ14" i="55"/>
  <c r="BZ11" i="55"/>
  <c r="BY11" i="55"/>
  <c r="AJ36" i="55"/>
  <c r="C36" i="55"/>
  <c r="BH36" i="55"/>
  <c r="N18" i="58" l="1"/>
  <c r="N19" i="58" s="1"/>
  <c r="N15" i="58"/>
  <c r="CA36" i="57"/>
  <c r="B12" i="58"/>
  <c r="M19" i="58"/>
  <c r="AQ13" i="55"/>
  <c r="BY6" i="55"/>
  <c r="BY7" i="55"/>
  <c r="BY8" i="55"/>
  <c r="BY9" i="55"/>
  <c r="BY10" i="55"/>
  <c r="BY12" i="55"/>
  <c r="BY13" i="55"/>
  <c r="BY14" i="55"/>
  <c r="BY15" i="55"/>
  <c r="BY17" i="55"/>
  <c r="BY18" i="55"/>
  <c r="BY20" i="55"/>
  <c r="BY21" i="55"/>
  <c r="BY24" i="55"/>
  <c r="BY25" i="55"/>
  <c r="BY26" i="55"/>
  <c r="BY27" i="55"/>
  <c r="BY28" i="55"/>
  <c r="BY29" i="55"/>
  <c r="BY30" i="55"/>
  <c r="BY31" i="55"/>
  <c r="BY32" i="55"/>
  <c r="BY33" i="55"/>
  <c r="BY34" i="55"/>
  <c r="BY35" i="55"/>
  <c r="BY5" i="55"/>
  <c r="N13" i="56" l="1"/>
  <c r="O18" i="58"/>
  <c r="B14" i="56"/>
  <c r="N5" i="54"/>
  <c r="N4" i="54"/>
  <c r="N12" i="56"/>
  <c r="BO18" i="55"/>
  <c r="BO19" i="55"/>
  <c r="BO20" i="55"/>
  <c r="D34" i="55"/>
  <c r="G34" i="55"/>
  <c r="J34" i="55"/>
  <c r="M34" i="55"/>
  <c r="P34" i="55"/>
  <c r="S34" i="55"/>
  <c r="V34" i="55"/>
  <c r="Y34" i="55"/>
  <c r="AB34" i="55"/>
  <c r="AE34" i="55"/>
  <c r="AH34" i="55"/>
  <c r="AK34" i="55"/>
  <c r="AN34" i="55"/>
  <c r="AQ34" i="55"/>
  <c r="AT34" i="55"/>
  <c r="AW34" i="55"/>
  <c r="AZ34" i="55"/>
  <c r="BC34" i="55"/>
  <c r="BF34" i="55"/>
  <c r="BI34" i="55"/>
  <c r="BL34" i="55"/>
  <c r="BO34" i="55"/>
  <c r="BR34" i="55"/>
  <c r="BU34" i="55"/>
  <c r="BX34" i="55"/>
  <c r="BZ34" i="55"/>
  <c r="K18" i="56"/>
  <c r="BQ8" i="56"/>
  <c r="BW36" i="55"/>
  <c r="K14" i="56" s="1"/>
  <c r="BV36" i="55"/>
  <c r="K13" i="56" s="1"/>
  <c r="BT36" i="55"/>
  <c r="BS36" i="55"/>
  <c r="K10" i="56" s="1"/>
  <c r="BQ36" i="55"/>
  <c r="K8" i="56" s="1"/>
  <c r="BP36" i="55"/>
  <c r="K7" i="56" s="1"/>
  <c r="BN36" i="55"/>
  <c r="BM36" i="55"/>
  <c r="K4" i="56" s="1"/>
  <c r="BK36" i="55"/>
  <c r="H17" i="56" s="1"/>
  <c r="BJ36" i="55"/>
  <c r="H16" i="56" s="1"/>
  <c r="H14" i="56"/>
  <c r="BG36" i="55"/>
  <c r="H13" i="56" s="1"/>
  <c r="BE36" i="55"/>
  <c r="BD36" i="55"/>
  <c r="BB36" i="55"/>
  <c r="BA36" i="55"/>
  <c r="H10" i="56" s="1"/>
  <c r="AY36" i="55"/>
  <c r="H8" i="56" s="1"/>
  <c r="AX36" i="55"/>
  <c r="H7" i="56" s="1"/>
  <c r="AV36" i="55"/>
  <c r="AW36" i="55" s="1"/>
  <c r="AU36" i="55"/>
  <c r="AS36" i="55"/>
  <c r="AR36" i="55"/>
  <c r="E28" i="56" s="1"/>
  <c r="AP36" i="55"/>
  <c r="E26" i="56" s="1"/>
  <c r="AO36" i="55"/>
  <c r="E25" i="56" s="1"/>
  <c r="AM36" i="55"/>
  <c r="E23" i="56" s="1"/>
  <c r="AL36" i="55"/>
  <c r="E22" i="56" s="1"/>
  <c r="E20" i="56"/>
  <c r="AI36" i="55"/>
  <c r="E19" i="56" s="1"/>
  <c r="AG36" i="55"/>
  <c r="E17" i="56" s="1"/>
  <c r="AF36" i="55"/>
  <c r="E16" i="56" s="1"/>
  <c r="AD36" i="55"/>
  <c r="E14" i="56" s="1"/>
  <c r="AC36" i="55"/>
  <c r="E13" i="56" s="1"/>
  <c r="AA36" i="55"/>
  <c r="Z36" i="55"/>
  <c r="X36" i="55"/>
  <c r="E11" i="56" s="1"/>
  <c r="W36" i="55"/>
  <c r="E10" i="56" s="1"/>
  <c r="U36" i="55"/>
  <c r="T36" i="55"/>
  <c r="E7" i="56" s="1"/>
  <c r="R36" i="55"/>
  <c r="Q36" i="55"/>
  <c r="E4" i="56" s="1"/>
  <c r="O36" i="55"/>
  <c r="N36" i="55"/>
  <c r="B13" i="56" s="1"/>
  <c r="B15" i="56" s="1"/>
  <c r="L36" i="55"/>
  <c r="B11" i="56" s="1"/>
  <c r="K36" i="55"/>
  <c r="B10" i="56" s="1"/>
  <c r="I36" i="55"/>
  <c r="N5" i="56" s="1"/>
  <c r="H36" i="55"/>
  <c r="F36" i="55"/>
  <c r="E36" i="55"/>
  <c r="B36" i="55"/>
  <c r="B4" i="56" s="1"/>
  <c r="BZ35" i="55"/>
  <c r="BX35" i="55"/>
  <c r="BU35" i="55"/>
  <c r="BR35" i="55"/>
  <c r="BO35" i="55"/>
  <c r="BL35" i="55"/>
  <c r="BI35" i="55"/>
  <c r="BF35" i="55"/>
  <c r="BC35" i="55"/>
  <c r="AZ35" i="55"/>
  <c r="AW35" i="55"/>
  <c r="AT35" i="55"/>
  <c r="AQ35" i="55"/>
  <c r="AN35" i="55"/>
  <c r="AK35" i="55"/>
  <c r="AH35" i="55"/>
  <c r="AE35" i="55"/>
  <c r="AB35" i="55"/>
  <c r="Y35" i="55"/>
  <c r="V35" i="55"/>
  <c r="S35" i="55"/>
  <c r="P35" i="55"/>
  <c r="M35" i="55"/>
  <c r="J35" i="55"/>
  <c r="G35" i="55"/>
  <c r="D35" i="55"/>
  <c r="BZ33" i="55"/>
  <c r="BX33" i="55"/>
  <c r="BU33" i="55"/>
  <c r="BR33" i="55"/>
  <c r="BO33" i="55"/>
  <c r="BL33" i="55"/>
  <c r="BI33" i="55"/>
  <c r="BF33" i="55"/>
  <c r="BC33" i="55"/>
  <c r="AZ33" i="55"/>
  <c r="AW33" i="55"/>
  <c r="AT33" i="55"/>
  <c r="AQ33" i="55"/>
  <c r="AN33" i="55"/>
  <c r="AK33" i="55"/>
  <c r="AH33" i="55"/>
  <c r="AE33" i="55"/>
  <c r="AB33" i="55"/>
  <c r="Y33" i="55"/>
  <c r="V33" i="55"/>
  <c r="S33" i="55"/>
  <c r="P33" i="55"/>
  <c r="M33" i="55"/>
  <c r="J33" i="55"/>
  <c r="G33" i="55"/>
  <c r="D33" i="55"/>
  <c r="BZ32" i="55"/>
  <c r="BX32" i="55"/>
  <c r="BU32" i="55"/>
  <c r="BR32" i="55"/>
  <c r="BO32" i="55"/>
  <c r="BL32" i="55"/>
  <c r="BI32" i="55"/>
  <c r="BF32" i="55"/>
  <c r="BC32" i="55"/>
  <c r="AZ32" i="55"/>
  <c r="AW32" i="55"/>
  <c r="AT32" i="55"/>
  <c r="AQ32" i="55"/>
  <c r="AN32" i="55"/>
  <c r="AK32" i="55"/>
  <c r="AH32" i="55"/>
  <c r="AE32" i="55"/>
  <c r="AB32" i="55"/>
  <c r="Y32" i="55"/>
  <c r="V32" i="55"/>
  <c r="S32" i="55"/>
  <c r="P32" i="55"/>
  <c r="M32" i="55"/>
  <c r="J32" i="55"/>
  <c r="G32" i="55"/>
  <c r="D32" i="55"/>
  <c r="BZ31" i="55"/>
  <c r="BX31" i="55"/>
  <c r="BU31" i="55"/>
  <c r="BR31" i="55"/>
  <c r="BO31" i="55"/>
  <c r="BL31" i="55"/>
  <c r="BI31" i="55"/>
  <c r="BF31" i="55"/>
  <c r="BC31" i="55"/>
  <c r="AZ31" i="55"/>
  <c r="AW31" i="55"/>
  <c r="AT31" i="55"/>
  <c r="AQ31" i="55"/>
  <c r="AN31" i="55"/>
  <c r="AK31" i="55"/>
  <c r="AH31" i="55"/>
  <c r="AE31" i="55"/>
  <c r="AB31" i="55"/>
  <c r="Y31" i="55"/>
  <c r="V31" i="55"/>
  <c r="S31" i="55"/>
  <c r="P31" i="55"/>
  <c r="M31" i="55"/>
  <c r="J31" i="55"/>
  <c r="G31" i="55"/>
  <c r="D31" i="55"/>
  <c r="BZ30" i="55"/>
  <c r="BX30" i="55"/>
  <c r="BU30" i="55"/>
  <c r="BR30" i="55"/>
  <c r="BO30" i="55"/>
  <c r="BL30" i="55"/>
  <c r="BI30" i="55"/>
  <c r="BF30" i="55"/>
  <c r="BC30" i="55"/>
  <c r="AZ30" i="55"/>
  <c r="AW30" i="55"/>
  <c r="AT30" i="55"/>
  <c r="AQ30" i="55"/>
  <c r="AN30" i="55"/>
  <c r="AK30" i="55"/>
  <c r="AH30" i="55"/>
  <c r="AE30" i="55"/>
  <c r="AB30" i="55"/>
  <c r="Y30" i="55"/>
  <c r="V30" i="55"/>
  <c r="S30" i="55"/>
  <c r="P30" i="55"/>
  <c r="M30" i="55"/>
  <c r="J30" i="55"/>
  <c r="G30" i="55"/>
  <c r="D30" i="55"/>
  <c r="BZ29" i="55"/>
  <c r="BX29" i="55"/>
  <c r="BU29" i="55"/>
  <c r="BR29" i="55"/>
  <c r="BO29" i="55"/>
  <c r="BL29" i="55"/>
  <c r="BI29" i="55"/>
  <c r="BF29" i="55"/>
  <c r="BC29" i="55"/>
  <c r="AZ29" i="55"/>
  <c r="AW29" i="55"/>
  <c r="AT29" i="55"/>
  <c r="AQ29" i="55"/>
  <c r="AN29" i="55"/>
  <c r="AK29" i="55"/>
  <c r="AH29" i="55"/>
  <c r="AE29" i="55"/>
  <c r="AB29" i="55"/>
  <c r="Y29" i="55"/>
  <c r="V29" i="55"/>
  <c r="S29" i="55"/>
  <c r="P29" i="55"/>
  <c r="M29" i="55"/>
  <c r="J29" i="55"/>
  <c r="G29" i="55"/>
  <c r="D29" i="55"/>
  <c r="BZ28" i="55"/>
  <c r="BX28" i="55"/>
  <c r="BU28" i="55"/>
  <c r="BR28" i="55"/>
  <c r="BO28" i="55"/>
  <c r="BL28" i="55"/>
  <c r="BI28" i="55"/>
  <c r="BF28" i="55"/>
  <c r="BC28" i="55"/>
  <c r="AZ28" i="55"/>
  <c r="AW28" i="55"/>
  <c r="AT28" i="55"/>
  <c r="AQ28" i="55"/>
  <c r="AN28" i="55"/>
  <c r="AK28" i="55"/>
  <c r="AH28" i="55"/>
  <c r="AE28" i="55"/>
  <c r="AB28" i="55"/>
  <c r="Y28" i="55"/>
  <c r="V28" i="55"/>
  <c r="S28" i="55"/>
  <c r="P28" i="55"/>
  <c r="M28" i="55"/>
  <c r="J28" i="55"/>
  <c r="G28" i="55"/>
  <c r="D28" i="55"/>
  <c r="BZ27" i="55"/>
  <c r="BX27" i="55"/>
  <c r="BU27" i="55"/>
  <c r="BR27" i="55"/>
  <c r="BO27" i="55"/>
  <c r="BL27" i="55"/>
  <c r="BI27" i="55"/>
  <c r="BF27" i="55"/>
  <c r="BC27" i="55"/>
  <c r="AZ27" i="55"/>
  <c r="AW27" i="55"/>
  <c r="AT27" i="55"/>
  <c r="AQ27" i="55"/>
  <c r="AN27" i="55"/>
  <c r="AK27" i="55"/>
  <c r="AH27" i="55"/>
  <c r="AE27" i="55"/>
  <c r="AB27" i="55"/>
  <c r="Y27" i="55"/>
  <c r="V27" i="55"/>
  <c r="S27" i="55"/>
  <c r="P27" i="55"/>
  <c r="M27" i="55"/>
  <c r="J27" i="55"/>
  <c r="G27" i="55"/>
  <c r="D27" i="55"/>
  <c r="BZ26" i="55"/>
  <c r="BX26" i="55"/>
  <c r="BU26" i="55"/>
  <c r="BR26" i="55"/>
  <c r="BO26" i="55"/>
  <c r="BL26" i="55"/>
  <c r="BI26" i="55"/>
  <c r="BF26" i="55"/>
  <c r="BC26" i="55"/>
  <c r="AZ26" i="55"/>
  <c r="AW26" i="55"/>
  <c r="AT26" i="55"/>
  <c r="AQ26" i="55"/>
  <c r="AN26" i="55"/>
  <c r="AK26" i="55"/>
  <c r="AH26" i="55"/>
  <c r="AE26" i="55"/>
  <c r="AB26" i="55"/>
  <c r="Y26" i="55"/>
  <c r="V26" i="55"/>
  <c r="S26" i="55"/>
  <c r="P26" i="55"/>
  <c r="M26" i="55"/>
  <c r="J26" i="55"/>
  <c r="G26" i="55"/>
  <c r="D26" i="55"/>
  <c r="BZ25" i="55"/>
  <c r="BX25" i="55"/>
  <c r="BU25" i="55"/>
  <c r="BR25" i="55"/>
  <c r="BO25" i="55"/>
  <c r="BL25" i="55"/>
  <c r="BI25" i="55"/>
  <c r="BF25" i="55"/>
  <c r="BC25" i="55"/>
  <c r="AZ25" i="55"/>
  <c r="AW25" i="55"/>
  <c r="AT25" i="55"/>
  <c r="AQ25" i="55"/>
  <c r="AN25" i="55"/>
  <c r="AK25" i="55"/>
  <c r="AH25" i="55"/>
  <c r="AE25" i="55"/>
  <c r="AB25" i="55"/>
  <c r="Y25" i="55"/>
  <c r="V25" i="55"/>
  <c r="S25" i="55"/>
  <c r="P25" i="55"/>
  <c r="M25" i="55"/>
  <c r="J25" i="55"/>
  <c r="G25" i="55"/>
  <c r="D25" i="55"/>
  <c r="BZ24" i="55"/>
  <c r="BX24" i="55"/>
  <c r="BU24" i="55"/>
  <c r="BR24" i="55"/>
  <c r="BO24" i="55"/>
  <c r="BL24" i="55"/>
  <c r="BI24" i="55"/>
  <c r="BF24" i="55"/>
  <c r="BC24" i="55"/>
  <c r="AZ24" i="55"/>
  <c r="AW24" i="55"/>
  <c r="AT24" i="55"/>
  <c r="AQ24" i="55"/>
  <c r="AN24" i="55"/>
  <c r="AK24" i="55"/>
  <c r="AH24" i="55"/>
  <c r="AE24" i="55"/>
  <c r="AB24" i="55"/>
  <c r="Y24" i="55"/>
  <c r="V24" i="55"/>
  <c r="S24" i="55"/>
  <c r="P24" i="55"/>
  <c r="M24" i="55"/>
  <c r="J24" i="55"/>
  <c r="G24" i="55"/>
  <c r="D24" i="55"/>
  <c r="BX23" i="55"/>
  <c r="BU23" i="55"/>
  <c r="BR23" i="55"/>
  <c r="BO23" i="55"/>
  <c r="BL23" i="55"/>
  <c r="BI23" i="55"/>
  <c r="BF23" i="55"/>
  <c r="BC23" i="55"/>
  <c r="AZ23" i="55"/>
  <c r="AW23" i="55"/>
  <c r="AT23" i="55"/>
  <c r="AQ23" i="55"/>
  <c r="AN23" i="55"/>
  <c r="AK23" i="55"/>
  <c r="AH23" i="55"/>
  <c r="AE23" i="55"/>
  <c r="AB23" i="55"/>
  <c r="Y23" i="55"/>
  <c r="S23" i="55"/>
  <c r="P23" i="55"/>
  <c r="M23" i="55"/>
  <c r="J23" i="55"/>
  <c r="G23" i="55"/>
  <c r="D23" i="55"/>
  <c r="BZ22" i="55"/>
  <c r="BX22" i="55"/>
  <c r="BU22" i="55"/>
  <c r="BR22" i="55"/>
  <c r="BO22" i="55"/>
  <c r="BL22" i="55"/>
  <c r="BI22" i="55"/>
  <c r="BF22" i="55"/>
  <c r="BC22" i="55"/>
  <c r="AZ22" i="55"/>
  <c r="AW22" i="55"/>
  <c r="AT22" i="55"/>
  <c r="AQ22" i="55"/>
  <c r="AN22" i="55"/>
  <c r="AK22" i="55"/>
  <c r="AH22" i="55"/>
  <c r="AE22" i="55"/>
  <c r="AB22" i="55"/>
  <c r="Y22" i="55"/>
  <c r="V22" i="55"/>
  <c r="S22" i="55"/>
  <c r="P22" i="55"/>
  <c r="M22" i="55"/>
  <c r="J22" i="55"/>
  <c r="G22" i="55"/>
  <c r="D22" i="55"/>
  <c r="BZ21" i="55"/>
  <c r="BZ36" i="55" s="1"/>
  <c r="BX21" i="55"/>
  <c r="BU21" i="55"/>
  <c r="BR21" i="55"/>
  <c r="BO21" i="55"/>
  <c r="BL21" i="55"/>
  <c r="BI21" i="55"/>
  <c r="BF21" i="55"/>
  <c r="BC21" i="55"/>
  <c r="AZ21" i="55"/>
  <c r="AW21" i="55"/>
  <c r="AT21" i="55"/>
  <c r="AQ21" i="55"/>
  <c r="AN21" i="55"/>
  <c r="AK21" i="55"/>
  <c r="AH21" i="55"/>
  <c r="AE21" i="55"/>
  <c r="AB21" i="55"/>
  <c r="Y21" i="55"/>
  <c r="V21" i="55"/>
  <c r="S21" i="55"/>
  <c r="P21" i="55"/>
  <c r="M21" i="55"/>
  <c r="J21" i="55"/>
  <c r="G21" i="55"/>
  <c r="D21" i="55"/>
  <c r="BZ20" i="55"/>
  <c r="BX20" i="55"/>
  <c r="BU20" i="55"/>
  <c r="BR20" i="55"/>
  <c r="BL20" i="55"/>
  <c r="BI20" i="55"/>
  <c r="BF20" i="55"/>
  <c r="BC20" i="55"/>
  <c r="AZ20" i="55"/>
  <c r="AW20" i="55"/>
  <c r="AT20" i="55"/>
  <c r="AQ20" i="55"/>
  <c r="AN20" i="55"/>
  <c r="AK20" i="55"/>
  <c r="AH20" i="55"/>
  <c r="AE20" i="55"/>
  <c r="AB20" i="55"/>
  <c r="Y20" i="55"/>
  <c r="V20" i="55"/>
  <c r="S20" i="55"/>
  <c r="P20" i="55"/>
  <c r="M20" i="55"/>
  <c r="J20" i="55"/>
  <c r="G20" i="55"/>
  <c r="D20" i="55"/>
  <c r="BZ19" i="55"/>
  <c r="BX19" i="55"/>
  <c r="BU19" i="55"/>
  <c r="BR19" i="55"/>
  <c r="BL19" i="55"/>
  <c r="BI19" i="55"/>
  <c r="BF19" i="55"/>
  <c r="BC19" i="55"/>
  <c r="AZ19" i="55"/>
  <c r="AW19" i="55"/>
  <c r="AT19" i="55"/>
  <c r="AQ19" i="55"/>
  <c r="AN19" i="55"/>
  <c r="AK19" i="55"/>
  <c r="AH19" i="55"/>
  <c r="AE19" i="55"/>
  <c r="AB19" i="55"/>
  <c r="Y19" i="55"/>
  <c r="V19" i="55"/>
  <c r="S19" i="55"/>
  <c r="P19" i="55"/>
  <c r="M19" i="55"/>
  <c r="J19" i="55"/>
  <c r="G19" i="55"/>
  <c r="D19" i="55"/>
  <c r="BZ18" i="55"/>
  <c r="BX18" i="55"/>
  <c r="BU18" i="55"/>
  <c r="BR18" i="55"/>
  <c r="BL18" i="55"/>
  <c r="BI18" i="55"/>
  <c r="BF18" i="55"/>
  <c r="BC18" i="55"/>
  <c r="AZ18" i="55"/>
  <c r="AW18" i="55"/>
  <c r="AT18" i="55"/>
  <c r="AQ18" i="55"/>
  <c r="AN18" i="55"/>
  <c r="AK18" i="55"/>
  <c r="AH18" i="55"/>
  <c r="AE18" i="55"/>
  <c r="AB18" i="55"/>
  <c r="Y18" i="55"/>
  <c r="V18" i="55"/>
  <c r="S18" i="55"/>
  <c r="P18" i="55"/>
  <c r="M18" i="55"/>
  <c r="J18" i="55"/>
  <c r="G18" i="55"/>
  <c r="D18" i="55"/>
  <c r="BZ17" i="55"/>
  <c r="BX17" i="55"/>
  <c r="BU17" i="55"/>
  <c r="BR17" i="55"/>
  <c r="BO17" i="55"/>
  <c r="BL17" i="55"/>
  <c r="BI17" i="55"/>
  <c r="BF17" i="55"/>
  <c r="BC17" i="55"/>
  <c r="AZ17" i="55"/>
  <c r="AW17" i="55"/>
  <c r="AQ17" i="55"/>
  <c r="AN17" i="55"/>
  <c r="AK17" i="55"/>
  <c r="AH17" i="55"/>
  <c r="AE17" i="55"/>
  <c r="AB17" i="55"/>
  <c r="Y17" i="55"/>
  <c r="V17" i="55"/>
  <c r="S17" i="55"/>
  <c r="P17" i="55"/>
  <c r="M17" i="55"/>
  <c r="J17" i="55"/>
  <c r="G17" i="55"/>
  <c r="D17" i="55"/>
  <c r="BX16" i="55"/>
  <c r="BU16" i="55"/>
  <c r="BR16" i="55"/>
  <c r="BO16" i="55"/>
  <c r="BL16" i="55"/>
  <c r="BI16" i="55"/>
  <c r="BF16" i="55"/>
  <c r="BC16" i="55"/>
  <c r="AZ16" i="55"/>
  <c r="AW16" i="55"/>
  <c r="AQ16" i="55"/>
  <c r="AN16" i="55"/>
  <c r="AK16" i="55"/>
  <c r="AH16" i="55"/>
  <c r="AE16" i="55"/>
  <c r="AB16" i="55"/>
  <c r="Y16" i="55"/>
  <c r="V16" i="55"/>
  <c r="S16" i="55"/>
  <c r="P16" i="55"/>
  <c r="M16" i="55"/>
  <c r="J16" i="55"/>
  <c r="G16" i="55"/>
  <c r="D16" i="55"/>
  <c r="BZ15" i="55"/>
  <c r="BX15" i="55"/>
  <c r="BU15" i="55"/>
  <c r="BR15" i="55"/>
  <c r="BO15" i="55"/>
  <c r="BL15" i="55"/>
  <c r="BI15" i="55"/>
  <c r="BF15" i="55"/>
  <c r="BC15" i="55"/>
  <c r="AZ15" i="55"/>
  <c r="AW15" i="55"/>
  <c r="AQ15" i="55"/>
  <c r="AN15" i="55"/>
  <c r="AK15" i="55"/>
  <c r="AH15" i="55"/>
  <c r="AE15" i="55"/>
  <c r="AB15" i="55"/>
  <c r="Y15" i="55"/>
  <c r="V15" i="55"/>
  <c r="S15" i="55"/>
  <c r="P15" i="55"/>
  <c r="M15" i="55"/>
  <c r="J15" i="55"/>
  <c r="G15" i="55"/>
  <c r="D15" i="55"/>
  <c r="BZ14" i="55"/>
  <c r="BX14" i="55"/>
  <c r="BU14" i="55"/>
  <c r="BR14" i="55"/>
  <c r="BO14" i="55"/>
  <c r="BL14" i="55"/>
  <c r="BI14" i="55"/>
  <c r="BF14" i="55"/>
  <c r="BC14" i="55"/>
  <c r="AZ14" i="55"/>
  <c r="AW14" i="55"/>
  <c r="AT14" i="55"/>
  <c r="AN14" i="55"/>
  <c r="AK14" i="55"/>
  <c r="AH14" i="55"/>
  <c r="AE14" i="55"/>
  <c r="AB14" i="55"/>
  <c r="Y14" i="55"/>
  <c r="V14" i="55"/>
  <c r="S14" i="55"/>
  <c r="P14" i="55"/>
  <c r="M14" i="55"/>
  <c r="J14" i="55"/>
  <c r="G14" i="55"/>
  <c r="D14" i="55"/>
  <c r="BZ13" i="55"/>
  <c r="BX13" i="55"/>
  <c r="BU13" i="55"/>
  <c r="BR13" i="55"/>
  <c r="BO13" i="55"/>
  <c r="BL13" i="55"/>
  <c r="BI13" i="55"/>
  <c r="BF13" i="55"/>
  <c r="BC13" i="55"/>
  <c r="AZ13" i="55"/>
  <c r="AW13" i="55"/>
  <c r="AT13" i="55"/>
  <c r="AN13" i="55"/>
  <c r="AK13" i="55"/>
  <c r="AH13" i="55"/>
  <c r="AE13" i="55"/>
  <c r="AB13" i="55"/>
  <c r="Y13" i="55"/>
  <c r="V13" i="55"/>
  <c r="S13" i="55"/>
  <c r="P13" i="55"/>
  <c r="M13" i="55"/>
  <c r="J13" i="55"/>
  <c r="G13" i="55"/>
  <c r="D13" i="55"/>
  <c r="BZ12" i="55"/>
  <c r="BX12" i="55"/>
  <c r="BU12" i="55"/>
  <c r="BR12" i="55"/>
  <c r="BO12" i="55"/>
  <c r="BL12" i="55"/>
  <c r="BI12" i="55"/>
  <c r="BF12" i="55"/>
  <c r="BC12" i="55"/>
  <c r="AZ12" i="55"/>
  <c r="AW12" i="55"/>
  <c r="AT12" i="55"/>
  <c r="AQ12" i="55"/>
  <c r="AN12" i="55"/>
  <c r="AK12" i="55"/>
  <c r="AH12" i="55"/>
  <c r="AE12" i="55"/>
  <c r="AB12" i="55"/>
  <c r="Y12" i="55"/>
  <c r="V12" i="55"/>
  <c r="S12" i="55"/>
  <c r="P12" i="55"/>
  <c r="M12" i="55"/>
  <c r="J12" i="55"/>
  <c r="G12" i="55"/>
  <c r="D12" i="55"/>
  <c r="BX11" i="55"/>
  <c r="BU11" i="55"/>
  <c r="BR11" i="55"/>
  <c r="BO11" i="55"/>
  <c r="BL11" i="55"/>
  <c r="BI11" i="55"/>
  <c r="BF11" i="55"/>
  <c r="BC11" i="55"/>
  <c r="AZ11" i="55"/>
  <c r="AW11" i="55"/>
  <c r="AT11" i="55"/>
  <c r="AQ11" i="55"/>
  <c r="AN11" i="55"/>
  <c r="AK11" i="55"/>
  <c r="AH11" i="55"/>
  <c r="AE11" i="55"/>
  <c r="AB11" i="55"/>
  <c r="Y11" i="55"/>
  <c r="V11" i="55"/>
  <c r="S11" i="55"/>
  <c r="P11" i="55"/>
  <c r="M11" i="55"/>
  <c r="J11" i="55"/>
  <c r="G11" i="55"/>
  <c r="D11" i="55"/>
  <c r="BZ10" i="55"/>
  <c r="BX10" i="55"/>
  <c r="BU10" i="55"/>
  <c r="BR10" i="55"/>
  <c r="BO10" i="55"/>
  <c r="BL10" i="55"/>
  <c r="BI10" i="55"/>
  <c r="BF10" i="55"/>
  <c r="BC10" i="55"/>
  <c r="AZ10" i="55"/>
  <c r="AW10" i="55"/>
  <c r="AT10" i="55"/>
  <c r="AQ10" i="55"/>
  <c r="AN10" i="55"/>
  <c r="AK10" i="55"/>
  <c r="AH10" i="55"/>
  <c r="AE10" i="55"/>
  <c r="AB10" i="55"/>
  <c r="Y10" i="55"/>
  <c r="V10" i="55"/>
  <c r="S10" i="55"/>
  <c r="P10" i="55"/>
  <c r="M10" i="55"/>
  <c r="J10" i="55"/>
  <c r="G10" i="55"/>
  <c r="D10" i="55"/>
  <c r="BZ9" i="55"/>
  <c r="BX9" i="55"/>
  <c r="BU9" i="55"/>
  <c r="BR9" i="55"/>
  <c r="BO9" i="55"/>
  <c r="BL9" i="55"/>
  <c r="BI9" i="55"/>
  <c r="BF9" i="55"/>
  <c r="BC9" i="55"/>
  <c r="AZ9" i="55"/>
  <c r="AW9" i="55"/>
  <c r="AT9" i="55"/>
  <c r="AQ9" i="55"/>
  <c r="AN9" i="55"/>
  <c r="AK9" i="55"/>
  <c r="AH9" i="55"/>
  <c r="AE9" i="55"/>
  <c r="AB9" i="55"/>
  <c r="Y9" i="55"/>
  <c r="V9" i="55"/>
  <c r="S9" i="55"/>
  <c r="P9" i="55"/>
  <c r="M9" i="55"/>
  <c r="J9" i="55"/>
  <c r="G9" i="55"/>
  <c r="D9" i="55"/>
  <c r="BZ8" i="55"/>
  <c r="BX8" i="55"/>
  <c r="BU8" i="55"/>
  <c r="BR8" i="55"/>
  <c r="BO8" i="55"/>
  <c r="BL8" i="55"/>
  <c r="BI8" i="55"/>
  <c r="BF8" i="55"/>
  <c r="BC8" i="55"/>
  <c r="AZ8" i="55"/>
  <c r="AW8" i="55"/>
  <c r="AT8" i="55"/>
  <c r="AQ8" i="55"/>
  <c r="AN8" i="55"/>
  <c r="AK8" i="55"/>
  <c r="AH8" i="55"/>
  <c r="AE8" i="55"/>
  <c r="AB8" i="55"/>
  <c r="Y8" i="55"/>
  <c r="V8" i="55"/>
  <c r="S8" i="55"/>
  <c r="P8" i="55"/>
  <c r="M8" i="55"/>
  <c r="J8" i="55"/>
  <c r="G8" i="55"/>
  <c r="D8" i="55"/>
  <c r="BZ7" i="55"/>
  <c r="BX7" i="55"/>
  <c r="BU7" i="55"/>
  <c r="BR7" i="55"/>
  <c r="BO7" i="55"/>
  <c r="BL7" i="55"/>
  <c r="BI7" i="55"/>
  <c r="BF7" i="55"/>
  <c r="BC7" i="55"/>
  <c r="AZ7" i="55"/>
  <c r="AW7" i="55"/>
  <c r="AT7" i="55"/>
  <c r="AQ7" i="55"/>
  <c r="AN7" i="55"/>
  <c r="AK7" i="55"/>
  <c r="AH7" i="55"/>
  <c r="AE7" i="55"/>
  <c r="AB7" i="55"/>
  <c r="Y7" i="55"/>
  <c r="V7" i="55"/>
  <c r="S7" i="55"/>
  <c r="P7" i="55"/>
  <c r="M7" i="55"/>
  <c r="J7" i="55"/>
  <c r="G7" i="55"/>
  <c r="D7" i="55"/>
  <c r="BZ6" i="55"/>
  <c r="BX6" i="55"/>
  <c r="BU6" i="55"/>
  <c r="BR6" i="55"/>
  <c r="BO6" i="55"/>
  <c r="BL6" i="55"/>
  <c r="BI6" i="55"/>
  <c r="BF6" i="55"/>
  <c r="BC6" i="55"/>
  <c r="AZ6" i="55"/>
  <c r="AW6" i="55"/>
  <c r="AT6" i="55"/>
  <c r="AQ6" i="55"/>
  <c r="AN6" i="55"/>
  <c r="AK6" i="55"/>
  <c r="AH6" i="55"/>
  <c r="AE6" i="55"/>
  <c r="AB6" i="55"/>
  <c r="Y6" i="55"/>
  <c r="V6" i="55"/>
  <c r="S6" i="55"/>
  <c r="P6" i="55"/>
  <c r="M6" i="55"/>
  <c r="J6" i="55"/>
  <c r="G6" i="55"/>
  <c r="D6" i="55"/>
  <c r="BZ5" i="55"/>
  <c r="BX5" i="55"/>
  <c r="BU5" i="55"/>
  <c r="BR5" i="55"/>
  <c r="BO5" i="55"/>
  <c r="BL5" i="55"/>
  <c r="BI5" i="55"/>
  <c r="BF5" i="55"/>
  <c r="BC5" i="55"/>
  <c r="AZ5" i="55"/>
  <c r="AW5" i="55"/>
  <c r="AT5" i="55"/>
  <c r="AQ5" i="55"/>
  <c r="AN5" i="55"/>
  <c r="AK5" i="55"/>
  <c r="AH5" i="55"/>
  <c r="AE5" i="55"/>
  <c r="AB5" i="55"/>
  <c r="Y5" i="55"/>
  <c r="V5" i="55"/>
  <c r="S5" i="55"/>
  <c r="P5" i="55"/>
  <c r="M5" i="55"/>
  <c r="J5" i="55"/>
  <c r="G5" i="55"/>
  <c r="D5" i="55"/>
  <c r="BY35" i="53"/>
  <c r="H35" i="53"/>
  <c r="CA36" i="55" l="1"/>
  <c r="AB36" i="55"/>
  <c r="AZ36" i="55"/>
  <c r="H9" i="56"/>
  <c r="BU36" i="55"/>
  <c r="BO36" i="55"/>
  <c r="E27" i="56"/>
  <c r="N4" i="56"/>
  <c r="N6" i="56" s="1"/>
  <c r="J36" i="55"/>
  <c r="B7" i="56"/>
  <c r="G36" i="55"/>
  <c r="N14" i="56"/>
  <c r="E12" i="56"/>
  <c r="BX36" i="55"/>
  <c r="N9" i="56"/>
  <c r="K11" i="56"/>
  <c r="K12" i="56" s="1"/>
  <c r="K5" i="56"/>
  <c r="K6" i="56" s="1"/>
  <c r="B8" i="56"/>
  <c r="S36" i="55"/>
  <c r="E15" i="56"/>
  <c r="AT36" i="55"/>
  <c r="H5" i="56"/>
  <c r="H6" i="56" s="1"/>
  <c r="BC36" i="55"/>
  <c r="H15" i="56"/>
  <c r="H11" i="56"/>
  <c r="H12" i="56" s="1"/>
  <c r="E5" i="56"/>
  <c r="E6" i="56" s="1"/>
  <c r="E21" i="56"/>
  <c r="E29" i="56"/>
  <c r="E30" i="56" s="1"/>
  <c r="AN36" i="55"/>
  <c r="V36" i="55"/>
  <c r="E8" i="56"/>
  <c r="E9" i="56" s="1"/>
  <c r="D36" i="55"/>
  <c r="B12" i="56"/>
  <c r="B5" i="56"/>
  <c r="K15" i="56"/>
  <c r="K9" i="56"/>
  <c r="H18" i="56"/>
  <c r="E24" i="56"/>
  <c r="E18" i="56"/>
  <c r="CA34" i="55"/>
  <c r="CA9" i="55"/>
  <c r="CA20" i="55"/>
  <c r="CA28" i="55"/>
  <c r="CA10" i="55"/>
  <c r="CA24" i="55"/>
  <c r="CA13" i="55"/>
  <c r="CA32" i="55"/>
  <c r="CA11" i="55"/>
  <c r="CA22" i="55"/>
  <c r="CA30" i="55"/>
  <c r="CA17" i="55"/>
  <c r="CA15" i="55"/>
  <c r="CA26" i="55"/>
  <c r="CA35" i="55"/>
  <c r="CA7" i="55"/>
  <c r="M36" i="55"/>
  <c r="BR36" i="55"/>
  <c r="BI36" i="55"/>
  <c r="P36" i="55"/>
  <c r="Y36" i="55"/>
  <c r="AK36" i="55"/>
  <c r="BF36" i="55"/>
  <c r="BL36" i="55"/>
  <c r="AE36" i="55"/>
  <c r="AQ36" i="55"/>
  <c r="AH36" i="55"/>
  <c r="CA18" i="55"/>
  <c r="CA21" i="55"/>
  <c r="CA29" i="55"/>
  <c r="CA8" i="55"/>
  <c r="CA19" i="55"/>
  <c r="CA27" i="55"/>
  <c r="CA6" i="55"/>
  <c r="CA14" i="55"/>
  <c r="CA25" i="55"/>
  <c r="CA33" i="55"/>
  <c r="CA12" i="55"/>
  <c r="CA31" i="55"/>
  <c r="CA5" i="55"/>
  <c r="AL35" i="53"/>
  <c r="J14" i="53"/>
  <c r="H17" i="54"/>
  <c r="H16" i="54"/>
  <c r="H8" i="54"/>
  <c r="H7" i="54"/>
  <c r="H18" i="54"/>
  <c r="K18" i="54"/>
  <c r="N6" i="54"/>
  <c r="B9" i="56" l="1"/>
  <c r="B6" i="56"/>
  <c r="N15" i="56"/>
  <c r="H9" i="54"/>
  <c r="BF5" i="53"/>
  <c r="BF6" i="53"/>
  <c r="BF35" i="53" s="1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D35" i="53"/>
  <c r="BE35" i="53"/>
  <c r="BO28" i="53" l="1"/>
  <c r="BR28" i="53"/>
  <c r="BU28" i="53"/>
  <c r="BX28" i="53"/>
  <c r="BY28" i="53"/>
  <c r="BZ28" i="53"/>
  <c r="BU27" i="53"/>
  <c r="BR27" i="53"/>
  <c r="BO27" i="53"/>
  <c r="BU26" i="53"/>
  <c r="BR26" i="53"/>
  <c r="BO26" i="53"/>
  <c r="BU25" i="53"/>
  <c r="BR25" i="53"/>
  <c r="BO25" i="53"/>
  <c r="BC9" i="53" l="1"/>
  <c r="E8" i="52"/>
  <c r="B21" i="52"/>
  <c r="B20" i="52"/>
  <c r="B19" i="52"/>
  <c r="BY5" i="53"/>
  <c r="AZ17" i="53"/>
  <c r="BC17" i="53"/>
  <c r="BI17" i="53"/>
  <c r="AW17" i="53"/>
  <c r="AW15" i="53"/>
  <c r="AZ15" i="53"/>
  <c r="BC15" i="53"/>
  <c r="AW14" i="53"/>
  <c r="AZ14" i="53"/>
  <c r="BC14" i="53"/>
  <c r="AZ12" i="53"/>
  <c r="BC12" i="53"/>
  <c r="BI12" i="53"/>
  <c r="AZ13" i="53"/>
  <c r="BC13" i="53"/>
  <c r="BI13" i="53"/>
  <c r="AW12" i="53"/>
  <c r="AW13" i="53"/>
  <c r="AW8" i="53"/>
  <c r="AW7" i="53"/>
  <c r="AZ7" i="53"/>
  <c r="BC7" i="53"/>
  <c r="AZ5" i="53"/>
  <c r="BC5" i="53"/>
  <c r="BI5" i="53"/>
  <c r="AZ6" i="53"/>
  <c r="BC6" i="53"/>
  <c r="BI6" i="53"/>
  <c r="Y17" i="53"/>
  <c r="AB17" i="53"/>
  <c r="AE17" i="53"/>
  <c r="AH17" i="53"/>
  <c r="AK17" i="53"/>
  <c r="AQ15" i="53"/>
  <c r="Y15" i="53"/>
  <c r="AB15" i="53"/>
  <c r="AE15" i="53"/>
  <c r="AK14" i="53"/>
  <c r="AN14" i="53"/>
  <c r="AQ14" i="53"/>
  <c r="Y14" i="53"/>
  <c r="AB14" i="53"/>
  <c r="AE14" i="53"/>
  <c r="V13" i="53"/>
  <c r="Y13" i="53"/>
  <c r="AB13" i="53"/>
  <c r="AE13" i="53"/>
  <c r="AH13" i="53"/>
  <c r="AK13" i="53"/>
  <c r="AN13" i="53"/>
  <c r="AQ13" i="53"/>
  <c r="AT13" i="53"/>
  <c r="AQ12" i="53"/>
  <c r="AH12" i="53"/>
  <c r="AK12" i="53"/>
  <c r="Y12" i="53"/>
  <c r="AB12" i="53"/>
  <c r="AE12" i="53"/>
  <c r="AN6" i="53"/>
  <c r="AQ6" i="53"/>
  <c r="AT6" i="53"/>
  <c r="AH6" i="53"/>
  <c r="AK6" i="53"/>
  <c r="P16" i="53"/>
  <c r="S16" i="53"/>
  <c r="G16" i="53"/>
  <c r="P14" i="53"/>
  <c r="S14" i="53"/>
  <c r="G13" i="53"/>
  <c r="J13" i="53"/>
  <c r="M13" i="53"/>
  <c r="P13" i="53"/>
  <c r="S13" i="53"/>
  <c r="M8" i="53" l="1"/>
  <c r="BQ8" i="54"/>
  <c r="BW35" i="53"/>
  <c r="BV35" i="53"/>
  <c r="BT35" i="53"/>
  <c r="BS35" i="53"/>
  <c r="BQ35" i="53"/>
  <c r="K8" i="54" s="1"/>
  <c r="BP35" i="53"/>
  <c r="BN35" i="53"/>
  <c r="K5" i="54" s="1"/>
  <c r="BM35" i="53"/>
  <c r="BK35" i="53"/>
  <c r="BJ35" i="53"/>
  <c r="BH35" i="53"/>
  <c r="H14" i="54" s="1"/>
  <c r="BG35" i="53"/>
  <c r="BB35" i="53"/>
  <c r="H11" i="54" s="1"/>
  <c r="BA35" i="53"/>
  <c r="AY35" i="53"/>
  <c r="AX35" i="53"/>
  <c r="AV35" i="53"/>
  <c r="AU35" i="53"/>
  <c r="H4" i="54" s="1"/>
  <c r="AS35" i="53"/>
  <c r="E29" i="54" s="1"/>
  <c r="AR35" i="53"/>
  <c r="AP35" i="53"/>
  <c r="E26" i="54" s="1"/>
  <c r="AO35" i="53"/>
  <c r="AM35" i="53"/>
  <c r="E23" i="54" s="1"/>
  <c r="AJ35" i="53"/>
  <c r="E20" i="54" s="1"/>
  <c r="AI35" i="53"/>
  <c r="AG35" i="53"/>
  <c r="AF35" i="53"/>
  <c r="E16" i="54" s="1"/>
  <c r="AD35" i="53"/>
  <c r="E14" i="54" s="1"/>
  <c r="AC35" i="53"/>
  <c r="E13" i="54" s="1"/>
  <c r="AA35" i="53"/>
  <c r="Z35" i="53"/>
  <c r="X35" i="53"/>
  <c r="E11" i="54" s="1"/>
  <c r="W35" i="53"/>
  <c r="E10" i="54" s="1"/>
  <c r="U35" i="53"/>
  <c r="E8" i="54" s="1"/>
  <c r="T35" i="53"/>
  <c r="R35" i="53"/>
  <c r="Q35" i="53"/>
  <c r="E4" i="54" s="1"/>
  <c r="O35" i="53"/>
  <c r="N35" i="53"/>
  <c r="B13" i="54" s="1"/>
  <c r="L35" i="53"/>
  <c r="B11" i="54" s="1"/>
  <c r="K35" i="53"/>
  <c r="B10" i="54" s="1"/>
  <c r="I35" i="53"/>
  <c r="F35" i="53"/>
  <c r="B8" i="54" s="1"/>
  <c r="E35" i="53"/>
  <c r="C35" i="53"/>
  <c r="B5" i="54" s="1"/>
  <c r="B35" i="53"/>
  <c r="BZ34" i="53"/>
  <c r="BY34" i="53"/>
  <c r="BX34" i="53"/>
  <c r="BU34" i="53"/>
  <c r="BR34" i="53"/>
  <c r="BO34" i="53"/>
  <c r="BL34" i="53"/>
  <c r="BI34" i="53"/>
  <c r="BC34" i="53"/>
  <c r="AZ34" i="53"/>
  <c r="AW34" i="53"/>
  <c r="AT34" i="53"/>
  <c r="AQ34" i="53"/>
  <c r="AN34" i="53"/>
  <c r="AK34" i="53"/>
  <c r="AH34" i="53"/>
  <c r="AE34" i="53"/>
  <c r="AB34" i="53"/>
  <c r="Y34" i="53"/>
  <c r="V34" i="53"/>
  <c r="S34" i="53"/>
  <c r="P34" i="53"/>
  <c r="M34" i="53"/>
  <c r="J34" i="53"/>
  <c r="G34" i="53"/>
  <c r="D34" i="53"/>
  <c r="BZ33" i="53"/>
  <c r="BY33" i="53"/>
  <c r="BX33" i="53"/>
  <c r="BU33" i="53"/>
  <c r="BR33" i="53"/>
  <c r="BO33" i="53"/>
  <c r="BL33" i="53"/>
  <c r="BI33" i="53"/>
  <c r="BC33" i="53"/>
  <c r="AZ33" i="53"/>
  <c r="AW33" i="53"/>
  <c r="AT33" i="53"/>
  <c r="AQ33" i="53"/>
  <c r="AN33" i="53"/>
  <c r="AK33" i="53"/>
  <c r="AH33" i="53"/>
  <c r="AE33" i="53"/>
  <c r="AB33" i="53"/>
  <c r="Y33" i="53"/>
  <c r="V33" i="53"/>
  <c r="S33" i="53"/>
  <c r="P33" i="53"/>
  <c r="M33" i="53"/>
  <c r="J33" i="53"/>
  <c r="G33" i="53"/>
  <c r="D33" i="53"/>
  <c r="BZ32" i="53"/>
  <c r="BY32" i="53"/>
  <c r="BX32" i="53"/>
  <c r="BU32" i="53"/>
  <c r="BR32" i="53"/>
  <c r="BO32" i="53"/>
  <c r="BL32" i="53"/>
  <c r="BI32" i="53"/>
  <c r="BC32" i="53"/>
  <c r="AZ32" i="53"/>
  <c r="AW32" i="53"/>
  <c r="AT32" i="53"/>
  <c r="AQ32" i="53"/>
  <c r="AN32" i="53"/>
  <c r="AK32" i="53"/>
  <c r="AH32" i="53"/>
  <c r="AE32" i="53"/>
  <c r="AB32" i="53"/>
  <c r="Y32" i="53"/>
  <c r="V32" i="53"/>
  <c r="S32" i="53"/>
  <c r="P32" i="53"/>
  <c r="M32" i="53"/>
  <c r="J32" i="53"/>
  <c r="G32" i="53"/>
  <c r="D32" i="53"/>
  <c r="BZ31" i="53"/>
  <c r="BY31" i="53"/>
  <c r="BX31" i="53"/>
  <c r="BU31" i="53"/>
  <c r="BR31" i="53"/>
  <c r="BO31" i="53"/>
  <c r="BL31" i="53"/>
  <c r="BI31" i="53"/>
  <c r="BC31" i="53"/>
  <c r="AZ31" i="53"/>
  <c r="AW31" i="53"/>
  <c r="AT31" i="53"/>
  <c r="AQ31" i="53"/>
  <c r="AN31" i="53"/>
  <c r="AK31" i="53"/>
  <c r="AH31" i="53"/>
  <c r="AE31" i="53"/>
  <c r="AB31" i="53"/>
  <c r="Y31" i="53"/>
  <c r="V31" i="53"/>
  <c r="S31" i="53"/>
  <c r="P31" i="53"/>
  <c r="M31" i="53"/>
  <c r="J31" i="53"/>
  <c r="G31" i="53"/>
  <c r="D31" i="53"/>
  <c r="BZ30" i="53"/>
  <c r="BY30" i="53"/>
  <c r="BX30" i="53"/>
  <c r="BU30" i="53"/>
  <c r="BR30" i="53"/>
  <c r="BO30" i="53"/>
  <c r="BL30" i="53"/>
  <c r="BI30" i="53"/>
  <c r="BC30" i="53"/>
  <c r="AZ30" i="53"/>
  <c r="AW30" i="53"/>
  <c r="AT30" i="53"/>
  <c r="AQ30" i="53"/>
  <c r="AN30" i="53"/>
  <c r="AK30" i="53"/>
  <c r="AH30" i="53"/>
  <c r="AE30" i="53"/>
  <c r="AB30" i="53"/>
  <c r="Y30" i="53"/>
  <c r="V30" i="53"/>
  <c r="S30" i="53"/>
  <c r="P30" i="53"/>
  <c r="M30" i="53"/>
  <c r="J30" i="53"/>
  <c r="G30" i="53"/>
  <c r="D30" i="53"/>
  <c r="BZ29" i="53"/>
  <c r="BY29" i="53"/>
  <c r="BX29" i="53"/>
  <c r="BU29" i="53"/>
  <c r="BR29" i="53"/>
  <c r="BO29" i="53"/>
  <c r="BL29" i="53"/>
  <c r="BI29" i="53"/>
  <c r="BC29" i="53"/>
  <c r="AZ29" i="53"/>
  <c r="AW29" i="53"/>
  <c r="AT29" i="53"/>
  <c r="AQ29" i="53"/>
  <c r="AN29" i="53"/>
  <c r="AK29" i="53"/>
  <c r="AH29" i="53"/>
  <c r="AE29" i="53"/>
  <c r="AB29" i="53"/>
  <c r="Y29" i="53"/>
  <c r="V29" i="53"/>
  <c r="S29" i="53"/>
  <c r="P29" i="53"/>
  <c r="M29" i="53"/>
  <c r="J29" i="53"/>
  <c r="G29" i="53"/>
  <c r="D29" i="53"/>
  <c r="BL28" i="53"/>
  <c r="BI28" i="53"/>
  <c r="BC28" i="53"/>
  <c r="AZ28" i="53"/>
  <c r="AW28" i="53"/>
  <c r="AT28" i="53"/>
  <c r="AQ28" i="53"/>
  <c r="AN28" i="53"/>
  <c r="AK28" i="53"/>
  <c r="AH28" i="53"/>
  <c r="AE28" i="53"/>
  <c r="AB28" i="53"/>
  <c r="Y28" i="53"/>
  <c r="V28" i="53"/>
  <c r="S28" i="53"/>
  <c r="P28" i="53"/>
  <c r="M28" i="53"/>
  <c r="J28" i="53"/>
  <c r="G28" i="53"/>
  <c r="D28" i="53"/>
  <c r="BZ27" i="53"/>
  <c r="BY27" i="53"/>
  <c r="BX27" i="53"/>
  <c r="BL27" i="53"/>
  <c r="BI27" i="53"/>
  <c r="BC27" i="53"/>
  <c r="AZ27" i="53"/>
  <c r="AW27" i="53"/>
  <c r="AT27" i="53"/>
  <c r="AQ27" i="53"/>
  <c r="AN27" i="53"/>
  <c r="AK27" i="53"/>
  <c r="AH27" i="53"/>
  <c r="AE27" i="53"/>
  <c r="AB27" i="53"/>
  <c r="Y27" i="53"/>
  <c r="V27" i="53"/>
  <c r="S27" i="53"/>
  <c r="P27" i="53"/>
  <c r="M27" i="53"/>
  <c r="J27" i="53"/>
  <c r="G27" i="53"/>
  <c r="D27" i="53"/>
  <c r="BZ26" i="53"/>
  <c r="BY26" i="53"/>
  <c r="BX26" i="53"/>
  <c r="BL26" i="53"/>
  <c r="BI26" i="53"/>
  <c r="BC26" i="53"/>
  <c r="AZ26" i="53"/>
  <c r="AW26" i="53"/>
  <c r="AT26" i="53"/>
  <c r="AQ26" i="53"/>
  <c r="AN26" i="53"/>
  <c r="AK26" i="53"/>
  <c r="AH26" i="53"/>
  <c r="AE26" i="53"/>
  <c r="AB26" i="53"/>
  <c r="Y26" i="53"/>
  <c r="V26" i="53"/>
  <c r="S26" i="53"/>
  <c r="P26" i="53"/>
  <c r="M26" i="53"/>
  <c r="J26" i="53"/>
  <c r="G26" i="53"/>
  <c r="D26" i="53"/>
  <c r="BZ25" i="53"/>
  <c r="BY25" i="53"/>
  <c r="BX25" i="53"/>
  <c r="BL25" i="53"/>
  <c r="BI25" i="53"/>
  <c r="BC25" i="53"/>
  <c r="AZ25" i="53"/>
  <c r="AW25" i="53"/>
  <c r="AT25" i="53"/>
  <c r="AQ25" i="53"/>
  <c r="AN25" i="53"/>
  <c r="AK25" i="53"/>
  <c r="AH25" i="53"/>
  <c r="AE25" i="53"/>
  <c r="AB25" i="53"/>
  <c r="Y25" i="53"/>
  <c r="V25" i="53"/>
  <c r="S25" i="53"/>
  <c r="P25" i="53"/>
  <c r="M25" i="53"/>
  <c r="J25" i="53"/>
  <c r="G25" i="53"/>
  <c r="D25" i="53"/>
  <c r="BZ24" i="53"/>
  <c r="BY24" i="53"/>
  <c r="BX24" i="53"/>
  <c r="BU24" i="53"/>
  <c r="BR24" i="53"/>
  <c r="BO24" i="53"/>
  <c r="BL24" i="53"/>
  <c r="BI24" i="53"/>
  <c r="BC24" i="53"/>
  <c r="AZ24" i="53"/>
  <c r="AW24" i="53"/>
  <c r="AT24" i="53"/>
  <c r="AQ24" i="53"/>
  <c r="AN24" i="53"/>
  <c r="AK24" i="53"/>
  <c r="AH24" i="53"/>
  <c r="AE24" i="53"/>
  <c r="AB24" i="53"/>
  <c r="Y24" i="53"/>
  <c r="V24" i="53"/>
  <c r="S24" i="53"/>
  <c r="P24" i="53"/>
  <c r="M24" i="53"/>
  <c r="J24" i="53"/>
  <c r="G24" i="53"/>
  <c r="D24" i="53"/>
  <c r="BZ23" i="53"/>
  <c r="BY23" i="53"/>
  <c r="BX23" i="53"/>
  <c r="BU23" i="53"/>
  <c r="BR23" i="53"/>
  <c r="BO23" i="53"/>
  <c r="BL23" i="53"/>
  <c r="BI23" i="53"/>
  <c r="BC23" i="53"/>
  <c r="AZ23" i="53"/>
  <c r="AW23" i="53"/>
  <c r="AT23" i="53"/>
  <c r="AQ23" i="53"/>
  <c r="AN23" i="53"/>
  <c r="AK23" i="53"/>
  <c r="AH23" i="53"/>
  <c r="AE23" i="53"/>
  <c r="AB23" i="53"/>
  <c r="Y23" i="53"/>
  <c r="V23" i="53"/>
  <c r="S23" i="53"/>
  <c r="P23" i="53"/>
  <c r="M23" i="53"/>
  <c r="J23" i="53"/>
  <c r="G23" i="53"/>
  <c r="D23" i="53"/>
  <c r="BZ22" i="53"/>
  <c r="BY22" i="53"/>
  <c r="BX22" i="53"/>
  <c r="BU22" i="53"/>
  <c r="BR22" i="53"/>
  <c r="BO22" i="53"/>
  <c r="BL22" i="53"/>
  <c r="BI22" i="53"/>
  <c r="BC22" i="53"/>
  <c r="AZ22" i="53"/>
  <c r="AW22" i="53"/>
  <c r="AT22" i="53"/>
  <c r="AQ22" i="53"/>
  <c r="AN22" i="53"/>
  <c r="AK22" i="53"/>
  <c r="AH22" i="53"/>
  <c r="AE22" i="53"/>
  <c r="AB22" i="53"/>
  <c r="Y22" i="53"/>
  <c r="V22" i="53"/>
  <c r="S22" i="53"/>
  <c r="P22" i="53"/>
  <c r="M22" i="53"/>
  <c r="J22" i="53"/>
  <c r="G22" i="53"/>
  <c r="D22" i="53"/>
  <c r="BZ21" i="53"/>
  <c r="BY21" i="53"/>
  <c r="BX21" i="53"/>
  <c r="BU21" i="53"/>
  <c r="BR21" i="53"/>
  <c r="BO21" i="53"/>
  <c r="BL21" i="53"/>
  <c r="BI21" i="53"/>
  <c r="BC21" i="53"/>
  <c r="AZ21" i="53"/>
  <c r="AW21" i="53"/>
  <c r="AT21" i="53"/>
  <c r="AQ21" i="53"/>
  <c r="AN21" i="53"/>
  <c r="AK21" i="53"/>
  <c r="AH21" i="53"/>
  <c r="AE21" i="53"/>
  <c r="AB21" i="53"/>
  <c r="Y21" i="53"/>
  <c r="V21" i="53"/>
  <c r="S21" i="53"/>
  <c r="P21" i="53"/>
  <c r="M21" i="53"/>
  <c r="J21" i="53"/>
  <c r="G21" i="53"/>
  <c r="D21" i="53"/>
  <c r="BZ20" i="53"/>
  <c r="BY20" i="53"/>
  <c r="BX20" i="53"/>
  <c r="BU20" i="53"/>
  <c r="BR20" i="53"/>
  <c r="BO20" i="53"/>
  <c r="BL20" i="53"/>
  <c r="BI20" i="53"/>
  <c r="BC20" i="53"/>
  <c r="AZ20" i="53"/>
  <c r="AW20" i="53"/>
  <c r="AT20" i="53"/>
  <c r="AQ20" i="53"/>
  <c r="AN20" i="53"/>
  <c r="AK20" i="53"/>
  <c r="AH20" i="53"/>
  <c r="AE20" i="53"/>
  <c r="AB20" i="53"/>
  <c r="Y20" i="53"/>
  <c r="V20" i="53"/>
  <c r="S20" i="53"/>
  <c r="P20" i="53"/>
  <c r="M20" i="53"/>
  <c r="J20" i="53"/>
  <c r="G20" i="53"/>
  <c r="D20" i="53"/>
  <c r="BZ19" i="53"/>
  <c r="BY19" i="53"/>
  <c r="BX19" i="53"/>
  <c r="BU19" i="53"/>
  <c r="BR19" i="53"/>
  <c r="BL19" i="53"/>
  <c r="BI19" i="53"/>
  <c r="BC19" i="53"/>
  <c r="AZ19" i="53"/>
  <c r="AW19" i="53"/>
  <c r="AT19" i="53"/>
  <c r="AQ19" i="53"/>
  <c r="AN19" i="53"/>
  <c r="AK19" i="53"/>
  <c r="AH19" i="53"/>
  <c r="AE19" i="53"/>
  <c r="AB19" i="53"/>
  <c r="Y19" i="53"/>
  <c r="V19" i="53"/>
  <c r="S19" i="53"/>
  <c r="P19" i="53"/>
  <c r="M19" i="53"/>
  <c r="J19" i="53"/>
  <c r="G19" i="53"/>
  <c r="D19" i="53"/>
  <c r="BZ18" i="53"/>
  <c r="BY18" i="53"/>
  <c r="BX18" i="53"/>
  <c r="BU18" i="53"/>
  <c r="BR18" i="53"/>
  <c r="BO18" i="53"/>
  <c r="BL18" i="53"/>
  <c r="BI18" i="53"/>
  <c r="BC18" i="53"/>
  <c r="AZ18" i="53"/>
  <c r="AW18" i="53"/>
  <c r="AT18" i="53"/>
  <c r="AQ18" i="53"/>
  <c r="AN18" i="53"/>
  <c r="AK18" i="53"/>
  <c r="AH18" i="53"/>
  <c r="AE18" i="53"/>
  <c r="AB18" i="53"/>
  <c r="Y18" i="53"/>
  <c r="V18" i="53"/>
  <c r="S18" i="53"/>
  <c r="P18" i="53"/>
  <c r="M18" i="53"/>
  <c r="J18" i="53"/>
  <c r="G18" i="53"/>
  <c r="D18" i="53"/>
  <c r="BZ17" i="53"/>
  <c r="BY17" i="53"/>
  <c r="BX17" i="53"/>
  <c r="BU17" i="53"/>
  <c r="BR17" i="53"/>
  <c r="BO17" i="53"/>
  <c r="BL17" i="53"/>
  <c r="AT17" i="53"/>
  <c r="AQ17" i="53"/>
  <c r="AN17" i="53"/>
  <c r="V17" i="53"/>
  <c r="S17" i="53"/>
  <c r="P17" i="53"/>
  <c r="M17" i="53"/>
  <c r="J17" i="53"/>
  <c r="G17" i="53"/>
  <c r="D17" i="53"/>
  <c r="BZ16" i="53"/>
  <c r="BY16" i="53"/>
  <c r="BX16" i="53"/>
  <c r="BU16" i="53"/>
  <c r="BR16" i="53"/>
  <c r="BO16" i="53"/>
  <c r="BL16" i="53"/>
  <c r="BI16" i="53"/>
  <c r="BC16" i="53"/>
  <c r="AZ16" i="53"/>
  <c r="AW16" i="53"/>
  <c r="AT16" i="53"/>
  <c r="AQ16" i="53"/>
  <c r="AN16" i="53"/>
  <c r="AK16" i="53"/>
  <c r="AH16" i="53"/>
  <c r="AE16" i="53"/>
  <c r="AB16" i="53"/>
  <c r="Y16" i="53"/>
  <c r="V16" i="53"/>
  <c r="M16" i="53"/>
  <c r="J16" i="53"/>
  <c r="D16" i="53"/>
  <c r="BZ15" i="53"/>
  <c r="BY15" i="53"/>
  <c r="BX15" i="53"/>
  <c r="BU15" i="53"/>
  <c r="BR15" i="53"/>
  <c r="BO15" i="53"/>
  <c r="BL15" i="53"/>
  <c r="BI15" i="53"/>
  <c r="AT15" i="53"/>
  <c r="AN15" i="53"/>
  <c r="AK15" i="53"/>
  <c r="AH15" i="53"/>
  <c r="V15" i="53"/>
  <c r="S15" i="53"/>
  <c r="P15" i="53"/>
  <c r="M15" i="53"/>
  <c r="J15" i="53"/>
  <c r="G15" i="53"/>
  <c r="D15" i="53"/>
  <c r="BZ14" i="53"/>
  <c r="BY14" i="53"/>
  <c r="BX14" i="53"/>
  <c r="BU14" i="53"/>
  <c r="BR14" i="53"/>
  <c r="BO14" i="53"/>
  <c r="BL14" i="53"/>
  <c r="BI14" i="53"/>
  <c r="AT14" i="53"/>
  <c r="AH14" i="53"/>
  <c r="V14" i="53"/>
  <c r="M14" i="53"/>
  <c r="G14" i="53"/>
  <c r="D14" i="53"/>
  <c r="BZ13" i="53"/>
  <c r="BY13" i="53"/>
  <c r="BX13" i="53"/>
  <c r="BU13" i="53"/>
  <c r="BR13" i="53"/>
  <c r="BO13" i="53"/>
  <c r="BL13" i="53"/>
  <c r="D13" i="53"/>
  <c r="BZ12" i="53"/>
  <c r="BY12" i="53"/>
  <c r="BX12" i="53"/>
  <c r="BU12" i="53"/>
  <c r="BR12" i="53"/>
  <c r="BO12" i="53"/>
  <c r="BL12" i="53"/>
  <c r="AT12" i="53"/>
  <c r="AN12" i="53"/>
  <c r="V12" i="53"/>
  <c r="S12" i="53"/>
  <c r="P12" i="53"/>
  <c r="M12" i="53"/>
  <c r="J12" i="53"/>
  <c r="G12" i="53"/>
  <c r="D12" i="53"/>
  <c r="BZ11" i="53"/>
  <c r="BY11" i="53"/>
  <c r="BX11" i="53"/>
  <c r="BU11" i="53"/>
  <c r="BR11" i="53"/>
  <c r="BO11" i="53"/>
  <c r="BL11" i="53"/>
  <c r="BI11" i="53"/>
  <c r="BC11" i="53"/>
  <c r="AZ11" i="53"/>
  <c r="AW11" i="53"/>
  <c r="AT11" i="53"/>
  <c r="AQ11" i="53"/>
  <c r="AN11" i="53"/>
  <c r="AK11" i="53"/>
  <c r="AH11" i="53"/>
  <c r="AE11" i="53"/>
  <c r="AB11" i="53"/>
  <c r="Y11" i="53"/>
  <c r="V11" i="53"/>
  <c r="S11" i="53"/>
  <c r="P11" i="53"/>
  <c r="M11" i="53"/>
  <c r="J11" i="53"/>
  <c r="G11" i="53"/>
  <c r="D11" i="53"/>
  <c r="BZ10" i="53"/>
  <c r="BY10" i="53"/>
  <c r="BX10" i="53"/>
  <c r="BU10" i="53"/>
  <c r="BR10" i="53"/>
  <c r="BO10" i="53"/>
  <c r="BL10" i="53"/>
  <c r="BI10" i="53"/>
  <c r="BC10" i="53"/>
  <c r="AZ10" i="53"/>
  <c r="AW10" i="53"/>
  <c r="AT10" i="53"/>
  <c r="AQ10" i="53"/>
  <c r="AN10" i="53"/>
  <c r="AK10" i="53"/>
  <c r="AH10" i="53"/>
  <c r="AE10" i="53"/>
  <c r="AB10" i="53"/>
  <c r="Y10" i="53"/>
  <c r="V10" i="53"/>
  <c r="S10" i="53"/>
  <c r="P10" i="53"/>
  <c r="M10" i="53"/>
  <c r="J10" i="53"/>
  <c r="G10" i="53"/>
  <c r="D10" i="53"/>
  <c r="BZ9" i="53"/>
  <c r="BY9" i="53"/>
  <c r="BX9" i="53"/>
  <c r="BU9" i="53"/>
  <c r="BR9" i="53"/>
  <c r="BO9" i="53"/>
  <c r="BL9" i="53"/>
  <c r="BI9" i="53"/>
  <c r="AZ9" i="53"/>
  <c r="AW9" i="53"/>
  <c r="AT9" i="53"/>
  <c r="AQ9" i="53"/>
  <c r="AN9" i="53"/>
  <c r="AK9" i="53"/>
  <c r="AH9" i="53"/>
  <c r="AE9" i="53"/>
  <c r="AB9" i="53"/>
  <c r="Y9" i="53"/>
  <c r="V9" i="53"/>
  <c r="S9" i="53"/>
  <c r="P9" i="53"/>
  <c r="M9" i="53"/>
  <c r="J9" i="53"/>
  <c r="G9" i="53"/>
  <c r="D9" i="53"/>
  <c r="BZ8" i="53"/>
  <c r="BY8" i="53"/>
  <c r="BX8" i="53"/>
  <c r="BU8" i="53"/>
  <c r="BR8" i="53"/>
  <c r="BO8" i="53"/>
  <c r="BL8" i="53"/>
  <c r="BI8" i="53"/>
  <c r="BC8" i="53"/>
  <c r="AZ8" i="53"/>
  <c r="AT8" i="53"/>
  <c r="AQ8" i="53"/>
  <c r="AN8" i="53"/>
  <c r="AK8" i="53"/>
  <c r="AH8" i="53"/>
  <c r="AE8" i="53"/>
  <c r="AB8" i="53"/>
  <c r="Y8" i="53"/>
  <c r="V8" i="53"/>
  <c r="S8" i="53"/>
  <c r="P8" i="53"/>
  <c r="J8" i="53"/>
  <c r="G8" i="53"/>
  <c r="D8" i="53"/>
  <c r="BZ7" i="53"/>
  <c r="BY7" i="53"/>
  <c r="BX7" i="53"/>
  <c r="BU7" i="53"/>
  <c r="BR7" i="53"/>
  <c r="BO7" i="53"/>
  <c r="BL7" i="53"/>
  <c r="BI7" i="53"/>
  <c r="AT7" i="53"/>
  <c r="AQ7" i="53"/>
  <c r="AN7" i="53"/>
  <c r="AK7" i="53"/>
  <c r="AH7" i="53"/>
  <c r="AE7" i="53"/>
  <c r="AB7" i="53"/>
  <c r="Y7" i="53"/>
  <c r="V7" i="53"/>
  <c r="S7" i="53"/>
  <c r="P7" i="53"/>
  <c r="M7" i="53"/>
  <c r="J7" i="53"/>
  <c r="G7" i="53"/>
  <c r="D7" i="53"/>
  <c r="BZ6" i="53"/>
  <c r="BY6" i="53"/>
  <c r="BX6" i="53"/>
  <c r="BU6" i="53"/>
  <c r="BR6" i="53"/>
  <c r="BO6" i="53"/>
  <c r="BL6" i="53"/>
  <c r="AW6" i="53"/>
  <c r="AE6" i="53"/>
  <c r="AB6" i="53"/>
  <c r="Y6" i="53"/>
  <c r="V6" i="53"/>
  <c r="S6" i="53"/>
  <c r="P6" i="53"/>
  <c r="M6" i="53"/>
  <c r="J6" i="53"/>
  <c r="G6" i="53"/>
  <c r="D6" i="53"/>
  <c r="BZ5" i="53"/>
  <c r="BX5" i="53"/>
  <c r="BU5" i="53"/>
  <c r="BR5" i="53"/>
  <c r="BO5" i="53"/>
  <c r="BL5" i="53"/>
  <c r="AW5" i="53"/>
  <c r="AT5" i="53"/>
  <c r="AQ5" i="53"/>
  <c r="AN5" i="53"/>
  <c r="AK5" i="53"/>
  <c r="AH5" i="53"/>
  <c r="AE5" i="53"/>
  <c r="AB5" i="53"/>
  <c r="Y5" i="53"/>
  <c r="V5" i="53"/>
  <c r="S5" i="53"/>
  <c r="P5" i="53"/>
  <c r="M5" i="53"/>
  <c r="J5" i="53"/>
  <c r="G5" i="53"/>
  <c r="D5" i="53"/>
  <c r="BZ6" i="51"/>
  <c r="BZ7" i="51"/>
  <c r="BZ8" i="51"/>
  <c r="BZ9" i="51"/>
  <c r="BZ10" i="51"/>
  <c r="BZ11" i="51"/>
  <c r="BZ12" i="51"/>
  <c r="BZ13" i="51"/>
  <c r="BZ14" i="51"/>
  <c r="BZ15" i="51"/>
  <c r="BZ16" i="51"/>
  <c r="BZ17" i="51"/>
  <c r="BZ18" i="51"/>
  <c r="BZ19" i="51"/>
  <c r="BZ20" i="51"/>
  <c r="BZ21" i="51"/>
  <c r="BZ22" i="51"/>
  <c r="BZ23" i="51"/>
  <c r="BZ24" i="51"/>
  <c r="BZ25" i="51"/>
  <c r="BZ26" i="51"/>
  <c r="BZ27" i="51"/>
  <c r="BZ28" i="51"/>
  <c r="BZ29" i="51"/>
  <c r="BZ30" i="51"/>
  <c r="BZ31" i="51"/>
  <c r="BZ32" i="51"/>
  <c r="BZ33" i="51"/>
  <c r="BZ34" i="51"/>
  <c r="BZ35" i="51"/>
  <c r="BZ5" i="51"/>
  <c r="BY6" i="51"/>
  <c r="BY7" i="51"/>
  <c r="BY8" i="51"/>
  <c r="BY9" i="51"/>
  <c r="BY10" i="51"/>
  <c r="BY11" i="51"/>
  <c r="BY12" i="51"/>
  <c r="BY13" i="51"/>
  <c r="BY14" i="51"/>
  <c r="BY15" i="51"/>
  <c r="BY16" i="51"/>
  <c r="BY17" i="51"/>
  <c r="BY18" i="51"/>
  <c r="BY19" i="51"/>
  <c r="BY20" i="51"/>
  <c r="BY21" i="51"/>
  <c r="BY22" i="51"/>
  <c r="BY23" i="51"/>
  <c r="BY24" i="51"/>
  <c r="BY25" i="51"/>
  <c r="BY26" i="51"/>
  <c r="BY27" i="51"/>
  <c r="BY28" i="51"/>
  <c r="BY29" i="51"/>
  <c r="BY30" i="51"/>
  <c r="BY31" i="51"/>
  <c r="BY32" i="51"/>
  <c r="BY33" i="51"/>
  <c r="BY34" i="51"/>
  <c r="BY35" i="51"/>
  <c r="BY5" i="51"/>
  <c r="BW36" i="51"/>
  <c r="BV36" i="51"/>
  <c r="BT36" i="51"/>
  <c r="BS36" i="51"/>
  <c r="BQ36" i="51"/>
  <c r="BP36" i="51"/>
  <c r="BN36" i="51"/>
  <c r="BM36" i="51"/>
  <c r="BB36" i="51"/>
  <c r="BA36" i="51"/>
  <c r="AV36" i="51"/>
  <c r="AU36" i="51"/>
  <c r="BH36" i="51"/>
  <c r="BG36" i="51"/>
  <c r="AW34" i="51"/>
  <c r="AZ34" i="51"/>
  <c r="BC34" i="51"/>
  <c r="BF34" i="51"/>
  <c r="BI34" i="51"/>
  <c r="AS36" i="51"/>
  <c r="AR36" i="51"/>
  <c r="AP36" i="51"/>
  <c r="AO36" i="51"/>
  <c r="AM36" i="51"/>
  <c r="AL36" i="51"/>
  <c r="AJ36" i="51"/>
  <c r="AI36" i="51"/>
  <c r="AG36" i="51"/>
  <c r="AF36" i="51"/>
  <c r="AD36" i="51"/>
  <c r="AC36" i="51"/>
  <c r="X36" i="51"/>
  <c r="W36" i="51"/>
  <c r="U36" i="51"/>
  <c r="T36" i="51"/>
  <c r="L36" i="51"/>
  <c r="K36" i="51"/>
  <c r="C36" i="51"/>
  <c r="B36" i="51"/>
  <c r="F36" i="51"/>
  <c r="E36" i="51"/>
  <c r="AH32" i="51"/>
  <c r="AK32" i="51"/>
  <c r="AE31" i="51"/>
  <c r="AH31" i="51"/>
  <c r="AK31" i="51"/>
  <c r="G30" i="51"/>
  <c r="J30" i="51"/>
  <c r="M30" i="51"/>
  <c r="P32" i="51"/>
  <c r="P33" i="51"/>
  <c r="P34" i="51"/>
  <c r="P35" i="51"/>
  <c r="S36" i="51"/>
  <c r="Q36" i="51"/>
  <c r="R36" i="51"/>
  <c r="S32" i="51"/>
  <c r="S33" i="51"/>
  <c r="S34" i="51"/>
  <c r="S35" i="51"/>
  <c r="AH29" i="51"/>
  <c r="AK29" i="51"/>
  <c r="G29" i="51"/>
  <c r="J29" i="51"/>
  <c r="M29" i="51"/>
  <c r="S5" i="51"/>
  <c r="S6" i="51"/>
  <c r="S7" i="51"/>
  <c r="S8" i="51"/>
  <c r="S9" i="51"/>
  <c r="S10" i="51"/>
  <c r="S11" i="51"/>
  <c r="S12" i="51"/>
  <c r="S13" i="51"/>
  <c r="S14" i="51"/>
  <c r="S15" i="51"/>
  <c r="S16" i="51"/>
  <c r="S17" i="51"/>
  <c r="S18" i="51"/>
  <c r="S19" i="51"/>
  <c r="S20" i="51"/>
  <c r="S21" i="51"/>
  <c r="S22" i="51"/>
  <c r="S23" i="51"/>
  <c r="S24" i="51"/>
  <c r="S25" i="51"/>
  <c r="S26" i="51"/>
  <c r="S27" i="51"/>
  <c r="S28" i="51"/>
  <c r="S29" i="51"/>
  <c r="S30" i="51"/>
  <c r="S31" i="51"/>
  <c r="AE21" i="51"/>
  <c r="AE22" i="51"/>
  <c r="AE23" i="51"/>
  <c r="AE24" i="51"/>
  <c r="AE25" i="51"/>
  <c r="AE26" i="51"/>
  <c r="AE27" i="51"/>
  <c r="AE28" i="51"/>
  <c r="AE29" i="51"/>
  <c r="AE30" i="51"/>
  <c r="AE32" i="51"/>
  <c r="AE33" i="51"/>
  <c r="AE34" i="51"/>
  <c r="AE35" i="51"/>
  <c r="AW22" i="51"/>
  <c r="AZ22" i="51"/>
  <c r="BC22" i="51"/>
  <c r="AH22" i="51"/>
  <c r="AK22" i="51"/>
  <c r="BR20" i="51"/>
  <c r="BU20" i="51"/>
  <c r="BR21" i="51"/>
  <c r="BU21" i="51"/>
  <c r="BR22" i="51"/>
  <c r="BU22" i="51"/>
  <c r="BR23" i="51"/>
  <c r="BU23" i="51"/>
  <c r="BR24" i="51"/>
  <c r="BU24" i="51"/>
  <c r="BR25" i="51"/>
  <c r="BU25" i="51"/>
  <c r="Y14" i="51"/>
  <c r="AB14" i="51"/>
  <c r="AE14" i="51"/>
  <c r="AH14" i="51"/>
  <c r="M14" i="51"/>
  <c r="G14" i="51"/>
  <c r="D14" i="51"/>
  <c r="D13" i="51"/>
  <c r="G13" i="51"/>
  <c r="M13" i="51"/>
  <c r="AW9" i="51"/>
  <c r="AZ9" i="51"/>
  <c r="BC9" i="51"/>
  <c r="BF9" i="51"/>
  <c r="BI7" i="51"/>
  <c r="BI8" i="51"/>
  <c r="AW8" i="51"/>
  <c r="AZ8" i="51"/>
  <c r="BC8" i="51"/>
  <c r="BF8" i="51"/>
  <c r="AT11" i="51"/>
  <c r="AH9" i="51"/>
  <c r="AK9" i="51"/>
  <c r="AN9" i="51"/>
  <c r="AQ9" i="51"/>
  <c r="AT9" i="51"/>
  <c r="V9" i="51"/>
  <c r="Y9" i="51"/>
  <c r="AB9" i="51"/>
  <c r="AE9" i="51"/>
  <c r="B7" i="54" l="1"/>
  <c r="G35" i="53"/>
  <c r="K14" i="54"/>
  <c r="BX35" i="53"/>
  <c r="K13" i="54"/>
  <c r="K11" i="54"/>
  <c r="N8" i="54"/>
  <c r="N7" i="54"/>
  <c r="BU35" i="53"/>
  <c r="K10" i="54"/>
  <c r="K7" i="54"/>
  <c r="K9" i="54" s="1"/>
  <c r="BR35" i="53"/>
  <c r="BO35" i="53"/>
  <c r="K4" i="54"/>
  <c r="K6" i="54" s="1"/>
  <c r="AW35" i="53"/>
  <c r="H5" i="54"/>
  <c r="H6" i="54" s="1"/>
  <c r="BC35" i="53"/>
  <c r="H10" i="54"/>
  <c r="H12" i="54" s="1"/>
  <c r="BI35" i="53"/>
  <c r="H13" i="54"/>
  <c r="H15" i="54" s="1"/>
  <c r="E25" i="54"/>
  <c r="E27" i="54" s="1"/>
  <c r="AQ35" i="53"/>
  <c r="B9" i="54"/>
  <c r="B12" i="54"/>
  <c r="B14" i="54"/>
  <c r="B15" i="54" s="1"/>
  <c r="P35" i="53"/>
  <c r="S35" i="53"/>
  <c r="E5" i="54"/>
  <c r="E6" i="54" s="1"/>
  <c r="E12" i="54"/>
  <c r="E15" i="54"/>
  <c r="AH35" i="53"/>
  <c r="E17" i="54"/>
  <c r="E18" i="54" s="1"/>
  <c r="AK35" i="53"/>
  <c r="E19" i="54"/>
  <c r="E21" i="54" s="1"/>
  <c r="AN35" i="53"/>
  <c r="E22" i="54"/>
  <c r="E24" i="54" s="1"/>
  <c r="AT35" i="53"/>
  <c r="E28" i="54"/>
  <c r="E30" i="54" s="1"/>
  <c r="E7" i="54"/>
  <c r="E9" i="54" s="1"/>
  <c r="V35" i="53"/>
  <c r="CA30" i="53"/>
  <c r="B4" i="54"/>
  <c r="B6" i="54" s="1"/>
  <c r="D35" i="53"/>
  <c r="BY36" i="51"/>
  <c r="N13" i="54"/>
  <c r="Y35" i="53"/>
  <c r="AE35" i="53"/>
  <c r="CA33" i="53"/>
  <c r="CA25" i="53"/>
  <c r="CA20" i="53"/>
  <c r="CA15" i="53"/>
  <c r="CA17" i="53"/>
  <c r="CA8" i="53"/>
  <c r="CA28" i="53"/>
  <c r="CA26" i="53"/>
  <c r="CA11" i="53"/>
  <c r="CA29" i="53"/>
  <c r="CA32" i="53"/>
  <c r="CA7" i="53"/>
  <c r="AZ35" i="53"/>
  <c r="CA19" i="53"/>
  <c r="CA9" i="53"/>
  <c r="M35" i="53"/>
  <c r="J35" i="53"/>
  <c r="CA22" i="53"/>
  <c r="CA12" i="53"/>
  <c r="CA18" i="53"/>
  <c r="CA21" i="53"/>
  <c r="CA31" i="53"/>
  <c r="AB35" i="53"/>
  <c r="CA24" i="53"/>
  <c r="CA16" i="53"/>
  <c r="BL35" i="53"/>
  <c r="CA34" i="53"/>
  <c r="CA13" i="53"/>
  <c r="CA6" i="53"/>
  <c r="BZ35" i="53"/>
  <c r="N14" i="54" s="1"/>
  <c r="CA14" i="53"/>
  <c r="CA27" i="53"/>
  <c r="CA10" i="53"/>
  <c r="CA23" i="53"/>
  <c r="CA5" i="53"/>
  <c r="BZ36" i="51"/>
  <c r="BQ8" i="52"/>
  <c r="D35" i="51"/>
  <c r="G35" i="51"/>
  <c r="J35" i="51"/>
  <c r="M35" i="51"/>
  <c r="V35" i="51"/>
  <c r="Y35" i="51"/>
  <c r="AB35" i="51"/>
  <c r="AH35" i="51"/>
  <c r="AK35" i="51"/>
  <c r="AN35" i="51"/>
  <c r="AQ35" i="51"/>
  <c r="AT35" i="51"/>
  <c r="AW35" i="51"/>
  <c r="AZ35" i="51"/>
  <c r="BC35" i="51"/>
  <c r="BF35" i="51"/>
  <c r="BI35" i="51"/>
  <c r="BL35" i="51"/>
  <c r="BO35" i="51"/>
  <c r="BR35" i="51"/>
  <c r="BU35" i="51"/>
  <c r="BX35" i="51"/>
  <c r="H11" i="52"/>
  <c r="H10" i="52"/>
  <c r="H8" i="52"/>
  <c r="H7" i="52"/>
  <c r="E17" i="52"/>
  <c r="E16" i="52"/>
  <c r="BK36" i="51"/>
  <c r="E14" i="52" s="1"/>
  <c r="BJ36" i="51"/>
  <c r="E13" i="52" s="1"/>
  <c r="E11" i="52"/>
  <c r="E10" i="52"/>
  <c r="BE36" i="51"/>
  <c r="BD36" i="51"/>
  <c r="E7" i="52" s="1"/>
  <c r="E5" i="52"/>
  <c r="E4" i="52"/>
  <c r="AY36" i="51"/>
  <c r="AX36" i="51"/>
  <c r="B41" i="52"/>
  <c r="B40" i="52"/>
  <c r="B38" i="52"/>
  <c r="B37" i="52"/>
  <c r="B35" i="52"/>
  <c r="B34" i="52"/>
  <c r="B32" i="52"/>
  <c r="B31" i="52"/>
  <c r="B29" i="52"/>
  <c r="B28" i="52"/>
  <c r="B23" i="52"/>
  <c r="AE36" i="51"/>
  <c r="AA36" i="51"/>
  <c r="Z36" i="51"/>
  <c r="B17" i="52"/>
  <c r="B16" i="52"/>
  <c r="B14" i="52"/>
  <c r="B13" i="52"/>
  <c r="O36" i="51"/>
  <c r="H5" i="52" s="1"/>
  <c r="N36" i="51"/>
  <c r="H4" i="52" s="1"/>
  <c r="B11" i="52"/>
  <c r="B10" i="52"/>
  <c r="I36" i="51"/>
  <c r="H36" i="51"/>
  <c r="B8" i="52"/>
  <c r="B7" i="52"/>
  <c r="BX34" i="51"/>
  <c r="BU34" i="51"/>
  <c r="BR34" i="51"/>
  <c r="BO34" i="51"/>
  <c r="BL34" i="51"/>
  <c r="AT34" i="51"/>
  <c r="AQ34" i="51"/>
  <c r="AN34" i="51"/>
  <c r="AK34" i="51"/>
  <c r="AH34" i="51"/>
  <c r="AB34" i="51"/>
  <c r="Y34" i="51"/>
  <c r="V34" i="51"/>
  <c r="M34" i="51"/>
  <c r="J34" i="51"/>
  <c r="G34" i="51"/>
  <c r="D34" i="51"/>
  <c r="BX33" i="51"/>
  <c r="BU33" i="51"/>
  <c r="BR33" i="51"/>
  <c r="BO33" i="51"/>
  <c r="BL33" i="51"/>
  <c r="BI33" i="51"/>
  <c r="BF33" i="51"/>
  <c r="BC33" i="51"/>
  <c r="AZ33" i="51"/>
  <c r="AW33" i="51"/>
  <c r="AT33" i="51"/>
  <c r="AQ33" i="51"/>
  <c r="AN33" i="51"/>
  <c r="AK33" i="51"/>
  <c r="AH33" i="51"/>
  <c r="AB33" i="51"/>
  <c r="Y33" i="51"/>
  <c r="V33" i="51"/>
  <c r="M33" i="51"/>
  <c r="J33" i="51"/>
  <c r="G33" i="51"/>
  <c r="D33" i="51"/>
  <c r="BX32" i="51"/>
  <c r="BU32" i="51"/>
  <c r="BR32" i="51"/>
  <c r="BO32" i="51"/>
  <c r="BL32" i="51"/>
  <c r="BI32" i="51"/>
  <c r="BF32" i="51"/>
  <c r="BC32" i="51"/>
  <c r="AZ32" i="51"/>
  <c r="AW32" i="51"/>
  <c r="AT32" i="51"/>
  <c r="AQ32" i="51"/>
  <c r="AN32" i="51"/>
  <c r="AB32" i="51"/>
  <c r="Y32" i="51"/>
  <c r="V32" i="51"/>
  <c r="M32" i="51"/>
  <c r="J32" i="51"/>
  <c r="G32" i="51"/>
  <c r="D32" i="51"/>
  <c r="BX31" i="51"/>
  <c r="BU31" i="51"/>
  <c r="BR31" i="51"/>
  <c r="BO31" i="51"/>
  <c r="BL31" i="51"/>
  <c r="BI31" i="51"/>
  <c r="BF31" i="51"/>
  <c r="BC31" i="51"/>
  <c r="AZ31" i="51"/>
  <c r="AW31" i="51"/>
  <c r="AT31" i="51"/>
  <c r="AQ31" i="51"/>
  <c r="AN31" i="51"/>
  <c r="AB31" i="51"/>
  <c r="Y31" i="51"/>
  <c r="V31" i="51"/>
  <c r="P31" i="51"/>
  <c r="M31" i="51"/>
  <c r="J31" i="51"/>
  <c r="G31" i="51"/>
  <c r="D31" i="51"/>
  <c r="BX30" i="51"/>
  <c r="BU30" i="51"/>
  <c r="BR30" i="51"/>
  <c r="BO30" i="51"/>
  <c r="BL30" i="51"/>
  <c r="BI30" i="51"/>
  <c r="BF30" i="51"/>
  <c r="BC30" i="51"/>
  <c r="AZ30" i="51"/>
  <c r="AW30" i="51"/>
  <c r="AT30" i="51"/>
  <c r="AQ30" i="51"/>
  <c r="AN30" i="51"/>
  <c r="AK30" i="51"/>
  <c r="AH30" i="51"/>
  <c r="AB30" i="51"/>
  <c r="Y30" i="51"/>
  <c r="V30" i="51"/>
  <c r="P30" i="51"/>
  <c r="D30" i="51"/>
  <c r="BX29" i="51"/>
  <c r="BU29" i="51"/>
  <c r="BR29" i="51"/>
  <c r="BO29" i="51"/>
  <c r="BL29" i="51"/>
  <c r="BI29" i="51"/>
  <c r="BF29" i="51"/>
  <c r="BC29" i="51"/>
  <c r="AZ29" i="51"/>
  <c r="AW29" i="51"/>
  <c r="AT29" i="51"/>
  <c r="AQ29" i="51"/>
  <c r="AN29" i="51"/>
  <c r="AB29" i="51"/>
  <c r="Y29" i="51"/>
  <c r="V29" i="51"/>
  <c r="P29" i="51"/>
  <c r="D29" i="51"/>
  <c r="BX28" i="51"/>
  <c r="BU28" i="51"/>
  <c r="BR28" i="51"/>
  <c r="BO28" i="51"/>
  <c r="BL28" i="51"/>
  <c r="BI28" i="51"/>
  <c r="BF28" i="51"/>
  <c r="BC28" i="51"/>
  <c r="AZ28" i="51"/>
  <c r="AW28" i="51"/>
  <c r="AT28" i="51"/>
  <c r="AQ28" i="51"/>
  <c r="AN28" i="51"/>
  <c r="AK28" i="51"/>
  <c r="AH28" i="51"/>
  <c r="AB28" i="51"/>
  <c r="Y28" i="51"/>
  <c r="V28" i="51"/>
  <c r="P28" i="51"/>
  <c r="M28" i="51"/>
  <c r="J28" i="51"/>
  <c r="G28" i="51"/>
  <c r="D28" i="51"/>
  <c r="BX27" i="51"/>
  <c r="BU27" i="51"/>
  <c r="BR27" i="51"/>
  <c r="BO27" i="51"/>
  <c r="BL27" i="51"/>
  <c r="BI27" i="51"/>
  <c r="BF27" i="51"/>
  <c r="BC27" i="51"/>
  <c r="AZ27" i="51"/>
  <c r="AW27" i="51"/>
  <c r="AT27" i="51"/>
  <c r="AQ27" i="51"/>
  <c r="AN27" i="51"/>
  <c r="AK27" i="51"/>
  <c r="AH27" i="51"/>
  <c r="AB27" i="51"/>
  <c r="Y27" i="51"/>
  <c r="V27" i="51"/>
  <c r="P27" i="51"/>
  <c r="M27" i="51"/>
  <c r="J27" i="51"/>
  <c r="G27" i="51"/>
  <c r="D27" i="51"/>
  <c r="BX26" i="51"/>
  <c r="BU26" i="51"/>
  <c r="BR26" i="51"/>
  <c r="BO26" i="51"/>
  <c r="BL26" i="51"/>
  <c r="BI26" i="51"/>
  <c r="BF26" i="51"/>
  <c r="BC26" i="51"/>
  <c r="AZ26" i="51"/>
  <c r="AW26" i="51"/>
  <c r="AT26" i="51"/>
  <c r="AQ26" i="51"/>
  <c r="AN26" i="51"/>
  <c r="AK26" i="51"/>
  <c r="AH26" i="51"/>
  <c r="AB26" i="51"/>
  <c r="Y26" i="51"/>
  <c r="V26" i="51"/>
  <c r="P26" i="51"/>
  <c r="M26" i="51"/>
  <c r="J26" i="51"/>
  <c r="G26" i="51"/>
  <c r="D26" i="51"/>
  <c r="BX25" i="51"/>
  <c r="BO25" i="51"/>
  <c r="BL25" i="51"/>
  <c r="BI25" i="51"/>
  <c r="BF25" i="51"/>
  <c r="BC25" i="51"/>
  <c r="AZ25" i="51"/>
  <c r="AW25" i="51"/>
  <c r="AT25" i="51"/>
  <c r="AQ25" i="51"/>
  <c r="AN25" i="51"/>
  <c r="AK25" i="51"/>
  <c r="AH25" i="51"/>
  <c r="AB25" i="51"/>
  <c r="Y25" i="51"/>
  <c r="V25" i="51"/>
  <c r="P25" i="51"/>
  <c r="M25" i="51"/>
  <c r="J25" i="51"/>
  <c r="G25" i="51"/>
  <c r="D25" i="51"/>
  <c r="BX24" i="51"/>
  <c r="BO24" i="51"/>
  <c r="BL24" i="51"/>
  <c r="BI24" i="51"/>
  <c r="BF24" i="51"/>
  <c r="BC24" i="51"/>
  <c r="AZ24" i="51"/>
  <c r="AW24" i="51"/>
  <c r="AT24" i="51"/>
  <c r="AQ24" i="51"/>
  <c r="AN24" i="51"/>
  <c r="AK24" i="51"/>
  <c r="AH24" i="51"/>
  <c r="AB24" i="51"/>
  <c r="Y24" i="51"/>
  <c r="V24" i="51"/>
  <c r="P24" i="51"/>
  <c r="M24" i="51"/>
  <c r="J24" i="51"/>
  <c r="G24" i="51"/>
  <c r="D24" i="51"/>
  <c r="BX23" i="51"/>
  <c r="BO23" i="51"/>
  <c r="BL23" i="51"/>
  <c r="BI23" i="51"/>
  <c r="BF23" i="51"/>
  <c r="BC23" i="51"/>
  <c r="AZ23" i="51"/>
  <c r="AW23" i="51"/>
  <c r="AT23" i="51"/>
  <c r="AQ23" i="51"/>
  <c r="AN23" i="51"/>
  <c r="AK23" i="51"/>
  <c r="AH23" i="51"/>
  <c r="AB23" i="51"/>
  <c r="Y23" i="51"/>
  <c r="V23" i="51"/>
  <c r="P23" i="51"/>
  <c r="M23" i="51"/>
  <c r="J23" i="51"/>
  <c r="G23" i="51"/>
  <c r="D23" i="51"/>
  <c r="BX22" i="51"/>
  <c r="BO22" i="51"/>
  <c r="BL22" i="51"/>
  <c r="BI22" i="51"/>
  <c r="BF22" i="51"/>
  <c r="AT22" i="51"/>
  <c r="AQ22" i="51"/>
  <c r="AN22" i="51"/>
  <c r="AB22" i="51"/>
  <c r="Y22" i="51"/>
  <c r="V22" i="51"/>
  <c r="P22" i="51"/>
  <c r="M22" i="51"/>
  <c r="J22" i="51"/>
  <c r="G22" i="51"/>
  <c r="D22" i="51"/>
  <c r="BX21" i="51"/>
  <c r="BO21" i="51"/>
  <c r="BL21" i="51"/>
  <c r="BI21" i="51"/>
  <c r="BF21" i="51"/>
  <c r="BC21" i="51"/>
  <c r="AZ21" i="51"/>
  <c r="AW21" i="51"/>
  <c r="AT21" i="51"/>
  <c r="AQ21" i="51"/>
  <c r="AN21" i="51"/>
  <c r="AK21" i="51"/>
  <c r="AH21" i="51"/>
  <c r="AB21" i="51"/>
  <c r="Y21" i="51"/>
  <c r="V21" i="51"/>
  <c r="P21" i="51"/>
  <c r="M21" i="51"/>
  <c r="J21" i="51"/>
  <c r="G21" i="51"/>
  <c r="D21" i="51"/>
  <c r="BX20" i="51"/>
  <c r="BO20" i="51"/>
  <c r="BL20" i="51"/>
  <c r="BI20" i="51"/>
  <c r="BF20" i="51"/>
  <c r="BC20" i="51"/>
  <c r="AZ20" i="51"/>
  <c r="AW20" i="51"/>
  <c r="AT20" i="51"/>
  <c r="AQ20" i="51"/>
  <c r="AN20" i="51"/>
  <c r="AK20" i="51"/>
  <c r="AH20" i="51"/>
  <c r="AE20" i="51"/>
  <c r="AB20" i="51"/>
  <c r="Y20" i="51"/>
  <c r="V20" i="51"/>
  <c r="P20" i="51"/>
  <c r="M20" i="51"/>
  <c r="J20" i="51"/>
  <c r="G20" i="51"/>
  <c r="D20" i="51"/>
  <c r="BX19" i="51"/>
  <c r="BU19" i="51"/>
  <c r="BR19" i="51"/>
  <c r="BL19" i="51"/>
  <c r="BI19" i="51"/>
  <c r="BF19" i="51"/>
  <c r="BC19" i="51"/>
  <c r="AZ19" i="51"/>
  <c r="AW19" i="51"/>
  <c r="AT19" i="51"/>
  <c r="AQ19" i="51"/>
  <c r="AN19" i="51"/>
  <c r="AK19" i="51"/>
  <c r="AH19" i="51"/>
  <c r="AE19" i="51"/>
  <c r="AB19" i="51"/>
  <c r="Y19" i="51"/>
  <c r="V19" i="51"/>
  <c r="P19" i="51"/>
  <c r="M19" i="51"/>
  <c r="J19" i="51"/>
  <c r="G19" i="51"/>
  <c r="D19" i="51"/>
  <c r="BX18" i="51"/>
  <c r="BU18" i="51"/>
  <c r="BR18" i="51"/>
  <c r="BO18" i="51"/>
  <c r="BL18" i="51"/>
  <c r="BI18" i="51"/>
  <c r="BF18" i="51"/>
  <c r="BC18" i="51"/>
  <c r="AZ18" i="51"/>
  <c r="AW18" i="51"/>
  <c r="AT18" i="51"/>
  <c r="AQ18" i="51"/>
  <c r="AN18" i="51"/>
  <c r="AK18" i="51"/>
  <c r="AH18" i="51"/>
  <c r="AE18" i="51"/>
  <c r="AB18" i="51"/>
  <c r="Y18" i="51"/>
  <c r="V18" i="51"/>
  <c r="P18" i="51"/>
  <c r="M18" i="51"/>
  <c r="J18" i="51"/>
  <c r="G18" i="51"/>
  <c r="D18" i="51"/>
  <c r="BX17" i="51"/>
  <c r="BU17" i="51"/>
  <c r="BR17" i="51"/>
  <c r="BO17" i="51"/>
  <c r="BL17" i="51"/>
  <c r="BI17" i="51"/>
  <c r="BF17" i="51"/>
  <c r="AZ17" i="51"/>
  <c r="AW17" i="51"/>
  <c r="AT17" i="51"/>
  <c r="AQ17" i="51"/>
  <c r="AN17" i="51"/>
  <c r="AK17" i="51"/>
  <c r="AH17" i="51"/>
  <c r="AE17" i="51"/>
  <c r="AB17" i="51"/>
  <c r="Y17" i="51"/>
  <c r="V17" i="51"/>
  <c r="P17" i="51"/>
  <c r="M17" i="51"/>
  <c r="J17" i="51"/>
  <c r="G17" i="51"/>
  <c r="D17" i="51"/>
  <c r="BX16" i="51"/>
  <c r="BU16" i="51"/>
  <c r="BR16" i="51"/>
  <c r="BO16" i="51"/>
  <c r="BL16" i="51"/>
  <c r="BI16" i="51"/>
  <c r="BF16" i="51"/>
  <c r="BC16" i="51"/>
  <c r="AZ16" i="51"/>
  <c r="AW16" i="51"/>
  <c r="AT16" i="51"/>
  <c r="AQ16" i="51"/>
  <c r="AN16" i="51"/>
  <c r="AK16" i="51"/>
  <c r="AH16" i="51"/>
  <c r="AE16" i="51"/>
  <c r="AB16" i="51"/>
  <c r="Y16" i="51"/>
  <c r="V16" i="51"/>
  <c r="P16" i="51"/>
  <c r="M16" i="51"/>
  <c r="J16" i="51"/>
  <c r="G16" i="51"/>
  <c r="D16" i="51"/>
  <c r="BX15" i="51"/>
  <c r="BU15" i="51"/>
  <c r="BR15" i="51"/>
  <c r="BO15" i="51"/>
  <c r="BL15" i="51"/>
  <c r="BI15" i="51"/>
  <c r="BF15" i="51"/>
  <c r="BC15" i="51"/>
  <c r="AZ15" i="51"/>
  <c r="AW15" i="51"/>
  <c r="AT15" i="51"/>
  <c r="AQ15" i="51"/>
  <c r="AN15" i="51"/>
  <c r="AK15" i="51"/>
  <c r="AH15" i="51"/>
  <c r="AE15" i="51"/>
  <c r="AB15" i="51"/>
  <c r="Y15" i="51"/>
  <c r="V15" i="51"/>
  <c r="P15" i="51"/>
  <c r="M15" i="51"/>
  <c r="J15" i="51"/>
  <c r="G15" i="51"/>
  <c r="D15" i="51"/>
  <c r="BX14" i="51"/>
  <c r="BU14" i="51"/>
  <c r="BR14" i="51"/>
  <c r="BO14" i="51"/>
  <c r="BL14" i="51"/>
  <c r="BI14" i="51"/>
  <c r="BF14" i="51"/>
  <c r="BC14" i="51"/>
  <c r="AZ14" i="51"/>
  <c r="AW14" i="51"/>
  <c r="AT14" i="51"/>
  <c r="AQ14" i="51"/>
  <c r="AN14" i="51"/>
  <c r="AK14" i="51"/>
  <c r="V14" i="51"/>
  <c r="P14" i="51"/>
  <c r="BX13" i="51"/>
  <c r="BU13" i="51"/>
  <c r="BR13" i="51"/>
  <c r="BO13" i="51"/>
  <c r="BL13" i="51"/>
  <c r="BI13" i="51"/>
  <c r="BF13" i="51"/>
  <c r="BC13" i="51"/>
  <c r="AZ13" i="51"/>
  <c r="AW13" i="51"/>
  <c r="AT13" i="51"/>
  <c r="AQ13" i="51"/>
  <c r="AN13" i="51"/>
  <c r="AK13" i="51"/>
  <c r="AH13" i="51"/>
  <c r="AE13" i="51"/>
  <c r="AB13" i="51"/>
  <c r="Y13" i="51"/>
  <c r="V13" i="51"/>
  <c r="P13" i="51"/>
  <c r="BX12" i="51"/>
  <c r="BU12" i="51"/>
  <c r="BR12" i="51"/>
  <c r="BO12" i="51"/>
  <c r="BL12" i="51"/>
  <c r="BI12" i="51"/>
  <c r="BF12" i="51"/>
  <c r="BC12" i="51"/>
  <c r="AZ12" i="51"/>
  <c r="AW12" i="51"/>
  <c r="AT12" i="51"/>
  <c r="AQ12" i="51"/>
  <c r="AN12" i="51"/>
  <c r="AK12" i="51"/>
  <c r="AH12" i="51"/>
  <c r="AE12" i="51"/>
  <c r="AB12" i="51"/>
  <c r="Y12" i="51"/>
  <c r="V12" i="51"/>
  <c r="P12" i="51"/>
  <c r="M12" i="51"/>
  <c r="J12" i="51"/>
  <c r="G12" i="51"/>
  <c r="D12" i="51"/>
  <c r="BX11" i="51"/>
  <c r="BU11" i="51"/>
  <c r="BR11" i="51"/>
  <c r="BO11" i="51"/>
  <c r="BL11" i="51"/>
  <c r="BI11" i="51"/>
  <c r="BF11" i="51"/>
  <c r="BC11" i="51"/>
  <c r="AZ11" i="51"/>
  <c r="AW11" i="51"/>
  <c r="AQ11" i="51"/>
  <c r="AN11" i="51"/>
  <c r="AK11" i="51"/>
  <c r="AH11" i="51"/>
  <c r="AE11" i="51"/>
  <c r="AB11" i="51"/>
  <c r="Y11" i="51"/>
  <c r="V11" i="51"/>
  <c r="P11" i="51"/>
  <c r="M11" i="51"/>
  <c r="J11" i="51"/>
  <c r="G11" i="51"/>
  <c r="D11" i="51"/>
  <c r="BX10" i="51"/>
  <c r="BU10" i="51"/>
  <c r="BR10" i="51"/>
  <c r="BO10" i="51"/>
  <c r="BL10" i="51"/>
  <c r="BI10" i="51"/>
  <c r="BF10" i="51"/>
  <c r="BC10" i="51"/>
  <c r="AZ10" i="51"/>
  <c r="AW10" i="51"/>
  <c r="AT10" i="51"/>
  <c r="AQ10" i="51"/>
  <c r="AN10" i="51"/>
  <c r="AK10" i="51"/>
  <c r="AH10" i="51"/>
  <c r="AE10" i="51"/>
  <c r="AB10" i="51"/>
  <c r="Y10" i="51"/>
  <c r="V10" i="51"/>
  <c r="P10" i="51"/>
  <c r="M10" i="51"/>
  <c r="J10" i="51"/>
  <c r="G10" i="51"/>
  <c r="D10" i="51"/>
  <c r="BX9" i="51"/>
  <c r="BU9" i="51"/>
  <c r="BR9" i="51"/>
  <c r="BO9" i="51"/>
  <c r="BL9" i="51"/>
  <c r="BI9" i="51"/>
  <c r="P9" i="51"/>
  <c r="M9" i="51"/>
  <c r="J9" i="51"/>
  <c r="G9" i="51"/>
  <c r="D9" i="51"/>
  <c r="BX8" i="51"/>
  <c r="BU8" i="51"/>
  <c r="BR8" i="51"/>
  <c r="BO8" i="51"/>
  <c r="BL8" i="51"/>
  <c r="AT8" i="51"/>
  <c r="AQ8" i="51"/>
  <c r="AN8" i="51"/>
  <c r="AK8" i="51"/>
  <c r="AH8" i="51"/>
  <c r="AE8" i="51"/>
  <c r="AB8" i="51"/>
  <c r="Y8" i="51"/>
  <c r="V8" i="51"/>
  <c r="P8" i="51"/>
  <c r="M8" i="51"/>
  <c r="J8" i="51"/>
  <c r="G8" i="51"/>
  <c r="D8" i="51"/>
  <c r="BX7" i="51"/>
  <c r="BU7" i="51"/>
  <c r="BR7" i="51"/>
  <c r="BO7" i="51"/>
  <c r="BL7" i="51"/>
  <c r="BF7" i="51"/>
  <c r="BC7" i="51"/>
  <c r="AZ7" i="51"/>
  <c r="AW7" i="51"/>
  <c r="AT7" i="51"/>
  <c r="AQ7" i="51"/>
  <c r="AN7" i="51"/>
  <c r="AK7" i="51"/>
  <c r="AH7" i="51"/>
  <c r="AE7" i="51"/>
  <c r="AB7" i="51"/>
  <c r="Y7" i="51"/>
  <c r="V7" i="51"/>
  <c r="P7" i="51"/>
  <c r="M7" i="51"/>
  <c r="J7" i="51"/>
  <c r="G7" i="51"/>
  <c r="D7" i="51"/>
  <c r="BX6" i="51"/>
  <c r="BU6" i="51"/>
  <c r="BR6" i="51"/>
  <c r="BO6" i="51"/>
  <c r="BL6" i="51"/>
  <c r="BI6" i="51"/>
  <c r="BF6" i="51"/>
  <c r="BC6" i="51"/>
  <c r="AZ6" i="51"/>
  <c r="AW6" i="51"/>
  <c r="AT6" i="51"/>
  <c r="AQ6" i="51"/>
  <c r="AN6" i="51"/>
  <c r="AK6" i="51"/>
  <c r="AH6" i="51"/>
  <c r="AE6" i="51"/>
  <c r="AB6" i="51"/>
  <c r="Y6" i="51"/>
  <c r="V6" i="51"/>
  <c r="P6" i="51"/>
  <c r="M6" i="51"/>
  <c r="J6" i="51"/>
  <c r="G6" i="51"/>
  <c r="D6" i="51"/>
  <c r="BX5" i="51"/>
  <c r="BU5" i="51"/>
  <c r="BR5" i="51"/>
  <c r="BO5" i="51"/>
  <c r="BL5" i="51"/>
  <c r="BI5" i="51"/>
  <c r="BF5" i="51"/>
  <c r="BC5" i="51"/>
  <c r="AZ5" i="51"/>
  <c r="AW5" i="51"/>
  <c r="AT5" i="51"/>
  <c r="AQ5" i="51"/>
  <c r="AN5" i="51"/>
  <c r="AK5" i="51"/>
  <c r="AH5" i="51"/>
  <c r="AE5" i="51"/>
  <c r="AB5" i="51"/>
  <c r="Y5" i="51"/>
  <c r="V5" i="51"/>
  <c r="P5" i="51"/>
  <c r="M5" i="51"/>
  <c r="J5" i="51"/>
  <c r="G5" i="51"/>
  <c r="D5" i="51"/>
  <c r="H15" i="50"/>
  <c r="H12" i="50"/>
  <c r="H9" i="50"/>
  <c r="H6" i="50"/>
  <c r="E18" i="50"/>
  <c r="E12" i="50"/>
  <c r="E6" i="50"/>
  <c r="B42" i="50"/>
  <c r="B39" i="50"/>
  <c r="B36" i="50"/>
  <c r="B33" i="50"/>
  <c r="B30" i="50"/>
  <c r="B29" i="50"/>
  <c r="B27" i="50"/>
  <c r="B24" i="50"/>
  <c r="B18" i="50"/>
  <c r="B15" i="50"/>
  <c r="B12" i="50"/>
  <c r="B9" i="50"/>
  <c r="B6" i="50"/>
  <c r="H17" i="50"/>
  <c r="H16" i="50"/>
  <c r="H14" i="50"/>
  <c r="H13" i="50"/>
  <c r="H11" i="50"/>
  <c r="H10" i="50"/>
  <c r="H8" i="50"/>
  <c r="H7" i="50"/>
  <c r="H5" i="50"/>
  <c r="H4" i="50"/>
  <c r="E17" i="50"/>
  <c r="E16" i="50"/>
  <c r="E14" i="50"/>
  <c r="E13" i="50"/>
  <c r="E11" i="50"/>
  <c r="E10" i="50"/>
  <c r="E8" i="50"/>
  <c r="E7" i="50"/>
  <c r="E5" i="50"/>
  <c r="E4" i="50"/>
  <c r="B41" i="50"/>
  <c r="B40" i="50"/>
  <c r="B38" i="50"/>
  <c r="B37" i="50"/>
  <c r="B35" i="50"/>
  <c r="B34" i="50"/>
  <c r="B32" i="50"/>
  <c r="B31" i="50"/>
  <c r="B28" i="50"/>
  <c r="B26" i="50"/>
  <c r="B25" i="50"/>
  <c r="B23" i="50"/>
  <c r="B22" i="50"/>
  <c r="B21" i="50"/>
  <c r="B20" i="50"/>
  <c r="B19" i="50"/>
  <c r="B17" i="50"/>
  <c r="B16" i="50"/>
  <c r="B14" i="50"/>
  <c r="B13" i="50"/>
  <c r="B11" i="50"/>
  <c r="B10" i="50"/>
  <c r="B8" i="50"/>
  <c r="B7" i="50"/>
  <c r="B5" i="50"/>
  <c r="B4" i="50"/>
  <c r="CO6" i="49"/>
  <c r="CO7" i="49"/>
  <c r="CO8" i="49"/>
  <c r="CO9" i="49"/>
  <c r="CO10" i="49"/>
  <c r="CO11" i="49"/>
  <c r="CO12" i="49"/>
  <c r="CO13" i="49"/>
  <c r="CO14" i="49"/>
  <c r="CO15" i="49"/>
  <c r="CO16" i="49"/>
  <c r="CO17" i="49"/>
  <c r="CO18" i="49"/>
  <c r="CO19" i="49"/>
  <c r="CO20" i="49"/>
  <c r="CO21" i="49"/>
  <c r="CO22" i="49"/>
  <c r="CO23" i="49"/>
  <c r="CO24" i="49"/>
  <c r="CO25" i="49"/>
  <c r="CO26" i="49"/>
  <c r="CO27" i="49"/>
  <c r="CO28" i="49"/>
  <c r="CO29" i="49"/>
  <c r="CO30" i="49"/>
  <c r="CO31" i="49"/>
  <c r="CO32" i="49"/>
  <c r="CO33" i="49"/>
  <c r="CO34" i="49"/>
  <c r="CN6" i="49"/>
  <c r="CN7" i="49"/>
  <c r="CN8" i="49"/>
  <c r="CN9" i="49"/>
  <c r="CN10" i="49"/>
  <c r="CN11" i="49"/>
  <c r="CN12" i="49"/>
  <c r="CN13" i="49"/>
  <c r="CN14" i="49"/>
  <c r="CN15" i="49"/>
  <c r="CN16" i="49"/>
  <c r="CN17" i="49"/>
  <c r="CN18" i="49"/>
  <c r="CN19" i="49"/>
  <c r="CN20" i="49"/>
  <c r="CN21" i="49"/>
  <c r="CN22" i="49"/>
  <c r="CN23" i="49"/>
  <c r="CN24" i="49"/>
  <c r="CN25" i="49"/>
  <c r="CN26" i="49"/>
  <c r="CN27" i="49"/>
  <c r="CN28" i="49"/>
  <c r="CN29" i="49"/>
  <c r="CN30" i="49"/>
  <c r="CN31" i="49"/>
  <c r="CN32" i="49"/>
  <c r="CN33" i="49"/>
  <c r="CN34" i="49"/>
  <c r="CN5" i="49"/>
  <c r="CO5" i="49"/>
  <c r="BX31" i="49"/>
  <c r="BX32" i="49"/>
  <c r="CD31" i="49"/>
  <c r="CD32" i="49"/>
  <c r="CD33" i="49"/>
  <c r="CD34" i="49"/>
  <c r="BX24" i="49"/>
  <c r="CA24" i="49"/>
  <c r="CD24" i="49"/>
  <c r="BX25" i="49"/>
  <c r="CA25" i="49"/>
  <c r="CD25" i="49"/>
  <c r="BX23" i="49"/>
  <c r="CA23" i="49"/>
  <c r="CD23" i="49"/>
  <c r="BX19" i="49"/>
  <c r="CA19" i="49"/>
  <c r="CD19" i="49"/>
  <c r="BX20" i="49"/>
  <c r="CA20" i="49"/>
  <c r="CD20" i="49"/>
  <c r="BX11" i="49"/>
  <c r="CA11" i="49"/>
  <c r="CD11" i="49"/>
  <c r="BX10" i="49"/>
  <c r="CA10" i="49"/>
  <c r="CD10" i="49"/>
  <c r="CD8" i="49"/>
  <c r="CD9" i="49"/>
  <c r="CG33" i="49"/>
  <c r="CJ33" i="49"/>
  <c r="CM33" i="49"/>
  <c r="CG34" i="49"/>
  <c r="CJ34" i="49"/>
  <c r="CM34" i="49"/>
  <c r="CG28" i="49"/>
  <c r="CJ28" i="49"/>
  <c r="CM28" i="49"/>
  <c r="CG29" i="49"/>
  <c r="CJ29" i="49"/>
  <c r="CM29" i="49"/>
  <c r="CG30" i="49"/>
  <c r="CJ30" i="49"/>
  <c r="CM30" i="49"/>
  <c r="CG13" i="49"/>
  <c r="CJ13" i="49"/>
  <c r="CM13" i="49"/>
  <c r="CG14" i="49"/>
  <c r="CJ14" i="49"/>
  <c r="CM14" i="49"/>
  <c r="CG15" i="49"/>
  <c r="CJ15" i="49"/>
  <c r="CM15" i="49"/>
  <c r="CG16" i="49"/>
  <c r="CJ16" i="49"/>
  <c r="CM16" i="49"/>
  <c r="CG17" i="49"/>
  <c r="CJ17" i="49"/>
  <c r="CM17" i="49"/>
  <c r="CG18" i="49"/>
  <c r="CJ18" i="49"/>
  <c r="CM18" i="49"/>
  <c r="CG19" i="49"/>
  <c r="CJ19" i="49"/>
  <c r="CM19" i="49"/>
  <c r="CG20" i="49"/>
  <c r="CJ20" i="49"/>
  <c r="CM20" i="49"/>
  <c r="CG21" i="49"/>
  <c r="CJ21" i="49"/>
  <c r="CM21" i="49"/>
  <c r="CG22" i="49"/>
  <c r="CJ22" i="49"/>
  <c r="CM22" i="49"/>
  <c r="BC34" i="49"/>
  <c r="BF34" i="49"/>
  <c r="BI34" i="49"/>
  <c r="AW31" i="49"/>
  <c r="AZ31" i="49"/>
  <c r="BC31" i="49"/>
  <c r="BF31" i="49"/>
  <c r="BI31" i="49"/>
  <c r="AW32" i="49"/>
  <c r="AZ32" i="49"/>
  <c r="BC32" i="49"/>
  <c r="BF32" i="49"/>
  <c r="BI32" i="49"/>
  <c r="AW33" i="49"/>
  <c r="AZ33" i="49"/>
  <c r="BC33" i="49"/>
  <c r="BF33" i="49"/>
  <c r="BI33" i="49"/>
  <c r="AW27" i="49"/>
  <c r="AZ27" i="49"/>
  <c r="BC27" i="49"/>
  <c r="BF27" i="49"/>
  <c r="BI27" i="49"/>
  <c r="AW28" i="49"/>
  <c r="AZ28" i="49"/>
  <c r="BC28" i="49"/>
  <c r="BF28" i="49"/>
  <c r="BI28" i="49"/>
  <c r="BC23" i="49"/>
  <c r="BF23" i="49"/>
  <c r="BI23" i="49"/>
  <c r="AW24" i="49"/>
  <c r="AZ24" i="49"/>
  <c r="BC24" i="49"/>
  <c r="BF24" i="49"/>
  <c r="BI24" i="49"/>
  <c r="AW25" i="49"/>
  <c r="AZ25" i="49"/>
  <c r="BC25" i="49"/>
  <c r="BF25" i="49"/>
  <c r="BI25" i="49"/>
  <c r="AT25" i="49"/>
  <c r="BC21" i="49"/>
  <c r="BF21" i="49"/>
  <c r="BI21" i="49"/>
  <c r="BC22" i="49"/>
  <c r="BF22" i="49"/>
  <c r="BI22" i="49"/>
  <c r="BC18" i="49"/>
  <c r="BF18" i="49"/>
  <c r="BI18" i="49"/>
  <c r="BC19" i="49"/>
  <c r="BF19" i="49"/>
  <c r="BI19" i="49"/>
  <c r="AW20" i="49"/>
  <c r="AZ20" i="49"/>
  <c r="BC20" i="49"/>
  <c r="BF20" i="49"/>
  <c r="BI20" i="49"/>
  <c r="AW16" i="49"/>
  <c r="AZ16" i="49"/>
  <c r="BC16" i="49"/>
  <c r="BF16" i="49"/>
  <c r="BI16" i="49"/>
  <c r="AT16" i="49"/>
  <c r="BC14" i="49"/>
  <c r="BF14" i="49"/>
  <c r="BI14" i="49"/>
  <c r="BC15" i="49"/>
  <c r="BF15" i="49"/>
  <c r="BI15" i="49"/>
  <c r="AT14" i="49"/>
  <c r="AT15" i="49"/>
  <c r="BC8" i="49"/>
  <c r="BF8" i="49"/>
  <c r="BI8" i="49"/>
  <c r="BC9" i="49"/>
  <c r="BF9" i="49"/>
  <c r="BI9" i="49"/>
  <c r="AW10" i="49"/>
  <c r="AZ10" i="49"/>
  <c r="BC10" i="49"/>
  <c r="BF10" i="49"/>
  <c r="BI10" i="49"/>
  <c r="AW11" i="49"/>
  <c r="AZ11" i="49"/>
  <c r="BC11" i="49"/>
  <c r="BF11" i="49"/>
  <c r="BI11" i="49"/>
  <c r="AT10" i="49"/>
  <c r="AT11" i="49"/>
  <c r="AB32" i="49"/>
  <c r="AE32" i="49"/>
  <c r="AH32" i="49"/>
  <c r="AK30" i="49"/>
  <c r="AN30" i="49"/>
  <c r="AK29" i="49"/>
  <c r="AN29" i="49"/>
  <c r="AQ29" i="49"/>
  <c r="V29" i="49"/>
  <c r="Y28" i="49"/>
  <c r="AB28" i="49"/>
  <c r="AE28" i="49"/>
  <c r="AH28" i="49"/>
  <c r="AK28" i="49"/>
  <c r="AN28" i="49"/>
  <c r="AQ28" i="49"/>
  <c r="V28" i="49"/>
  <c r="V23" i="49"/>
  <c r="AQ22" i="49"/>
  <c r="AK22" i="49"/>
  <c r="AN22" i="49"/>
  <c r="AN21" i="49"/>
  <c r="AE21" i="49"/>
  <c r="AH21" i="49"/>
  <c r="AK21" i="49"/>
  <c r="AK20" i="49"/>
  <c r="AN20" i="49"/>
  <c r="AE20" i="49"/>
  <c r="AH20" i="49"/>
  <c r="AN19" i="49"/>
  <c r="AE19" i="49"/>
  <c r="AH19" i="49"/>
  <c r="V18" i="49"/>
  <c r="Y18" i="49"/>
  <c r="AB18" i="49"/>
  <c r="AE18" i="49"/>
  <c r="AH18" i="49"/>
  <c r="AK18" i="49"/>
  <c r="AN18" i="49"/>
  <c r="AQ18" i="49"/>
  <c r="AH15" i="49"/>
  <c r="AK15" i="49"/>
  <c r="AN15" i="49"/>
  <c r="AK14" i="49"/>
  <c r="AN14" i="49"/>
  <c r="AE14" i="49"/>
  <c r="AH14" i="49"/>
  <c r="AK11" i="49"/>
  <c r="AN11" i="49"/>
  <c r="AQ11" i="49"/>
  <c r="AE11" i="49"/>
  <c r="AH11" i="49"/>
  <c r="V11" i="49"/>
  <c r="Y11" i="49"/>
  <c r="AB11" i="49"/>
  <c r="Y10" i="49"/>
  <c r="AB10" i="49"/>
  <c r="AE10" i="49"/>
  <c r="AH10" i="49"/>
  <c r="AK9" i="49"/>
  <c r="AN9" i="49"/>
  <c r="AH9" i="49"/>
  <c r="AE9" i="49"/>
  <c r="AN8" i="49"/>
  <c r="AE8" i="49"/>
  <c r="AH8" i="49"/>
  <c r="AE7" i="49"/>
  <c r="AH7" i="49"/>
  <c r="AQ6" i="49"/>
  <c r="AE6" i="49"/>
  <c r="AH6" i="49"/>
  <c r="V6" i="49"/>
  <c r="V7" i="49"/>
  <c r="V8" i="49"/>
  <c r="V9" i="49"/>
  <c r="V10" i="49"/>
  <c r="V12" i="49"/>
  <c r="V13" i="49"/>
  <c r="V14" i="49"/>
  <c r="V15" i="49"/>
  <c r="V16" i="49"/>
  <c r="V17" i="49"/>
  <c r="V19" i="49"/>
  <c r="V20" i="49"/>
  <c r="V21" i="49"/>
  <c r="V22" i="49"/>
  <c r="V24" i="49"/>
  <c r="V25" i="49"/>
  <c r="V26" i="49"/>
  <c r="V27" i="49"/>
  <c r="V30" i="49"/>
  <c r="V31" i="49"/>
  <c r="V32" i="49"/>
  <c r="V33" i="49"/>
  <c r="V34" i="49"/>
  <c r="G33" i="49"/>
  <c r="J33" i="49"/>
  <c r="M32" i="49"/>
  <c r="G31" i="49"/>
  <c r="J31" i="49"/>
  <c r="G32" i="49"/>
  <c r="J32" i="49"/>
  <c r="G29" i="49"/>
  <c r="J29" i="49"/>
  <c r="G28" i="49"/>
  <c r="J28" i="49"/>
  <c r="G27" i="49"/>
  <c r="J27" i="49"/>
  <c r="M27" i="49"/>
  <c r="J26" i="49"/>
  <c r="J30" i="49"/>
  <c r="J34" i="49"/>
  <c r="G25" i="49"/>
  <c r="J25" i="49"/>
  <c r="J21" i="49"/>
  <c r="M20" i="49"/>
  <c r="G20" i="49"/>
  <c r="J20" i="49"/>
  <c r="G18" i="49"/>
  <c r="J18" i="49"/>
  <c r="M18" i="49"/>
  <c r="G16" i="49"/>
  <c r="J16" i="49"/>
  <c r="M16" i="49"/>
  <c r="M15" i="49"/>
  <c r="G14" i="49"/>
  <c r="J14" i="49"/>
  <c r="G15" i="49"/>
  <c r="J15" i="49"/>
  <c r="M12" i="49"/>
  <c r="G12" i="49"/>
  <c r="J12" i="49"/>
  <c r="G10" i="49"/>
  <c r="J10" i="49"/>
  <c r="M9" i="49"/>
  <c r="G9" i="49"/>
  <c r="J9" i="49"/>
  <c r="G7" i="49"/>
  <c r="J7" i="49"/>
  <c r="G8" i="49"/>
  <c r="J8" i="49"/>
  <c r="G6" i="49"/>
  <c r="BQ8" i="50"/>
  <c r="CL35" i="49"/>
  <c r="CK35" i="49"/>
  <c r="CI35" i="49"/>
  <c r="CH35" i="49"/>
  <c r="CF35" i="49"/>
  <c r="CE35" i="49"/>
  <c r="CC35" i="49"/>
  <c r="CB35" i="49"/>
  <c r="BZ35" i="49"/>
  <c r="BY35" i="49"/>
  <c r="BW35" i="49"/>
  <c r="BT35" i="49"/>
  <c r="BS35" i="49"/>
  <c r="BQ35" i="49"/>
  <c r="BP35" i="49"/>
  <c r="BN35" i="49"/>
  <c r="BM35" i="49"/>
  <c r="BK35" i="49"/>
  <c r="BJ35" i="49"/>
  <c r="BH35" i="49"/>
  <c r="BG35" i="49"/>
  <c r="BE35" i="49"/>
  <c r="BD35" i="49"/>
  <c r="BB35" i="49"/>
  <c r="BA35" i="49"/>
  <c r="AY35" i="49"/>
  <c r="AX35" i="49"/>
  <c r="AV35" i="49"/>
  <c r="AU35" i="49"/>
  <c r="AS35" i="49"/>
  <c r="AR35" i="49"/>
  <c r="AP35" i="49"/>
  <c r="AO35" i="49"/>
  <c r="AM35" i="49"/>
  <c r="AL35" i="49"/>
  <c r="AJ35" i="49"/>
  <c r="AI35" i="49"/>
  <c r="AG35" i="49"/>
  <c r="AF35" i="49"/>
  <c r="AD35" i="49"/>
  <c r="AC35" i="49"/>
  <c r="AA35" i="49"/>
  <c r="Z35" i="49"/>
  <c r="X35" i="49"/>
  <c r="W35" i="49"/>
  <c r="U35" i="49"/>
  <c r="T35" i="49"/>
  <c r="R35" i="49"/>
  <c r="Q35" i="49"/>
  <c r="O35" i="49"/>
  <c r="N35" i="49"/>
  <c r="L35" i="49"/>
  <c r="K35" i="49"/>
  <c r="I35" i="49"/>
  <c r="H35" i="49"/>
  <c r="F35" i="49"/>
  <c r="E35" i="49"/>
  <c r="C35" i="49"/>
  <c r="B35" i="49"/>
  <c r="CA34" i="49"/>
  <c r="BX34" i="49"/>
  <c r="BU34" i="49"/>
  <c r="BR34" i="49"/>
  <c r="BO34" i="49"/>
  <c r="BL34" i="49"/>
  <c r="AZ34" i="49"/>
  <c r="AW34" i="49"/>
  <c r="AT34" i="49"/>
  <c r="AQ34" i="49"/>
  <c r="AN34" i="49"/>
  <c r="AK34" i="49"/>
  <c r="AH34" i="49"/>
  <c r="AE34" i="49"/>
  <c r="AB34" i="49"/>
  <c r="Y34" i="49"/>
  <c r="S34" i="49"/>
  <c r="P34" i="49"/>
  <c r="M34" i="49"/>
  <c r="G34" i="49"/>
  <c r="D34" i="49"/>
  <c r="CA33" i="49"/>
  <c r="BX33" i="49"/>
  <c r="BU33" i="49"/>
  <c r="BR33" i="49"/>
  <c r="BO33" i="49"/>
  <c r="BL33" i="49"/>
  <c r="AT33" i="49"/>
  <c r="AQ33" i="49"/>
  <c r="AN33" i="49"/>
  <c r="AK33" i="49"/>
  <c r="AH33" i="49"/>
  <c r="AE33" i="49"/>
  <c r="AB33" i="49"/>
  <c r="Y33" i="49"/>
  <c r="S33" i="49"/>
  <c r="P33" i="49"/>
  <c r="M33" i="49"/>
  <c r="D33" i="49"/>
  <c r="CM32" i="49"/>
  <c r="CJ32" i="49"/>
  <c r="CG32" i="49"/>
  <c r="CA32" i="49"/>
  <c r="BU32" i="49"/>
  <c r="BR32" i="49"/>
  <c r="BO32" i="49"/>
  <c r="BL32" i="49"/>
  <c r="AT32" i="49"/>
  <c r="AQ32" i="49"/>
  <c r="AN32" i="49"/>
  <c r="AK32" i="49"/>
  <c r="Y32" i="49"/>
  <c r="S32" i="49"/>
  <c r="P32" i="49"/>
  <c r="D32" i="49"/>
  <c r="CM31" i="49"/>
  <c r="CJ31" i="49"/>
  <c r="CG31" i="49"/>
  <c r="CA31" i="49"/>
  <c r="BU31" i="49"/>
  <c r="BV35" i="49" s="1"/>
  <c r="BR31" i="49"/>
  <c r="BO31" i="49"/>
  <c r="BL31" i="49"/>
  <c r="AT31" i="49"/>
  <c r="AQ31" i="49"/>
  <c r="AN31" i="49"/>
  <c r="AK31" i="49"/>
  <c r="AH31" i="49"/>
  <c r="AE31" i="49"/>
  <c r="AB31" i="49"/>
  <c r="Y31" i="49"/>
  <c r="S31" i="49"/>
  <c r="P31" i="49"/>
  <c r="M31" i="49"/>
  <c r="D31" i="49"/>
  <c r="CD30" i="49"/>
  <c r="CA30" i="49"/>
  <c r="BX30" i="49"/>
  <c r="BU30" i="49"/>
  <c r="BR30" i="49"/>
  <c r="BO30" i="49"/>
  <c r="BL30" i="49"/>
  <c r="BI30" i="49"/>
  <c r="BF30" i="49"/>
  <c r="BC30" i="49"/>
  <c r="AZ30" i="49"/>
  <c r="AW30" i="49"/>
  <c r="AT30" i="49"/>
  <c r="AQ30" i="49"/>
  <c r="AH30" i="49"/>
  <c r="AE30" i="49"/>
  <c r="AB30" i="49"/>
  <c r="Y30" i="49"/>
  <c r="S30" i="49"/>
  <c r="P30" i="49"/>
  <c r="M30" i="49"/>
  <c r="G30" i="49"/>
  <c r="D30" i="49"/>
  <c r="CD29" i="49"/>
  <c r="CA29" i="49"/>
  <c r="BX29" i="49"/>
  <c r="BU29" i="49"/>
  <c r="BR29" i="49"/>
  <c r="BO29" i="49"/>
  <c r="BL29" i="49"/>
  <c r="BI29" i="49"/>
  <c r="BF29" i="49"/>
  <c r="BC29" i="49"/>
  <c r="AZ29" i="49"/>
  <c r="AW29" i="49"/>
  <c r="AT29" i="49"/>
  <c r="AH29" i="49"/>
  <c r="AE29" i="49"/>
  <c r="AB29" i="49"/>
  <c r="Y29" i="49"/>
  <c r="S29" i="49"/>
  <c r="P29" i="49"/>
  <c r="M29" i="49"/>
  <c r="D29" i="49"/>
  <c r="CD28" i="49"/>
  <c r="CA28" i="49"/>
  <c r="BU28" i="49"/>
  <c r="BR28" i="49"/>
  <c r="BO28" i="49"/>
  <c r="BL28" i="49"/>
  <c r="AT28" i="49"/>
  <c r="S28" i="49"/>
  <c r="P28" i="49"/>
  <c r="M28" i="49"/>
  <c r="D28" i="49"/>
  <c r="CM27" i="49"/>
  <c r="CJ27" i="49"/>
  <c r="CG27" i="49"/>
  <c r="CD27" i="49"/>
  <c r="CA27" i="49"/>
  <c r="BX27" i="49"/>
  <c r="BU27" i="49"/>
  <c r="BR27" i="49"/>
  <c r="BO27" i="49"/>
  <c r="BL27" i="49"/>
  <c r="AT27" i="49"/>
  <c r="AQ27" i="49"/>
  <c r="AN27" i="49"/>
  <c r="AK27" i="49"/>
  <c r="AH27" i="49"/>
  <c r="AE27" i="49"/>
  <c r="AB27" i="49"/>
  <c r="Y27" i="49"/>
  <c r="S27" i="49"/>
  <c r="P27" i="49"/>
  <c r="D27" i="49"/>
  <c r="CM26" i="49"/>
  <c r="CJ26" i="49"/>
  <c r="CG26" i="49"/>
  <c r="CD26" i="49"/>
  <c r="CA26" i="49"/>
  <c r="BX26" i="49"/>
  <c r="BU26" i="49"/>
  <c r="BR26" i="49"/>
  <c r="BO26" i="49"/>
  <c r="BL26" i="49"/>
  <c r="BI26" i="49"/>
  <c r="BF26" i="49"/>
  <c r="BC26" i="49"/>
  <c r="AZ26" i="49"/>
  <c r="AW26" i="49"/>
  <c r="AT26" i="49"/>
  <c r="AQ26" i="49"/>
  <c r="AN26" i="49"/>
  <c r="AK26" i="49"/>
  <c r="AH26" i="49"/>
  <c r="AE26" i="49"/>
  <c r="AB26" i="49"/>
  <c r="Y26" i="49"/>
  <c r="S26" i="49"/>
  <c r="P26" i="49"/>
  <c r="M26" i="49"/>
  <c r="G26" i="49"/>
  <c r="D26" i="49"/>
  <c r="CM25" i="49"/>
  <c r="CJ25" i="49"/>
  <c r="CG25" i="49"/>
  <c r="BU25" i="49"/>
  <c r="BR25" i="49"/>
  <c r="BO25" i="49"/>
  <c r="BL25" i="49"/>
  <c r="AQ25" i="49"/>
  <c r="AN25" i="49"/>
  <c r="AK25" i="49"/>
  <c r="AH25" i="49"/>
  <c r="AE25" i="49"/>
  <c r="AB25" i="49"/>
  <c r="Y25" i="49"/>
  <c r="S25" i="49"/>
  <c r="P25" i="49"/>
  <c r="M25" i="49"/>
  <c r="D25" i="49"/>
  <c r="CM24" i="49"/>
  <c r="CJ24" i="49"/>
  <c r="CG24" i="49"/>
  <c r="BU24" i="49"/>
  <c r="BR24" i="49"/>
  <c r="BO24" i="49"/>
  <c r="BL24" i="49"/>
  <c r="AT24" i="49"/>
  <c r="AQ24" i="49"/>
  <c r="AN24" i="49"/>
  <c r="AK24" i="49"/>
  <c r="AH24" i="49"/>
  <c r="AE24" i="49"/>
  <c r="AB24" i="49"/>
  <c r="Y24" i="49"/>
  <c r="S24" i="49"/>
  <c r="P24" i="49"/>
  <c r="M24" i="49"/>
  <c r="J24" i="49"/>
  <c r="G24" i="49"/>
  <c r="D24" i="49"/>
  <c r="CM23" i="49"/>
  <c r="CJ23" i="49"/>
  <c r="CG23" i="49"/>
  <c r="BU23" i="49"/>
  <c r="BR23" i="49"/>
  <c r="BO23" i="49"/>
  <c r="BL23" i="49"/>
  <c r="AZ23" i="49"/>
  <c r="AW23" i="49"/>
  <c r="AT23" i="49"/>
  <c r="AQ23" i="49"/>
  <c r="AN23" i="49"/>
  <c r="AK23" i="49"/>
  <c r="AH23" i="49"/>
  <c r="AE23" i="49"/>
  <c r="AB23" i="49"/>
  <c r="Y23" i="49"/>
  <c r="S23" i="49"/>
  <c r="P23" i="49"/>
  <c r="M23" i="49"/>
  <c r="J23" i="49"/>
  <c r="G23" i="49"/>
  <c r="D23" i="49"/>
  <c r="CD22" i="49"/>
  <c r="CA22" i="49"/>
  <c r="BX22" i="49"/>
  <c r="BU22" i="49"/>
  <c r="BR22" i="49"/>
  <c r="BO22" i="49"/>
  <c r="BL22" i="49"/>
  <c r="AW22" i="49"/>
  <c r="AT22" i="49"/>
  <c r="AH22" i="49"/>
  <c r="AE22" i="49"/>
  <c r="AB22" i="49"/>
  <c r="Y22" i="49"/>
  <c r="S22" i="49"/>
  <c r="P22" i="49"/>
  <c r="M22" i="49"/>
  <c r="J22" i="49"/>
  <c r="G22" i="49"/>
  <c r="D22" i="49"/>
  <c r="CD21" i="49"/>
  <c r="CA21" i="49"/>
  <c r="BX21" i="49"/>
  <c r="BU21" i="49"/>
  <c r="BR21" i="49"/>
  <c r="BO21" i="49"/>
  <c r="BL21" i="49"/>
  <c r="AZ21" i="49"/>
  <c r="AW21" i="49"/>
  <c r="AT21" i="49"/>
  <c r="AQ21" i="49"/>
  <c r="AB21" i="49"/>
  <c r="Y21" i="49"/>
  <c r="S21" i="49"/>
  <c r="P21" i="49"/>
  <c r="M21" i="49"/>
  <c r="G21" i="49"/>
  <c r="D21" i="49"/>
  <c r="BU20" i="49"/>
  <c r="BR20" i="49"/>
  <c r="BO20" i="49"/>
  <c r="BL20" i="49"/>
  <c r="AT20" i="49"/>
  <c r="AQ20" i="49"/>
  <c r="AB20" i="49"/>
  <c r="Y20" i="49"/>
  <c r="S20" i="49"/>
  <c r="P20" i="49"/>
  <c r="D20" i="49"/>
  <c r="BU19" i="49"/>
  <c r="BR19" i="49"/>
  <c r="BO19" i="49"/>
  <c r="AZ19" i="49"/>
  <c r="AW19" i="49"/>
  <c r="AT19" i="49"/>
  <c r="AQ19" i="49"/>
  <c r="AK19" i="49"/>
  <c r="AB19" i="49"/>
  <c r="Y19" i="49"/>
  <c r="S19" i="49"/>
  <c r="P19" i="49"/>
  <c r="M19" i="49"/>
  <c r="J19" i="49"/>
  <c r="G19" i="49"/>
  <c r="D19" i="49"/>
  <c r="CD18" i="49"/>
  <c r="CA18" i="49"/>
  <c r="BX18" i="49"/>
  <c r="BU18" i="49"/>
  <c r="BR18" i="49"/>
  <c r="BO18" i="49"/>
  <c r="BL18" i="49"/>
  <c r="AZ18" i="49"/>
  <c r="AW18" i="49"/>
  <c r="AT18" i="49"/>
  <c r="S18" i="49"/>
  <c r="P18" i="49"/>
  <c r="D18" i="49"/>
  <c r="CD17" i="49"/>
  <c r="CA17" i="49"/>
  <c r="BX17" i="49"/>
  <c r="BU17" i="49"/>
  <c r="BR17" i="49"/>
  <c r="BO17" i="49"/>
  <c r="BL17" i="49"/>
  <c r="BI17" i="49"/>
  <c r="BF17" i="49"/>
  <c r="BC17" i="49"/>
  <c r="AZ17" i="49"/>
  <c r="AW17" i="49"/>
  <c r="AT17" i="49"/>
  <c r="AQ17" i="49"/>
  <c r="AN17" i="49"/>
  <c r="AK17" i="49"/>
  <c r="AH17" i="49"/>
  <c r="AE17" i="49"/>
  <c r="AB17" i="49"/>
  <c r="Y17" i="49"/>
  <c r="S17" i="49"/>
  <c r="P17" i="49"/>
  <c r="M17" i="49"/>
  <c r="J17" i="49"/>
  <c r="G17" i="49"/>
  <c r="D17" i="49"/>
  <c r="CD16" i="49"/>
  <c r="CA16" i="49"/>
  <c r="BX16" i="49"/>
  <c r="BU16" i="49"/>
  <c r="BR16" i="49"/>
  <c r="BO16" i="49"/>
  <c r="BL16" i="49"/>
  <c r="AQ16" i="49"/>
  <c r="AN16" i="49"/>
  <c r="AK16" i="49"/>
  <c r="AH16" i="49"/>
  <c r="AE16" i="49"/>
  <c r="AB16" i="49"/>
  <c r="Y16" i="49"/>
  <c r="S16" i="49"/>
  <c r="P16" i="49"/>
  <c r="D16" i="49"/>
  <c r="CD15" i="49"/>
  <c r="CA15" i="49"/>
  <c r="BX15" i="49"/>
  <c r="BU15" i="49"/>
  <c r="BR15" i="49"/>
  <c r="BO15" i="49"/>
  <c r="BL15" i="49"/>
  <c r="AZ15" i="49"/>
  <c r="AW15" i="49"/>
  <c r="AQ15" i="49"/>
  <c r="AE15" i="49"/>
  <c r="AB15" i="49"/>
  <c r="Y15" i="49"/>
  <c r="S15" i="49"/>
  <c r="P15" i="49"/>
  <c r="D15" i="49"/>
  <c r="CD14" i="49"/>
  <c r="CA14" i="49"/>
  <c r="BX14" i="49"/>
  <c r="BU14" i="49"/>
  <c r="BR14" i="49"/>
  <c r="BO14" i="49"/>
  <c r="BL14" i="49"/>
  <c r="AZ14" i="49"/>
  <c r="AW14" i="49"/>
  <c r="AQ14" i="49"/>
  <c r="AB14" i="49"/>
  <c r="Y14" i="49"/>
  <c r="S14" i="49"/>
  <c r="P14" i="49"/>
  <c r="M14" i="49"/>
  <c r="D14" i="49"/>
  <c r="CD13" i="49"/>
  <c r="CA13" i="49"/>
  <c r="BX13" i="49"/>
  <c r="BU13" i="49"/>
  <c r="BR13" i="49"/>
  <c r="BO13" i="49"/>
  <c r="BL13" i="49"/>
  <c r="BI13" i="49"/>
  <c r="BF13" i="49"/>
  <c r="BC13" i="49"/>
  <c r="AZ13" i="49"/>
  <c r="AW13" i="49"/>
  <c r="AT13" i="49"/>
  <c r="AQ13" i="49"/>
  <c r="AN13" i="49"/>
  <c r="AK13" i="49"/>
  <c r="AH13" i="49"/>
  <c r="AE13" i="49"/>
  <c r="AB13" i="49"/>
  <c r="Y13" i="49"/>
  <c r="S13" i="49"/>
  <c r="P13" i="49"/>
  <c r="M13" i="49"/>
  <c r="J13" i="49"/>
  <c r="G13" i="49"/>
  <c r="D13" i="49"/>
  <c r="CM12" i="49"/>
  <c r="CJ12" i="49"/>
  <c r="CG12" i="49"/>
  <c r="CD12" i="49"/>
  <c r="CA12" i="49"/>
  <c r="BX12" i="49"/>
  <c r="BU12" i="49"/>
  <c r="BR12" i="49"/>
  <c r="BO12" i="49"/>
  <c r="BL12" i="49"/>
  <c r="BI12" i="49"/>
  <c r="BF12" i="49"/>
  <c r="BC12" i="49"/>
  <c r="AZ12" i="49"/>
  <c r="AW12" i="49"/>
  <c r="AT12" i="49"/>
  <c r="AQ12" i="49"/>
  <c r="AN12" i="49"/>
  <c r="AK12" i="49"/>
  <c r="AH12" i="49"/>
  <c r="AE12" i="49"/>
  <c r="AB12" i="49"/>
  <c r="Y12" i="49"/>
  <c r="S12" i="49"/>
  <c r="P12" i="49"/>
  <c r="D12" i="49"/>
  <c r="CM11" i="49"/>
  <c r="CJ11" i="49"/>
  <c r="CG11" i="49"/>
  <c r="BU11" i="49"/>
  <c r="BR11" i="49"/>
  <c r="BO11" i="49"/>
  <c r="BL11" i="49"/>
  <c r="S11" i="49"/>
  <c r="P11" i="49"/>
  <c r="M11" i="49"/>
  <c r="J11" i="49"/>
  <c r="G11" i="49"/>
  <c r="D11" i="49"/>
  <c r="CM10" i="49"/>
  <c r="CJ10" i="49"/>
  <c r="CG10" i="49"/>
  <c r="BU10" i="49"/>
  <c r="BR10" i="49"/>
  <c r="BO10" i="49"/>
  <c r="BL10" i="49"/>
  <c r="AQ10" i="49"/>
  <c r="AN10" i="49"/>
  <c r="AK10" i="49"/>
  <c r="S10" i="49"/>
  <c r="P10" i="49"/>
  <c r="M10" i="49"/>
  <c r="D10" i="49"/>
  <c r="CM9" i="49"/>
  <c r="CJ9" i="49"/>
  <c r="CG9" i="49"/>
  <c r="CA9" i="49"/>
  <c r="BX9" i="49"/>
  <c r="BU9" i="49"/>
  <c r="BR9" i="49"/>
  <c r="BO9" i="49"/>
  <c r="BL9" i="49"/>
  <c r="AZ9" i="49"/>
  <c r="AW9" i="49"/>
  <c r="AT9" i="49"/>
  <c r="AQ9" i="49"/>
  <c r="AB9" i="49"/>
  <c r="Y9" i="49"/>
  <c r="S9" i="49"/>
  <c r="P9" i="49"/>
  <c r="D9" i="49"/>
  <c r="CM8" i="49"/>
  <c r="CJ8" i="49"/>
  <c r="CG8" i="49"/>
  <c r="CA8" i="49"/>
  <c r="BX8" i="49"/>
  <c r="BU8" i="49"/>
  <c r="BR8" i="49"/>
  <c r="BO8" i="49"/>
  <c r="BL8" i="49"/>
  <c r="AZ8" i="49"/>
  <c r="AW8" i="49"/>
  <c r="AT8" i="49"/>
  <c r="AQ8" i="49"/>
  <c r="AK8" i="49"/>
  <c r="AB8" i="49"/>
  <c r="Y8" i="49"/>
  <c r="S8" i="49"/>
  <c r="P8" i="49"/>
  <c r="M8" i="49"/>
  <c r="D8" i="49"/>
  <c r="CM7" i="49"/>
  <c r="CJ7" i="49"/>
  <c r="CG7" i="49"/>
  <c r="CD7" i="49"/>
  <c r="CA7" i="49"/>
  <c r="BX7" i="49"/>
  <c r="BU7" i="49"/>
  <c r="BR7" i="49"/>
  <c r="BO7" i="49"/>
  <c r="BL7" i="49"/>
  <c r="BI7" i="49"/>
  <c r="BF7" i="49"/>
  <c r="BC7" i="49"/>
  <c r="AZ7" i="49"/>
  <c r="AW7" i="49"/>
  <c r="AT7" i="49"/>
  <c r="AQ7" i="49"/>
  <c r="AN7" i="49"/>
  <c r="AK7" i="49"/>
  <c r="AB7" i="49"/>
  <c r="Y7" i="49"/>
  <c r="S7" i="49"/>
  <c r="P7" i="49"/>
  <c r="M7" i="49"/>
  <c r="D7" i="49"/>
  <c r="CM6" i="49"/>
  <c r="CJ6" i="49"/>
  <c r="CG6" i="49"/>
  <c r="CD6" i="49"/>
  <c r="CA6" i="49"/>
  <c r="BX6" i="49"/>
  <c r="BU6" i="49"/>
  <c r="BR6" i="49"/>
  <c r="BO6" i="49"/>
  <c r="BL6" i="49"/>
  <c r="BI6" i="49"/>
  <c r="BF6" i="49"/>
  <c r="BC6" i="49"/>
  <c r="AZ6" i="49"/>
  <c r="AW6" i="49"/>
  <c r="AT6" i="49"/>
  <c r="AN6" i="49"/>
  <c r="AK6" i="49"/>
  <c r="AB6" i="49"/>
  <c r="Y6" i="49"/>
  <c r="S6" i="49"/>
  <c r="P6" i="49"/>
  <c r="M6" i="49"/>
  <c r="J6" i="49"/>
  <c r="D6" i="49"/>
  <c r="CM5" i="49"/>
  <c r="CJ5" i="49"/>
  <c r="CG5" i="49"/>
  <c r="CD5" i="49"/>
  <c r="CA5" i="49"/>
  <c r="BX5" i="49"/>
  <c r="BU5" i="49"/>
  <c r="BR5" i="49"/>
  <c r="BO5" i="49"/>
  <c r="BL5" i="49"/>
  <c r="BI5" i="49"/>
  <c r="BF5" i="49"/>
  <c r="BC5" i="49"/>
  <c r="AZ5" i="49"/>
  <c r="AW5" i="49"/>
  <c r="AT5" i="49"/>
  <c r="AQ5" i="49"/>
  <c r="AN5" i="49"/>
  <c r="AK5" i="49"/>
  <c r="AH5" i="49"/>
  <c r="AE5" i="49"/>
  <c r="AB5" i="49"/>
  <c r="Y5" i="49"/>
  <c r="V5" i="49"/>
  <c r="S5" i="49"/>
  <c r="P5" i="49"/>
  <c r="M5" i="49"/>
  <c r="J5" i="49"/>
  <c r="G5" i="49"/>
  <c r="D5" i="49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B42" i="48"/>
  <c r="B41" i="48"/>
  <c r="B40" i="48"/>
  <c r="B39" i="48"/>
  <c r="B38" i="48"/>
  <c r="B37" i="48"/>
  <c r="B36" i="48"/>
  <c r="B35" i="48"/>
  <c r="B34" i="48"/>
  <c r="B33" i="48"/>
  <c r="B32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B17" i="48"/>
  <c r="B16" i="48"/>
  <c r="B15" i="48"/>
  <c r="B14" i="48"/>
  <c r="B13" i="48"/>
  <c r="B12" i="48"/>
  <c r="B11" i="48"/>
  <c r="B10" i="48"/>
  <c r="B9" i="48"/>
  <c r="B8" i="48"/>
  <c r="B7" i="48"/>
  <c r="B6" i="48"/>
  <c r="B5" i="48"/>
  <c r="B4" i="48"/>
  <c r="H17" i="46"/>
  <c r="H16" i="46"/>
  <c r="H15" i="46"/>
  <c r="H14" i="46"/>
  <c r="H13" i="46"/>
  <c r="H12" i="46"/>
  <c r="H11" i="46"/>
  <c r="H10" i="46"/>
  <c r="H9" i="46"/>
  <c r="H8" i="46"/>
  <c r="H7" i="46"/>
  <c r="H6" i="46"/>
  <c r="H5" i="46"/>
  <c r="H4" i="46"/>
  <c r="E4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B4" i="46"/>
  <c r="B42" i="46"/>
  <c r="B41" i="46"/>
  <c r="B40" i="46"/>
  <c r="B39" i="46"/>
  <c r="B38" i="46"/>
  <c r="B37" i="46"/>
  <c r="B36" i="46"/>
  <c r="B35" i="46"/>
  <c r="B34" i="46"/>
  <c r="B33" i="46"/>
  <c r="B32" i="46"/>
  <c r="B31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B7" i="46"/>
  <c r="B6" i="46"/>
  <c r="B5" i="46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G31" i="45"/>
  <c r="G32" i="45"/>
  <c r="G33" i="45"/>
  <c r="G34" i="45"/>
  <c r="G35" i="45"/>
  <c r="D34" i="45"/>
  <c r="D35" i="45"/>
  <c r="CG33" i="47"/>
  <c r="CJ33" i="47"/>
  <c r="CM33" i="47"/>
  <c r="CG34" i="47"/>
  <c r="CJ34" i="47"/>
  <c r="CM34" i="47"/>
  <c r="CG35" i="47"/>
  <c r="CJ35" i="47"/>
  <c r="CM35" i="47"/>
  <c r="CM30" i="47"/>
  <c r="CM31" i="47"/>
  <c r="CG13" i="47"/>
  <c r="CJ13" i="47"/>
  <c r="CM13" i="47"/>
  <c r="CG14" i="47"/>
  <c r="CJ14" i="47"/>
  <c r="CM14" i="47"/>
  <c r="CG15" i="47"/>
  <c r="CJ15" i="47"/>
  <c r="CM15" i="47"/>
  <c r="CG16" i="47"/>
  <c r="CJ16" i="47"/>
  <c r="CM16" i="47"/>
  <c r="CG17" i="47"/>
  <c r="CJ17" i="47"/>
  <c r="CM17" i="47"/>
  <c r="CG18" i="47"/>
  <c r="CJ18" i="47"/>
  <c r="CM18" i="47"/>
  <c r="CG19" i="47"/>
  <c r="CJ19" i="47"/>
  <c r="CM19" i="47"/>
  <c r="CG20" i="47"/>
  <c r="CJ20" i="47"/>
  <c r="CM20" i="47"/>
  <c r="CG21" i="47"/>
  <c r="CJ21" i="47"/>
  <c r="CM21" i="47"/>
  <c r="CG22" i="47"/>
  <c r="CJ22" i="47"/>
  <c r="CM22" i="47"/>
  <c r="CG23" i="47"/>
  <c r="CJ23" i="47"/>
  <c r="CM23" i="47"/>
  <c r="CG7" i="47"/>
  <c r="CJ7" i="47"/>
  <c r="CM7" i="47"/>
  <c r="CG8" i="47"/>
  <c r="CJ8" i="47"/>
  <c r="CM8" i="47"/>
  <c r="CM5" i="47"/>
  <c r="CG6" i="47"/>
  <c r="CJ6" i="47"/>
  <c r="CM6" i="47"/>
  <c r="BX29" i="47"/>
  <c r="CA29" i="47"/>
  <c r="CD29" i="47"/>
  <c r="BX27" i="47"/>
  <c r="CA27" i="47"/>
  <c r="CD27" i="47"/>
  <c r="BX25" i="47"/>
  <c r="CA25" i="47"/>
  <c r="CD25" i="47"/>
  <c r="BX26" i="47"/>
  <c r="CA26" i="47"/>
  <c r="CD26" i="47"/>
  <c r="CA13" i="47"/>
  <c r="CD13" i="47"/>
  <c r="CA14" i="47"/>
  <c r="CD14" i="47"/>
  <c r="BX14" i="47"/>
  <c r="BX13" i="47"/>
  <c r="BX5" i="47"/>
  <c r="CA5" i="47"/>
  <c r="CD5" i="47"/>
  <c r="BX6" i="47"/>
  <c r="CA6" i="47"/>
  <c r="CD6" i="47"/>
  <c r="BF34" i="47"/>
  <c r="BI34" i="47"/>
  <c r="BF35" i="47"/>
  <c r="BI35" i="47"/>
  <c r="AZ34" i="47"/>
  <c r="BC34" i="47"/>
  <c r="AZ35" i="47"/>
  <c r="BC35" i="47"/>
  <c r="AW33" i="47"/>
  <c r="AZ33" i="47"/>
  <c r="BC33" i="47"/>
  <c r="AT33" i="47"/>
  <c r="BC32" i="47"/>
  <c r="BF32" i="47"/>
  <c r="BC30" i="47"/>
  <c r="BF30" i="47"/>
  <c r="BI30" i="47"/>
  <c r="AZ30" i="47"/>
  <c r="AT29" i="47"/>
  <c r="AW29" i="47"/>
  <c r="AZ29" i="47"/>
  <c r="BF28" i="47"/>
  <c r="BI28" i="47"/>
  <c r="AT28" i="47"/>
  <c r="AW28" i="47"/>
  <c r="AZ28" i="47"/>
  <c r="BC28" i="47"/>
  <c r="AW19" i="47"/>
  <c r="AZ19" i="47"/>
  <c r="BC19" i="47"/>
  <c r="BF19" i="47"/>
  <c r="BI19" i="47"/>
  <c r="AW20" i="47"/>
  <c r="AZ20" i="47"/>
  <c r="BC20" i="47"/>
  <c r="BF20" i="47"/>
  <c r="BI20" i="47"/>
  <c r="AW21" i="47"/>
  <c r="AZ21" i="47"/>
  <c r="BC21" i="47"/>
  <c r="BF21" i="47"/>
  <c r="BI21" i="47"/>
  <c r="AT20" i="47"/>
  <c r="AT21" i="47"/>
  <c r="AZ15" i="47"/>
  <c r="BC15" i="47"/>
  <c r="BF15" i="47"/>
  <c r="BI15" i="47"/>
  <c r="AW12" i="47"/>
  <c r="AZ12" i="47"/>
  <c r="BC12" i="47"/>
  <c r="BF12" i="47"/>
  <c r="BI12" i="47"/>
  <c r="AW13" i="47"/>
  <c r="AZ13" i="47"/>
  <c r="BC13" i="47"/>
  <c r="BF13" i="47"/>
  <c r="BI13" i="47"/>
  <c r="AW14" i="47"/>
  <c r="AZ14" i="47"/>
  <c r="BC14" i="47"/>
  <c r="BF14" i="47"/>
  <c r="BI14" i="47"/>
  <c r="BC11" i="47"/>
  <c r="BF11" i="47"/>
  <c r="BI11" i="47"/>
  <c r="AZ9" i="47"/>
  <c r="AZ10" i="47"/>
  <c r="AZ11" i="47"/>
  <c r="AZ16" i="47"/>
  <c r="AZ17" i="47"/>
  <c r="AZ18" i="47"/>
  <c r="AZ22" i="47"/>
  <c r="AZ23" i="47"/>
  <c r="AZ24" i="47"/>
  <c r="AZ25" i="47"/>
  <c r="AZ26" i="47"/>
  <c r="AZ27" i="47"/>
  <c r="AZ31" i="47"/>
  <c r="AZ32" i="47"/>
  <c r="BC10" i="47"/>
  <c r="BF10" i="47"/>
  <c r="AW7" i="47"/>
  <c r="AZ7" i="47"/>
  <c r="BC7" i="47"/>
  <c r="BF7" i="47"/>
  <c r="BI7" i="47"/>
  <c r="AW8" i="47"/>
  <c r="AZ8" i="47"/>
  <c r="BC8" i="47"/>
  <c r="BF8" i="47"/>
  <c r="BI8" i="47"/>
  <c r="AT7" i="47"/>
  <c r="AT8" i="47"/>
  <c r="AT6" i="47"/>
  <c r="AW6" i="47"/>
  <c r="AZ6" i="47"/>
  <c r="BC6" i="47"/>
  <c r="BF6" i="47"/>
  <c r="BI6" i="47"/>
  <c r="AP36" i="47"/>
  <c r="AO36" i="47"/>
  <c r="AM36" i="47"/>
  <c r="AL36" i="47"/>
  <c r="AJ36" i="47"/>
  <c r="AI36" i="47"/>
  <c r="AG36" i="47"/>
  <c r="AF36" i="47"/>
  <c r="AD36" i="47"/>
  <c r="AC36" i="47"/>
  <c r="AA36" i="47"/>
  <c r="Z36" i="47"/>
  <c r="U36" i="47"/>
  <c r="T36" i="47"/>
  <c r="AH34" i="47"/>
  <c r="AK34" i="47"/>
  <c r="AN34" i="47"/>
  <c r="AQ34" i="47"/>
  <c r="AN32" i="47"/>
  <c r="AQ32" i="47"/>
  <c r="AK33" i="47"/>
  <c r="AN33" i="47"/>
  <c r="AQ33" i="47"/>
  <c r="AE33" i="47"/>
  <c r="AH33" i="47"/>
  <c r="AE32" i="47"/>
  <c r="AH32" i="47"/>
  <c r="AN30" i="47"/>
  <c r="AQ30" i="47"/>
  <c r="AE29" i="47"/>
  <c r="AH29" i="47"/>
  <c r="AK29" i="47"/>
  <c r="AN29" i="47"/>
  <c r="AQ29" i="47"/>
  <c r="AH27" i="47"/>
  <c r="V27" i="47"/>
  <c r="Y27" i="47"/>
  <c r="AB27" i="47"/>
  <c r="AE27" i="47"/>
  <c r="AE26" i="47"/>
  <c r="AH26" i="47"/>
  <c r="AK26" i="47"/>
  <c r="AN26" i="47"/>
  <c r="V26" i="47"/>
  <c r="Y26" i="47"/>
  <c r="AB26" i="47"/>
  <c r="Y25" i="47"/>
  <c r="AB25" i="47"/>
  <c r="V25" i="47"/>
  <c r="AH17" i="47"/>
  <c r="AK17" i="47"/>
  <c r="AN17" i="47"/>
  <c r="AQ17" i="47"/>
  <c r="AN16" i="47"/>
  <c r="AQ16" i="47"/>
  <c r="AH16" i="47"/>
  <c r="AK16" i="47"/>
  <c r="AK10" i="47"/>
  <c r="AN10" i="47"/>
  <c r="V7" i="47"/>
  <c r="Y7" i="47"/>
  <c r="AB7" i="47"/>
  <c r="AE7" i="47"/>
  <c r="AH7" i="47"/>
  <c r="AK7" i="47"/>
  <c r="AN7" i="47"/>
  <c r="AQ7" i="47"/>
  <c r="S7" i="47"/>
  <c r="AN6" i="47"/>
  <c r="AQ6" i="47"/>
  <c r="G35" i="47"/>
  <c r="G33" i="47"/>
  <c r="J33" i="47"/>
  <c r="G32" i="47"/>
  <c r="J32" i="47"/>
  <c r="G25" i="47"/>
  <c r="G26" i="47"/>
  <c r="G27" i="47"/>
  <c r="G28" i="47"/>
  <c r="G29" i="47"/>
  <c r="G30" i="47"/>
  <c r="G31" i="47"/>
  <c r="G34" i="47"/>
  <c r="G13" i="47"/>
  <c r="J13" i="47"/>
  <c r="G14" i="47"/>
  <c r="J14" i="47"/>
  <c r="J11" i="47"/>
  <c r="J12" i="47"/>
  <c r="G10" i="47"/>
  <c r="G11" i="47"/>
  <c r="G12" i="47"/>
  <c r="G7" i="47"/>
  <c r="G8" i="47"/>
  <c r="G9" i="47"/>
  <c r="G16" i="47"/>
  <c r="G17" i="47"/>
  <c r="G18" i="47"/>
  <c r="G19" i="47"/>
  <c r="G20" i="47"/>
  <c r="G21" i="47"/>
  <c r="G22" i="47"/>
  <c r="G23" i="47"/>
  <c r="G24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G6" i="47"/>
  <c r="J6" i="47"/>
  <c r="K12" i="54" l="1"/>
  <c r="K15" i="54"/>
  <c r="N12" i="54"/>
  <c r="N9" i="54"/>
  <c r="N15" i="54"/>
  <c r="CA35" i="53"/>
  <c r="H12" i="52"/>
  <c r="B22" i="52"/>
  <c r="B24" i="52" s="1"/>
  <c r="B5" i="52"/>
  <c r="H14" i="52"/>
  <c r="B4" i="52"/>
  <c r="H13" i="52"/>
  <c r="E15" i="52"/>
  <c r="H6" i="52"/>
  <c r="E9" i="52"/>
  <c r="CA25" i="51"/>
  <c r="H9" i="52"/>
  <c r="CA18" i="51"/>
  <c r="E12" i="52"/>
  <c r="E6" i="52"/>
  <c r="B42" i="52"/>
  <c r="B26" i="52"/>
  <c r="B30" i="52"/>
  <c r="B25" i="52"/>
  <c r="B18" i="52"/>
  <c r="B33" i="52"/>
  <c r="B36" i="52"/>
  <c r="B15" i="52"/>
  <c r="B39" i="52"/>
  <c r="B9" i="52"/>
  <c r="E18" i="52"/>
  <c r="B12" i="52"/>
  <c r="CA19" i="51"/>
  <c r="CA33" i="51"/>
  <c r="CA34" i="51"/>
  <c r="CA35" i="51"/>
  <c r="CA5" i="51"/>
  <c r="CA7" i="51"/>
  <c r="CA22" i="51"/>
  <c r="CA6" i="51"/>
  <c r="CA20" i="51"/>
  <c r="CA21" i="51"/>
  <c r="CA8" i="51"/>
  <c r="CA9" i="51"/>
  <c r="CA10" i="51"/>
  <c r="V36" i="51"/>
  <c r="BR36" i="51"/>
  <c r="BU36" i="51"/>
  <c r="CA11" i="51"/>
  <c r="CA12" i="51"/>
  <c r="CA15" i="51"/>
  <c r="CA16" i="51"/>
  <c r="CA17" i="51"/>
  <c r="CA29" i="51"/>
  <c r="CA30" i="51"/>
  <c r="CA23" i="51"/>
  <c r="AN36" i="51"/>
  <c r="P36" i="51"/>
  <c r="BO36" i="51"/>
  <c r="CA28" i="51"/>
  <c r="Y36" i="51"/>
  <c r="CA24" i="51"/>
  <c r="CA26" i="51"/>
  <c r="CA27" i="51"/>
  <c r="AB36" i="51"/>
  <c r="BX36" i="51"/>
  <c r="CA31" i="51"/>
  <c r="CA32" i="51"/>
  <c r="AH36" i="51"/>
  <c r="AK36" i="51"/>
  <c r="AQ36" i="51"/>
  <c r="AT36" i="51"/>
  <c r="AW36" i="51"/>
  <c r="AZ36" i="51"/>
  <c r="M36" i="51"/>
  <c r="D36" i="51"/>
  <c r="BC36" i="51"/>
  <c r="G36" i="51"/>
  <c r="BF36" i="51"/>
  <c r="J36" i="51"/>
  <c r="BI36" i="51"/>
  <c r="CA14" i="51"/>
  <c r="BL36" i="51"/>
  <c r="CA13" i="51"/>
  <c r="H18" i="50"/>
  <c r="P35" i="49"/>
  <c r="CG35" i="49"/>
  <c r="CP11" i="49"/>
  <c r="AB35" i="49"/>
  <c r="V35" i="49"/>
  <c r="AK35" i="49"/>
  <c r="CP7" i="49"/>
  <c r="M35" i="49"/>
  <c r="CJ35" i="49"/>
  <c r="AW35" i="49"/>
  <c r="S35" i="49"/>
  <c r="Y35" i="49"/>
  <c r="AE35" i="49"/>
  <c r="CA35" i="49"/>
  <c r="AH35" i="49"/>
  <c r="CM35" i="49"/>
  <c r="CD35" i="49"/>
  <c r="BX35" i="49"/>
  <c r="BU35" i="49"/>
  <c r="BR35" i="49"/>
  <c r="BO35" i="49"/>
  <c r="BL35" i="49"/>
  <c r="BI35" i="49"/>
  <c r="BF35" i="49"/>
  <c r="BC35" i="49"/>
  <c r="AZ35" i="49"/>
  <c r="AT35" i="49"/>
  <c r="AQ35" i="49"/>
  <c r="AN35" i="49"/>
  <c r="CP18" i="49"/>
  <c r="CP25" i="49"/>
  <c r="CP20" i="49"/>
  <c r="CP27" i="49"/>
  <c r="CP9" i="49"/>
  <c r="J35" i="49"/>
  <c r="CP10" i="49"/>
  <c r="CP16" i="49"/>
  <c r="G35" i="49"/>
  <c r="CP15" i="49"/>
  <c r="CP12" i="49"/>
  <c r="CP24" i="49"/>
  <c r="CP28" i="49"/>
  <c r="CP29" i="49"/>
  <c r="CP31" i="49"/>
  <c r="CP32" i="49"/>
  <c r="CN35" i="49"/>
  <c r="CO35" i="49"/>
  <c r="D35" i="49"/>
  <c r="CP5" i="49"/>
  <c r="CP6" i="49"/>
  <c r="CP8" i="49"/>
  <c r="CP19" i="49"/>
  <c r="CP21" i="49"/>
  <c r="CP22" i="49"/>
  <c r="CP23" i="49"/>
  <c r="CP26" i="49"/>
  <c r="CP30" i="49"/>
  <c r="CP13" i="49"/>
  <c r="CP14" i="49"/>
  <c r="CP17" i="49"/>
  <c r="CP34" i="49"/>
  <c r="CP33" i="49"/>
  <c r="BQ8" i="48"/>
  <c r="CL36" i="47"/>
  <c r="CK36" i="47"/>
  <c r="CI36" i="47"/>
  <c r="CH36" i="47"/>
  <c r="CF36" i="47"/>
  <c r="CE36" i="47"/>
  <c r="CC36" i="47"/>
  <c r="CB36" i="47"/>
  <c r="BZ36" i="47"/>
  <c r="BY36" i="47"/>
  <c r="BW36" i="47"/>
  <c r="BV36" i="47"/>
  <c r="BT36" i="47"/>
  <c r="BS36" i="47"/>
  <c r="BQ36" i="47"/>
  <c r="BP36" i="47"/>
  <c r="BN36" i="47"/>
  <c r="BM36" i="47"/>
  <c r="BK36" i="47"/>
  <c r="BJ36" i="47"/>
  <c r="BH36" i="47"/>
  <c r="BG36" i="47"/>
  <c r="BE36" i="47"/>
  <c r="BD36" i="47"/>
  <c r="BB36" i="47"/>
  <c r="BA36" i="47"/>
  <c r="AY36" i="47"/>
  <c r="AX36" i="47"/>
  <c r="AV36" i="47"/>
  <c r="AU36" i="47"/>
  <c r="AS36" i="47"/>
  <c r="AR36" i="47"/>
  <c r="X36" i="47"/>
  <c r="W36" i="47"/>
  <c r="R36" i="47"/>
  <c r="Q36" i="47"/>
  <c r="O36" i="47"/>
  <c r="N36" i="47"/>
  <c r="L36" i="47"/>
  <c r="K36" i="47"/>
  <c r="I36" i="47"/>
  <c r="H36" i="47"/>
  <c r="F36" i="47"/>
  <c r="E36" i="47"/>
  <c r="C36" i="47"/>
  <c r="B36" i="47"/>
  <c r="CO35" i="47"/>
  <c r="CN35" i="47"/>
  <c r="CD35" i="47"/>
  <c r="CA35" i="47"/>
  <c r="BX35" i="47"/>
  <c r="BU35" i="47"/>
  <c r="BR35" i="47"/>
  <c r="BO35" i="47"/>
  <c r="BL35" i="47"/>
  <c r="AW35" i="47"/>
  <c r="AT35" i="47"/>
  <c r="AQ35" i="47"/>
  <c r="AN35" i="47"/>
  <c r="AK35" i="47"/>
  <c r="AH35" i="47"/>
  <c r="AE35" i="47"/>
  <c r="AB35" i="47"/>
  <c r="Y35" i="47"/>
  <c r="V35" i="47"/>
  <c r="S35" i="47"/>
  <c r="P35" i="47"/>
  <c r="M35" i="47"/>
  <c r="CO34" i="47"/>
  <c r="CN34" i="47"/>
  <c r="CD34" i="47"/>
  <c r="CA34" i="47"/>
  <c r="BX34" i="47"/>
  <c r="BU34" i="47"/>
  <c r="BR34" i="47"/>
  <c r="BO34" i="47"/>
  <c r="BL34" i="47"/>
  <c r="AW34" i="47"/>
  <c r="AT34" i="47"/>
  <c r="AE34" i="47"/>
  <c r="AB34" i="47"/>
  <c r="Y34" i="47"/>
  <c r="V34" i="47"/>
  <c r="S34" i="47"/>
  <c r="P34" i="47"/>
  <c r="M34" i="47"/>
  <c r="CO33" i="47"/>
  <c r="CN33" i="47"/>
  <c r="CD33" i="47"/>
  <c r="CA33" i="47"/>
  <c r="BX33" i="47"/>
  <c r="BU33" i="47"/>
  <c r="BR33" i="47"/>
  <c r="BO33" i="47"/>
  <c r="BL33" i="47"/>
  <c r="BI33" i="47"/>
  <c r="BF33" i="47"/>
  <c r="AB33" i="47"/>
  <c r="Y33" i="47"/>
  <c r="V33" i="47"/>
  <c r="S33" i="47"/>
  <c r="P33" i="47"/>
  <c r="M33" i="47"/>
  <c r="CO32" i="47"/>
  <c r="CN32" i="47"/>
  <c r="CM32" i="47"/>
  <c r="CJ32" i="47"/>
  <c r="CG32" i="47"/>
  <c r="CD32" i="47"/>
  <c r="CA32" i="47"/>
  <c r="BX32" i="47"/>
  <c r="BU32" i="47"/>
  <c r="BR32" i="47"/>
  <c r="BO32" i="47"/>
  <c r="BL32" i="47"/>
  <c r="BI32" i="47"/>
  <c r="AW32" i="47"/>
  <c r="AT32" i="47"/>
  <c r="AK32" i="47"/>
  <c r="AB32" i="47"/>
  <c r="Y32" i="47"/>
  <c r="V32" i="47"/>
  <c r="S32" i="47"/>
  <c r="P32" i="47"/>
  <c r="M32" i="47"/>
  <c r="CO31" i="47"/>
  <c r="CN31" i="47"/>
  <c r="CJ31" i="47"/>
  <c r="CG31" i="47"/>
  <c r="CD31" i="47"/>
  <c r="CA31" i="47"/>
  <c r="BX31" i="47"/>
  <c r="BU31" i="47"/>
  <c r="BR31" i="47"/>
  <c r="BO31" i="47"/>
  <c r="BL31" i="47"/>
  <c r="BI31" i="47"/>
  <c r="BF31" i="47"/>
  <c r="BC31" i="47"/>
  <c r="AW31" i="47"/>
  <c r="AT31" i="47"/>
  <c r="AQ31" i="47"/>
  <c r="AN31" i="47"/>
  <c r="AK31" i="47"/>
  <c r="AH31" i="47"/>
  <c r="AE31" i="47"/>
  <c r="AB31" i="47"/>
  <c r="Y31" i="47"/>
  <c r="V31" i="47"/>
  <c r="S31" i="47"/>
  <c r="P31" i="47"/>
  <c r="M31" i="47"/>
  <c r="J31" i="47"/>
  <c r="CO30" i="47"/>
  <c r="CN30" i="47"/>
  <c r="CJ30" i="47"/>
  <c r="CG30" i="47"/>
  <c r="CD30" i="47"/>
  <c r="CA30" i="47"/>
  <c r="BX30" i="47"/>
  <c r="BU30" i="47"/>
  <c r="BR30" i="47"/>
  <c r="BO30" i="47"/>
  <c r="BL30" i="47"/>
  <c r="AW30" i="47"/>
  <c r="AT30" i="47"/>
  <c r="AK30" i="47"/>
  <c r="AH30" i="47"/>
  <c r="AE30" i="47"/>
  <c r="AB30" i="47"/>
  <c r="Y30" i="47"/>
  <c r="V30" i="47"/>
  <c r="S30" i="47"/>
  <c r="P30" i="47"/>
  <c r="M30" i="47"/>
  <c r="J30" i="47"/>
  <c r="CO29" i="47"/>
  <c r="CN29" i="47"/>
  <c r="CM29" i="47"/>
  <c r="CJ29" i="47"/>
  <c r="CG29" i="47"/>
  <c r="BU29" i="47"/>
  <c r="BR29" i="47"/>
  <c r="BO29" i="47"/>
  <c r="BL29" i="47"/>
  <c r="BI29" i="47"/>
  <c r="BF29" i="47"/>
  <c r="BC29" i="47"/>
  <c r="AB29" i="47"/>
  <c r="Y29" i="47"/>
  <c r="V29" i="47"/>
  <c r="S29" i="47"/>
  <c r="P29" i="47"/>
  <c r="M29" i="47"/>
  <c r="J29" i="47"/>
  <c r="CO28" i="47"/>
  <c r="CN28" i="47"/>
  <c r="CM28" i="47"/>
  <c r="CJ28" i="47"/>
  <c r="CG28" i="47"/>
  <c r="CD28" i="47"/>
  <c r="CA28" i="47"/>
  <c r="BX28" i="47"/>
  <c r="BU28" i="47"/>
  <c r="BR28" i="47"/>
  <c r="BO28" i="47"/>
  <c r="BL28" i="47"/>
  <c r="AQ28" i="47"/>
  <c r="AN28" i="47"/>
  <c r="AK28" i="47"/>
  <c r="AH28" i="47"/>
  <c r="AE28" i="47"/>
  <c r="AB28" i="47"/>
  <c r="Y28" i="47"/>
  <c r="V28" i="47"/>
  <c r="S28" i="47"/>
  <c r="P28" i="47"/>
  <c r="M28" i="47"/>
  <c r="J28" i="47"/>
  <c r="CO27" i="47"/>
  <c r="CN27" i="47"/>
  <c r="CM27" i="47"/>
  <c r="CJ27" i="47"/>
  <c r="CG27" i="47"/>
  <c r="BU27" i="47"/>
  <c r="BR27" i="47"/>
  <c r="BO27" i="47"/>
  <c r="BL27" i="47"/>
  <c r="BI27" i="47"/>
  <c r="BF27" i="47"/>
  <c r="BC27" i="47"/>
  <c r="AW27" i="47"/>
  <c r="AT27" i="47"/>
  <c r="AQ27" i="47"/>
  <c r="AN27" i="47"/>
  <c r="AK27" i="47"/>
  <c r="S27" i="47"/>
  <c r="P27" i="47"/>
  <c r="M27" i="47"/>
  <c r="J27" i="47"/>
  <c r="CO26" i="47"/>
  <c r="CN26" i="47"/>
  <c r="CM26" i="47"/>
  <c r="CJ26" i="47"/>
  <c r="CG26" i="47"/>
  <c r="BU26" i="47"/>
  <c r="BR26" i="47"/>
  <c r="BO26" i="47"/>
  <c r="BL26" i="47"/>
  <c r="BI26" i="47"/>
  <c r="BF26" i="47"/>
  <c r="BC26" i="47"/>
  <c r="AW26" i="47"/>
  <c r="AT26" i="47"/>
  <c r="AQ26" i="47"/>
  <c r="S26" i="47"/>
  <c r="P26" i="47"/>
  <c r="M26" i="47"/>
  <c r="CO25" i="47"/>
  <c r="CN25" i="47"/>
  <c r="CM25" i="47"/>
  <c r="CJ25" i="47"/>
  <c r="CG25" i="47"/>
  <c r="BU25" i="47"/>
  <c r="BR25" i="47"/>
  <c r="BO25" i="47"/>
  <c r="BL25" i="47"/>
  <c r="BI25" i="47"/>
  <c r="BF25" i="47"/>
  <c r="BC25" i="47"/>
  <c r="AW25" i="47"/>
  <c r="AT25" i="47"/>
  <c r="AQ25" i="47"/>
  <c r="AN25" i="47"/>
  <c r="AK25" i="47"/>
  <c r="AH25" i="47"/>
  <c r="AE25" i="47"/>
  <c r="S25" i="47"/>
  <c r="P25" i="47"/>
  <c r="M25" i="47"/>
  <c r="J25" i="47"/>
  <c r="CO24" i="47"/>
  <c r="CN24" i="47"/>
  <c r="CM24" i="47"/>
  <c r="CJ24" i="47"/>
  <c r="CG24" i="47"/>
  <c r="CD24" i="47"/>
  <c r="CA24" i="47"/>
  <c r="BX24" i="47"/>
  <c r="BU24" i="47"/>
  <c r="BR24" i="47"/>
  <c r="BO24" i="47"/>
  <c r="BL24" i="47"/>
  <c r="BI24" i="47"/>
  <c r="BF24" i="47"/>
  <c r="BC24" i="47"/>
  <c r="AW24" i="47"/>
  <c r="AT24" i="47"/>
  <c r="AQ24" i="47"/>
  <c r="AN24" i="47"/>
  <c r="AK24" i="47"/>
  <c r="AH24" i="47"/>
  <c r="AE24" i="47"/>
  <c r="AB24" i="47"/>
  <c r="Y24" i="47"/>
  <c r="V24" i="47"/>
  <c r="S24" i="47"/>
  <c r="P24" i="47"/>
  <c r="M24" i="47"/>
  <c r="J24" i="47"/>
  <c r="CO23" i="47"/>
  <c r="CN23" i="47"/>
  <c r="CD23" i="47"/>
  <c r="CA23" i="47"/>
  <c r="BX23" i="47"/>
  <c r="BU23" i="47"/>
  <c r="BR23" i="47"/>
  <c r="BO23" i="47"/>
  <c r="BL23" i="47"/>
  <c r="BI23" i="47"/>
  <c r="BF23" i="47"/>
  <c r="BC23" i="47"/>
  <c r="AW23" i="47"/>
  <c r="AT23" i="47"/>
  <c r="AQ23" i="47"/>
  <c r="AN23" i="47"/>
  <c r="AK23" i="47"/>
  <c r="AH23" i="47"/>
  <c r="AE23" i="47"/>
  <c r="AB23" i="47"/>
  <c r="Y23" i="47"/>
  <c r="V23" i="47"/>
  <c r="S23" i="47"/>
  <c r="P23" i="47"/>
  <c r="M23" i="47"/>
  <c r="J23" i="47"/>
  <c r="CO22" i="47"/>
  <c r="CN22" i="47"/>
  <c r="CD22" i="47"/>
  <c r="CA22" i="47"/>
  <c r="BX22" i="47"/>
  <c r="BU22" i="47"/>
  <c r="BR22" i="47"/>
  <c r="BO22" i="47"/>
  <c r="BL22" i="47"/>
  <c r="BI22" i="47"/>
  <c r="BF22" i="47"/>
  <c r="BC22" i="47"/>
  <c r="AW22" i="47"/>
  <c r="AT22" i="47"/>
  <c r="AQ22" i="47"/>
  <c r="AN22" i="47"/>
  <c r="AK22" i="47"/>
  <c r="AH22" i="47"/>
  <c r="AE22" i="47"/>
  <c r="AB22" i="47"/>
  <c r="Y22" i="47"/>
  <c r="V22" i="47"/>
  <c r="S22" i="47"/>
  <c r="P22" i="47"/>
  <c r="M22" i="47"/>
  <c r="J22" i="47"/>
  <c r="CO21" i="47"/>
  <c r="CN21" i="47"/>
  <c r="CD21" i="47"/>
  <c r="CA21" i="47"/>
  <c r="BX21" i="47"/>
  <c r="BU21" i="47"/>
  <c r="BR21" i="47"/>
  <c r="BO21" i="47"/>
  <c r="BL21" i="47"/>
  <c r="AQ21" i="47"/>
  <c r="AN21" i="47"/>
  <c r="AK21" i="47"/>
  <c r="AH21" i="47"/>
  <c r="AE21" i="47"/>
  <c r="AB21" i="47"/>
  <c r="Y21" i="47"/>
  <c r="V21" i="47"/>
  <c r="S21" i="47"/>
  <c r="P21" i="47"/>
  <c r="M21" i="47"/>
  <c r="CO20" i="47"/>
  <c r="CN20" i="47"/>
  <c r="CD20" i="47"/>
  <c r="CA20" i="47"/>
  <c r="BX20" i="47"/>
  <c r="BU20" i="47"/>
  <c r="BR20" i="47"/>
  <c r="BO20" i="47"/>
  <c r="BL20" i="47"/>
  <c r="AQ20" i="47"/>
  <c r="AN20" i="47"/>
  <c r="AK20" i="47"/>
  <c r="AH20" i="47"/>
  <c r="AE20" i="47"/>
  <c r="AB20" i="47"/>
  <c r="Y20" i="47"/>
  <c r="V20" i="47"/>
  <c r="S20" i="47"/>
  <c r="P20" i="47"/>
  <c r="M20" i="47"/>
  <c r="J20" i="47"/>
  <c r="CO19" i="47"/>
  <c r="CN19" i="47"/>
  <c r="CD19" i="47"/>
  <c r="CA19" i="47"/>
  <c r="BX19" i="47"/>
  <c r="BU19" i="47"/>
  <c r="BR19" i="47"/>
  <c r="BO19" i="47"/>
  <c r="AT19" i="47"/>
  <c r="AQ19" i="47"/>
  <c r="AN19" i="47"/>
  <c r="AK19" i="47"/>
  <c r="AH19" i="47"/>
  <c r="AE19" i="47"/>
  <c r="AB19" i="47"/>
  <c r="Y19" i="47"/>
  <c r="V19" i="47"/>
  <c r="S19" i="47"/>
  <c r="P19" i="47"/>
  <c r="M19" i="47"/>
  <c r="J19" i="47"/>
  <c r="CO18" i="47"/>
  <c r="CN18" i="47"/>
  <c r="CD18" i="47"/>
  <c r="CA18" i="47"/>
  <c r="BX18" i="47"/>
  <c r="BU18" i="47"/>
  <c r="BR18" i="47"/>
  <c r="BO18" i="47"/>
  <c r="BL18" i="47"/>
  <c r="BI18" i="47"/>
  <c r="BF18" i="47"/>
  <c r="BC18" i="47"/>
  <c r="AW18" i="47"/>
  <c r="AT18" i="47"/>
  <c r="AQ18" i="47"/>
  <c r="AN18" i="47"/>
  <c r="AK18" i="47"/>
  <c r="AH18" i="47"/>
  <c r="AE18" i="47"/>
  <c r="AB18" i="47"/>
  <c r="Y18" i="47"/>
  <c r="V18" i="47"/>
  <c r="S18" i="47"/>
  <c r="P18" i="47"/>
  <c r="M18" i="47"/>
  <c r="J18" i="47"/>
  <c r="CO17" i="47"/>
  <c r="CN17" i="47"/>
  <c r="CD17" i="47"/>
  <c r="CA17" i="47"/>
  <c r="BX17" i="47"/>
  <c r="BU17" i="47"/>
  <c r="BR17" i="47"/>
  <c r="BO17" i="47"/>
  <c r="BL17" i="47"/>
  <c r="BI17" i="47"/>
  <c r="BF17" i="47"/>
  <c r="BC17" i="47"/>
  <c r="AW17" i="47"/>
  <c r="AT17" i="47"/>
  <c r="AE17" i="47"/>
  <c r="AB17" i="47"/>
  <c r="Y17" i="47"/>
  <c r="V17" i="47"/>
  <c r="S17" i="47"/>
  <c r="P17" i="47"/>
  <c r="M17" i="47"/>
  <c r="J17" i="47"/>
  <c r="CO16" i="47"/>
  <c r="CN16" i="47"/>
  <c r="CD16" i="47"/>
  <c r="CA16" i="47"/>
  <c r="BX16" i="47"/>
  <c r="BU16" i="47"/>
  <c r="BR16" i="47"/>
  <c r="BO16" i="47"/>
  <c r="BL16" i="47"/>
  <c r="BI16" i="47"/>
  <c r="BF16" i="47"/>
  <c r="BC16" i="47"/>
  <c r="AW16" i="47"/>
  <c r="AT16" i="47"/>
  <c r="AE16" i="47"/>
  <c r="AB16" i="47"/>
  <c r="Y16" i="47"/>
  <c r="V16" i="47"/>
  <c r="S16" i="47"/>
  <c r="P16" i="47"/>
  <c r="M16" i="47"/>
  <c r="J16" i="47"/>
  <c r="CO15" i="47"/>
  <c r="CN15" i="47"/>
  <c r="CD15" i="47"/>
  <c r="CA15" i="47"/>
  <c r="BX15" i="47"/>
  <c r="BU15" i="47"/>
  <c r="BR15" i="47"/>
  <c r="BO15" i="47"/>
  <c r="BL15" i="47"/>
  <c r="AW15" i="47"/>
  <c r="AT15" i="47"/>
  <c r="AQ15" i="47"/>
  <c r="AN15" i="47"/>
  <c r="AK15" i="47"/>
  <c r="AH15" i="47"/>
  <c r="AE15" i="47"/>
  <c r="AB15" i="47"/>
  <c r="Y15" i="47"/>
  <c r="V15" i="47"/>
  <c r="S15" i="47"/>
  <c r="P15" i="47"/>
  <c r="M15" i="47"/>
  <c r="J15" i="47"/>
  <c r="CO14" i="47"/>
  <c r="CN14" i="47"/>
  <c r="BU14" i="47"/>
  <c r="BR14" i="47"/>
  <c r="BO14" i="47"/>
  <c r="BL14" i="47"/>
  <c r="AT14" i="47"/>
  <c r="AQ14" i="47"/>
  <c r="AN14" i="47"/>
  <c r="AK14" i="47"/>
  <c r="AH14" i="47"/>
  <c r="AE14" i="47"/>
  <c r="AB14" i="47"/>
  <c r="Y14" i="47"/>
  <c r="V14" i="47"/>
  <c r="S14" i="47"/>
  <c r="P14" i="47"/>
  <c r="M14" i="47"/>
  <c r="CO13" i="47"/>
  <c r="CN13" i="47"/>
  <c r="BU13" i="47"/>
  <c r="BR13" i="47"/>
  <c r="BO13" i="47"/>
  <c r="BL13" i="47"/>
  <c r="AT13" i="47"/>
  <c r="AQ13" i="47"/>
  <c r="AN13" i="47"/>
  <c r="AK13" i="47"/>
  <c r="AH13" i="47"/>
  <c r="AE13" i="47"/>
  <c r="AB13" i="47"/>
  <c r="Y13" i="47"/>
  <c r="V13" i="47"/>
  <c r="S13" i="47"/>
  <c r="P13" i="47"/>
  <c r="M13" i="47"/>
  <c r="CO12" i="47"/>
  <c r="CN12" i="47"/>
  <c r="CM12" i="47"/>
  <c r="CJ12" i="47"/>
  <c r="CG12" i="47"/>
  <c r="CD12" i="47"/>
  <c r="CA12" i="47"/>
  <c r="BX12" i="47"/>
  <c r="BU12" i="47"/>
  <c r="BR12" i="47"/>
  <c r="BO12" i="47"/>
  <c r="BL12" i="47"/>
  <c r="AT12" i="47"/>
  <c r="AQ12" i="47"/>
  <c r="AN12" i="47"/>
  <c r="AK12" i="47"/>
  <c r="AH12" i="47"/>
  <c r="AE12" i="47"/>
  <c r="AB12" i="47"/>
  <c r="Y12" i="47"/>
  <c r="V12" i="47"/>
  <c r="S12" i="47"/>
  <c r="P12" i="47"/>
  <c r="M12" i="47"/>
  <c r="CO11" i="47"/>
  <c r="CN11" i="47"/>
  <c r="CM11" i="47"/>
  <c r="CJ11" i="47"/>
  <c r="CG11" i="47"/>
  <c r="CD11" i="47"/>
  <c r="CA11" i="47"/>
  <c r="BX11" i="47"/>
  <c r="BU11" i="47"/>
  <c r="BR11" i="47"/>
  <c r="BO11" i="47"/>
  <c r="BL11" i="47"/>
  <c r="AW11" i="47"/>
  <c r="AT11" i="47"/>
  <c r="AQ11" i="47"/>
  <c r="AN11" i="47"/>
  <c r="AK11" i="47"/>
  <c r="AH11" i="47"/>
  <c r="AE11" i="47"/>
  <c r="AB11" i="47"/>
  <c r="Y11" i="47"/>
  <c r="V11" i="47"/>
  <c r="S11" i="47"/>
  <c r="P11" i="47"/>
  <c r="M11" i="47"/>
  <c r="CO10" i="47"/>
  <c r="CN10" i="47"/>
  <c r="CM10" i="47"/>
  <c r="CJ10" i="47"/>
  <c r="CG10" i="47"/>
  <c r="CD10" i="47"/>
  <c r="CA10" i="47"/>
  <c r="BX10" i="47"/>
  <c r="BU10" i="47"/>
  <c r="BR10" i="47"/>
  <c r="BO10" i="47"/>
  <c r="BL10" i="47"/>
  <c r="BI10" i="47"/>
  <c r="AW10" i="47"/>
  <c r="AT10" i="47"/>
  <c r="AQ10" i="47"/>
  <c r="AH10" i="47"/>
  <c r="AE10" i="47"/>
  <c r="AB10" i="47"/>
  <c r="Y10" i="47"/>
  <c r="V10" i="47"/>
  <c r="S10" i="47"/>
  <c r="P10" i="47"/>
  <c r="M10" i="47"/>
  <c r="J10" i="47"/>
  <c r="CO9" i="47"/>
  <c r="CN9" i="47"/>
  <c r="CM9" i="47"/>
  <c r="CJ9" i="47"/>
  <c r="CG9" i="47"/>
  <c r="CD9" i="47"/>
  <c r="CA9" i="47"/>
  <c r="BX9" i="47"/>
  <c r="BU9" i="47"/>
  <c r="BR9" i="47"/>
  <c r="BO9" i="47"/>
  <c r="BL9" i="47"/>
  <c r="BI9" i="47"/>
  <c r="BF9" i="47"/>
  <c r="BC9" i="47"/>
  <c r="AW9" i="47"/>
  <c r="AT9" i="47"/>
  <c r="AQ9" i="47"/>
  <c r="AN9" i="47"/>
  <c r="AK9" i="47"/>
  <c r="AH9" i="47"/>
  <c r="AE9" i="47"/>
  <c r="AB9" i="47"/>
  <c r="Y9" i="47"/>
  <c r="V9" i="47"/>
  <c r="S9" i="47"/>
  <c r="P9" i="47"/>
  <c r="M9" i="47"/>
  <c r="J9" i="47"/>
  <c r="CO8" i="47"/>
  <c r="CN8" i="47"/>
  <c r="CD8" i="47"/>
  <c r="CA8" i="47"/>
  <c r="BX8" i="47"/>
  <c r="BU8" i="47"/>
  <c r="BR8" i="47"/>
  <c r="BO8" i="47"/>
  <c r="BL8" i="47"/>
  <c r="AQ8" i="47"/>
  <c r="AN8" i="47"/>
  <c r="AK8" i="47"/>
  <c r="AH8" i="47"/>
  <c r="AE8" i="47"/>
  <c r="AB8" i="47"/>
  <c r="Y8" i="47"/>
  <c r="V8" i="47"/>
  <c r="S8" i="47"/>
  <c r="P8" i="47"/>
  <c r="M8" i="47"/>
  <c r="J8" i="47"/>
  <c r="CO7" i="47"/>
  <c r="CN7" i="47"/>
  <c r="CD7" i="47"/>
  <c r="CA7" i="47"/>
  <c r="BX7" i="47"/>
  <c r="BU7" i="47"/>
  <c r="BR7" i="47"/>
  <c r="BO7" i="47"/>
  <c r="BL7" i="47"/>
  <c r="P7" i="47"/>
  <c r="M7" i="47"/>
  <c r="J7" i="47"/>
  <c r="CO6" i="47"/>
  <c r="CN6" i="47"/>
  <c r="BU6" i="47"/>
  <c r="BR6" i="47"/>
  <c r="BO6" i="47"/>
  <c r="BL6" i="47"/>
  <c r="AK6" i="47"/>
  <c r="AH6" i="47"/>
  <c r="AE6" i="47"/>
  <c r="AB6" i="47"/>
  <c r="Y6" i="47"/>
  <c r="V6" i="47"/>
  <c r="S6" i="47"/>
  <c r="P6" i="47"/>
  <c r="M6" i="47"/>
  <c r="D6" i="47"/>
  <c r="CO5" i="47"/>
  <c r="CN5" i="47"/>
  <c r="CJ5" i="47"/>
  <c r="CG5" i="47"/>
  <c r="BU5" i="47"/>
  <c r="BR5" i="47"/>
  <c r="BO5" i="47"/>
  <c r="BL5" i="47"/>
  <c r="BI5" i="47"/>
  <c r="BF5" i="47"/>
  <c r="BC5" i="47"/>
  <c r="AZ5" i="47"/>
  <c r="AW5" i="47"/>
  <c r="AT5" i="47"/>
  <c r="AQ5" i="47"/>
  <c r="AN5" i="47"/>
  <c r="AK5" i="47"/>
  <c r="AH5" i="47"/>
  <c r="AE5" i="47"/>
  <c r="AB5" i="47"/>
  <c r="Y5" i="47"/>
  <c r="V5" i="47"/>
  <c r="S5" i="47"/>
  <c r="P5" i="47"/>
  <c r="M5" i="47"/>
  <c r="J5" i="47"/>
  <c r="G5" i="47"/>
  <c r="D5" i="47"/>
  <c r="BW36" i="45"/>
  <c r="BV36" i="45"/>
  <c r="BT36" i="45"/>
  <c r="BS36" i="45"/>
  <c r="BQ36" i="45"/>
  <c r="BP36" i="45"/>
  <c r="BN36" i="45"/>
  <c r="BM36" i="45"/>
  <c r="BK36" i="45"/>
  <c r="BJ36" i="45"/>
  <c r="BD36" i="45"/>
  <c r="BB36" i="45"/>
  <c r="BA36" i="45"/>
  <c r="AY36" i="45"/>
  <c r="AX36" i="45"/>
  <c r="AS36" i="45"/>
  <c r="AR36" i="45"/>
  <c r="Q36" i="45"/>
  <c r="R36" i="45"/>
  <c r="I36" i="45"/>
  <c r="H36" i="45"/>
  <c r="F36" i="45"/>
  <c r="E36" i="45"/>
  <c r="C36" i="45"/>
  <c r="B36" i="45"/>
  <c r="L36" i="45"/>
  <c r="K36" i="45"/>
  <c r="CG34" i="45"/>
  <c r="CJ34" i="45"/>
  <c r="CM34" i="45"/>
  <c r="CG35" i="45"/>
  <c r="CJ35" i="45"/>
  <c r="CM35" i="45"/>
  <c r="CG31" i="45"/>
  <c r="CJ31" i="45"/>
  <c r="CM31" i="45"/>
  <c r="CG32" i="45"/>
  <c r="CJ32" i="45"/>
  <c r="CM32" i="45"/>
  <c r="CG30" i="45"/>
  <c r="CJ30" i="45"/>
  <c r="CM30" i="45"/>
  <c r="CG25" i="45"/>
  <c r="CJ25" i="45"/>
  <c r="CM25" i="45"/>
  <c r="CG26" i="45"/>
  <c r="CJ26" i="45"/>
  <c r="CM26" i="45"/>
  <c r="CG24" i="45"/>
  <c r="CJ24" i="45"/>
  <c r="CM24" i="45"/>
  <c r="CG15" i="45"/>
  <c r="CJ15" i="45"/>
  <c r="CM15" i="45"/>
  <c r="CG16" i="45"/>
  <c r="CJ16" i="45"/>
  <c r="CM16" i="45"/>
  <c r="CG17" i="45"/>
  <c r="CJ17" i="45"/>
  <c r="CM17" i="45"/>
  <c r="CG18" i="45"/>
  <c r="CJ18" i="45"/>
  <c r="CM18" i="45"/>
  <c r="CG19" i="45"/>
  <c r="CJ19" i="45"/>
  <c r="CM19" i="45"/>
  <c r="CG20" i="45"/>
  <c r="CJ20" i="45"/>
  <c r="CM20" i="45"/>
  <c r="CG14" i="45"/>
  <c r="CJ14" i="45"/>
  <c r="CM14" i="45"/>
  <c r="CG13" i="45"/>
  <c r="CJ13" i="45"/>
  <c r="CM13" i="45"/>
  <c r="CG11" i="45"/>
  <c r="CJ11" i="45"/>
  <c r="CM11" i="45"/>
  <c r="CG7" i="45"/>
  <c r="CJ7" i="45"/>
  <c r="CM7" i="45"/>
  <c r="CG8" i="45"/>
  <c r="CJ8" i="45"/>
  <c r="CM8" i="45"/>
  <c r="CJ5" i="45"/>
  <c r="CM5" i="45"/>
  <c r="CB36" i="45"/>
  <c r="CC36" i="45"/>
  <c r="CD35" i="45"/>
  <c r="BX27" i="45"/>
  <c r="CA27" i="45"/>
  <c r="CD27" i="45"/>
  <c r="BX22" i="45"/>
  <c r="CA22" i="45"/>
  <c r="CD22" i="45"/>
  <c r="BX23" i="45"/>
  <c r="CA23" i="45"/>
  <c r="CD23" i="45"/>
  <c r="BX24" i="45"/>
  <c r="CA24" i="45"/>
  <c r="CD24" i="45"/>
  <c r="BX21" i="45"/>
  <c r="CA21" i="45"/>
  <c r="CD21" i="45"/>
  <c r="AT33" i="45"/>
  <c r="AW33" i="45"/>
  <c r="AZ33" i="45"/>
  <c r="BC33" i="45"/>
  <c r="BF33" i="45"/>
  <c r="BC32" i="45"/>
  <c r="BF32" i="45"/>
  <c r="BC30" i="45"/>
  <c r="BF30" i="45"/>
  <c r="BC31" i="45"/>
  <c r="BF31" i="45"/>
  <c r="BC21" i="45"/>
  <c r="BF21" i="45"/>
  <c r="BC22" i="45"/>
  <c r="BF22" i="45"/>
  <c r="BC23" i="45"/>
  <c r="BF23" i="45"/>
  <c r="BC24" i="45"/>
  <c r="BF24" i="45"/>
  <c r="AT22" i="45"/>
  <c r="AW22" i="45"/>
  <c r="AT23" i="45"/>
  <c r="AW23" i="45"/>
  <c r="AT24" i="45"/>
  <c r="AW24" i="45"/>
  <c r="AZ22" i="45"/>
  <c r="AZ23" i="45"/>
  <c r="AZ24" i="45"/>
  <c r="BC19" i="45"/>
  <c r="BF19" i="45"/>
  <c r="BC20" i="45"/>
  <c r="BF20" i="45"/>
  <c r="AT18" i="45"/>
  <c r="AW18" i="45"/>
  <c r="AZ18" i="45"/>
  <c r="BC18" i="45"/>
  <c r="BF18" i="45"/>
  <c r="AT14" i="45"/>
  <c r="AW14" i="45"/>
  <c r="AZ14" i="45"/>
  <c r="BC14" i="45"/>
  <c r="BF14" i="45"/>
  <c r="AT15" i="45"/>
  <c r="AW15" i="45"/>
  <c r="AZ15" i="45"/>
  <c r="BC15" i="45"/>
  <c r="BF15" i="45"/>
  <c r="AT16" i="45"/>
  <c r="AW16" i="45"/>
  <c r="AZ16" i="45"/>
  <c r="BC16" i="45"/>
  <c r="BF16" i="45"/>
  <c r="AT17" i="45"/>
  <c r="AW17" i="45"/>
  <c r="AZ17" i="45"/>
  <c r="BC17" i="45"/>
  <c r="BF17" i="45"/>
  <c r="AT13" i="45"/>
  <c r="AW13" i="45"/>
  <c r="AZ13" i="45"/>
  <c r="BC13" i="45"/>
  <c r="BF13" i="45"/>
  <c r="AT12" i="45"/>
  <c r="AW12" i="45"/>
  <c r="AZ12" i="45"/>
  <c r="BC12" i="45"/>
  <c r="BF12" i="45"/>
  <c r="AT9" i="45"/>
  <c r="AW9" i="45"/>
  <c r="AZ9" i="45"/>
  <c r="BC9" i="45"/>
  <c r="BF9" i="45"/>
  <c r="AT10" i="45"/>
  <c r="AW10" i="45"/>
  <c r="AZ10" i="45"/>
  <c r="BC10" i="45"/>
  <c r="BF10" i="45"/>
  <c r="AT11" i="45"/>
  <c r="AW11" i="45"/>
  <c r="AZ11" i="45"/>
  <c r="BC11" i="45"/>
  <c r="BF11" i="45"/>
  <c r="AZ7" i="45"/>
  <c r="BC7" i="45"/>
  <c r="BF7" i="45"/>
  <c r="AT6" i="45"/>
  <c r="AW6" i="45"/>
  <c r="AZ6" i="45"/>
  <c r="BC6" i="45"/>
  <c r="BF6" i="45"/>
  <c r="AT5" i="45"/>
  <c r="AW5" i="45"/>
  <c r="AZ5" i="45"/>
  <c r="BC5" i="45"/>
  <c r="BF5" i="45"/>
  <c r="AK32" i="45"/>
  <c r="AN32" i="45"/>
  <c r="AQ32" i="45"/>
  <c r="AN31" i="45"/>
  <c r="AQ31" i="45"/>
  <c r="AH31" i="45"/>
  <c r="AK31" i="45"/>
  <c r="V31" i="45"/>
  <c r="Y31" i="45"/>
  <c r="AB31" i="45"/>
  <c r="S31" i="45"/>
  <c r="V28" i="45"/>
  <c r="V29" i="45"/>
  <c r="V30" i="45"/>
  <c r="V32" i="45"/>
  <c r="V33" i="45"/>
  <c r="V34" i="45"/>
  <c r="V35" i="45"/>
  <c r="AK29" i="45"/>
  <c r="AN29" i="45"/>
  <c r="AE29" i="45"/>
  <c r="AH29" i="45"/>
  <c r="AQ28" i="45"/>
  <c r="AN28" i="45"/>
  <c r="AE28" i="45"/>
  <c r="AH28" i="45"/>
  <c r="AE27" i="45"/>
  <c r="AH27" i="45"/>
  <c r="AE26" i="45"/>
  <c r="AH26" i="45"/>
  <c r="AE25" i="45"/>
  <c r="AH25" i="45"/>
  <c r="AK25" i="45"/>
  <c r="V24" i="45"/>
  <c r="Y24" i="45"/>
  <c r="AB24" i="45"/>
  <c r="AE24" i="45"/>
  <c r="AH24" i="45"/>
  <c r="AK24" i="45"/>
  <c r="AN24" i="45"/>
  <c r="AQ24" i="45"/>
  <c r="Y23" i="45"/>
  <c r="AB23" i="45"/>
  <c r="AE23" i="45"/>
  <c r="AH23" i="45"/>
  <c r="AK23" i="45"/>
  <c r="AN23" i="45"/>
  <c r="AQ23" i="45"/>
  <c r="AN21" i="45"/>
  <c r="AQ21" i="45"/>
  <c r="AE21" i="45"/>
  <c r="AH21" i="45"/>
  <c r="AN18" i="45"/>
  <c r="AQ18" i="45"/>
  <c r="AH18" i="45"/>
  <c r="AE18" i="45"/>
  <c r="V17" i="45"/>
  <c r="Y17" i="45"/>
  <c r="AB17" i="45"/>
  <c r="AE17" i="45"/>
  <c r="AH17" i="45"/>
  <c r="AK17" i="45"/>
  <c r="AN17" i="45"/>
  <c r="AQ17" i="45"/>
  <c r="AN16" i="45"/>
  <c r="AQ16" i="45"/>
  <c r="Y16" i="45"/>
  <c r="AB16" i="45"/>
  <c r="AE16" i="45"/>
  <c r="AH16" i="45"/>
  <c r="V16" i="45"/>
  <c r="AN15" i="45"/>
  <c r="AQ15" i="45"/>
  <c r="AE15" i="45"/>
  <c r="AH15" i="45"/>
  <c r="AQ13" i="45"/>
  <c r="AH13" i="45"/>
  <c r="AK13" i="45"/>
  <c r="AH12" i="45"/>
  <c r="AK12" i="45"/>
  <c r="AN12" i="45"/>
  <c r="AQ12" i="45"/>
  <c r="AK11" i="45"/>
  <c r="AN11" i="45"/>
  <c r="AQ11" i="45"/>
  <c r="P10" i="45"/>
  <c r="S10" i="45"/>
  <c r="V10" i="45"/>
  <c r="Y10" i="45"/>
  <c r="AB10" i="45"/>
  <c r="AE10" i="45"/>
  <c r="AH10" i="45"/>
  <c r="AK10" i="45"/>
  <c r="AN10" i="45"/>
  <c r="AQ10" i="45"/>
  <c r="AK9" i="45"/>
  <c r="AN9" i="45"/>
  <c r="AQ9" i="45"/>
  <c r="AH9" i="45"/>
  <c r="Y9" i="45"/>
  <c r="AB9" i="45"/>
  <c r="V9" i="45"/>
  <c r="AQ8" i="45"/>
  <c r="AN8" i="45"/>
  <c r="V8" i="45"/>
  <c r="AH6" i="45"/>
  <c r="AK6" i="45"/>
  <c r="AN6" i="45"/>
  <c r="AQ6" i="45"/>
  <c r="AE6" i="45"/>
  <c r="M32" i="45"/>
  <c r="M30" i="45"/>
  <c r="M31" i="45"/>
  <c r="M33" i="45"/>
  <c r="M34" i="45"/>
  <c r="M35" i="45"/>
  <c r="G28" i="45"/>
  <c r="G24" i="45"/>
  <c r="G23" i="45"/>
  <c r="G22" i="45"/>
  <c r="G20" i="45"/>
  <c r="B6" i="52" l="1"/>
  <c r="B27" i="52"/>
  <c r="H15" i="52"/>
  <c r="CA36" i="51"/>
  <c r="CP35" i="49"/>
  <c r="P36" i="47"/>
  <c r="Y36" i="47"/>
  <c r="CA36" i="47"/>
  <c r="CJ36" i="47"/>
  <c r="AW36" i="47"/>
  <c r="V36" i="47"/>
  <c r="G36" i="47"/>
  <c r="M36" i="47"/>
  <c r="CM36" i="47"/>
  <c r="CG36" i="47"/>
  <c r="CD36" i="47"/>
  <c r="BX36" i="47"/>
  <c r="BU36" i="47"/>
  <c r="BR36" i="47"/>
  <c r="BO36" i="47"/>
  <c r="BL36" i="47"/>
  <c r="BI36" i="47"/>
  <c r="BF36" i="47"/>
  <c r="BC36" i="47"/>
  <c r="AZ36" i="47"/>
  <c r="AT36" i="47"/>
  <c r="AQ36" i="47"/>
  <c r="AN36" i="47"/>
  <c r="AK36" i="47"/>
  <c r="AH36" i="47"/>
  <c r="AE36" i="47"/>
  <c r="AB36" i="47"/>
  <c r="S36" i="47"/>
  <c r="CP12" i="47"/>
  <c r="CP14" i="47"/>
  <c r="CP15" i="47"/>
  <c r="CP16" i="47"/>
  <c r="CP17" i="47"/>
  <c r="CP18" i="47"/>
  <c r="J36" i="47"/>
  <c r="CP19" i="47"/>
  <c r="CP21" i="47"/>
  <c r="CP22" i="47"/>
  <c r="CP13" i="47"/>
  <c r="CP35" i="47"/>
  <c r="CP32" i="47"/>
  <c r="CP10" i="47"/>
  <c r="CP31" i="47"/>
  <c r="CP9" i="47"/>
  <c r="D36" i="47"/>
  <c r="CP20" i="47"/>
  <c r="CP30" i="47"/>
  <c r="CP8" i="47"/>
  <c r="CP29" i="47"/>
  <c r="CP23" i="47"/>
  <c r="CP24" i="47"/>
  <c r="CP25" i="47"/>
  <c r="CP26" i="47"/>
  <c r="CP27" i="47"/>
  <c r="CP28" i="47"/>
  <c r="CP7" i="47"/>
  <c r="CN36" i="47"/>
  <c r="CP33" i="47"/>
  <c r="CO36" i="47"/>
  <c r="CP11" i="47"/>
  <c r="CP6" i="47"/>
  <c r="CP34" i="47"/>
  <c r="CP5" i="47"/>
  <c r="G19" i="45"/>
  <c r="G16" i="45"/>
  <c r="G11" i="45"/>
  <c r="M10" i="45"/>
  <c r="G10" i="45"/>
  <c r="G9" i="45"/>
  <c r="G8" i="45"/>
  <c r="J5" i="45"/>
  <c r="G5" i="45"/>
  <c r="CN5" i="45"/>
  <c r="P35" i="45"/>
  <c r="S35" i="45"/>
  <c r="Y35" i="45"/>
  <c r="AB35" i="45"/>
  <c r="AE35" i="45"/>
  <c r="AH35" i="45"/>
  <c r="AK35" i="45"/>
  <c r="AN35" i="45"/>
  <c r="AQ35" i="45"/>
  <c r="AT35" i="45"/>
  <c r="AW35" i="45"/>
  <c r="AZ35" i="45"/>
  <c r="BC35" i="45"/>
  <c r="BF35" i="45"/>
  <c r="BI35" i="45"/>
  <c r="BL35" i="45"/>
  <c r="BO35" i="45"/>
  <c r="BR35" i="45"/>
  <c r="BU35" i="45"/>
  <c r="BX35" i="45"/>
  <c r="CA35" i="45"/>
  <c r="CN35" i="45"/>
  <c r="CO35" i="45"/>
  <c r="H18" i="46"/>
  <c r="BQ8" i="46"/>
  <c r="CL36" i="45"/>
  <c r="CK36" i="45"/>
  <c r="CI36" i="45"/>
  <c r="CH36" i="45"/>
  <c r="CF36" i="45"/>
  <c r="CE36" i="45"/>
  <c r="BZ36" i="45"/>
  <c r="BY36" i="45"/>
  <c r="BH36" i="45"/>
  <c r="BG36" i="45"/>
  <c r="BE36" i="45"/>
  <c r="AV36" i="45"/>
  <c r="AU36" i="45"/>
  <c r="AP36" i="45"/>
  <c r="AO36" i="45"/>
  <c r="AM36" i="45"/>
  <c r="AL36" i="45"/>
  <c r="AJ36" i="45"/>
  <c r="AI36" i="45"/>
  <c r="AG36" i="45"/>
  <c r="AF36" i="45"/>
  <c r="AD36" i="45"/>
  <c r="AC36" i="45"/>
  <c r="AA36" i="45"/>
  <c r="Z36" i="45"/>
  <c r="X36" i="45"/>
  <c r="W36" i="45"/>
  <c r="U36" i="45"/>
  <c r="T36" i="45"/>
  <c r="O36" i="45"/>
  <c r="N36" i="45"/>
  <c r="M36" i="45"/>
  <c r="CO34" i="45"/>
  <c r="CN34" i="45"/>
  <c r="CD34" i="45"/>
  <c r="CA34" i="45"/>
  <c r="BX34" i="45"/>
  <c r="BU34" i="45"/>
  <c r="BR34" i="45"/>
  <c r="BO34" i="45"/>
  <c r="BL34" i="45"/>
  <c r="BI34" i="45"/>
  <c r="BF34" i="45"/>
  <c r="BC34" i="45"/>
  <c r="AZ34" i="45"/>
  <c r="AW34" i="45"/>
  <c r="AT34" i="45"/>
  <c r="AQ34" i="45"/>
  <c r="AN34" i="45"/>
  <c r="AK34" i="45"/>
  <c r="AH34" i="45"/>
  <c r="AE34" i="45"/>
  <c r="AB34" i="45"/>
  <c r="Y34" i="45"/>
  <c r="S34" i="45"/>
  <c r="P34" i="45"/>
  <c r="CO33" i="45"/>
  <c r="CN33" i="45"/>
  <c r="CM33" i="45"/>
  <c r="CJ33" i="45"/>
  <c r="CG33" i="45"/>
  <c r="CD33" i="45"/>
  <c r="CA33" i="45"/>
  <c r="BX33" i="45"/>
  <c r="BU33" i="45"/>
  <c r="BR33" i="45"/>
  <c r="BO33" i="45"/>
  <c r="BL33" i="45"/>
  <c r="BI33" i="45"/>
  <c r="AQ33" i="45"/>
  <c r="AN33" i="45"/>
  <c r="AK33" i="45"/>
  <c r="AH33" i="45"/>
  <c r="AE33" i="45"/>
  <c r="AB33" i="45"/>
  <c r="Y33" i="45"/>
  <c r="S33" i="45"/>
  <c r="P33" i="45"/>
  <c r="D33" i="45"/>
  <c r="CO32" i="45"/>
  <c r="CN32" i="45"/>
  <c r="CD32" i="45"/>
  <c r="CA32" i="45"/>
  <c r="BX32" i="45"/>
  <c r="BU32" i="45"/>
  <c r="BR32" i="45"/>
  <c r="BO32" i="45"/>
  <c r="BL32" i="45"/>
  <c r="BI32" i="45"/>
  <c r="AZ32" i="45"/>
  <c r="AW32" i="45"/>
  <c r="AT32" i="45"/>
  <c r="AH32" i="45"/>
  <c r="AE32" i="45"/>
  <c r="AB32" i="45"/>
  <c r="Y32" i="45"/>
  <c r="S32" i="45"/>
  <c r="P32" i="45"/>
  <c r="D32" i="45"/>
  <c r="CO31" i="45"/>
  <c r="CN31" i="45"/>
  <c r="CD31" i="45"/>
  <c r="CA31" i="45"/>
  <c r="BX31" i="45"/>
  <c r="BU31" i="45"/>
  <c r="BR31" i="45"/>
  <c r="BO31" i="45"/>
  <c r="BL31" i="45"/>
  <c r="BI31" i="45"/>
  <c r="AW31" i="45"/>
  <c r="AT31" i="45"/>
  <c r="AE31" i="45"/>
  <c r="P31" i="45"/>
  <c r="D31" i="45"/>
  <c r="CO30" i="45"/>
  <c r="CN30" i="45"/>
  <c r="CD30" i="45"/>
  <c r="CA30" i="45"/>
  <c r="BX30" i="45"/>
  <c r="BU30" i="45"/>
  <c r="BR30" i="45"/>
  <c r="BO30" i="45"/>
  <c r="BL30" i="45"/>
  <c r="BI30" i="45"/>
  <c r="AW30" i="45"/>
  <c r="AT30" i="45"/>
  <c r="AQ30" i="45"/>
  <c r="AN30" i="45"/>
  <c r="AK30" i="45"/>
  <c r="AH30" i="45"/>
  <c r="AE30" i="45"/>
  <c r="AB30" i="45"/>
  <c r="Y30" i="45"/>
  <c r="S30" i="45"/>
  <c r="P30" i="45"/>
  <c r="G30" i="45"/>
  <c r="D30" i="45"/>
  <c r="CO29" i="45"/>
  <c r="CN29" i="45"/>
  <c r="CM29" i="45"/>
  <c r="CJ29" i="45"/>
  <c r="CG29" i="45"/>
  <c r="CD29" i="45"/>
  <c r="CA29" i="45"/>
  <c r="BX29" i="45"/>
  <c r="BU29" i="45"/>
  <c r="BR29" i="45"/>
  <c r="BO29" i="45"/>
  <c r="BL29" i="45"/>
  <c r="BI29" i="45"/>
  <c r="BF29" i="45"/>
  <c r="BC29" i="45"/>
  <c r="AW29" i="45"/>
  <c r="AT29" i="45"/>
  <c r="AQ29" i="45"/>
  <c r="AB29" i="45"/>
  <c r="Y29" i="45"/>
  <c r="S29" i="45"/>
  <c r="P29" i="45"/>
  <c r="M29" i="45"/>
  <c r="G29" i="45"/>
  <c r="D29" i="45"/>
  <c r="CO28" i="45"/>
  <c r="CN28" i="45"/>
  <c r="CM28" i="45"/>
  <c r="CJ28" i="45"/>
  <c r="CG28" i="45"/>
  <c r="CD28" i="45"/>
  <c r="CA28" i="45"/>
  <c r="BX28" i="45"/>
  <c r="BU28" i="45"/>
  <c r="BR28" i="45"/>
  <c r="BO28" i="45"/>
  <c r="BL28" i="45"/>
  <c r="BI28" i="45"/>
  <c r="BF28" i="45"/>
  <c r="BC28" i="45"/>
  <c r="AZ28" i="45"/>
  <c r="AW28" i="45"/>
  <c r="AT28" i="45"/>
  <c r="AK28" i="45"/>
  <c r="AB28" i="45"/>
  <c r="Y28" i="45"/>
  <c r="S28" i="45"/>
  <c r="P28" i="45"/>
  <c r="M28" i="45"/>
  <c r="D28" i="45"/>
  <c r="CO27" i="45"/>
  <c r="CN27" i="45"/>
  <c r="CM27" i="45"/>
  <c r="CJ27" i="45"/>
  <c r="CG27" i="45"/>
  <c r="BU27" i="45"/>
  <c r="BR27" i="45"/>
  <c r="BO27" i="45"/>
  <c r="BL27" i="45"/>
  <c r="BI27" i="45"/>
  <c r="BF27" i="45"/>
  <c r="BC27" i="45"/>
  <c r="AZ27" i="45"/>
  <c r="AW27" i="45"/>
  <c r="AT27" i="45"/>
  <c r="AQ27" i="45"/>
  <c r="AN27" i="45"/>
  <c r="AK27" i="45"/>
  <c r="AB27" i="45"/>
  <c r="Y27" i="45"/>
  <c r="V27" i="45"/>
  <c r="S27" i="45"/>
  <c r="P27" i="45"/>
  <c r="M27" i="45"/>
  <c r="G27" i="45"/>
  <c r="D27" i="45"/>
  <c r="CO26" i="45"/>
  <c r="CN26" i="45"/>
  <c r="CD26" i="45"/>
  <c r="CA26" i="45"/>
  <c r="BX26" i="45"/>
  <c r="BU26" i="45"/>
  <c r="BR26" i="45"/>
  <c r="BO26" i="45"/>
  <c r="BL26" i="45"/>
  <c r="BI26" i="45"/>
  <c r="BF26" i="45"/>
  <c r="BC26" i="45"/>
  <c r="AZ26" i="45"/>
  <c r="AW26" i="45"/>
  <c r="AT26" i="45"/>
  <c r="AQ26" i="45"/>
  <c r="AN26" i="45"/>
  <c r="AK26" i="45"/>
  <c r="AB26" i="45"/>
  <c r="Y26" i="45"/>
  <c r="V26" i="45"/>
  <c r="S26" i="45"/>
  <c r="P26" i="45"/>
  <c r="M26" i="45"/>
  <c r="G26" i="45"/>
  <c r="D26" i="45"/>
  <c r="CO25" i="45"/>
  <c r="CN25" i="45"/>
  <c r="CD25" i="45"/>
  <c r="CA25" i="45"/>
  <c r="BX25" i="45"/>
  <c r="BU25" i="45"/>
  <c r="BR25" i="45"/>
  <c r="BO25" i="45"/>
  <c r="BL25" i="45"/>
  <c r="BI25" i="45"/>
  <c r="BF25" i="45"/>
  <c r="BC25" i="45"/>
  <c r="AZ25" i="45"/>
  <c r="AW25" i="45"/>
  <c r="AT25" i="45"/>
  <c r="AQ25" i="45"/>
  <c r="AN25" i="45"/>
  <c r="AB25" i="45"/>
  <c r="Y25" i="45"/>
  <c r="V25" i="45"/>
  <c r="S25" i="45"/>
  <c r="P25" i="45"/>
  <c r="M25" i="45"/>
  <c r="G25" i="45"/>
  <c r="D25" i="45"/>
  <c r="CO24" i="45"/>
  <c r="CN24" i="45"/>
  <c r="BU24" i="45"/>
  <c r="BR24" i="45"/>
  <c r="BO24" i="45"/>
  <c r="BL24" i="45"/>
  <c r="BI24" i="45"/>
  <c r="S24" i="45"/>
  <c r="P24" i="45"/>
  <c r="M24" i="45"/>
  <c r="D24" i="45"/>
  <c r="CO23" i="45"/>
  <c r="CN23" i="45"/>
  <c r="CM23" i="45"/>
  <c r="CJ23" i="45"/>
  <c r="CG23" i="45"/>
  <c r="BU23" i="45"/>
  <c r="BR23" i="45"/>
  <c r="BO23" i="45"/>
  <c r="BL23" i="45"/>
  <c r="BI23" i="45"/>
  <c r="V23" i="45"/>
  <c r="S23" i="45"/>
  <c r="P23" i="45"/>
  <c r="M23" i="45"/>
  <c r="D23" i="45"/>
  <c r="CO22" i="45"/>
  <c r="CN22" i="45"/>
  <c r="CM22" i="45"/>
  <c r="CJ22" i="45"/>
  <c r="CG22" i="45"/>
  <c r="BU22" i="45"/>
  <c r="BR22" i="45"/>
  <c r="BO22" i="45"/>
  <c r="BL22" i="45"/>
  <c r="BI22" i="45"/>
  <c r="AQ22" i="45"/>
  <c r="AN22" i="45"/>
  <c r="AK22" i="45"/>
  <c r="AH22" i="45"/>
  <c r="AE22" i="45"/>
  <c r="AB22" i="45"/>
  <c r="Y22" i="45"/>
  <c r="V22" i="45"/>
  <c r="S22" i="45"/>
  <c r="P22" i="45"/>
  <c r="M22" i="45"/>
  <c r="D22" i="45"/>
  <c r="CO21" i="45"/>
  <c r="CN21" i="45"/>
  <c r="CM21" i="45"/>
  <c r="CJ21" i="45"/>
  <c r="CG21" i="45"/>
  <c r="BU21" i="45"/>
  <c r="BR21" i="45"/>
  <c r="BO21" i="45"/>
  <c r="BL21" i="45"/>
  <c r="BI21" i="45"/>
  <c r="AZ21" i="45"/>
  <c r="AW21" i="45"/>
  <c r="AT21" i="45"/>
  <c r="AK21" i="45"/>
  <c r="AB21" i="45"/>
  <c r="Y21" i="45"/>
  <c r="V21" i="45"/>
  <c r="S21" i="45"/>
  <c r="P21" i="45"/>
  <c r="M21" i="45"/>
  <c r="G21" i="45"/>
  <c r="D21" i="45"/>
  <c r="CO20" i="45"/>
  <c r="CN20" i="45"/>
  <c r="CD20" i="45"/>
  <c r="CA20" i="45"/>
  <c r="BX20" i="45"/>
  <c r="BU20" i="45"/>
  <c r="BR20" i="45"/>
  <c r="BO20" i="45"/>
  <c r="BL20" i="45"/>
  <c r="BI20" i="45"/>
  <c r="AZ20" i="45"/>
  <c r="AW20" i="45"/>
  <c r="AT20" i="45"/>
  <c r="AQ20" i="45"/>
  <c r="AN20" i="45"/>
  <c r="AK20" i="45"/>
  <c r="AH20" i="45"/>
  <c r="AE20" i="45"/>
  <c r="AB20" i="45"/>
  <c r="Y20" i="45"/>
  <c r="V20" i="45"/>
  <c r="S20" i="45"/>
  <c r="P20" i="45"/>
  <c r="M20" i="45"/>
  <c r="D20" i="45"/>
  <c r="CO19" i="45"/>
  <c r="CN19" i="45"/>
  <c r="CD19" i="45"/>
  <c r="CA19" i="45"/>
  <c r="BX19" i="45"/>
  <c r="BU19" i="45"/>
  <c r="BR19" i="45"/>
  <c r="BO19" i="45"/>
  <c r="BI19" i="45"/>
  <c r="AZ19" i="45"/>
  <c r="AW19" i="45"/>
  <c r="AT19" i="45"/>
  <c r="AQ19" i="45"/>
  <c r="AN19" i="45"/>
  <c r="AK19" i="45"/>
  <c r="AH19" i="45"/>
  <c r="AE19" i="45"/>
  <c r="AB19" i="45"/>
  <c r="Y19" i="45"/>
  <c r="V19" i="45"/>
  <c r="S19" i="45"/>
  <c r="P19" i="45"/>
  <c r="M19" i="45"/>
  <c r="D19" i="45"/>
  <c r="CO18" i="45"/>
  <c r="CN18" i="45"/>
  <c r="CD18" i="45"/>
  <c r="CA18" i="45"/>
  <c r="BX18" i="45"/>
  <c r="BU18" i="45"/>
  <c r="BR18" i="45"/>
  <c r="BO18" i="45"/>
  <c r="BL18" i="45"/>
  <c r="BI18" i="45"/>
  <c r="AK18" i="45"/>
  <c r="AB18" i="45"/>
  <c r="Y18" i="45"/>
  <c r="V18" i="45"/>
  <c r="S18" i="45"/>
  <c r="P18" i="45"/>
  <c r="M18" i="45"/>
  <c r="G18" i="45"/>
  <c r="D18" i="45"/>
  <c r="CO17" i="45"/>
  <c r="CN17" i="45"/>
  <c r="CD17" i="45"/>
  <c r="CA17" i="45"/>
  <c r="BX17" i="45"/>
  <c r="BU17" i="45"/>
  <c r="BR17" i="45"/>
  <c r="BO17" i="45"/>
  <c r="BL17" i="45"/>
  <c r="BI17" i="45"/>
  <c r="S17" i="45"/>
  <c r="P17" i="45"/>
  <c r="M17" i="45"/>
  <c r="G17" i="45"/>
  <c r="D17" i="45"/>
  <c r="CO16" i="45"/>
  <c r="CN16" i="45"/>
  <c r="CD16" i="45"/>
  <c r="CA16" i="45"/>
  <c r="BX16" i="45"/>
  <c r="BU16" i="45"/>
  <c r="BR16" i="45"/>
  <c r="BO16" i="45"/>
  <c r="BL16" i="45"/>
  <c r="BI16" i="45"/>
  <c r="AK16" i="45"/>
  <c r="S16" i="45"/>
  <c r="P16" i="45"/>
  <c r="M16" i="45"/>
  <c r="D16" i="45"/>
  <c r="CO15" i="45"/>
  <c r="CN15" i="45"/>
  <c r="CD15" i="45"/>
  <c r="CA15" i="45"/>
  <c r="BX15" i="45"/>
  <c r="BU15" i="45"/>
  <c r="BR15" i="45"/>
  <c r="BO15" i="45"/>
  <c r="BL15" i="45"/>
  <c r="BI15" i="45"/>
  <c r="AK15" i="45"/>
  <c r="AB15" i="45"/>
  <c r="Y15" i="45"/>
  <c r="V15" i="45"/>
  <c r="S15" i="45"/>
  <c r="P15" i="45"/>
  <c r="M15" i="45"/>
  <c r="G15" i="45"/>
  <c r="D15" i="45"/>
  <c r="CO14" i="45"/>
  <c r="CN14" i="45"/>
  <c r="CD14" i="45"/>
  <c r="CA14" i="45"/>
  <c r="BX14" i="45"/>
  <c r="BU14" i="45"/>
  <c r="BR14" i="45"/>
  <c r="BO14" i="45"/>
  <c r="BL14" i="45"/>
  <c r="AQ14" i="45"/>
  <c r="AN14" i="45"/>
  <c r="AK14" i="45"/>
  <c r="AH14" i="45"/>
  <c r="AE14" i="45"/>
  <c r="AB14" i="45"/>
  <c r="Y14" i="45"/>
  <c r="V14" i="45"/>
  <c r="S14" i="45"/>
  <c r="P14" i="45"/>
  <c r="M14" i="45"/>
  <c r="G14" i="45"/>
  <c r="D14" i="45"/>
  <c r="CO13" i="45"/>
  <c r="CN13" i="45"/>
  <c r="CD13" i="45"/>
  <c r="CA13" i="45"/>
  <c r="BX13" i="45"/>
  <c r="BU13" i="45"/>
  <c r="BR13" i="45"/>
  <c r="BO13" i="45"/>
  <c r="BL13" i="45"/>
  <c r="BI13" i="45"/>
  <c r="AN13" i="45"/>
  <c r="AE13" i="45"/>
  <c r="AB13" i="45"/>
  <c r="Y13" i="45"/>
  <c r="V13" i="45"/>
  <c r="S13" i="45"/>
  <c r="P13" i="45"/>
  <c r="M13" i="45"/>
  <c r="G13" i="45"/>
  <c r="D13" i="45"/>
  <c r="CO12" i="45"/>
  <c r="CN12" i="45"/>
  <c r="CM12" i="45"/>
  <c r="CJ12" i="45"/>
  <c r="CG12" i="45"/>
  <c r="CD12" i="45"/>
  <c r="CA12" i="45"/>
  <c r="BX12" i="45"/>
  <c r="BU12" i="45"/>
  <c r="BR12" i="45"/>
  <c r="BO12" i="45"/>
  <c r="BL12" i="45"/>
  <c r="BI12" i="45"/>
  <c r="AE12" i="45"/>
  <c r="AB12" i="45"/>
  <c r="Y12" i="45"/>
  <c r="V12" i="45"/>
  <c r="S12" i="45"/>
  <c r="P12" i="45"/>
  <c r="M12" i="45"/>
  <c r="G12" i="45"/>
  <c r="D12" i="45"/>
  <c r="CO11" i="45"/>
  <c r="CN11" i="45"/>
  <c r="CD11" i="45"/>
  <c r="CA11" i="45"/>
  <c r="BX11" i="45"/>
  <c r="BU11" i="45"/>
  <c r="BR11" i="45"/>
  <c r="BO11" i="45"/>
  <c r="BL11" i="45"/>
  <c r="BI11" i="45"/>
  <c r="AH11" i="45"/>
  <c r="AE11" i="45"/>
  <c r="AB11" i="45"/>
  <c r="Y11" i="45"/>
  <c r="V11" i="45"/>
  <c r="S11" i="45"/>
  <c r="P11" i="45"/>
  <c r="M11" i="45"/>
  <c r="D11" i="45"/>
  <c r="CO10" i="45"/>
  <c r="CN10" i="45"/>
  <c r="CM10" i="45"/>
  <c r="CJ10" i="45"/>
  <c r="CG10" i="45"/>
  <c r="CD10" i="45"/>
  <c r="CA10" i="45"/>
  <c r="BX10" i="45"/>
  <c r="BU10" i="45"/>
  <c r="BR10" i="45"/>
  <c r="BO10" i="45"/>
  <c r="BL10" i="45"/>
  <c r="BI10" i="45"/>
  <c r="D10" i="45"/>
  <c r="CO9" i="45"/>
  <c r="CN9" i="45"/>
  <c r="CM9" i="45"/>
  <c r="CJ9" i="45"/>
  <c r="CG9" i="45"/>
  <c r="CD9" i="45"/>
  <c r="CA9" i="45"/>
  <c r="BX9" i="45"/>
  <c r="BU9" i="45"/>
  <c r="BR9" i="45"/>
  <c r="BO9" i="45"/>
  <c r="BL9" i="45"/>
  <c r="BI9" i="45"/>
  <c r="AE9" i="45"/>
  <c r="S9" i="45"/>
  <c r="P9" i="45"/>
  <c r="M9" i="45"/>
  <c r="D9" i="45"/>
  <c r="CO8" i="45"/>
  <c r="CN8" i="45"/>
  <c r="CD8" i="45"/>
  <c r="CA8" i="45"/>
  <c r="BX8" i="45"/>
  <c r="BU8" i="45"/>
  <c r="BR8" i="45"/>
  <c r="BO8" i="45"/>
  <c r="BL8" i="45"/>
  <c r="BI8" i="45"/>
  <c r="BF8" i="45"/>
  <c r="BC8" i="45"/>
  <c r="AZ8" i="45"/>
  <c r="AW8" i="45"/>
  <c r="AT8" i="45"/>
  <c r="AK8" i="45"/>
  <c r="AH8" i="45"/>
  <c r="AE8" i="45"/>
  <c r="AB8" i="45"/>
  <c r="Y8" i="45"/>
  <c r="S8" i="45"/>
  <c r="P8" i="45"/>
  <c r="M8" i="45"/>
  <c r="D8" i="45"/>
  <c r="CO7" i="45"/>
  <c r="CN7" i="45"/>
  <c r="CD7" i="45"/>
  <c r="CA7" i="45"/>
  <c r="BX7" i="45"/>
  <c r="BU7" i="45"/>
  <c r="BR7" i="45"/>
  <c r="BO7" i="45"/>
  <c r="BL7" i="45"/>
  <c r="BI7" i="45"/>
  <c r="AW7" i="45"/>
  <c r="AT7" i="45"/>
  <c r="AQ7" i="45"/>
  <c r="AN7" i="45"/>
  <c r="AK7" i="45"/>
  <c r="AH7" i="45"/>
  <c r="AE7" i="45"/>
  <c r="AB7" i="45"/>
  <c r="Y7" i="45"/>
  <c r="V7" i="45"/>
  <c r="S7" i="45"/>
  <c r="P7" i="45"/>
  <c r="M7" i="45"/>
  <c r="G7" i="45"/>
  <c r="D7" i="45"/>
  <c r="CO6" i="45"/>
  <c r="CN6" i="45"/>
  <c r="CM6" i="45"/>
  <c r="CJ6" i="45"/>
  <c r="CG6" i="45"/>
  <c r="CD6" i="45"/>
  <c r="CA6" i="45"/>
  <c r="BX6" i="45"/>
  <c r="BU6" i="45"/>
  <c r="BR6" i="45"/>
  <c r="BO6" i="45"/>
  <c r="BL6" i="45"/>
  <c r="BI6" i="45"/>
  <c r="AB6" i="45"/>
  <c r="Y6" i="45"/>
  <c r="V6" i="45"/>
  <c r="S6" i="45"/>
  <c r="P6" i="45"/>
  <c r="M6" i="45"/>
  <c r="G6" i="45"/>
  <c r="D6" i="45"/>
  <c r="CO5" i="45"/>
  <c r="CG5" i="45"/>
  <c r="CD5" i="45"/>
  <c r="CA5" i="45"/>
  <c r="BX5" i="45"/>
  <c r="BU5" i="45"/>
  <c r="BR5" i="45"/>
  <c r="BO5" i="45"/>
  <c r="BL5" i="45"/>
  <c r="BI5" i="45"/>
  <c r="AQ5" i="45"/>
  <c r="AN5" i="45"/>
  <c r="AK5" i="45"/>
  <c r="AH5" i="45"/>
  <c r="AE5" i="45"/>
  <c r="AB5" i="45"/>
  <c r="Y5" i="45"/>
  <c r="V5" i="45"/>
  <c r="S5" i="45"/>
  <c r="P5" i="45"/>
  <c r="M5" i="45"/>
  <c r="D5" i="45"/>
  <c r="H17" i="44"/>
  <c r="H18" i="44" s="1"/>
  <c r="H16" i="44"/>
  <c r="H15" i="44"/>
  <c r="H14" i="44"/>
  <c r="H13" i="44"/>
  <c r="H12" i="44"/>
  <c r="H11" i="44"/>
  <c r="H10" i="44"/>
  <c r="H9" i="44"/>
  <c r="H8" i="44"/>
  <c r="H7" i="44"/>
  <c r="H6" i="44"/>
  <c r="H5" i="44"/>
  <c r="H4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B42" i="44"/>
  <c r="B41" i="44"/>
  <c r="B40" i="44"/>
  <c r="B39" i="44"/>
  <c r="B38" i="44"/>
  <c r="B37" i="44"/>
  <c r="B36" i="44"/>
  <c r="B35" i="44"/>
  <c r="B34" i="44"/>
  <c r="B33" i="44"/>
  <c r="B32" i="44"/>
  <c r="B31" i="44"/>
  <c r="B30" i="44"/>
  <c r="B29" i="44"/>
  <c r="B27" i="44"/>
  <c r="B26" i="44"/>
  <c r="B25" i="44"/>
  <c r="B24" i="44"/>
  <c r="B23" i="44"/>
  <c r="B22" i="44"/>
  <c r="B21" i="44"/>
  <c r="B20" i="44"/>
  <c r="B28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Q8" i="44"/>
  <c r="B4" i="39"/>
  <c r="BX31" i="42"/>
  <c r="CA31" i="42"/>
  <c r="CD31" i="42"/>
  <c r="BX32" i="42"/>
  <c r="CA32" i="42"/>
  <c r="CD32" i="42"/>
  <c r="BX33" i="42"/>
  <c r="CA33" i="42"/>
  <c r="CD33" i="42"/>
  <c r="BX34" i="42"/>
  <c r="CA34" i="42"/>
  <c r="CD34" i="42"/>
  <c r="AT32" i="42"/>
  <c r="AW32" i="42"/>
  <c r="AZ32" i="42"/>
  <c r="BC32" i="42"/>
  <c r="BF32" i="42"/>
  <c r="AT33" i="42"/>
  <c r="AW33" i="42"/>
  <c r="AZ33" i="42"/>
  <c r="BC33" i="42"/>
  <c r="BF33" i="42"/>
  <c r="AT34" i="42"/>
  <c r="AW34" i="42"/>
  <c r="AZ34" i="42"/>
  <c r="BC34" i="42"/>
  <c r="BF34" i="42"/>
  <c r="AT31" i="42"/>
  <c r="AW31" i="42"/>
  <c r="AZ31" i="42"/>
  <c r="BC31" i="42"/>
  <c r="BF31" i="42"/>
  <c r="BC30" i="42"/>
  <c r="BF30" i="42"/>
  <c r="AE34" i="42"/>
  <c r="AH34" i="42"/>
  <c r="AK34" i="42"/>
  <c r="AN34" i="42"/>
  <c r="AQ34" i="42"/>
  <c r="AE31" i="42"/>
  <c r="AH31" i="42"/>
  <c r="AK31" i="42"/>
  <c r="AN31" i="42"/>
  <c r="AQ31" i="42"/>
  <c r="AE30" i="42"/>
  <c r="AH30" i="42"/>
  <c r="AK30" i="42"/>
  <c r="AN30" i="42"/>
  <c r="AQ30" i="42"/>
  <c r="AH29" i="42"/>
  <c r="AK29" i="42"/>
  <c r="AN29" i="42"/>
  <c r="AQ29" i="42"/>
  <c r="J33" i="42"/>
  <c r="M32" i="42"/>
  <c r="J32" i="42"/>
  <c r="J30" i="42"/>
  <c r="J31" i="42"/>
  <c r="CL35" i="42"/>
  <c r="CK35" i="42"/>
  <c r="CI35" i="42"/>
  <c r="CH35" i="42"/>
  <c r="CF35" i="42"/>
  <c r="CE35" i="42"/>
  <c r="CC35" i="42"/>
  <c r="CB35" i="42"/>
  <c r="BZ35" i="42"/>
  <c r="BY35" i="42"/>
  <c r="BW35" i="42"/>
  <c r="BV35" i="42"/>
  <c r="BT35" i="42"/>
  <c r="BS35" i="42"/>
  <c r="BQ35" i="42"/>
  <c r="BP35" i="42"/>
  <c r="BN35" i="42"/>
  <c r="BM35" i="42"/>
  <c r="BK35" i="42"/>
  <c r="BJ35" i="42"/>
  <c r="BH35" i="42"/>
  <c r="BG35" i="42"/>
  <c r="BE35" i="42"/>
  <c r="BD35" i="42"/>
  <c r="BB35" i="42"/>
  <c r="BA35" i="42"/>
  <c r="AY35" i="42"/>
  <c r="AX35" i="42"/>
  <c r="AV35" i="42"/>
  <c r="AU35" i="42"/>
  <c r="AS35" i="42"/>
  <c r="AR35" i="42"/>
  <c r="AP35" i="42"/>
  <c r="AO35" i="42"/>
  <c r="AM35" i="42"/>
  <c r="AL35" i="42"/>
  <c r="AJ35" i="42"/>
  <c r="AI35" i="42"/>
  <c r="AG35" i="42"/>
  <c r="AF35" i="42"/>
  <c r="AD35" i="42"/>
  <c r="AC35" i="42"/>
  <c r="AA35" i="42"/>
  <c r="Z35" i="42"/>
  <c r="X35" i="42"/>
  <c r="W35" i="42"/>
  <c r="U35" i="42"/>
  <c r="T35" i="42"/>
  <c r="R35" i="42"/>
  <c r="Q35" i="42"/>
  <c r="O35" i="42"/>
  <c r="N35" i="42"/>
  <c r="L35" i="42"/>
  <c r="K35" i="42"/>
  <c r="I35" i="42"/>
  <c r="H35" i="42"/>
  <c r="F35" i="42"/>
  <c r="E35" i="42"/>
  <c r="C35" i="42"/>
  <c r="B35" i="42"/>
  <c r="CO34" i="42"/>
  <c r="CN34" i="42"/>
  <c r="CM34" i="42"/>
  <c r="CJ34" i="42"/>
  <c r="CG34" i="42"/>
  <c r="BU34" i="42"/>
  <c r="BR34" i="42"/>
  <c r="BO34" i="42"/>
  <c r="BL34" i="42"/>
  <c r="BI34" i="42"/>
  <c r="AB34" i="42"/>
  <c r="Y34" i="42"/>
  <c r="V34" i="42"/>
  <c r="S34" i="42"/>
  <c r="P34" i="42"/>
  <c r="CO33" i="42"/>
  <c r="CN33" i="42"/>
  <c r="CM33" i="42"/>
  <c r="CJ33" i="42"/>
  <c r="CG33" i="42"/>
  <c r="BU33" i="42"/>
  <c r="BR33" i="42"/>
  <c r="BO33" i="42"/>
  <c r="BL33" i="42"/>
  <c r="BI33" i="42"/>
  <c r="AQ33" i="42"/>
  <c r="AN33" i="42"/>
  <c r="AK33" i="42"/>
  <c r="AH33" i="42"/>
  <c r="AE33" i="42"/>
  <c r="AB33" i="42"/>
  <c r="Y33" i="42"/>
  <c r="V33" i="42"/>
  <c r="S33" i="42"/>
  <c r="P33" i="42"/>
  <c r="M33" i="42"/>
  <c r="D33" i="42"/>
  <c r="CO32" i="42"/>
  <c r="CN32" i="42"/>
  <c r="CM32" i="42"/>
  <c r="CJ32" i="42"/>
  <c r="CG32" i="42"/>
  <c r="BU32" i="42"/>
  <c r="BR32" i="42"/>
  <c r="BO32" i="42"/>
  <c r="BL32" i="42"/>
  <c r="BI32" i="42"/>
  <c r="AQ32" i="42"/>
  <c r="AN32" i="42"/>
  <c r="AK32" i="42"/>
  <c r="AH32" i="42"/>
  <c r="AE32" i="42"/>
  <c r="AB32" i="42"/>
  <c r="Y32" i="42"/>
  <c r="V32" i="42"/>
  <c r="S32" i="42"/>
  <c r="P32" i="42"/>
  <c r="D32" i="42"/>
  <c r="CO31" i="42"/>
  <c r="CN31" i="42"/>
  <c r="CM31" i="42"/>
  <c r="CJ31" i="42"/>
  <c r="CG31" i="42"/>
  <c r="BU31" i="42"/>
  <c r="BR31" i="42"/>
  <c r="BO31" i="42"/>
  <c r="BL31" i="42"/>
  <c r="BI31" i="42"/>
  <c r="AB31" i="42"/>
  <c r="Y31" i="42"/>
  <c r="V31" i="42"/>
  <c r="S31" i="42"/>
  <c r="P31" i="42"/>
  <c r="M31" i="42"/>
  <c r="D31" i="42"/>
  <c r="CO30" i="42"/>
  <c r="CN30" i="42"/>
  <c r="CM30" i="42"/>
  <c r="CJ30" i="42"/>
  <c r="CG30" i="42"/>
  <c r="CD30" i="42"/>
  <c r="CA30" i="42"/>
  <c r="BX30" i="42"/>
  <c r="BU30" i="42"/>
  <c r="BR30" i="42"/>
  <c r="BO30" i="42"/>
  <c r="BL30" i="42"/>
  <c r="BI30" i="42"/>
  <c r="AZ30" i="42"/>
  <c r="AW30" i="42"/>
  <c r="AT30" i="42"/>
  <c r="AB30" i="42"/>
  <c r="Y30" i="42"/>
  <c r="V30" i="42"/>
  <c r="S30" i="42"/>
  <c r="P30" i="42"/>
  <c r="G30" i="42"/>
  <c r="D30" i="42"/>
  <c r="CO29" i="42"/>
  <c r="CN29" i="42"/>
  <c r="CM29" i="42"/>
  <c r="CJ29" i="42"/>
  <c r="CG29" i="42"/>
  <c r="CD29" i="42"/>
  <c r="CA29" i="42"/>
  <c r="BX29" i="42"/>
  <c r="BU29" i="42"/>
  <c r="BR29" i="42"/>
  <c r="BO29" i="42"/>
  <c r="BL29" i="42"/>
  <c r="BI29" i="42"/>
  <c r="BF29" i="42"/>
  <c r="BC29" i="42"/>
  <c r="AW29" i="42"/>
  <c r="AT29" i="42"/>
  <c r="AE29" i="42"/>
  <c r="AB29" i="42"/>
  <c r="Y29" i="42"/>
  <c r="V29" i="42"/>
  <c r="S29" i="42"/>
  <c r="P29" i="42"/>
  <c r="M29" i="42"/>
  <c r="J29" i="42"/>
  <c r="G29" i="42"/>
  <c r="D29" i="42"/>
  <c r="CO28" i="42"/>
  <c r="CN28" i="42"/>
  <c r="CP28" i="42" s="1"/>
  <c r="CM28" i="42"/>
  <c r="CJ28" i="42"/>
  <c r="CG28" i="42"/>
  <c r="CD28" i="42"/>
  <c r="CA28" i="42"/>
  <c r="BX28" i="42"/>
  <c r="BU28" i="42"/>
  <c r="BR28" i="42"/>
  <c r="BO28" i="42"/>
  <c r="BL28" i="42"/>
  <c r="BI28" i="42"/>
  <c r="BF28" i="42"/>
  <c r="BC28" i="42"/>
  <c r="AZ28" i="42"/>
  <c r="AW28" i="42"/>
  <c r="AT28" i="42"/>
  <c r="AQ28" i="42"/>
  <c r="AN28" i="42"/>
  <c r="AK28" i="42"/>
  <c r="AH28" i="42"/>
  <c r="AE28" i="42"/>
  <c r="AB28" i="42"/>
  <c r="Y28" i="42"/>
  <c r="V28" i="42"/>
  <c r="S28" i="42"/>
  <c r="P28" i="42"/>
  <c r="M28" i="42"/>
  <c r="J28" i="42"/>
  <c r="G28" i="42"/>
  <c r="D28" i="42"/>
  <c r="CO27" i="42"/>
  <c r="CN27" i="42"/>
  <c r="CM27" i="42"/>
  <c r="CJ27" i="42"/>
  <c r="CG27" i="42"/>
  <c r="CD27" i="42"/>
  <c r="CA27" i="42"/>
  <c r="BX27" i="42"/>
  <c r="BU27" i="42"/>
  <c r="BR27" i="42"/>
  <c r="BO27" i="42"/>
  <c r="BL27" i="42"/>
  <c r="BI27" i="42"/>
  <c r="BF27" i="42"/>
  <c r="BC27" i="42"/>
  <c r="AZ27" i="42"/>
  <c r="AW27" i="42"/>
  <c r="AT27" i="42"/>
  <c r="AQ27" i="42"/>
  <c r="AN27" i="42"/>
  <c r="AK27" i="42"/>
  <c r="AH27" i="42"/>
  <c r="AE27" i="42"/>
  <c r="AB27" i="42"/>
  <c r="Y27" i="42"/>
  <c r="V27" i="42"/>
  <c r="S27" i="42"/>
  <c r="P27" i="42"/>
  <c r="M27" i="42"/>
  <c r="J27" i="42"/>
  <c r="G27" i="42"/>
  <c r="D27" i="42"/>
  <c r="CO26" i="42"/>
  <c r="CN26" i="42"/>
  <c r="CM26" i="42"/>
  <c r="CJ26" i="42"/>
  <c r="CG26" i="42"/>
  <c r="CD26" i="42"/>
  <c r="CA26" i="42"/>
  <c r="BX26" i="42"/>
  <c r="BU26" i="42"/>
  <c r="BR26" i="42"/>
  <c r="BO26" i="42"/>
  <c r="BL26" i="42"/>
  <c r="BI26" i="42"/>
  <c r="BF26" i="42"/>
  <c r="BC26" i="42"/>
  <c r="AZ26" i="42"/>
  <c r="AW26" i="42"/>
  <c r="AT26" i="42"/>
  <c r="AQ26" i="42"/>
  <c r="AN26" i="42"/>
  <c r="AK26" i="42"/>
  <c r="AH26" i="42"/>
  <c r="AE26" i="42"/>
  <c r="AB26" i="42"/>
  <c r="Y26" i="42"/>
  <c r="V26" i="42"/>
  <c r="S26" i="42"/>
  <c r="P26" i="42"/>
  <c r="M26" i="42"/>
  <c r="J26" i="42"/>
  <c r="G26" i="42"/>
  <c r="D26" i="42"/>
  <c r="CO25" i="42"/>
  <c r="CN25" i="42"/>
  <c r="CM25" i="42"/>
  <c r="CJ25" i="42"/>
  <c r="CG25" i="42"/>
  <c r="CD25" i="42"/>
  <c r="CA25" i="42"/>
  <c r="BX25" i="42"/>
  <c r="BU25" i="42"/>
  <c r="BR25" i="42"/>
  <c r="BO25" i="42"/>
  <c r="BL25" i="42"/>
  <c r="BI25" i="42"/>
  <c r="BF25" i="42"/>
  <c r="BC25" i="42"/>
  <c r="AZ25" i="42"/>
  <c r="AW25" i="42"/>
  <c r="AT25" i="42"/>
  <c r="AQ25" i="42"/>
  <c r="AN25" i="42"/>
  <c r="AK25" i="42"/>
  <c r="AH25" i="42"/>
  <c r="AE25" i="42"/>
  <c r="AB25" i="42"/>
  <c r="Y25" i="42"/>
  <c r="V25" i="42"/>
  <c r="S25" i="42"/>
  <c r="P25" i="42"/>
  <c r="M25" i="42"/>
  <c r="J25" i="42"/>
  <c r="G25" i="42"/>
  <c r="D25" i="42"/>
  <c r="CO24" i="42"/>
  <c r="CN24" i="42"/>
  <c r="CM24" i="42"/>
  <c r="CJ24" i="42"/>
  <c r="CG24" i="42"/>
  <c r="CD24" i="42"/>
  <c r="CA24" i="42"/>
  <c r="BX24" i="42"/>
  <c r="BU24" i="42"/>
  <c r="BR24" i="42"/>
  <c r="BO24" i="42"/>
  <c r="BL24" i="42"/>
  <c r="BI24" i="42"/>
  <c r="BF24" i="42"/>
  <c r="BC24" i="42"/>
  <c r="AZ24" i="42"/>
  <c r="AW24" i="42"/>
  <c r="AT24" i="42"/>
  <c r="AQ24" i="42"/>
  <c r="AN24" i="42"/>
  <c r="AK24" i="42"/>
  <c r="AH24" i="42"/>
  <c r="AE24" i="42"/>
  <c r="AB24" i="42"/>
  <c r="Y24" i="42"/>
  <c r="V24" i="42"/>
  <c r="S24" i="42"/>
  <c r="P24" i="42"/>
  <c r="M24" i="42"/>
  <c r="J24" i="42"/>
  <c r="G24" i="42"/>
  <c r="D24" i="42"/>
  <c r="CO23" i="42"/>
  <c r="CN23" i="42"/>
  <c r="CM23" i="42"/>
  <c r="CJ23" i="42"/>
  <c r="CG23" i="42"/>
  <c r="CD23" i="42"/>
  <c r="CA23" i="42"/>
  <c r="BX23" i="42"/>
  <c r="BU23" i="42"/>
  <c r="BR23" i="42"/>
  <c r="BO23" i="42"/>
  <c r="BL23" i="42"/>
  <c r="BI23" i="42"/>
  <c r="BF23" i="42"/>
  <c r="BC23" i="42"/>
  <c r="AZ23" i="42"/>
  <c r="AW23" i="42"/>
  <c r="AT23" i="42"/>
  <c r="AQ23" i="42"/>
  <c r="AN23" i="42"/>
  <c r="AK23" i="42"/>
  <c r="AH23" i="42"/>
  <c r="AE23" i="42"/>
  <c r="AB23" i="42"/>
  <c r="Y23" i="42"/>
  <c r="V23" i="42"/>
  <c r="S23" i="42"/>
  <c r="P23" i="42"/>
  <c r="M23" i="42"/>
  <c r="J23" i="42"/>
  <c r="G23" i="42"/>
  <c r="D23" i="42"/>
  <c r="CO22" i="42"/>
  <c r="CN22" i="42"/>
  <c r="CM22" i="42"/>
  <c r="CJ22" i="42"/>
  <c r="CG22" i="42"/>
  <c r="CD22" i="42"/>
  <c r="CA22" i="42"/>
  <c r="BX22" i="42"/>
  <c r="BU22" i="42"/>
  <c r="BR22" i="42"/>
  <c r="BO22" i="42"/>
  <c r="BL22" i="42"/>
  <c r="BI22" i="42"/>
  <c r="BF22" i="42"/>
  <c r="BC22" i="42"/>
  <c r="AZ22" i="42"/>
  <c r="AW22" i="42"/>
  <c r="AT22" i="42"/>
  <c r="AQ22" i="42"/>
  <c r="AN22" i="42"/>
  <c r="AK22" i="42"/>
  <c r="AH22" i="42"/>
  <c r="AE22" i="42"/>
  <c r="AB22" i="42"/>
  <c r="Y22" i="42"/>
  <c r="V22" i="42"/>
  <c r="S22" i="42"/>
  <c r="P22" i="42"/>
  <c r="M22" i="42"/>
  <c r="J22" i="42"/>
  <c r="G22" i="42"/>
  <c r="D22" i="42"/>
  <c r="CO21" i="42"/>
  <c r="CN21" i="42"/>
  <c r="CM21" i="42"/>
  <c r="CJ21" i="42"/>
  <c r="CG21" i="42"/>
  <c r="CD21" i="42"/>
  <c r="CA21" i="42"/>
  <c r="BX21" i="42"/>
  <c r="BU21" i="42"/>
  <c r="BR21" i="42"/>
  <c r="BO21" i="42"/>
  <c r="BL21" i="42"/>
  <c r="BI21" i="42"/>
  <c r="BF21" i="42"/>
  <c r="BC21" i="42"/>
  <c r="AZ21" i="42"/>
  <c r="AW21" i="42"/>
  <c r="AT21" i="42"/>
  <c r="AQ21" i="42"/>
  <c r="AN21" i="42"/>
  <c r="AK21" i="42"/>
  <c r="AH21" i="42"/>
  <c r="AE21" i="42"/>
  <c r="AB21" i="42"/>
  <c r="Y21" i="42"/>
  <c r="V21" i="42"/>
  <c r="S21" i="42"/>
  <c r="P21" i="42"/>
  <c r="M21" i="42"/>
  <c r="J21" i="42"/>
  <c r="G21" i="42"/>
  <c r="D21" i="42"/>
  <c r="CO20" i="42"/>
  <c r="CN20" i="42"/>
  <c r="CM20" i="42"/>
  <c r="CJ20" i="42"/>
  <c r="CG20" i="42"/>
  <c r="CD20" i="42"/>
  <c r="CA20" i="42"/>
  <c r="BX20" i="42"/>
  <c r="BU20" i="42"/>
  <c r="BR20" i="42"/>
  <c r="BO20" i="42"/>
  <c r="BL20" i="42"/>
  <c r="BI20" i="42"/>
  <c r="BF20" i="42"/>
  <c r="BC20" i="42"/>
  <c r="AZ20" i="42"/>
  <c r="AW20" i="42"/>
  <c r="AT20" i="42"/>
  <c r="AQ20" i="42"/>
  <c r="AN20" i="42"/>
  <c r="AK20" i="42"/>
  <c r="AH20" i="42"/>
  <c r="AE20" i="42"/>
  <c r="AB20" i="42"/>
  <c r="Y20" i="42"/>
  <c r="V20" i="42"/>
  <c r="S20" i="42"/>
  <c r="P20" i="42"/>
  <c r="M20" i="42"/>
  <c r="J20" i="42"/>
  <c r="G20" i="42"/>
  <c r="D20" i="42"/>
  <c r="CO19" i="42"/>
  <c r="CN19" i="42"/>
  <c r="CM19" i="42"/>
  <c r="CJ19" i="42"/>
  <c r="CG19" i="42"/>
  <c r="CD19" i="42"/>
  <c r="CA19" i="42"/>
  <c r="BX19" i="42"/>
  <c r="BU19" i="42"/>
  <c r="BR19" i="42"/>
  <c r="BO19" i="42"/>
  <c r="BI19" i="42"/>
  <c r="BF19" i="42"/>
  <c r="BC19" i="42"/>
  <c r="AZ19" i="42"/>
  <c r="AW19" i="42"/>
  <c r="AT19" i="42"/>
  <c r="AQ19" i="42"/>
  <c r="AN19" i="42"/>
  <c r="AK19" i="42"/>
  <c r="AH19" i="42"/>
  <c r="AE19" i="42"/>
  <c r="AB19" i="42"/>
  <c r="Y19" i="42"/>
  <c r="V19" i="42"/>
  <c r="S19" i="42"/>
  <c r="P19" i="42"/>
  <c r="M19" i="42"/>
  <c r="J19" i="42"/>
  <c r="G19" i="42"/>
  <c r="D19" i="42"/>
  <c r="CO18" i="42"/>
  <c r="CN18" i="42"/>
  <c r="CM18" i="42"/>
  <c r="CJ18" i="42"/>
  <c r="CG18" i="42"/>
  <c r="CD18" i="42"/>
  <c r="CA18" i="42"/>
  <c r="BX18" i="42"/>
  <c r="BU18" i="42"/>
  <c r="BR18" i="42"/>
  <c r="BO18" i="42"/>
  <c r="BL18" i="42"/>
  <c r="BI18" i="42"/>
  <c r="BF18" i="42"/>
  <c r="BC18" i="42"/>
  <c r="AZ18" i="42"/>
  <c r="AW18" i="42"/>
  <c r="AT18" i="42"/>
  <c r="AQ18" i="42"/>
  <c r="AN18" i="42"/>
  <c r="AK18" i="42"/>
  <c r="AH18" i="42"/>
  <c r="AE18" i="42"/>
  <c r="AB18" i="42"/>
  <c r="Y18" i="42"/>
  <c r="V18" i="42"/>
  <c r="S18" i="42"/>
  <c r="P18" i="42"/>
  <c r="M18" i="42"/>
  <c r="J18" i="42"/>
  <c r="G18" i="42"/>
  <c r="D18" i="42"/>
  <c r="CO17" i="42"/>
  <c r="CN17" i="42"/>
  <c r="CM17" i="42"/>
  <c r="CJ17" i="42"/>
  <c r="CG17" i="42"/>
  <c r="CD17" i="42"/>
  <c r="CA17" i="42"/>
  <c r="BX17" i="42"/>
  <c r="BU17" i="42"/>
  <c r="BR17" i="42"/>
  <c r="BO17" i="42"/>
  <c r="BL17" i="42"/>
  <c r="BI17" i="42"/>
  <c r="BF17" i="42"/>
  <c r="BC17" i="42"/>
  <c r="AZ17" i="42"/>
  <c r="AW17" i="42"/>
  <c r="AT17" i="42"/>
  <c r="AQ17" i="42"/>
  <c r="AN17" i="42"/>
  <c r="AK17" i="42"/>
  <c r="AH17" i="42"/>
  <c r="AE17" i="42"/>
  <c r="AB17" i="42"/>
  <c r="Y17" i="42"/>
  <c r="V17" i="42"/>
  <c r="S17" i="42"/>
  <c r="P17" i="42"/>
  <c r="M17" i="42"/>
  <c r="J17" i="42"/>
  <c r="G17" i="42"/>
  <c r="D17" i="42"/>
  <c r="CO16" i="42"/>
  <c r="CN16" i="42"/>
  <c r="CM16" i="42"/>
  <c r="CJ16" i="42"/>
  <c r="CG16" i="42"/>
  <c r="CD16" i="42"/>
  <c r="CA16" i="42"/>
  <c r="BX16" i="42"/>
  <c r="BU16" i="42"/>
  <c r="BR16" i="42"/>
  <c r="BO16" i="42"/>
  <c r="BL16" i="42"/>
  <c r="BI16" i="42"/>
  <c r="BF16" i="42"/>
  <c r="BC16" i="42"/>
  <c r="AZ16" i="42"/>
  <c r="AW16" i="42"/>
  <c r="AT16" i="42"/>
  <c r="AQ16" i="42"/>
  <c r="AN16" i="42"/>
  <c r="AK16" i="42"/>
  <c r="AH16" i="42"/>
  <c r="AE16" i="42"/>
  <c r="AB16" i="42"/>
  <c r="Y16" i="42"/>
  <c r="V16" i="42"/>
  <c r="S16" i="42"/>
  <c r="P16" i="42"/>
  <c r="M16" i="42"/>
  <c r="J16" i="42"/>
  <c r="G16" i="42"/>
  <c r="D16" i="42"/>
  <c r="CO15" i="42"/>
  <c r="CN15" i="42"/>
  <c r="CM15" i="42"/>
  <c r="CJ15" i="42"/>
  <c r="CG15" i="42"/>
  <c r="CD15" i="42"/>
  <c r="CA15" i="42"/>
  <c r="BX15" i="42"/>
  <c r="BU15" i="42"/>
  <c r="BR15" i="42"/>
  <c r="BO15" i="42"/>
  <c r="BL15" i="42"/>
  <c r="BI15" i="42"/>
  <c r="BF15" i="42"/>
  <c r="AW15" i="42"/>
  <c r="AT15" i="42"/>
  <c r="AQ15" i="42"/>
  <c r="AN15" i="42"/>
  <c r="AK15" i="42"/>
  <c r="AH15" i="42"/>
  <c r="AE15" i="42"/>
  <c r="AB15" i="42"/>
  <c r="Y15" i="42"/>
  <c r="V15" i="42"/>
  <c r="S15" i="42"/>
  <c r="P15" i="42"/>
  <c r="M15" i="42"/>
  <c r="J15" i="42"/>
  <c r="G15" i="42"/>
  <c r="D15" i="42"/>
  <c r="CO14" i="42"/>
  <c r="CN14" i="42"/>
  <c r="CM14" i="42"/>
  <c r="CJ14" i="42"/>
  <c r="CG14" i="42"/>
  <c r="CD14" i="42"/>
  <c r="CA14" i="42"/>
  <c r="BX14" i="42"/>
  <c r="BU14" i="42"/>
  <c r="BR14" i="42"/>
  <c r="BO14" i="42"/>
  <c r="BL14" i="42"/>
  <c r="BF14" i="42"/>
  <c r="BC14" i="42"/>
  <c r="AW14" i="42"/>
  <c r="AT14" i="42"/>
  <c r="AQ14" i="42"/>
  <c r="AN14" i="42"/>
  <c r="AK14" i="42"/>
  <c r="AH14" i="42"/>
  <c r="AE14" i="42"/>
  <c r="AB14" i="42"/>
  <c r="Y14" i="42"/>
  <c r="V14" i="42"/>
  <c r="S14" i="42"/>
  <c r="P14" i="42"/>
  <c r="M14" i="42"/>
  <c r="J14" i="42"/>
  <c r="G14" i="42"/>
  <c r="D14" i="42"/>
  <c r="CO13" i="42"/>
  <c r="CN13" i="42"/>
  <c r="CM13" i="42"/>
  <c r="CJ13" i="42"/>
  <c r="CG13" i="42"/>
  <c r="CD13" i="42"/>
  <c r="CA13" i="42"/>
  <c r="BX13" i="42"/>
  <c r="BU13" i="42"/>
  <c r="BR13" i="42"/>
  <c r="BO13" i="42"/>
  <c r="BL13" i="42"/>
  <c r="BI13" i="42"/>
  <c r="BF13" i="42"/>
  <c r="BC13" i="42"/>
  <c r="AW13" i="42"/>
  <c r="AT13" i="42"/>
  <c r="AQ13" i="42"/>
  <c r="AN13" i="42"/>
  <c r="AK13" i="42"/>
  <c r="AH13" i="42"/>
  <c r="AE13" i="42"/>
  <c r="AB13" i="42"/>
  <c r="Y13" i="42"/>
  <c r="V13" i="42"/>
  <c r="S13" i="42"/>
  <c r="P13" i="42"/>
  <c r="M13" i="42"/>
  <c r="J13" i="42"/>
  <c r="G13" i="42"/>
  <c r="D13" i="42"/>
  <c r="CO12" i="42"/>
  <c r="CN12" i="42"/>
  <c r="CM12" i="42"/>
  <c r="CJ12" i="42"/>
  <c r="CG12" i="42"/>
  <c r="CD12" i="42"/>
  <c r="CA12" i="42"/>
  <c r="BX12" i="42"/>
  <c r="BU12" i="42"/>
  <c r="BR12" i="42"/>
  <c r="BO12" i="42"/>
  <c r="BL12" i="42"/>
  <c r="BI12" i="42"/>
  <c r="BF12" i="42"/>
  <c r="BC12" i="42"/>
  <c r="AZ12" i="42"/>
  <c r="AW12" i="42"/>
  <c r="AT12" i="42"/>
  <c r="AQ12" i="42"/>
  <c r="AN12" i="42"/>
  <c r="AK12" i="42"/>
  <c r="AH12" i="42"/>
  <c r="AE12" i="42"/>
  <c r="AB12" i="42"/>
  <c r="Y12" i="42"/>
  <c r="V12" i="42"/>
  <c r="S12" i="42"/>
  <c r="P12" i="42"/>
  <c r="M12" i="42"/>
  <c r="J12" i="42"/>
  <c r="G12" i="42"/>
  <c r="D12" i="42"/>
  <c r="CO11" i="42"/>
  <c r="CN11" i="42"/>
  <c r="CM11" i="42"/>
  <c r="CJ11" i="42"/>
  <c r="CG11" i="42"/>
  <c r="CD11" i="42"/>
  <c r="CA11" i="42"/>
  <c r="BX11" i="42"/>
  <c r="BU11" i="42"/>
  <c r="BR11" i="42"/>
  <c r="BO11" i="42"/>
  <c r="BL11" i="42"/>
  <c r="BI11" i="42"/>
  <c r="BF11" i="42"/>
  <c r="BC11" i="42"/>
  <c r="AZ11" i="42"/>
  <c r="AW11" i="42"/>
  <c r="AT11" i="42"/>
  <c r="AQ11" i="42"/>
  <c r="AN11" i="42"/>
  <c r="AK11" i="42"/>
  <c r="AH11" i="42"/>
  <c r="AE11" i="42"/>
  <c r="AB11" i="42"/>
  <c r="Y11" i="42"/>
  <c r="V11" i="42"/>
  <c r="S11" i="42"/>
  <c r="P11" i="42"/>
  <c r="M11" i="42"/>
  <c r="J11" i="42"/>
  <c r="G11" i="42"/>
  <c r="D11" i="42"/>
  <c r="CO10" i="42"/>
  <c r="CN10" i="42"/>
  <c r="CM10" i="42"/>
  <c r="CJ10" i="42"/>
  <c r="CG10" i="42"/>
  <c r="CD10" i="42"/>
  <c r="CA10" i="42"/>
  <c r="BX10" i="42"/>
  <c r="BU10" i="42"/>
  <c r="BR10" i="42"/>
  <c r="BO10" i="42"/>
  <c r="BL10" i="42"/>
  <c r="BI10" i="42"/>
  <c r="BF10" i="42"/>
  <c r="BC10" i="42"/>
  <c r="AZ10" i="42"/>
  <c r="AW10" i="42"/>
  <c r="AT10" i="42"/>
  <c r="AQ10" i="42"/>
  <c r="AN10" i="42"/>
  <c r="AK10" i="42"/>
  <c r="AH10" i="42"/>
  <c r="AE10" i="42"/>
  <c r="AB10" i="42"/>
  <c r="Y10" i="42"/>
  <c r="V10" i="42"/>
  <c r="S10" i="42"/>
  <c r="P10" i="42"/>
  <c r="M10" i="42"/>
  <c r="J10" i="42"/>
  <c r="G10" i="42"/>
  <c r="D10" i="42"/>
  <c r="CO9" i="42"/>
  <c r="CN9" i="42"/>
  <c r="CM9" i="42"/>
  <c r="CJ9" i="42"/>
  <c r="CG9" i="42"/>
  <c r="CD9" i="42"/>
  <c r="CA9" i="42"/>
  <c r="BX9" i="42"/>
  <c r="BU9" i="42"/>
  <c r="BR9" i="42"/>
  <c r="BO9" i="42"/>
  <c r="BL9" i="42"/>
  <c r="BI9" i="42"/>
  <c r="BF9" i="42"/>
  <c r="BC9" i="42"/>
  <c r="AZ9" i="42"/>
  <c r="AW9" i="42"/>
  <c r="AT9" i="42"/>
  <c r="AQ9" i="42"/>
  <c r="AN9" i="42"/>
  <c r="AK9" i="42"/>
  <c r="AH9" i="42"/>
  <c r="AE9" i="42"/>
  <c r="AB9" i="42"/>
  <c r="Y9" i="42"/>
  <c r="V9" i="42"/>
  <c r="S9" i="42"/>
  <c r="P9" i="42"/>
  <c r="M9" i="42"/>
  <c r="J9" i="42"/>
  <c r="G9" i="42"/>
  <c r="D9" i="42"/>
  <c r="CO8" i="42"/>
  <c r="CN8" i="42"/>
  <c r="CM8" i="42"/>
  <c r="CJ8" i="42"/>
  <c r="CG8" i="42"/>
  <c r="CD8" i="42"/>
  <c r="CA8" i="42"/>
  <c r="BX8" i="42"/>
  <c r="BU8" i="42"/>
  <c r="BR8" i="42"/>
  <c r="BO8" i="42"/>
  <c r="BL8" i="42"/>
  <c r="BI8" i="42"/>
  <c r="BF8" i="42"/>
  <c r="BC8" i="42"/>
  <c r="AZ8" i="42"/>
  <c r="AW8" i="42"/>
  <c r="AT8" i="42"/>
  <c r="AQ8" i="42"/>
  <c r="AN8" i="42"/>
  <c r="AK8" i="42"/>
  <c r="AH8" i="42"/>
  <c r="AE8" i="42"/>
  <c r="AB8" i="42"/>
  <c r="Y8" i="42"/>
  <c r="V8" i="42"/>
  <c r="S8" i="42"/>
  <c r="P8" i="42"/>
  <c r="M8" i="42"/>
  <c r="J8" i="42"/>
  <c r="G8" i="42"/>
  <c r="D8" i="42"/>
  <c r="CO7" i="42"/>
  <c r="CN7" i="42"/>
  <c r="CM7" i="42"/>
  <c r="CJ7" i="42"/>
  <c r="CG7" i="42"/>
  <c r="CD7" i="42"/>
  <c r="CA7" i="42"/>
  <c r="BX7" i="42"/>
  <c r="BU7" i="42"/>
  <c r="BR7" i="42"/>
  <c r="BO7" i="42"/>
  <c r="BL7" i="42"/>
  <c r="BI7" i="42"/>
  <c r="BF7" i="42"/>
  <c r="BC7" i="42"/>
  <c r="AZ7" i="42"/>
  <c r="AW7" i="42"/>
  <c r="AT7" i="42"/>
  <c r="AQ7" i="42"/>
  <c r="AN7" i="42"/>
  <c r="AK7" i="42"/>
  <c r="AH7" i="42"/>
  <c r="AE7" i="42"/>
  <c r="AB7" i="42"/>
  <c r="Y7" i="42"/>
  <c r="V7" i="42"/>
  <c r="S7" i="42"/>
  <c r="P7" i="42"/>
  <c r="M7" i="42"/>
  <c r="J7" i="42"/>
  <c r="G7" i="42"/>
  <c r="D7" i="42"/>
  <c r="CO6" i="42"/>
  <c r="CN6" i="42"/>
  <c r="CM6" i="42"/>
  <c r="CJ6" i="42"/>
  <c r="CG6" i="42"/>
  <c r="CD6" i="42"/>
  <c r="CA6" i="42"/>
  <c r="BX6" i="42"/>
  <c r="BU6" i="42"/>
  <c r="BR6" i="42"/>
  <c r="BO6" i="42"/>
  <c r="BL6" i="42"/>
  <c r="BI6" i="42"/>
  <c r="BF6" i="42"/>
  <c r="BC6" i="42"/>
  <c r="AZ6" i="42"/>
  <c r="AW6" i="42"/>
  <c r="AT6" i="42"/>
  <c r="AQ6" i="42"/>
  <c r="AN6" i="42"/>
  <c r="AK6" i="42"/>
  <c r="AH6" i="42"/>
  <c r="AE6" i="42"/>
  <c r="AB6" i="42"/>
  <c r="Y6" i="42"/>
  <c r="V6" i="42"/>
  <c r="S6" i="42"/>
  <c r="P6" i="42"/>
  <c r="M6" i="42"/>
  <c r="J6" i="42"/>
  <c r="G6" i="42"/>
  <c r="D6" i="42"/>
  <c r="CO5" i="42"/>
  <c r="CN5" i="42"/>
  <c r="CM5" i="42"/>
  <c r="CM35" i="42" s="1"/>
  <c r="CJ5" i="42"/>
  <c r="CJ35" i="42" s="1"/>
  <c r="CG5" i="42"/>
  <c r="CG35" i="42" s="1"/>
  <c r="CD5" i="42"/>
  <c r="CA5" i="42"/>
  <c r="BX5" i="42"/>
  <c r="BU5" i="42"/>
  <c r="BR5" i="42"/>
  <c r="BO5" i="42"/>
  <c r="BL5" i="42"/>
  <c r="BI5" i="42"/>
  <c r="BI35" i="42" s="1"/>
  <c r="BF5" i="42"/>
  <c r="BC5" i="42"/>
  <c r="AZ5" i="42"/>
  <c r="AW5" i="42"/>
  <c r="AT5" i="42"/>
  <c r="AQ5" i="42"/>
  <c r="AN5" i="42"/>
  <c r="AK5" i="42"/>
  <c r="AK35" i="42" s="1"/>
  <c r="AH5" i="42"/>
  <c r="AE5" i="42"/>
  <c r="AB5" i="42"/>
  <c r="Y5" i="42"/>
  <c r="Y35" i="42" s="1"/>
  <c r="V5" i="42"/>
  <c r="S5" i="42"/>
  <c r="P5" i="42"/>
  <c r="P35" i="42" s="1"/>
  <c r="M5" i="42"/>
  <c r="J5" i="42"/>
  <c r="G5" i="42"/>
  <c r="D5" i="42"/>
  <c r="CG36" i="38"/>
  <c r="BC36" i="38"/>
  <c r="BL36" i="38"/>
  <c r="AH36" i="38"/>
  <c r="AE36" i="38"/>
  <c r="AB36" i="38"/>
  <c r="V36" i="38"/>
  <c r="S36" i="38"/>
  <c r="M36" i="38"/>
  <c r="G36" i="38"/>
  <c r="CN35" i="38"/>
  <c r="CO35" i="38"/>
  <c r="CP35" i="38"/>
  <c r="CG35" i="38"/>
  <c r="CJ35" i="38"/>
  <c r="CM35" i="38"/>
  <c r="BX35" i="38"/>
  <c r="BO35" i="38"/>
  <c r="BR35" i="38"/>
  <c r="Y35" i="38"/>
  <c r="AB35" i="38"/>
  <c r="AE35" i="38"/>
  <c r="AH35" i="38"/>
  <c r="AK35" i="38"/>
  <c r="AN35" i="38"/>
  <c r="AQ35" i="38"/>
  <c r="AT35" i="38"/>
  <c r="AW35" i="38"/>
  <c r="AZ35" i="38"/>
  <c r="BC35" i="38"/>
  <c r="CG34" i="38"/>
  <c r="CJ34" i="38"/>
  <c r="CM34" i="38"/>
  <c r="CM36" i="38" s="1"/>
  <c r="BX34" i="38"/>
  <c r="CA34" i="38"/>
  <c r="CD34" i="38"/>
  <c r="BO34" i="38"/>
  <c r="BR34" i="38"/>
  <c r="AE34" i="38"/>
  <c r="AH34" i="38"/>
  <c r="AK34" i="38"/>
  <c r="AN34" i="38"/>
  <c r="CG33" i="38"/>
  <c r="CJ33" i="38"/>
  <c r="CM33" i="38"/>
  <c r="BX33" i="38"/>
  <c r="CA33" i="38"/>
  <c r="CD33" i="38"/>
  <c r="AE33" i="38"/>
  <c r="AH33" i="38"/>
  <c r="AK33" i="38"/>
  <c r="AK36" i="38" s="1"/>
  <c r="AN33" i="38"/>
  <c r="AQ33" i="38"/>
  <c r="C36" i="38"/>
  <c r="E36" i="38"/>
  <c r="F36" i="38"/>
  <c r="H36" i="38"/>
  <c r="I36" i="38"/>
  <c r="K36" i="38"/>
  <c r="B10" i="39" s="1"/>
  <c r="L36" i="38"/>
  <c r="B11" i="39" s="1"/>
  <c r="N36" i="38"/>
  <c r="O36" i="38"/>
  <c r="P36" i="38"/>
  <c r="Q36" i="38"/>
  <c r="B13" i="39" s="1"/>
  <c r="R36" i="38"/>
  <c r="B14" i="39" s="1"/>
  <c r="T36" i="38"/>
  <c r="B16" i="39" s="1"/>
  <c r="U36" i="38"/>
  <c r="B17" i="39" s="1"/>
  <c r="W36" i="38"/>
  <c r="X36" i="38"/>
  <c r="Y36" i="38"/>
  <c r="Z36" i="38"/>
  <c r="B22" i="39" s="1"/>
  <c r="AA36" i="38"/>
  <c r="B23" i="39" s="1"/>
  <c r="AC36" i="38"/>
  <c r="B28" i="39" s="1"/>
  <c r="AD36" i="38"/>
  <c r="B29" i="39" s="1"/>
  <c r="AF36" i="38"/>
  <c r="B31" i="39" s="1"/>
  <c r="AG36" i="38"/>
  <c r="B32" i="39" s="1"/>
  <c r="AI36" i="38"/>
  <c r="AJ36" i="38"/>
  <c r="AL36" i="38"/>
  <c r="B34" i="39" s="1"/>
  <c r="AM36" i="38"/>
  <c r="B35" i="39" s="1"/>
  <c r="AN36" i="38"/>
  <c r="AO36" i="38"/>
  <c r="B37" i="39" s="1"/>
  <c r="AP36" i="38"/>
  <c r="B38" i="39" s="1"/>
  <c r="AR36" i="38"/>
  <c r="B40" i="39" s="1"/>
  <c r="AS36" i="38"/>
  <c r="B41" i="39" s="1"/>
  <c r="AU36" i="38"/>
  <c r="AV36" i="38"/>
  <c r="AW36" i="38"/>
  <c r="AX36" i="38"/>
  <c r="E4" i="39" s="1"/>
  <c r="AY36" i="38"/>
  <c r="BA36" i="38"/>
  <c r="E7" i="39" s="1"/>
  <c r="BB36" i="38"/>
  <c r="BD36" i="38"/>
  <c r="BE36" i="38"/>
  <c r="BF36" i="38"/>
  <c r="BG36" i="38"/>
  <c r="BH36" i="38"/>
  <c r="E14" i="39" s="1"/>
  <c r="BI36" i="38"/>
  <c r="E15" i="39" s="1"/>
  <c r="BJ36" i="38"/>
  <c r="BK36" i="38"/>
  <c r="E17" i="39" s="1"/>
  <c r="BM36" i="38"/>
  <c r="BN36" i="38"/>
  <c r="H5" i="39" s="1"/>
  <c r="BO36" i="38"/>
  <c r="BP36" i="38"/>
  <c r="BQ36" i="38"/>
  <c r="H9" i="39" s="1"/>
  <c r="BS36" i="38"/>
  <c r="H10" i="39" s="1"/>
  <c r="BT36" i="38"/>
  <c r="BV36" i="38"/>
  <c r="H13" i="39" s="1"/>
  <c r="BW36" i="38"/>
  <c r="H14" i="39" s="1"/>
  <c r="BX36" i="38"/>
  <c r="BY36" i="38"/>
  <c r="BZ36" i="38"/>
  <c r="CA36" i="38"/>
  <c r="CB36" i="38"/>
  <c r="CC36" i="38"/>
  <c r="CE36" i="38"/>
  <c r="CF36" i="38"/>
  <c r="H17" i="39" s="1"/>
  <c r="CH36" i="38"/>
  <c r="CI36" i="38"/>
  <c r="CJ36" i="38"/>
  <c r="CK36" i="38"/>
  <c r="CL36" i="38"/>
  <c r="B36" i="38"/>
  <c r="J33" i="38"/>
  <c r="M33" i="38"/>
  <c r="BO32" i="38"/>
  <c r="BR32" i="38"/>
  <c r="BU32" i="38"/>
  <c r="BX32" i="38"/>
  <c r="CA32" i="38"/>
  <c r="CD32" i="38"/>
  <c r="CG32" i="38"/>
  <c r="CJ32" i="38"/>
  <c r="CM32" i="38"/>
  <c r="AT32" i="38"/>
  <c r="AW32" i="38"/>
  <c r="AZ32" i="38"/>
  <c r="BC32" i="38"/>
  <c r="AE32" i="38"/>
  <c r="AH32" i="38"/>
  <c r="AK32" i="38"/>
  <c r="AN32" i="38"/>
  <c r="AQ32" i="38"/>
  <c r="CG30" i="38"/>
  <c r="CJ30" i="38"/>
  <c r="CM30" i="38"/>
  <c r="BX31" i="38"/>
  <c r="CA31" i="38"/>
  <c r="CD31" i="38"/>
  <c r="CG31" i="38"/>
  <c r="CJ31" i="38"/>
  <c r="CM31" i="38"/>
  <c r="BO31" i="38"/>
  <c r="BR31" i="38"/>
  <c r="BU31" i="38"/>
  <c r="AW31" i="38"/>
  <c r="AZ31" i="38"/>
  <c r="BC31" i="38"/>
  <c r="AT31" i="38"/>
  <c r="AE31" i="38"/>
  <c r="AH31" i="38"/>
  <c r="AK31" i="38"/>
  <c r="AE30" i="38"/>
  <c r="AH30" i="38"/>
  <c r="AK30" i="38"/>
  <c r="V30" i="38"/>
  <c r="J30" i="38"/>
  <c r="M30" i="38"/>
  <c r="BX29" i="38"/>
  <c r="BU29" i="38"/>
  <c r="BO29" i="38"/>
  <c r="BR29" i="38"/>
  <c r="V29" i="38"/>
  <c r="Y29" i="38"/>
  <c r="AB29" i="38"/>
  <c r="AE29" i="38"/>
  <c r="AH29" i="38"/>
  <c r="AK29" i="38"/>
  <c r="AN29" i="38"/>
  <c r="AQ29" i="38"/>
  <c r="AT29" i="38"/>
  <c r="AW29" i="38"/>
  <c r="AZ29" i="38"/>
  <c r="BC29" i="38"/>
  <c r="BX28" i="38"/>
  <c r="CA28" i="38"/>
  <c r="CD28" i="38"/>
  <c r="AT28" i="38"/>
  <c r="AW28" i="38"/>
  <c r="AZ28" i="38"/>
  <c r="BC28" i="38"/>
  <c r="BF28" i="38"/>
  <c r="BI28" i="38"/>
  <c r="Y28" i="38"/>
  <c r="AB28" i="38"/>
  <c r="AE28" i="38"/>
  <c r="AH28" i="38"/>
  <c r="AK28" i="38"/>
  <c r="AN28" i="38"/>
  <c r="AQ28" i="38"/>
  <c r="V28" i="38"/>
  <c r="BX27" i="38"/>
  <c r="CA27" i="38"/>
  <c r="CD27" i="38"/>
  <c r="BO27" i="38"/>
  <c r="BR27" i="38"/>
  <c r="BU27" i="38"/>
  <c r="AE27" i="38"/>
  <c r="AH27" i="38"/>
  <c r="AK27" i="38"/>
  <c r="AN27" i="38"/>
  <c r="AQ27" i="38"/>
  <c r="BX26" i="38"/>
  <c r="CA26" i="38"/>
  <c r="CD26" i="38"/>
  <c r="AH26" i="38"/>
  <c r="AK26" i="38"/>
  <c r="AN26" i="38"/>
  <c r="AQ26" i="38"/>
  <c r="BX25" i="38"/>
  <c r="CA25" i="38"/>
  <c r="CD25" i="38"/>
  <c r="AH25" i="38"/>
  <c r="AK25" i="38"/>
  <c r="AN25" i="38"/>
  <c r="AQ25" i="38"/>
  <c r="CG24" i="38"/>
  <c r="CJ24" i="38"/>
  <c r="CM24" i="38"/>
  <c r="BX24" i="38"/>
  <c r="CA24" i="38"/>
  <c r="CD24" i="38"/>
  <c r="BX23" i="38"/>
  <c r="CA23" i="38"/>
  <c r="CD23" i="38"/>
  <c r="AH23" i="38"/>
  <c r="AK23" i="38"/>
  <c r="AN23" i="38"/>
  <c r="AQ23" i="38"/>
  <c r="AE23" i="38"/>
  <c r="G23" i="38"/>
  <c r="J23" i="38"/>
  <c r="BX22" i="38"/>
  <c r="CA22" i="38"/>
  <c r="CD22" i="38"/>
  <c r="BL22" i="38"/>
  <c r="BO22" i="38"/>
  <c r="BR22" i="38"/>
  <c r="AZ22" i="38"/>
  <c r="BC22" i="38"/>
  <c r="AK22" i="38"/>
  <c r="AN22" i="38"/>
  <c r="AQ22" i="38"/>
  <c r="G22" i="38"/>
  <c r="J22" i="38"/>
  <c r="M22" i="38"/>
  <c r="P22" i="38"/>
  <c r="S22" i="38"/>
  <c r="V22" i="38"/>
  <c r="Y22" i="38"/>
  <c r="AB22" i="38"/>
  <c r="AE22" i="38"/>
  <c r="BX21" i="38"/>
  <c r="CA21" i="38"/>
  <c r="CD21" i="38"/>
  <c r="BR21" i="38"/>
  <c r="BU21" i="38"/>
  <c r="BC21" i="38"/>
  <c r="BF21" i="38"/>
  <c r="BI21" i="38"/>
  <c r="BL21" i="38"/>
  <c r="BO21" i="38"/>
  <c r="AT21" i="38"/>
  <c r="AW21" i="38"/>
  <c r="AZ21" i="38"/>
  <c r="Y21" i="38"/>
  <c r="AB21" i="38"/>
  <c r="AE21" i="38"/>
  <c r="AH21" i="38"/>
  <c r="AK21" i="38"/>
  <c r="AN21" i="38"/>
  <c r="AQ21" i="38"/>
  <c r="CG20" i="38"/>
  <c r="CJ20" i="38"/>
  <c r="CM20" i="38"/>
  <c r="BX19" i="38"/>
  <c r="CA19" i="38"/>
  <c r="CD19" i="38"/>
  <c r="CG19" i="38"/>
  <c r="CJ19" i="38"/>
  <c r="CM19" i="38"/>
  <c r="AE19" i="38"/>
  <c r="AH19" i="38"/>
  <c r="AK19" i="38"/>
  <c r="AN19" i="38"/>
  <c r="AQ19" i="38"/>
  <c r="G16" i="38"/>
  <c r="J16" i="38"/>
  <c r="V15" i="38"/>
  <c r="Y15" i="38"/>
  <c r="AB15" i="38"/>
  <c r="AE15" i="38"/>
  <c r="AH15" i="38"/>
  <c r="AK15" i="38"/>
  <c r="AN15" i="38"/>
  <c r="AQ15" i="38"/>
  <c r="J15" i="38"/>
  <c r="M15" i="38"/>
  <c r="G15" i="38"/>
  <c r="AT14" i="38"/>
  <c r="AW14" i="38"/>
  <c r="AE14" i="38"/>
  <c r="AH14" i="38"/>
  <c r="AK14" i="38"/>
  <c r="BX13" i="38"/>
  <c r="CA13" i="38"/>
  <c r="CD13" i="38"/>
  <c r="CG13" i="38"/>
  <c r="CJ13" i="38"/>
  <c r="CM13" i="38"/>
  <c r="BU13" i="38"/>
  <c r="AE13" i="38"/>
  <c r="AH13" i="38"/>
  <c r="AK13" i="38"/>
  <c r="AN13" i="38"/>
  <c r="AQ13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G13" i="38"/>
  <c r="G14" i="38"/>
  <c r="G17" i="38"/>
  <c r="G18" i="38"/>
  <c r="G19" i="38"/>
  <c r="G20" i="38"/>
  <c r="G21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BL12" i="38"/>
  <c r="BO12" i="38"/>
  <c r="BR12" i="38"/>
  <c r="BU12" i="38"/>
  <c r="AE12" i="38"/>
  <c r="AH12" i="38"/>
  <c r="AK12" i="38"/>
  <c r="AN12" i="38"/>
  <c r="AQ12" i="38"/>
  <c r="AE11" i="38"/>
  <c r="AH11" i="38"/>
  <c r="AK11" i="38"/>
  <c r="AN11" i="38"/>
  <c r="AQ11" i="38"/>
  <c r="AT11" i="38"/>
  <c r="AW11" i="38"/>
  <c r="AZ11" i="38"/>
  <c r="BC11" i="38"/>
  <c r="BF11" i="38"/>
  <c r="BI11" i="38"/>
  <c r="BL11" i="38"/>
  <c r="BO11" i="38"/>
  <c r="BR11" i="38"/>
  <c r="BU11" i="38"/>
  <c r="BX11" i="38"/>
  <c r="CA11" i="38"/>
  <c r="CD11" i="38"/>
  <c r="CG11" i="38"/>
  <c r="CJ11" i="38"/>
  <c r="CM11" i="38"/>
  <c r="AQ10" i="38"/>
  <c r="AT10" i="38"/>
  <c r="AW10" i="38"/>
  <c r="AZ10" i="38"/>
  <c r="BC10" i="38"/>
  <c r="BF10" i="38"/>
  <c r="BI10" i="38"/>
  <c r="BL10" i="38"/>
  <c r="BO10" i="38"/>
  <c r="BR10" i="38"/>
  <c r="BU10" i="38"/>
  <c r="BX10" i="38"/>
  <c r="CA10" i="38"/>
  <c r="CD10" i="38"/>
  <c r="CG10" i="38"/>
  <c r="CJ10" i="38"/>
  <c r="CM10" i="38"/>
  <c r="AB10" i="38"/>
  <c r="AE10" i="38"/>
  <c r="AH10" i="38"/>
  <c r="AK10" i="38"/>
  <c r="G10" i="38"/>
  <c r="J10" i="38"/>
  <c r="M10" i="38"/>
  <c r="BU9" i="38"/>
  <c r="BX9" i="38"/>
  <c r="CA9" i="38"/>
  <c r="CD9" i="38"/>
  <c r="CG9" i="38"/>
  <c r="CJ9" i="38"/>
  <c r="CM9" i="38"/>
  <c r="AT9" i="38"/>
  <c r="AW9" i="38"/>
  <c r="AZ9" i="38"/>
  <c r="BC9" i="38"/>
  <c r="AB9" i="38"/>
  <c r="AE9" i="38"/>
  <c r="AH9" i="38"/>
  <c r="AK9" i="38"/>
  <c r="B21" i="39"/>
  <c r="CN5" i="38"/>
  <c r="CG7" i="38"/>
  <c r="CJ7" i="38"/>
  <c r="CM7" i="38"/>
  <c r="CG8" i="38"/>
  <c r="CJ8" i="38"/>
  <c r="CM8" i="38"/>
  <c r="CG6" i="38"/>
  <c r="CJ6" i="38"/>
  <c r="CM6" i="38"/>
  <c r="CG5" i="38"/>
  <c r="CJ5" i="38"/>
  <c r="CM5" i="38"/>
  <c r="BX8" i="38"/>
  <c r="CA8" i="38"/>
  <c r="CD8" i="38"/>
  <c r="BX5" i="38"/>
  <c r="CA5" i="38"/>
  <c r="CD5" i="38"/>
  <c r="BX6" i="38"/>
  <c r="CA6" i="38"/>
  <c r="CD6" i="38"/>
  <c r="G7" i="38"/>
  <c r="J7" i="38"/>
  <c r="M7" i="38"/>
  <c r="P7" i="38"/>
  <c r="S7" i="38"/>
  <c r="V7" i="38"/>
  <c r="Y7" i="38"/>
  <c r="AB7" i="38"/>
  <c r="AE7" i="38"/>
  <c r="AH7" i="38"/>
  <c r="AK7" i="38"/>
  <c r="AN7" i="38"/>
  <c r="AQ7" i="38"/>
  <c r="AT7" i="38"/>
  <c r="AW7" i="38"/>
  <c r="AZ7" i="38"/>
  <c r="BC7" i="38"/>
  <c r="G8" i="38"/>
  <c r="J8" i="38"/>
  <c r="M8" i="38"/>
  <c r="P8" i="38"/>
  <c r="S8" i="38"/>
  <c r="V8" i="38"/>
  <c r="Y8" i="38"/>
  <c r="AB8" i="38"/>
  <c r="AE8" i="38"/>
  <c r="AH8" i="38"/>
  <c r="AK8" i="38"/>
  <c r="AN8" i="38"/>
  <c r="AQ8" i="38"/>
  <c r="AT8" i="38"/>
  <c r="AW8" i="38"/>
  <c r="AZ8" i="38"/>
  <c r="BC8" i="38"/>
  <c r="D8" i="38"/>
  <c r="AT5" i="38"/>
  <c r="AW5" i="38"/>
  <c r="AZ5" i="38"/>
  <c r="BC5" i="38"/>
  <c r="AT6" i="38"/>
  <c r="AW6" i="38"/>
  <c r="AZ6" i="38"/>
  <c r="BC6" i="38"/>
  <c r="V5" i="38"/>
  <c r="Y5" i="38"/>
  <c r="AB5" i="38"/>
  <c r="AE5" i="38"/>
  <c r="AH5" i="38"/>
  <c r="AK5" i="38"/>
  <c r="AN5" i="38"/>
  <c r="AQ5" i="38"/>
  <c r="Y6" i="38"/>
  <c r="AB6" i="38"/>
  <c r="AE6" i="38"/>
  <c r="AH6" i="38"/>
  <c r="AK6" i="38"/>
  <c r="AN6" i="38"/>
  <c r="AQ6" i="38"/>
  <c r="G5" i="38"/>
  <c r="J5" i="38"/>
  <c r="M5" i="38"/>
  <c r="CD35" i="38"/>
  <c r="BU35" i="38"/>
  <c r="J35" i="38"/>
  <c r="M35" i="38"/>
  <c r="P35" i="38"/>
  <c r="S35" i="38"/>
  <c r="V35" i="38"/>
  <c r="BF35" i="38"/>
  <c r="BI35" i="38"/>
  <c r="BL35" i="38"/>
  <c r="BR33" i="38"/>
  <c r="BR36" i="38" s="1"/>
  <c r="BO33" i="38"/>
  <c r="BL33" i="38"/>
  <c r="BL34" i="38"/>
  <c r="BQ8" i="39"/>
  <c r="H16" i="39"/>
  <c r="H11" i="39"/>
  <c r="E11" i="39"/>
  <c r="E10" i="39"/>
  <c r="E8" i="39"/>
  <c r="E5" i="39"/>
  <c r="B20" i="39"/>
  <c r="B19" i="39"/>
  <c r="B8" i="39"/>
  <c r="B7" i="39"/>
  <c r="B5" i="39"/>
  <c r="CO34" i="38"/>
  <c r="CN34" i="38"/>
  <c r="BU34" i="38"/>
  <c r="BU36" i="38" s="1"/>
  <c r="BI34" i="38"/>
  <c r="BF34" i="38"/>
  <c r="BC34" i="38"/>
  <c r="AZ34" i="38"/>
  <c r="AW34" i="38"/>
  <c r="AT34" i="38"/>
  <c r="AQ34" i="38"/>
  <c r="AQ36" i="38" s="1"/>
  <c r="AB34" i="38"/>
  <c r="Y34" i="38"/>
  <c r="V34" i="38"/>
  <c r="S34" i="38"/>
  <c r="P34" i="38"/>
  <c r="M34" i="38"/>
  <c r="J34" i="38"/>
  <c r="J36" i="38" s="1"/>
  <c r="CO33" i="38"/>
  <c r="CN33" i="38"/>
  <c r="BU33" i="38"/>
  <c r="BI33" i="38"/>
  <c r="BF33" i="38"/>
  <c r="BC33" i="38"/>
  <c r="AZ33" i="38"/>
  <c r="AZ36" i="38" s="1"/>
  <c r="AW33" i="38"/>
  <c r="AT33" i="38"/>
  <c r="AB33" i="38"/>
  <c r="Y33" i="38"/>
  <c r="V33" i="38"/>
  <c r="S33" i="38"/>
  <c r="P33" i="38"/>
  <c r="CO32" i="38"/>
  <c r="CN32" i="38"/>
  <c r="BL32" i="38"/>
  <c r="BI32" i="38"/>
  <c r="BF32" i="38"/>
  <c r="AB32" i="38"/>
  <c r="Y32" i="38"/>
  <c r="V32" i="38"/>
  <c r="S32" i="38"/>
  <c r="P32" i="38"/>
  <c r="M32" i="38"/>
  <c r="J32" i="38"/>
  <c r="CO31" i="38"/>
  <c r="CN31" i="38"/>
  <c r="BL31" i="38"/>
  <c r="BI31" i="38"/>
  <c r="BF31" i="38"/>
  <c r="AQ31" i="38"/>
  <c r="AN31" i="38"/>
  <c r="AB31" i="38"/>
  <c r="Y31" i="38"/>
  <c r="V31" i="38"/>
  <c r="S31" i="38"/>
  <c r="P31" i="38"/>
  <c r="M31" i="38"/>
  <c r="J31" i="38"/>
  <c r="CO30" i="38"/>
  <c r="CN30" i="38"/>
  <c r="CD30" i="38"/>
  <c r="CA30" i="38"/>
  <c r="BX30" i="38"/>
  <c r="BU30" i="38"/>
  <c r="BR30" i="38"/>
  <c r="BO30" i="38"/>
  <c r="BL30" i="38"/>
  <c r="BI30" i="38"/>
  <c r="BF30" i="38"/>
  <c r="BC30" i="38"/>
  <c r="AZ30" i="38"/>
  <c r="AW30" i="38"/>
  <c r="AT30" i="38"/>
  <c r="AQ30" i="38"/>
  <c r="AN30" i="38"/>
  <c r="AB30" i="38"/>
  <c r="Y30" i="38"/>
  <c r="S30" i="38"/>
  <c r="P30" i="38"/>
  <c r="CO29" i="38"/>
  <c r="CN29" i="38"/>
  <c r="CM29" i="38"/>
  <c r="CJ29" i="38"/>
  <c r="CG29" i="38"/>
  <c r="CD29" i="38"/>
  <c r="CA29" i="38"/>
  <c r="BL29" i="38"/>
  <c r="BI29" i="38"/>
  <c r="BF29" i="38"/>
  <c r="S29" i="38"/>
  <c r="P29" i="38"/>
  <c r="M29" i="38"/>
  <c r="J29" i="38"/>
  <c r="CO28" i="38"/>
  <c r="CN28" i="38"/>
  <c r="CM28" i="38"/>
  <c r="CJ28" i="38"/>
  <c r="CG28" i="38"/>
  <c r="BU28" i="38"/>
  <c r="BR28" i="38"/>
  <c r="BO28" i="38"/>
  <c r="BL28" i="38"/>
  <c r="S28" i="38"/>
  <c r="P28" i="38"/>
  <c r="M28" i="38"/>
  <c r="J28" i="38"/>
  <c r="CO27" i="38"/>
  <c r="CN27" i="38"/>
  <c r="CM27" i="38"/>
  <c r="CJ27" i="38"/>
  <c r="CG27" i="38"/>
  <c r="BL27" i="38"/>
  <c r="BI27" i="38"/>
  <c r="BF27" i="38"/>
  <c r="BC27" i="38"/>
  <c r="AZ27" i="38"/>
  <c r="AW27" i="38"/>
  <c r="AT27" i="38"/>
  <c r="AB27" i="38"/>
  <c r="Y27" i="38"/>
  <c r="V27" i="38"/>
  <c r="S27" i="38"/>
  <c r="P27" i="38"/>
  <c r="M27" i="38"/>
  <c r="J27" i="38"/>
  <c r="CO26" i="38"/>
  <c r="CN26" i="38"/>
  <c r="CM26" i="38"/>
  <c r="CJ26" i="38"/>
  <c r="CG26" i="38"/>
  <c r="BU26" i="38"/>
  <c r="BR26" i="38"/>
  <c r="BO26" i="38"/>
  <c r="BL26" i="38"/>
  <c r="BI26" i="38"/>
  <c r="BF26" i="38"/>
  <c r="BC26" i="38"/>
  <c r="AZ26" i="38"/>
  <c r="AW26" i="38"/>
  <c r="AT26" i="38"/>
  <c r="AE26" i="38"/>
  <c r="AB26" i="38"/>
  <c r="Y26" i="38"/>
  <c r="V26" i="38"/>
  <c r="S26" i="38"/>
  <c r="P26" i="38"/>
  <c r="M26" i="38"/>
  <c r="J26" i="38"/>
  <c r="CO25" i="38"/>
  <c r="CN25" i="38"/>
  <c r="CM25" i="38"/>
  <c r="CJ25" i="38"/>
  <c r="CG25" i="38"/>
  <c r="BU25" i="38"/>
  <c r="BR25" i="38"/>
  <c r="BO25" i="38"/>
  <c r="BL25" i="38"/>
  <c r="BI25" i="38"/>
  <c r="BF25" i="38"/>
  <c r="BC25" i="38"/>
  <c r="AZ25" i="38"/>
  <c r="AW25" i="38"/>
  <c r="AT25" i="38"/>
  <c r="AE25" i="38"/>
  <c r="AB25" i="38"/>
  <c r="Y25" i="38"/>
  <c r="V25" i="38"/>
  <c r="S25" i="38"/>
  <c r="P25" i="38"/>
  <c r="M25" i="38"/>
  <c r="J25" i="38"/>
  <c r="CO24" i="38"/>
  <c r="CN24" i="38"/>
  <c r="BU24" i="38"/>
  <c r="BR24" i="38"/>
  <c r="BO24" i="38"/>
  <c r="BL24" i="38"/>
  <c r="BI24" i="38"/>
  <c r="BF24" i="38"/>
  <c r="BC24" i="38"/>
  <c r="AZ24" i="38"/>
  <c r="AW24" i="38"/>
  <c r="AT24" i="38"/>
  <c r="AQ24" i="38"/>
  <c r="AN24" i="38"/>
  <c r="AK24" i="38"/>
  <c r="AH24" i="38"/>
  <c r="AE24" i="38"/>
  <c r="AB24" i="38"/>
  <c r="Y24" i="38"/>
  <c r="V24" i="38"/>
  <c r="S24" i="38"/>
  <c r="P24" i="38"/>
  <c r="M24" i="38"/>
  <c r="J24" i="38"/>
  <c r="CO23" i="38"/>
  <c r="CN23" i="38"/>
  <c r="CM23" i="38"/>
  <c r="CJ23" i="38"/>
  <c r="CG23" i="38"/>
  <c r="BU23" i="38"/>
  <c r="BR23" i="38"/>
  <c r="BO23" i="38"/>
  <c r="BL23" i="38"/>
  <c r="BI23" i="38"/>
  <c r="BF23" i="38"/>
  <c r="BC23" i="38"/>
  <c r="AZ23" i="38"/>
  <c r="AW23" i="38"/>
  <c r="AT23" i="38"/>
  <c r="AB23" i="38"/>
  <c r="Y23" i="38"/>
  <c r="V23" i="38"/>
  <c r="S23" i="38"/>
  <c r="P23" i="38"/>
  <c r="M23" i="38"/>
  <c r="CO22" i="38"/>
  <c r="CN22" i="38"/>
  <c r="CM22" i="38"/>
  <c r="CJ22" i="38"/>
  <c r="CG22" i="38"/>
  <c r="BU22" i="38"/>
  <c r="BI22" i="38"/>
  <c r="BF22" i="38"/>
  <c r="AW22" i="38"/>
  <c r="AT22" i="38"/>
  <c r="AH22" i="38"/>
  <c r="CO21" i="38"/>
  <c r="CN21" i="38"/>
  <c r="CM21" i="38"/>
  <c r="CJ21" i="38"/>
  <c r="CG21" i="38"/>
  <c r="V21" i="38"/>
  <c r="S21" i="38"/>
  <c r="P21" i="38"/>
  <c r="M21" i="38"/>
  <c r="J21" i="38"/>
  <c r="CO20" i="38"/>
  <c r="CN20" i="38"/>
  <c r="CD20" i="38"/>
  <c r="CA20" i="38"/>
  <c r="BX20" i="38"/>
  <c r="BU20" i="38"/>
  <c r="BR20" i="38"/>
  <c r="BO20" i="38"/>
  <c r="BL20" i="38"/>
  <c r="BI20" i="38"/>
  <c r="BF20" i="38"/>
  <c r="BC20" i="38"/>
  <c r="AZ20" i="38"/>
  <c r="AW20" i="38"/>
  <c r="AT20" i="38"/>
  <c r="AQ20" i="38"/>
  <c r="AN20" i="38"/>
  <c r="AK20" i="38"/>
  <c r="AH20" i="38"/>
  <c r="AE20" i="38"/>
  <c r="AB20" i="38"/>
  <c r="Y20" i="38"/>
  <c r="V20" i="38"/>
  <c r="S20" i="38"/>
  <c r="P20" i="38"/>
  <c r="M20" i="38"/>
  <c r="J20" i="38"/>
  <c r="CO19" i="38"/>
  <c r="CN19" i="38"/>
  <c r="BU19" i="38"/>
  <c r="BR19" i="38"/>
  <c r="BO19" i="38"/>
  <c r="BI19" i="38"/>
  <c r="BF19" i="38"/>
  <c r="AW19" i="38"/>
  <c r="AT19" i="38"/>
  <c r="AB19" i="38"/>
  <c r="Y19" i="38"/>
  <c r="V19" i="38"/>
  <c r="S19" i="38"/>
  <c r="P19" i="38"/>
  <c r="M19" i="38"/>
  <c r="J19" i="38"/>
  <c r="CO18" i="38"/>
  <c r="CN18" i="38"/>
  <c r="CM18" i="38"/>
  <c r="CJ18" i="38"/>
  <c r="CG18" i="38"/>
  <c r="CD18" i="38"/>
  <c r="CA18" i="38"/>
  <c r="BX18" i="38"/>
  <c r="BU18" i="38"/>
  <c r="BR18" i="38"/>
  <c r="BO18" i="38"/>
  <c r="BL18" i="38"/>
  <c r="BI18" i="38"/>
  <c r="BF18" i="38"/>
  <c r="AW18" i="38"/>
  <c r="AT18" i="38"/>
  <c r="AQ18" i="38"/>
  <c r="AN18" i="38"/>
  <c r="AK18" i="38"/>
  <c r="AH18" i="38"/>
  <c r="AE18" i="38"/>
  <c r="AB18" i="38"/>
  <c r="Y18" i="38"/>
  <c r="V18" i="38"/>
  <c r="S18" i="38"/>
  <c r="P18" i="38"/>
  <c r="M18" i="38"/>
  <c r="J18" i="38"/>
  <c r="CO17" i="38"/>
  <c r="CN17" i="38"/>
  <c r="CM17" i="38"/>
  <c r="CJ17" i="38"/>
  <c r="CG17" i="38"/>
  <c r="CD17" i="38"/>
  <c r="CA17" i="38"/>
  <c r="BX17" i="38"/>
  <c r="BU17" i="38"/>
  <c r="BR17" i="38"/>
  <c r="BO17" i="38"/>
  <c r="BL17" i="38"/>
  <c r="BI17" i="38"/>
  <c r="BF17" i="38"/>
  <c r="BC17" i="38"/>
  <c r="AZ17" i="38"/>
  <c r="AW17" i="38"/>
  <c r="AT17" i="38"/>
  <c r="AQ17" i="38"/>
  <c r="AN17" i="38"/>
  <c r="AK17" i="38"/>
  <c r="AH17" i="38"/>
  <c r="AE17" i="38"/>
  <c r="AB17" i="38"/>
  <c r="Y17" i="38"/>
  <c r="V17" i="38"/>
  <c r="S17" i="38"/>
  <c r="P17" i="38"/>
  <c r="M17" i="38"/>
  <c r="J17" i="38"/>
  <c r="CO16" i="38"/>
  <c r="CN16" i="38"/>
  <c r="CM16" i="38"/>
  <c r="CJ16" i="38"/>
  <c r="CG16" i="38"/>
  <c r="CD16" i="38"/>
  <c r="CA16" i="38"/>
  <c r="BX16" i="38"/>
  <c r="BU16" i="38"/>
  <c r="BR16" i="38"/>
  <c r="BO16" i="38"/>
  <c r="BL16" i="38"/>
  <c r="BI16" i="38"/>
  <c r="BF16" i="38"/>
  <c r="BC16" i="38"/>
  <c r="AZ16" i="38"/>
  <c r="AW16" i="38"/>
  <c r="AT16" i="38"/>
  <c r="AQ16" i="38"/>
  <c r="AN16" i="38"/>
  <c r="AK16" i="38"/>
  <c r="AH16" i="38"/>
  <c r="AE16" i="38"/>
  <c r="AB16" i="38"/>
  <c r="Y16" i="38"/>
  <c r="V16" i="38"/>
  <c r="S16" i="38"/>
  <c r="P16" i="38"/>
  <c r="M16" i="38"/>
  <c r="CO15" i="38"/>
  <c r="CN15" i="38"/>
  <c r="CM15" i="38"/>
  <c r="CJ15" i="38"/>
  <c r="CG15" i="38"/>
  <c r="CD15" i="38"/>
  <c r="CA15" i="38"/>
  <c r="BX15" i="38"/>
  <c r="BU15" i="38"/>
  <c r="BR15" i="38"/>
  <c r="BO15" i="38"/>
  <c r="BL15" i="38"/>
  <c r="BI15" i="38"/>
  <c r="BF15" i="38"/>
  <c r="AW15" i="38"/>
  <c r="AT15" i="38"/>
  <c r="S15" i="38"/>
  <c r="P15" i="38"/>
  <c r="CO14" i="38"/>
  <c r="CN14" i="38"/>
  <c r="CM14" i="38"/>
  <c r="CJ14" i="38"/>
  <c r="CG14" i="38"/>
  <c r="CD14" i="38"/>
  <c r="CA14" i="38"/>
  <c r="BX14" i="38"/>
  <c r="BU14" i="38"/>
  <c r="BR14" i="38"/>
  <c r="BO14" i="38"/>
  <c r="BL14" i="38"/>
  <c r="AQ14" i="38"/>
  <c r="AN14" i="38"/>
  <c r="AB14" i="38"/>
  <c r="Y14" i="38"/>
  <c r="V14" i="38"/>
  <c r="S14" i="38"/>
  <c r="P14" i="38"/>
  <c r="M14" i="38"/>
  <c r="J14" i="38"/>
  <c r="CO13" i="38"/>
  <c r="CN13" i="38"/>
  <c r="BR13" i="38"/>
  <c r="BO13" i="38"/>
  <c r="BL13" i="38"/>
  <c r="BI13" i="38"/>
  <c r="BF13" i="38"/>
  <c r="BC13" i="38"/>
  <c r="AW13" i="38"/>
  <c r="AT13" i="38"/>
  <c r="AB13" i="38"/>
  <c r="Y13" i="38"/>
  <c r="V13" i="38"/>
  <c r="S13" i="38"/>
  <c r="P13" i="38"/>
  <c r="M13" i="38"/>
  <c r="J13" i="38"/>
  <c r="CO12" i="38"/>
  <c r="CN12" i="38"/>
  <c r="CM12" i="38"/>
  <c r="CJ12" i="38"/>
  <c r="CG12" i="38"/>
  <c r="CD12" i="38"/>
  <c r="CA12" i="38"/>
  <c r="BX12" i="38"/>
  <c r="BI12" i="38"/>
  <c r="BF12" i="38"/>
  <c r="BC12" i="38"/>
  <c r="AZ12" i="38"/>
  <c r="AW12" i="38"/>
  <c r="AT12" i="38"/>
  <c r="AB12" i="38"/>
  <c r="Y12" i="38"/>
  <c r="V12" i="38"/>
  <c r="S12" i="38"/>
  <c r="P12" i="38"/>
  <c r="M12" i="38"/>
  <c r="J12" i="38"/>
  <c r="G12" i="38"/>
  <c r="D12" i="38"/>
  <c r="CO11" i="38"/>
  <c r="CN11" i="38"/>
  <c r="AB11" i="38"/>
  <c r="Y11" i="38"/>
  <c r="V11" i="38"/>
  <c r="S11" i="38"/>
  <c r="P11" i="38"/>
  <c r="M11" i="38"/>
  <c r="J11" i="38"/>
  <c r="G11" i="38"/>
  <c r="D11" i="38"/>
  <c r="CO10" i="38"/>
  <c r="CN10" i="38"/>
  <c r="AN10" i="38"/>
  <c r="Y10" i="38"/>
  <c r="V10" i="38"/>
  <c r="S10" i="38"/>
  <c r="P10" i="38"/>
  <c r="D10" i="38"/>
  <c r="CO9" i="38"/>
  <c r="CN9" i="38"/>
  <c r="BR9" i="38"/>
  <c r="BO9" i="38"/>
  <c r="BL9" i="38"/>
  <c r="BI9" i="38"/>
  <c r="BF9" i="38"/>
  <c r="AQ9" i="38"/>
  <c r="AN9" i="38"/>
  <c r="Y9" i="38"/>
  <c r="V9" i="38"/>
  <c r="S9" i="38"/>
  <c r="P9" i="38"/>
  <c r="M9" i="38"/>
  <c r="J9" i="38"/>
  <c r="G9" i="38"/>
  <c r="D9" i="38"/>
  <c r="CO8" i="38"/>
  <c r="CN8" i="38"/>
  <c r="BU8" i="38"/>
  <c r="BR8" i="38"/>
  <c r="BO8" i="38"/>
  <c r="BL8" i="38"/>
  <c r="BI8" i="38"/>
  <c r="BF8" i="38"/>
  <c r="CO7" i="38"/>
  <c r="CN7" i="38"/>
  <c r="CD7" i="38"/>
  <c r="CA7" i="38"/>
  <c r="BX7" i="38"/>
  <c r="BU7" i="38"/>
  <c r="BR7" i="38"/>
  <c r="BO7" i="38"/>
  <c r="BL7" i="38"/>
  <c r="BI7" i="38"/>
  <c r="BF7" i="38"/>
  <c r="D7" i="38"/>
  <c r="CO6" i="38"/>
  <c r="CN6" i="38"/>
  <c r="BU6" i="38"/>
  <c r="BR6" i="38"/>
  <c r="BO6" i="38"/>
  <c r="BL6" i="38"/>
  <c r="BI6" i="38"/>
  <c r="BF6" i="38"/>
  <c r="V6" i="38"/>
  <c r="S6" i="38"/>
  <c r="P6" i="38"/>
  <c r="M6" i="38"/>
  <c r="J6" i="38"/>
  <c r="G6" i="38"/>
  <c r="D6" i="38"/>
  <c r="CO5" i="38"/>
  <c r="BU5" i="38"/>
  <c r="BR5" i="38"/>
  <c r="BO5" i="38"/>
  <c r="BL5" i="38"/>
  <c r="BI5" i="38"/>
  <c r="BF5" i="38"/>
  <c r="S5" i="38"/>
  <c r="P5" i="38"/>
  <c r="D5" i="38"/>
  <c r="CO36" i="28"/>
  <c r="CN36" i="28"/>
  <c r="CO36" i="34"/>
  <c r="CN36" i="34"/>
  <c r="CP35" i="36"/>
  <c r="CO35" i="36"/>
  <c r="CN35" i="36"/>
  <c r="CG33" i="36"/>
  <c r="CJ33" i="36"/>
  <c r="CM33" i="36"/>
  <c r="CG34" i="36"/>
  <c r="CJ34" i="36"/>
  <c r="CM34" i="36"/>
  <c r="BX33" i="36"/>
  <c r="CA33" i="36"/>
  <c r="CD33" i="36"/>
  <c r="BX34" i="36"/>
  <c r="CA34" i="36"/>
  <c r="CD34" i="36"/>
  <c r="AT33" i="36"/>
  <c r="AW33" i="36"/>
  <c r="AZ33" i="36"/>
  <c r="BC33" i="36"/>
  <c r="AT34" i="36"/>
  <c r="AW34" i="36"/>
  <c r="AZ34" i="36"/>
  <c r="BC34" i="36"/>
  <c r="AL35" i="36"/>
  <c r="AM35" i="36"/>
  <c r="AN35" i="36"/>
  <c r="AO35" i="36"/>
  <c r="AP35" i="36"/>
  <c r="AQ35" i="36"/>
  <c r="B39" i="37" s="1"/>
  <c r="AI35" i="36"/>
  <c r="AJ35" i="36"/>
  <c r="AK35" i="36"/>
  <c r="AH34" i="36"/>
  <c r="AK34" i="36"/>
  <c r="AA35" i="36"/>
  <c r="Z35" i="36"/>
  <c r="U35" i="36"/>
  <c r="T35" i="36"/>
  <c r="R35" i="36"/>
  <c r="Q35" i="36"/>
  <c r="AE33" i="36"/>
  <c r="AH33" i="36"/>
  <c r="AK33" i="36"/>
  <c r="I35" i="36"/>
  <c r="H35" i="36"/>
  <c r="L35" i="36"/>
  <c r="K35" i="36"/>
  <c r="F35" i="36"/>
  <c r="E35" i="36"/>
  <c r="C35" i="36"/>
  <c r="B35" i="36"/>
  <c r="CM28" i="36"/>
  <c r="CM29" i="36"/>
  <c r="CM30" i="36"/>
  <c r="CM31" i="36"/>
  <c r="CM32" i="36"/>
  <c r="BX28" i="36"/>
  <c r="CA28" i="36"/>
  <c r="CD28" i="36"/>
  <c r="AT29" i="36"/>
  <c r="AW29" i="36"/>
  <c r="AZ29" i="36"/>
  <c r="BC29" i="36"/>
  <c r="AT30" i="36"/>
  <c r="AW30" i="36"/>
  <c r="AZ30" i="36"/>
  <c r="BC30" i="36"/>
  <c r="AT31" i="36"/>
  <c r="AW31" i="36"/>
  <c r="AZ31" i="36"/>
  <c r="BC31" i="36"/>
  <c r="AT32" i="36"/>
  <c r="AW32" i="36"/>
  <c r="AZ32" i="36"/>
  <c r="BC32" i="36"/>
  <c r="AT28" i="36"/>
  <c r="AW28" i="36"/>
  <c r="AZ28" i="36"/>
  <c r="BC28" i="36"/>
  <c r="V31" i="36"/>
  <c r="Y31" i="36"/>
  <c r="AB31" i="36"/>
  <c r="AE31" i="36"/>
  <c r="AH31" i="36"/>
  <c r="AK31" i="36"/>
  <c r="AN31" i="36"/>
  <c r="AQ31" i="36"/>
  <c r="V32" i="36"/>
  <c r="Y32" i="36"/>
  <c r="AB32" i="36"/>
  <c r="AE32" i="36"/>
  <c r="AH32" i="36"/>
  <c r="AK32" i="36"/>
  <c r="AN32" i="36"/>
  <c r="AQ32" i="36"/>
  <c r="AH29" i="36"/>
  <c r="AK29" i="36"/>
  <c r="AN29" i="36"/>
  <c r="AH28" i="36"/>
  <c r="AK28" i="36"/>
  <c r="CO6" i="36"/>
  <c r="CO7" i="36"/>
  <c r="CO8" i="36"/>
  <c r="CO9" i="36"/>
  <c r="CO10" i="36"/>
  <c r="CO11" i="36"/>
  <c r="CO12" i="36"/>
  <c r="CO13" i="36"/>
  <c r="CO14" i="36"/>
  <c r="CO15" i="36"/>
  <c r="CO16" i="36"/>
  <c r="CO17" i="36"/>
  <c r="CO18" i="36"/>
  <c r="CO19" i="36"/>
  <c r="CO20" i="36"/>
  <c r="CO21" i="36"/>
  <c r="CO22" i="36"/>
  <c r="CO23" i="36"/>
  <c r="CO24" i="36"/>
  <c r="CO25" i="36"/>
  <c r="CO26" i="36"/>
  <c r="CO27" i="36"/>
  <c r="CO28" i="36"/>
  <c r="CO29" i="36"/>
  <c r="CO30" i="36"/>
  <c r="CO31" i="36"/>
  <c r="CO32" i="36"/>
  <c r="CO33" i="36"/>
  <c r="CO34" i="36"/>
  <c r="CO5" i="36"/>
  <c r="CN34" i="36"/>
  <c r="CN33" i="36"/>
  <c r="CN32" i="36"/>
  <c r="CN31" i="36"/>
  <c r="CN30" i="36"/>
  <c r="CN29" i="36"/>
  <c r="CN28" i="36"/>
  <c r="CN27" i="36"/>
  <c r="CN26" i="36"/>
  <c r="CN25" i="36"/>
  <c r="CN24" i="36"/>
  <c r="CN23" i="36"/>
  <c r="CN22" i="36"/>
  <c r="CN21" i="36"/>
  <c r="CN20" i="36"/>
  <c r="CN19" i="36"/>
  <c r="CN18" i="36"/>
  <c r="CN17" i="36"/>
  <c r="CN16" i="36"/>
  <c r="CN15" i="36"/>
  <c r="CN14" i="36"/>
  <c r="CN13" i="36"/>
  <c r="CN12" i="36"/>
  <c r="CN11" i="36"/>
  <c r="CN10" i="36"/>
  <c r="CN9" i="36"/>
  <c r="CN8" i="36"/>
  <c r="CN7" i="36"/>
  <c r="CN6" i="36"/>
  <c r="CN5" i="36"/>
  <c r="CM18" i="36"/>
  <c r="CM19" i="36"/>
  <c r="CM20" i="36"/>
  <c r="CM21" i="36"/>
  <c r="CG22" i="36"/>
  <c r="CJ22" i="36"/>
  <c r="CM22" i="36"/>
  <c r="CG23" i="36"/>
  <c r="CJ23" i="36"/>
  <c r="CM23" i="36"/>
  <c r="CG24" i="36"/>
  <c r="CJ24" i="36"/>
  <c r="CM24" i="36"/>
  <c r="CG25" i="36"/>
  <c r="CJ25" i="36"/>
  <c r="CM25" i="36"/>
  <c r="CG26" i="36"/>
  <c r="CJ26" i="36"/>
  <c r="CM26" i="36"/>
  <c r="CG27" i="36"/>
  <c r="CJ27" i="36"/>
  <c r="CM27" i="36"/>
  <c r="CG21" i="36"/>
  <c r="CJ21" i="36"/>
  <c r="CG16" i="36"/>
  <c r="CJ16" i="36"/>
  <c r="CM16" i="36"/>
  <c r="CG6" i="36"/>
  <c r="CJ6" i="36"/>
  <c r="CM6" i="36"/>
  <c r="CG7" i="36"/>
  <c r="CJ7" i="36"/>
  <c r="CM7" i="36"/>
  <c r="CG5" i="36"/>
  <c r="CJ5" i="36"/>
  <c r="CM5" i="36"/>
  <c r="BX21" i="36"/>
  <c r="CA21" i="36"/>
  <c r="CD21" i="36"/>
  <c r="BX22" i="36"/>
  <c r="CA22" i="36"/>
  <c r="CD22" i="36"/>
  <c r="BX23" i="36"/>
  <c r="CA23" i="36"/>
  <c r="CD23" i="36"/>
  <c r="BX24" i="36"/>
  <c r="CA24" i="36"/>
  <c r="CD24" i="36"/>
  <c r="BX25" i="36"/>
  <c r="CA25" i="36"/>
  <c r="CD25" i="36"/>
  <c r="BX26" i="36"/>
  <c r="CA26" i="36"/>
  <c r="CD26" i="36"/>
  <c r="BX27" i="36"/>
  <c r="CA27" i="36"/>
  <c r="CD27" i="36"/>
  <c r="BX20" i="36"/>
  <c r="CA20" i="36"/>
  <c r="CD20" i="36"/>
  <c r="BX16" i="36"/>
  <c r="CA16" i="36"/>
  <c r="CD16" i="36"/>
  <c r="BX17" i="36"/>
  <c r="CA17" i="36"/>
  <c r="CD17" i="36"/>
  <c r="BX15" i="36"/>
  <c r="CA15" i="36"/>
  <c r="CD15" i="36"/>
  <c r="BX11" i="36"/>
  <c r="CA11" i="36"/>
  <c r="CD11" i="36"/>
  <c r="BX9" i="36"/>
  <c r="CA9" i="36"/>
  <c r="CD9" i="36"/>
  <c r="BX8" i="36"/>
  <c r="CA8" i="36"/>
  <c r="CD8" i="36"/>
  <c r="AT25" i="36"/>
  <c r="AW25" i="36"/>
  <c r="AZ25" i="36"/>
  <c r="BC25" i="36"/>
  <c r="AT23" i="36"/>
  <c r="AW23" i="36"/>
  <c r="AZ23" i="36"/>
  <c r="BC23" i="36"/>
  <c r="AT24" i="36"/>
  <c r="AW24" i="36"/>
  <c r="AZ24" i="36"/>
  <c r="BC24" i="36"/>
  <c r="AT22" i="36"/>
  <c r="AW22" i="36"/>
  <c r="AZ22" i="36"/>
  <c r="BC22" i="36"/>
  <c r="BF22" i="36"/>
  <c r="BI22" i="36"/>
  <c r="AT20" i="36"/>
  <c r="AW20" i="36"/>
  <c r="AZ20" i="36"/>
  <c r="BC20" i="36"/>
  <c r="AT17" i="36"/>
  <c r="AW17" i="36"/>
  <c r="AZ17" i="36"/>
  <c r="BC17" i="36"/>
  <c r="BC9" i="36"/>
  <c r="BC10" i="36"/>
  <c r="AT9" i="36"/>
  <c r="AW9" i="36"/>
  <c r="AZ9" i="36"/>
  <c r="AT10" i="36"/>
  <c r="AW10" i="36"/>
  <c r="AZ10" i="36"/>
  <c r="AT8" i="36"/>
  <c r="AW8" i="36"/>
  <c r="AZ8" i="36"/>
  <c r="AW7" i="36"/>
  <c r="AZ7" i="36"/>
  <c r="AT7" i="36"/>
  <c r="AH26" i="36"/>
  <c r="AK26" i="36"/>
  <c r="AN26" i="36"/>
  <c r="AQ26" i="36"/>
  <c r="AH25" i="36"/>
  <c r="AK25" i="36"/>
  <c r="AN25" i="36"/>
  <c r="AQ25" i="36"/>
  <c r="S25" i="36"/>
  <c r="V25" i="36"/>
  <c r="Y25" i="36"/>
  <c r="AB25" i="36"/>
  <c r="P22" i="36"/>
  <c r="S22" i="36"/>
  <c r="V22" i="36"/>
  <c r="Y22" i="36"/>
  <c r="AB22" i="36"/>
  <c r="AE22" i="36"/>
  <c r="AH22" i="36"/>
  <c r="AK22" i="36"/>
  <c r="AN22" i="36"/>
  <c r="AQ22" i="36"/>
  <c r="P23" i="36"/>
  <c r="S23" i="36"/>
  <c r="V23" i="36"/>
  <c r="Y23" i="36"/>
  <c r="AB23" i="36"/>
  <c r="AE23" i="36"/>
  <c r="AH23" i="36"/>
  <c r="AK23" i="36"/>
  <c r="AN23" i="36"/>
  <c r="AQ23" i="36"/>
  <c r="P24" i="36"/>
  <c r="S24" i="36"/>
  <c r="V24" i="36"/>
  <c r="Y24" i="36"/>
  <c r="AB24" i="36"/>
  <c r="AE24" i="36"/>
  <c r="AH24" i="36"/>
  <c r="AK24" i="36"/>
  <c r="AN24" i="36"/>
  <c r="AQ24" i="36"/>
  <c r="S20" i="36"/>
  <c r="S21" i="36"/>
  <c r="S26" i="36"/>
  <c r="S27" i="36"/>
  <c r="AK19" i="36"/>
  <c r="AN19" i="36"/>
  <c r="AQ19" i="36"/>
  <c r="AE19" i="36"/>
  <c r="AE18" i="36"/>
  <c r="AH18" i="36"/>
  <c r="AK18" i="36"/>
  <c r="AN18" i="36"/>
  <c r="AQ18" i="36"/>
  <c r="V17" i="36"/>
  <c r="Y17" i="36"/>
  <c r="AB17" i="36"/>
  <c r="AE17" i="36"/>
  <c r="AH17" i="36"/>
  <c r="AK17" i="36"/>
  <c r="AN17" i="36"/>
  <c r="AQ17" i="36"/>
  <c r="AH16" i="36"/>
  <c r="AK16" i="36"/>
  <c r="AN16" i="36"/>
  <c r="AQ16" i="36"/>
  <c r="Y16" i="36"/>
  <c r="AB16" i="36"/>
  <c r="V16" i="36"/>
  <c r="AE15" i="36"/>
  <c r="AH15" i="36"/>
  <c r="AK15" i="36"/>
  <c r="AN15" i="36"/>
  <c r="AQ15" i="36"/>
  <c r="AH14" i="36"/>
  <c r="AK14" i="36"/>
  <c r="AN14" i="36"/>
  <c r="AE14" i="36"/>
  <c r="AK13" i="36"/>
  <c r="AN13" i="36"/>
  <c r="AQ13" i="36"/>
  <c r="AH12" i="36"/>
  <c r="AK12" i="36"/>
  <c r="AH11" i="36"/>
  <c r="AK11" i="36"/>
  <c r="AQ10" i="36"/>
  <c r="AE10" i="36"/>
  <c r="AH10" i="36"/>
  <c r="AK10" i="36"/>
  <c r="AB10" i="36"/>
  <c r="AE7" i="36"/>
  <c r="AH7" i="36"/>
  <c r="AK7" i="36"/>
  <c r="AN7" i="36"/>
  <c r="AQ7" i="36"/>
  <c r="AE8" i="36"/>
  <c r="AH8" i="36"/>
  <c r="AK8" i="36"/>
  <c r="AN8" i="36"/>
  <c r="AQ8" i="36"/>
  <c r="AE9" i="36"/>
  <c r="AH9" i="36"/>
  <c r="AK9" i="36"/>
  <c r="AN9" i="36"/>
  <c r="AQ9" i="36"/>
  <c r="AE6" i="36"/>
  <c r="AH6" i="36"/>
  <c r="AK6" i="36"/>
  <c r="AN6" i="36"/>
  <c r="AQ6" i="36"/>
  <c r="AH5" i="36"/>
  <c r="AK5" i="36"/>
  <c r="AN5" i="36"/>
  <c r="AQ5" i="36"/>
  <c r="D25" i="36"/>
  <c r="G25" i="36"/>
  <c r="J25" i="36"/>
  <c r="M25" i="36"/>
  <c r="M26" i="36"/>
  <c r="J26" i="36"/>
  <c r="G26" i="36"/>
  <c r="D26" i="36"/>
  <c r="D22" i="36"/>
  <c r="G22" i="36"/>
  <c r="J22" i="36"/>
  <c r="M22" i="36"/>
  <c r="D23" i="36"/>
  <c r="G23" i="36"/>
  <c r="J23" i="36"/>
  <c r="M23" i="36"/>
  <c r="D24" i="36"/>
  <c r="G24" i="36"/>
  <c r="J24" i="36"/>
  <c r="M24" i="36"/>
  <c r="J10" i="36"/>
  <c r="D9" i="36"/>
  <c r="B4" i="37"/>
  <c r="B5" i="37"/>
  <c r="B7" i="37"/>
  <c r="B8" i="37"/>
  <c r="B10" i="37"/>
  <c r="B11" i="37"/>
  <c r="N35" i="36"/>
  <c r="H5" i="37"/>
  <c r="E17" i="37"/>
  <c r="E12" i="37"/>
  <c r="B38" i="37"/>
  <c r="B37" i="37"/>
  <c r="B36" i="37"/>
  <c r="B35" i="37"/>
  <c r="B34" i="37"/>
  <c r="B21" i="37"/>
  <c r="CO6" i="34"/>
  <c r="CO7" i="34"/>
  <c r="CO8" i="34"/>
  <c r="CO9" i="34"/>
  <c r="CO10" i="34"/>
  <c r="CO11" i="34"/>
  <c r="CO12" i="34"/>
  <c r="CO13" i="34"/>
  <c r="CO14" i="34"/>
  <c r="CO15" i="34"/>
  <c r="CO16" i="34"/>
  <c r="CO17" i="34"/>
  <c r="CO18" i="34"/>
  <c r="CO19" i="34"/>
  <c r="CO20" i="34"/>
  <c r="CO21" i="34"/>
  <c r="CO22" i="34"/>
  <c r="CO23" i="34"/>
  <c r="CO24" i="34"/>
  <c r="CO25" i="34"/>
  <c r="CO26" i="34"/>
  <c r="CO27" i="34"/>
  <c r="CO28" i="34"/>
  <c r="CO29" i="34"/>
  <c r="CO30" i="34"/>
  <c r="CO31" i="34"/>
  <c r="CO32" i="34"/>
  <c r="CO33" i="34"/>
  <c r="CO34" i="34"/>
  <c r="CO35" i="34"/>
  <c r="CN35" i="34"/>
  <c r="CN34" i="34"/>
  <c r="CN33" i="34"/>
  <c r="CN32" i="34"/>
  <c r="CN31" i="34"/>
  <c r="CN30" i="34"/>
  <c r="CN29" i="34"/>
  <c r="CN28" i="34"/>
  <c r="CN27" i="34"/>
  <c r="CN26" i="34"/>
  <c r="CN25" i="34"/>
  <c r="CN24" i="34"/>
  <c r="CN23" i="34"/>
  <c r="CN22" i="34"/>
  <c r="CN21" i="34"/>
  <c r="CN20" i="34"/>
  <c r="CN19" i="34"/>
  <c r="CN18" i="34"/>
  <c r="CN17" i="34"/>
  <c r="CN16" i="34"/>
  <c r="CN15" i="34"/>
  <c r="CN14" i="34"/>
  <c r="CN13" i="34"/>
  <c r="CN12" i="34"/>
  <c r="CN11" i="34"/>
  <c r="CN10" i="34"/>
  <c r="CN9" i="34"/>
  <c r="CN8" i="34"/>
  <c r="CN7" i="34"/>
  <c r="CN6" i="34"/>
  <c r="CN5" i="34"/>
  <c r="CG35" i="34"/>
  <c r="CJ35" i="34"/>
  <c r="CM35" i="34"/>
  <c r="CM32" i="34"/>
  <c r="CG33" i="34"/>
  <c r="CJ33" i="34"/>
  <c r="CM33" i="34"/>
  <c r="CG34" i="34"/>
  <c r="CJ34" i="34"/>
  <c r="CM34" i="34"/>
  <c r="BX32" i="34"/>
  <c r="CA32" i="34"/>
  <c r="CD32" i="34"/>
  <c r="BX33" i="34"/>
  <c r="CA33" i="34"/>
  <c r="CD33" i="34"/>
  <c r="BU35" i="34"/>
  <c r="BO34" i="34"/>
  <c r="BR34" i="34"/>
  <c r="BO35" i="34"/>
  <c r="BR35" i="34"/>
  <c r="BU32" i="34"/>
  <c r="BU33" i="34"/>
  <c r="BF33" i="34"/>
  <c r="BI33" i="34"/>
  <c r="BL33" i="34"/>
  <c r="BO33" i="34"/>
  <c r="BR33" i="34"/>
  <c r="BO32" i="34"/>
  <c r="BR32" i="34"/>
  <c r="AI36" i="34"/>
  <c r="AJ36" i="34"/>
  <c r="AK36" i="34"/>
  <c r="AL36" i="34"/>
  <c r="AN36" i="34" s="1"/>
  <c r="AM36" i="34"/>
  <c r="AO36" i="34"/>
  <c r="B37" i="35" s="1"/>
  <c r="AP36" i="34"/>
  <c r="B38" i="35" s="1"/>
  <c r="AT34" i="34"/>
  <c r="AW34" i="34"/>
  <c r="AZ34" i="34"/>
  <c r="BC34" i="34"/>
  <c r="AT35" i="34"/>
  <c r="AW35" i="34"/>
  <c r="AZ35" i="34"/>
  <c r="BC35" i="34"/>
  <c r="AZ33" i="34"/>
  <c r="BC33" i="34"/>
  <c r="AS36" i="34"/>
  <c r="AR36" i="34"/>
  <c r="AT31" i="34"/>
  <c r="AW31" i="34"/>
  <c r="AZ31" i="34"/>
  <c r="BC31" i="34"/>
  <c r="AT32" i="34"/>
  <c r="AW32" i="34"/>
  <c r="AZ32" i="34"/>
  <c r="BC32" i="34"/>
  <c r="AB35" i="34"/>
  <c r="AE35" i="34"/>
  <c r="AH35" i="34"/>
  <c r="AK35" i="34"/>
  <c r="AN35" i="34"/>
  <c r="AQ35" i="34"/>
  <c r="R36" i="34"/>
  <c r="Q36" i="34"/>
  <c r="V34" i="34"/>
  <c r="Y34" i="34"/>
  <c r="AB34" i="34"/>
  <c r="AE34" i="34"/>
  <c r="AH34" i="34"/>
  <c r="AK34" i="34"/>
  <c r="AN34" i="34"/>
  <c r="AQ34" i="34"/>
  <c r="Y33" i="34"/>
  <c r="AB33" i="34"/>
  <c r="AE33" i="34"/>
  <c r="AH33" i="34"/>
  <c r="AK33" i="34"/>
  <c r="AN33" i="34"/>
  <c r="AQ33" i="34"/>
  <c r="U36" i="34"/>
  <c r="T36" i="34"/>
  <c r="AE32" i="34"/>
  <c r="AH32" i="34"/>
  <c r="AK32" i="34"/>
  <c r="AN32" i="34"/>
  <c r="AQ32" i="34"/>
  <c r="L36" i="34"/>
  <c r="K36" i="34"/>
  <c r="F36" i="34"/>
  <c r="E36" i="34"/>
  <c r="C36" i="34"/>
  <c r="B5" i="35" s="1"/>
  <c r="B36" i="34"/>
  <c r="B4" i="35" s="1"/>
  <c r="BQ8" i="37"/>
  <c r="CL35" i="36"/>
  <c r="CK35" i="36"/>
  <c r="CI35" i="36"/>
  <c r="CJ35" i="36" s="1"/>
  <c r="CH35" i="36"/>
  <c r="CF35" i="36"/>
  <c r="CE35" i="36"/>
  <c r="H16" i="37" s="1"/>
  <c r="CC35" i="36"/>
  <c r="CB35" i="36"/>
  <c r="BZ35" i="36"/>
  <c r="CA35" i="36" s="1"/>
  <c r="BY35" i="36"/>
  <c r="BW35" i="36"/>
  <c r="BV35" i="36"/>
  <c r="H13" i="37" s="1"/>
  <c r="BT35" i="36"/>
  <c r="H11" i="37" s="1"/>
  <c r="BS35" i="36"/>
  <c r="BQ35" i="36"/>
  <c r="H9" i="37" s="1"/>
  <c r="BP35" i="36"/>
  <c r="H7" i="37" s="1"/>
  <c r="BN35" i="36"/>
  <c r="BM35" i="36"/>
  <c r="H4" i="37" s="1"/>
  <c r="BK35" i="36"/>
  <c r="BJ35" i="36"/>
  <c r="BL35" i="36" s="1"/>
  <c r="E18" i="37" s="1"/>
  <c r="BH35" i="36"/>
  <c r="BG35" i="36"/>
  <c r="E13" i="37" s="1"/>
  <c r="BE35" i="36"/>
  <c r="E11" i="37" s="1"/>
  <c r="BD35" i="36"/>
  <c r="BB35" i="36"/>
  <c r="E8" i="37" s="1"/>
  <c r="BA35" i="36"/>
  <c r="E7" i="37" s="1"/>
  <c r="AY35" i="36"/>
  <c r="E5" i="37" s="1"/>
  <c r="AX35" i="36"/>
  <c r="E4" i="37" s="1"/>
  <c r="AV35" i="36"/>
  <c r="AU35" i="36"/>
  <c r="AS35" i="36"/>
  <c r="B41" i="37" s="1"/>
  <c r="AR35" i="36"/>
  <c r="B40" i="37" s="1"/>
  <c r="AG35" i="36"/>
  <c r="B32" i="37" s="1"/>
  <c r="AF35" i="36"/>
  <c r="AD35" i="36"/>
  <c r="AC35" i="36"/>
  <c r="B28" i="37" s="1"/>
  <c r="B22" i="37"/>
  <c r="X35" i="36"/>
  <c r="W35" i="36"/>
  <c r="B19" i="37" s="1"/>
  <c r="B17" i="37"/>
  <c r="B13" i="37"/>
  <c r="O35" i="36"/>
  <c r="P35" i="36"/>
  <c r="BU34" i="36"/>
  <c r="BI34" i="36"/>
  <c r="BF34" i="36"/>
  <c r="AQ34" i="36"/>
  <c r="AN34" i="36"/>
  <c r="AE34" i="36"/>
  <c r="AB34" i="36"/>
  <c r="Y34" i="36"/>
  <c r="V34" i="36"/>
  <c r="S34" i="36"/>
  <c r="P34" i="36"/>
  <c r="M34" i="36"/>
  <c r="J34" i="36"/>
  <c r="D34" i="36"/>
  <c r="BU33" i="36"/>
  <c r="BI33" i="36"/>
  <c r="BF33" i="36"/>
  <c r="AQ33" i="36"/>
  <c r="AN33" i="36"/>
  <c r="AB33" i="36"/>
  <c r="Y33" i="36"/>
  <c r="V33" i="36"/>
  <c r="S33" i="36"/>
  <c r="P33" i="36"/>
  <c r="M33" i="36"/>
  <c r="J33" i="36"/>
  <c r="D33" i="36"/>
  <c r="CJ32" i="36"/>
  <c r="CG32" i="36"/>
  <c r="CD32" i="36"/>
  <c r="CA32" i="36"/>
  <c r="BX32" i="36"/>
  <c r="BU32" i="36"/>
  <c r="BR32" i="36"/>
  <c r="BO32" i="36"/>
  <c r="BL32" i="36"/>
  <c r="BI32" i="36"/>
  <c r="BF32" i="36"/>
  <c r="S32" i="36"/>
  <c r="P32" i="36"/>
  <c r="M32" i="36"/>
  <c r="J32" i="36"/>
  <c r="D32" i="36"/>
  <c r="CJ31" i="36"/>
  <c r="CG31" i="36"/>
  <c r="CD31" i="36"/>
  <c r="CA31" i="36"/>
  <c r="BX31" i="36"/>
  <c r="BU31" i="36"/>
  <c r="BR31" i="36"/>
  <c r="BO31" i="36"/>
  <c r="BL31" i="36"/>
  <c r="BI31" i="36"/>
  <c r="BF31" i="36"/>
  <c r="S31" i="36"/>
  <c r="P31" i="36"/>
  <c r="M31" i="36"/>
  <c r="J31" i="36"/>
  <c r="D31" i="36"/>
  <c r="CJ30" i="36"/>
  <c r="CG30" i="36"/>
  <c r="CD30" i="36"/>
  <c r="CA30" i="36"/>
  <c r="BX30" i="36"/>
  <c r="BU30" i="36"/>
  <c r="BR30" i="36"/>
  <c r="BO30" i="36"/>
  <c r="BL30" i="36"/>
  <c r="BI30" i="36"/>
  <c r="BF30" i="36"/>
  <c r="AQ30" i="36"/>
  <c r="AN30" i="36"/>
  <c r="AK30" i="36"/>
  <c r="AH30" i="36"/>
  <c r="AE30" i="36"/>
  <c r="AB30" i="36"/>
  <c r="Y30" i="36"/>
  <c r="V30" i="36"/>
  <c r="S30" i="36"/>
  <c r="P30" i="36"/>
  <c r="M30" i="36"/>
  <c r="J30" i="36"/>
  <c r="D30" i="36"/>
  <c r="CJ29" i="36"/>
  <c r="CG29" i="36"/>
  <c r="CD29" i="36"/>
  <c r="CA29" i="36"/>
  <c r="BX29" i="36"/>
  <c r="BU29" i="36"/>
  <c r="BR29" i="36"/>
  <c r="BO29" i="36"/>
  <c r="BL29" i="36"/>
  <c r="BI29" i="36"/>
  <c r="BF29" i="36"/>
  <c r="AQ29" i="36"/>
  <c r="AE29" i="36"/>
  <c r="AB29" i="36"/>
  <c r="Y29" i="36"/>
  <c r="V29" i="36"/>
  <c r="S29" i="36"/>
  <c r="P29" i="36"/>
  <c r="M29" i="36"/>
  <c r="J29" i="36"/>
  <c r="D29" i="36"/>
  <c r="CJ28" i="36"/>
  <c r="CG28" i="36"/>
  <c r="BU28" i="36"/>
  <c r="BR28" i="36"/>
  <c r="BO28" i="36"/>
  <c r="BL28" i="36"/>
  <c r="BI28" i="36"/>
  <c r="BF28" i="36"/>
  <c r="AQ28" i="36"/>
  <c r="AN28" i="36"/>
  <c r="AE28" i="36"/>
  <c r="AB28" i="36"/>
  <c r="Y28" i="36"/>
  <c r="V28" i="36"/>
  <c r="S28" i="36"/>
  <c r="P28" i="36"/>
  <c r="M28" i="36"/>
  <c r="J28" i="36"/>
  <c r="D28" i="36"/>
  <c r="BU27" i="36"/>
  <c r="BR27" i="36"/>
  <c r="BO27" i="36"/>
  <c r="BL27" i="36"/>
  <c r="BI27" i="36"/>
  <c r="BF27" i="36"/>
  <c r="BC27" i="36"/>
  <c r="AZ27" i="36"/>
  <c r="AW27" i="36"/>
  <c r="AT27" i="36"/>
  <c r="AQ27" i="36"/>
  <c r="AN27" i="36"/>
  <c r="AK27" i="36"/>
  <c r="AH27" i="36"/>
  <c r="AE27" i="36"/>
  <c r="AB27" i="36"/>
  <c r="Y27" i="36"/>
  <c r="V27" i="36"/>
  <c r="P27" i="36"/>
  <c r="M27" i="36"/>
  <c r="J27" i="36"/>
  <c r="D27" i="36"/>
  <c r="BU26" i="36"/>
  <c r="BR26" i="36"/>
  <c r="BO26" i="36"/>
  <c r="BL26" i="36"/>
  <c r="BI26" i="36"/>
  <c r="BF26" i="36"/>
  <c r="BC26" i="36"/>
  <c r="AZ26" i="36"/>
  <c r="AW26" i="36"/>
  <c r="AT26" i="36"/>
  <c r="AE26" i="36"/>
  <c r="AB26" i="36"/>
  <c r="Y26" i="36"/>
  <c r="V26" i="36"/>
  <c r="P26" i="36"/>
  <c r="BU25" i="36"/>
  <c r="BR25" i="36"/>
  <c r="BO25" i="36"/>
  <c r="BL25" i="36"/>
  <c r="BI25" i="36"/>
  <c r="BF25" i="36"/>
  <c r="AE25" i="36"/>
  <c r="P25" i="36"/>
  <c r="BU24" i="36"/>
  <c r="BR24" i="36"/>
  <c r="BO24" i="36"/>
  <c r="BL24" i="36"/>
  <c r="BI24" i="36"/>
  <c r="BF24" i="36"/>
  <c r="BU23" i="36"/>
  <c r="BR23" i="36"/>
  <c r="BO23" i="36"/>
  <c r="BL23" i="36"/>
  <c r="BI23" i="36"/>
  <c r="BF23" i="36"/>
  <c r="BU22" i="36"/>
  <c r="BR22" i="36"/>
  <c r="BO22" i="36"/>
  <c r="BL22" i="36"/>
  <c r="BU21" i="36"/>
  <c r="BR21" i="36"/>
  <c r="BO21" i="36"/>
  <c r="BL21" i="36"/>
  <c r="BI21" i="36"/>
  <c r="BF21" i="36"/>
  <c r="BC21" i="36"/>
  <c r="AZ21" i="36"/>
  <c r="AW21" i="36"/>
  <c r="AT21" i="36"/>
  <c r="AQ21" i="36"/>
  <c r="AN21" i="36"/>
  <c r="AK21" i="36"/>
  <c r="AH21" i="36"/>
  <c r="AE21" i="36"/>
  <c r="AB21" i="36"/>
  <c r="Y21" i="36"/>
  <c r="V21" i="36"/>
  <c r="P21" i="36"/>
  <c r="M21" i="36"/>
  <c r="J21" i="36"/>
  <c r="G21" i="36"/>
  <c r="D21" i="36"/>
  <c r="CJ20" i="36"/>
  <c r="CG20" i="36"/>
  <c r="BU20" i="36"/>
  <c r="BR20" i="36"/>
  <c r="BO20" i="36"/>
  <c r="BL20" i="36"/>
  <c r="BI20" i="36"/>
  <c r="BF20" i="36"/>
  <c r="AQ20" i="36"/>
  <c r="AN20" i="36"/>
  <c r="AK20" i="36"/>
  <c r="AH20" i="36"/>
  <c r="AE20" i="36"/>
  <c r="AB20" i="36"/>
  <c r="Y20" i="36"/>
  <c r="V20" i="36"/>
  <c r="P20" i="36"/>
  <c r="M20" i="36"/>
  <c r="J20" i="36"/>
  <c r="G20" i="36"/>
  <c r="D20" i="36"/>
  <c r="CJ19" i="36"/>
  <c r="CG19" i="36"/>
  <c r="CD19" i="36"/>
  <c r="CA19" i="36"/>
  <c r="BX19" i="36"/>
  <c r="BU19" i="36"/>
  <c r="BR19" i="36"/>
  <c r="BO19" i="36"/>
  <c r="BL19" i="36"/>
  <c r="BI19" i="36"/>
  <c r="BF19" i="36"/>
  <c r="AW19" i="36"/>
  <c r="AT19" i="36"/>
  <c r="AH19" i="36"/>
  <c r="AB19" i="36"/>
  <c r="Y19" i="36"/>
  <c r="V19" i="36"/>
  <c r="S19" i="36"/>
  <c r="P19" i="36"/>
  <c r="M19" i="36"/>
  <c r="J19" i="36"/>
  <c r="G19" i="36"/>
  <c r="D19" i="36"/>
  <c r="CJ18" i="36"/>
  <c r="CG18" i="36"/>
  <c r="CD18" i="36"/>
  <c r="CA18" i="36"/>
  <c r="BX18" i="36"/>
  <c r="BU18" i="36"/>
  <c r="BR18" i="36"/>
  <c r="BO18" i="36"/>
  <c r="BL18" i="36"/>
  <c r="BI18" i="36"/>
  <c r="BF18" i="36"/>
  <c r="AW18" i="36"/>
  <c r="AT18" i="36"/>
  <c r="AB18" i="36"/>
  <c r="Y18" i="36"/>
  <c r="V18" i="36"/>
  <c r="S18" i="36"/>
  <c r="P18" i="36"/>
  <c r="M18" i="36"/>
  <c r="J18" i="36"/>
  <c r="G18" i="36"/>
  <c r="D18" i="36"/>
  <c r="CM17" i="36"/>
  <c r="CJ17" i="36"/>
  <c r="CG17" i="36"/>
  <c r="BU17" i="36"/>
  <c r="BR17" i="36"/>
  <c r="BO17" i="36"/>
  <c r="BL17" i="36"/>
  <c r="BI17" i="36"/>
  <c r="BF17" i="36"/>
  <c r="S17" i="36"/>
  <c r="P17" i="36"/>
  <c r="M17" i="36"/>
  <c r="J17" i="36"/>
  <c r="G17" i="36"/>
  <c r="D17" i="36"/>
  <c r="BU16" i="36"/>
  <c r="BR16" i="36"/>
  <c r="BO16" i="36"/>
  <c r="BL16" i="36"/>
  <c r="BI16" i="36"/>
  <c r="BF16" i="36"/>
  <c r="BC16" i="36"/>
  <c r="AZ16" i="36"/>
  <c r="AW16" i="36"/>
  <c r="AT16" i="36"/>
  <c r="AE16" i="36"/>
  <c r="S16" i="36"/>
  <c r="P16" i="36"/>
  <c r="M16" i="36"/>
  <c r="J16" i="36"/>
  <c r="G16" i="36"/>
  <c r="D16" i="36"/>
  <c r="CM15" i="36"/>
  <c r="CJ15" i="36"/>
  <c r="CG15" i="36"/>
  <c r="BU15" i="36"/>
  <c r="BR15" i="36"/>
  <c r="BO15" i="36"/>
  <c r="BL15" i="36"/>
  <c r="BI15" i="36"/>
  <c r="BF15" i="36"/>
  <c r="BC15" i="36"/>
  <c r="AZ15" i="36"/>
  <c r="AW15" i="36"/>
  <c r="AT15" i="36"/>
  <c r="AB15" i="36"/>
  <c r="Y15" i="36"/>
  <c r="V15" i="36"/>
  <c r="S15" i="36"/>
  <c r="P15" i="36"/>
  <c r="M15" i="36"/>
  <c r="J15" i="36"/>
  <c r="G15" i="36"/>
  <c r="D15" i="36"/>
  <c r="CM14" i="36"/>
  <c r="CJ14" i="36"/>
  <c r="CG14" i="36"/>
  <c r="CD14" i="36"/>
  <c r="CA14" i="36"/>
  <c r="BX14" i="36"/>
  <c r="BU14" i="36"/>
  <c r="BR14" i="36"/>
  <c r="BO14" i="36"/>
  <c r="BL14" i="36"/>
  <c r="BI14" i="36"/>
  <c r="BF14" i="36"/>
  <c r="BC14" i="36"/>
  <c r="AZ14" i="36"/>
  <c r="AW14" i="36"/>
  <c r="AT14" i="36"/>
  <c r="AQ14" i="36"/>
  <c r="AB14" i="36"/>
  <c r="Y14" i="36"/>
  <c r="V14" i="36"/>
  <c r="S14" i="36"/>
  <c r="P14" i="36"/>
  <c r="M14" i="36"/>
  <c r="J14" i="36"/>
  <c r="G14" i="36"/>
  <c r="D14" i="36"/>
  <c r="CM13" i="36"/>
  <c r="CJ13" i="36"/>
  <c r="CG13" i="36"/>
  <c r="CD13" i="36"/>
  <c r="CA13" i="36"/>
  <c r="BX13" i="36"/>
  <c r="BU13" i="36"/>
  <c r="BR13" i="36"/>
  <c r="BO13" i="36"/>
  <c r="BL13" i="36"/>
  <c r="BI13" i="36"/>
  <c r="BF13" i="36"/>
  <c r="BC13" i="36"/>
  <c r="AW13" i="36"/>
  <c r="AT13" i="36"/>
  <c r="AH13" i="36"/>
  <c r="AE13" i="36"/>
  <c r="AB13" i="36"/>
  <c r="Y13" i="36"/>
  <c r="V13" i="36"/>
  <c r="S13" i="36"/>
  <c r="P13" i="36"/>
  <c r="M13" i="36"/>
  <c r="J13" i="36"/>
  <c r="D13" i="36"/>
  <c r="CM12" i="36"/>
  <c r="CJ12" i="36"/>
  <c r="CG12" i="36"/>
  <c r="CD12" i="36"/>
  <c r="CA12" i="36"/>
  <c r="BX12" i="36"/>
  <c r="BU12" i="36"/>
  <c r="BR12" i="36"/>
  <c r="BO12" i="36"/>
  <c r="BL12" i="36"/>
  <c r="BI12" i="36"/>
  <c r="BF12" i="36"/>
  <c r="BC12" i="36"/>
  <c r="AZ12" i="36"/>
  <c r="AW12" i="36"/>
  <c r="AT12" i="36"/>
  <c r="AQ12" i="36"/>
  <c r="AN12" i="36"/>
  <c r="AE12" i="36"/>
  <c r="AB12" i="36"/>
  <c r="Y12" i="36"/>
  <c r="V12" i="36"/>
  <c r="S12" i="36"/>
  <c r="P12" i="36"/>
  <c r="M12" i="36"/>
  <c r="J12" i="36"/>
  <c r="G12" i="36"/>
  <c r="D12" i="36"/>
  <c r="CM11" i="36"/>
  <c r="CJ11" i="36"/>
  <c r="CG11" i="36"/>
  <c r="BU11" i="36"/>
  <c r="BR11" i="36"/>
  <c r="BO11" i="36"/>
  <c r="BL11" i="36"/>
  <c r="BI11" i="36"/>
  <c r="BF11" i="36"/>
  <c r="BC11" i="36"/>
  <c r="AZ11" i="36"/>
  <c r="AW11" i="36"/>
  <c r="AT11" i="36"/>
  <c r="AQ11" i="36"/>
  <c r="AN11" i="36"/>
  <c r="AE11" i="36"/>
  <c r="AB11" i="36"/>
  <c r="Y11" i="36"/>
  <c r="V11" i="36"/>
  <c r="S11" i="36"/>
  <c r="P11" i="36"/>
  <c r="M11" i="36"/>
  <c r="J11" i="36"/>
  <c r="G11" i="36"/>
  <c r="D11" i="36"/>
  <c r="CM10" i="36"/>
  <c r="CJ10" i="36"/>
  <c r="CG10" i="36"/>
  <c r="CD10" i="36"/>
  <c r="CA10" i="36"/>
  <c r="BX10" i="36"/>
  <c r="BU10" i="36"/>
  <c r="BR10" i="36"/>
  <c r="BO10" i="36"/>
  <c r="BL10" i="36"/>
  <c r="BI10" i="36"/>
  <c r="BF10" i="36"/>
  <c r="AN10" i="36"/>
  <c r="Y10" i="36"/>
  <c r="V10" i="36"/>
  <c r="S10" i="36"/>
  <c r="P10" i="36"/>
  <c r="G10" i="36"/>
  <c r="D10" i="36"/>
  <c r="CM9" i="36"/>
  <c r="CJ9" i="36"/>
  <c r="CG9" i="36"/>
  <c r="BU9" i="36"/>
  <c r="BR9" i="36"/>
  <c r="BO9" i="36"/>
  <c r="BL9" i="36"/>
  <c r="BI9" i="36"/>
  <c r="BF9" i="36"/>
  <c r="AB9" i="36"/>
  <c r="Y9" i="36"/>
  <c r="V9" i="36"/>
  <c r="S9" i="36"/>
  <c r="P9" i="36"/>
  <c r="M9" i="36"/>
  <c r="J9" i="36"/>
  <c r="G9" i="36"/>
  <c r="CM8" i="36"/>
  <c r="CJ8" i="36"/>
  <c r="CG8" i="36"/>
  <c r="BU8" i="36"/>
  <c r="BR8" i="36"/>
  <c r="BO8" i="36"/>
  <c r="BL8" i="36"/>
  <c r="BI8" i="36"/>
  <c r="BF8" i="36"/>
  <c r="BC8" i="36"/>
  <c r="AB8" i="36"/>
  <c r="Y8" i="36"/>
  <c r="V8" i="36"/>
  <c r="S8" i="36"/>
  <c r="P8" i="36"/>
  <c r="M8" i="36"/>
  <c r="J8" i="36"/>
  <c r="G8" i="36"/>
  <c r="D8" i="36"/>
  <c r="CD7" i="36"/>
  <c r="CA7" i="36"/>
  <c r="BX7" i="36"/>
  <c r="BU7" i="36"/>
  <c r="BR7" i="36"/>
  <c r="BO7" i="36"/>
  <c r="BL7" i="36"/>
  <c r="BI7" i="36"/>
  <c r="BF7" i="36"/>
  <c r="BC7" i="36"/>
  <c r="AB7" i="36"/>
  <c r="Y7" i="36"/>
  <c r="V7" i="36"/>
  <c r="S7" i="36"/>
  <c r="P7" i="36"/>
  <c r="M7" i="36"/>
  <c r="J7" i="36"/>
  <c r="G7" i="36"/>
  <c r="D7" i="36"/>
  <c r="CD6" i="36"/>
  <c r="CA6" i="36"/>
  <c r="BX6" i="36"/>
  <c r="BU6" i="36"/>
  <c r="BR6" i="36"/>
  <c r="BO6" i="36"/>
  <c r="BL6" i="36"/>
  <c r="BI6" i="36"/>
  <c r="BF6" i="36"/>
  <c r="BC6" i="36"/>
  <c r="AZ6" i="36"/>
  <c r="AW6" i="36"/>
  <c r="AT6" i="36"/>
  <c r="AB6" i="36"/>
  <c r="Y6" i="36"/>
  <c r="V6" i="36"/>
  <c r="S6" i="36"/>
  <c r="P6" i="36"/>
  <c r="M6" i="36"/>
  <c r="J6" i="36"/>
  <c r="G6" i="36"/>
  <c r="D6" i="36"/>
  <c r="CD5" i="36"/>
  <c r="CA5" i="36"/>
  <c r="BX5" i="36"/>
  <c r="BU5" i="36"/>
  <c r="BR5" i="36"/>
  <c r="BO5" i="36"/>
  <c r="BL5" i="36"/>
  <c r="BI5" i="36"/>
  <c r="BF5" i="36"/>
  <c r="BC5" i="36"/>
  <c r="AZ5" i="36"/>
  <c r="AW5" i="36"/>
  <c r="AT5" i="36"/>
  <c r="AE5" i="36"/>
  <c r="AB5" i="36"/>
  <c r="Y5" i="36"/>
  <c r="V5" i="36"/>
  <c r="S5" i="36"/>
  <c r="P5" i="36"/>
  <c r="M5" i="36"/>
  <c r="J5" i="36"/>
  <c r="G5" i="36"/>
  <c r="D5" i="36"/>
  <c r="AE29" i="34"/>
  <c r="AH29" i="34"/>
  <c r="AK29" i="34"/>
  <c r="AN29" i="34"/>
  <c r="AQ29" i="34"/>
  <c r="P28" i="34"/>
  <c r="P29" i="34"/>
  <c r="P30" i="34"/>
  <c r="P31" i="34"/>
  <c r="CG27" i="34"/>
  <c r="CG25" i="34"/>
  <c r="CG26" i="34"/>
  <c r="CG12" i="34"/>
  <c r="CG13" i="34"/>
  <c r="CG14" i="34"/>
  <c r="CG15" i="34"/>
  <c r="CG16" i="34"/>
  <c r="CG17" i="34"/>
  <c r="CG18" i="34"/>
  <c r="CG19" i="34"/>
  <c r="CG20" i="34"/>
  <c r="CG21" i="34"/>
  <c r="CG22" i="34"/>
  <c r="BX28" i="34"/>
  <c r="CA28" i="34"/>
  <c r="CA21" i="34"/>
  <c r="BX12" i="34"/>
  <c r="CA12" i="34"/>
  <c r="CD12" i="34"/>
  <c r="BX11" i="34"/>
  <c r="CA11" i="34"/>
  <c r="CD11" i="34"/>
  <c r="BU6" i="34"/>
  <c r="BU7" i="34"/>
  <c r="BU8" i="34"/>
  <c r="BU9" i="34"/>
  <c r="BU10" i="34"/>
  <c r="BU11" i="34"/>
  <c r="BU12" i="34"/>
  <c r="BU13" i="34"/>
  <c r="BU14" i="34"/>
  <c r="BU15" i="34"/>
  <c r="BU16" i="34"/>
  <c r="BU17" i="34"/>
  <c r="BU18" i="34"/>
  <c r="BU19" i="34"/>
  <c r="BU20" i="34"/>
  <c r="BU21" i="34"/>
  <c r="BU22" i="34"/>
  <c r="BU23" i="34"/>
  <c r="BU24" i="34"/>
  <c r="BU25" i="34"/>
  <c r="BU26" i="34"/>
  <c r="BU27" i="34"/>
  <c r="BU28" i="34"/>
  <c r="BU29" i="34"/>
  <c r="BU30" i="34"/>
  <c r="BU31" i="34"/>
  <c r="BU34" i="34"/>
  <c r="BU5" i="34"/>
  <c r="BR6" i="34"/>
  <c r="BR7" i="34"/>
  <c r="BR8" i="34"/>
  <c r="BR9" i="34"/>
  <c r="BR10" i="34"/>
  <c r="BR11" i="34"/>
  <c r="BR12" i="34"/>
  <c r="BR13" i="34"/>
  <c r="BR14" i="34"/>
  <c r="BR15" i="34"/>
  <c r="BR16" i="34"/>
  <c r="BR17" i="34"/>
  <c r="BR18" i="34"/>
  <c r="BR19" i="34"/>
  <c r="BR20" i="34"/>
  <c r="BR21" i="34"/>
  <c r="BR22" i="34"/>
  <c r="BR23" i="34"/>
  <c r="BR24" i="34"/>
  <c r="BR25" i="34"/>
  <c r="BR26" i="34"/>
  <c r="BR27" i="34"/>
  <c r="BR28" i="34"/>
  <c r="BR29" i="34"/>
  <c r="BR30" i="34"/>
  <c r="BR31" i="34"/>
  <c r="BR5" i="34"/>
  <c r="BO6" i="34"/>
  <c r="BO7" i="34"/>
  <c r="BO8" i="34"/>
  <c r="BO9" i="34"/>
  <c r="BO10" i="34"/>
  <c r="BO11" i="34"/>
  <c r="BO12" i="34"/>
  <c r="BO13" i="34"/>
  <c r="BO14" i="34"/>
  <c r="BO15" i="34"/>
  <c r="BO16" i="34"/>
  <c r="BO17" i="34"/>
  <c r="BO18" i="34"/>
  <c r="BO19" i="34"/>
  <c r="BO20" i="34"/>
  <c r="BO21" i="34"/>
  <c r="BO22" i="34"/>
  <c r="BO23" i="34"/>
  <c r="BO24" i="34"/>
  <c r="BO25" i="34"/>
  <c r="BO26" i="34"/>
  <c r="BO27" i="34"/>
  <c r="BO28" i="34"/>
  <c r="BO29" i="34"/>
  <c r="BO30" i="34"/>
  <c r="BO31" i="34"/>
  <c r="BO5" i="34"/>
  <c r="AW24" i="34"/>
  <c r="AZ24" i="34"/>
  <c r="BC24" i="34"/>
  <c r="AW25" i="34"/>
  <c r="AZ25" i="34"/>
  <c r="BC25" i="34"/>
  <c r="AT24" i="34"/>
  <c r="AT25" i="34"/>
  <c r="AW12" i="34"/>
  <c r="AZ12" i="34"/>
  <c r="BC12" i="34"/>
  <c r="AW13" i="34"/>
  <c r="AZ13" i="34"/>
  <c r="BC13" i="34"/>
  <c r="AT13" i="34"/>
  <c r="V27" i="34"/>
  <c r="Y27" i="34"/>
  <c r="AB27" i="34"/>
  <c r="AE27" i="34"/>
  <c r="AN27" i="34"/>
  <c r="AQ27" i="34"/>
  <c r="AK27" i="34"/>
  <c r="AE26" i="34"/>
  <c r="AH26" i="34"/>
  <c r="AK26" i="34"/>
  <c r="V26" i="34"/>
  <c r="Y26" i="34"/>
  <c r="AB26" i="34"/>
  <c r="AH25" i="34"/>
  <c r="AK25" i="34"/>
  <c r="AN25" i="34"/>
  <c r="AH24" i="34"/>
  <c r="AK24" i="34"/>
  <c r="AN24" i="34"/>
  <c r="AQ23" i="34"/>
  <c r="AE23" i="34"/>
  <c r="AH23" i="34"/>
  <c r="AK23" i="34"/>
  <c r="AN23" i="34"/>
  <c r="AH21" i="34"/>
  <c r="AK21" i="34"/>
  <c r="AN21" i="34"/>
  <c r="AQ21" i="34"/>
  <c r="AE21" i="34"/>
  <c r="S20" i="34"/>
  <c r="V20" i="34"/>
  <c r="Y20" i="34"/>
  <c r="AB20" i="34"/>
  <c r="AE20" i="34"/>
  <c r="AH20" i="34"/>
  <c r="AK20" i="34"/>
  <c r="AN20" i="34"/>
  <c r="AQ20" i="34"/>
  <c r="AK16" i="34"/>
  <c r="AN16" i="34"/>
  <c r="AQ16" i="34"/>
  <c r="AK14" i="34"/>
  <c r="AN14" i="34"/>
  <c r="AQ14" i="34"/>
  <c r="AK15" i="34"/>
  <c r="AN15" i="34"/>
  <c r="AQ15" i="34"/>
  <c r="S13" i="34"/>
  <c r="V13" i="34"/>
  <c r="Y13" i="34"/>
  <c r="AB13" i="34"/>
  <c r="AE13" i="34"/>
  <c r="AH13" i="34"/>
  <c r="AK13" i="34"/>
  <c r="AN13" i="34"/>
  <c r="AQ13" i="34"/>
  <c r="AE12" i="34"/>
  <c r="AH12" i="34"/>
  <c r="AK12" i="34"/>
  <c r="AN12" i="34"/>
  <c r="P12" i="34"/>
  <c r="P13" i="34"/>
  <c r="AE10" i="34"/>
  <c r="AH10" i="34"/>
  <c r="AK10" i="34"/>
  <c r="AN10" i="34"/>
  <c r="CG8" i="34"/>
  <c r="CG9" i="34"/>
  <c r="BX8" i="34"/>
  <c r="CA8" i="34"/>
  <c r="CD8" i="34"/>
  <c r="AK8" i="34"/>
  <c r="AN8" i="34"/>
  <c r="AQ8" i="34"/>
  <c r="AK9" i="34"/>
  <c r="AN9" i="34"/>
  <c r="AQ9" i="34"/>
  <c r="AE8" i="34"/>
  <c r="AH8" i="34"/>
  <c r="AE9" i="34"/>
  <c r="AH9" i="34"/>
  <c r="AT7" i="34"/>
  <c r="AW7" i="34"/>
  <c r="AZ7" i="34"/>
  <c r="BC7" i="34"/>
  <c r="AT5" i="34"/>
  <c r="AW5" i="34"/>
  <c r="AZ5" i="34"/>
  <c r="BC5" i="34"/>
  <c r="AT6" i="34"/>
  <c r="AW6" i="34"/>
  <c r="AZ6" i="34"/>
  <c r="BC6" i="34"/>
  <c r="AB7" i="34"/>
  <c r="S5" i="34"/>
  <c r="V5" i="34"/>
  <c r="Y5" i="34"/>
  <c r="AB5" i="34"/>
  <c r="AE5" i="34"/>
  <c r="AH5" i="34"/>
  <c r="AK5" i="34"/>
  <c r="AN5" i="34"/>
  <c r="AQ5" i="34"/>
  <c r="S6" i="34"/>
  <c r="V6" i="34"/>
  <c r="Y6" i="34"/>
  <c r="AB6" i="34"/>
  <c r="AE6" i="34"/>
  <c r="AH6" i="34"/>
  <c r="AK6" i="34"/>
  <c r="AN6" i="34"/>
  <c r="AQ6" i="34"/>
  <c r="B35" i="35"/>
  <c r="B21" i="35"/>
  <c r="BQ8" i="35"/>
  <c r="AI33" i="30"/>
  <c r="AJ33" i="30"/>
  <c r="AK33" i="30"/>
  <c r="AL33" i="30"/>
  <c r="AN33" i="30" s="1"/>
  <c r="B36" i="32" s="1"/>
  <c r="AM33" i="30"/>
  <c r="AO33" i="30"/>
  <c r="AP33" i="30"/>
  <c r="AQ33" i="30" s="1"/>
  <c r="B39" i="32" s="1"/>
  <c r="BL10" i="34"/>
  <c r="BL11" i="34"/>
  <c r="BL12" i="34"/>
  <c r="BL13" i="34"/>
  <c r="BL14" i="34"/>
  <c r="BL15" i="34"/>
  <c r="BL16" i="34"/>
  <c r="BL17" i="34"/>
  <c r="BL18" i="34"/>
  <c r="BL19" i="34"/>
  <c r="BL20" i="34"/>
  <c r="BL21" i="34"/>
  <c r="BL22" i="34"/>
  <c r="BL23" i="34"/>
  <c r="BL24" i="34"/>
  <c r="BL25" i="34"/>
  <c r="BL26" i="34"/>
  <c r="BL27" i="34"/>
  <c r="BL28" i="34"/>
  <c r="BL29" i="34"/>
  <c r="BL30" i="34"/>
  <c r="BL31" i="34"/>
  <c r="BL32" i="34"/>
  <c r="BL34" i="34"/>
  <c r="BL35" i="34"/>
  <c r="D33" i="34"/>
  <c r="J33" i="34"/>
  <c r="M33" i="34"/>
  <c r="P33" i="34"/>
  <c r="S33" i="34"/>
  <c r="V33" i="34"/>
  <c r="AT33" i="34"/>
  <c r="AW33" i="34"/>
  <c r="D34" i="34"/>
  <c r="J34" i="34"/>
  <c r="M34" i="34"/>
  <c r="P34" i="34"/>
  <c r="S34" i="34"/>
  <c r="BF34" i="34"/>
  <c r="BI34" i="34"/>
  <c r="BX34" i="34"/>
  <c r="CA34" i="34"/>
  <c r="CD34" i="34"/>
  <c r="D35" i="34"/>
  <c r="J35" i="34"/>
  <c r="M35" i="34"/>
  <c r="P35" i="34"/>
  <c r="S35" i="34"/>
  <c r="V35" i="34"/>
  <c r="Y35" i="34"/>
  <c r="BF35" i="34"/>
  <c r="BI35" i="34"/>
  <c r="BX35" i="34"/>
  <c r="CA35" i="34"/>
  <c r="CD35" i="34"/>
  <c r="CL36" i="34"/>
  <c r="CM36" i="34" s="1"/>
  <c r="CK36" i="34"/>
  <c r="CI36" i="34"/>
  <c r="CJ36" i="34" s="1"/>
  <c r="CH36" i="34"/>
  <c r="CF36" i="34"/>
  <c r="CE36" i="34"/>
  <c r="H16" i="35" s="1"/>
  <c r="CC36" i="34"/>
  <c r="CB36" i="34"/>
  <c r="BZ36" i="34"/>
  <c r="CA36" i="34" s="1"/>
  <c r="BY36" i="34"/>
  <c r="BW36" i="34"/>
  <c r="H14" i="35" s="1"/>
  <c r="BV36" i="34"/>
  <c r="H13" i="35" s="1"/>
  <c r="BT36" i="34"/>
  <c r="H11" i="35" s="1"/>
  <c r="BS36" i="34"/>
  <c r="H10" i="35" s="1"/>
  <c r="BQ36" i="34"/>
  <c r="H9" i="35" s="1"/>
  <c r="BP36" i="34"/>
  <c r="H7" i="35" s="1"/>
  <c r="BN36" i="34"/>
  <c r="H5" i="35" s="1"/>
  <c r="BM36" i="34"/>
  <c r="H4" i="35" s="1"/>
  <c r="BK36" i="34"/>
  <c r="E17" i="35" s="1"/>
  <c r="BJ36" i="34"/>
  <c r="E16" i="35" s="1"/>
  <c r="BH36" i="34"/>
  <c r="E14" i="35" s="1"/>
  <c r="BG36" i="34"/>
  <c r="E13" i="35" s="1"/>
  <c r="BE36" i="34"/>
  <c r="E11" i="35" s="1"/>
  <c r="BD36" i="34"/>
  <c r="E10" i="35" s="1"/>
  <c r="BB36" i="34"/>
  <c r="E8" i="35" s="1"/>
  <c r="BA36" i="34"/>
  <c r="E7" i="35" s="1"/>
  <c r="AY36" i="34"/>
  <c r="E5" i="35" s="1"/>
  <c r="AX36" i="34"/>
  <c r="E4" i="35" s="1"/>
  <c r="AV36" i="34"/>
  <c r="AU36" i="34"/>
  <c r="B41" i="35"/>
  <c r="AG36" i="34"/>
  <c r="B32" i="35" s="1"/>
  <c r="AF36" i="34"/>
  <c r="B31" i="35" s="1"/>
  <c r="AD36" i="34"/>
  <c r="B29" i="35" s="1"/>
  <c r="AC36" i="34"/>
  <c r="B25" i="35" s="1"/>
  <c r="AA36" i="34"/>
  <c r="B23" i="35" s="1"/>
  <c r="Z36" i="34"/>
  <c r="B22" i="35" s="1"/>
  <c r="X36" i="34"/>
  <c r="B20" i="35" s="1"/>
  <c r="W36" i="34"/>
  <c r="B17" i="35"/>
  <c r="B16" i="35"/>
  <c r="B14" i="35"/>
  <c r="B13" i="35"/>
  <c r="O36" i="34"/>
  <c r="N36" i="34"/>
  <c r="B11" i="35"/>
  <c r="B10" i="35"/>
  <c r="I36" i="34"/>
  <c r="H36" i="34"/>
  <c r="B8" i="35"/>
  <c r="B7" i="35"/>
  <c r="CJ32" i="34"/>
  <c r="CG32" i="34"/>
  <c r="BI32" i="34"/>
  <c r="BF32" i="34"/>
  <c r="AB32" i="34"/>
  <c r="Y32" i="34"/>
  <c r="V32" i="34"/>
  <c r="S32" i="34"/>
  <c r="P32" i="34"/>
  <c r="M32" i="34"/>
  <c r="J32" i="34"/>
  <c r="D32" i="34"/>
  <c r="CM31" i="34"/>
  <c r="CJ31" i="34"/>
  <c r="CG31" i="34"/>
  <c r="CD31" i="34"/>
  <c r="CA31" i="34"/>
  <c r="BX31" i="34"/>
  <c r="BI31" i="34"/>
  <c r="BF31" i="34"/>
  <c r="AQ31" i="34"/>
  <c r="AN31" i="34"/>
  <c r="AK31" i="34"/>
  <c r="AH31" i="34"/>
  <c r="AE31" i="34"/>
  <c r="AB31" i="34"/>
  <c r="Y31" i="34"/>
  <c r="V31" i="34"/>
  <c r="S31" i="34"/>
  <c r="M31" i="34"/>
  <c r="J31" i="34"/>
  <c r="D31" i="34"/>
  <c r="CM30" i="34"/>
  <c r="CJ30" i="34"/>
  <c r="CG30" i="34"/>
  <c r="CD30" i="34"/>
  <c r="CA30" i="34"/>
  <c r="BX30" i="34"/>
  <c r="BI30" i="34"/>
  <c r="BF30" i="34"/>
  <c r="BC30" i="34"/>
  <c r="AZ30" i="34"/>
  <c r="AW30" i="34"/>
  <c r="AT30" i="34"/>
  <c r="AQ30" i="34"/>
  <c r="AN30" i="34"/>
  <c r="AK30" i="34"/>
  <c r="AH30" i="34"/>
  <c r="AE30" i="34"/>
  <c r="AB30" i="34"/>
  <c r="Y30" i="34"/>
  <c r="V30" i="34"/>
  <c r="S30" i="34"/>
  <c r="M30" i="34"/>
  <c r="J30" i="34"/>
  <c r="D30" i="34"/>
  <c r="CM29" i="34"/>
  <c r="CJ29" i="34"/>
  <c r="CG29" i="34"/>
  <c r="CD29" i="34"/>
  <c r="CA29" i="34"/>
  <c r="BX29" i="34"/>
  <c r="BI29" i="34"/>
  <c r="BF29" i="34"/>
  <c r="BC29" i="34"/>
  <c r="AZ29" i="34"/>
  <c r="AW29" i="34"/>
  <c r="AT29" i="34"/>
  <c r="AB29" i="34"/>
  <c r="Y29" i="34"/>
  <c r="V29" i="34"/>
  <c r="S29" i="34"/>
  <c r="M29" i="34"/>
  <c r="J29" i="34"/>
  <c r="D29" i="34"/>
  <c r="CM28" i="34"/>
  <c r="CJ28" i="34"/>
  <c r="CG28" i="34"/>
  <c r="CD28" i="34"/>
  <c r="BI28" i="34"/>
  <c r="BF28" i="34"/>
  <c r="BC28" i="34"/>
  <c r="AZ28" i="34"/>
  <c r="AW28" i="34"/>
  <c r="AT28" i="34"/>
  <c r="AQ28" i="34"/>
  <c r="AN28" i="34"/>
  <c r="AK28" i="34"/>
  <c r="AH28" i="34"/>
  <c r="AE28" i="34"/>
  <c r="AB28" i="34"/>
  <c r="Y28" i="34"/>
  <c r="V28" i="34"/>
  <c r="S28" i="34"/>
  <c r="M28" i="34"/>
  <c r="J28" i="34"/>
  <c r="D28" i="34"/>
  <c r="CM27" i="34"/>
  <c r="CJ27" i="34"/>
  <c r="CD27" i="34"/>
  <c r="CA27" i="34"/>
  <c r="BX27" i="34"/>
  <c r="BI27" i="34"/>
  <c r="BF27" i="34"/>
  <c r="BC27" i="34"/>
  <c r="AZ27" i="34"/>
  <c r="AW27" i="34"/>
  <c r="AT27" i="34"/>
  <c r="AH27" i="34"/>
  <c r="S27" i="34"/>
  <c r="P27" i="34"/>
  <c r="M27" i="34"/>
  <c r="J27" i="34"/>
  <c r="D27" i="34"/>
  <c r="CM26" i="34"/>
  <c r="CJ26" i="34"/>
  <c r="CD26" i="34"/>
  <c r="BX26" i="34"/>
  <c r="BI26" i="34"/>
  <c r="BF26" i="34"/>
  <c r="BC26" i="34"/>
  <c r="AZ26" i="34"/>
  <c r="AW26" i="34"/>
  <c r="AT26" i="34"/>
  <c r="AQ26" i="34"/>
  <c r="AN26" i="34"/>
  <c r="S26" i="34"/>
  <c r="P26" i="34"/>
  <c r="M26" i="34"/>
  <c r="J26" i="34"/>
  <c r="D26" i="34"/>
  <c r="CM25" i="34"/>
  <c r="CJ25" i="34"/>
  <c r="CD25" i="34"/>
  <c r="BX25" i="34"/>
  <c r="BI25" i="34"/>
  <c r="BF25" i="34"/>
  <c r="AQ25" i="34"/>
  <c r="AE25" i="34"/>
  <c r="AB25" i="34"/>
  <c r="Y25" i="34"/>
  <c r="V25" i="34"/>
  <c r="S25" i="34"/>
  <c r="P25" i="34"/>
  <c r="M25" i="34"/>
  <c r="J25" i="34"/>
  <c r="G25" i="34"/>
  <c r="D25" i="34"/>
  <c r="CM24" i="34"/>
  <c r="CJ24" i="34"/>
  <c r="CG24" i="34"/>
  <c r="CD24" i="34"/>
  <c r="BX24" i="34"/>
  <c r="BI24" i="34"/>
  <c r="BF24" i="34"/>
  <c r="AQ24" i="34"/>
  <c r="AE24" i="34"/>
  <c r="AB24" i="34"/>
  <c r="Y24" i="34"/>
  <c r="V24" i="34"/>
  <c r="S24" i="34"/>
  <c r="P24" i="34"/>
  <c r="M24" i="34"/>
  <c r="J24" i="34"/>
  <c r="G24" i="34"/>
  <c r="D24" i="34"/>
  <c r="CM23" i="34"/>
  <c r="CJ23" i="34"/>
  <c r="CG23" i="34"/>
  <c r="CD23" i="34"/>
  <c r="CA23" i="34"/>
  <c r="BX23" i="34"/>
  <c r="BI23" i="34"/>
  <c r="BF23" i="34"/>
  <c r="BC23" i="34"/>
  <c r="AZ23" i="34"/>
  <c r="AW23" i="34"/>
  <c r="AT23" i="34"/>
  <c r="AB23" i="34"/>
  <c r="Y23" i="34"/>
  <c r="V23" i="34"/>
  <c r="S23" i="34"/>
  <c r="P23" i="34"/>
  <c r="M23" i="34"/>
  <c r="J23" i="34"/>
  <c r="G23" i="34"/>
  <c r="D23" i="34"/>
  <c r="CM22" i="34"/>
  <c r="CJ22" i="34"/>
  <c r="CD22" i="34"/>
  <c r="CA22" i="34"/>
  <c r="BX22" i="34"/>
  <c r="BI22" i="34"/>
  <c r="BF22" i="34"/>
  <c r="BC22" i="34"/>
  <c r="AZ22" i="34"/>
  <c r="AW22" i="34"/>
  <c r="AT22" i="34"/>
  <c r="AQ22" i="34"/>
  <c r="AN22" i="34"/>
  <c r="AK22" i="34"/>
  <c r="AH22" i="34"/>
  <c r="AE22" i="34"/>
  <c r="AB22" i="34"/>
  <c r="Y22" i="34"/>
  <c r="V22" i="34"/>
  <c r="S22" i="34"/>
  <c r="P22" i="34"/>
  <c r="M22" i="34"/>
  <c r="J22" i="34"/>
  <c r="G22" i="34"/>
  <c r="D22" i="34"/>
  <c r="CM21" i="34"/>
  <c r="CJ21" i="34"/>
  <c r="CD21" i="34"/>
  <c r="BX21" i="34"/>
  <c r="BI21" i="34"/>
  <c r="BF21" i="34"/>
  <c r="BC21" i="34"/>
  <c r="AZ21" i="34"/>
  <c r="AW21" i="34"/>
  <c r="AT21" i="34"/>
  <c r="AB21" i="34"/>
  <c r="Y21" i="34"/>
  <c r="V21" i="34"/>
  <c r="S21" i="34"/>
  <c r="P21" i="34"/>
  <c r="M21" i="34"/>
  <c r="J21" i="34"/>
  <c r="G21" i="34"/>
  <c r="D21" i="34"/>
  <c r="CM20" i="34"/>
  <c r="CJ20" i="34"/>
  <c r="CD20" i="34"/>
  <c r="CA20" i="34"/>
  <c r="BX20" i="34"/>
  <c r="BI20" i="34"/>
  <c r="BF20" i="34"/>
  <c r="BC20" i="34"/>
  <c r="AZ20" i="34"/>
  <c r="AW20" i="34"/>
  <c r="AT20" i="34"/>
  <c r="P20" i="34"/>
  <c r="M20" i="34"/>
  <c r="J20" i="34"/>
  <c r="G20" i="34"/>
  <c r="D20" i="34"/>
  <c r="CM19" i="34"/>
  <c r="CJ19" i="34"/>
  <c r="CD19" i="34"/>
  <c r="CA19" i="34"/>
  <c r="BX19" i="34"/>
  <c r="BI19" i="34"/>
  <c r="BF19" i="34"/>
  <c r="BC19" i="34"/>
  <c r="AZ19" i="34"/>
  <c r="AW19" i="34"/>
  <c r="AT19" i="34"/>
  <c r="AQ19" i="34"/>
  <c r="AN19" i="34"/>
  <c r="AK19" i="34"/>
  <c r="AH19" i="34"/>
  <c r="AE19" i="34"/>
  <c r="AB19" i="34"/>
  <c r="Y19" i="34"/>
  <c r="V19" i="34"/>
  <c r="S19" i="34"/>
  <c r="P19" i="34"/>
  <c r="M19" i="34"/>
  <c r="J19" i="34"/>
  <c r="G19" i="34"/>
  <c r="D19" i="34"/>
  <c r="CM18" i="34"/>
  <c r="CJ18" i="34"/>
  <c r="CD18" i="34"/>
  <c r="CA18" i="34"/>
  <c r="BX18" i="34"/>
  <c r="BI18" i="34"/>
  <c r="BF18" i="34"/>
  <c r="AZ18" i="34"/>
  <c r="AW18" i="34"/>
  <c r="AT18" i="34"/>
  <c r="AQ18" i="34"/>
  <c r="AN18" i="34"/>
  <c r="AK18" i="34"/>
  <c r="AH18" i="34"/>
  <c r="AE18" i="34"/>
  <c r="AB18" i="34"/>
  <c r="Y18" i="34"/>
  <c r="V18" i="34"/>
  <c r="S18" i="34"/>
  <c r="P18" i="34"/>
  <c r="M18" i="34"/>
  <c r="J18" i="34"/>
  <c r="G18" i="34"/>
  <c r="D18" i="34"/>
  <c r="CM17" i="34"/>
  <c r="CJ17" i="34"/>
  <c r="CD17" i="34"/>
  <c r="CA17" i="34"/>
  <c r="BX17" i="34"/>
  <c r="BI17" i="34"/>
  <c r="BF17" i="34"/>
  <c r="BC17" i="34"/>
  <c r="AZ17" i="34"/>
  <c r="AW17" i="34"/>
  <c r="AT17" i="34"/>
  <c r="AQ17" i="34"/>
  <c r="AN17" i="34"/>
  <c r="AK17" i="34"/>
  <c r="AH17" i="34"/>
  <c r="AE17" i="34"/>
  <c r="AB17" i="34"/>
  <c r="Y17" i="34"/>
  <c r="V17" i="34"/>
  <c r="S17" i="34"/>
  <c r="P17" i="34"/>
  <c r="M17" i="34"/>
  <c r="J17" i="34"/>
  <c r="G17" i="34"/>
  <c r="D17" i="34"/>
  <c r="CM16" i="34"/>
  <c r="CJ16" i="34"/>
  <c r="CD16" i="34"/>
  <c r="CA16" i="34"/>
  <c r="BX16" i="34"/>
  <c r="BI16" i="34"/>
  <c r="BF16" i="34"/>
  <c r="BC16" i="34"/>
  <c r="AZ16" i="34"/>
  <c r="AW16" i="34"/>
  <c r="AT16" i="34"/>
  <c r="AH16" i="34"/>
  <c r="AE16" i="34"/>
  <c r="AB16" i="34"/>
  <c r="Y16" i="34"/>
  <c r="V16" i="34"/>
  <c r="S16" i="34"/>
  <c r="P16" i="34"/>
  <c r="M16" i="34"/>
  <c r="J16" i="34"/>
  <c r="G16" i="34"/>
  <c r="D16" i="34"/>
  <c r="CM15" i="34"/>
  <c r="CJ15" i="34"/>
  <c r="CD15" i="34"/>
  <c r="CA15" i="34"/>
  <c r="BI15" i="34"/>
  <c r="BF15" i="34"/>
  <c r="BC15" i="34"/>
  <c r="AZ15" i="34"/>
  <c r="AW15" i="34"/>
  <c r="AT15" i="34"/>
  <c r="AH15" i="34"/>
  <c r="AE15" i="34"/>
  <c r="AB15" i="34"/>
  <c r="Y15" i="34"/>
  <c r="V15" i="34"/>
  <c r="S15" i="34"/>
  <c r="P15" i="34"/>
  <c r="M15" i="34"/>
  <c r="J15" i="34"/>
  <c r="G15" i="34"/>
  <c r="D15" i="34"/>
  <c r="CM14" i="34"/>
  <c r="CJ14" i="34"/>
  <c r="CD14" i="34"/>
  <c r="CA14" i="34"/>
  <c r="BX14" i="34"/>
  <c r="BI14" i="34"/>
  <c r="BF14" i="34"/>
  <c r="BC14" i="34"/>
  <c r="AZ14" i="34"/>
  <c r="AW14" i="34"/>
  <c r="AT14" i="34"/>
  <c r="AH14" i="34"/>
  <c r="AE14" i="34"/>
  <c r="AB14" i="34"/>
  <c r="Y14" i="34"/>
  <c r="V14" i="34"/>
  <c r="S14" i="34"/>
  <c r="P14" i="34"/>
  <c r="M14" i="34"/>
  <c r="J14" i="34"/>
  <c r="G14" i="34"/>
  <c r="D14" i="34"/>
  <c r="CM13" i="34"/>
  <c r="CJ13" i="34"/>
  <c r="CD13" i="34"/>
  <c r="CA13" i="34"/>
  <c r="BX13" i="34"/>
  <c r="BI13" i="34"/>
  <c r="BF13" i="34"/>
  <c r="M13" i="34"/>
  <c r="J13" i="34"/>
  <c r="D13" i="34"/>
  <c r="CM12" i="34"/>
  <c r="CJ12" i="34"/>
  <c r="BI12" i="34"/>
  <c r="BF12" i="34"/>
  <c r="AT12" i="34"/>
  <c r="AQ12" i="34"/>
  <c r="AB12" i="34"/>
  <c r="Y12" i="34"/>
  <c r="V12" i="34"/>
  <c r="S12" i="34"/>
  <c r="M12" i="34"/>
  <c r="J12" i="34"/>
  <c r="G12" i="34"/>
  <c r="D12" i="34"/>
  <c r="CM11" i="34"/>
  <c r="CJ11" i="34"/>
  <c r="CG11" i="34"/>
  <c r="BI11" i="34"/>
  <c r="BF11" i="34"/>
  <c r="BC11" i="34"/>
  <c r="AZ11" i="34"/>
  <c r="AW11" i="34"/>
  <c r="AT11" i="34"/>
  <c r="AQ11" i="34"/>
  <c r="AN11" i="34"/>
  <c r="AK11" i="34"/>
  <c r="AH11" i="34"/>
  <c r="AE11" i="34"/>
  <c r="AB11" i="34"/>
  <c r="Y11" i="34"/>
  <c r="V11" i="34"/>
  <c r="S11" i="34"/>
  <c r="P11" i="34"/>
  <c r="M11" i="34"/>
  <c r="J11" i="34"/>
  <c r="G11" i="34"/>
  <c r="D11" i="34"/>
  <c r="CM10" i="34"/>
  <c r="CJ10" i="34"/>
  <c r="CG10" i="34"/>
  <c r="CD10" i="34"/>
  <c r="CA10" i="34"/>
  <c r="BX10" i="34"/>
  <c r="BI10" i="34"/>
  <c r="BF10" i="34"/>
  <c r="BC10" i="34"/>
  <c r="AZ10" i="34"/>
  <c r="AW10" i="34"/>
  <c r="AT10" i="34"/>
  <c r="AQ10" i="34"/>
  <c r="AB10" i="34"/>
  <c r="Y10" i="34"/>
  <c r="V10" i="34"/>
  <c r="S10" i="34"/>
  <c r="P10" i="34"/>
  <c r="J10" i="34"/>
  <c r="G10" i="34"/>
  <c r="D10" i="34"/>
  <c r="CM9" i="34"/>
  <c r="CJ9" i="34"/>
  <c r="CD9" i="34"/>
  <c r="CA9" i="34"/>
  <c r="BX9" i="34"/>
  <c r="BL9" i="34"/>
  <c r="BI9" i="34"/>
  <c r="BF9" i="34"/>
  <c r="BC9" i="34"/>
  <c r="AZ9" i="34"/>
  <c r="AW9" i="34"/>
  <c r="AT9" i="34"/>
  <c r="AB9" i="34"/>
  <c r="Y9" i="34"/>
  <c r="V9" i="34"/>
  <c r="S9" i="34"/>
  <c r="P9" i="34"/>
  <c r="M9" i="34"/>
  <c r="J9" i="34"/>
  <c r="G9" i="34"/>
  <c r="D9" i="34"/>
  <c r="CM8" i="34"/>
  <c r="CJ8" i="34"/>
  <c r="BL8" i="34"/>
  <c r="BI8" i="34"/>
  <c r="BF8" i="34"/>
  <c r="BC8" i="34"/>
  <c r="AZ8" i="34"/>
  <c r="AW8" i="34"/>
  <c r="AT8" i="34"/>
  <c r="AB8" i="34"/>
  <c r="Y8" i="34"/>
  <c r="V8" i="34"/>
  <c r="S8" i="34"/>
  <c r="P8" i="34"/>
  <c r="M8" i="34"/>
  <c r="J8" i="34"/>
  <c r="G8" i="34"/>
  <c r="D8" i="34"/>
  <c r="CM7" i="34"/>
  <c r="CJ7" i="34"/>
  <c r="CG7" i="34"/>
  <c r="CD7" i="34"/>
  <c r="CA7" i="34"/>
  <c r="BX7" i="34"/>
  <c r="BL7" i="34"/>
  <c r="BI7" i="34"/>
  <c r="BF7" i="34"/>
  <c r="AQ7" i="34"/>
  <c r="AN7" i="34"/>
  <c r="AK7" i="34"/>
  <c r="AH7" i="34"/>
  <c r="AE7" i="34"/>
  <c r="Y7" i="34"/>
  <c r="V7" i="34"/>
  <c r="S7" i="34"/>
  <c r="P7" i="34"/>
  <c r="M7" i="34"/>
  <c r="J7" i="34"/>
  <c r="G7" i="34"/>
  <c r="D7" i="34"/>
  <c r="CM6" i="34"/>
  <c r="CJ6" i="34"/>
  <c r="CG6" i="34"/>
  <c r="CD6" i="34"/>
  <c r="CA6" i="34"/>
  <c r="BX6" i="34"/>
  <c r="BL6" i="34"/>
  <c r="BI6" i="34"/>
  <c r="BF6" i="34"/>
  <c r="P6" i="34"/>
  <c r="M6" i="34"/>
  <c r="J6" i="34"/>
  <c r="G6" i="34"/>
  <c r="D6" i="34"/>
  <c r="CO5" i="34"/>
  <c r="CM5" i="34"/>
  <c r="CJ5" i="34"/>
  <c r="CG5" i="34"/>
  <c r="CD5" i="34"/>
  <c r="CA5" i="34"/>
  <c r="BX5" i="34"/>
  <c r="BL5" i="34"/>
  <c r="BI5" i="34"/>
  <c r="BF5" i="34"/>
  <c r="P5" i="34"/>
  <c r="M5" i="34"/>
  <c r="J5" i="34"/>
  <c r="G5" i="34"/>
  <c r="D5" i="34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B42" i="32"/>
  <c r="B41" i="32"/>
  <c r="B40" i="32"/>
  <c r="B38" i="32"/>
  <c r="B37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H18" i="32"/>
  <c r="BQ8" i="32"/>
  <c r="V10" i="30"/>
  <c r="V11" i="30"/>
  <c r="CG19" i="30"/>
  <c r="CJ19" i="30"/>
  <c r="CM19" i="30"/>
  <c r="CG20" i="30"/>
  <c r="CJ20" i="30"/>
  <c r="CM20" i="30"/>
  <c r="CG21" i="30"/>
  <c r="CJ21" i="30"/>
  <c r="CM21" i="30"/>
  <c r="CG22" i="30"/>
  <c r="CJ22" i="30"/>
  <c r="CM22" i="30"/>
  <c r="CG23" i="30"/>
  <c r="CJ23" i="30"/>
  <c r="CM23" i="30"/>
  <c r="CG24" i="30"/>
  <c r="CJ24" i="30"/>
  <c r="CM24" i="30"/>
  <c r="CG25" i="30"/>
  <c r="CJ25" i="30"/>
  <c r="CM25" i="30"/>
  <c r="CG26" i="30"/>
  <c r="CJ26" i="30"/>
  <c r="CM26" i="30"/>
  <c r="CG27" i="30"/>
  <c r="CJ27" i="30"/>
  <c r="CM27" i="30"/>
  <c r="CG28" i="30"/>
  <c r="CJ28" i="30"/>
  <c r="CM28" i="30"/>
  <c r="CG18" i="30"/>
  <c r="CJ18" i="30"/>
  <c r="CM18" i="30"/>
  <c r="CD26" i="30"/>
  <c r="BX24" i="30"/>
  <c r="BX25" i="30"/>
  <c r="BX26" i="30"/>
  <c r="BX27" i="30"/>
  <c r="BX28" i="30"/>
  <c r="BX29" i="30"/>
  <c r="BX30" i="30"/>
  <c r="BX31" i="30"/>
  <c r="BX32" i="30"/>
  <c r="BX22" i="30"/>
  <c r="CA22" i="30"/>
  <c r="CA20" i="30"/>
  <c r="CD20" i="30"/>
  <c r="CA18" i="30"/>
  <c r="CD18" i="30"/>
  <c r="CA19" i="30"/>
  <c r="CD19" i="30"/>
  <c r="BI28" i="30"/>
  <c r="AT27" i="30"/>
  <c r="AW27" i="30"/>
  <c r="AZ27" i="30"/>
  <c r="BC27" i="30"/>
  <c r="BF27" i="30"/>
  <c r="BI27" i="30"/>
  <c r="AZ25" i="30"/>
  <c r="BC25" i="30"/>
  <c r="BF25" i="30"/>
  <c r="BI25" i="30"/>
  <c r="BC22" i="30"/>
  <c r="BF22" i="30"/>
  <c r="BI22" i="30"/>
  <c r="AZ21" i="30"/>
  <c r="BC21" i="30"/>
  <c r="BF21" i="30"/>
  <c r="BI21" i="30"/>
  <c r="AT19" i="30"/>
  <c r="AW19" i="30"/>
  <c r="AZ19" i="30"/>
  <c r="BC19" i="30"/>
  <c r="BF19" i="30"/>
  <c r="BI19" i="30"/>
  <c r="AT20" i="30"/>
  <c r="AW20" i="30"/>
  <c r="AZ20" i="30"/>
  <c r="BC20" i="30"/>
  <c r="BF20" i="30"/>
  <c r="BI20" i="30"/>
  <c r="S27" i="30"/>
  <c r="V27" i="30"/>
  <c r="Y27" i="30"/>
  <c r="AB27" i="30"/>
  <c r="AE27" i="30"/>
  <c r="AH27" i="30"/>
  <c r="AK27" i="30"/>
  <c r="AN27" i="30"/>
  <c r="AQ27" i="30"/>
  <c r="Y26" i="30"/>
  <c r="AB26" i="30"/>
  <c r="AE26" i="30"/>
  <c r="AH26" i="30"/>
  <c r="AK26" i="30"/>
  <c r="AN26" i="30"/>
  <c r="V26" i="30"/>
  <c r="AH20" i="30"/>
  <c r="AK20" i="30"/>
  <c r="AN20" i="30"/>
  <c r="S20" i="30"/>
  <c r="V20" i="30"/>
  <c r="Y20" i="30"/>
  <c r="AB20" i="30"/>
  <c r="S19" i="30"/>
  <c r="V19" i="30"/>
  <c r="Y19" i="30"/>
  <c r="AB19" i="30"/>
  <c r="AE19" i="30"/>
  <c r="AH19" i="30"/>
  <c r="AK19" i="30"/>
  <c r="AN19" i="30"/>
  <c r="M26" i="30"/>
  <c r="D20" i="30"/>
  <c r="P18" i="30"/>
  <c r="P19" i="30"/>
  <c r="P20" i="30"/>
  <c r="CJ17" i="30"/>
  <c r="CM17" i="30"/>
  <c r="CG11" i="30"/>
  <c r="CJ11" i="30"/>
  <c r="CM11" i="30"/>
  <c r="CG12" i="30"/>
  <c r="CJ12" i="30"/>
  <c r="CM12" i="30"/>
  <c r="CG13" i="30"/>
  <c r="CJ13" i="30"/>
  <c r="CM13" i="30"/>
  <c r="CG14" i="30"/>
  <c r="CJ14" i="30"/>
  <c r="CM14" i="30"/>
  <c r="CG15" i="30"/>
  <c r="CJ15" i="30"/>
  <c r="CM15" i="30"/>
  <c r="CG16" i="30"/>
  <c r="CJ16" i="30"/>
  <c r="CM16" i="30"/>
  <c r="CG10" i="30"/>
  <c r="CJ10" i="30"/>
  <c r="CM10" i="30"/>
  <c r="CD14" i="30"/>
  <c r="CD15" i="30"/>
  <c r="CA13" i="30"/>
  <c r="CA14" i="30"/>
  <c r="CA15" i="30"/>
  <c r="CA17" i="30"/>
  <c r="CD17" i="30"/>
  <c r="BX16" i="30"/>
  <c r="CA16" i="30"/>
  <c r="CD16" i="30"/>
  <c r="BX10" i="30"/>
  <c r="CA10" i="30"/>
  <c r="CD10" i="30"/>
  <c r="BX11" i="30"/>
  <c r="CA11" i="30"/>
  <c r="CD11" i="30"/>
  <c r="BX12" i="30"/>
  <c r="CA12" i="30"/>
  <c r="CD12" i="30"/>
  <c r="BU15" i="30"/>
  <c r="BU16" i="30"/>
  <c r="BU10" i="30"/>
  <c r="BU11" i="30"/>
  <c r="BO10" i="30"/>
  <c r="BR10" i="30"/>
  <c r="BO11" i="30"/>
  <c r="BR11" i="30"/>
  <c r="BO12" i="30"/>
  <c r="BR12" i="30"/>
  <c r="BO13" i="30"/>
  <c r="BR13" i="30"/>
  <c r="BO14" i="30"/>
  <c r="BR14" i="30"/>
  <c r="BO15" i="30"/>
  <c r="BR15" i="30"/>
  <c r="BO16" i="30"/>
  <c r="BR16" i="30"/>
  <c r="BO17" i="30"/>
  <c r="BR17" i="30"/>
  <c r="AZ17" i="30"/>
  <c r="BC17" i="30"/>
  <c r="BF17" i="30"/>
  <c r="BI17" i="30"/>
  <c r="AT11" i="30"/>
  <c r="AW11" i="30"/>
  <c r="AZ11" i="30"/>
  <c r="BC11" i="30"/>
  <c r="BF11" i="30"/>
  <c r="BI11" i="30"/>
  <c r="AT12" i="30"/>
  <c r="AW12" i="30"/>
  <c r="AZ12" i="30"/>
  <c r="BC12" i="30"/>
  <c r="BF12" i="30"/>
  <c r="BI12" i="30"/>
  <c r="AT13" i="30"/>
  <c r="AW13" i="30"/>
  <c r="AZ13" i="30"/>
  <c r="BC13" i="30"/>
  <c r="BF13" i="30"/>
  <c r="BI13" i="30"/>
  <c r="AT14" i="30"/>
  <c r="AW14" i="30"/>
  <c r="AZ14" i="30"/>
  <c r="BC14" i="30"/>
  <c r="BF14" i="30"/>
  <c r="BI14" i="30"/>
  <c r="AT15" i="30"/>
  <c r="AW15" i="30"/>
  <c r="AZ15" i="30"/>
  <c r="BC15" i="30"/>
  <c r="BF15" i="30"/>
  <c r="BI15" i="30"/>
  <c r="AT16" i="30"/>
  <c r="AW16" i="30"/>
  <c r="AZ16" i="30"/>
  <c r="BC16" i="30"/>
  <c r="BF16" i="30"/>
  <c r="BI16" i="30"/>
  <c r="AQ10" i="30"/>
  <c r="AT10" i="30"/>
  <c r="AW10" i="30"/>
  <c r="AZ10" i="30"/>
  <c r="BC10" i="30"/>
  <c r="BF10" i="30"/>
  <c r="BI10" i="30"/>
  <c r="AN13" i="30"/>
  <c r="AQ13" i="30"/>
  <c r="AN14" i="30"/>
  <c r="AQ14" i="30"/>
  <c r="AN15" i="30"/>
  <c r="AQ15" i="30"/>
  <c r="AN16" i="30"/>
  <c r="AQ16" i="30"/>
  <c r="AN17" i="30"/>
  <c r="AQ17" i="30"/>
  <c r="AN10" i="30"/>
  <c r="AN11" i="30"/>
  <c r="AK16" i="30"/>
  <c r="AK17" i="30"/>
  <c r="AK13" i="30"/>
  <c r="AK14" i="30"/>
  <c r="AK15" i="30"/>
  <c r="AK10" i="30"/>
  <c r="AK11" i="30"/>
  <c r="AH10" i="30"/>
  <c r="AH11" i="30"/>
  <c r="AH12" i="30"/>
  <c r="AH13" i="30"/>
  <c r="AH14" i="30"/>
  <c r="AH15" i="30"/>
  <c r="AE17" i="30"/>
  <c r="AE16" i="30"/>
  <c r="AE10" i="30"/>
  <c r="AE11" i="30"/>
  <c r="AE12" i="30"/>
  <c r="AE13" i="30"/>
  <c r="AE14" i="30"/>
  <c r="AE15" i="30"/>
  <c r="AB13" i="30"/>
  <c r="S13" i="30"/>
  <c r="V13" i="30"/>
  <c r="P13" i="30"/>
  <c r="P14" i="30"/>
  <c r="P15" i="30"/>
  <c r="P11" i="30"/>
  <c r="P12" i="30"/>
  <c r="CJ8" i="30"/>
  <c r="CM8" i="30"/>
  <c r="CG5" i="30"/>
  <c r="CJ5" i="30"/>
  <c r="CM5" i="30"/>
  <c r="CG6" i="30"/>
  <c r="CJ6" i="30"/>
  <c r="CM6" i="30"/>
  <c r="CG7" i="30"/>
  <c r="CJ7" i="30"/>
  <c r="CM7" i="30"/>
  <c r="BX7" i="30"/>
  <c r="CA7" i="30"/>
  <c r="CD7" i="30"/>
  <c r="BX8" i="30"/>
  <c r="CA8" i="30"/>
  <c r="CD8" i="30"/>
  <c r="BX9" i="30"/>
  <c r="CA9" i="30"/>
  <c r="CD9" i="30"/>
  <c r="BU7" i="30"/>
  <c r="BU8" i="30"/>
  <c r="BO7" i="30"/>
  <c r="BR7" i="30"/>
  <c r="BO8" i="30"/>
  <c r="BR8" i="30"/>
  <c r="BO9" i="30"/>
  <c r="BR9" i="30"/>
  <c r="BC7" i="30"/>
  <c r="BF7" i="30"/>
  <c r="BI7" i="30"/>
  <c r="BC8" i="30"/>
  <c r="BF8" i="30"/>
  <c r="BI8" i="30"/>
  <c r="BC9" i="30"/>
  <c r="BF9" i="30"/>
  <c r="BI9" i="30"/>
  <c r="AT7" i="30"/>
  <c r="AT8" i="30"/>
  <c r="S9" i="30"/>
  <c r="V9" i="30"/>
  <c r="Y9" i="30"/>
  <c r="AB9" i="30"/>
  <c r="AE9" i="30"/>
  <c r="AH9" i="30"/>
  <c r="AK9" i="30"/>
  <c r="AN9" i="30"/>
  <c r="AN7" i="30"/>
  <c r="AE7" i="30"/>
  <c r="AH7" i="30"/>
  <c r="P9" i="30"/>
  <c r="P7" i="30"/>
  <c r="P8" i="30"/>
  <c r="CJ35" i="28"/>
  <c r="CG33" i="28"/>
  <c r="CJ33" i="28"/>
  <c r="CG34" i="28"/>
  <c r="CJ34" i="28"/>
  <c r="CF36" i="28"/>
  <c r="CE36" i="28"/>
  <c r="CA6" i="30"/>
  <c r="CD6" i="30"/>
  <c r="CA33" i="28"/>
  <c r="CD33" i="28"/>
  <c r="CA34" i="28"/>
  <c r="CD34" i="28"/>
  <c r="CA35" i="28"/>
  <c r="CD35" i="28"/>
  <c r="BW36" i="28"/>
  <c r="BV36" i="28"/>
  <c r="BR5" i="30"/>
  <c r="BR6" i="30"/>
  <c r="BU33" i="28"/>
  <c r="BR33" i="28"/>
  <c r="BR34" i="28"/>
  <c r="BR35" i="28"/>
  <c r="BT36" i="28"/>
  <c r="BS36" i="28"/>
  <c r="BN36" i="28"/>
  <c r="BM36" i="28"/>
  <c r="BK36" i="28"/>
  <c r="BJ36" i="28"/>
  <c r="AQ5" i="30"/>
  <c r="AT5" i="30"/>
  <c r="AW5" i="30"/>
  <c r="AZ5" i="30"/>
  <c r="BC5" i="30"/>
  <c r="BF5" i="30"/>
  <c r="AQ6" i="30"/>
  <c r="AT6" i="30"/>
  <c r="AW6" i="30"/>
  <c r="AZ6" i="30"/>
  <c r="BC6" i="30"/>
  <c r="BF6" i="30"/>
  <c r="BC35" i="28"/>
  <c r="BF35" i="28"/>
  <c r="BI35" i="28"/>
  <c r="AZ34" i="28"/>
  <c r="BC34" i="28"/>
  <c r="BF34" i="28"/>
  <c r="BI34" i="28"/>
  <c r="AY36" i="28"/>
  <c r="AX36" i="28"/>
  <c r="AS36" i="28"/>
  <c r="AR36" i="28"/>
  <c r="AQ33" i="28"/>
  <c r="AT33" i="28"/>
  <c r="AW33" i="28"/>
  <c r="AZ33" i="28"/>
  <c r="BC33" i="28"/>
  <c r="BF33" i="28"/>
  <c r="BI33" i="28"/>
  <c r="P5" i="30"/>
  <c r="S5" i="30"/>
  <c r="V5" i="30"/>
  <c r="Y5" i="30"/>
  <c r="AB5" i="30"/>
  <c r="AE5" i="30"/>
  <c r="AH5" i="30"/>
  <c r="AK5" i="30"/>
  <c r="AN5" i="30"/>
  <c r="P6" i="30"/>
  <c r="S6" i="30"/>
  <c r="V6" i="30"/>
  <c r="Y6" i="30"/>
  <c r="AB6" i="30"/>
  <c r="AE6" i="30"/>
  <c r="AH6" i="30"/>
  <c r="AK6" i="30"/>
  <c r="AN6" i="30"/>
  <c r="AN36" i="28"/>
  <c r="AK36" i="28"/>
  <c r="AM36" i="28"/>
  <c r="AJ36" i="28"/>
  <c r="AL36" i="28"/>
  <c r="AI36" i="28"/>
  <c r="AG36" i="28"/>
  <c r="AF36" i="28"/>
  <c r="AD36" i="28"/>
  <c r="AC36" i="28"/>
  <c r="AA36" i="28"/>
  <c r="Z36" i="28"/>
  <c r="U36" i="28"/>
  <c r="T36" i="28"/>
  <c r="R36" i="28"/>
  <c r="Q36" i="28"/>
  <c r="AE34" i="28"/>
  <c r="AE33" i="28"/>
  <c r="AH33" i="28"/>
  <c r="AK33" i="28"/>
  <c r="AN33" i="28"/>
  <c r="V33" i="28"/>
  <c r="BU12" i="30"/>
  <c r="BU13" i="30"/>
  <c r="BU14" i="30"/>
  <c r="BU17" i="30"/>
  <c r="BU18" i="30"/>
  <c r="BU19" i="30"/>
  <c r="BU20" i="30"/>
  <c r="BU21" i="30"/>
  <c r="BU22" i="30"/>
  <c r="BU23" i="30"/>
  <c r="BU24" i="30"/>
  <c r="BU25" i="30"/>
  <c r="BU26" i="30"/>
  <c r="BU27" i="30"/>
  <c r="BU28" i="30"/>
  <c r="BU29" i="30"/>
  <c r="BU30" i="30"/>
  <c r="BU31" i="30"/>
  <c r="BU32" i="30"/>
  <c r="CL33" i="30"/>
  <c r="CM33" i="30" s="1"/>
  <c r="CK33" i="30"/>
  <c r="CI33" i="30"/>
  <c r="CJ33" i="30" s="1"/>
  <c r="CH33" i="30"/>
  <c r="CF33" i="30"/>
  <c r="CE33" i="30"/>
  <c r="CC33" i="30"/>
  <c r="CB33" i="30"/>
  <c r="BZ33" i="30"/>
  <c r="CA33" i="30" s="1"/>
  <c r="BY33" i="30"/>
  <c r="BW33" i="30"/>
  <c r="BV33" i="30"/>
  <c r="BT33" i="30"/>
  <c r="BS33" i="30"/>
  <c r="BQ33" i="30"/>
  <c r="BP33" i="30"/>
  <c r="BN33" i="30"/>
  <c r="BM33" i="30"/>
  <c r="BK33" i="30"/>
  <c r="BJ33" i="30"/>
  <c r="BH33" i="30"/>
  <c r="BG33" i="30"/>
  <c r="BE33" i="30"/>
  <c r="BD33" i="30"/>
  <c r="BB33" i="30"/>
  <c r="BA33" i="30"/>
  <c r="AY33" i="30"/>
  <c r="AX33" i="30"/>
  <c r="AV33" i="30"/>
  <c r="AU33" i="30"/>
  <c r="AS33" i="30"/>
  <c r="AR33" i="30"/>
  <c r="AG33" i="30"/>
  <c r="AF33" i="30"/>
  <c r="AD33" i="30"/>
  <c r="AC33" i="30"/>
  <c r="AA33" i="30"/>
  <c r="Z33" i="30"/>
  <c r="X33" i="30"/>
  <c r="W33" i="30"/>
  <c r="U33" i="30"/>
  <c r="T33" i="30"/>
  <c r="R33" i="30"/>
  <c r="Q33" i="30"/>
  <c r="O33" i="30"/>
  <c r="N33" i="30"/>
  <c r="L33" i="30"/>
  <c r="K33" i="30"/>
  <c r="I33" i="30"/>
  <c r="H33" i="30"/>
  <c r="F33" i="30"/>
  <c r="E33" i="30"/>
  <c r="C33" i="30"/>
  <c r="B33" i="30"/>
  <c r="CO32" i="30"/>
  <c r="CN32" i="30"/>
  <c r="CM32" i="30"/>
  <c r="CJ32" i="30"/>
  <c r="CG32" i="30"/>
  <c r="CD32" i="30"/>
  <c r="CA32" i="30"/>
  <c r="BL32" i="30"/>
  <c r="BI32" i="30"/>
  <c r="BF32" i="30"/>
  <c r="BC32" i="30"/>
  <c r="AZ32" i="30"/>
  <c r="AW32" i="30"/>
  <c r="AT32" i="30"/>
  <c r="AQ32" i="30"/>
  <c r="AN32" i="30"/>
  <c r="AK32" i="30"/>
  <c r="AH32" i="30"/>
  <c r="AE32" i="30"/>
  <c r="AB32" i="30"/>
  <c r="Y32" i="30"/>
  <c r="V32" i="30"/>
  <c r="S32" i="30"/>
  <c r="P32" i="30"/>
  <c r="M32" i="30"/>
  <c r="J32" i="30"/>
  <c r="D32" i="30"/>
  <c r="CO31" i="30"/>
  <c r="CN31" i="30"/>
  <c r="CM31" i="30"/>
  <c r="CJ31" i="30"/>
  <c r="CG31" i="30"/>
  <c r="CD31" i="30"/>
  <c r="CA31" i="30"/>
  <c r="BL31" i="30"/>
  <c r="BI31" i="30"/>
  <c r="BF31" i="30"/>
  <c r="BC31" i="30"/>
  <c r="AZ31" i="30"/>
  <c r="AW31" i="30"/>
  <c r="AT31" i="30"/>
  <c r="AQ31" i="30"/>
  <c r="AN31" i="30"/>
  <c r="AK31" i="30"/>
  <c r="AH31" i="30"/>
  <c r="AE31" i="30"/>
  <c r="AB31" i="30"/>
  <c r="Y31" i="30"/>
  <c r="V31" i="30"/>
  <c r="S31" i="30"/>
  <c r="P31" i="30"/>
  <c r="M31" i="30"/>
  <c r="J31" i="30"/>
  <c r="D31" i="30"/>
  <c r="CO30" i="30"/>
  <c r="CN30" i="30"/>
  <c r="CM30" i="30"/>
  <c r="CJ30" i="30"/>
  <c r="CG30" i="30"/>
  <c r="CD30" i="30"/>
  <c r="CA30" i="30"/>
  <c r="BL30" i="30"/>
  <c r="BI30" i="30"/>
  <c r="BF30" i="30"/>
  <c r="BC30" i="30"/>
  <c r="AZ30" i="30"/>
  <c r="AW30" i="30"/>
  <c r="AT30" i="30"/>
  <c r="AQ30" i="30"/>
  <c r="AN30" i="30"/>
  <c r="AK30" i="30"/>
  <c r="AH30" i="30"/>
  <c r="AE30" i="30"/>
  <c r="AB30" i="30"/>
  <c r="Y30" i="30"/>
  <c r="V30" i="30"/>
  <c r="S30" i="30"/>
  <c r="P30" i="30"/>
  <c r="M30" i="30"/>
  <c r="J30" i="30"/>
  <c r="D30" i="30"/>
  <c r="CO29" i="30"/>
  <c r="CN29" i="30"/>
  <c r="CM29" i="30"/>
  <c r="CJ29" i="30"/>
  <c r="CG29" i="30"/>
  <c r="CD29" i="30"/>
  <c r="CA29" i="30"/>
  <c r="BL29" i="30"/>
  <c r="BI29" i="30"/>
  <c r="BF29" i="30"/>
  <c r="BC29" i="30"/>
  <c r="AZ29" i="30"/>
  <c r="AW29" i="30"/>
  <c r="AT29" i="30"/>
  <c r="AQ29" i="30"/>
  <c r="AN29" i="30"/>
  <c r="AK29" i="30"/>
  <c r="AH29" i="30"/>
  <c r="AE29" i="30"/>
  <c r="AB29" i="30"/>
  <c r="Y29" i="30"/>
  <c r="V29" i="30"/>
  <c r="S29" i="30"/>
  <c r="P29" i="30"/>
  <c r="M29" i="30"/>
  <c r="J29" i="30"/>
  <c r="D29" i="30"/>
  <c r="CO28" i="30"/>
  <c r="CN28" i="30"/>
  <c r="CD28" i="30"/>
  <c r="CA28" i="30"/>
  <c r="BL28" i="30"/>
  <c r="BF28" i="30"/>
  <c r="BC28" i="30"/>
  <c r="AZ28" i="30"/>
  <c r="AW28" i="30"/>
  <c r="AT28" i="30"/>
  <c r="AQ28" i="30"/>
  <c r="AN28" i="30"/>
  <c r="AK28" i="30"/>
  <c r="AH28" i="30"/>
  <c r="AE28" i="30"/>
  <c r="AB28" i="30"/>
  <c r="Y28" i="30"/>
  <c r="V28" i="30"/>
  <c r="S28" i="30"/>
  <c r="P28" i="30"/>
  <c r="M28" i="30"/>
  <c r="J28" i="30"/>
  <c r="D28" i="30"/>
  <c r="CO27" i="30"/>
  <c r="CN27" i="30"/>
  <c r="CD27" i="30"/>
  <c r="CA27" i="30"/>
  <c r="BL27" i="30"/>
  <c r="P27" i="30"/>
  <c r="M27" i="30"/>
  <c r="J27" i="30"/>
  <c r="D27" i="30"/>
  <c r="CO26" i="30"/>
  <c r="CN26" i="30"/>
  <c r="BL26" i="30"/>
  <c r="BI26" i="30"/>
  <c r="BF26" i="30"/>
  <c r="BC26" i="30"/>
  <c r="AZ26" i="30"/>
  <c r="AW26" i="30"/>
  <c r="AT26" i="30"/>
  <c r="AQ26" i="30"/>
  <c r="S26" i="30"/>
  <c r="P26" i="30"/>
  <c r="J26" i="30"/>
  <c r="D26" i="30"/>
  <c r="CO25" i="30"/>
  <c r="CN25" i="30"/>
  <c r="CD25" i="30"/>
  <c r="BL25" i="30"/>
  <c r="AW25" i="30"/>
  <c r="AT25" i="30"/>
  <c r="AQ25" i="30"/>
  <c r="AN25" i="30"/>
  <c r="AK25" i="30"/>
  <c r="AH25" i="30"/>
  <c r="AE25" i="30"/>
  <c r="AB25" i="30"/>
  <c r="Y25" i="30"/>
  <c r="V25" i="30"/>
  <c r="S25" i="30"/>
  <c r="P25" i="30"/>
  <c r="M25" i="30"/>
  <c r="J25" i="30"/>
  <c r="G25" i="30"/>
  <c r="D25" i="30"/>
  <c r="CO24" i="30"/>
  <c r="CN24" i="30"/>
  <c r="CD24" i="30"/>
  <c r="BL24" i="30"/>
  <c r="BI24" i="30"/>
  <c r="BF24" i="30"/>
  <c r="BC24" i="30"/>
  <c r="AZ24" i="30"/>
  <c r="AW24" i="30"/>
  <c r="AT24" i="30"/>
  <c r="AQ24" i="30"/>
  <c r="AN24" i="30"/>
  <c r="AK24" i="30"/>
  <c r="AH24" i="30"/>
  <c r="AE24" i="30"/>
  <c r="AB24" i="30"/>
  <c r="Y24" i="30"/>
  <c r="V24" i="30"/>
  <c r="S24" i="30"/>
  <c r="P24" i="30"/>
  <c r="M24" i="30"/>
  <c r="J24" i="30"/>
  <c r="G24" i="30"/>
  <c r="D24" i="30"/>
  <c r="CO23" i="30"/>
  <c r="CN23" i="30"/>
  <c r="CD23" i="30"/>
  <c r="CA23" i="30"/>
  <c r="BX23" i="30"/>
  <c r="BL23" i="30"/>
  <c r="BI23" i="30"/>
  <c r="BF23" i="30"/>
  <c r="BC23" i="30"/>
  <c r="AZ23" i="30"/>
  <c r="AW23" i="30"/>
  <c r="AT23" i="30"/>
  <c r="AQ23" i="30"/>
  <c r="AN23" i="30"/>
  <c r="AK23" i="30"/>
  <c r="AH23" i="30"/>
  <c r="AE23" i="30"/>
  <c r="AB23" i="30"/>
  <c r="Y23" i="30"/>
  <c r="V23" i="30"/>
  <c r="S23" i="30"/>
  <c r="P23" i="30"/>
  <c r="M23" i="30"/>
  <c r="J23" i="30"/>
  <c r="G23" i="30"/>
  <c r="D23" i="30"/>
  <c r="CO22" i="30"/>
  <c r="CN22" i="30"/>
  <c r="CD22" i="30"/>
  <c r="BL22" i="30"/>
  <c r="AZ22" i="30"/>
  <c r="AW22" i="30"/>
  <c r="AT22" i="30"/>
  <c r="AQ22" i="30"/>
  <c r="AN22" i="30"/>
  <c r="AK22" i="30"/>
  <c r="AH22" i="30"/>
  <c r="AE22" i="30"/>
  <c r="AB22" i="30"/>
  <c r="Y22" i="30"/>
  <c r="V22" i="30"/>
  <c r="S22" i="30"/>
  <c r="P22" i="30"/>
  <c r="M22" i="30"/>
  <c r="J22" i="30"/>
  <c r="G22" i="30"/>
  <c r="D22" i="30"/>
  <c r="CO21" i="30"/>
  <c r="CN21" i="30"/>
  <c r="CD21" i="30"/>
  <c r="CA21" i="30"/>
  <c r="BX21" i="30"/>
  <c r="BL21" i="30"/>
  <c r="AW21" i="30"/>
  <c r="AT21" i="30"/>
  <c r="AQ21" i="30"/>
  <c r="AN21" i="30"/>
  <c r="AK21" i="30"/>
  <c r="AH21" i="30"/>
  <c r="AE21" i="30"/>
  <c r="AB21" i="30"/>
  <c r="Y21" i="30"/>
  <c r="V21" i="30"/>
  <c r="S21" i="30"/>
  <c r="P21" i="30"/>
  <c r="M21" i="30"/>
  <c r="J21" i="30"/>
  <c r="G21" i="30"/>
  <c r="D21" i="30"/>
  <c r="CO20" i="30"/>
  <c r="CN20" i="30"/>
  <c r="BX20" i="30"/>
  <c r="BL20" i="30"/>
  <c r="AQ20" i="30"/>
  <c r="AE20" i="30"/>
  <c r="M20" i="30"/>
  <c r="J20" i="30"/>
  <c r="G20" i="30"/>
  <c r="CO19" i="30"/>
  <c r="CN19" i="30"/>
  <c r="BX19" i="30"/>
  <c r="BL19" i="30"/>
  <c r="AQ19" i="30"/>
  <c r="M19" i="30"/>
  <c r="J19" i="30"/>
  <c r="G19" i="30"/>
  <c r="D19" i="30"/>
  <c r="CO18" i="30"/>
  <c r="CN18" i="30"/>
  <c r="BX18" i="30"/>
  <c r="BL18" i="30"/>
  <c r="BI18" i="30"/>
  <c r="BF18" i="30"/>
  <c r="AZ18" i="30"/>
  <c r="AW18" i="30"/>
  <c r="AT18" i="30"/>
  <c r="AQ18" i="30"/>
  <c r="AN18" i="30"/>
  <c r="AK18" i="30"/>
  <c r="AH18" i="30"/>
  <c r="AE18" i="30"/>
  <c r="AB18" i="30"/>
  <c r="Y18" i="30"/>
  <c r="V18" i="30"/>
  <c r="S18" i="30"/>
  <c r="M18" i="30"/>
  <c r="J18" i="30"/>
  <c r="G18" i="30"/>
  <c r="D18" i="30"/>
  <c r="CO17" i="30"/>
  <c r="CN17" i="30"/>
  <c r="CG17" i="30"/>
  <c r="BX17" i="30"/>
  <c r="AW17" i="30"/>
  <c r="AT17" i="30"/>
  <c r="AH17" i="30"/>
  <c r="AB17" i="30"/>
  <c r="Y17" i="30"/>
  <c r="V17" i="30"/>
  <c r="S17" i="30"/>
  <c r="P17" i="30"/>
  <c r="M17" i="30"/>
  <c r="J17" i="30"/>
  <c r="G17" i="30"/>
  <c r="D17" i="30"/>
  <c r="CO16" i="30"/>
  <c r="CN16" i="30"/>
  <c r="AH16" i="30"/>
  <c r="AB16" i="30"/>
  <c r="Y16" i="30"/>
  <c r="V16" i="30"/>
  <c r="S16" i="30"/>
  <c r="P16" i="30"/>
  <c r="M16" i="30"/>
  <c r="J16" i="30"/>
  <c r="G16" i="30"/>
  <c r="D16" i="30"/>
  <c r="CO15" i="30"/>
  <c r="CN15" i="30"/>
  <c r="AB15" i="30"/>
  <c r="Y15" i="30"/>
  <c r="V15" i="30"/>
  <c r="S15" i="30"/>
  <c r="M15" i="30"/>
  <c r="J15" i="30"/>
  <c r="G15" i="30"/>
  <c r="D15" i="30"/>
  <c r="CO14" i="30"/>
  <c r="CN14" i="30"/>
  <c r="BX14" i="30"/>
  <c r="AB14" i="30"/>
  <c r="Y14" i="30"/>
  <c r="V14" i="30"/>
  <c r="S14" i="30"/>
  <c r="M14" i="30"/>
  <c r="J14" i="30"/>
  <c r="G14" i="30"/>
  <c r="D14" i="30"/>
  <c r="CO13" i="30"/>
  <c r="CN13" i="30"/>
  <c r="CD13" i="30"/>
  <c r="BX13" i="30"/>
  <c r="Y13" i="30"/>
  <c r="M13" i="30"/>
  <c r="J13" i="30"/>
  <c r="G13" i="30"/>
  <c r="D13" i="30"/>
  <c r="CO12" i="30"/>
  <c r="CN12" i="30"/>
  <c r="AQ12" i="30"/>
  <c r="AN12" i="30"/>
  <c r="AK12" i="30"/>
  <c r="AB12" i="30"/>
  <c r="Y12" i="30"/>
  <c r="V12" i="30"/>
  <c r="S12" i="30"/>
  <c r="M12" i="30"/>
  <c r="J12" i="30"/>
  <c r="G12" i="30"/>
  <c r="D12" i="30"/>
  <c r="CO11" i="30"/>
  <c r="CN11" i="30"/>
  <c r="BL11" i="30"/>
  <c r="AQ11" i="30"/>
  <c r="AB11" i="30"/>
  <c r="Y11" i="30"/>
  <c r="S11" i="30"/>
  <c r="M11" i="30"/>
  <c r="J11" i="30"/>
  <c r="G11" i="30"/>
  <c r="D11" i="30"/>
  <c r="CO10" i="30"/>
  <c r="CN10" i="30"/>
  <c r="BL10" i="30"/>
  <c r="AB10" i="30"/>
  <c r="Y10" i="30"/>
  <c r="S10" i="30"/>
  <c r="P10" i="30"/>
  <c r="M10" i="30"/>
  <c r="J10" i="30"/>
  <c r="G10" i="30"/>
  <c r="D10" i="30"/>
  <c r="CO9" i="30"/>
  <c r="CN9" i="30"/>
  <c r="CM9" i="30"/>
  <c r="CJ9" i="30"/>
  <c r="CG9" i="30"/>
  <c r="BU9" i="30"/>
  <c r="BL9" i="30"/>
  <c r="AZ9" i="30"/>
  <c r="AW9" i="30"/>
  <c r="AT9" i="30"/>
  <c r="AQ9" i="30"/>
  <c r="M9" i="30"/>
  <c r="J9" i="30"/>
  <c r="G9" i="30"/>
  <c r="D9" i="30"/>
  <c r="CO8" i="30"/>
  <c r="CN8" i="30"/>
  <c r="CG8" i="30"/>
  <c r="BL8" i="30"/>
  <c r="AZ8" i="30"/>
  <c r="AW8" i="30"/>
  <c r="AQ8" i="30"/>
  <c r="AN8" i="30"/>
  <c r="AK8" i="30"/>
  <c r="AH8" i="30"/>
  <c r="AE8" i="30"/>
  <c r="AB8" i="30"/>
  <c r="Y8" i="30"/>
  <c r="V8" i="30"/>
  <c r="S8" i="30"/>
  <c r="M8" i="30"/>
  <c r="J8" i="30"/>
  <c r="G8" i="30"/>
  <c r="D8" i="30"/>
  <c r="CO7" i="30"/>
  <c r="CN7" i="30"/>
  <c r="BL7" i="30"/>
  <c r="AZ7" i="30"/>
  <c r="AW7" i="30"/>
  <c r="AQ7" i="30"/>
  <c r="AK7" i="30"/>
  <c r="AB7" i="30"/>
  <c r="Y7" i="30"/>
  <c r="V7" i="30"/>
  <c r="S7" i="30"/>
  <c r="M7" i="30"/>
  <c r="J7" i="30"/>
  <c r="G7" i="30"/>
  <c r="D7" i="30"/>
  <c r="CO6" i="30"/>
  <c r="CN6" i="30"/>
  <c r="BX6" i="30"/>
  <c r="BU6" i="30"/>
  <c r="BO6" i="30"/>
  <c r="BL6" i="30"/>
  <c r="BI6" i="30"/>
  <c r="M6" i="30"/>
  <c r="J6" i="30"/>
  <c r="G6" i="30"/>
  <c r="D6" i="30"/>
  <c r="CO5" i="30"/>
  <c r="CN5" i="30"/>
  <c r="CD5" i="30"/>
  <c r="CA5" i="30"/>
  <c r="BX5" i="30"/>
  <c r="BU5" i="30"/>
  <c r="BO5" i="30"/>
  <c r="BL5" i="30"/>
  <c r="BI5" i="30"/>
  <c r="M5" i="30"/>
  <c r="J5" i="30"/>
  <c r="G5" i="30"/>
  <c r="D5" i="30"/>
  <c r="O36" i="28"/>
  <c r="N36" i="28"/>
  <c r="L36" i="28"/>
  <c r="K36" i="28"/>
  <c r="C36" i="28"/>
  <c r="B36" i="28"/>
  <c r="F36" i="28"/>
  <c r="E36" i="28"/>
  <c r="P32" i="28"/>
  <c r="BX32" i="28"/>
  <c r="CA32" i="28"/>
  <c r="CD32" i="28"/>
  <c r="BO32" i="28"/>
  <c r="BR32" i="28"/>
  <c r="BU32" i="28"/>
  <c r="AE32" i="28"/>
  <c r="AH32" i="28"/>
  <c r="AK32" i="28"/>
  <c r="AN32" i="28"/>
  <c r="V32" i="28"/>
  <c r="BX31" i="28"/>
  <c r="CA31" i="28"/>
  <c r="CD31" i="28"/>
  <c r="AT31" i="28"/>
  <c r="AW31" i="28"/>
  <c r="AZ31" i="28"/>
  <c r="BC31" i="28"/>
  <c r="BF31" i="28"/>
  <c r="BI31" i="28"/>
  <c r="AE31" i="28"/>
  <c r="AH31" i="28"/>
  <c r="AK31" i="28"/>
  <c r="AN31" i="28"/>
  <c r="V31" i="28"/>
  <c r="CG27" i="28"/>
  <c r="CJ27" i="28"/>
  <c r="CM27" i="28"/>
  <c r="CG28" i="28"/>
  <c r="CJ28" i="28"/>
  <c r="CM28" i="28"/>
  <c r="CG29" i="28"/>
  <c r="CJ29" i="28"/>
  <c r="CM29" i="28"/>
  <c r="CG30" i="28"/>
  <c r="CJ30" i="28"/>
  <c r="CM30" i="28"/>
  <c r="BX30" i="28"/>
  <c r="CA30" i="28"/>
  <c r="CD30" i="28"/>
  <c r="CA28" i="28"/>
  <c r="CD28" i="28"/>
  <c r="BX29" i="28"/>
  <c r="CA29" i="28"/>
  <c r="CD29" i="28"/>
  <c r="BX27" i="28"/>
  <c r="CA27" i="28"/>
  <c r="CD27" i="28"/>
  <c r="BR30" i="28"/>
  <c r="BR27" i="28"/>
  <c r="BU27" i="28"/>
  <c r="BR28" i="28"/>
  <c r="BU28" i="28"/>
  <c r="BR29" i="28"/>
  <c r="BU29" i="28"/>
  <c r="BO27" i="28"/>
  <c r="BO28" i="28"/>
  <c r="BO29" i="28"/>
  <c r="AZ29" i="28"/>
  <c r="BC29" i="28"/>
  <c r="BF29" i="28"/>
  <c r="BI29" i="28"/>
  <c r="AQ30" i="28"/>
  <c r="AT30" i="28"/>
  <c r="AW30" i="28"/>
  <c r="AZ30" i="28"/>
  <c r="BC30" i="28"/>
  <c r="BF30" i="28"/>
  <c r="BI30" i="28"/>
  <c r="BC28" i="28"/>
  <c r="BF28" i="28"/>
  <c r="BI28" i="28"/>
  <c r="AQ28" i="28"/>
  <c r="AT28" i="28"/>
  <c r="AZ27" i="28"/>
  <c r="BC27" i="28"/>
  <c r="BF27" i="28"/>
  <c r="BI27" i="28"/>
  <c r="S30" i="28"/>
  <c r="V30" i="28"/>
  <c r="Y30" i="28"/>
  <c r="AB30" i="28"/>
  <c r="AE30" i="28"/>
  <c r="AH30" i="28"/>
  <c r="AK30" i="28"/>
  <c r="AN30" i="28"/>
  <c r="Y29" i="28"/>
  <c r="AB29" i="28"/>
  <c r="AE29" i="28"/>
  <c r="AH29" i="28"/>
  <c r="AK29" i="28"/>
  <c r="V29" i="28"/>
  <c r="AK28" i="28"/>
  <c r="AN28" i="28"/>
  <c r="Y27" i="28"/>
  <c r="AB27" i="28"/>
  <c r="AE27" i="28"/>
  <c r="AH27" i="28"/>
  <c r="AK27" i="28"/>
  <c r="AN27" i="28"/>
  <c r="AQ27" i="28"/>
  <c r="V27" i="28"/>
  <c r="P27" i="28"/>
  <c r="CG25" i="28"/>
  <c r="CJ25" i="28"/>
  <c r="CM25" i="28"/>
  <c r="BU26" i="28"/>
  <c r="BO25" i="28"/>
  <c r="BR25" i="28"/>
  <c r="BO26" i="28"/>
  <c r="BR26" i="28"/>
  <c r="AE26" i="28"/>
  <c r="V26" i="28"/>
  <c r="AK25" i="28"/>
  <c r="V25" i="28"/>
  <c r="Y25" i="28"/>
  <c r="AB25" i="28"/>
  <c r="AE25" i="28"/>
  <c r="AH25" i="28"/>
  <c r="P25" i="28"/>
  <c r="G25" i="28"/>
  <c r="M25" i="28"/>
  <c r="M26" i="28"/>
  <c r="M27" i="28"/>
  <c r="M28" i="28"/>
  <c r="M29" i="28"/>
  <c r="M30" i="28"/>
  <c r="M31" i="28"/>
  <c r="M32" i="28"/>
  <c r="M33" i="28"/>
  <c r="M34" i="28"/>
  <c r="M35" i="28"/>
  <c r="D25" i="28"/>
  <c r="D26" i="28"/>
  <c r="D27" i="28"/>
  <c r="D28" i="28"/>
  <c r="D29" i="28"/>
  <c r="D30" i="28"/>
  <c r="D31" i="28"/>
  <c r="D32" i="28"/>
  <c r="D33" i="28"/>
  <c r="D34" i="28"/>
  <c r="D35" i="28"/>
  <c r="CG24" i="28"/>
  <c r="CJ24" i="28"/>
  <c r="CM24" i="28"/>
  <c r="BC24" i="28"/>
  <c r="BF24" i="28"/>
  <c r="BI24" i="28"/>
  <c r="AQ24" i="28"/>
  <c r="AT24" i="28"/>
  <c r="AE24" i="28"/>
  <c r="AH24" i="28"/>
  <c r="V24" i="28"/>
  <c r="Y24" i="28"/>
  <c r="AB24" i="28"/>
  <c r="CO21" i="28"/>
  <c r="CO22" i="28"/>
  <c r="CO23" i="28"/>
  <c r="CN21" i="28"/>
  <c r="CN22" i="28"/>
  <c r="CN23" i="28"/>
  <c r="CG23" i="28"/>
  <c r="CJ23" i="28"/>
  <c r="CM23" i="28"/>
  <c r="CJ20" i="28"/>
  <c r="CM20" i="28"/>
  <c r="CG21" i="28"/>
  <c r="CJ21" i="28"/>
  <c r="CM21" i="28"/>
  <c r="CG22" i="28"/>
  <c r="CJ22" i="28"/>
  <c r="CM22" i="28"/>
  <c r="CD20" i="28"/>
  <c r="CD21" i="28"/>
  <c r="CD22" i="28"/>
  <c r="CA23" i="28"/>
  <c r="BX20" i="28"/>
  <c r="CA20" i="28"/>
  <c r="BX21" i="28"/>
  <c r="CA21" i="28"/>
  <c r="BX22" i="28"/>
  <c r="CA22" i="28"/>
  <c r="BC20" i="28"/>
  <c r="BF20" i="28"/>
  <c r="BI20" i="28"/>
  <c r="AZ21" i="28"/>
  <c r="BC21" i="28"/>
  <c r="BF21" i="28"/>
  <c r="BI21" i="28"/>
  <c r="AZ22" i="28"/>
  <c r="BC22" i="28"/>
  <c r="BF22" i="28"/>
  <c r="BI22" i="28"/>
  <c r="AW21" i="28"/>
  <c r="AQ23" i="28"/>
  <c r="AT23" i="28"/>
  <c r="AW23" i="28"/>
  <c r="AZ23" i="28"/>
  <c r="BC23" i="28"/>
  <c r="BF23" i="28"/>
  <c r="BI23" i="28"/>
  <c r="AK22" i="28"/>
  <c r="AN22" i="28"/>
  <c r="AK23" i="28"/>
  <c r="AN23" i="28"/>
  <c r="V22" i="28"/>
  <c r="Y22" i="28"/>
  <c r="AB22" i="28"/>
  <c r="V23" i="28"/>
  <c r="Y23" i="28"/>
  <c r="AB23" i="28"/>
  <c r="S19" i="28"/>
  <c r="V19" i="28"/>
  <c r="Y19" i="28"/>
  <c r="AB19" i="28"/>
  <c r="AE19" i="28"/>
  <c r="AH19" i="28"/>
  <c r="AK19" i="28"/>
  <c r="AN19" i="28"/>
  <c r="V21" i="28"/>
  <c r="Y21" i="28"/>
  <c r="AB21" i="28"/>
  <c r="AN16" i="28"/>
  <c r="AN17" i="28"/>
  <c r="AN18" i="28"/>
  <c r="G22" i="28"/>
  <c r="J22" i="28"/>
  <c r="M22" i="28"/>
  <c r="P22" i="28"/>
  <c r="CG19" i="28"/>
  <c r="CJ19" i="28"/>
  <c r="CM19" i="28"/>
  <c r="CG18" i="28"/>
  <c r="CJ18" i="28"/>
  <c r="CM18" i="28"/>
  <c r="CA18" i="28"/>
  <c r="CA19" i="28"/>
  <c r="AT17" i="28"/>
  <c r="AW17" i="28"/>
  <c r="BC17" i="28"/>
  <c r="BF17" i="28"/>
  <c r="BI17" i="28"/>
  <c r="AH18" i="28"/>
  <c r="AK18" i="28"/>
  <c r="AH17" i="28"/>
  <c r="AK17" i="28"/>
  <c r="AH16" i="28"/>
  <c r="AK16" i="28"/>
  <c r="V16" i="28"/>
  <c r="Y16" i="28"/>
  <c r="AB16" i="28"/>
  <c r="Y15" i="28"/>
  <c r="AB15" i="28"/>
  <c r="AE15" i="28"/>
  <c r="AH15" i="28"/>
  <c r="AK15" i="28"/>
  <c r="AN15" i="28"/>
  <c r="P18" i="28"/>
  <c r="P19" i="28"/>
  <c r="CG10" i="28"/>
  <c r="CJ10" i="28"/>
  <c r="CM10" i="28"/>
  <c r="CG11" i="28"/>
  <c r="CJ11" i="28"/>
  <c r="CM11" i="28"/>
  <c r="CG12" i="28"/>
  <c r="CJ12" i="28"/>
  <c r="CM12" i="28"/>
  <c r="CG13" i="28"/>
  <c r="CJ13" i="28"/>
  <c r="CM13" i="28"/>
  <c r="CG14" i="28"/>
  <c r="CJ14" i="28"/>
  <c r="CM14" i="28"/>
  <c r="CG5" i="28"/>
  <c r="CJ5" i="28"/>
  <c r="CM5" i="28"/>
  <c r="CG6" i="28"/>
  <c r="CJ6" i="28"/>
  <c r="CM6" i="28"/>
  <c r="CG7" i="28"/>
  <c r="CJ7" i="28"/>
  <c r="CM7" i="28"/>
  <c r="CG8" i="28"/>
  <c r="CJ8" i="28"/>
  <c r="CM8" i="28"/>
  <c r="CG9" i="28"/>
  <c r="CJ9" i="28"/>
  <c r="CM9" i="28"/>
  <c r="BX12" i="28"/>
  <c r="BX13" i="28"/>
  <c r="BX14" i="28"/>
  <c r="CD12" i="28"/>
  <c r="CD13" i="28"/>
  <c r="CD14" i="28"/>
  <c r="BX5" i="28"/>
  <c r="CA5" i="28"/>
  <c r="CD5" i="28"/>
  <c r="BX6" i="28"/>
  <c r="CA6" i="28"/>
  <c r="CD6" i="28"/>
  <c r="BX7" i="28"/>
  <c r="CA7" i="28"/>
  <c r="CD7" i="28"/>
  <c r="BX8" i="28"/>
  <c r="CA8" i="28"/>
  <c r="CD8" i="28"/>
  <c r="BX9" i="28"/>
  <c r="CA9" i="28"/>
  <c r="CD9" i="28"/>
  <c r="BL5" i="28"/>
  <c r="BO5" i="28"/>
  <c r="BR5" i="28"/>
  <c r="BU5" i="28"/>
  <c r="BL6" i="28"/>
  <c r="BO6" i="28"/>
  <c r="BR6" i="28"/>
  <c r="BU6" i="28"/>
  <c r="BL7" i="28"/>
  <c r="BO7" i="28"/>
  <c r="BR7" i="28"/>
  <c r="BU7" i="28"/>
  <c r="BL8" i="28"/>
  <c r="BO8" i="28"/>
  <c r="BR8" i="28"/>
  <c r="BU8" i="28"/>
  <c r="BL9" i="28"/>
  <c r="BO9" i="28"/>
  <c r="BR9" i="28"/>
  <c r="BU9" i="28"/>
  <c r="BI10" i="28"/>
  <c r="BI11" i="28"/>
  <c r="BI12" i="28"/>
  <c r="BI13" i="28"/>
  <c r="BC10" i="28"/>
  <c r="BC11" i="28"/>
  <c r="BC12" i="28"/>
  <c r="BC13" i="28"/>
  <c r="AW11" i="28"/>
  <c r="AZ11" i="28"/>
  <c r="AW12" i="28"/>
  <c r="AZ12" i="28"/>
  <c r="AT10" i="28"/>
  <c r="AT11" i="28"/>
  <c r="AT12" i="28"/>
  <c r="AQ5" i="28"/>
  <c r="AT5" i="28"/>
  <c r="AW5" i="28"/>
  <c r="AZ5" i="28"/>
  <c r="BC5" i="28"/>
  <c r="BF5" i="28"/>
  <c r="BI5" i="28"/>
  <c r="AQ6" i="28"/>
  <c r="AT6" i="28"/>
  <c r="AW6" i="28"/>
  <c r="AZ6" i="28"/>
  <c r="BC6" i="28"/>
  <c r="BF6" i="28"/>
  <c r="BI6" i="28"/>
  <c r="AQ7" i="28"/>
  <c r="AT7" i="28"/>
  <c r="AW7" i="28"/>
  <c r="AZ7" i="28"/>
  <c r="BC7" i="28"/>
  <c r="BF7" i="28"/>
  <c r="BI7" i="28"/>
  <c r="AQ8" i="28"/>
  <c r="AT8" i="28"/>
  <c r="AW8" i="28"/>
  <c r="AZ8" i="28"/>
  <c r="BC8" i="28"/>
  <c r="BF8" i="28"/>
  <c r="BI8" i="28"/>
  <c r="AQ9" i="28"/>
  <c r="AT9" i="28"/>
  <c r="AW9" i="28"/>
  <c r="AZ9" i="28"/>
  <c r="BC9" i="28"/>
  <c r="BF9" i="28"/>
  <c r="BI9" i="28"/>
  <c r="AH13" i="28"/>
  <c r="AK13" i="28"/>
  <c r="AN13" i="28"/>
  <c r="AE13" i="28"/>
  <c r="V13" i="28"/>
  <c r="V11" i="28"/>
  <c r="Y11" i="28"/>
  <c r="AB11" i="28"/>
  <c r="AE11" i="28"/>
  <c r="AH11" i="28"/>
  <c r="AK11" i="28"/>
  <c r="AN11" i="28"/>
  <c r="V10" i="28"/>
  <c r="Y10" i="28"/>
  <c r="AB10" i="28"/>
  <c r="AE10" i="28"/>
  <c r="AH10" i="28"/>
  <c r="AK10" i="28"/>
  <c r="AN10" i="28"/>
  <c r="V7" i="28"/>
  <c r="V8" i="28"/>
  <c r="V9" i="28"/>
  <c r="AB6" i="28"/>
  <c r="AE6" i="28"/>
  <c r="AH6" i="28"/>
  <c r="AK6" i="28"/>
  <c r="AN6" i="28"/>
  <c r="AB7" i="28"/>
  <c r="AE7" i="28"/>
  <c r="AH7" i="28"/>
  <c r="AK7" i="28"/>
  <c r="AN7" i="28"/>
  <c r="AB8" i="28"/>
  <c r="AE8" i="28"/>
  <c r="AH8" i="28"/>
  <c r="AK8" i="28"/>
  <c r="AN8" i="28"/>
  <c r="AB9" i="28"/>
  <c r="AE9" i="28"/>
  <c r="AH9" i="28"/>
  <c r="AK9" i="28"/>
  <c r="AN9" i="28"/>
  <c r="V5" i="28"/>
  <c r="Y5" i="28"/>
  <c r="AB5" i="28"/>
  <c r="AE5" i="28"/>
  <c r="AH5" i="28"/>
  <c r="AK5" i="28"/>
  <c r="AN5" i="28"/>
  <c r="S5" i="28"/>
  <c r="S6" i="28"/>
  <c r="S7" i="28"/>
  <c r="S8" i="28"/>
  <c r="S9" i="28"/>
  <c r="G5" i="28"/>
  <c r="J5" i="28"/>
  <c r="M5" i="28"/>
  <c r="P5" i="28"/>
  <c r="G6" i="28"/>
  <c r="J6" i="28"/>
  <c r="M6" i="28"/>
  <c r="P6" i="28"/>
  <c r="G7" i="28"/>
  <c r="J7" i="28"/>
  <c r="M7" i="28"/>
  <c r="P7" i="28"/>
  <c r="G8" i="28"/>
  <c r="J8" i="28"/>
  <c r="M8" i="28"/>
  <c r="P8" i="28"/>
  <c r="G9" i="28"/>
  <c r="J9" i="28"/>
  <c r="M9" i="28"/>
  <c r="P9" i="28"/>
  <c r="B39" i="29"/>
  <c r="B38" i="29"/>
  <c r="B37" i="29"/>
  <c r="B36" i="29"/>
  <c r="B35" i="29"/>
  <c r="B34" i="29"/>
  <c r="B21" i="29"/>
  <c r="BQ8" i="29"/>
  <c r="J35" i="28"/>
  <c r="P35" i="28"/>
  <c r="S35" i="28"/>
  <c r="V35" i="28"/>
  <c r="Y35" i="28"/>
  <c r="AB35" i="28"/>
  <c r="AE35" i="28"/>
  <c r="AH35" i="28"/>
  <c r="AK35" i="28"/>
  <c r="AN35" i="28"/>
  <c r="AQ35" i="28"/>
  <c r="AT35" i="28"/>
  <c r="AW35" i="28"/>
  <c r="AZ35" i="28"/>
  <c r="BL35" i="28"/>
  <c r="BO35" i="28"/>
  <c r="BU35" i="28"/>
  <c r="BX35" i="28"/>
  <c r="CG35" i="28"/>
  <c r="CM35" i="28"/>
  <c r="CN35" i="28"/>
  <c r="CO35" i="28"/>
  <c r="CL36" i="28"/>
  <c r="CK36" i="28"/>
  <c r="CI36" i="28"/>
  <c r="CJ36" i="28" s="1"/>
  <c r="CH36" i="28"/>
  <c r="H17" i="29"/>
  <c r="H16" i="29"/>
  <c r="CC36" i="28"/>
  <c r="CB36" i="28"/>
  <c r="BZ36" i="28"/>
  <c r="CA36" i="28" s="1"/>
  <c r="BY36" i="28"/>
  <c r="H14" i="29"/>
  <c r="H13" i="29"/>
  <c r="H10" i="29"/>
  <c r="BQ36" i="28"/>
  <c r="H9" i="29" s="1"/>
  <c r="BP36" i="28"/>
  <c r="H7" i="29" s="1"/>
  <c r="H5" i="29"/>
  <c r="H4" i="29"/>
  <c r="E16" i="29"/>
  <c r="BH36" i="28"/>
  <c r="E14" i="29" s="1"/>
  <c r="BG36" i="28"/>
  <c r="BE36" i="28"/>
  <c r="E11" i="29" s="1"/>
  <c r="BD36" i="28"/>
  <c r="E10" i="29" s="1"/>
  <c r="BB36" i="28"/>
  <c r="E8" i="29" s="1"/>
  <c r="BA36" i="28"/>
  <c r="E5" i="29"/>
  <c r="AV36" i="28"/>
  <c r="AU36" i="28"/>
  <c r="B41" i="29"/>
  <c r="B32" i="29"/>
  <c r="B31" i="29"/>
  <c r="B29" i="29"/>
  <c r="B28" i="29"/>
  <c r="B23" i="29"/>
  <c r="B22" i="29"/>
  <c r="X36" i="28"/>
  <c r="B20" i="29" s="1"/>
  <c r="W36" i="28"/>
  <c r="B16" i="29"/>
  <c r="B14" i="29"/>
  <c r="B11" i="29"/>
  <c r="B10" i="29"/>
  <c r="I36" i="28"/>
  <c r="H36" i="28"/>
  <c r="B8" i="29"/>
  <c r="B5" i="29"/>
  <c r="CO34" i="28"/>
  <c r="CN34" i="28"/>
  <c r="CM34" i="28"/>
  <c r="BX34" i="28"/>
  <c r="BU34" i="28"/>
  <c r="BO34" i="28"/>
  <c r="BL34" i="28"/>
  <c r="AW34" i="28"/>
  <c r="AT34" i="28"/>
  <c r="AQ34" i="28"/>
  <c r="AN34" i="28"/>
  <c r="AK34" i="28"/>
  <c r="AH34" i="28"/>
  <c r="AB34" i="28"/>
  <c r="Y34" i="28"/>
  <c r="V34" i="28"/>
  <c r="S34" i="28"/>
  <c r="P34" i="28"/>
  <c r="J34" i="28"/>
  <c r="CO33" i="28"/>
  <c r="CN33" i="28"/>
  <c r="CM33" i="28"/>
  <c r="BX33" i="28"/>
  <c r="BO33" i="28"/>
  <c r="BL33" i="28"/>
  <c r="AB33" i="28"/>
  <c r="Y33" i="28"/>
  <c r="S33" i="28"/>
  <c r="P33" i="28"/>
  <c r="J33" i="28"/>
  <c r="CO32" i="28"/>
  <c r="CN32" i="28"/>
  <c r="CM32" i="28"/>
  <c r="CJ32" i="28"/>
  <c r="CG32" i="28"/>
  <c r="BL32" i="28"/>
  <c r="BI32" i="28"/>
  <c r="BF32" i="28"/>
  <c r="BC32" i="28"/>
  <c r="AZ32" i="28"/>
  <c r="AW32" i="28"/>
  <c r="AT32" i="28"/>
  <c r="AQ32" i="28"/>
  <c r="AB32" i="28"/>
  <c r="Y32" i="28"/>
  <c r="S32" i="28"/>
  <c r="J32" i="28"/>
  <c r="CO31" i="28"/>
  <c r="CN31" i="28"/>
  <c r="CM31" i="28"/>
  <c r="CJ31" i="28"/>
  <c r="CG31" i="28"/>
  <c r="BU31" i="28"/>
  <c r="BR31" i="28"/>
  <c r="BO31" i="28"/>
  <c r="BL31" i="28"/>
  <c r="AQ31" i="28"/>
  <c r="AB31" i="28"/>
  <c r="Y31" i="28"/>
  <c r="S31" i="28"/>
  <c r="P31" i="28"/>
  <c r="J31" i="28"/>
  <c r="CO30" i="28"/>
  <c r="CN30" i="28"/>
  <c r="BU30" i="28"/>
  <c r="BO30" i="28"/>
  <c r="BL30" i="28"/>
  <c r="P30" i="28"/>
  <c r="J30" i="28"/>
  <c r="CO29" i="28"/>
  <c r="CN29" i="28"/>
  <c r="BL29" i="28"/>
  <c r="AW29" i="28"/>
  <c r="AT29" i="28"/>
  <c r="AQ29" i="28"/>
  <c r="AN29" i="28"/>
  <c r="S29" i="28"/>
  <c r="P29" i="28"/>
  <c r="J29" i="28"/>
  <c r="CO28" i="28"/>
  <c r="CN28" i="28"/>
  <c r="BX28" i="28"/>
  <c r="BL28" i="28"/>
  <c r="AZ28" i="28"/>
  <c r="AW28" i="28"/>
  <c r="AH28" i="28"/>
  <c r="AE28" i="28"/>
  <c r="AB28" i="28"/>
  <c r="Y28" i="28"/>
  <c r="V28" i="28"/>
  <c r="S28" i="28"/>
  <c r="P28" i="28"/>
  <c r="J28" i="28"/>
  <c r="CO27" i="28"/>
  <c r="CN27" i="28"/>
  <c r="BL27" i="28"/>
  <c r="AW27" i="28"/>
  <c r="AT27" i="28"/>
  <c r="S27" i="28"/>
  <c r="J27" i="28"/>
  <c r="CO26" i="28"/>
  <c r="CN26" i="28"/>
  <c r="CM26" i="28"/>
  <c r="CJ26" i="28"/>
  <c r="CG26" i="28"/>
  <c r="CD26" i="28"/>
  <c r="BX26" i="28"/>
  <c r="BL26" i="28"/>
  <c r="BI26" i="28"/>
  <c r="BF26" i="28"/>
  <c r="BC26" i="28"/>
  <c r="AZ26" i="28"/>
  <c r="AW26" i="28"/>
  <c r="AT26" i="28"/>
  <c r="AQ26" i="28"/>
  <c r="AN26" i="28"/>
  <c r="AK26" i="28"/>
  <c r="AH26" i="28"/>
  <c r="AB26" i="28"/>
  <c r="Y26" i="28"/>
  <c r="S26" i="28"/>
  <c r="P26" i="28"/>
  <c r="J26" i="28"/>
  <c r="CO25" i="28"/>
  <c r="CN25" i="28"/>
  <c r="CD25" i="28"/>
  <c r="BX25" i="28"/>
  <c r="BU25" i="28"/>
  <c r="BL25" i="28"/>
  <c r="BI25" i="28"/>
  <c r="BF25" i="28"/>
  <c r="BC25" i="28"/>
  <c r="AZ25" i="28"/>
  <c r="AW25" i="28"/>
  <c r="AT25" i="28"/>
  <c r="AQ25" i="28"/>
  <c r="AN25" i="28"/>
  <c r="S25" i="28"/>
  <c r="J25" i="28"/>
  <c r="CO24" i="28"/>
  <c r="CN24" i="28"/>
  <c r="CD24" i="28"/>
  <c r="BX24" i="28"/>
  <c r="BU24" i="28"/>
  <c r="BR24" i="28"/>
  <c r="BO24" i="28"/>
  <c r="BL24" i="28"/>
  <c r="AZ24" i="28"/>
  <c r="AW24" i="28"/>
  <c r="AN24" i="28"/>
  <c r="AK24" i="28"/>
  <c r="S24" i="28"/>
  <c r="P24" i="28"/>
  <c r="M24" i="28"/>
  <c r="J24" i="28"/>
  <c r="G24" i="28"/>
  <c r="D24" i="28"/>
  <c r="CD23" i="28"/>
  <c r="BX23" i="28"/>
  <c r="BU23" i="28"/>
  <c r="BR23" i="28"/>
  <c r="BO23" i="28"/>
  <c r="BL23" i="28"/>
  <c r="AH23" i="28"/>
  <c r="AE23" i="28"/>
  <c r="S23" i="28"/>
  <c r="P23" i="28"/>
  <c r="M23" i="28"/>
  <c r="J23" i="28"/>
  <c r="G23" i="28"/>
  <c r="D23" i="28"/>
  <c r="BU22" i="28"/>
  <c r="BR22" i="28"/>
  <c r="BO22" i="28"/>
  <c r="BL22" i="28"/>
  <c r="AW22" i="28"/>
  <c r="AT22" i="28"/>
  <c r="AQ22" i="28"/>
  <c r="AH22" i="28"/>
  <c r="AE22" i="28"/>
  <c r="S22" i="28"/>
  <c r="D22" i="28"/>
  <c r="BU21" i="28"/>
  <c r="BR21" i="28"/>
  <c r="BO21" i="28"/>
  <c r="BL21" i="28"/>
  <c r="AT21" i="28"/>
  <c r="AQ21" i="28"/>
  <c r="P21" i="28"/>
  <c r="M21" i="28"/>
  <c r="J21" i="28"/>
  <c r="G21" i="28"/>
  <c r="D21" i="28"/>
  <c r="CO20" i="28"/>
  <c r="CN20" i="28"/>
  <c r="CG20" i="28"/>
  <c r="BU20" i="28"/>
  <c r="BR20" i="28"/>
  <c r="BO20" i="28"/>
  <c r="BL20" i="28"/>
  <c r="AZ20" i="28"/>
  <c r="AW20" i="28"/>
  <c r="AT20" i="28"/>
  <c r="AQ20" i="28"/>
  <c r="AN21" i="28"/>
  <c r="AK21" i="28"/>
  <c r="AH21" i="28"/>
  <c r="AE21" i="28"/>
  <c r="S21" i="28"/>
  <c r="P20" i="28"/>
  <c r="M20" i="28"/>
  <c r="J20" i="28"/>
  <c r="G20" i="28"/>
  <c r="D20" i="28"/>
  <c r="CO19" i="28"/>
  <c r="CN19" i="28"/>
  <c r="CD19" i="28"/>
  <c r="BX19" i="28"/>
  <c r="BU19" i="28"/>
  <c r="BR19" i="28"/>
  <c r="BO19" i="28"/>
  <c r="BL19" i="28"/>
  <c r="BI19" i="28"/>
  <c r="BF19" i="28"/>
  <c r="BC19" i="28"/>
  <c r="AZ19" i="28"/>
  <c r="AW19" i="28"/>
  <c r="AT19" i="28"/>
  <c r="AQ19" i="28"/>
  <c r="AN20" i="28"/>
  <c r="AK20" i="28"/>
  <c r="AH20" i="28"/>
  <c r="AE20" i="28"/>
  <c r="AB20" i="28"/>
  <c r="Y20" i="28"/>
  <c r="V20" i="28"/>
  <c r="S20" i="28"/>
  <c r="M19" i="28"/>
  <c r="J19" i="28"/>
  <c r="G19" i="28"/>
  <c r="D19" i="28"/>
  <c r="CO18" i="28"/>
  <c r="CN18" i="28"/>
  <c r="CD18" i="28"/>
  <c r="BX18" i="28"/>
  <c r="BL18" i="28"/>
  <c r="BI18" i="28"/>
  <c r="BF18" i="28"/>
  <c r="AZ18" i="28"/>
  <c r="AW18" i="28"/>
  <c r="AT18" i="28"/>
  <c r="AQ18" i="28"/>
  <c r="AE18" i="28"/>
  <c r="AB18" i="28"/>
  <c r="Y18" i="28"/>
  <c r="V18" i="28"/>
  <c r="S18" i="28"/>
  <c r="M18" i="28"/>
  <c r="J18" i="28"/>
  <c r="G18" i="28"/>
  <c r="D18" i="28"/>
  <c r="CO17" i="28"/>
  <c r="CN17" i="28"/>
  <c r="CM17" i="28"/>
  <c r="CJ17" i="28"/>
  <c r="CG17" i="28"/>
  <c r="CD17" i="28"/>
  <c r="CA17" i="28"/>
  <c r="BX17" i="28"/>
  <c r="BL17" i="28"/>
  <c r="AQ17" i="28"/>
  <c r="AE17" i="28"/>
  <c r="AB17" i="28"/>
  <c r="Y17" i="28"/>
  <c r="V17" i="28"/>
  <c r="S17" i="28"/>
  <c r="P17" i="28"/>
  <c r="M17" i="28"/>
  <c r="J17" i="28"/>
  <c r="G17" i="28"/>
  <c r="D17" i="28"/>
  <c r="CO16" i="28"/>
  <c r="CN16" i="28"/>
  <c r="CM16" i="28"/>
  <c r="CJ16" i="28"/>
  <c r="CG16" i="28"/>
  <c r="CD16" i="28"/>
  <c r="CA16" i="28"/>
  <c r="BX16" i="28"/>
  <c r="BL16" i="28"/>
  <c r="BI16" i="28"/>
  <c r="BF16" i="28"/>
  <c r="BC16" i="28"/>
  <c r="AW16" i="28"/>
  <c r="AT16" i="28"/>
  <c r="AQ16" i="28"/>
  <c r="AE16" i="28"/>
  <c r="S16" i="28"/>
  <c r="P16" i="28"/>
  <c r="M16" i="28"/>
  <c r="J16" i="28"/>
  <c r="G16" i="28"/>
  <c r="D16" i="28"/>
  <c r="CO15" i="28"/>
  <c r="CN15" i="28"/>
  <c r="CM15" i="28"/>
  <c r="CJ15" i="28"/>
  <c r="CG15" i="28"/>
  <c r="CD15" i="28"/>
  <c r="CA15" i="28"/>
  <c r="BI15" i="28"/>
  <c r="BF15" i="28"/>
  <c r="BC15" i="28"/>
  <c r="AZ15" i="28"/>
  <c r="AW15" i="28"/>
  <c r="AT15" i="28"/>
  <c r="AQ15" i="28"/>
  <c r="V15" i="28"/>
  <c r="S15" i="28"/>
  <c r="P15" i="28"/>
  <c r="M15" i="28"/>
  <c r="J15" i="28"/>
  <c r="G15" i="28"/>
  <c r="D15" i="28"/>
  <c r="CO14" i="28"/>
  <c r="CN14" i="28"/>
  <c r="BI14" i="28"/>
  <c r="BF14" i="28"/>
  <c r="BC14" i="28"/>
  <c r="AZ14" i="28"/>
  <c r="AW14" i="28"/>
  <c r="AT14" i="28"/>
  <c r="AQ14" i="28"/>
  <c r="AN14" i="28"/>
  <c r="AK14" i="28"/>
  <c r="AH14" i="28"/>
  <c r="AE14" i="28"/>
  <c r="AB14" i="28"/>
  <c r="Y14" i="28"/>
  <c r="V14" i="28"/>
  <c r="S14" i="28"/>
  <c r="P14" i="28"/>
  <c r="M14" i="28"/>
  <c r="J14" i="28"/>
  <c r="G14" i="28"/>
  <c r="D14" i="28"/>
  <c r="CO13" i="28"/>
  <c r="CN13" i="28"/>
  <c r="BL13" i="28"/>
  <c r="BF13" i="28"/>
  <c r="AZ13" i="28"/>
  <c r="AW13" i="28"/>
  <c r="AT13" i="28"/>
  <c r="AQ13" i="28"/>
  <c r="AB13" i="28"/>
  <c r="Y13" i="28"/>
  <c r="S13" i="28"/>
  <c r="P13" i="28"/>
  <c r="M13" i="28"/>
  <c r="J13" i="28"/>
  <c r="G13" i="28"/>
  <c r="D13" i="28"/>
  <c r="CO12" i="28"/>
  <c r="CN12" i="28"/>
  <c r="BL12" i="28"/>
  <c r="BF12" i="28"/>
  <c r="AQ12" i="28"/>
  <c r="AN12" i="28"/>
  <c r="AK12" i="28"/>
  <c r="AH12" i="28"/>
  <c r="AE12" i="28"/>
  <c r="AB12" i="28"/>
  <c r="Y12" i="28"/>
  <c r="V12" i="28"/>
  <c r="S12" i="28"/>
  <c r="P12" i="28"/>
  <c r="M12" i="28"/>
  <c r="J12" i="28"/>
  <c r="G12" i="28"/>
  <c r="D12" i="28"/>
  <c r="CO11" i="28"/>
  <c r="CN11" i="28"/>
  <c r="CD11" i="28"/>
  <c r="BX11" i="28"/>
  <c r="BL11" i="28"/>
  <c r="BF11" i="28"/>
  <c r="AQ11" i="28"/>
  <c r="S11" i="28"/>
  <c r="P11" i="28"/>
  <c r="M11" i="28"/>
  <c r="J11" i="28"/>
  <c r="G11" i="28"/>
  <c r="D11" i="28"/>
  <c r="CO10" i="28"/>
  <c r="CN10" i="28"/>
  <c r="CD10" i="28"/>
  <c r="CA10" i="28"/>
  <c r="BX10" i="28"/>
  <c r="BL10" i="28"/>
  <c r="BF10" i="28"/>
  <c r="AZ10" i="28"/>
  <c r="AW10" i="28"/>
  <c r="AQ10" i="28"/>
  <c r="S10" i="28"/>
  <c r="P10" i="28"/>
  <c r="M10" i="28"/>
  <c r="J10" i="28"/>
  <c r="G10" i="28"/>
  <c r="D10" i="28"/>
  <c r="CO9" i="28"/>
  <c r="CN9" i="28"/>
  <c r="Y9" i="28"/>
  <c r="D9" i="28"/>
  <c r="CO8" i="28"/>
  <c r="CN8" i="28"/>
  <c r="Y8" i="28"/>
  <c r="D8" i="28"/>
  <c r="CO7" i="28"/>
  <c r="CN7" i="28"/>
  <c r="Y7" i="28"/>
  <c r="D7" i="28"/>
  <c r="CO6" i="28"/>
  <c r="CN6" i="28"/>
  <c r="Y6" i="28"/>
  <c r="V6" i="28"/>
  <c r="D6" i="28"/>
  <c r="CO5" i="28"/>
  <c r="CN5" i="28"/>
  <c r="D5" i="28"/>
  <c r="CN26" i="26"/>
  <c r="CN27" i="26"/>
  <c r="CN28" i="26"/>
  <c r="CN29" i="26"/>
  <c r="CN30" i="26"/>
  <c r="CN31" i="26"/>
  <c r="CN32" i="26"/>
  <c r="CN33" i="26"/>
  <c r="CN34" i="26"/>
  <c r="BX26" i="26"/>
  <c r="CA26" i="26"/>
  <c r="CD26" i="26"/>
  <c r="CG26" i="26"/>
  <c r="CJ26" i="26"/>
  <c r="CM26" i="26"/>
  <c r="BX27" i="26"/>
  <c r="CA27" i="26"/>
  <c r="CD27" i="26"/>
  <c r="CG27" i="26"/>
  <c r="CJ27" i="26"/>
  <c r="CM27" i="26"/>
  <c r="BX28" i="26"/>
  <c r="CA28" i="26"/>
  <c r="CD28" i="26"/>
  <c r="CG28" i="26"/>
  <c r="CJ28" i="26"/>
  <c r="CM28" i="26"/>
  <c r="BX29" i="26"/>
  <c r="CA29" i="26"/>
  <c r="CD29" i="26"/>
  <c r="CG29" i="26"/>
  <c r="CJ29" i="26"/>
  <c r="CM29" i="26"/>
  <c r="BX30" i="26"/>
  <c r="CA30" i="26"/>
  <c r="CD30" i="26"/>
  <c r="CG30" i="26"/>
  <c r="CJ30" i="26"/>
  <c r="CM30" i="26"/>
  <c r="BX31" i="26"/>
  <c r="CA31" i="26"/>
  <c r="CD31" i="26"/>
  <c r="CG31" i="26"/>
  <c r="CJ31" i="26"/>
  <c r="CM31" i="26"/>
  <c r="BX32" i="26"/>
  <c r="CA32" i="26"/>
  <c r="CD32" i="26"/>
  <c r="CG32" i="26"/>
  <c r="CJ32" i="26"/>
  <c r="CM32" i="26"/>
  <c r="BX33" i="26"/>
  <c r="CA33" i="26"/>
  <c r="CD33" i="26"/>
  <c r="CG33" i="26"/>
  <c r="CJ33" i="26"/>
  <c r="CM33" i="26"/>
  <c r="BX34" i="26"/>
  <c r="CA34" i="26"/>
  <c r="CD34" i="26"/>
  <c r="CG34" i="26"/>
  <c r="CJ34" i="26"/>
  <c r="CM34" i="26"/>
  <c r="S24" i="26"/>
  <c r="V24" i="26"/>
  <c r="Y24" i="26"/>
  <c r="AB24" i="26"/>
  <c r="AE24" i="26"/>
  <c r="AH24" i="26"/>
  <c r="AK24" i="26"/>
  <c r="AN24" i="26"/>
  <c r="AQ24" i="26"/>
  <c r="AT24" i="26"/>
  <c r="AW24" i="26"/>
  <c r="AZ24" i="26"/>
  <c r="BC24" i="26"/>
  <c r="BF24" i="26"/>
  <c r="BI24" i="26"/>
  <c r="BL24" i="26"/>
  <c r="BO24" i="26"/>
  <c r="BR24" i="26"/>
  <c r="BU24" i="26"/>
  <c r="S25" i="26"/>
  <c r="V25" i="26"/>
  <c r="Y25" i="26"/>
  <c r="AB25" i="26"/>
  <c r="AE25" i="26"/>
  <c r="AH25" i="26"/>
  <c r="AK25" i="26"/>
  <c r="AN25" i="26"/>
  <c r="AQ25" i="26"/>
  <c r="AT25" i="26"/>
  <c r="AW25" i="26"/>
  <c r="AZ25" i="26"/>
  <c r="BC25" i="26"/>
  <c r="BF25" i="26"/>
  <c r="BI25" i="26"/>
  <c r="BL25" i="26"/>
  <c r="BO25" i="26"/>
  <c r="BR25" i="26"/>
  <c r="BU25" i="26"/>
  <c r="S26" i="26"/>
  <c r="V26" i="26"/>
  <c r="Y26" i="26"/>
  <c r="AB26" i="26"/>
  <c r="AE26" i="26"/>
  <c r="AH26" i="26"/>
  <c r="AK26" i="26"/>
  <c r="AN26" i="26"/>
  <c r="AQ26" i="26"/>
  <c r="AT26" i="26"/>
  <c r="AW26" i="26"/>
  <c r="AZ26" i="26"/>
  <c r="BC26" i="26"/>
  <c r="BF26" i="26"/>
  <c r="BI26" i="26"/>
  <c r="BL26" i="26"/>
  <c r="BO26" i="26"/>
  <c r="BR26" i="26"/>
  <c r="BU26" i="26"/>
  <c r="S27" i="26"/>
  <c r="V27" i="26"/>
  <c r="Y27" i="26"/>
  <c r="AB27" i="26"/>
  <c r="AE27" i="26"/>
  <c r="AH27" i="26"/>
  <c r="AK27" i="26"/>
  <c r="AN27" i="26"/>
  <c r="AQ27" i="26"/>
  <c r="AT27" i="26"/>
  <c r="AW27" i="26"/>
  <c r="AZ27" i="26"/>
  <c r="BC27" i="26"/>
  <c r="BF27" i="26"/>
  <c r="BI27" i="26"/>
  <c r="BL27" i="26"/>
  <c r="BO27" i="26"/>
  <c r="BR27" i="26"/>
  <c r="BU27" i="26"/>
  <c r="S28" i="26"/>
  <c r="V28" i="26"/>
  <c r="Y28" i="26"/>
  <c r="AB28" i="26"/>
  <c r="AE28" i="26"/>
  <c r="AH28" i="26"/>
  <c r="AK28" i="26"/>
  <c r="AN28" i="26"/>
  <c r="AQ28" i="26"/>
  <c r="AT28" i="26"/>
  <c r="AW28" i="26"/>
  <c r="AZ28" i="26"/>
  <c r="BC28" i="26"/>
  <c r="BF28" i="26"/>
  <c r="BI28" i="26"/>
  <c r="BL28" i="26"/>
  <c r="BO28" i="26"/>
  <c r="BR28" i="26"/>
  <c r="BU28" i="26"/>
  <c r="S29" i="26"/>
  <c r="V29" i="26"/>
  <c r="Y29" i="26"/>
  <c r="AB29" i="26"/>
  <c r="AE29" i="26"/>
  <c r="AH29" i="26"/>
  <c r="AK29" i="26"/>
  <c r="AN29" i="26"/>
  <c r="AQ29" i="26"/>
  <c r="AT29" i="26"/>
  <c r="AW29" i="26"/>
  <c r="AZ29" i="26"/>
  <c r="BC29" i="26"/>
  <c r="BF29" i="26"/>
  <c r="BI29" i="26"/>
  <c r="BL29" i="26"/>
  <c r="BO29" i="26"/>
  <c r="BR29" i="26"/>
  <c r="BU29" i="26"/>
  <c r="S30" i="26"/>
  <c r="V30" i="26"/>
  <c r="Y30" i="26"/>
  <c r="AB30" i="26"/>
  <c r="AE30" i="26"/>
  <c r="AH30" i="26"/>
  <c r="AK30" i="26"/>
  <c r="AN30" i="26"/>
  <c r="AQ30" i="26"/>
  <c r="AT30" i="26"/>
  <c r="AW30" i="26"/>
  <c r="AZ30" i="26"/>
  <c r="BC30" i="26"/>
  <c r="BF30" i="26"/>
  <c r="BI30" i="26"/>
  <c r="BL30" i="26"/>
  <c r="BO30" i="26"/>
  <c r="BR30" i="26"/>
  <c r="BU30" i="26"/>
  <c r="S31" i="26"/>
  <c r="V31" i="26"/>
  <c r="Y31" i="26"/>
  <c r="AB31" i="26"/>
  <c r="AE31" i="26"/>
  <c r="AH31" i="26"/>
  <c r="AK31" i="26"/>
  <c r="AN31" i="26"/>
  <c r="AQ31" i="26"/>
  <c r="AT31" i="26"/>
  <c r="AW31" i="26"/>
  <c r="AZ31" i="26"/>
  <c r="BC31" i="26"/>
  <c r="BF31" i="26"/>
  <c r="BI31" i="26"/>
  <c r="BL31" i="26"/>
  <c r="BO31" i="26"/>
  <c r="BR31" i="26"/>
  <c r="BU31" i="26"/>
  <c r="S32" i="26"/>
  <c r="V32" i="26"/>
  <c r="Y32" i="26"/>
  <c r="AB32" i="26"/>
  <c r="AE32" i="26"/>
  <c r="AH32" i="26"/>
  <c r="AK32" i="26"/>
  <c r="AN32" i="26"/>
  <c r="AQ32" i="26"/>
  <c r="AT32" i="26"/>
  <c r="AW32" i="26"/>
  <c r="AZ32" i="26"/>
  <c r="BC32" i="26"/>
  <c r="BF32" i="26"/>
  <c r="BI32" i="26"/>
  <c r="BL32" i="26"/>
  <c r="BO32" i="26"/>
  <c r="BR32" i="26"/>
  <c r="BU32" i="26"/>
  <c r="S33" i="26"/>
  <c r="V33" i="26"/>
  <c r="Y33" i="26"/>
  <c r="AB33" i="26"/>
  <c r="AE33" i="26"/>
  <c r="AH33" i="26"/>
  <c r="AK33" i="26"/>
  <c r="AN33" i="26"/>
  <c r="AQ33" i="26"/>
  <c r="AT33" i="26"/>
  <c r="AW33" i="26"/>
  <c r="AZ33" i="26"/>
  <c r="BC33" i="26"/>
  <c r="BF33" i="26"/>
  <c r="BI33" i="26"/>
  <c r="BL33" i="26"/>
  <c r="BO33" i="26"/>
  <c r="BR33" i="26"/>
  <c r="BU33" i="26"/>
  <c r="S34" i="26"/>
  <c r="V34" i="26"/>
  <c r="Y34" i="26"/>
  <c r="AB34" i="26"/>
  <c r="AE34" i="26"/>
  <c r="AH34" i="26"/>
  <c r="AK34" i="26"/>
  <c r="AN34" i="26"/>
  <c r="AQ34" i="26"/>
  <c r="AT34" i="26"/>
  <c r="AW34" i="26"/>
  <c r="AZ34" i="26"/>
  <c r="BC34" i="26"/>
  <c r="BF34" i="26"/>
  <c r="BI34" i="26"/>
  <c r="BL34" i="26"/>
  <c r="BO34" i="26"/>
  <c r="BR34" i="26"/>
  <c r="BU34" i="26"/>
  <c r="CJ24" i="26"/>
  <c r="CM24" i="26"/>
  <c r="CJ25" i="26"/>
  <c r="CM25" i="26"/>
  <c r="CG21" i="26"/>
  <c r="CJ21" i="26"/>
  <c r="CM21" i="26"/>
  <c r="CG22" i="26"/>
  <c r="CJ22" i="26"/>
  <c r="CM22" i="26"/>
  <c r="CG23" i="26"/>
  <c r="CJ23" i="26"/>
  <c r="CM23" i="26"/>
  <c r="BC21" i="26"/>
  <c r="BF21" i="26"/>
  <c r="BI21" i="26"/>
  <c r="AK21" i="26"/>
  <c r="V21" i="26"/>
  <c r="Y21" i="26"/>
  <c r="AB21" i="26"/>
  <c r="AE21" i="26"/>
  <c r="AN15" i="26"/>
  <c r="AN16" i="26"/>
  <c r="AN17" i="26"/>
  <c r="AN18" i="26"/>
  <c r="AN19" i="26"/>
  <c r="AN20" i="26"/>
  <c r="J26" i="26"/>
  <c r="P26" i="26"/>
  <c r="J27" i="26"/>
  <c r="P27" i="26"/>
  <c r="J28" i="26"/>
  <c r="P28" i="26"/>
  <c r="J29" i="26"/>
  <c r="P29" i="26"/>
  <c r="J30" i="26"/>
  <c r="P30" i="26"/>
  <c r="J31" i="26"/>
  <c r="P31" i="26"/>
  <c r="J32" i="26"/>
  <c r="P32" i="26"/>
  <c r="J33" i="26"/>
  <c r="P33" i="26"/>
  <c r="J34" i="26"/>
  <c r="P34" i="26"/>
  <c r="M23" i="26"/>
  <c r="P23" i="26"/>
  <c r="CG18" i="26"/>
  <c r="CJ18" i="26"/>
  <c r="CM18" i="26"/>
  <c r="CG19" i="26"/>
  <c r="CJ19" i="26"/>
  <c r="CM19" i="26"/>
  <c r="CG20" i="26"/>
  <c r="CJ20" i="26"/>
  <c r="CM20" i="26"/>
  <c r="CM17" i="26"/>
  <c r="CJ17" i="26"/>
  <c r="CG16" i="26"/>
  <c r="CJ16" i="26"/>
  <c r="BX17" i="26"/>
  <c r="CA17" i="26"/>
  <c r="CD17" i="26"/>
  <c r="BX18" i="26"/>
  <c r="CA18" i="26"/>
  <c r="CD18" i="26"/>
  <c r="BX19" i="26"/>
  <c r="CA19" i="26"/>
  <c r="CD19" i="26"/>
  <c r="BU16" i="26"/>
  <c r="BU17" i="26"/>
  <c r="BU18" i="26"/>
  <c r="BU19" i="26"/>
  <c r="BU20" i="26"/>
  <c r="BR16" i="26"/>
  <c r="BR17" i="26"/>
  <c r="BR18" i="26"/>
  <c r="BO16" i="26"/>
  <c r="BO17" i="26"/>
  <c r="BO18" i="26"/>
  <c r="AT18" i="26"/>
  <c r="AW18" i="26"/>
  <c r="AZ18" i="26"/>
  <c r="AT19" i="26"/>
  <c r="AW19" i="26"/>
  <c r="AZ19" i="26"/>
  <c r="AT20" i="26"/>
  <c r="AW20" i="26"/>
  <c r="AZ20" i="26"/>
  <c r="BC18" i="26"/>
  <c r="BF18" i="26"/>
  <c r="BI18" i="26"/>
  <c r="BC19" i="26"/>
  <c r="BF19" i="26"/>
  <c r="BI19" i="26"/>
  <c r="BC20" i="26"/>
  <c r="BF20" i="26"/>
  <c r="BI20" i="26"/>
  <c r="BC17" i="26"/>
  <c r="BF17" i="26"/>
  <c r="BI17" i="26"/>
  <c r="BC16" i="26"/>
  <c r="BF16" i="26"/>
  <c r="BI16" i="26"/>
  <c r="S16" i="26"/>
  <c r="V16" i="26"/>
  <c r="Y16" i="26"/>
  <c r="AB16" i="26"/>
  <c r="AE16" i="26"/>
  <c r="AH16" i="26"/>
  <c r="AK16" i="26"/>
  <c r="S17" i="26"/>
  <c r="V17" i="26"/>
  <c r="Y17" i="26"/>
  <c r="AB17" i="26"/>
  <c r="AE17" i="26"/>
  <c r="AH17" i="26"/>
  <c r="AK17" i="26"/>
  <c r="S18" i="26"/>
  <c r="V18" i="26"/>
  <c r="Y18" i="26"/>
  <c r="AB18" i="26"/>
  <c r="AE18" i="26"/>
  <c r="AH18" i="26"/>
  <c r="AK18" i="26"/>
  <c r="S19" i="26"/>
  <c r="V19" i="26"/>
  <c r="Y19" i="26"/>
  <c r="AB19" i="26"/>
  <c r="AE19" i="26"/>
  <c r="AH19" i="26"/>
  <c r="AK19" i="26"/>
  <c r="S20" i="26"/>
  <c r="V20" i="26"/>
  <c r="Y20" i="26"/>
  <c r="AB20" i="26"/>
  <c r="AE20" i="26"/>
  <c r="AH20" i="26"/>
  <c r="AK20" i="26"/>
  <c r="P17" i="26"/>
  <c r="P18" i="26"/>
  <c r="P19" i="26"/>
  <c r="CG15" i="26"/>
  <c r="CJ15" i="26"/>
  <c r="CM15" i="26"/>
  <c r="AH15" i="26"/>
  <c r="AK15" i="26"/>
  <c r="P14" i="26"/>
  <c r="P13" i="26"/>
  <c r="CG14" i="26"/>
  <c r="CJ14" i="26"/>
  <c r="CM14" i="26"/>
  <c r="AH14" i="26"/>
  <c r="AK14" i="26"/>
  <c r="AN14" i="26"/>
  <c r="CN6" i="26"/>
  <c r="CN7" i="26"/>
  <c r="CG10" i="26"/>
  <c r="CJ10" i="26"/>
  <c r="CM10" i="26"/>
  <c r="CG11" i="26"/>
  <c r="CJ11" i="26"/>
  <c r="CM11" i="26"/>
  <c r="CG12" i="26"/>
  <c r="CJ12" i="26"/>
  <c r="CM12" i="26"/>
  <c r="CG13" i="26"/>
  <c r="CJ13" i="26"/>
  <c r="CM13" i="26"/>
  <c r="CA11" i="26"/>
  <c r="CA12" i="26"/>
  <c r="CA13" i="26"/>
  <c r="BR12" i="26"/>
  <c r="BR13" i="26"/>
  <c r="BR10" i="26"/>
  <c r="BU10" i="26"/>
  <c r="BR11" i="26"/>
  <c r="BU11" i="26"/>
  <c r="AZ11" i="26"/>
  <c r="BC11" i="26"/>
  <c r="BF11" i="26"/>
  <c r="BI11" i="26"/>
  <c r="AW10" i="26"/>
  <c r="AZ10" i="26"/>
  <c r="BC10" i="26"/>
  <c r="BF10" i="26"/>
  <c r="BI10" i="26"/>
  <c r="BU8" i="26"/>
  <c r="BO8" i="26"/>
  <c r="BR8" i="26"/>
  <c r="CG7" i="26"/>
  <c r="CJ6" i="26"/>
  <c r="CM6" i="26"/>
  <c r="CJ7" i="26"/>
  <c r="CM7" i="26"/>
  <c r="CG5" i="26"/>
  <c r="CJ5" i="26"/>
  <c r="CM5" i="26"/>
  <c r="CA6" i="26"/>
  <c r="CD6" i="26"/>
  <c r="CA7" i="26"/>
  <c r="CD7" i="26"/>
  <c r="CA5" i="26"/>
  <c r="CD5" i="26"/>
  <c r="BC7" i="26"/>
  <c r="BF7" i="26"/>
  <c r="BI7" i="26"/>
  <c r="BC6" i="26"/>
  <c r="BF6" i="26"/>
  <c r="BI6" i="26"/>
  <c r="AT6" i="26"/>
  <c r="AT5" i="26"/>
  <c r="AW5" i="26"/>
  <c r="AZ5" i="26"/>
  <c r="BC5" i="26"/>
  <c r="BF5" i="26"/>
  <c r="BI5" i="26"/>
  <c r="AH7" i="26"/>
  <c r="AK7" i="26"/>
  <c r="AN7" i="26"/>
  <c r="AQ7" i="26"/>
  <c r="AE7" i="26"/>
  <c r="S5" i="26"/>
  <c r="V5" i="26"/>
  <c r="Y5" i="26"/>
  <c r="AB5" i="26"/>
  <c r="AE5" i="26"/>
  <c r="AH5" i="26"/>
  <c r="AK5" i="26"/>
  <c r="AN5" i="26"/>
  <c r="AQ5" i="26"/>
  <c r="P7" i="26"/>
  <c r="CP36" i="47" l="1"/>
  <c r="CP35" i="45"/>
  <c r="V36" i="45"/>
  <c r="CP12" i="45"/>
  <c r="CP11" i="45"/>
  <c r="BR36" i="45"/>
  <c r="CP21" i="45"/>
  <c r="CP15" i="45"/>
  <c r="CP23" i="45"/>
  <c r="CP10" i="45"/>
  <c r="P36" i="45"/>
  <c r="S36" i="45"/>
  <c r="CP33" i="45"/>
  <c r="CG36" i="45"/>
  <c r="CP19" i="45"/>
  <c r="CP22" i="45"/>
  <c r="AN36" i="45"/>
  <c r="CJ36" i="45"/>
  <c r="CP16" i="45"/>
  <c r="CP17" i="45"/>
  <c r="CP18" i="45"/>
  <c r="AW36" i="45"/>
  <c r="CP24" i="45"/>
  <c r="CP25" i="45"/>
  <c r="CP26" i="45"/>
  <c r="CP27" i="45"/>
  <c r="CP28" i="45"/>
  <c r="AQ36" i="45"/>
  <c r="CM36" i="45"/>
  <c r="CP14" i="45"/>
  <c r="CA36" i="45"/>
  <c r="CN36" i="45"/>
  <c r="CO36" i="45"/>
  <c r="CP6" i="45"/>
  <c r="CP7" i="45"/>
  <c r="CP8" i="45"/>
  <c r="CP9" i="45"/>
  <c r="CP13" i="45"/>
  <c r="BO36" i="45"/>
  <c r="CP20" i="45"/>
  <c r="G36" i="45"/>
  <c r="BC36" i="45"/>
  <c r="BL36" i="45"/>
  <c r="CD36" i="45"/>
  <c r="CP30" i="45"/>
  <c r="AK36" i="45"/>
  <c r="AZ36" i="45"/>
  <c r="J36" i="45"/>
  <c r="BF36" i="45"/>
  <c r="Y36" i="45"/>
  <c r="BX36" i="45"/>
  <c r="AH36" i="45"/>
  <c r="BI36" i="45"/>
  <c r="CP34" i="45"/>
  <c r="BU36" i="45"/>
  <c r="AB36" i="45"/>
  <c r="CP32" i="45"/>
  <c r="AE36" i="45"/>
  <c r="CP31" i="45"/>
  <c r="CP29" i="45"/>
  <c r="AT36" i="45"/>
  <c r="D36" i="45"/>
  <c r="CP5" i="45"/>
  <c r="CA35" i="42"/>
  <c r="CD35" i="42"/>
  <c r="BX35" i="42"/>
  <c r="CP5" i="42"/>
  <c r="CP8" i="42"/>
  <c r="BU35" i="42"/>
  <c r="CP9" i="42"/>
  <c r="CP11" i="42"/>
  <c r="BR35" i="42"/>
  <c r="CP7" i="42"/>
  <c r="CP19" i="42"/>
  <c r="CP21" i="42"/>
  <c r="CP22" i="42"/>
  <c r="CP6" i="42"/>
  <c r="CP12" i="42"/>
  <c r="BO35" i="42"/>
  <c r="CP20" i="42"/>
  <c r="CP16" i="42"/>
  <c r="CP17" i="42"/>
  <c r="CP23" i="42"/>
  <c r="CP14" i="42"/>
  <c r="CP13" i="42"/>
  <c r="CP15" i="42"/>
  <c r="CP10" i="42"/>
  <c r="CP18" i="42"/>
  <c r="BL35" i="42"/>
  <c r="CP24" i="42"/>
  <c r="CP25" i="42"/>
  <c r="CP26" i="42"/>
  <c r="CP27" i="42"/>
  <c r="AW35" i="42"/>
  <c r="AZ35" i="42"/>
  <c r="BF35" i="42"/>
  <c r="BC35" i="42"/>
  <c r="CP34" i="42"/>
  <c r="AT35" i="42"/>
  <c r="AN35" i="42"/>
  <c r="AH35" i="42"/>
  <c r="AQ35" i="42"/>
  <c r="CP31" i="42"/>
  <c r="CP30" i="42"/>
  <c r="AE35" i="42"/>
  <c r="V35" i="42"/>
  <c r="AB35" i="42"/>
  <c r="S35" i="42"/>
  <c r="CP29" i="42"/>
  <c r="CP33" i="42"/>
  <c r="CP32" i="42"/>
  <c r="J35" i="42"/>
  <c r="D35" i="42"/>
  <c r="G35" i="42"/>
  <c r="CO35" i="42"/>
  <c r="CN35" i="42"/>
  <c r="M35" i="42"/>
  <c r="CD36" i="38"/>
  <c r="D36" i="38"/>
  <c r="E9" i="39"/>
  <c r="AT36" i="38"/>
  <c r="CN36" i="38"/>
  <c r="CO36" i="38"/>
  <c r="CP24" i="38"/>
  <c r="CP23" i="38"/>
  <c r="CP22" i="38"/>
  <c r="E13" i="39"/>
  <c r="H7" i="39"/>
  <c r="H8" i="39"/>
  <c r="B25" i="39"/>
  <c r="B26" i="39"/>
  <c r="H18" i="39"/>
  <c r="H6" i="39"/>
  <c r="H4" i="39"/>
  <c r="E18" i="39"/>
  <c r="E16" i="39"/>
  <c r="B12" i="39"/>
  <c r="H15" i="39"/>
  <c r="E6" i="39"/>
  <c r="H12" i="39"/>
  <c r="B24" i="39"/>
  <c r="B39" i="39"/>
  <c r="B18" i="39"/>
  <c r="CP18" i="38"/>
  <c r="B15" i="39"/>
  <c r="CP19" i="38"/>
  <c r="CP20" i="38"/>
  <c r="CP8" i="38"/>
  <c r="CP21" i="38"/>
  <c r="CP13" i="38"/>
  <c r="CP14" i="38"/>
  <c r="CP15" i="38"/>
  <c r="CP30" i="38"/>
  <c r="CP29" i="38"/>
  <c r="CP16" i="38"/>
  <c r="CP25" i="38"/>
  <c r="CP6" i="38"/>
  <c r="CP7" i="38"/>
  <c r="CP9" i="38"/>
  <c r="B6" i="39"/>
  <c r="CP10" i="38"/>
  <c r="CP11" i="38"/>
  <c r="CP12" i="38"/>
  <c r="CP17" i="38"/>
  <c r="CP28" i="38"/>
  <c r="CP27" i="38"/>
  <c r="B36" i="39"/>
  <c r="CP26" i="38"/>
  <c r="CP34" i="38"/>
  <c r="B42" i="39"/>
  <c r="CP33" i="38"/>
  <c r="B9" i="39"/>
  <c r="CP32" i="38"/>
  <c r="CP31" i="38"/>
  <c r="B33" i="39"/>
  <c r="E12" i="39"/>
  <c r="CP5" i="38"/>
  <c r="CP34" i="36"/>
  <c r="CP33" i="36"/>
  <c r="CP32" i="36"/>
  <c r="CM35" i="36"/>
  <c r="CG35" i="36"/>
  <c r="CD35" i="36"/>
  <c r="BX35" i="36"/>
  <c r="H15" i="37" s="1"/>
  <c r="H14" i="37"/>
  <c r="BI35" i="36"/>
  <c r="E15" i="37" s="1"/>
  <c r="Y35" i="36"/>
  <c r="B20" i="37"/>
  <c r="AH35" i="36"/>
  <c r="B33" i="37" s="1"/>
  <c r="AB35" i="36"/>
  <c r="B24" i="37" s="1"/>
  <c r="V35" i="36"/>
  <c r="B18" i="37" s="1"/>
  <c r="G35" i="36"/>
  <c r="B9" i="37" s="1"/>
  <c r="AE35" i="36"/>
  <c r="E14" i="37"/>
  <c r="BO35" i="36"/>
  <c r="H6" i="37" s="1"/>
  <c r="B23" i="37"/>
  <c r="E16" i="37"/>
  <c r="H17" i="37"/>
  <c r="H18" i="37" s="1"/>
  <c r="B25" i="37"/>
  <c r="AW35" i="36"/>
  <c r="BU35" i="36"/>
  <c r="H12" i="37" s="1"/>
  <c r="B26" i="37"/>
  <c r="M35" i="36"/>
  <c r="B12" i="37" s="1"/>
  <c r="S35" i="36"/>
  <c r="B15" i="37" s="1"/>
  <c r="AZ35" i="36"/>
  <c r="E6" i="37" s="1"/>
  <c r="J35" i="36"/>
  <c r="B29" i="37"/>
  <c r="B14" i="37"/>
  <c r="H8" i="37"/>
  <c r="B31" i="37"/>
  <c r="BF35" i="36"/>
  <c r="B16" i="37"/>
  <c r="H10" i="37"/>
  <c r="E10" i="37"/>
  <c r="D35" i="36"/>
  <c r="B6" i="37" s="1"/>
  <c r="BR35" i="36"/>
  <c r="BC35" i="36"/>
  <c r="E9" i="37" s="1"/>
  <c r="AT35" i="36"/>
  <c r="B42" i="37" s="1"/>
  <c r="CP18" i="36"/>
  <c r="CP22" i="36"/>
  <c r="CP29" i="36"/>
  <c r="CP26" i="36"/>
  <c r="CP13" i="36"/>
  <c r="CP27" i="36"/>
  <c r="CP10" i="36"/>
  <c r="CP7" i="36"/>
  <c r="CP19" i="36"/>
  <c r="CP20" i="36"/>
  <c r="CP17" i="36"/>
  <c r="CP8" i="36"/>
  <c r="CP11" i="36"/>
  <c r="CP12" i="36"/>
  <c r="CP30" i="36"/>
  <c r="CP28" i="36"/>
  <c r="CP5" i="36"/>
  <c r="CP6" i="36"/>
  <c r="CP9" i="36"/>
  <c r="CP15" i="36"/>
  <c r="CP16" i="36"/>
  <c r="CP25" i="36"/>
  <c r="CP14" i="36"/>
  <c r="CP24" i="36"/>
  <c r="CP21" i="36"/>
  <c r="CP23" i="36"/>
  <c r="CP31" i="36"/>
  <c r="B36" i="35"/>
  <c r="AQ36" i="34"/>
  <c r="B34" i="35"/>
  <c r="CG36" i="34"/>
  <c r="Y36" i="34"/>
  <c r="J36" i="34"/>
  <c r="H8" i="35"/>
  <c r="H17" i="35"/>
  <c r="H18" i="35" s="1"/>
  <c r="B26" i="35"/>
  <c r="B28" i="35"/>
  <c r="B19" i="35"/>
  <c r="V36" i="34"/>
  <c r="CP33" i="34"/>
  <c r="CP34" i="34"/>
  <c r="CP35" i="34"/>
  <c r="CP7" i="34"/>
  <c r="CP8" i="34"/>
  <c r="CP21" i="34"/>
  <c r="CP32" i="34"/>
  <c r="P36" i="34"/>
  <c r="AW36" i="34"/>
  <c r="AZ36" i="34"/>
  <c r="CP23" i="34"/>
  <c r="AB36" i="34"/>
  <c r="AH36" i="34"/>
  <c r="CP24" i="34"/>
  <c r="BU36" i="34"/>
  <c r="CP28" i="34"/>
  <c r="S36" i="34"/>
  <c r="CP13" i="34"/>
  <c r="CP9" i="34"/>
  <c r="CP10" i="34"/>
  <c r="CP11" i="34"/>
  <c r="CP27" i="34"/>
  <c r="BF36" i="34"/>
  <c r="E12" i="35" s="1"/>
  <c r="CP19" i="34"/>
  <c r="D36" i="34"/>
  <c r="BI36" i="34"/>
  <c r="E15" i="35" s="1"/>
  <c r="G36" i="34"/>
  <c r="CP18" i="34"/>
  <c r="BO36" i="34"/>
  <c r="M36" i="34"/>
  <c r="CP26" i="34"/>
  <c r="BC36" i="34"/>
  <c r="BX36" i="34"/>
  <c r="CP31" i="34"/>
  <c r="CP20" i="34"/>
  <c r="CP17" i="34"/>
  <c r="CP25" i="34"/>
  <c r="CP16" i="34"/>
  <c r="CP30" i="34"/>
  <c r="AE36" i="34"/>
  <c r="CD36" i="34"/>
  <c r="CP15" i="34"/>
  <c r="CP14" i="34"/>
  <c r="CP29" i="34"/>
  <c r="BL36" i="34"/>
  <c r="CP6" i="34"/>
  <c r="CP12" i="34"/>
  <c r="CP22" i="34"/>
  <c r="BR36" i="34"/>
  <c r="CD33" i="30"/>
  <c r="CG33" i="30"/>
  <c r="S33" i="30"/>
  <c r="CP9" i="30"/>
  <c r="CP8" i="30"/>
  <c r="CP7" i="30"/>
  <c r="BO33" i="30"/>
  <c r="BC33" i="30"/>
  <c r="BF33" i="30"/>
  <c r="AH33" i="30"/>
  <c r="P33" i="30"/>
  <c r="V33" i="30"/>
  <c r="M33" i="30"/>
  <c r="CP15" i="30"/>
  <c r="BU33" i="30"/>
  <c r="BL33" i="30"/>
  <c r="AT33" i="30"/>
  <c r="CP6" i="30"/>
  <c r="CP19" i="30"/>
  <c r="CP20" i="30"/>
  <c r="CP28" i="30"/>
  <c r="G33" i="30"/>
  <c r="CP18" i="30"/>
  <c r="CP17" i="30"/>
  <c r="CP13" i="30"/>
  <c r="CP27" i="30"/>
  <c r="CP26" i="30"/>
  <c r="AW33" i="30"/>
  <c r="AZ33" i="30"/>
  <c r="BX33" i="30"/>
  <c r="CP12" i="30"/>
  <c r="CP16" i="30"/>
  <c r="CP32" i="30"/>
  <c r="CP31" i="30"/>
  <c r="D33" i="30"/>
  <c r="Y33" i="30"/>
  <c r="CP30" i="30"/>
  <c r="CP11" i="30"/>
  <c r="CP29" i="30"/>
  <c r="AB33" i="30"/>
  <c r="BI33" i="30"/>
  <c r="J33" i="30"/>
  <c r="AE33" i="30"/>
  <c r="CN33" i="30"/>
  <c r="CP10" i="30"/>
  <c r="CP14" i="30"/>
  <c r="CP25" i="30"/>
  <c r="CO33" i="30"/>
  <c r="CP24" i="30"/>
  <c r="BR33" i="30"/>
  <c r="CP5" i="30"/>
  <c r="CP21" i="30"/>
  <c r="CP22" i="30"/>
  <c r="CP23" i="30"/>
  <c r="CP35" i="28"/>
  <c r="CP34" i="28"/>
  <c r="CP33" i="28"/>
  <c r="CP32" i="28"/>
  <c r="CP31" i="28"/>
  <c r="CP30" i="28"/>
  <c r="CP29" i="28"/>
  <c r="CP28" i="28"/>
  <c r="CP27" i="28"/>
  <c r="CP26" i="28"/>
  <c r="CM36" i="28"/>
  <c r="BI36" i="28"/>
  <c r="E15" i="29" s="1"/>
  <c r="H18" i="29"/>
  <c r="CD36" i="28"/>
  <c r="BL36" i="28"/>
  <c r="E18" i="29" s="1"/>
  <c r="BU36" i="28"/>
  <c r="H12" i="29" s="1"/>
  <c r="E17" i="29"/>
  <c r="BO36" i="28"/>
  <c r="H6" i="29" s="1"/>
  <c r="H8" i="29"/>
  <c r="BR36" i="28"/>
  <c r="H11" i="29"/>
  <c r="AW36" i="28"/>
  <c r="AZ36" i="28"/>
  <c r="E6" i="29" s="1"/>
  <c r="AT36" i="28"/>
  <c r="B42" i="29" s="1"/>
  <c r="B40" i="29"/>
  <c r="BC36" i="28"/>
  <c r="E9" i="29" s="1"/>
  <c r="E4" i="29"/>
  <c r="E7" i="29"/>
  <c r="E13" i="29"/>
  <c r="S36" i="28"/>
  <c r="B15" i="29" s="1"/>
  <c r="B25" i="29"/>
  <c r="B26" i="29"/>
  <c r="V36" i="28"/>
  <c r="B18" i="29" s="1"/>
  <c r="Y36" i="28"/>
  <c r="AH36" i="28"/>
  <c r="B33" i="29" s="1"/>
  <c r="B19" i="29"/>
  <c r="B13" i="29"/>
  <c r="B17" i="29"/>
  <c r="P36" i="28"/>
  <c r="G36" i="28"/>
  <c r="B9" i="29" s="1"/>
  <c r="J36" i="28"/>
  <c r="B7" i="29"/>
  <c r="D36" i="28"/>
  <c r="B6" i="29" s="1"/>
  <c r="B4" i="29"/>
  <c r="AE36" i="28"/>
  <c r="AB36" i="28"/>
  <c r="B24" i="29" s="1"/>
  <c r="CP17" i="28"/>
  <c r="CP18" i="28"/>
  <c r="CP19" i="28"/>
  <c r="CP14" i="28"/>
  <c r="CP5" i="28"/>
  <c r="CP15" i="28"/>
  <c r="CP12" i="28"/>
  <c r="CP13" i="28"/>
  <c r="CP8" i="28"/>
  <c r="CP7" i="28"/>
  <c r="BX36" i="28"/>
  <c r="H15" i="29" s="1"/>
  <c r="CP6" i="28"/>
  <c r="BF36" i="28"/>
  <c r="E12" i="29" s="1"/>
  <c r="CP16" i="28"/>
  <c r="CP25" i="28"/>
  <c r="M36" i="28"/>
  <c r="B12" i="29" s="1"/>
  <c r="CG36" i="28"/>
  <c r="CP24" i="28"/>
  <c r="CP11" i="28"/>
  <c r="CP20" i="28"/>
  <c r="CP21" i="28"/>
  <c r="CP22" i="28"/>
  <c r="CP23" i="28"/>
  <c r="CP10" i="28"/>
  <c r="CP9" i="28"/>
  <c r="B39" i="27"/>
  <c r="B38" i="27"/>
  <c r="B37" i="27"/>
  <c r="B36" i="27"/>
  <c r="B35" i="27"/>
  <c r="B34" i="27"/>
  <c r="BQ8" i="27"/>
  <c r="CN8" i="26"/>
  <c r="CN9" i="26"/>
  <c r="CN10" i="26"/>
  <c r="CN11" i="26"/>
  <c r="AT23" i="26"/>
  <c r="CL35" i="26"/>
  <c r="CK35" i="26"/>
  <c r="CI35" i="26"/>
  <c r="CJ35" i="26" s="1"/>
  <c r="CH35" i="26"/>
  <c r="CF35" i="26"/>
  <c r="CE35" i="26"/>
  <c r="H16" i="27" s="1"/>
  <c r="CC35" i="26"/>
  <c r="CB35" i="26"/>
  <c r="BZ35" i="26"/>
  <c r="CA35" i="26" s="1"/>
  <c r="BY35" i="26"/>
  <c r="BW35" i="26"/>
  <c r="BV35" i="26"/>
  <c r="H13" i="27" s="1"/>
  <c r="BT35" i="26"/>
  <c r="H11" i="27" s="1"/>
  <c r="BS35" i="26"/>
  <c r="H10" i="27" s="1"/>
  <c r="BQ35" i="26"/>
  <c r="H9" i="27" s="1"/>
  <c r="BP35" i="26"/>
  <c r="H7" i="27" s="1"/>
  <c r="BN35" i="26"/>
  <c r="H5" i="27" s="1"/>
  <c r="BM35" i="26"/>
  <c r="BK35" i="26"/>
  <c r="E17" i="27" s="1"/>
  <c r="BJ35" i="26"/>
  <c r="E16" i="27" s="1"/>
  <c r="BH35" i="26"/>
  <c r="E14" i="27" s="1"/>
  <c r="BG35" i="26"/>
  <c r="BE35" i="26"/>
  <c r="E11" i="27" s="1"/>
  <c r="BD35" i="26"/>
  <c r="BB35" i="26"/>
  <c r="E8" i="27" s="1"/>
  <c r="BA35" i="26"/>
  <c r="E7" i="27" s="1"/>
  <c r="AY35" i="26"/>
  <c r="E5" i="27" s="1"/>
  <c r="AX35" i="26"/>
  <c r="E4" i="27" s="1"/>
  <c r="AV35" i="26"/>
  <c r="AU35" i="26"/>
  <c r="AS35" i="26"/>
  <c r="B41" i="27" s="1"/>
  <c r="AR35" i="26"/>
  <c r="B40" i="27" s="1"/>
  <c r="AG35" i="26"/>
  <c r="B32" i="27" s="1"/>
  <c r="AF35" i="26"/>
  <c r="AD35" i="26"/>
  <c r="B29" i="27" s="1"/>
  <c r="AC35" i="26"/>
  <c r="AA35" i="26"/>
  <c r="B23" i="27" s="1"/>
  <c r="Z35" i="26"/>
  <c r="X35" i="26"/>
  <c r="B20" i="27" s="1"/>
  <c r="W35" i="26"/>
  <c r="B19" i="27" s="1"/>
  <c r="U35" i="26"/>
  <c r="B17" i="27" s="1"/>
  <c r="T35" i="26"/>
  <c r="R35" i="26"/>
  <c r="B14" i="27" s="1"/>
  <c r="Q35" i="26"/>
  <c r="B13" i="27" s="1"/>
  <c r="O35" i="26"/>
  <c r="N35" i="26"/>
  <c r="L35" i="26"/>
  <c r="B11" i="27" s="1"/>
  <c r="K35" i="26"/>
  <c r="B10" i="27" s="1"/>
  <c r="I35" i="26"/>
  <c r="H35" i="26"/>
  <c r="J35" i="26" s="1"/>
  <c r="F35" i="26"/>
  <c r="E35" i="26"/>
  <c r="B7" i="27" s="1"/>
  <c r="C35" i="26"/>
  <c r="B5" i="27" s="1"/>
  <c r="B35" i="26"/>
  <c r="CO34" i="26"/>
  <c r="CO33" i="26"/>
  <c r="CO32" i="26"/>
  <c r="CO31" i="26"/>
  <c r="CO30" i="26"/>
  <c r="CO29" i="26"/>
  <c r="CO28" i="26"/>
  <c r="CO27" i="26"/>
  <c r="CO26" i="26"/>
  <c r="CO25" i="26"/>
  <c r="CN25" i="26"/>
  <c r="CG25" i="26"/>
  <c r="CD25" i="26"/>
  <c r="CA25" i="26"/>
  <c r="BX25" i="26"/>
  <c r="P25" i="26"/>
  <c r="J25" i="26"/>
  <c r="CO24" i="26"/>
  <c r="CN24" i="26"/>
  <c r="CG24" i="26"/>
  <c r="CD24" i="26"/>
  <c r="BX24" i="26"/>
  <c r="P24" i="26"/>
  <c r="M24" i="26"/>
  <c r="J24" i="26"/>
  <c r="G24" i="26"/>
  <c r="D24" i="26"/>
  <c r="CO23" i="26"/>
  <c r="CN23" i="26"/>
  <c r="CD23" i="26"/>
  <c r="CA23" i="26"/>
  <c r="BX23" i="26"/>
  <c r="BU23" i="26"/>
  <c r="BR23" i="26"/>
  <c r="BO23" i="26"/>
  <c r="BL23" i="26"/>
  <c r="BI23" i="26"/>
  <c r="BF23" i="26"/>
  <c r="BC23" i="26"/>
  <c r="AZ23" i="26"/>
  <c r="AW23" i="26"/>
  <c r="AQ23" i="26"/>
  <c r="AN23" i="26"/>
  <c r="AK23" i="26"/>
  <c r="AH23" i="26"/>
  <c r="AE23" i="26"/>
  <c r="AB23" i="26"/>
  <c r="Y23" i="26"/>
  <c r="V23" i="26"/>
  <c r="S23" i="26"/>
  <c r="J23" i="26"/>
  <c r="G23" i="26"/>
  <c r="D23" i="26"/>
  <c r="CO22" i="26"/>
  <c r="CN22" i="26"/>
  <c r="CD22" i="26"/>
  <c r="CA22" i="26"/>
  <c r="BX22" i="26"/>
  <c r="BU22" i="26"/>
  <c r="BR22" i="26"/>
  <c r="BO22" i="26"/>
  <c r="BL22" i="26"/>
  <c r="BI22" i="26"/>
  <c r="BF22" i="26"/>
  <c r="BC22" i="26"/>
  <c r="AZ22" i="26"/>
  <c r="AW22" i="26"/>
  <c r="AT22" i="26"/>
  <c r="AQ22" i="26"/>
  <c r="AN22" i="26"/>
  <c r="AK22" i="26"/>
  <c r="AH22" i="26"/>
  <c r="AE22" i="26"/>
  <c r="AB22" i="26"/>
  <c r="Y22" i="26"/>
  <c r="V22" i="26"/>
  <c r="S22" i="26"/>
  <c r="P22" i="26"/>
  <c r="M22" i="26"/>
  <c r="J22" i="26"/>
  <c r="G22" i="26"/>
  <c r="D22" i="26"/>
  <c r="CO21" i="26"/>
  <c r="CN21" i="26"/>
  <c r="CD21" i="26"/>
  <c r="CA21" i="26"/>
  <c r="BX21" i="26"/>
  <c r="BU21" i="26"/>
  <c r="BR21" i="26"/>
  <c r="BO21" i="26"/>
  <c r="BL21" i="26"/>
  <c r="AZ21" i="26"/>
  <c r="AW21" i="26"/>
  <c r="AT21" i="26"/>
  <c r="AQ21" i="26"/>
  <c r="AN21" i="26"/>
  <c r="AH21" i="26"/>
  <c r="S21" i="26"/>
  <c r="P21" i="26"/>
  <c r="M21" i="26"/>
  <c r="J21" i="26"/>
  <c r="G21" i="26"/>
  <c r="D21" i="26"/>
  <c r="CO20" i="26"/>
  <c r="CN20" i="26"/>
  <c r="CD20" i="26"/>
  <c r="CA20" i="26"/>
  <c r="BX20" i="26"/>
  <c r="BR20" i="26"/>
  <c r="BO20" i="26"/>
  <c r="BL20" i="26"/>
  <c r="AQ20" i="26"/>
  <c r="P20" i="26"/>
  <c r="M20" i="26"/>
  <c r="J20" i="26"/>
  <c r="G20" i="26"/>
  <c r="D20" i="26"/>
  <c r="CO19" i="26"/>
  <c r="CN19" i="26"/>
  <c r="BR19" i="26"/>
  <c r="BO19" i="26"/>
  <c r="BL19" i="26"/>
  <c r="AQ19" i="26"/>
  <c r="M19" i="26"/>
  <c r="J19" i="26"/>
  <c r="G19" i="26"/>
  <c r="D19" i="26"/>
  <c r="CO18" i="26"/>
  <c r="CN18" i="26"/>
  <c r="BL18" i="26"/>
  <c r="AQ18" i="26"/>
  <c r="M18" i="26"/>
  <c r="J18" i="26"/>
  <c r="G18" i="26"/>
  <c r="D18" i="26"/>
  <c r="CO17" i="26"/>
  <c r="CN17" i="26"/>
  <c r="CG17" i="26"/>
  <c r="BL17" i="26"/>
  <c r="AZ17" i="26"/>
  <c r="AW17" i="26"/>
  <c r="AT17" i="26"/>
  <c r="AQ17" i="26"/>
  <c r="M17" i="26"/>
  <c r="J17" i="26"/>
  <c r="G17" i="26"/>
  <c r="D17" i="26"/>
  <c r="CO16" i="26"/>
  <c r="CN16" i="26"/>
  <c r="CM16" i="26"/>
  <c r="CD16" i="26"/>
  <c r="CA16" i="26"/>
  <c r="BX16" i="26"/>
  <c r="BL16" i="26"/>
  <c r="AZ16" i="26"/>
  <c r="AW16" i="26"/>
  <c r="AT16" i="26"/>
  <c r="AQ16" i="26"/>
  <c r="P16" i="26"/>
  <c r="M16" i="26"/>
  <c r="J16" i="26"/>
  <c r="G16" i="26"/>
  <c r="D16" i="26"/>
  <c r="CO15" i="26"/>
  <c r="CN15" i="26"/>
  <c r="CD15" i="26"/>
  <c r="CA15" i="26"/>
  <c r="BU15" i="26"/>
  <c r="BR15" i="26"/>
  <c r="BO15" i="26"/>
  <c r="BL15" i="26"/>
  <c r="BI15" i="26"/>
  <c r="BF15" i="26"/>
  <c r="BC15" i="26"/>
  <c r="AZ15" i="26"/>
  <c r="AW15" i="26"/>
  <c r="AT15" i="26"/>
  <c r="AQ15" i="26"/>
  <c r="AE15" i="26"/>
  <c r="AB15" i="26"/>
  <c r="Y15" i="26"/>
  <c r="V15" i="26"/>
  <c r="S15" i="26"/>
  <c r="P15" i="26"/>
  <c r="M15" i="26"/>
  <c r="J15" i="26"/>
  <c r="G15" i="26"/>
  <c r="D15" i="26"/>
  <c r="CO14" i="26"/>
  <c r="CN14" i="26"/>
  <c r="CD14" i="26"/>
  <c r="CA14" i="26"/>
  <c r="BX14" i="26"/>
  <c r="BU14" i="26"/>
  <c r="BR14" i="26"/>
  <c r="BO14" i="26"/>
  <c r="BI14" i="26"/>
  <c r="BF14" i="26"/>
  <c r="BC14" i="26"/>
  <c r="AZ14" i="26"/>
  <c r="AW14" i="26"/>
  <c r="AT14" i="26"/>
  <c r="AQ14" i="26"/>
  <c r="AE14" i="26"/>
  <c r="AB14" i="26"/>
  <c r="Y14" i="26"/>
  <c r="V14" i="26"/>
  <c r="S14" i="26"/>
  <c r="M14" i="26"/>
  <c r="J14" i="26"/>
  <c r="G14" i="26"/>
  <c r="D14" i="26"/>
  <c r="CO13" i="26"/>
  <c r="CN13" i="26"/>
  <c r="CD13" i="26"/>
  <c r="BX13" i="26"/>
  <c r="BU13" i="26"/>
  <c r="BO13" i="26"/>
  <c r="BL13" i="26"/>
  <c r="BI13" i="26"/>
  <c r="BF13" i="26"/>
  <c r="BC13" i="26"/>
  <c r="AZ13" i="26"/>
  <c r="AW13" i="26"/>
  <c r="AT13" i="26"/>
  <c r="AQ13" i="26"/>
  <c r="AN13" i="26"/>
  <c r="AK13" i="26"/>
  <c r="AH13" i="26"/>
  <c r="AE13" i="26"/>
  <c r="AB13" i="26"/>
  <c r="Y13" i="26"/>
  <c r="V13" i="26"/>
  <c r="S13" i="26"/>
  <c r="M13" i="26"/>
  <c r="J13" i="26"/>
  <c r="G13" i="26"/>
  <c r="D13" i="26"/>
  <c r="CO12" i="26"/>
  <c r="CN12" i="26"/>
  <c r="CD12" i="26"/>
  <c r="BX12" i="26"/>
  <c r="BU12" i="26"/>
  <c r="BL12" i="26"/>
  <c r="BI12" i="26"/>
  <c r="BF12" i="26"/>
  <c r="BC12" i="26"/>
  <c r="AZ12" i="26"/>
  <c r="AW12" i="26"/>
  <c r="AT12" i="26"/>
  <c r="AQ12" i="26"/>
  <c r="AN12" i="26"/>
  <c r="AK12" i="26"/>
  <c r="AH12" i="26"/>
  <c r="AE12" i="26"/>
  <c r="AB12" i="26"/>
  <c r="Y12" i="26"/>
  <c r="V12" i="26"/>
  <c r="S12" i="26"/>
  <c r="P12" i="26"/>
  <c r="M12" i="26"/>
  <c r="J12" i="26"/>
  <c r="G12" i="26"/>
  <c r="D12" i="26"/>
  <c r="CO11" i="26"/>
  <c r="CD11" i="26"/>
  <c r="BX11" i="26"/>
  <c r="BL11" i="26"/>
  <c r="AW11" i="26"/>
  <c r="AT11" i="26"/>
  <c r="AQ11" i="26"/>
  <c r="AN11" i="26"/>
  <c r="AK11" i="26"/>
  <c r="AH11" i="26"/>
  <c r="AE11" i="26"/>
  <c r="AB11" i="26"/>
  <c r="Y11" i="26"/>
  <c r="V11" i="26"/>
  <c r="S11" i="26"/>
  <c r="P11" i="26"/>
  <c r="M11" i="26"/>
  <c r="J11" i="26"/>
  <c r="G11" i="26"/>
  <c r="D11" i="26"/>
  <c r="CO10" i="26"/>
  <c r="CD10" i="26"/>
  <c r="CA10" i="26"/>
  <c r="BX10" i="26"/>
  <c r="BL10" i="26"/>
  <c r="AT10" i="26"/>
  <c r="AQ10" i="26"/>
  <c r="AN10" i="26"/>
  <c r="AK10" i="26"/>
  <c r="AH10" i="26"/>
  <c r="AE10" i="26"/>
  <c r="AB10" i="26"/>
  <c r="Y10" i="26"/>
  <c r="V10" i="26"/>
  <c r="S10" i="26"/>
  <c r="P10" i="26"/>
  <c r="M10" i="26"/>
  <c r="J10" i="26"/>
  <c r="G10" i="26"/>
  <c r="D10" i="26"/>
  <c r="CO9" i="26"/>
  <c r="CM9" i="26"/>
  <c r="CJ9" i="26"/>
  <c r="CG9" i="26"/>
  <c r="CD9" i="26"/>
  <c r="CA9" i="26"/>
  <c r="BX9" i="26"/>
  <c r="BU9" i="26"/>
  <c r="BR9" i="26"/>
  <c r="BL9" i="26"/>
  <c r="BI9" i="26"/>
  <c r="BF9" i="26"/>
  <c r="BC9" i="26"/>
  <c r="AZ9" i="26"/>
  <c r="AW9" i="26"/>
  <c r="AT9" i="26"/>
  <c r="AQ9" i="26"/>
  <c r="AN9" i="26"/>
  <c r="AK9" i="26"/>
  <c r="AH9" i="26"/>
  <c r="AE9" i="26"/>
  <c r="AB9" i="26"/>
  <c r="Y9" i="26"/>
  <c r="V9" i="26"/>
  <c r="S9" i="26"/>
  <c r="P9" i="26"/>
  <c r="M9" i="26"/>
  <c r="J9" i="26"/>
  <c r="G9" i="26"/>
  <c r="D9" i="26"/>
  <c r="CO8" i="26"/>
  <c r="CM8" i="26"/>
  <c r="CJ8" i="26"/>
  <c r="CG8" i="26"/>
  <c r="CD8" i="26"/>
  <c r="CA8" i="26"/>
  <c r="BX8" i="26"/>
  <c r="BL8" i="26"/>
  <c r="BI8" i="26"/>
  <c r="BF8" i="26"/>
  <c r="BC8" i="26"/>
  <c r="AZ8" i="26"/>
  <c r="AW8" i="26"/>
  <c r="AT8" i="26"/>
  <c r="AQ8" i="26"/>
  <c r="AN8" i="26"/>
  <c r="AK8" i="26"/>
  <c r="AE8" i="26"/>
  <c r="AB8" i="26"/>
  <c r="Y8" i="26"/>
  <c r="V8" i="26"/>
  <c r="S8" i="26"/>
  <c r="P8" i="26"/>
  <c r="M8" i="26"/>
  <c r="J8" i="26"/>
  <c r="D8" i="26"/>
  <c r="CO7" i="26"/>
  <c r="BX7" i="26"/>
  <c r="BU7" i="26"/>
  <c r="BR7" i="26"/>
  <c r="BO7" i="26"/>
  <c r="BL7" i="26"/>
  <c r="AZ7" i="26"/>
  <c r="AW7" i="26"/>
  <c r="AT7" i="26"/>
  <c r="AB7" i="26"/>
  <c r="Y7" i="26"/>
  <c r="V7" i="26"/>
  <c r="S7" i="26"/>
  <c r="M7" i="26"/>
  <c r="J7" i="26"/>
  <c r="G7" i="26"/>
  <c r="D7" i="26"/>
  <c r="CO6" i="26"/>
  <c r="CG6" i="26"/>
  <c r="BX6" i="26"/>
  <c r="BU6" i="26"/>
  <c r="BR6" i="26"/>
  <c r="BO6" i="26"/>
  <c r="BL6" i="26"/>
  <c r="AZ6" i="26"/>
  <c r="AW6" i="26"/>
  <c r="AE6" i="26"/>
  <c r="AB6" i="26"/>
  <c r="Y6" i="26"/>
  <c r="V6" i="26"/>
  <c r="S6" i="26"/>
  <c r="P6" i="26"/>
  <c r="M6" i="26"/>
  <c r="J6" i="26"/>
  <c r="G6" i="26"/>
  <c r="D6" i="26"/>
  <c r="CO5" i="26"/>
  <c r="CN5" i="26"/>
  <c r="BX5" i="26"/>
  <c r="BU5" i="26"/>
  <c r="BR5" i="26"/>
  <c r="BO5" i="26"/>
  <c r="BL5" i="26"/>
  <c r="P5" i="26"/>
  <c r="M5" i="26"/>
  <c r="J5" i="26"/>
  <c r="G5" i="26"/>
  <c r="D5" i="26"/>
  <c r="BX33" i="24"/>
  <c r="BX34" i="24"/>
  <c r="BR33" i="24"/>
  <c r="BR34" i="24"/>
  <c r="AZ33" i="24"/>
  <c r="BC33" i="24"/>
  <c r="BF33" i="24"/>
  <c r="BI33" i="24"/>
  <c r="AZ34" i="24"/>
  <c r="BC34" i="24"/>
  <c r="BF34" i="24"/>
  <c r="BI34" i="24"/>
  <c r="AQ32" i="24"/>
  <c r="AQ33" i="24"/>
  <c r="AQ34" i="24"/>
  <c r="AN33" i="24"/>
  <c r="AH33" i="24"/>
  <c r="AK33" i="24"/>
  <c r="AH34" i="24"/>
  <c r="AK34" i="24"/>
  <c r="AE33" i="24"/>
  <c r="AE34" i="24"/>
  <c r="AH32" i="24"/>
  <c r="AK32" i="24"/>
  <c r="AN32" i="24"/>
  <c r="BX32" i="24"/>
  <c r="BR31" i="24"/>
  <c r="BR32" i="24"/>
  <c r="AH31" i="24"/>
  <c r="AK31" i="24"/>
  <c r="AN31" i="24"/>
  <c r="AQ31" i="24"/>
  <c r="V31" i="24"/>
  <c r="AB31" i="24"/>
  <c r="AH29" i="24"/>
  <c r="AK29" i="24"/>
  <c r="AN29" i="24"/>
  <c r="AQ29" i="24"/>
  <c r="V29" i="24"/>
  <c r="Y29" i="24"/>
  <c r="AB29" i="24"/>
  <c r="CM27" i="24"/>
  <c r="CJ27" i="24"/>
  <c r="CG28" i="24"/>
  <c r="CJ28" i="24"/>
  <c r="CM28" i="24"/>
  <c r="CJ25" i="24"/>
  <c r="CJ26" i="24"/>
  <c r="CJ24" i="24"/>
  <c r="CM24" i="24"/>
  <c r="CA28" i="24"/>
  <c r="CD28" i="24"/>
  <c r="BX24" i="24"/>
  <c r="CA24" i="24"/>
  <c r="CD24" i="24"/>
  <c r="BX25" i="24"/>
  <c r="CA25" i="24"/>
  <c r="CD25" i="24"/>
  <c r="BX26" i="24"/>
  <c r="CA26" i="24"/>
  <c r="CD26" i="24"/>
  <c r="BX27" i="24"/>
  <c r="CA27" i="24"/>
  <c r="CD27" i="24"/>
  <c r="AT28" i="24"/>
  <c r="AW28" i="24"/>
  <c r="AZ28" i="24"/>
  <c r="BC28" i="24"/>
  <c r="BF28" i="24"/>
  <c r="BI28" i="24"/>
  <c r="BC27" i="24"/>
  <c r="AZ23" i="24"/>
  <c r="AZ24" i="24"/>
  <c r="AZ25" i="24"/>
  <c r="BI23" i="24"/>
  <c r="BI24" i="24"/>
  <c r="BI25" i="24"/>
  <c r="BC24" i="24"/>
  <c r="BF24" i="24"/>
  <c r="AT23" i="24"/>
  <c r="AT24" i="24"/>
  <c r="AN24" i="24"/>
  <c r="AQ24" i="24"/>
  <c r="AN25" i="24"/>
  <c r="AQ25" i="24"/>
  <c r="AN26" i="24"/>
  <c r="AQ26" i="24"/>
  <c r="AN27" i="24"/>
  <c r="AQ27" i="24"/>
  <c r="AN28" i="24"/>
  <c r="AQ28" i="24"/>
  <c r="AK27" i="24"/>
  <c r="AK28" i="24"/>
  <c r="AH28" i="24"/>
  <c r="AE27" i="24"/>
  <c r="AE28" i="24"/>
  <c r="Y25" i="24"/>
  <c r="AB25" i="24"/>
  <c r="Y26" i="24"/>
  <c r="AB26" i="24"/>
  <c r="V27" i="24"/>
  <c r="Y27" i="24"/>
  <c r="AB27" i="24"/>
  <c r="V28" i="24"/>
  <c r="Y28" i="24"/>
  <c r="AB28" i="24"/>
  <c r="P24" i="24"/>
  <c r="P25" i="24"/>
  <c r="P26" i="24"/>
  <c r="P27" i="24"/>
  <c r="P28" i="24"/>
  <c r="CG19" i="24"/>
  <c r="CG20" i="24"/>
  <c r="CG21" i="24"/>
  <c r="CG22" i="24"/>
  <c r="CJ18" i="24"/>
  <c r="CM18" i="24"/>
  <c r="CJ19" i="24"/>
  <c r="CM19" i="24"/>
  <c r="CJ20" i="24"/>
  <c r="CM20" i="24"/>
  <c r="CJ21" i="24"/>
  <c r="CM21" i="24"/>
  <c r="CJ22" i="24"/>
  <c r="CM22" i="24"/>
  <c r="BX20" i="24"/>
  <c r="BX21" i="24"/>
  <c r="BX22" i="24"/>
  <c r="CA18" i="24"/>
  <c r="CD18" i="24"/>
  <c r="CA19" i="24"/>
  <c r="CD19" i="24"/>
  <c r="CA20" i="24"/>
  <c r="CD20" i="24"/>
  <c r="CA21" i="24"/>
  <c r="CD21" i="24"/>
  <c r="CA22" i="24"/>
  <c r="CD22" i="24"/>
  <c r="BO18" i="24"/>
  <c r="BR18" i="24"/>
  <c r="BO19" i="24"/>
  <c r="BR19" i="24"/>
  <c r="BO20" i="24"/>
  <c r="BR20" i="24"/>
  <c r="BO21" i="24"/>
  <c r="BR21" i="24"/>
  <c r="BO22" i="24"/>
  <c r="BR22" i="24"/>
  <c r="BI22" i="24"/>
  <c r="AT22" i="24"/>
  <c r="AE22" i="24"/>
  <c r="AH22" i="24"/>
  <c r="AK22" i="24"/>
  <c r="AN22" i="24"/>
  <c r="AQ22" i="24"/>
  <c r="AE21" i="24"/>
  <c r="AH21" i="24"/>
  <c r="AK21" i="24"/>
  <c r="AN21" i="24"/>
  <c r="AQ21" i="24"/>
  <c r="AE20" i="24"/>
  <c r="AH20" i="24"/>
  <c r="AK20" i="24"/>
  <c r="AN20" i="24"/>
  <c r="AQ20" i="24"/>
  <c r="AE19" i="24"/>
  <c r="AH19" i="24"/>
  <c r="AK19" i="24"/>
  <c r="AN19" i="24"/>
  <c r="AQ19" i="24"/>
  <c r="Y18" i="24"/>
  <c r="AB18" i="24"/>
  <c r="AE18" i="24"/>
  <c r="AH18" i="24"/>
  <c r="AK18" i="24"/>
  <c r="AN18" i="24"/>
  <c r="AQ18" i="24"/>
  <c r="P19" i="24"/>
  <c r="P20" i="24"/>
  <c r="P21" i="24"/>
  <c r="P22" i="24"/>
  <c r="CG14" i="24"/>
  <c r="CJ14" i="24"/>
  <c r="CM14" i="24"/>
  <c r="CG15" i="24"/>
  <c r="CJ15" i="24"/>
  <c r="CM15" i="24"/>
  <c r="CG16" i="24"/>
  <c r="CJ16" i="24"/>
  <c r="CM16" i="24"/>
  <c r="CG17" i="24"/>
  <c r="CJ17" i="24"/>
  <c r="CM17" i="24"/>
  <c r="BU15" i="24"/>
  <c r="BO15" i="24"/>
  <c r="BR15" i="24"/>
  <c r="BO16" i="24"/>
  <c r="BR16" i="24"/>
  <c r="BO17" i="24"/>
  <c r="BR17" i="24"/>
  <c r="AZ17" i="24"/>
  <c r="BC17" i="24"/>
  <c r="BF17" i="24"/>
  <c r="BI17" i="24"/>
  <c r="AW16" i="24"/>
  <c r="AZ16" i="24"/>
  <c r="BC16" i="24"/>
  <c r="BF16" i="24"/>
  <c r="BI16" i="24"/>
  <c r="BC15" i="24"/>
  <c r="BF15" i="24"/>
  <c r="BI15" i="24"/>
  <c r="Y17" i="24"/>
  <c r="AB17" i="24"/>
  <c r="AE17" i="24"/>
  <c r="AH17" i="24"/>
  <c r="AK17" i="24"/>
  <c r="AN17" i="24"/>
  <c r="AQ17" i="24"/>
  <c r="Y16" i="24"/>
  <c r="AB16" i="24"/>
  <c r="AE16" i="24"/>
  <c r="AH16" i="24"/>
  <c r="AK16" i="24"/>
  <c r="AN16" i="24"/>
  <c r="AQ16" i="24"/>
  <c r="V15" i="24"/>
  <c r="Y15" i="24"/>
  <c r="AB15" i="24"/>
  <c r="AE15" i="24"/>
  <c r="AH15" i="24"/>
  <c r="AK15" i="24"/>
  <c r="AN15" i="24"/>
  <c r="AQ15" i="24"/>
  <c r="CG11" i="24"/>
  <c r="CJ11" i="24"/>
  <c r="CM11" i="24"/>
  <c r="CG12" i="24"/>
  <c r="CJ12" i="24"/>
  <c r="CM12" i="24"/>
  <c r="CG13" i="24"/>
  <c r="CJ13" i="24"/>
  <c r="CM13" i="24"/>
  <c r="CA14" i="24"/>
  <c r="CA12" i="24"/>
  <c r="CD12" i="24"/>
  <c r="CA13" i="24"/>
  <c r="CD13" i="24"/>
  <c r="BX11" i="24"/>
  <c r="CA11" i="24"/>
  <c r="CD11" i="24"/>
  <c r="BU11" i="24"/>
  <c r="BU12" i="24"/>
  <c r="BU13" i="24"/>
  <c r="BU14" i="24"/>
  <c r="BO11" i="24"/>
  <c r="BR11" i="24"/>
  <c r="BO12" i="24"/>
  <c r="BR12" i="24"/>
  <c r="BO13" i="24"/>
  <c r="BR13" i="24"/>
  <c r="BO14" i="24"/>
  <c r="BR14" i="24"/>
  <c r="AT14" i="24"/>
  <c r="AZ13" i="24"/>
  <c r="BC13" i="24"/>
  <c r="BF13" i="24"/>
  <c r="BI13" i="24"/>
  <c r="AZ14" i="24"/>
  <c r="BC14" i="24"/>
  <c r="BF14" i="24"/>
  <c r="BI14" i="24"/>
  <c r="AZ12" i="24"/>
  <c r="BC12" i="24"/>
  <c r="BF12" i="24"/>
  <c r="BI12" i="24"/>
  <c r="AW11" i="24"/>
  <c r="AZ11" i="24"/>
  <c r="BC11" i="24"/>
  <c r="BF11" i="24"/>
  <c r="BI11" i="24"/>
  <c r="AT11" i="24"/>
  <c r="Y13" i="24"/>
  <c r="AB13" i="24"/>
  <c r="AE13" i="24"/>
  <c r="AH13" i="24"/>
  <c r="AK13" i="24"/>
  <c r="AN13" i="24"/>
  <c r="AQ13" i="24"/>
  <c r="V14" i="24"/>
  <c r="Y14" i="24"/>
  <c r="AB14" i="24"/>
  <c r="AE14" i="24"/>
  <c r="AH14" i="24"/>
  <c r="AK14" i="24"/>
  <c r="AN14" i="24"/>
  <c r="AQ14" i="24"/>
  <c r="S14" i="24"/>
  <c r="V12" i="24"/>
  <c r="Y12" i="24"/>
  <c r="AB12" i="24"/>
  <c r="AE12" i="24"/>
  <c r="AH12" i="24"/>
  <c r="AK12" i="24"/>
  <c r="AN12" i="24"/>
  <c r="AQ12" i="24"/>
  <c r="AH11" i="24"/>
  <c r="AK11" i="24"/>
  <c r="AN11" i="24"/>
  <c r="AQ11" i="24"/>
  <c r="V11" i="24"/>
  <c r="Y11" i="24"/>
  <c r="AB11" i="24"/>
  <c r="AE11" i="24"/>
  <c r="CP36" i="45" l="1"/>
  <c r="CP35" i="42"/>
  <c r="B30" i="39"/>
  <c r="B27" i="39"/>
  <c r="CP36" i="38"/>
  <c r="B30" i="37"/>
  <c r="B27" i="37"/>
  <c r="H15" i="35"/>
  <c r="H12" i="35"/>
  <c r="H6" i="35"/>
  <c r="E18" i="35"/>
  <c r="B39" i="35"/>
  <c r="E6" i="35"/>
  <c r="E9" i="35"/>
  <c r="B33" i="35"/>
  <c r="B18" i="35"/>
  <c r="B24" i="35"/>
  <c r="B15" i="35"/>
  <c r="B12" i="35"/>
  <c r="B9" i="35"/>
  <c r="B6" i="35"/>
  <c r="B27" i="35"/>
  <c r="B30" i="35"/>
  <c r="CP33" i="30"/>
  <c r="B30" i="29"/>
  <c r="B27" i="29"/>
  <c r="CP36" i="28"/>
  <c r="CM35" i="26"/>
  <c r="BI35" i="26"/>
  <c r="E15" i="27" s="1"/>
  <c r="CD35" i="26"/>
  <c r="BO35" i="26"/>
  <c r="H6" i="27" s="1"/>
  <c r="AW35" i="26"/>
  <c r="BU35" i="26"/>
  <c r="H12" i="27" s="1"/>
  <c r="H4" i="27"/>
  <c r="H8" i="27"/>
  <c r="AB35" i="26"/>
  <c r="B24" i="27" s="1"/>
  <c r="AE35" i="26"/>
  <c r="B30" i="27" s="1"/>
  <c r="CP7" i="26"/>
  <c r="CG35" i="26"/>
  <c r="H17" i="27"/>
  <c r="H18" i="27" s="1"/>
  <c r="BX35" i="26"/>
  <c r="H15" i="27" s="1"/>
  <c r="H14" i="27"/>
  <c r="BR35" i="26"/>
  <c r="BF35" i="26"/>
  <c r="E12" i="27" s="1"/>
  <c r="E10" i="27"/>
  <c r="E13" i="27"/>
  <c r="AZ35" i="26"/>
  <c r="E6" i="27" s="1"/>
  <c r="V35" i="26"/>
  <c r="B18" i="27" s="1"/>
  <c r="B26" i="27"/>
  <c r="B25" i="27"/>
  <c r="S35" i="26"/>
  <c r="B15" i="27" s="1"/>
  <c r="AH35" i="26"/>
  <c r="B33" i="27" s="1"/>
  <c r="B31" i="27"/>
  <c r="B16" i="27"/>
  <c r="B28" i="27"/>
  <c r="B22" i="27"/>
  <c r="Y35" i="26"/>
  <c r="B21" i="27" s="1"/>
  <c r="P35" i="26"/>
  <c r="G35" i="26"/>
  <c r="B9" i="27" s="1"/>
  <c r="D35" i="26"/>
  <c r="B6" i="27" s="1"/>
  <c r="B8" i="27"/>
  <c r="B4" i="27"/>
  <c r="M35" i="26"/>
  <c r="B12" i="27" s="1"/>
  <c r="BL35" i="26"/>
  <c r="E18" i="27" s="1"/>
  <c r="BC35" i="26"/>
  <c r="E9" i="27" s="1"/>
  <c r="AT35" i="26"/>
  <c r="B42" i="27" s="1"/>
  <c r="CP33" i="26"/>
  <c r="CP8" i="26"/>
  <c r="CP9" i="26"/>
  <c r="CP10" i="26"/>
  <c r="CP11" i="26"/>
  <c r="CP16" i="26"/>
  <c r="CP6" i="26"/>
  <c r="CP28" i="26"/>
  <c r="CP15" i="26"/>
  <c r="CP18" i="26"/>
  <c r="CP31" i="26"/>
  <c r="CP12" i="26"/>
  <c r="CN35" i="26"/>
  <c r="CO35" i="26"/>
  <c r="CP30" i="26"/>
  <c r="CP27" i="26"/>
  <c r="CP19" i="26"/>
  <c r="CP14" i="26"/>
  <c r="CP17" i="26"/>
  <c r="CP13" i="26"/>
  <c r="CP29" i="26"/>
  <c r="CP34" i="26"/>
  <c r="CP32" i="26"/>
  <c r="CP20" i="26"/>
  <c r="CP21" i="26"/>
  <c r="CP22" i="26"/>
  <c r="CP23" i="26"/>
  <c r="CP24" i="26"/>
  <c r="CP25" i="26"/>
  <c r="CP26" i="26"/>
  <c r="CP5" i="26"/>
  <c r="AH10" i="24"/>
  <c r="AK10" i="24"/>
  <c r="AN10" i="24"/>
  <c r="AQ10" i="24"/>
  <c r="V10" i="24"/>
  <c r="Y10" i="24"/>
  <c r="AB10" i="24"/>
  <c r="CG9" i="24"/>
  <c r="CJ9" i="24"/>
  <c r="CM9" i="24"/>
  <c r="BU9" i="24"/>
  <c r="BO9" i="24"/>
  <c r="BR9" i="24"/>
  <c r="AT9" i="24"/>
  <c r="AW9" i="24"/>
  <c r="AZ9" i="24"/>
  <c r="BC9" i="24"/>
  <c r="BF9" i="24"/>
  <c r="BI9" i="24"/>
  <c r="CG5" i="24"/>
  <c r="CJ5" i="24"/>
  <c r="CM5" i="24"/>
  <c r="CG6" i="24"/>
  <c r="CJ6" i="24"/>
  <c r="CM6" i="24"/>
  <c r="CG7" i="24"/>
  <c r="CJ7" i="24"/>
  <c r="CM7" i="24"/>
  <c r="CG8" i="24"/>
  <c r="CJ8" i="24"/>
  <c r="CM8" i="24"/>
  <c r="CA7" i="24"/>
  <c r="CD7" i="24"/>
  <c r="CA8" i="24"/>
  <c r="CD8" i="24"/>
  <c r="BX5" i="24"/>
  <c r="CA5" i="24"/>
  <c r="CD5" i="24"/>
  <c r="BX6" i="24"/>
  <c r="CA6" i="24"/>
  <c r="CD6" i="24"/>
  <c r="BO8" i="24"/>
  <c r="BR8" i="24"/>
  <c r="BO6" i="24"/>
  <c r="BR6" i="24"/>
  <c r="BU6" i="24"/>
  <c r="BO7" i="24"/>
  <c r="BR7" i="24"/>
  <c r="BU7" i="24"/>
  <c r="BC5" i="24"/>
  <c r="BF5" i="24"/>
  <c r="BI5" i="24"/>
  <c r="AT6" i="24"/>
  <c r="AW6" i="24"/>
  <c r="AZ6" i="24"/>
  <c r="BC6" i="24"/>
  <c r="BF6" i="24"/>
  <c r="BI6" i="24"/>
  <c r="AT7" i="24"/>
  <c r="AW7" i="24"/>
  <c r="AZ7" i="24"/>
  <c r="BC7" i="24"/>
  <c r="BF7" i="24"/>
  <c r="BI7" i="24"/>
  <c r="AT8" i="24"/>
  <c r="AW8" i="24"/>
  <c r="AZ8" i="24"/>
  <c r="BC8" i="24"/>
  <c r="BF8" i="24"/>
  <c r="BI8" i="24"/>
  <c r="AE8" i="24"/>
  <c r="AK8" i="24"/>
  <c r="AN8" i="24"/>
  <c r="AQ8" i="24"/>
  <c r="V8" i="24"/>
  <c r="Y8" i="24"/>
  <c r="AE6" i="24"/>
  <c r="AE5" i="24"/>
  <c r="AB5" i="24"/>
  <c r="Y5" i="24"/>
  <c r="Y6" i="24"/>
  <c r="BL11" i="24"/>
  <c r="BL12" i="24"/>
  <c r="BL13" i="24"/>
  <c r="BL15" i="24"/>
  <c r="CL35" i="24"/>
  <c r="CK35" i="24"/>
  <c r="CI35" i="24"/>
  <c r="CH35" i="24"/>
  <c r="CF35" i="24"/>
  <c r="H17" i="25" s="1"/>
  <c r="CE35" i="24"/>
  <c r="H16" i="25" s="1"/>
  <c r="BZ35" i="24"/>
  <c r="BY35" i="24"/>
  <c r="CC35" i="24"/>
  <c r="CB35" i="24"/>
  <c r="BW35" i="24"/>
  <c r="H14" i="25" s="1"/>
  <c r="BV35" i="24"/>
  <c r="H13" i="25" s="1"/>
  <c r="BU34" i="24"/>
  <c r="BM35" i="24"/>
  <c r="H4" i="25" s="1"/>
  <c r="BN35" i="24"/>
  <c r="H5" i="25" s="1"/>
  <c r="BJ35" i="24"/>
  <c r="E16" i="25" s="1"/>
  <c r="BK35" i="24"/>
  <c r="E17" i="25" s="1"/>
  <c r="BB35" i="24"/>
  <c r="E8" i="25" s="1"/>
  <c r="BA35" i="24"/>
  <c r="E7" i="25" s="1"/>
  <c r="BH35" i="24"/>
  <c r="E14" i="25" s="1"/>
  <c r="BG35" i="24"/>
  <c r="E13" i="25" s="1"/>
  <c r="AY35" i="24"/>
  <c r="E5" i="25" s="1"/>
  <c r="AX35" i="24"/>
  <c r="E4" i="25" s="1"/>
  <c r="AS35" i="24"/>
  <c r="B41" i="25" s="1"/>
  <c r="AA35" i="24"/>
  <c r="B23" i="25" s="1"/>
  <c r="Z35" i="24"/>
  <c r="B22" i="25" s="1"/>
  <c r="V34" i="24"/>
  <c r="Y34" i="24"/>
  <c r="AD35" i="24"/>
  <c r="B26" i="25" s="1"/>
  <c r="AC35" i="24"/>
  <c r="B28" i="25" s="1"/>
  <c r="R35" i="24"/>
  <c r="B14" i="25" s="1"/>
  <c r="Q35" i="24"/>
  <c r="B13" i="25" s="1"/>
  <c r="F35" i="24"/>
  <c r="B8" i="25" s="1"/>
  <c r="E35" i="24"/>
  <c r="B7" i="25" s="1"/>
  <c r="C35" i="24"/>
  <c r="B5" i="25" s="1"/>
  <c r="B35" i="24"/>
  <c r="L35" i="24"/>
  <c r="B11" i="25" s="1"/>
  <c r="K35" i="24"/>
  <c r="B10" i="25" s="1"/>
  <c r="CN6" i="24"/>
  <c r="CN7" i="24"/>
  <c r="CN8" i="24"/>
  <c r="CN9" i="24"/>
  <c r="CN10" i="24"/>
  <c r="CN11" i="24"/>
  <c r="CN12" i="24"/>
  <c r="CN13" i="24"/>
  <c r="CN14" i="24"/>
  <c r="CN15" i="24"/>
  <c r="CN16" i="24"/>
  <c r="CN17" i="24"/>
  <c r="CN18" i="24"/>
  <c r="CN19" i="24"/>
  <c r="CN20" i="24"/>
  <c r="CN21" i="24"/>
  <c r="CN22" i="24"/>
  <c r="CN23" i="24"/>
  <c r="CN24" i="24"/>
  <c r="CN25" i="24"/>
  <c r="CN26" i="24"/>
  <c r="CN27" i="24"/>
  <c r="CN28" i="24"/>
  <c r="CN29" i="24"/>
  <c r="CN30" i="24"/>
  <c r="CN33" i="24"/>
  <c r="CN34" i="24"/>
  <c r="CN5" i="24"/>
  <c r="BX28" i="24"/>
  <c r="BX29" i="24"/>
  <c r="BX30" i="24"/>
  <c r="BX31" i="24"/>
  <c r="BF32" i="24"/>
  <c r="BI32" i="24"/>
  <c r="AW32" i="24"/>
  <c r="AZ32" i="24"/>
  <c r="BC32" i="24"/>
  <c r="V33" i="24"/>
  <c r="Y33" i="24"/>
  <c r="BU29" i="24"/>
  <c r="BU30" i="24"/>
  <c r="BO29" i="24"/>
  <c r="BR29" i="24"/>
  <c r="BR30" i="24"/>
  <c r="AW29" i="24"/>
  <c r="AZ29" i="24"/>
  <c r="BC29" i="24"/>
  <c r="BF29" i="24"/>
  <c r="BI29" i="24"/>
  <c r="AW30" i="24"/>
  <c r="AZ30" i="24"/>
  <c r="BC30" i="24"/>
  <c r="BF30" i="24"/>
  <c r="BI30" i="24"/>
  <c r="AW31" i="24"/>
  <c r="AZ31" i="24"/>
  <c r="BC31" i="24"/>
  <c r="BF31" i="24"/>
  <c r="BI31" i="24"/>
  <c r="V30" i="24"/>
  <c r="AH30" i="24"/>
  <c r="AN30" i="24"/>
  <c r="AQ30" i="24"/>
  <c r="AE26" i="24"/>
  <c r="AH26" i="24"/>
  <c r="J26" i="24"/>
  <c r="M26" i="24"/>
  <c r="G26" i="24"/>
  <c r="AE25" i="24"/>
  <c r="AH25" i="24"/>
  <c r="AK25" i="24"/>
  <c r="V25" i="24"/>
  <c r="AT25" i="24"/>
  <c r="AW25" i="24"/>
  <c r="BC25" i="24"/>
  <c r="BF25" i="24"/>
  <c r="AZ22" i="24"/>
  <c r="CO22" i="24"/>
  <c r="CO23" i="24"/>
  <c r="CJ23" i="24"/>
  <c r="CM23" i="24"/>
  <c r="BX23" i="24"/>
  <c r="CA23" i="24"/>
  <c r="CD23" i="24"/>
  <c r="BU21" i="24"/>
  <c r="BU22" i="24"/>
  <c r="BO23" i="24"/>
  <c r="BR23" i="24"/>
  <c r="BU23" i="24"/>
  <c r="BO24" i="24"/>
  <c r="BR24" i="24"/>
  <c r="BU24" i="24"/>
  <c r="AZ21" i="24"/>
  <c r="BC21" i="24"/>
  <c r="BF21" i="24"/>
  <c r="BI21" i="24"/>
  <c r="AW21" i="24"/>
  <c r="AW22" i="24"/>
  <c r="BC22" i="24"/>
  <c r="BF22" i="24"/>
  <c r="AW23" i="24"/>
  <c r="BC23" i="24"/>
  <c r="BF23" i="24"/>
  <c r="AW24" i="24"/>
  <c r="V24" i="24"/>
  <c r="Y24" i="24"/>
  <c r="AB24" i="24"/>
  <c r="AE24" i="24"/>
  <c r="AH24" i="24"/>
  <c r="AK24" i="24"/>
  <c r="Y23" i="24"/>
  <c r="AB23" i="24"/>
  <c r="AE23" i="24"/>
  <c r="AH23" i="24"/>
  <c r="AK23" i="24"/>
  <c r="AN23" i="24"/>
  <c r="AQ23" i="24"/>
  <c r="AB21" i="24"/>
  <c r="B39" i="25"/>
  <c r="B38" i="25"/>
  <c r="B37" i="25"/>
  <c r="B36" i="25"/>
  <c r="B35" i="25"/>
  <c r="B34" i="25"/>
  <c r="CD17" i="24"/>
  <c r="BX17" i="24"/>
  <c r="CA17" i="24"/>
  <c r="BX18" i="24"/>
  <c r="BX19" i="24"/>
  <c r="AW18" i="24"/>
  <c r="AZ18" i="24"/>
  <c r="BC18" i="24"/>
  <c r="BF18" i="24"/>
  <c r="BI18" i="24"/>
  <c r="AT16" i="24"/>
  <c r="AT17" i="24"/>
  <c r="AW17" i="24"/>
  <c r="AQ9" i="24"/>
  <c r="AQ7" i="24"/>
  <c r="AT10" i="24"/>
  <c r="AT12" i="24"/>
  <c r="AT13" i="24"/>
  <c r="AT15" i="24"/>
  <c r="AT18" i="24"/>
  <c r="AT19" i="24"/>
  <c r="AT20" i="24"/>
  <c r="AT21" i="24"/>
  <c r="AT26" i="24"/>
  <c r="AT27" i="24"/>
  <c r="AT33" i="24"/>
  <c r="AT34" i="24"/>
  <c r="BX16" i="24"/>
  <c r="CA16" i="24"/>
  <c r="BX13" i="24"/>
  <c r="BX14" i="24"/>
  <c r="CD14" i="24"/>
  <c r="BX15" i="24"/>
  <c r="CA15" i="24"/>
  <c r="CD15" i="24"/>
  <c r="CD16" i="24"/>
  <c r="CD10" i="24"/>
  <c r="CD9" i="24"/>
  <c r="AW15" i="24"/>
  <c r="AZ15" i="24"/>
  <c r="AW14" i="24"/>
  <c r="AW13" i="24"/>
  <c r="AN34" i="24"/>
  <c r="AN9" i="24"/>
  <c r="AN7" i="24"/>
  <c r="V13" i="24"/>
  <c r="G15" i="24"/>
  <c r="J15" i="24"/>
  <c r="M15" i="24"/>
  <c r="G14" i="24"/>
  <c r="J14" i="24"/>
  <c r="M14" i="24"/>
  <c r="G13" i="24"/>
  <c r="J13" i="24"/>
  <c r="M13" i="24"/>
  <c r="BX8" i="24"/>
  <c r="BX9" i="24"/>
  <c r="CA9" i="24"/>
  <c r="CA10" i="24"/>
  <c r="BU8" i="24"/>
  <c r="BU10" i="24"/>
  <c r="BO10" i="24"/>
  <c r="AW12" i="24"/>
  <c r="AW10" i="24"/>
  <c r="AZ10" i="24"/>
  <c r="BC10" i="24"/>
  <c r="BF10" i="24"/>
  <c r="BI10" i="24"/>
  <c r="V9" i="24"/>
  <c r="Y9" i="24"/>
  <c r="AE7" i="24"/>
  <c r="V7" i="24"/>
  <c r="Y7" i="24"/>
  <c r="BR5" i="24"/>
  <c r="BU5" i="24"/>
  <c r="BQ8" i="25"/>
  <c r="BT35" i="24"/>
  <c r="H11" i="25" s="1"/>
  <c r="BS35" i="24"/>
  <c r="H10" i="25" s="1"/>
  <c r="BQ35" i="24"/>
  <c r="H9" i="25" s="1"/>
  <c r="BP35" i="24"/>
  <c r="H7" i="25" s="1"/>
  <c r="BE35" i="24"/>
  <c r="E11" i="25" s="1"/>
  <c r="BD35" i="24"/>
  <c r="E10" i="25" s="1"/>
  <c r="AV35" i="24"/>
  <c r="AU35" i="24"/>
  <c r="AG35" i="24"/>
  <c r="B32" i="25" s="1"/>
  <c r="AF35" i="24"/>
  <c r="B31" i="25" s="1"/>
  <c r="X35" i="24"/>
  <c r="B20" i="25" s="1"/>
  <c r="W35" i="24"/>
  <c r="B19" i="25" s="1"/>
  <c r="U35" i="24"/>
  <c r="B17" i="25" s="1"/>
  <c r="T35" i="24"/>
  <c r="B16" i="25" s="1"/>
  <c r="O35" i="24"/>
  <c r="N35" i="24"/>
  <c r="I35" i="24"/>
  <c r="H35" i="24"/>
  <c r="CO34" i="24"/>
  <c r="BL34" i="24"/>
  <c r="AB34" i="24"/>
  <c r="S34" i="24"/>
  <c r="M34" i="24"/>
  <c r="G34" i="24"/>
  <c r="D34" i="24"/>
  <c r="CO33" i="24"/>
  <c r="BU33" i="24"/>
  <c r="BL33" i="24"/>
  <c r="AB33" i="24"/>
  <c r="S33" i="24"/>
  <c r="M33" i="24"/>
  <c r="G33" i="24"/>
  <c r="D33" i="24"/>
  <c r="CO32" i="24"/>
  <c r="BU32" i="24"/>
  <c r="BL32" i="24"/>
  <c r="AE32" i="24"/>
  <c r="AB32" i="24"/>
  <c r="Y32" i="24"/>
  <c r="V32" i="24"/>
  <c r="S32" i="24"/>
  <c r="M32" i="24"/>
  <c r="G32" i="24"/>
  <c r="D32" i="24"/>
  <c r="CO31" i="24"/>
  <c r="BU31" i="24"/>
  <c r="BL31" i="24"/>
  <c r="AE31" i="24"/>
  <c r="S31" i="24"/>
  <c r="M31" i="24"/>
  <c r="G31" i="24"/>
  <c r="D31" i="24"/>
  <c r="CO30" i="24"/>
  <c r="BL30" i="24"/>
  <c r="AK30" i="24"/>
  <c r="AE30" i="24"/>
  <c r="AB30" i="24"/>
  <c r="S30" i="24"/>
  <c r="M30" i="24"/>
  <c r="G30" i="24"/>
  <c r="D30" i="24"/>
  <c r="CO29" i="24"/>
  <c r="BL29" i="24"/>
  <c r="AE29" i="24"/>
  <c r="S29" i="24"/>
  <c r="M29" i="24"/>
  <c r="J29" i="24"/>
  <c r="G29" i="24"/>
  <c r="D29" i="24"/>
  <c r="CO28" i="24"/>
  <c r="BR28" i="24"/>
  <c r="BO28" i="24"/>
  <c r="BL28" i="24"/>
  <c r="S28" i="24"/>
  <c r="M28" i="24"/>
  <c r="J28" i="24"/>
  <c r="G28" i="24"/>
  <c r="D28" i="24"/>
  <c r="CO27" i="24"/>
  <c r="CG27" i="24"/>
  <c r="BR27" i="24"/>
  <c r="BO27" i="24"/>
  <c r="BL27" i="24"/>
  <c r="BI27" i="24"/>
  <c r="BF27" i="24"/>
  <c r="AZ27" i="24"/>
  <c r="AW27" i="24"/>
  <c r="AH27" i="24"/>
  <c r="S27" i="24"/>
  <c r="M27" i="24"/>
  <c r="J27" i="24"/>
  <c r="G27" i="24"/>
  <c r="D27" i="24"/>
  <c r="CO26" i="24"/>
  <c r="CM26" i="24"/>
  <c r="CG26" i="24"/>
  <c r="BU26" i="24"/>
  <c r="BR26" i="24"/>
  <c r="BO26" i="24"/>
  <c r="BL26" i="24"/>
  <c r="BI26" i="24"/>
  <c r="BF26" i="24"/>
  <c r="BC26" i="24"/>
  <c r="AZ26" i="24"/>
  <c r="AW26" i="24"/>
  <c r="AK26" i="24"/>
  <c r="V26" i="24"/>
  <c r="S26" i="24"/>
  <c r="D26" i="24"/>
  <c r="CO25" i="24"/>
  <c r="CM25" i="24"/>
  <c r="CG25" i="24"/>
  <c r="BU25" i="24"/>
  <c r="BR25" i="24"/>
  <c r="BO25" i="24"/>
  <c r="BL25" i="24"/>
  <c r="S25" i="24"/>
  <c r="M25" i="24"/>
  <c r="J25" i="24"/>
  <c r="G25" i="24"/>
  <c r="D25" i="24"/>
  <c r="CO24" i="24"/>
  <c r="CG24" i="24"/>
  <c r="BL24" i="24"/>
  <c r="S24" i="24"/>
  <c r="M24" i="24"/>
  <c r="J24" i="24"/>
  <c r="G24" i="24"/>
  <c r="D24" i="24"/>
  <c r="CG23" i="24"/>
  <c r="BL23" i="24"/>
  <c r="V23" i="24"/>
  <c r="S23" i="24"/>
  <c r="P23" i="24"/>
  <c r="M23" i="24"/>
  <c r="J23" i="24"/>
  <c r="G23" i="24"/>
  <c r="D23" i="24"/>
  <c r="BL22" i="24"/>
  <c r="AB22" i="24"/>
  <c r="Y22" i="24"/>
  <c r="V22" i="24"/>
  <c r="S22" i="24"/>
  <c r="M22" i="24"/>
  <c r="J22" i="24"/>
  <c r="G22" i="24"/>
  <c r="D22" i="24"/>
  <c r="CO21" i="24"/>
  <c r="BL21" i="24"/>
  <c r="Y21" i="24"/>
  <c r="V21" i="24"/>
  <c r="S21" i="24"/>
  <c r="M21" i="24"/>
  <c r="J21" i="24"/>
  <c r="G21" i="24"/>
  <c r="D21" i="24"/>
  <c r="CO20" i="24"/>
  <c r="BU20" i="24"/>
  <c r="BL20" i="24"/>
  <c r="BI20" i="24"/>
  <c r="BF20" i="24"/>
  <c r="BC20" i="24"/>
  <c r="AW20" i="24"/>
  <c r="AB20" i="24"/>
  <c r="V20" i="24"/>
  <c r="S20" i="24"/>
  <c r="M20" i="24"/>
  <c r="J20" i="24"/>
  <c r="G20" i="24"/>
  <c r="D20" i="24"/>
  <c r="CO19" i="24"/>
  <c r="BU19" i="24"/>
  <c r="BL19" i="24"/>
  <c r="BI19" i="24"/>
  <c r="BF19" i="24"/>
  <c r="BC19" i="24"/>
  <c r="AZ19" i="24"/>
  <c r="AW19" i="24"/>
  <c r="AB19" i="24"/>
  <c r="V19" i="24"/>
  <c r="S19" i="24"/>
  <c r="M19" i="24"/>
  <c r="J19" i="24"/>
  <c r="G19" i="24"/>
  <c r="D19" i="24"/>
  <c r="CO18" i="24"/>
  <c r="CG18" i="24"/>
  <c r="BU18" i="24"/>
  <c r="BL18" i="24"/>
  <c r="V18" i="24"/>
  <c r="S18" i="24"/>
  <c r="P18" i="24"/>
  <c r="M18" i="24"/>
  <c r="J18" i="24"/>
  <c r="G18" i="24"/>
  <c r="D18" i="24"/>
  <c r="CO17" i="24"/>
  <c r="BU17" i="24"/>
  <c r="BL17" i="24"/>
  <c r="V17" i="24"/>
  <c r="S17" i="24"/>
  <c r="P17" i="24"/>
  <c r="M17" i="24"/>
  <c r="J17" i="24"/>
  <c r="G17" i="24"/>
  <c r="D17" i="24"/>
  <c r="CO16" i="24"/>
  <c r="BU16" i="24"/>
  <c r="BL16" i="24"/>
  <c r="V16" i="24"/>
  <c r="S16" i="24"/>
  <c r="P16" i="24"/>
  <c r="M16" i="24"/>
  <c r="J16" i="24"/>
  <c r="G16" i="24"/>
  <c r="D16" i="24"/>
  <c r="CO15" i="24"/>
  <c r="S15" i="24"/>
  <c r="P15" i="24"/>
  <c r="D15" i="24"/>
  <c r="CO14" i="24"/>
  <c r="P14" i="24"/>
  <c r="D14" i="24"/>
  <c r="CO13" i="24"/>
  <c r="S13" i="24"/>
  <c r="P13" i="24"/>
  <c r="D13" i="24"/>
  <c r="CO12" i="24"/>
  <c r="BX12" i="24"/>
  <c r="S12" i="24"/>
  <c r="P12" i="24"/>
  <c r="M12" i="24"/>
  <c r="J12" i="24"/>
  <c r="G12" i="24"/>
  <c r="D12" i="24"/>
  <c r="CO11" i="24"/>
  <c r="S11" i="24"/>
  <c r="P11" i="24"/>
  <c r="M11" i="24"/>
  <c r="J11" i="24"/>
  <c r="G11" i="24"/>
  <c r="D11" i="24"/>
  <c r="CO10" i="24"/>
  <c r="CM10" i="24"/>
  <c r="CJ10" i="24"/>
  <c r="CG10" i="24"/>
  <c r="BX10" i="24"/>
  <c r="BR10" i="24"/>
  <c r="BL10" i="24"/>
  <c r="AE10" i="24"/>
  <c r="S10" i="24"/>
  <c r="P10" i="24"/>
  <c r="M10" i="24"/>
  <c r="J10" i="24"/>
  <c r="G10" i="24"/>
  <c r="D10" i="24"/>
  <c r="CO9" i="24"/>
  <c r="BL9" i="24"/>
  <c r="AK9" i="24"/>
  <c r="AH9" i="24"/>
  <c r="AE9" i="24"/>
  <c r="AB9" i="24"/>
  <c r="S9" i="24"/>
  <c r="P9" i="24"/>
  <c r="M9" i="24"/>
  <c r="J9" i="24"/>
  <c r="G9" i="24"/>
  <c r="D9" i="24"/>
  <c r="CO8" i="24"/>
  <c r="BL8" i="24"/>
  <c r="AB8" i="24"/>
  <c r="S8" i="24"/>
  <c r="P8" i="24"/>
  <c r="M8" i="24"/>
  <c r="J8" i="24"/>
  <c r="D8" i="24"/>
  <c r="CO7" i="24"/>
  <c r="BX7" i="24"/>
  <c r="BL7" i="24"/>
  <c r="AK7" i="24"/>
  <c r="AB7" i="24"/>
  <c r="S7" i="24"/>
  <c r="P7" i="24"/>
  <c r="M7" i="24"/>
  <c r="J7" i="24"/>
  <c r="G7" i="24"/>
  <c r="D7" i="24"/>
  <c r="CO6" i="24"/>
  <c r="BL6" i="24"/>
  <c r="AB6" i="24"/>
  <c r="V6" i="24"/>
  <c r="S6" i="24"/>
  <c r="P6" i="24"/>
  <c r="M6" i="24"/>
  <c r="J6" i="24"/>
  <c r="G6" i="24"/>
  <c r="D6" i="24"/>
  <c r="CO5" i="24"/>
  <c r="BO5" i="24"/>
  <c r="BL5" i="24"/>
  <c r="V5" i="24"/>
  <c r="S5" i="24"/>
  <c r="P5" i="24"/>
  <c r="M5" i="24"/>
  <c r="J5" i="24"/>
  <c r="G5" i="24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CE34" i="22"/>
  <c r="BL34" i="22"/>
  <c r="BO34" i="22"/>
  <c r="BI34" i="22"/>
  <c r="AN34" i="22"/>
  <c r="CF6" i="22"/>
  <c r="CF7" i="22"/>
  <c r="CF8" i="22"/>
  <c r="CF9" i="22"/>
  <c r="CF10" i="22"/>
  <c r="CF11" i="22"/>
  <c r="CF12" i="22"/>
  <c r="CF13" i="22"/>
  <c r="CF14" i="22"/>
  <c r="CF15" i="22"/>
  <c r="CF16" i="22"/>
  <c r="CF17" i="22"/>
  <c r="CF18" i="22"/>
  <c r="CF19" i="22"/>
  <c r="CF20" i="22"/>
  <c r="CF21" i="22"/>
  <c r="CF22" i="22"/>
  <c r="CF23" i="22"/>
  <c r="CF24" i="22"/>
  <c r="CF25" i="22"/>
  <c r="CF26" i="22"/>
  <c r="CF27" i="22"/>
  <c r="CF28" i="22"/>
  <c r="CF29" i="22"/>
  <c r="CF30" i="22"/>
  <c r="CF31" i="22"/>
  <c r="CF32" i="22"/>
  <c r="CF33" i="22"/>
  <c r="CF34" i="22"/>
  <c r="CF35" i="22" s="1"/>
  <c r="CF5" i="22"/>
  <c r="BX31" i="22"/>
  <c r="CA31" i="22"/>
  <c r="CD31" i="22"/>
  <c r="BX32" i="22"/>
  <c r="CA32" i="22"/>
  <c r="CD32" i="22"/>
  <c r="BX33" i="22"/>
  <c r="CA33" i="22"/>
  <c r="CD33" i="22"/>
  <c r="BO31" i="22"/>
  <c r="BO32" i="22"/>
  <c r="BO33" i="22"/>
  <c r="BL31" i="22"/>
  <c r="BI31" i="22"/>
  <c r="BI32" i="22"/>
  <c r="BI33" i="22"/>
  <c r="AN31" i="22"/>
  <c r="AN32" i="22"/>
  <c r="AN33" i="22"/>
  <c r="AK33" i="22"/>
  <c r="AH32" i="22"/>
  <c r="AH33" i="22"/>
  <c r="AE32" i="22"/>
  <c r="V32" i="22"/>
  <c r="Y32" i="22"/>
  <c r="AE31" i="22"/>
  <c r="AH31" i="22"/>
  <c r="V31" i="22"/>
  <c r="Y31" i="22"/>
  <c r="BM6" i="8"/>
  <c r="BM7" i="8"/>
  <c r="BM8" i="8"/>
  <c r="BM9" i="8"/>
  <c r="BM10" i="8"/>
  <c r="BM11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5" i="8"/>
  <c r="BM6" i="10"/>
  <c r="BM7" i="10"/>
  <c r="BM8" i="10"/>
  <c r="BM9" i="10"/>
  <c r="BM10" i="10"/>
  <c r="BM11" i="10"/>
  <c r="BM12" i="10"/>
  <c r="BM13" i="10"/>
  <c r="BM14" i="10"/>
  <c r="BM15" i="10"/>
  <c r="BM16" i="10"/>
  <c r="BM17" i="10"/>
  <c r="BM18" i="10"/>
  <c r="BM19" i="10"/>
  <c r="BM20" i="10"/>
  <c r="BM21" i="10"/>
  <c r="BM22" i="10"/>
  <c r="BM23" i="10"/>
  <c r="BM24" i="10"/>
  <c r="BM25" i="10"/>
  <c r="BM26" i="10"/>
  <c r="BM27" i="10"/>
  <c r="BM28" i="10"/>
  <c r="BM29" i="10"/>
  <c r="BM30" i="10"/>
  <c r="BM31" i="10"/>
  <c r="BM32" i="10"/>
  <c r="BM33" i="10"/>
  <c r="BM34" i="10"/>
  <c r="BM35" i="10"/>
  <c r="BM5" i="10"/>
  <c r="BM6" i="12"/>
  <c r="BM7" i="12"/>
  <c r="BM8" i="12"/>
  <c r="BM9" i="12"/>
  <c r="BM10" i="12"/>
  <c r="BM11" i="12"/>
  <c r="BM12" i="12"/>
  <c r="BM13" i="12"/>
  <c r="BM14" i="12"/>
  <c r="BM15" i="12"/>
  <c r="BM16" i="12"/>
  <c r="BM17" i="12"/>
  <c r="BM18" i="12"/>
  <c r="BM19" i="12"/>
  <c r="BM20" i="12"/>
  <c r="BM21" i="12"/>
  <c r="BM22" i="12"/>
  <c r="BM23" i="12"/>
  <c r="BM24" i="12"/>
  <c r="BM25" i="12"/>
  <c r="BM26" i="12"/>
  <c r="BM27" i="12"/>
  <c r="BM28" i="12"/>
  <c r="BM29" i="12"/>
  <c r="BM30" i="12"/>
  <c r="BM31" i="12"/>
  <c r="BM32" i="12"/>
  <c r="BM33" i="12"/>
  <c r="BM34" i="12"/>
  <c r="BM5" i="12"/>
  <c r="BM6" i="14"/>
  <c r="BM7" i="14"/>
  <c r="BM8" i="14"/>
  <c r="BM9" i="14"/>
  <c r="BM10" i="14"/>
  <c r="BM11" i="14"/>
  <c r="BM12" i="14"/>
  <c r="BM13" i="14"/>
  <c r="BM14" i="14"/>
  <c r="BM15" i="14"/>
  <c r="BM16" i="14"/>
  <c r="BM17" i="14"/>
  <c r="BM18" i="14"/>
  <c r="BM19" i="14"/>
  <c r="BM20" i="14"/>
  <c r="BM21" i="14"/>
  <c r="BM22" i="14"/>
  <c r="BM23" i="14"/>
  <c r="BM24" i="14"/>
  <c r="BM25" i="14"/>
  <c r="BM26" i="14"/>
  <c r="BM27" i="14"/>
  <c r="BM28" i="14"/>
  <c r="BM29" i="14"/>
  <c r="BM30" i="14"/>
  <c r="BM31" i="14"/>
  <c r="BM32" i="14"/>
  <c r="BM33" i="14"/>
  <c r="BM34" i="14"/>
  <c r="BM35" i="14"/>
  <c r="BM5" i="14"/>
  <c r="BV6" i="16"/>
  <c r="BV7" i="16"/>
  <c r="BV8" i="16"/>
  <c r="BV9" i="16"/>
  <c r="BV10" i="16"/>
  <c r="BV11" i="16"/>
  <c r="BV12" i="16"/>
  <c r="BV13" i="16"/>
  <c r="BV14" i="16"/>
  <c r="BV15" i="16"/>
  <c r="BV16" i="16"/>
  <c r="BV17" i="16"/>
  <c r="BV18" i="16"/>
  <c r="BV19" i="16"/>
  <c r="BV20" i="16"/>
  <c r="BV21" i="16"/>
  <c r="BV22" i="16"/>
  <c r="BV23" i="16"/>
  <c r="BV24" i="16"/>
  <c r="BV25" i="16"/>
  <c r="BV26" i="16"/>
  <c r="BV27" i="16"/>
  <c r="BV28" i="16"/>
  <c r="BV29" i="16"/>
  <c r="BV30" i="16"/>
  <c r="BV31" i="16"/>
  <c r="BV32" i="16"/>
  <c r="BV33" i="16"/>
  <c r="BV34" i="16"/>
  <c r="BV5" i="16"/>
  <c r="BV6" i="18"/>
  <c r="BV7" i="18"/>
  <c r="BV8" i="18"/>
  <c r="BV9" i="18"/>
  <c r="BV10" i="18"/>
  <c r="BV11" i="18"/>
  <c r="BV12" i="18"/>
  <c r="BV13" i="18"/>
  <c r="BV14" i="18"/>
  <c r="BV15" i="18"/>
  <c r="BV16" i="18"/>
  <c r="BV17" i="18"/>
  <c r="BV18" i="18"/>
  <c r="BV19" i="18"/>
  <c r="BV20" i="18"/>
  <c r="BV21" i="18"/>
  <c r="BV22" i="18"/>
  <c r="BV23" i="18"/>
  <c r="BV24" i="18"/>
  <c r="BV25" i="18"/>
  <c r="BV26" i="18"/>
  <c r="BV27" i="18"/>
  <c r="BV28" i="18"/>
  <c r="BV29" i="18"/>
  <c r="BV30" i="18"/>
  <c r="BV31" i="18"/>
  <c r="BV32" i="18"/>
  <c r="BV33" i="18"/>
  <c r="BV34" i="18"/>
  <c r="BV35" i="18"/>
  <c r="BV5" i="18"/>
  <c r="CB6" i="20"/>
  <c r="CB7" i="20"/>
  <c r="CB8" i="20"/>
  <c r="CB9" i="20"/>
  <c r="CB10" i="20"/>
  <c r="CB11" i="20"/>
  <c r="CB12" i="20"/>
  <c r="CB13" i="20"/>
  <c r="CB14" i="20"/>
  <c r="CB15" i="20"/>
  <c r="CB16" i="20"/>
  <c r="CB17" i="20"/>
  <c r="CB18" i="20"/>
  <c r="CB19" i="20"/>
  <c r="CB20" i="20"/>
  <c r="CB21" i="20"/>
  <c r="CB22" i="20"/>
  <c r="CB23" i="20"/>
  <c r="CB24" i="20"/>
  <c r="CB25" i="20"/>
  <c r="CB26" i="20"/>
  <c r="CB27" i="20"/>
  <c r="CB28" i="20"/>
  <c r="CB29" i="20"/>
  <c r="CB30" i="20"/>
  <c r="CB31" i="20"/>
  <c r="CB32" i="20"/>
  <c r="CB33" i="20"/>
  <c r="CB34" i="20"/>
  <c r="CB35" i="20"/>
  <c r="CB5" i="20"/>
  <c r="CE6" i="22"/>
  <c r="CE7" i="22"/>
  <c r="CE8" i="22"/>
  <c r="CE9" i="22"/>
  <c r="CE10" i="22"/>
  <c r="CE11" i="22"/>
  <c r="CE12" i="22"/>
  <c r="CE13" i="22"/>
  <c r="CE14" i="22"/>
  <c r="CE15" i="22"/>
  <c r="CE16" i="22"/>
  <c r="CE17" i="22"/>
  <c r="CE18" i="22"/>
  <c r="CE19" i="22"/>
  <c r="CE20" i="22"/>
  <c r="CE21" i="22"/>
  <c r="CE22" i="22"/>
  <c r="CE23" i="22"/>
  <c r="CE24" i="22"/>
  <c r="CE25" i="22"/>
  <c r="CE26" i="22"/>
  <c r="CE27" i="22"/>
  <c r="CE28" i="22"/>
  <c r="CE29" i="22"/>
  <c r="CE30" i="22"/>
  <c r="CE31" i="22"/>
  <c r="CE32" i="22"/>
  <c r="CE33" i="22"/>
  <c r="CE35" i="22"/>
  <c r="CE5" i="22"/>
  <c r="BX30" i="22"/>
  <c r="CA30" i="22"/>
  <c r="CD30" i="22"/>
  <c r="BI30" i="22"/>
  <c r="BL30" i="22"/>
  <c r="AK30" i="22"/>
  <c r="AE30" i="22"/>
  <c r="AH30" i="22"/>
  <c r="V30" i="22"/>
  <c r="Y30" i="22"/>
  <c r="BX23" i="22"/>
  <c r="CA23" i="22"/>
  <c r="CD23" i="22"/>
  <c r="BX24" i="22"/>
  <c r="CA24" i="22"/>
  <c r="CD24" i="22"/>
  <c r="BX25" i="22"/>
  <c r="CA25" i="22"/>
  <c r="CD25" i="22"/>
  <c r="BX26" i="22"/>
  <c r="CA26" i="22"/>
  <c r="CD26" i="22"/>
  <c r="BX27" i="22"/>
  <c r="CA27" i="22"/>
  <c r="CD27" i="22"/>
  <c r="BX28" i="22"/>
  <c r="CA28" i="22"/>
  <c r="CD28" i="22"/>
  <c r="BU25" i="22"/>
  <c r="BU26" i="22"/>
  <c r="AN26" i="22"/>
  <c r="AN27" i="22"/>
  <c r="AN28" i="22"/>
  <c r="AT26" i="22"/>
  <c r="AW26" i="22"/>
  <c r="AZ26" i="22"/>
  <c r="BC26" i="22"/>
  <c r="AT27" i="22"/>
  <c r="AW27" i="22"/>
  <c r="AZ27" i="22"/>
  <c r="BC27" i="22"/>
  <c r="AT28" i="22"/>
  <c r="AW28" i="22"/>
  <c r="AZ28" i="22"/>
  <c r="BC28" i="22"/>
  <c r="AQ26" i="22"/>
  <c r="AQ27" i="22"/>
  <c r="AQ28" i="22"/>
  <c r="V27" i="22"/>
  <c r="Y27" i="22"/>
  <c r="AB27" i="22"/>
  <c r="AE27" i="22"/>
  <c r="AH27" i="22"/>
  <c r="AK27" i="22"/>
  <c r="AK26" i="22"/>
  <c r="V26" i="22"/>
  <c r="Y26" i="22"/>
  <c r="AB26" i="22"/>
  <c r="AE26" i="22"/>
  <c r="AH26" i="22"/>
  <c r="S26" i="22"/>
  <c r="AB25" i="22"/>
  <c r="AE25" i="22"/>
  <c r="AH25" i="22"/>
  <c r="AK25" i="22"/>
  <c r="V25" i="22"/>
  <c r="Y25" i="22"/>
  <c r="AE24" i="22"/>
  <c r="AH24" i="22"/>
  <c r="V24" i="22"/>
  <c r="Y24" i="22"/>
  <c r="AE23" i="22"/>
  <c r="V23" i="22"/>
  <c r="Y23" i="22"/>
  <c r="AE21" i="22"/>
  <c r="AK21" i="22"/>
  <c r="BU20" i="22"/>
  <c r="BX20" i="22"/>
  <c r="CA20" i="22"/>
  <c r="CD20" i="22"/>
  <c r="BI20" i="22"/>
  <c r="BL20" i="22"/>
  <c r="AZ20" i="22"/>
  <c r="AQ20" i="22"/>
  <c r="AT20" i="22"/>
  <c r="AE20" i="22"/>
  <c r="AK20" i="22"/>
  <c r="V20" i="22"/>
  <c r="BX18" i="22"/>
  <c r="CA18" i="22"/>
  <c r="CD18" i="22"/>
  <c r="BX19" i="22"/>
  <c r="CA19" i="22"/>
  <c r="CD19" i="22"/>
  <c r="BX17" i="22"/>
  <c r="CA17" i="22"/>
  <c r="CD17" i="22"/>
  <c r="BO17" i="22"/>
  <c r="BO18" i="22"/>
  <c r="BO19" i="22"/>
  <c r="BL17" i="22"/>
  <c r="BL18" i="22"/>
  <c r="BL19" i="22"/>
  <c r="BI17" i="22"/>
  <c r="BI18" i="22"/>
  <c r="BI19" i="22"/>
  <c r="AK18" i="22"/>
  <c r="AK19" i="22"/>
  <c r="AK22" i="22"/>
  <c r="AK23" i="22"/>
  <c r="AK24" i="22"/>
  <c r="AK28" i="22"/>
  <c r="AK29" i="22"/>
  <c r="AK31" i="22"/>
  <c r="AK32" i="22"/>
  <c r="AK34" i="22"/>
  <c r="AK7" i="22"/>
  <c r="AK8" i="22"/>
  <c r="AK9" i="22"/>
  <c r="AK10" i="22"/>
  <c r="AK11" i="22"/>
  <c r="AK12" i="22"/>
  <c r="AK13" i="22"/>
  <c r="AK14" i="22"/>
  <c r="AK15" i="22"/>
  <c r="AK16" i="22"/>
  <c r="AK17" i="22"/>
  <c r="BX15" i="22"/>
  <c r="CA15" i="22"/>
  <c r="CD15" i="22"/>
  <c r="BI15" i="22"/>
  <c r="BL15" i="22"/>
  <c r="AZ15" i="22"/>
  <c r="BC15" i="22"/>
  <c r="AN15" i="22"/>
  <c r="AQ15" i="22"/>
  <c r="AT15" i="22"/>
  <c r="CD14" i="22"/>
  <c r="BU13" i="22"/>
  <c r="BX13" i="22"/>
  <c r="CA13" i="22"/>
  <c r="CD13" i="22"/>
  <c r="BR10" i="22"/>
  <c r="BU10" i="22"/>
  <c r="BX10" i="22"/>
  <c r="CA10" i="22"/>
  <c r="CD10" i="22"/>
  <c r="BR11" i="22"/>
  <c r="BU11" i="22"/>
  <c r="BX11" i="22"/>
  <c r="CA11" i="22"/>
  <c r="CD11" i="22"/>
  <c r="BR12" i="22"/>
  <c r="BU12" i="22"/>
  <c r="BX12" i="22"/>
  <c r="CA12" i="22"/>
  <c r="CD12" i="22"/>
  <c r="BL10" i="22"/>
  <c r="BO10" i="22"/>
  <c r="BL11" i="22"/>
  <c r="BO11" i="22"/>
  <c r="BL12" i="22"/>
  <c r="BO12" i="22"/>
  <c r="BI10" i="22"/>
  <c r="BI11" i="22"/>
  <c r="BI12" i="22"/>
  <c r="AQ10" i="22"/>
  <c r="AT10" i="22"/>
  <c r="AW10" i="22"/>
  <c r="AZ10" i="22"/>
  <c r="BC10" i="22"/>
  <c r="AQ11" i="22"/>
  <c r="AT11" i="22"/>
  <c r="AW11" i="22"/>
  <c r="AZ11" i="22"/>
  <c r="BC11" i="22"/>
  <c r="AQ12" i="22"/>
  <c r="AT12" i="22"/>
  <c r="AW12" i="22"/>
  <c r="AZ12" i="22"/>
  <c r="BC12" i="22"/>
  <c r="P11" i="22"/>
  <c r="P12" i="22"/>
  <c r="AW9" i="22"/>
  <c r="AZ9" i="22"/>
  <c r="BC9" i="22"/>
  <c r="AQ9" i="22"/>
  <c r="AE9" i="22"/>
  <c r="V9" i="22"/>
  <c r="Y9" i="22"/>
  <c r="BU8" i="22"/>
  <c r="BX8" i="22"/>
  <c r="CA8" i="22"/>
  <c r="CD8" i="22"/>
  <c r="BI8" i="22"/>
  <c r="BL8" i="22"/>
  <c r="BO8" i="22"/>
  <c r="AQ8" i="22"/>
  <c r="AT8" i="22"/>
  <c r="AW8" i="22"/>
  <c r="AZ8" i="22"/>
  <c r="BC8" i="22"/>
  <c r="V8" i="22"/>
  <c r="Y8" i="22"/>
  <c r="AB8" i="22"/>
  <c r="AE8" i="22"/>
  <c r="BX6" i="22"/>
  <c r="CA6" i="22"/>
  <c r="CD6" i="22"/>
  <c r="BX7" i="22"/>
  <c r="CA7" i="22"/>
  <c r="CD7" i="22"/>
  <c r="M6" i="22"/>
  <c r="P6" i="22"/>
  <c r="H18" i="23"/>
  <c r="BQ8" i="23"/>
  <c r="BC13" i="22"/>
  <c r="BC14" i="22"/>
  <c r="BC16" i="22"/>
  <c r="BC17" i="22"/>
  <c r="BC18" i="22"/>
  <c r="BC19" i="22"/>
  <c r="BC20" i="22"/>
  <c r="BC22" i="22"/>
  <c r="BC23" i="22"/>
  <c r="AZ13" i="22"/>
  <c r="AZ14" i="22"/>
  <c r="AZ16" i="22"/>
  <c r="AZ17" i="22"/>
  <c r="AZ18" i="22"/>
  <c r="AZ19" i="22"/>
  <c r="AZ21" i="22"/>
  <c r="AZ22" i="22"/>
  <c r="AZ23" i="22"/>
  <c r="AZ24" i="22"/>
  <c r="AZ25" i="22"/>
  <c r="AW7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T7" i="22"/>
  <c r="AT9" i="22"/>
  <c r="AT13" i="22"/>
  <c r="AT14" i="22"/>
  <c r="AT16" i="22"/>
  <c r="AT17" i="22"/>
  <c r="AT18" i="22"/>
  <c r="AT19" i="22"/>
  <c r="AT21" i="22"/>
  <c r="AT22" i="22"/>
  <c r="AT23" i="22"/>
  <c r="AT24" i="22"/>
  <c r="AT25" i="22"/>
  <c r="AT29" i="22"/>
  <c r="AT30" i="22"/>
  <c r="AQ14" i="22"/>
  <c r="AQ16" i="22"/>
  <c r="AQ17" i="22"/>
  <c r="AQ18" i="22"/>
  <c r="AQ19" i="22"/>
  <c r="AQ21" i="22"/>
  <c r="AQ22" i="22"/>
  <c r="AQ23" i="22"/>
  <c r="AQ24" i="22"/>
  <c r="AQ25" i="22"/>
  <c r="AN7" i="22"/>
  <c r="AN8" i="22"/>
  <c r="AN9" i="22"/>
  <c r="AN10" i="22"/>
  <c r="AN11" i="22"/>
  <c r="AN12" i="22"/>
  <c r="AN13" i="22"/>
  <c r="AN14" i="22"/>
  <c r="AN16" i="22"/>
  <c r="AN17" i="22"/>
  <c r="AN18" i="22"/>
  <c r="AN19" i="22"/>
  <c r="AN20" i="22"/>
  <c r="AN21" i="22"/>
  <c r="AN22" i="22"/>
  <c r="CC35" i="22"/>
  <c r="CD35" i="22" s="1"/>
  <c r="CB35" i="22"/>
  <c r="BZ35" i="22"/>
  <c r="CA35" i="22" s="1"/>
  <c r="BY35" i="22"/>
  <c r="BW35" i="22"/>
  <c r="BX35" i="22" s="1"/>
  <c r="BV35" i="22"/>
  <c r="BT35" i="22"/>
  <c r="BS35" i="22"/>
  <c r="BQ35" i="22"/>
  <c r="BR35" i="22" s="1"/>
  <c r="BP35" i="22"/>
  <c r="BN35" i="22"/>
  <c r="BM35" i="22"/>
  <c r="BK35" i="22"/>
  <c r="BJ35" i="22"/>
  <c r="BH35" i="22"/>
  <c r="BG35" i="22"/>
  <c r="BE35" i="22"/>
  <c r="BD35" i="22"/>
  <c r="BB35" i="22"/>
  <c r="BA35" i="22"/>
  <c r="AY35" i="22"/>
  <c r="AX35" i="22"/>
  <c r="AV35" i="22"/>
  <c r="AU35" i="22"/>
  <c r="AS35" i="22"/>
  <c r="AR35" i="22"/>
  <c r="AP35" i="22"/>
  <c r="AO35" i="22"/>
  <c r="AM35" i="22"/>
  <c r="AL35" i="22"/>
  <c r="AG35" i="22"/>
  <c r="AF35" i="22"/>
  <c r="AD35" i="22"/>
  <c r="AC35" i="22"/>
  <c r="AA35" i="22"/>
  <c r="Z35" i="22"/>
  <c r="X35" i="22"/>
  <c r="W35" i="22"/>
  <c r="U35" i="22"/>
  <c r="T35" i="22"/>
  <c r="R35" i="22"/>
  <c r="Q35" i="22"/>
  <c r="O35" i="22"/>
  <c r="N35" i="22"/>
  <c r="L35" i="22"/>
  <c r="K35" i="22"/>
  <c r="I35" i="22"/>
  <c r="H35" i="22"/>
  <c r="J35" i="22" s="1"/>
  <c r="F35" i="22"/>
  <c r="E35" i="22"/>
  <c r="C35" i="22"/>
  <c r="B35" i="22"/>
  <c r="BU34" i="22"/>
  <c r="BR34" i="22"/>
  <c r="BF34" i="22"/>
  <c r="AH34" i="22"/>
  <c r="AE34" i="22"/>
  <c r="AB34" i="22"/>
  <c r="V34" i="22"/>
  <c r="S34" i="22"/>
  <c r="P34" i="22"/>
  <c r="M34" i="22"/>
  <c r="G34" i="22"/>
  <c r="D34" i="22"/>
  <c r="BR33" i="22"/>
  <c r="BL33" i="22"/>
  <c r="BF33" i="22"/>
  <c r="AE33" i="22"/>
  <c r="AB33" i="22"/>
  <c r="Y33" i="22"/>
  <c r="V33" i="22"/>
  <c r="S33" i="22"/>
  <c r="P33" i="22"/>
  <c r="M33" i="22"/>
  <c r="G33" i="22"/>
  <c r="D33" i="22"/>
  <c r="BL32" i="22"/>
  <c r="BF32" i="22"/>
  <c r="AB32" i="22"/>
  <c r="S32" i="22"/>
  <c r="M32" i="22"/>
  <c r="G32" i="22"/>
  <c r="D32" i="22"/>
  <c r="BF31" i="22"/>
  <c r="AB31" i="22"/>
  <c r="S31" i="22"/>
  <c r="M31" i="22"/>
  <c r="G31" i="22"/>
  <c r="D31" i="22"/>
  <c r="BO30" i="22"/>
  <c r="BF30" i="22"/>
  <c r="BC30" i="22"/>
  <c r="AN30" i="22"/>
  <c r="AB30" i="22"/>
  <c r="S30" i="22"/>
  <c r="M30" i="22"/>
  <c r="G30" i="22"/>
  <c r="D30" i="22"/>
  <c r="CD29" i="22"/>
  <c r="CA29" i="22"/>
  <c r="BX29" i="22"/>
  <c r="BO29" i="22"/>
  <c r="BL29" i="22"/>
  <c r="BI29" i="22"/>
  <c r="BF29" i="22"/>
  <c r="AH29" i="22"/>
  <c r="AE29" i="22"/>
  <c r="AB29" i="22"/>
  <c r="Y29" i="22"/>
  <c r="V29" i="22"/>
  <c r="S29" i="22"/>
  <c r="M29" i="22"/>
  <c r="J29" i="22"/>
  <c r="G29" i="22"/>
  <c r="D29" i="22"/>
  <c r="BU28" i="22"/>
  <c r="BL28" i="22"/>
  <c r="BI28" i="22"/>
  <c r="BF28" i="22"/>
  <c r="AH28" i="22"/>
  <c r="AE28" i="22"/>
  <c r="AB28" i="22"/>
  <c r="V28" i="22"/>
  <c r="S28" i="22"/>
  <c r="P28" i="22"/>
  <c r="M28" i="22"/>
  <c r="J28" i="22"/>
  <c r="G28" i="22"/>
  <c r="D28" i="22"/>
  <c r="BU27" i="22"/>
  <c r="BR27" i="22"/>
  <c r="BL27" i="22"/>
  <c r="BI27" i="22"/>
  <c r="BF27" i="22"/>
  <c r="S27" i="22"/>
  <c r="P27" i="22"/>
  <c r="M27" i="22"/>
  <c r="J27" i="22"/>
  <c r="G27" i="22"/>
  <c r="D27" i="22"/>
  <c r="BR26" i="22"/>
  <c r="BO26" i="22"/>
  <c r="BL26" i="22"/>
  <c r="BI26" i="22"/>
  <c r="BF26" i="22"/>
  <c r="P26" i="22"/>
  <c r="M26" i="22"/>
  <c r="J26" i="22"/>
  <c r="G26" i="22"/>
  <c r="D26" i="22"/>
  <c r="BR25" i="22"/>
  <c r="BO25" i="22"/>
  <c r="BL25" i="22"/>
  <c r="BI25" i="22"/>
  <c r="BF25" i="22"/>
  <c r="BC25" i="22"/>
  <c r="AW25" i="22"/>
  <c r="AN25" i="22"/>
  <c r="S25" i="22"/>
  <c r="P25" i="22"/>
  <c r="M25" i="22"/>
  <c r="J25" i="22"/>
  <c r="G25" i="22"/>
  <c r="D25" i="22"/>
  <c r="BU24" i="22"/>
  <c r="BR24" i="22"/>
  <c r="BO24" i="22"/>
  <c r="BL24" i="22"/>
  <c r="BI24" i="22"/>
  <c r="BF24" i="22"/>
  <c r="BC24" i="22"/>
  <c r="AN24" i="22"/>
  <c r="AB24" i="22"/>
  <c r="S24" i="22"/>
  <c r="P24" i="22"/>
  <c r="M24" i="22"/>
  <c r="J24" i="22"/>
  <c r="G24" i="22"/>
  <c r="D24" i="22"/>
  <c r="BU23" i="22"/>
  <c r="BR23" i="22"/>
  <c r="BO23" i="22"/>
  <c r="BL23" i="22"/>
  <c r="BI23" i="22"/>
  <c r="BF23" i="22"/>
  <c r="AN23" i="22"/>
  <c r="AH23" i="22"/>
  <c r="AB23" i="22"/>
  <c r="S23" i="22"/>
  <c r="P23" i="22"/>
  <c r="M23" i="22"/>
  <c r="J23" i="22"/>
  <c r="G23" i="22"/>
  <c r="D23" i="22"/>
  <c r="CD22" i="22"/>
  <c r="CA22" i="22"/>
  <c r="BX22" i="22"/>
  <c r="BU22" i="22"/>
  <c r="BR22" i="22"/>
  <c r="BO22" i="22"/>
  <c r="BL22" i="22"/>
  <c r="BI22" i="22"/>
  <c r="BF22" i="22"/>
  <c r="AH22" i="22"/>
  <c r="AE22" i="22"/>
  <c r="AB22" i="22"/>
  <c r="Y22" i="22"/>
  <c r="V22" i="22"/>
  <c r="S22" i="22"/>
  <c r="P22" i="22"/>
  <c r="M22" i="22"/>
  <c r="J22" i="22"/>
  <c r="G22" i="22"/>
  <c r="D22" i="22"/>
  <c r="CD21" i="22"/>
  <c r="BX21" i="22"/>
  <c r="BU21" i="22"/>
  <c r="BR21" i="22"/>
  <c r="BO21" i="22"/>
  <c r="BL21" i="22"/>
  <c r="BI21" i="22"/>
  <c r="BF21" i="22"/>
  <c r="AB21" i="22"/>
  <c r="Y21" i="22"/>
  <c r="V21" i="22"/>
  <c r="S21" i="22"/>
  <c r="P21" i="22"/>
  <c r="M21" i="22"/>
  <c r="J21" i="22"/>
  <c r="G21" i="22"/>
  <c r="D21" i="22"/>
  <c r="BR20" i="22"/>
  <c r="BO20" i="22"/>
  <c r="BF20" i="22"/>
  <c r="AB20" i="22"/>
  <c r="S20" i="22"/>
  <c r="P20" i="22"/>
  <c r="M20" i="22"/>
  <c r="J20" i="22"/>
  <c r="G20" i="22"/>
  <c r="D20" i="22"/>
  <c r="BU19" i="22"/>
  <c r="BR19" i="22"/>
  <c r="BF19" i="22"/>
  <c r="AE19" i="22"/>
  <c r="AB19" i="22"/>
  <c r="V19" i="22"/>
  <c r="S19" i="22"/>
  <c r="P19" i="22"/>
  <c r="M19" i="22"/>
  <c r="J19" i="22"/>
  <c r="G19" i="22"/>
  <c r="D19" i="22"/>
  <c r="BU18" i="22"/>
  <c r="BR18" i="22"/>
  <c r="BF18" i="22"/>
  <c r="AH18" i="22"/>
  <c r="AE18" i="22"/>
  <c r="AB18" i="22"/>
  <c r="Y18" i="22"/>
  <c r="V18" i="22"/>
  <c r="S18" i="22"/>
  <c r="P18" i="22"/>
  <c r="M18" i="22"/>
  <c r="J18" i="22"/>
  <c r="G18" i="22"/>
  <c r="D18" i="22"/>
  <c r="BU17" i="22"/>
  <c r="BR17" i="22"/>
  <c r="BF17" i="22"/>
  <c r="AH17" i="22"/>
  <c r="AE17" i="22"/>
  <c r="AB17" i="22"/>
  <c r="Y17" i="22"/>
  <c r="V17" i="22"/>
  <c r="S17" i="22"/>
  <c r="P17" i="22"/>
  <c r="M17" i="22"/>
  <c r="J17" i="22"/>
  <c r="G17" i="22"/>
  <c r="D17" i="22"/>
  <c r="CD16" i="22"/>
  <c r="CA16" i="22"/>
  <c r="BX16" i="22"/>
  <c r="BU16" i="22"/>
  <c r="BR16" i="22"/>
  <c r="BO16" i="22"/>
  <c r="BL16" i="22"/>
  <c r="BI16" i="22"/>
  <c r="BF16" i="22"/>
  <c r="AH16" i="22"/>
  <c r="AE16" i="22"/>
  <c r="AB16" i="22"/>
  <c r="Y16" i="22"/>
  <c r="V16" i="22"/>
  <c r="S16" i="22"/>
  <c r="P16" i="22"/>
  <c r="M16" i="22"/>
  <c r="J16" i="22"/>
  <c r="G16" i="22"/>
  <c r="D16" i="22"/>
  <c r="BU15" i="22"/>
  <c r="BR15" i="22"/>
  <c r="BO15" i="22"/>
  <c r="BF15" i="22"/>
  <c r="AH15" i="22"/>
  <c r="AE15" i="22"/>
  <c r="AB15" i="22"/>
  <c r="Y15" i="22"/>
  <c r="V15" i="22"/>
  <c r="S15" i="22"/>
  <c r="P15" i="22"/>
  <c r="M15" i="22"/>
  <c r="J15" i="22"/>
  <c r="G15" i="22"/>
  <c r="D15" i="22"/>
  <c r="CA14" i="22"/>
  <c r="BX14" i="22"/>
  <c r="BU14" i="22"/>
  <c r="BR14" i="22"/>
  <c r="BO14" i="22"/>
  <c r="BL14" i="22"/>
  <c r="BI14" i="22"/>
  <c r="BF14" i="22"/>
  <c r="AH14" i="22"/>
  <c r="AE14" i="22"/>
  <c r="AB14" i="22"/>
  <c r="Y14" i="22"/>
  <c r="V14" i="22"/>
  <c r="S14" i="22"/>
  <c r="P14" i="22"/>
  <c r="M14" i="22"/>
  <c r="J14" i="22"/>
  <c r="G14" i="22"/>
  <c r="D14" i="22"/>
  <c r="BR13" i="22"/>
  <c r="BO13" i="22"/>
  <c r="BL13" i="22"/>
  <c r="BI13" i="22"/>
  <c r="BF13" i="22"/>
  <c r="AH13" i="22"/>
  <c r="AE13" i="22"/>
  <c r="AB13" i="22"/>
  <c r="Y13" i="22"/>
  <c r="V13" i="22"/>
  <c r="S13" i="22"/>
  <c r="P13" i="22"/>
  <c r="M13" i="22"/>
  <c r="J13" i="22"/>
  <c r="G13" i="22"/>
  <c r="D13" i="22"/>
  <c r="BF12" i="22"/>
  <c r="AH12" i="22"/>
  <c r="AE12" i="22"/>
  <c r="AB12" i="22"/>
  <c r="Y12" i="22"/>
  <c r="V12" i="22"/>
  <c r="S12" i="22"/>
  <c r="M12" i="22"/>
  <c r="J12" i="22"/>
  <c r="G12" i="22"/>
  <c r="D12" i="22"/>
  <c r="BF11" i="22"/>
  <c r="AH11" i="22"/>
  <c r="AE11" i="22"/>
  <c r="AB11" i="22"/>
  <c r="Y11" i="22"/>
  <c r="V11" i="22"/>
  <c r="S11" i="22"/>
  <c r="M11" i="22"/>
  <c r="J11" i="22"/>
  <c r="G11" i="22"/>
  <c r="D11" i="22"/>
  <c r="BF10" i="22"/>
  <c r="AH10" i="22"/>
  <c r="AE10" i="22"/>
  <c r="AB10" i="22"/>
  <c r="S10" i="22"/>
  <c r="P10" i="22"/>
  <c r="M10" i="22"/>
  <c r="J10" i="22"/>
  <c r="G10" i="22"/>
  <c r="D10" i="22"/>
  <c r="CD9" i="22"/>
  <c r="CA9" i="22"/>
  <c r="BX9" i="22"/>
  <c r="BU9" i="22"/>
  <c r="BR9" i="22"/>
  <c r="BO9" i="22"/>
  <c r="BL9" i="22"/>
  <c r="BI9" i="22"/>
  <c r="BF9" i="22"/>
  <c r="AH9" i="22"/>
  <c r="AB9" i="22"/>
  <c r="S9" i="22"/>
  <c r="P9" i="22"/>
  <c r="M9" i="22"/>
  <c r="J9" i="22"/>
  <c r="G9" i="22"/>
  <c r="D9" i="22"/>
  <c r="BR8" i="22"/>
  <c r="BF8" i="22"/>
  <c r="AH8" i="22"/>
  <c r="S8" i="22"/>
  <c r="P8" i="22"/>
  <c r="M8" i="22"/>
  <c r="J8" i="22"/>
  <c r="D8" i="22"/>
  <c r="BU7" i="22"/>
  <c r="BR7" i="22"/>
  <c r="BO7" i="22"/>
  <c r="BL7" i="22"/>
  <c r="BI7" i="22"/>
  <c r="BF7" i="22"/>
  <c r="BC7" i="22"/>
  <c r="AZ7" i="22"/>
  <c r="AQ7" i="22"/>
  <c r="AH7" i="22"/>
  <c r="AE7" i="22"/>
  <c r="AB7" i="22"/>
  <c r="Y7" i="22"/>
  <c r="V7" i="22"/>
  <c r="S7" i="22"/>
  <c r="P7" i="22"/>
  <c r="M7" i="22"/>
  <c r="J7" i="22"/>
  <c r="G7" i="22"/>
  <c r="D7" i="22"/>
  <c r="BU6" i="22"/>
  <c r="BR6" i="22"/>
  <c r="BO6" i="22"/>
  <c r="BL6" i="22"/>
  <c r="BI6" i="22"/>
  <c r="BF6" i="22"/>
  <c r="BC6" i="22"/>
  <c r="AZ6" i="22"/>
  <c r="AW6" i="22"/>
  <c r="AT6" i="22"/>
  <c r="AQ6" i="22"/>
  <c r="AN6" i="22"/>
  <c r="AE6" i="22"/>
  <c r="AB6" i="22"/>
  <c r="Y6" i="22"/>
  <c r="V6" i="22"/>
  <c r="S6" i="22"/>
  <c r="J6" i="22"/>
  <c r="G6" i="22"/>
  <c r="D6" i="22"/>
  <c r="CD5" i="22"/>
  <c r="CA5" i="22"/>
  <c r="BU5" i="22"/>
  <c r="BR5" i="22"/>
  <c r="BO5" i="22"/>
  <c r="BL5" i="22"/>
  <c r="BI5" i="22"/>
  <c r="BF5" i="22"/>
  <c r="BC5" i="22"/>
  <c r="AZ5" i="22"/>
  <c r="AW5" i="22"/>
  <c r="AT5" i="22"/>
  <c r="AQ5" i="22"/>
  <c r="AE5" i="22"/>
  <c r="AB5" i="22"/>
  <c r="Y5" i="22"/>
  <c r="V5" i="22"/>
  <c r="S5" i="22"/>
  <c r="P5" i="22"/>
  <c r="M5" i="22"/>
  <c r="J5" i="22"/>
  <c r="G5" i="22"/>
  <c r="D5" i="22"/>
  <c r="H17" i="21"/>
  <c r="BQ36" i="20"/>
  <c r="BP36" i="20"/>
  <c r="H10" i="21" s="1"/>
  <c r="BL33" i="20"/>
  <c r="BL34" i="20"/>
  <c r="BL35" i="20"/>
  <c r="BI34" i="20"/>
  <c r="BI35" i="20"/>
  <c r="BF33" i="20"/>
  <c r="BF34" i="20"/>
  <c r="BF35" i="20"/>
  <c r="BB36" i="20"/>
  <c r="BC35" i="20"/>
  <c r="BA36" i="20"/>
  <c r="AJ36" i="20"/>
  <c r="AI36" i="20"/>
  <c r="AT35" i="20"/>
  <c r="AW35" i="20"/>
  <c r="AT34" i="20"/>
  <c r="AW34" i="20"/>
  <c r="AQ33" i="20"/>
  <c r="AQ34" i="20"/>
  <c r="AQ35" i="20"/>
  <c r="AY36" i="20"/>
  <c r="AX36" i="20"/>
  <c r="Z36" i="20"/>
  <c r="AB36" i="20" s="1"/>
  <c r="AA36" i="20"/>
  <c r="AC36" i="20"/>
  <c r="B25" i="21" s="1"/>
  <c r="AD36" i="20"/>
  <c r="AE35" i="20"/>
  <c r="AH35" i="20"/>
  <c r="AH33" i="20"/>
  <c r="AH34" i="20"/>
  <c r="AE34" i="20"/>
  <c r="AB33" i="20"/>
  <c r="AB34" i="20"/>
  <c r="AB35" i="20"/>
  <c r="X36" i="20"/>
  <c r="W36" i="20"/>
  <c r="U36" i="20"/>
  <c r="V35" i="20"/>
  <c r="T36" i="20"/>
  <c r="R36" i="20"/>
  <c r="S35" i="20"/>
  <c r="Q36" i="20"/>
  <c r="O36" i="20"/>
  <c r="N36" i="20"/>
  <c r="L36" i="20"/>
  <c r="M35" i="20"/>
  <c r="CC35" i="20"/>
  <c r="K36" i="20"/>
  <c r="C36" i="20"/>
  <c r="D35" i="20"/>
  <c r="B36" i="20"/>
  <c r="F36" i="20"/>
  <c r="G35" i="20"/>
  <c r="E36" i="20"/>
  <c r="P34" i="20"/>
  <c r="P33" i="20"/>
  <c r="BL32" i="20"/>
  <c r="AT32" i="20"/>
  <c r="AW32" i="20"/>
  <c r="AK32" i="20"/>
  <c r="AN32" i="20"/>
  <c r="BI31" i="20"/>
  <c r="BL31" i="20"/>
  <c r="Y31" i="20"/>
  <c r="AB31" i="20"/>
  <c r="AE31" i="20"/>
  <c r="AH31" i="20"/>
  <c r="AH32" i="20"/>
  <c r="AH6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H25" i="20"/>
  <c r="AH26" i="20"/>
  <c r="AH27" i="20"/>
  <c r="AH28" i="20"/>
  <c r="AH29" i="20"/>
  <c r="AH30" i="20"/>
  <c r="AH5" i="20"/>
  <c r="BU28" i="20"/>
  <c r="BX28" i="20"/>
  <c r="CA28" i="20"/>
  <c r="BU29" i="20"/>
  <c r="BX29" i="20"/>
  <c r="CA29" i="20"/>
  <c r="AE27" i="20"/>
  <c r="AE28" i="20"/>
  <c r="AE29" i="20"/>
  <c r="CA26" i="20"/>
  <c r="BU26" i="20"/>
  <c r="BX26" i="20"/>
  <c r="AN26" i="20"/>
  <c r="AQ26" i="20"/>
  <c r="AT26" i="20"/>
  <c r="AW26" i="20"/>
  <c r="BU25" i="20"/>
  <c r="BX25" i="20"/>
  <c r="AQ25" i="20"/>
  <c r="AT25" i="20"/>
  <c r="AW25" i="20"/>
  <c r="AN25" i="20"/>
  <c r="BR23" i="20"/>
  <c r="BU23" i="20"/>
  <c r="BX23" i="20"/>
  <c r="CA23" i="20"/>
  <c r="BR24" i="20"/>
  <c r="BU24" i="20"/>
  <c r="BX24" i="20"/>
  <c r="CA24" i="20"/>
  <c r="BL24" i="20"/>
  <c r="BI23" i="20"/>
  <c r="BF23" i="20"/>
  <c r="BF24" i="20"/>
  <c r="AT24" i="20"/>
  <c r="AW24" i="20"/>
  <c r="AN24" i="20"/>
  <c r="AN23" i="20"/>
  <c r="AQ23" i="20"/>
  <c r="AT23" i="20"/>
  <c r="AW23" i="20"/>
  <c r="AH23" i="20"/>
  <c r="AH24" i="20"/>
  <c r="AB23" i="20"/>
  <c r="AB24" i="20"/>
  <c r="V23" i="20"/>
  <c r="V24" i="20"/>
  <c r="BR21" i="20"/>
  <c r="BR22" i="20"/>
  <c r="CA21" i="20"/>
  <c r="CA22" i="20"/>
  <c r="BU20" i="20"/>
  <c r="BX20" i="20"/>
  <c r="BU21" i="20"/>
  <c r="BX21" i="20"/>
  <c r="BU22" i="20"/>
  <c r="BX22" i="20"/>
  <c r="BL20" i="20"/>
  <c r="BL21" i="20"/>
  <c r="BF20" i="20"/>
  <c r="BI20" i="20"/>
  <c r="BF21" i="20"/>
  <c r="BI21" i="20"/>
  <c r="BF22" i="20"/>
  <c r="BI22" i="20"/>
  <c r="AK20" i="20"/>
  <c r="AN20" i="20"/>
  <c r="AQ20" i="20"/>
  <c r="AT20" i="20"/>
  <c r="AW20" i="20"/>
  <c r="AZ20" i="20"/>
  <c r="AK21" i="20"/>
  <c r="AN21" i="20"/>
  <c r="AQ21" i="20"/>
  <c r="AT21" i="20"/>
  <c r="AW21" i="20"/>
  <c r="AZ21" i="20"/>
  <c r="AK22" i="20"/>
  <c r="AN22" i="20"/>
  <c r="AQ22" i="20"/>
  <c r="AT22" i="20"/>
  <c r="AW22" i="20"/>
  <c r="AZ22" i="20"/>
  <c r="V21" i="20"/>
  <c r="Y21" i="20"/>
  <c r="AB21" i="20"/>
  <c r="AE21" i="20"/>
  <c r="AH21" i="20"/>
  <c r="V22" i="20"/>
  <c r="Y22" i="20"/>
  <c r="AB22" i="20"/>
  <c r="AE22" i="20"/>
  <c r="AH22" i="20"/>
  <c r="BL19" i="20"/>
  <c r="BF19" i="20"/>
  <c r="BI19" i="20"/>
  <c r="BU18" i="20"/>
  <c r="BX18" i="20"/>
  <c r="CA18" i="20"/>
  <c r="BR17" i="20"/>
  <c r="BU17" i="20"/>
  <c r="BX17" i="20"/>
  <c r="CA17" i="20"/>
  <c r="BF17" i="20"/>
  <c r="BI17" i="20"/>
  <c r="BL17" i="20"/>
  <c r="BF18" i="20"/>
  <c r="BI18" i="20"/>
  <c r="BL18" i="20"/>
  <c r="BO16" i="20"/>
  <c r="AT18" i="20"/>
  <c r="AW18" i="20"/>
  <c r="AZ18" i="20"/>
  <c r="AN18" i="20"/>
  <c r="AN17" i="20"/>
  <c r="AQ17" i="20"/>
  <c r="AT17" i="20"/>
  <c r="AW17" i="20"/>
  <c r="AZ17" i="20"/>
  <c r="AK17" i="20"/>
  <c r="Y17" i="20"/>
  <c r="AB17" i="20"/>
  <c r="AE17" i="20"/>
  <c r="BR16" i="20"/>
  <c r="BU16" i="20"/>
  <c r="BX16" i="20"/>
  <c r="CA16" i="20"/>
  <c r="BF16" i="20"/>
  <c r="BI16" i="20"/>
  <c r="BL16" i="20"/>
  <c r="AK16" i="20"/>
  <c r="AN16" i="20"/>
  <c r="AQ16" i="20"/>
  <c r="AT16" i="20"/>
  <c r="AW16" i="20"/>
  <c r="AZ16" i="20"/>
  <c r="Y16" i="20"/>
  <c r="AB16" i="20"/>
  <c r="AE16" i="20"/>
  <c r="BU12" i="20"/>
  <c r="BX12" i="20"/>
  <c r="CA12" i="20"/>
  <c r="BU13" i="20"/>
  <c r="BX13" i="20"/>
  <c r="CA13" i="20"/>
  <c r="BU14" i="20"/>
  <c r="BX14" i="20"/>
  <c r="CA14" i="20"/>
  <c r="BU15" i="20"/>
  <c r="BX15" i="20"/>
  <c r="CA15" i="20"/>
  <c r="BF12" i="20"/>
  <c r="BI12" i="20"/>
  <c r="BL12" i="20"/>
  <c r="BF13" i="20"/>
  <c r="BI13" i="20"/>
  <c r="BL13" i="20"/>
  <c r="BF14" i="20"/>
  <c r="BI14" i="20"/>
  <c r="BL14" i="20"/>
  <c r="BF15" i="20"/>
  <c r="BI15" i="20"/>
  <c r="BL15" i="20"/>
  <c r="AK12" i="20"/>
  <c r="AN12" i="20"/>
  <c r="AQ12" i="20"/>
  <c r="AT12" i="20"/>
  <c r="AW12" i="20"/>
  <c r="AZ12" i="20"/>
  <c r="AK13" i="20"/>
  <c r="AN13" i="20"/>
  <c r="AQ13" i="20"/>
  <c r="AT13" i="20"/>
  <c r="AW13" i="20"/>
  <c r="AZ13" i="20"/>
  <c r="AK14" i="20"/>
  <c r="AN14" i="20"/>
  <c r="AQ14" i="20"/>
  <c r="AT14" i="20"/>
  <c r="AW14" i="20"/>
  <c r="AZ14" i="20"/>
  <c r="AK15" i="20"/>
  <c r="AN15" i="20"/>
  <c r="AQ15" i="20"/>
  <c r="AT15" i="20"/>
  <c r="AW15" i="20"/>
  <c r="AZ15" i="20"/>
  <c r="BU9" i="20"/>
  <c r="BX9" i="20"/>
  <c r="CA9" i="20"/>
  <c r="BU10" i="20"/>
  <c r="BX10" i="20"/>
  <c r="CA10" i="20"/>
  <c r="BF10" i="20"/>
  <c r="BI10" i="20"/>
  <c r="BL10" i="20"/>
  <c r="AT9" i="20"/>
  <c r="AW9" i="20"/>
  <c r="AZ9" i="20"/>
  <c r="AT10" i="20"/>
  <c r="AW10" i="20"/>
  <c r="AZ10" i="20"/>
  <c r="AN9" i="20"/>
  <c r="AN10" i="20"/>
  <c r="AB9" i="20"/>
  <c r="BU6" i="20"/>
  <c r="BX6" i="20"/>
  <c r="CA6" i="20"/>
  <c r="BO7" i="20"/>
  <c r="BR7" i="20"/>
  <c r="BU7" i="20"/>
  <c r="BX7" i="20"/>
  <c r="CA7" i="20"/>
  <c r="BO8" i="20"/>
  <c r="BR8" i="20"/>
  <c r="BU8" i="20"/>
  <c r="BX8" i="20"/>
  <c r="CA8" i="20"/>
  <c r="AN7" i="20"/>
  <c r="AQ7" i="20"/>
  <c r="AT7" i="20"/>
  <c r="AW7" i="20"/>
  <c r="AZ7" i="20"/>
  <c r="AN8" i="20"/>
  <c r="AQ8" i="20"/>
  <c r="AT8" i="20"/>
  <c r="AW8" i="20"/>
  <c r="AZ8" i="20"/>
  <c r="S8" i="20"/>
  <c r="H14" i="21"/>
  <c r="E16" i="21"/>
  <c r="B26" i="21"/>
  <c r="B23" i="21"/>
  <c r="AB7" i="20"/>
  <c r="AB8" i="20"/>
  <c r="AB10" i="20"/>
  <c r="AB11" i="20"/>
  <c r="AB12" i="20"/>
  <c r="AB13" i="20"/>
  <c r="AB14" i="20"/>
  <c r="AB15" i="20"/>
  <c r="AB18" i="20"/>
  <c r="AB19" i="20"/>
  <c r="AB20" i="20"/>
  <c r="AB25" i="20"/>
  <c r="AB26" i="20"/>
  <c r="AB27" i="20"/>
  <c r="AB28" i="20"/>
  <c r="AB29" i="20"/>
  <c r="AB30" i="20"/>
  <c r="AB32" i="20"/>
  <c r="AB6" i="20"/>
  <c r="AB5" i="20"/>
  <c r="AE7" i="20"/>
  <c r="AE8" i="20"/>
  <c r="AE9" i="20"/>
  <c r="AE10" i="20"/>
  <c r="AE11" i="20"/>
  <c r="AE12" i="20"/>
  <c r="AE13" i="20"/>
  <c r="AE14" i="20"/>
  <c r="AE15" i="20"/>
  <c r="AE18" i="20"/>
  <c r="AE19" i="20"/>
  <c r="AE20" i="20"/>
  <c r="AE23" i="20"/>
  <c r="AE24" i="20"/>
  <c r="AE25" i="20"/>
  <c r="AE26" i="20"/>
  <c r="AE30" i="20"/>
  <c r="AE32" i="20"/>
  <c r="AE33" i="20"/>
  <c r="AE6" i="20"/>
  <c r="AE5" i="20"/>
  <c r="BQ8" i="21"/>
  <c r="BZ36" i="20"/>
  <c r="BY36" i="20"/>
  <c r="BW36" i="20"/>
  <c r="BX36" i="20" s="1"/>
  <c r="BV36" i="20"/>
  <c r="BT36" i="20"/>
  <c r="BU36" i="20" s="1"/>
  <c r="H15" i="21" s="1"/>
  <c r="BS36" i="20"/>
  <c r="H13" i="21" s="1"/>
  <c r="H11" i="21"/>
  <c r="BN36" i="20"/>
  <c r="BO36" i="20" s="1"/>
  <c r="BM36" i="20"/>
  <c r="H7" i="21" s="1"/>
  <c r="BK36" i="20"/>
  <c r="H5" i="21" s="1"/>
  <c r="BJ36" i="20"/>
  <c r="H4" i="21" s="1"/>
  <c r="BH36" i="20"/>
  <c r="E17" i="21" s="1"/>
  <c r="BG36" i="20"/>
  <c r="BE36" i="20"/>
  <c r="E14" i="21" s="1"/>
  <c r="BD36" i="20"/>
  <c r="E13" i="21" s="1"/>
  <c r="E11" i="21"/>
  <c r="E10" i="21"/>
  <c r="E8" i="21"/>
  <c r="E7" i="21"/>
  <c r="AV36" i="20"/>
  <c r="E5" i="21" s="1"/>
  <c r="AU36" i="20"/>
  <c r="AS36" i="20"/>
  <c r="AR36" i="20"/>
  <c r="AP36" i="20"/>
  <c r="B38" i="21" s="1"/>
  <c r="AO36" i="20"/>
  <c r="B37" i="21" s="1"/>
  <c r="AM36" i="20"/>
  <c r="B35" i="21" s="1"/>
  <c r="AL36" i="20"/>
  <c r="B34" i="21" s="1"/>
  <c r="B32" i="21"/>
  <c r="B31" i="21"/>
  <c r="AG36" i="20"/>
  <c r="B29" i="21" s="1"/>
  <c r="AF36" i="20"/>
  <c r="B28" i="21" s="1"/>
  <c r="B22" i="21"/>
  <c r="B17" i="21"/>
  <c r="B16" i="21"/>
  <c r="B14" i="21"/>
  <c r="B13" i="21"/>
  <c r="B20" i="21"/>
  <c r="B19" i="21"/>
  <c r="I36" i="20"/>
  <c r="B11" i="21" s="1"/>
  <c r="H36" i="20"/>
  <c r="B10" i="21" s="1"/>
  <c r="B8" i="21"/>
  <c r="B7" i="21"/>
  <c r="B5" i="21"/>
  <c r="B4" i="21"/>
  <c r="CC34" i="20"/>
  <c r="BR34" i="20"/>
  <c r="BO34" i="20"/>
  <c r="BC34" i="20"/>
  <c r="V34" i="20"/>
  <c r="S34" i="20"/>
  <c r="M34" i="20"/>
  <c r="G34" i="20"/>
  <c r="D34" i="20"/>
  <c r="CC33" i="20"/>
  <c r="BO33" i="20"/>
  <c r="BI33" i="20"/>
  <c r="BC33" i="20"/>
  <c r="AZ33" i="20"/>
  <c r="AW33" i="20"/>
  <c r="AT33" i="20"/>
  <c r="Y33" i="20"/>
  <c r="V33" i="20"/>
  <c r="S33" i="20"/>
  <c r="M33" i="20"/>
  <c r="G33" i="20"/>
  <c r="D33" i="20"/>
  <c r="CC32" i="20"/>
  <c r="BI32" i="20"/>
  <c r="BF32" i="20"/>
  <c r="BC32" i="20"/>
  <c r="AZ32" i="20"/>
  <c r="AQ32" i="20"/>
  <c r="Y32" i="20"/>
  <c r="V32" i="20"/>
  <c r="S32" i="20"/>
  <c r="M32" i="20"/>
  <c r="G32" i="20"/>
  <c r="D32" i="20"/>
  <c r="CC31" i="20"/>
  <c r="BC31" i="20"/>
  <c r="AZ31" i="20"/>
  <c r="AW31" i="20"/>
  <c r="AT31" i="20"/>
  <c r="AQ31" i="20"/>
  <c r="AN31" i="20"/>
  <c r="AK31" i="20"/>
  <c r="V31" i="20"/>
  <c r="S31" i="20"/>
  <c r="M31" i="20"/>
  <c r="G31" i="20"/>
  <c r="D31" i="20"/>
  <c r="CC30" i="20"/>
  <c r="BL30" i="20"/>
  <c r="BI30" i="20"/>
  <c r="BC30" i="20"/>
  <c r="AZ30" i="20"/>
  <c r="AK30" i="20"/>
  <c r="Y30" i="20"/>
  <c r="V30" i="20"/>
  <c r="S30" i="20"/>
  <c r="M30" i="20"/>
  <c r="G30" i="20"/>
  <c r="D30" i="20"/>
  <c r="CC29" i="20"/>
  <c r="BL29" i="20"/>
  <c r="BI29" i="20"/>
  <c r="BF29" i="20"/>
  <c r="BC29" i="20"/>
  <c r="Y29" i="20"/>
  <c r="V29" i="20"/>
  <c r="S29" i="20"/>
  <c r="M29" i="20"/>
  <c r="J29" i="20"/>
  <c r="G29" i="20"/>
  <c r="D29" i="20"/>
  <c r="CC28" i="20"/>
  <c r="BR28" i="20"/>
  <c r="BI28" i="20"/>
  <c r="BF28" i="20"/>
  <c r="BC28" i="20"/>
  <c r="V28" i="20"/>
  <c r="S28" i="20"/>
  <c r="P28" i="20"/>
  <c r="M28" i="20"/>
  <c r="J28" i="20"/>
  <c r="G28" i="20"/>
  <c r="D28" i="20"/>
  <c r="CC27" i="20"/>
  <c r="CA27" i="20"/>
  <c r="BX27" i="20"/>
  <c r="BU27" i="20"/>
  <c r="BR27" i="20"/>
  <c r="BO27" i="20"/>
  <c r="BI27" i="20"/>
  <c r="BF27" i="20"/>
  <c r="BC27" i="20"/>
  <c r="V27" i="20"/>
  <c r="S27" i="20"/>
  <c r="P27" i="20"/>
  <c r="M27" i="20"/>
  <c r="J27" i="20"/>
  <c r="G27" i="20"/>
  <c r="D27" i="20"/>
  <c r="CC26" i="20"/>
  <c r="BR26" i="20"/>
  <c r="BO26" i="20"/>
  <c r="BL26" i="20"/>
  <c r="BI26" i="20"/>
  <c r="BF26" i="20"/>
  <c r="BC26" i="20"/>
  <c r="Y26" i="20"/>
  <c r="S26" i="20"/>
  <c r="P26" i="20"/>
  <c r="M26" i="20"/>
  <c r="J26" i="20"/>
  <c r="G26" i="20"/>
  <c r="D26" i="20"/>
  <c r="CC25" i="20"/>
  <c r="CA25" i="20"/>
  <c r="BR25" i="20"/>
  <c r="BO25" i="20"/>
  <c r="BL25" i="20"/>
  <c r="BI25" i="20"/>
  <c r="BF25" i="20"/>
  <c r="BC25" i="20"/>
  <c r="AZ25" i="20"/>
  <c r="AK25" i="20"/>
  <c r="Y25" i="20"/>
  <c r="V25" i="20"/>
  <c r="S25" i="20"/>
  <c r="P25" i="20"/>
  <c r="M25" i="20"/>
  <c r="J25" i="20"/>
  <c r="G25" i="20"/>
  <c r="D25" i="20"/>
  <c r="CC24" i="20"/>
  <c r="BO24" i="20"/>
  <c r="BI24" i="20"/>
  <c r="BC24" i="20"/>
  <c r="AZ24" i="20"/>
  <c r="AQ24" i="20"/>
  <c r="AK24" i="20"/>
  <c r="Y24" i="20"/>
  <c r="S24" i="20"/>
  <c r="P24" i="20"/>
  <c r="M24" i="20"/>
  <c r="J24" i="20"/>
  <c r="G24" i="20"/>
  <c r="D24" i="20"/>
  <c r="CC23" i="20"/>
  <c r="BO23" i="20"/>
  <c r="BL23" i="20"/>
  <c r="BC23" i="20"/>
  <c r="AZ23" i="20"/>
  <c r="AK23" i="20"/>
  <c r="Y23" i="20"/>
  <c r="S23" i="20"/>
  <c r="P23" i="20"/>
  <c r="M23" i="20"/>
  <c r="J23" i="20"/>
  <c r="G23" i="20"/>
  <c r="D23" i="20"/>
  <c r="CC22" i="20"/>
  <c r="BO22" i="20"/>
  <c r="BL22" i="20"/>
  <c r="BC22" i="20"/>
  <c r="S22" i="20"/>
  <c r="P22" i="20"/>
  <c r="M22" i="20"/>
  <c r="J22" i="20"/>
  <c r="G22" i="20"/>
  <c r="D22" i="20"/>
  <c r="CC21" i="20"/>
  <c r="BO21" i="20"/>
  <c r="BC21" i="20"/>
  <c r="S21" i="20"/>
  <c r="P21" i="20"/>
  <c r="M21" i="20"/>
  <c r="J21" i="20"/>
  <c r="G21" i="20"/>
  <c r="D21" i="20"/>
  <c r="CC20" i="20"/>
  <c r="CA20" i="20"/>
  <c r="BR20" i="20"/>
  <c r="BO20" i="20"/>
  <c r="BC20" i="20"/>
  <c r="Y20" i="20"/>
  <c r="V20" i="20"/>
  <c r="S20" i="20"/>
  <c r="P20" i="20"/>
  <c r="M20" i="20"/>
  <c r="J20" i="20"/>
  <c r="G20" i="20"/>
  <c r="D20" i="20"/>
  <c r="CC19" i="20"/>
  <c r="CA19" i="20"/>
  <c r="BX19" i="20"/>
  <c r="BU19" i="20"/>
  <c r="BR19" i="20"/>
  <c r="BO19" i="20"/>
  <c r="BC19" i="20"/>
  <c r="AZ19" i="20"/>
  <c r="AW19" i="20"/>
  <c r="AT19" i="20"/>
  <c r="AQ19" i="20"/>
  <c r="AN19" i="20"/>
  <c r="AK19" i="20"/>
  <c r="Y19" i="20"/>
  <c r="V19" i="20"/>
  <c r="S19" i="20"/>
  <c r="P19" i="20"/>
  <c r="M19" i="20"/>
  <c r="J19" i="20"/>
  <c r="G19" i="20"/>
  <c r="D19" i="20"/>
  <c r="CC18" i="20"/>
  <c r="BR18" i="20"/>
  <c r="BO18" i="20"/>
  <c r="BC18" i="20"/>
  <c r="AQ18" i="20"/>
  <c r="AK18" i="20"/>
  <c r="Y18" i="20"/>
  <c r="V18" i="20"/>
  <c r="S18" i="20"/>
  <c r="P18" i="20"/>
  <c r="M18" i="20"/>
  <c r="J18" i="20"/>
  <c r="G18" i="20"/>
  <c r="D18" i="20"/>
  <c r="CC17" i="20"/>
  <c r="BO17" i="20"/>
  <c r="BC17" i="20"/>
  <c r="V17" i="20"/>
  <c r="S17" i="20"/>
  <c r="P17" i="20"/>
  <c r="M17" i="20"/>
  <c r="J17" i="20"/>
  <c r="G17" i="20"/>
  <c r="D17" i="20"/>
  <c r="CC16" i="20"/>
  <c r="BC16" i="20"/>
  <c r="V16" i="20"/>
  <c r="S16" i="20"/>
  <c r="P16" i="20"/>
  <c r="M16" i="20"/>
  <c r="J16" i="20"/>
  <c r="G16" i="20"/>
  <c r="D16" i="20"/>
  <c r="CC15" i="20"/>
  <c r="BR15" i="20"/>
  <c r="BO15" i="20"/>
  <c r="BC15" i="20"/>
  <c r="Y15" i="20"/>
  <c r="V15" i="20"/>
  <c r="S15" i="20"/>
  <c r="P15" i="20"/>
  <c r="M15" i="20"/>
  <c r="J15" i="20"/>
  <c r="G15" i="20"/>
  <c r="D15" i="20"/>
  <c r="CC14" i="20"/>
  <c r="BR14" i="20"/>
  <c r="BO14" i="20"/>
  <c r="BC14" i="20"/>
  <c r="Y14" i="20"/>
  <c r="V14" i="20"/>
  <c r="S14" i="20"/>
  <c r="P14" i="20"/>
  <c r="M14" i="20"/>
  <c r="J14" i="20"/>
  <c r="G14" i="20"/>
  <c r="D14" i="20"/>
  <c r="CC13" i="20"/>
  <c r="BR13" i="20"/>
  <c r="BO13" i="20"/>
  <c r="BC13" i="20"/>
  <c r="Y13" i="20"/>
  <c r="V13" i="20"/>
  <c r="S13" i="20"/>
  <c r="P13" i="20"/>
  <c r="M13" i="20"/>
  <c r="J13" i="20"/>
  <c r="G13" i="20"/>
  <c r="D13" i="20"/>
  <c r="CC12" i="20"/>
  <c r="BR12" i="20"/>
  <c r="BO12" i="20"/>
  <c r="BC12" i="20"/>
  <c r="Y12" i="20"/>
  <c r="V12" i="20"/>
  <c r="S12" i="20"/>
  <c r="P12" i="20"/>
  <c r="M12" i="20"/>
  <c r="J12" i="20"/>
  <c r="G12" i="20"/>
  <c r="D12" i="20"/>
  <c r="CC11" i="20"/>
  <c r="CA11" i="20"/>
  <c r="BX11" i="20"/>
  <c r="BU11" i="20"/>
  <c r="BR11" i="20"/>
  <c r="BO11" i="20"/>
  <c r="BL11" i="20"/>
  <c r="BI11" i="20"/>
  <c r="BF11" i="20"/>
  <c r="BC11" i="20"/>
  <c r="AZ11" i="20"/>
  <c r="AW11" i="20"/>
  <c r="AT11" i="20"/>
  <c r="AQ11" i="20"/>
  <c r="AN11" i="20"/>
  <c r="AK11" i="20"/>
  <c r="Y11" i="20"/>
  <c r="V11" i="20"/>
  <c r="S11" i="20"/>
  <c r="P11" i="20"/>
  <c r="M11" i="20"/>
  <c r="J11" i="20"/>
  <c r="G11" i="20"/>
  <c r="D11" i="20"/>
  <c r="CC10" i="20"/>
  <c r="BR10" i="20"/>
  <c r="BO10" i="20"/>
  <c r="BC10" i="20"/>
  <c r="AQ10" i="20"/>
  <c r="AK10" i="20"/>
  <c r="S10" i="20"/>
  <c r="P10" i="20"/>
  <c r="M10" i="20"/>
  <c r="J10" i="20"/>
  <c r="G10" i="20"/>
  <c r="D10" i="20"/>
  <c r="CC9" i="20"/>
  <c r="BR9" i="20"/>
  <c r="BO9" i="20"/>
  <c r="BL9" i="20"/>
  <c r="BI9" i="20"/>
  <c r="BF9" i="20"/>
  <c r="BC9" i="20"/>
  <c r="AQ9" i="20"/>
  <c r="AK9" i="20"/>
  <c r="Y9" i="20"/>
  <c r="V9" i="20"/>
  <c r="S9" i="20"/>
  <c r="P9" i="20"/>
  <c r="M9" i="20"/>
  <c r="J9" i="20"/>
  <c r="G9" i="20"/>
  <c r="D9" i="20"/>
  <c r="CC8" i="20"/>
  <c r="BL8" i="20"/>
  <c r="BI8" i="20"/>
  <c r="BF8" i="20"/>
  <c r="BC8" i="20"/>
  <c r="AK8" i="20"/>
  <c r="Y8" i="20"/>
  <c r="P8" i="20"/>
  <c r="M8" i="20"/>
  <c r="J8" i="20"/>
  <c r="D8" i="20"/>
  <c r="CC7" i="20"/>
  <c r="BL7" i="20"/>
  <c r="BI7" i="20"/>
  <c r="BF7" i="20"/>
  <c r="BC7" i="20"/>
  <c r="AK7" i="20"/>
  <c r="Y7" i="20"/>
  <c r="V7" i="20"/>
  <c r="S7" i="20"/>
  <c r="P7" i="20"/>
  <c r="M7" i="20"/>
  <c r="J7" i="20"/>
  <c r="G7" i="20"/>
  <c r="D7" i="20"/>
  <c r="CC6" i="20"/>
  <c r="BR6" i="20"/>
  <c r="BO6" i="20"/>
  <c r="BL6" i="20"/>
  <c r="BI6" i="20"/>
  <c r="BF6" i="20"/>
  <c r="BC6" i="20"/>
  <c r="AZ6" i="20"/>
  <c r="AW6" i="20"/>
  <c r="AT6" i="20"/>
  <c r="AQ6" i="20"/>
  <c r="AN6" i="20"/>
  <c r="AK6" i="20"/>
  <c r="Y6" i="20"/>
  <c r="V6" i="20"/>
  <c r="S6" i="20"/>
  <c r="P6" i="20"/>
  <c r="M6" i="20"/>
  <c r="J6" i="20"/>
  <c r="G6" i="20"/>
  <c r="D6" i="20"/>
  <c r="CC5" i="20"/>
  <c r="CA5" i="20"/>
  <c r="BX5" i="20"/>
  <c r="BU5" i="20"/>
  <c r="BR5" i="20"/>
  <c r="BO5" i="20"/>
  <c r="BL5" i="20"/>
  <c r="BI5" i="20"/>
  <c r="BF5" i="20"/>
  <c r="BC5" i="20"/>
  <c r="AZ5" i="20"/>
  <c r="AW5" i="20"/>
  <c r="AT5" i="20"/>
  <c r="AQ5" i="20"/>
  <c r="AN5" i="20"/>
  <c r="AK5" i="20"/>
  <c r="Y5" i="20"/>
  <c r="V5" i="20"/>
  <c r="S5" i="20"/>
  <c r="P5" i="20"/>
  <c r="M5" i="20"/>
  <c r="J5" i="20"/>
  <c r="G5" i="20"/>
  <c r="D5" i="20"/>
  <c r="BT36" i="18"/>
  <c r="BS36" i="18"/>
  <c r="BQ36" i="18"/>
  <c r="BP36" i="18"/>
  <c r="BN36" i="18"/>
  <c r="BM36" i="18"/>
  <c r="BK36" i="18"/>
  <c r="BJ36" i="18"/>
  <c r="BE36" i="18"/>
  <c r="BD36" i="18"/>
  <c r="BB36" i="18"/>
  <c r="BA36" i="18"/>
  <c r="AY36" i="18"/>
  <c r="AX36" i="18"/>
  <c r="AV36" i="18"/>
  <c r="AU36" i="18"/>
  <c r="AS36" i="18"/>
  <c r="AR36" i="18"/>
  <c r="AP36" i="18"/>
  <c r="AO36" i="18"/>
  <c r="AM36" i="18"/>
  <c r="B35" i="19" s="1"/>
  <c r="AL36" i="18"/>
  <c r="AJ36" i="18"/>
  <c r="AI36" i="18"/>
  <c r="AG36" i="18"/>
  <c r="AF36" i="18"/>
  <c r="AD36" i="18"/>
  <c r="AC36" i="18"/>
  <c r="AA36" i="18"/>
  <c r="Z36" i="18"/>
  <c r="U36" i="18"/>
  <c r="T36" i="18"/>
  <c r="X36" i="18"/>
  <c r="W36" i="18"/>
  <c r="R36" i="18"/>
  <c r="Q36" i="18"/>
  <c r="V26" i="18"/>
  <c r="V27" i="18"/>
  <c r="V28" i="18"/>
  <c r="V29" i="18"/>
  <c r="V30" i="18"/>
  <c r="V31" i="18"/>
  <c r="V32" i="18"/>
  <c r="V33" i="18"/>
  <c r="V34" i="18"/>
  <c r="V35" i="18"/>
  <c r="S31" i="18"/>
  <c r="S32" i="18"/>
  <c r="S33" i="18"/>
  <c r="S34" i="18"/>
  <c r="S35" i="18"/>
  <c r="M32" i="18"/>
  <c r="M33" i="18"/>
  <c r="M34" i="18"/>
  <c r="M35" i="18"/>
  <c r="F36" i="18"/>
  <c r="E36" i="18"/>
  <c r="C36" i="18"/>
  <c r="B36" i="18"/>
  <c r="L36" i="18"/>
  <c r="K36" i="18"/>
  <c r="AN33" i="18"/>
  <c r="AQ33" i="18"/>
  <c r="AT33" i="18"/>
  <c r="Y32" i="18"/>
  <c r="Y33" i="18"/>
  <c r="BC30" i="18"/>
  <c r="BF30" i="18"/>
  <c r="BC31" i="18"/>
  <c r="BF31" i="18"/>
  <c r="BC32" i="18"/>
  <c r="BF32" i="18"/>
  <c r="AH30" i="18"/>
  <c r="AK30" i="18"/>
  <c r="AN30" i="18"/>
  <c r="AQ30" i="18"/>
  <c r="AT30" i="18"/>
  <c r="AH31" i="18"/>
  <c r="AK31" i="18"/>
  <c r="AN31" i="18"/>
  <c r="AQ31" i="18"/>
  <c r="AT31" i="18"/>
  <c r="AH32" i="18"/>
  <c r="AK32" i="18"/>
  <c r="AN32" i="18"/>
  <c r="AQ32" i="18"/>
  <c r="AT32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Y30" i="18"/>
  <c r="D35" i="18"/>
  <c r="G35" i="18"/>
  <c r="AW35" i="18"/>
  <c r="AZ35" i="18"/>
  <c r="BC35" i="18"/>
  <c r="BF35" i="18"/>
  <c r="BI35" i="18"/>
  <c r="BL35" i="18"/>
  <c r="BO35" i="18"/>
  <c r="BR35" i="18"/>
  <c r="BU35" i="18"/>
  <c r="BW35" i="18"/>
  <c r="M30" i="18"/>
  <c r="M31" i="18"/>
  <c r="AZ29" i="18"/>
  <c r="BC29" i="18"/>
  <c r="BO28" i="18"/>
  <c r="BR28" i="18"/>
  <c r="BU28" i="18"/>
  <c r="AZ28" i="18"/>
  <c r="BC28" i="18"/>
  <c r="BL27" i="18"/>
  <c r="BO27" i="18"/>
  <c r="BR27" i="18"/>
  <c r="BU27" i="18"/>
  <c r="BL26" i="18"/>
  <c r="BO26" i="18"/>
  <c r="BR26" i="18"/>
  <c r="BU26" i="18"/>
  <c r="BO23" i="18"/>
  <c r="BR23" i="18"/>
  <c r="BU23" i="18"/>
  <c r="BO24" i="18"/>
  <c r="BR24" i="18"/>
  <c r="BU24" i="18"/>
  <c r="BO25" i="18"/>
  <c r="BR25" i="18"/>
  <c r="BU25" i="18"/>
  <c r="BI23" i="18"/>
  <c r="BI24" i="18"/>
  <c r="BI25" i="18"/>
  <c r="BC23" i="18"/>
  <c r="BC24" i="18"/>
  <c r="BC25" i="18"/>
  <c r="AZ23" i="18"/>
  <c r="AZ24" i="18"/>
  <c r="AZ25" i="18"/>
  <c r="AE23" i="18"/>
  <c r="AH23" i="18"/>
  <c r="AK23" i="18"/>
  <c r="AN23" i="18"/>
  <c r="AQ23" i="18"/>
  <c r="AT23" i="18"/>
  <c r="AE24" i="18"/>
  <c r="AH24" i="18"/>
  <c r="AK24" i="18"/>
  <c r="AN24" i="18"/>
  <c r="AQ24" i="18"/>
  <c r="AT24" i="18"/>
  <c r="AE25" i="18"/>
  <c r="AH25" i="18"/>
  <c r="AK25" i="18"/>
  <c r="AN25" i="18"/>
  <c r="AQ25" i="18"/>
  <c r="AT25" i="18"/>
  <c r="Y24" i="18"/>
  <c r="AZ22" i="18"/>
  <c r="BC22" i="18"/>
  <c r="BF22" i="18"/>
  <c r="BI22" i="18"/>
  <c r="AT21" i="18"/>
  <c r="AT22" i="18"/>
  <c r="AH22" i="18"/>
  <c r="AK22" i="18"/>
  <c r="AN22" i="18"/>
  <c r="Y21" i="18"/>
  <c r="BL18" i="18"/>
  <c r="BL19" i="18"/>
  <c r="BL20" i="18"/>
  <c r="BO16" i="18"/>
  <c r="BU16" i="18"/>
  <c r="BO17" i="18"/>
  <c r="BU17" i="18"/>
  <c r="BO18" i="18"/>
  <c r="BU18" i="18"/>
  <c r="BI16" i="18"/>
  <c r="BI17" i="18"/>
  <c r="BI18" i="18"/>
  <c r="BF17" i="18"/>
  <c r="BF18" i="18"/>
  <c r="BC16" i="18"/>
  <c r="BC17" i="18"/>
  <c r="BC18" i="18"/>
  <c r="AZ16" i="18"/>
  <c r="AZ17" i="18"/>
  <c r="AZ18" i="18"/>
  <c r="AE16" i="18"/>
  <c r="AH16" i="18"/>
  <c r="AK16" i="18"/>
  <c r="AN16" i="18"/>
  <c r="AQ16" i="18"/>
  <c r="AT16" i="18"/>
  <c r="AE17" i="18"/>
  <c r="AH17" i="18"/>
  <c r="AK17" i="18"/>
  <c r="AN17" i="18"/>
  <c r="AQ17" i="18"/>
  <c r="AT17" i="18"/>
  <c r="AE18" i="18"/>
  <c r="AH18" i="18"/>
  <c r="AK18" i="18"/>
  <c r="AN18" i="18"/>
  <c r="AQ18" i="18"/>
  <c r="AT18" i="18"/>
  <c r="V17" i="18"/>
  <c r="Y17" i="18"/>
  <c r="V16" i="18"/>
  <c r="Y16" i="18"/>
  <c r="BL14" i="18"/>
  <c r="BO14" i="18"/>
  <c r="BR14" i="18"/>
  <c r="BU14" i="18"/>
  <c r="BL13" i="18"/>
  <c r="BO13" i="18"/>
  <c r="BR13" i="18"/>
  <c r="BU13" i="18"/>
  <c r="AZ13" i="18"/>
  <c r="BC13" i="18"/>
  <c r="BF13" i="18"/>
  <c r="BI13" i="18"/>
  <c r="BL12" i="18"/>
  <c r="BO12" i="18"/>
  <c r="BR12" i="18"/>
  <c r="BU12" i="18"/>
  <c r="AZ12" i="18"/>
  <c r="BC12" i="18"/>
  <c r="BF12" i="18"/>
  <c r="BI12" i="18"/>
  <c r="AN12" i="18"/>
  <c r="AQ12" i="18"/>
  <c r="AT12" i="18"/>
  <c r="AH11" i="18"/>
  <c r="AH12" i="18"/>
  <c r="P12" i="18"/>
  <c r="G12" i="18"/>
  <c r="J12" i="18"/>
  <c r="BW11" i="18"/>
  <c r="BW12" i="18"/>
  <c r="BW13" i="18"/>
  <c r="BW14" i="18"/>
  <c r="BW15" i="18"/>
  <c r="BW16" i="18"/>
  <c r="BW17" i="18"/>
  <c r="BW18" i="18"/>
  <c r="BW19" i="18"/>
  <c r="BW20" i="18"/>
  <c r="BW21" i="18"/>
  <c r="BW22" i="18"/>
  <c r="BW23" i="18"/>
  <c r="BW24" i="18"/>
  <c r="BW25" i="18"/>
  <c r="BW26" i="18"/>
  <c r="BW27" i="18"/>
  <c r="BW28" i="18"/>
  <c r="BW29" i="18"/>
  <c r="BW30" i="18"/>
  <c r="BW31" i="18"/>
  <c r="BW32" i="18"/>
  <c r="BW33" i="18"/>
  <c r="BW34" i="18"/>
  <c r="BL10" i="18"/>
  <c r="BL11" i="18"/>
  <c r="BO9" i="18"/>
  <c r="BR9" i="18"/>
  <c r="BU9" i="18"/>
  <c r="BO10" i="18"/>
  <c r="BR10" i="18"/>
  <c r="BU10" i="18"/>
  <c r="BO11" i="18"/>
  <c r="BR11" i="18"/>
  <c r="BU11" i="18"/>
  <c r="BI9" i="18"/>
  <c r="BI10" i="18"/>
  <c r="BI11" i="18"/>
  <c r="BF9" i="18"/>
  <c r="BF10" i="18"/>
  <c r="BC9" i="18"/>
  <c r="AZ10" i="18"/>
  <c r="BC10" i="18"/>
  <c r="AZ11" i="18"/>
  <c r="BC11" i="18"/>
  <c r="AN11" i="18"/>
  <c r="AQ11" i="18"/>
  <c r="AT11" i="18"/>
  <c r="AE9" i="18"/>
  <c r="AH9" i="18"/>
  <c r="AK9" i="18"/>
  <c r="AN9" i="18"/>
  <c r="AQ9" i="18"/>
  <c r="AT9" i="18"/>
  <c r="AE10" i="18"/>
  <c r="AH10" i="18"/>
  <c r="AK10" i="18"/>
  <c r="AN10" i="18"/>
  <c r="AQ10" i="18"/>
  <c r="AT10" i="18"/>
  <c r="AK11" i="18"/>
  <c r="V9" i="18"/>
  <c r="Y9" i="18"/>
  <c r="V10" i="18"/>
  <c r="Y10" i="18"/>
  <c r="V11" i="18"/>
  <c r="Y11" i="18"/>
  <c r="M10" i="18"/>
  <c r="P10" i="18"/>
  <c r="M11" i="18"/>
  <c r="P11" i="18"/>
  <c r="BO7" i="18"/>
  <c r="BO8" i="18"/>
  <c r="AN7" i="18"/>
  <c r="AN6" i="18"/>
  <c r="BF5" i="18"/>
  <c r="V5" i="18"/>
  <c r="H14" i="19"/>
  <c r="B23" i="19"/>
  <c r="BQ8" i="19"/>
  <c r="BU36" i="18"/>
  <c r="H15" i="19" s="1"/>
  <c r="H13" i="19"/>
  <c r="H11" i="19"/>
  <c r="H10" i="19"/>
  <c r="H9" i="19"/>
  <c r="H7" i="19"/>
  <c r="H5" i="19"/>
  <c r="BH36" i="18"/>
  <c r="BI36" i="18" s="1"/>
  <c r="E18" i="19" s="1"/>
  <c r="BG36" i="18"/>
  <c r="E16" i="19" s="1"/>
  <c r="E14" i="19"/>
  <c r="E13" i="19"/>
  <c r="E11" i="19"/>
  <c r="E8" i="19"/>
  <c r="E7" i="19"/>
  <c r="E5" i="19"/>
  <c r="B38" i="19"/>
  <c r="B34" i="19"/>
  <c r="B32" i="19"/>
  <c r="B29" i="19"/>
  <c r="B28" i="19"/>
  <c r="B26" i="19"/>
  <c r="B22" i="19"/>
  <c r="B17" i="19"/>
  <c r="B16" i="19"/>
  <c r="B14" i="19"/>
  <c r="O36" i="18"/>
  <c r="N36" i="18"/>
  <c r="B20" i="19"/>
  <c r="I36" i="18"/>
  <c r="B11" i="19" s="1"/>
  <c r="H36" i="18"/>
  <c r="B10" i="19" s="1"/>
  <c r="B8" i="19"/>
  <c r="B5" i="19"/>
  <c r="B4" i="19"/>
  <c r="BU34" i="18"/>
  <c r="BR34" i="18"/>
  <c r="BO34" i="18"/>
  <c r="BL34" i="18"/>
  <c r="BI34" i="18"/>
  <c r="BF34" i="18"/>
  <c r="BC34" i="18"/>
  <c r="AZ34" i="18"/>
  <c r="AW34" i="18"/>
  <c r="G34" i="18"/>
  <c r="D34" i="18"/>
  <c r="BI33" i="18"/>
  <c r="BF33" i="18"/>
  <c r="BC33" i="18"/>
  <c r="AZ33" i="18"/>
  <c r="AW33" i="18"/>
  <c r="G33" i="18"/>
  <c r="D33" i="18"/>
  <c r="AZ32" i="18"/>
  <c r="AW32" i="18"/>
  <c r="AE32" i="18"/>
  <c r="G32" i="18"/>
  <c r="D32" i="18"/>
  <c r="AZ31" i="18"/>
  <c r="AW31" i="18"/>
  <c r="AE31" i="18"/>
  <c r="Y31" i="18"/>
  <c r="G31" i="18"/>
  <c r="D31" i="18"/>
  <c r="AW30" i="18"/>
  <c r="AE30" i="18"/>
  <c r="S30" i="18"/>
  <c r="G30" i="18"/>
  <c r="D30" i="18"/>
  <c r="BF29" i="18"/>
  <c r="AW29" i="18"/>
  <c r="AT29" i="18"/>
  <c r="AQ29" i="18"/>
  <c r="AK29" i="18"/>
  <c r="AE29" i="18"/>
  <c r="Y29" i="18"/>
  <c r="S29" i="18"/>
  <c r="M29" i="18"/>
  <c r="J29" i="18"/>
  <c r="G29" i="18"/>
  <c r="D29" i="18"/>
  <c r="BL28" i="18"/>
  <c r="AW28" i="18"/>
  <c r="S28" i="18"/>
  <c r="P28" i="18"/>
  <c r="M28" i="18"/>
  <c r="J28" i="18"/>
  <c r="G28" i="18"/>
  <c r="D28" i="18"/>
  <c r="BI27" i="18"/>
  <c r="BC27" i="18"/>
  <c r="AZ27" i="18"/>
  <c r="AW27" i="18"/>
  <c r="S27" i="18"/>
  <c r="P27" i="18"/>
  <c r="M27" i="18"/>
  <c r="J27" i="18"/>
  <c r="G27" i="18"/>
  <c r="D27" i="18"/>
  <c r="BI26" i="18"/>
  <c r="BF26" i="18"/>
  <c r="BC26" i="18"/>
  <c r="AZ26" i="18"/>
  <c r="AW26" i="18"/>
  <c r="Y26" i="18"/>
  <c r="S26" i="18"/>
  <c r="P26" i="18"/>
  <c r="M26" i="18"/>
  <c r="J26" i="18"/>
  <c r="G26" i="18"/>
  <c r="D26" i="18"/>
  <c r="BL25" i="18"/>
  <c r="BF25" i="18"/>
  <c r="AW25" i="18"/>
  <c r="Y25" i="18"/>
  <c r="V25" i="18"/>
  <c r="S25" i="18"/>
  <c r="P25" i="18"/>
  <c r="M25" i="18"/>
  <c r="J25" i="18"/>
  <c r="G25" i="18"/>
  <c r="D25" i="18"/>
  <c r="BL24" i="18"/>
  <c r="BF24" i="18"/>
  <c r="AW24" i="18"/>
  <c r="V24" i="18"/>
  <c r="S24" i="18"/>
  <c r="P24" i="18"/>
  <c r="M24" i="18"/>
  <c r="J24" i="18"/>
  <c r="G24" i="18"/>
  <c r="D24" i="18"/>
  <c r="BL23" i="18"/>
  <c r="BF23" i="18"/>
  <c r="AW23" i="18"/>
  <c r="Y23" i="18"/>
  <c r="V23" i="18"/>
  <c r="S23" i="18"/>
  <c r="P23" i="18"/>
  <c r="M23" i="18"/>
  <c r="J23" i="18"/>
  <c r="G23" i="18"/>
  <c r="D23" i="18"/>
  <c r="BU22" i="18"/>
  <c r="BR22" i="18"/>
  <c r="BO22" i="18"/>
  <c r="BL22" i="18"/>
  <c r="AW22" i="18"/>
  <c r="AQ22" i="18"/>
  <c r="AE22" i="18"/>
  <c r="Y22" i="18"/>
  <c r="V22" i="18"/>
  <c r="S22" i="18"/>
  <c r="P22" i="18"/>
  <c r="M22" i="18"/>
  <c r="J22" i="18"/>
  <c r="G22" i="18"/>
  <c r="D22" i="18"/>
  <c r="BU21" i="18"/>
  <c r="BR21" i="18"/>
  <c r="BO21" i="18"/>
  <c r="BL21" i="18"/>
  <c r="BI21" i="18"/>
  <c r="BF21" i="18"/>
  <c r="BC21" i="18"/>
  <c r="AZ21" i="18"/>
  <c r="AW21" i="18"/>
  <c r="AQ21" i="18"/>
  <c r="AN21" i="18"/>
  <c r="AK21" i="18"/>
  <c r="AH21" i="18"/>
  <c r="AE21" i="18"/>
  <c r="V21" i="18"/>
  <c r="S21" i="18"/>
  <c r="P21" i="18"/>
  <c r="M21" i="18"/>
  <c r="J21" i="18"/>
  <c r="G21" i="18"/>
  <c r="D21" i="18"/>
  <c r="BU20" i="18"/>
  <c r="BR20" i="18"/>
  <c r="BO20" i="18"/>
  <c r="BI20" i="18"/>
  <c r="BF20" i="18"/>
  <c r="BC20" i="18"/>
  <c r="AZ20" i="18"/>
  <c r="AW20" i="18"/>
  <c r="AT20" i="18"/>
  <c r="AQ20" i="18"/>
  <c r="AN20" i="18"/>
  <c r="AK20" i="18"/>
  <c r="AH20" i="18"/>
  <c r="AE20" i="18"/>
  <c r="Y20" i="18"/>
  <c r="V20" i="18"/>
  <c r="S20" i="18"/>
  <c r="P20" i="18"/>
  <c r="M20" i="18"/>
  <c r="J20" i="18"/>
  <c r="G20" i="18"/>
  <c r="D20" i="18"/>
  <c r="BU19" i="18"/>
  <c r="BR19" i="18"/>
  <c r="BO19" i="18"/>
  <c r="BI19" i="18"/>
  <c r="BF19" i="18"/>
  <c r="BC19" i="18"/>
  <c r="AZ19" i="18"/>
  <c r="AW19" i="18"/>
  <c r="AT19" i="18"/>
  <c r="AQ19" i="18"/>
  <c r="AN19" i="18"/>
  <c r="AK19" i="18"/>
  <c r="AH19" i="18"/>
  <c r="AE19" i="18"/>
  <c r="Y19" i="18"/>
  <c r="V19" i="18"/>
  <c r="S19" i="18"/>
  <c r="P19" i="18"/>
  <c r="M19" i="18"/>
  <c r="J19" i="18"/>
  <c r="G19" i="18"/>
  <c r="D19" i="18"/>
  <c r="AW18" i="18"/>
  <c r="Y18" i="18"/>
  <c r="V18" i="18"/>
  <c r="S18" i="18"/>
  <c r="P18" i="18"/>
  <c r="M18" i="18"/>
  <c r="J18" i="18"/>
  <c r="G18" i="18"/>
  <c r="D18" i="18"/>
  <c r="BL17" i="18"/>
  <c r="AW17" i="18"/>
  <c r="S17" i="18"/>
  <c r="P17" i="18"/>
  <c r="M17" i="18"/>
  <c r="J17" i="18"/>
  <c r="G17" i="18"/>
  <c r="D17" i="18"/>
  <c r="BL16" i="18"/>
  <c r="AW16" i="18"/>
  <c r="S16" i="18"/>
  <c r="P16" i="18"/>
  <c r="M16" i="18"/>
  <c r="J16" i="18"/>
  <c r="G16" i="18"/>
  <c r="D16" i="18"/>
  <c r="BU15" i="18"/>
  <c r="BO15" i="18"/>
  <c r="BL15" i="18"/>
  <c r="BI15" i="18"/>
  <c r="BC15" i="18"/>
  <c r="AZ15" i="18"/>
  <c r="AW15" i="18"/>
  <c r="AT15" i="18"/>
  <c r="AQ15" i="18"/>
  <c r="AN15" i="18"/>
  <c r="AK15" i="18"/>
  <c r="AH15" i="18"/>
  <c r="AE15" i="18"/>
  <c r="Y15" i="18"/>
  <c r="V15" i="18"/>
  <c r="S15" i="18"/>
  <c r="P15" i="18"/>
  <c r="M15" i="18"/>
  <c r="J15" i="18"/>
  <c r="G15" i="18"/>
  <c r="D15" i="18"/>
  <c r="BI14" i="18"/>
  <c r="BF14" i="18"/>
  <c r="BC14" i="18"/>
  <c r="AZ14" i="18"/>
  <c r="AW14" i="18"/>
  <c r="AT14" i="18"/>
  <c r="AQ14" i="18"/>
  <c r="AN14" i="18"/>
  <c r="AK14" i="18"/>
  <c r="AH14" i="18"/>
  <c r="AE14" i="18"/>
  <c r="Y14" i="18"/>
  <c r="V14" i="18"/>
  <c r="S14" i="18"/>
  <c r="P14" i="18"/>
  <c r="M14" i="18"/>
  <c r="J14" i="18"/>
  <c r="G14" i="18"/>
  <c r="D14" i="18"/>
  <c r="AW13" i="18"/>
  <c r="AT13" i="18"/>
  <c r="AQ13" i="18"/>
  <c r="AN13" i="18"/>
  <c r="AK13" i="18"/>
  <c r="AH13" i="18"/>
  <c r="AE13" i="18"/>
  <c r="Y13" i="18"/>
  <c r="V13" i="18"/>
  <c r="S13" i="18"/>
  <c r="P13" i="18"/>
  <c r="M13" i="18"/>
  <c r="J13" i="18"/>
  <c r="G13" i="18"/>
  <c r="D13" i="18"/>
  <c r="AW12" i="18"/>
  <c r="AK12" i="18"/>
  <c r="AE12" i="18"/>
  <c r="Y12" i="18"/>
  <c r="V12" i="18"/>
  <c r="S12" i="18"/>
  <c r="M12" i="18"/>
  <c r="D12" i="18"/>
  <c r="BF11" i="18"/>
  <c r="AW11" i="18"/>
  <c r="AE11" i="18"/>
  <c r="S11" i="18"/>
  <c r="J11" i="18"/>
  <c r="G11" i="18"/>
  <c r="D11" i="18"/>
  <c r="BW10" i="18"/>
  <c r="AW10" i="18"/>
  <c r="S10" i="18"/>
  <c r="J10" i="18"/>
  <c r="G10" i="18"/>
  <c r="D10" i="18"/>
  <c r="BW9" i="18"/>
  <c r="BL9" i="18"/>
  <c r="AZ9" i="18"/>
  <c r="AW9" i="18"/>
  <c r="S9" i="18"/>
  <c r="P9" i="18"/>
  <c r="M9" i="18"/>
  <c r="J9" i="18"/>
  <c r="G9" i="18"/>
  <c r="D9" i="18"/>
  <c r="BW8" i="18"/>
  <c r="BU8" i="18"/>
  <c r="BR8" i="18"/>
  <c r="BL8" i="18"/>
  <c r="BI8" i="18"/>
  <c r="BF8" i="18"/>
  <c r="BC8" i="18"/>
  <c r="AZ8" i="18"/>
  <c r="AW8" i="18"/>
  <c r="AT8" i="18"/>
  <c r="AQ8" i="18"/>
  <c r="AN8" i="18"/>
  <c r="AK8" i="18"/>
  <c r="AH8" i="18"/>
  <c r="AE8" i="18"/>
  <c r="Y8" i="18"/>
  <c r="V8" i="18"/>
  <c r="S8" i="18"/>
  <c r="P8" i="18"/>
  <c r="M8" i="18"/>
  <c r="J8" i="18"/>
  <c r="D8" i="18"/>
  <c r="BW7" i="18"/>
  <c r="BU7" i="18"/>
  <c r="BR7" i="18"/>
  <c r="BI7" i="18"/>
  <c r="BF7" i="18"/>
  <c r="BC7" i="18"/>
  <c r="AZ7" i="18"/>
  <c r="AW7" i="18"/>
  <c r="AT7" i="18"/>
  <c r="AQ7" i="18"/>
  <c r="AK7" i="18"/>
  <c r="AH7" i="18"/>
  <c r="AE7" i="18"/>
  <c r="Y7" i="18"/>
  <c r="V7" i="18"/>
  <c r="S7" i="18"/>
  <c r="P7" i="18"/>
  <c r="M7" i="18"/>
  <c r="J7" i="18"/>
  <c r="G7" i="18"/>
  <c r="D7" i="18"/>
  <c r="BW6" i="18"/>
  <c r="BU6" i="18"/>
  <c r="BR6" i="18"/>
  <c r="BO6" i="18"/>
  <c r="BL6" i="18"/>
  <c r="BI6" i="18"/>
  <c r="BF6" i="18"/>
  <c r="BC6" i="18"/>
  <c r="AZ6" i="18"/>
  <c r="AW6" i="18"/>
  <c r="AT6" i="18"/>
  <c r="AQ6" i="18"/>
  <c r="AK6" i="18"/>
  <c r="AH6" i="18"/>
  <c r="AE6" i="18"/>
  <c r="Y6" i="18"/>
  <c r="V6" i="18"/>
  <c r="S6" i="18"/>
  <c r="P6" i="18"/>
  <c r="M6" i="18"/>
  <c r="J6" i="18"/>
  <c r="G6" i="18"/>
  <c r="D6" i="18"/>
  <c r="BW5" i="18"/>
  <c r="BU5" i="18"/>
  <c r="BR5" i="18"/>
  <c r="BO5" i="18"/>
  <c r="BL5" i="18"/>
  <c r="BI5" i="18"/>
  <c r="BC5" i="18"/>
  <c r="AZ5" i="18"/>
  <c r="AW5" i="18"/>
  <c r="AT5" i="18"/>
  <c r="AQ5" i="18"/>
  <c r="AN5" i="18"/>
  <c r="AK5" i="18"/>
  <c r="AH5" i="18"/>
  <c r="AE5" i="18"/>
  <c r="AB5" i="18"/>
  <c r="Y5" i="18"/>
  <c r="S5" i="18"/>
  <c r="P5" i="18"/>
  <c r="M5" i="18"/>
  <c r="J5" i="18"/>
  <c r="G5" i="18"/>
  <c r="D5" i="18"/>
  <c r="BO32" i="16"/>
  <c r="BR32" i="16"/>
  <c r="BU32" i="16"/>
  <c r="BO33" i="16"/>
  <c r="BR33" i="16"/>
  <c r="BU33" i="16"/>
  <c r="BO34" i="16"/>
  <c r="BR34" i="16"/>
  <c r="BU34" i="16"/>
  <c r="BI32" i="16"/>
  <c r="BI33" i="16"/>
  <c r="BI34" i="16"/>
  <c r="AT32" i="16"/>
  <c r="AQ32" i="16"/>
  <c r="AB31" i="16"/>
  <c r="AB32" i="16"/>
  <c r="V32" i="16"/>
  <c r="Y32" i="16"/>
  <c r="S32" i="16"/>
  <c r="BL31" i="16"/>
  <c r="BO31" i="16"/>
  <c r="BR31" i="16"/>
  <c r="BU31" i="16"/>
  <c r="AK31" i="16"/>
  <c r="AQ31" i="16"/>
  <c r="S29" i="16"/>
  <c r="S30" i="16"/>
  <c r="S31" i="16"/>
  <c r="AB30" i="16"/>
  <c r="AS35" i="16"/>
  <c r="AR35" i="16"/>
  <c r="AT31" i="16"/>
  <c r="AT30" i="16"/>
  <c r="AT29" i="16"/>
  <c r="AT23" i="16"/>
  <c r="AT22" i="16"/>
  <c r="AT21" i="16"/>
  <c r="AT20" i="16"/>
  <c r="AT19" i="16"/>
  <c r="AT18" i="16"/>
  <c r="AT17" i="16"/>
  <c r="AT16" i="16"/>
  <c r="AT15" i="16"/>
  <c r="AT14" i="16"/>
  <c r="AT13" i="16"/>
  <c r="AT12" i="16"/>
  <c r="AT11" i="16"/>
  <c r="AT10" i="16"/>
  <c r="AT9" i="16"/>
  <c r="AT8" i="16"/>
  <c r="AT7" i="16"/>
  <c r="AT6" i="16"/>
  <c r="AT5" i="16"/>
  <c r="AB29" i="16"/>
  <c r="BO28" i="16"/>
  <c r="BR28" i="16"/>
  <c r="BU28" i="16"/>
  <c r="AB25" i="16"/>
  <c r="AB24" i="16"/>
  <c r="AB23" i="16"/>
  <c r="AB21" i="16"/>
  <c r="AB22" i="16"/>
  <c r="AB26" i="16"/>
  <c r="AB27" i="16"/>
  <c r="AB28" i="16"/>
  <c r="BO25" i="16"/>
  <c r="BR25" i="16"/>
  <c r="BU25" i="16"/>
  <c r="BO26" i="16"/>
  <c r="BR26" i="16"/>
  <c r="BU26" i="16"/>
  <c r="BO27" i="16"/>
  <c r="BR27" i="16"/>
  <c r="BU27" i="16"/>
  <c r="BL26" i="16"/>
  <c r="BI25" i="16"/>
  <c r="BI26" i="16"/>
  <c r="BI27" i="16"/>
  <c r="BF25" i="16"/>
  <c r="BF26" i="16"/>
  <c r="AZ25" i="16"/>
  <c r="BC25" i="16"/>
  <c r="AZ26" i="16"/>
  <c r="BC26" i="16"/>
  <c r="AZ27" i="16"/>
  <c r="BC27" i="16"/>
  <c r="AW26" i="16"/>
  <c r="M27" i="16"/>
  <c r="P27" i="16"/>
  <c r="J27" i="16"/>
  <c r="G20" i="16"/>
  <c r="G21" i="16"/>
  <c r="G22" i="16"/>
  <c r="G23" i="16"/>
  <c r="G24" i="16"/>
  <c r="G25" i="16"/>
  <c r="D25" i="16"/>
  <c r="BO24" i="16"/>
  <c r="BR24" i="16"/>
  <c r="BU24" i="16"/>
  <c r="D24" i="16"/>
  <c r="BO22" i="16"/>
  <c r="BR22" i="16"/>
  <c r="BU22" i="16"/>
  <c r="AZ22" i="16"/>
  <c r="BC22" i="16"/>
  <c r="BF22" i="16"/>
  <c r="BI22" i="16"/>
  <c r="AE22" i="16"/>
  <c r="AH22" i="16"/>
  <c r="AK22" i="16"/>
  <c r="AN22" i="16"/>
  <c r="AQ22" i="16"/>
  <c r="O35" i="16"/>
  <c r="N35" i="16"/>
  <c r="P28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BO18" i="16"/>
  <c r="BR18" i="16"/>
  <c r="BU18" i="16"/>
  <c r="BL19" i="16"/>
  <c r="BO19" i="16"/>
  <c r="BR19" i="16"/>
  <c r="BU19" i="16"/>
  <c r="BL20" i="16"/>
  <c r="BO20" i="16"/>
  <c r="BR20" i="16"/>
  <c r="BU20" i="16"/>
  <c r="BL21" i="16"/>
  <c r="BO21" i="16"/>
  <c r="BR21" i="16"/>
  <c r="BU21" i="16"/>
  <c r="BI18" i="16"/>
  <c r="BF19" i="16"/>
  <c r="BI19" i="16"/>
  <c r="BC18" i="16"/>
  <c r="BC19" i="16"/>
  <c r="AZ18" i="16"/>
  <c r="AZ19" i="16"/>
  <c r="AW20" i="16"/>
  <c r="AZ20" i="16"/>
  <c r="BC20" i="16"/>
  <c r="BF20" i="16"/>
  <c r="BI20" i="16"/>
  <c r="AW21" i="16"/>
  <c r="AZ21" i="16"/>
  <c r="BC21" i="16"/>
  <c r="BF21" i="16"/>
  <c r="BI21" i="16"/>
  <c r="AQ18" i="16"/>
  <c r="AQ19" i="16"/>
  <c r="AQ20" i="16"/>
  <c r="AQ21" i="16"/>
  <c r="AN18" i="16"/>
  <c r="AN19" i="16"/>
  <c r="AN20" i="16"/>
  <c r="AN21" i="16"/>
  <c r="AK19" i="16"/>
  <c r="AK20" i="16"/>
  <c r="AK21" i="16"/>
  <c r="AH18" i="16"/>
  <c r="AH19" i="16"/>
  <c r="AH20" i="16"/>
  <c r="AH21" i="16"/>
  <c r="AA35" i="16"/>
  <c r="Z35" i="16"/>
  <c r="AB20" i="16"/>
  <c r="AB19" i="16"/>
  <c r="AB18" i="16"/>
  <c r="AB17" i="16"/>
  <c r="AB16" i="16"/>
  <c r="AB15" i="16"/>
  <c r="AB14" i="16"/>
  <c r="AB13" i="16"/>
  <c r="AB12" i="16"/>
  <c r="AB11" i="16"/>
  <c r="AB10" i="16"/>
  <c r="AB9" i="16"/>
  <c r="AB8" i="16"/>
  <c r="AB7" i="16"/>
  <c r="AB6" i="16"/>
  <c r="AB5" i="16"/>
  <c r="G18" i="16"/>
  <c r="J18" i="16"/>
  <c r="J19" i="16"/>
  <c r="BO17" i="16"/>
  <c r="BR17" i="16"/>
  <c r="BU17" i="16"/>
  <c r="AZ17" i="16"/>
  <c r="BC17" i="16"/>
  <c r="BI17" i="16"/>
  <c r="AK17" i="16"/>
  <c r="AN17" i="16"/>
  <c r="AQ17" i="16"/>
  <c r="AH17" i="16"/>
  <c r="J17" i="16"/>
  <c r="G17" i="16"/>
  <c r="BO16" i="16"/>
  <c r="BR16" i="16"/>
  <c r="BU16" i="16"/>
  <c r="AZ16" i="16"/>
  <c r="BC16" i="16"/>
  <c r="BI16" i="16"/>
  <c r="BO15" i="16"/>
  <c r="BR15" i="16"/>
  <c r="BU15" i="16"/>
  <c r="AE15" i="16"/>
  <c r="AH15" i="16"/>
  <c r="AK15" i="16"/>
  <c r="AN15" i="16"/>
  <c r="AQ15" i="16"/>
  <c r="BO14" i="16"/>
  <c r="BR14" i="16"/>
  <c r="BU14" i="16"/>
  <c r="BC14" i="16"/>
  <c r="BF14" i="16"/>
  <c r="BI14" i="16"/>
  <c r="AZ14" i="16"/>
  <c r="BO13" i="16"/>
  <c r="BR13" i="16"/>
  <c r="BU13" i="16"/>
  <c r="BI11" i="16"/>
  <c r="BI12" i="16"/>
  <c r="BI13" i="16"/>
  <c r="AZ13" i="16"/>
  <c r="AH13" i="16"/>
  <c r="AK13" i="16"/>
  <c r="AN13" i="16"/>
  <c r="AQ13" i="16"/>
  <c r="AE13" i="16"/>
  <c r="V13" i="16"/>
  <c r="Y13" i="16"/>
  <c r="BO12" i="16"/>
  <c r="BR12" i="16"/>
  <c r="BU12" i="16"/>
  <c r="BO11" i="16"/>
  <c r="BR11" i="16"/>
  <c r="BU11" i="16"/>
  <c r="AE12" i="16"/>
  <c r="AH12" i="16"/>
  <c r="AK12" i="16"/>
  <c r="AN12" i="16"/>
  <c r="AQ12" i="16"/>
  <c r="V12" i="16"/>
  <c r="Y12" i="16"/>
  <c r="J12" i="16"/>
  <c r="M12" i="16"/>
  <c r="V11" i="16"/>
  <c r="Y11" i="16"/>
  <c r="M11" i="16"/>
  <c r="J11" i="16"/>
  <c r="BO10" i="16"/>
  <c r="BR10" i="16"/>
  <c r="BU10" i="16"/>
  <c r="V10" i="16"/>
  <c r="AZ9" i="16"/>
  <c r="BC9" i="16"/>
  <c r="BF9" i="16"/>
  <c r="BI9" i="16"/>
  <c r="Y9" i="16"/>
  <c r="V9" i="16"/>
  <c r="J8" i="16"/>
  <c r="J9" i="16"/>
  <c r="J10" i="16"/>
  <c r="G9" i="16"/>
  <c r="G10" i="16"/>
  <c r="G11" i="16"/>
  <c r="J5" i="16"/>
  <c r="M5" i="16"/>
  <c r="S5" i="16"/>
  <c r="V5" i="16"/>
  <c r="Y5" i="16"/>
  <c r="AE5" i="16"/>
  <c r="AH5" i="16"/>
  <c r="AK5" i="16"/>
  <c r="AN5" i="16"/>
  <c r="AQ5" i="16"/>
  <c r="AW5" i="16"/>
  <c r="AZ5" i="16"/>
  <c r="BC5" i="16"/>
  <c r="BF5" i="16"/>
  <c r="BI5" i="16"/>
  <c r="BL5" i="16"/>
  <c r="BO5" i="16"/>
  <c r="BR5" i="16"/>
  <c r="BU5" i="16"/>
  <c r="J6" i="16"/>
  <c r="M6" i="16"/>
  <c r="S6" i="16"/>
  <c r="V6" i="16"/>
  <c r="Y6" i="16"/>
  <c r="AE6" i="16"/>
  <c r="AH6" i="16"/>
  <c r="AK6" i="16"/>
  <c r="AN6" i="16"/>
  <c r="AQ6" i="16"/>
  <c r="AW6" i="16"/>
  <c r="AZ6" i="16"/>
  <c r="BC6" i="16"/>
  <c r="BF6" i="16"/>
  <c r="BI6" i="16"/>
  <c r="BL6" i="16"/>
  <c r="BO6" i="16"/>
  <c r="BR6" i="16"/>
  <c r="BU6" i="16"/>
  <c r="G5" i="16"/>
  <c r="G6" i="16"/>
  <c r="D5" i="16"/>
  <c r="D6" i="16"/>
  <c r="D7" i="16"/>
  <c r="D8" i="16"/>
  <c r="D9" i="16"/>
  <c r="D10" i="16"/>
  <c r="D11" i="16"/>
  <c r="D12" i="16"/>
  <c r="D13" i="16"/>
  <c r="D14" i="16"/>
  <c r="BK36" i="14"/>
  <c r="BJ36" i="14"/>
  <c r="BH36" i="14"/>
  <c r="BG36" i="14"/>
  <c r="BE36" i="14"/>
  <c r="BD36" i="14"/>
  <c r="BC35" i="14"/>
  <c r="BB36" i="14"/>
  <c r="BA36" i="14"/>
  <c r="AY36" i="14"/>
  <c r="AX36" i="14"/>
  <c r="AV36" i="14"/>
  <c r="AU36" i="14"/>
  <c r="AS36" i="14"/>
  <c r="AR36" i="14"/>
  <c r="AP36" i="14"/>
  <c r="AO36" i="14"/>
  <c r="AM36" i="14"/>
  <c r="AL36" i="14"/>
  <c r="AJ36" i="14"/>
  <c r="AI36" i="14"/>
  <c r="AG36" i="14"/>
  <c r="AF36" i="14"/>
  <c r="AD36" i="14"/>
  <c r="AC36" i="14"/>
  <c r="AA36" i="14"/>
  <c r="Z36" i="14"/>
  <c r="X36" i="14"/>
  <c r="W36" i="14"/>
  <c r="U36" i="14"/>
  <c r="T36" i="14"/>
  <c r="R36" i="14"/>
  <c r="Q36" i="14"/>
  <c r="O36" i="14"/>
  <c r="N36" i="14"/>
  <c r="I36" i="14"/>
  <c r="H36" i="14"/>
  <c r="C36" i="14"/>
  <c r="B36" i="14"/>
  <c r="F36" i="14"/>
  <c r="E36" i="14"/>
  <c r="L36" i="14"/>
  <c r="K36" i="14"/>
  <c r="BQ8" i="17"/>
  <c r="BT35" i="16"/>
  <c r="H14" i="17" s="1"/>
  <c r="BS35" i="16"/>
  <c r="H13" i="17" s="1"/>
  <c r="BQ35" i="16"/>
  <c r="BR35" i="16" s="1"/>
  <c r="H12" i="17" s="1"/>
  <c r="BP35" i="16"/>
  <c r="H10" i="17" s="1"/>
  <c r="BN35" i="16"/>
  <c r="BO35" i="16" s="1"/>
  <c r="BM35" i="16"/>
  <c r="H7" i="17" s="1"/>
  <c r="BK35" i="16"/>
  <c r="H5" i="17" s="1"/>
  <c r="BJ35" i="16"/>
  <c r="H4" i="17" s="1"/>
  <c r="BH35" i="16"/>
  <c r="BI35" i="16" s="1"/>
  <c r="E18" i="17" s="1"/>
  <c r="BG35" i="16"/>
  <c r="E16" i="17" s="1"/>
  <c r="BE35" i="16"/>
  <c r="E14" i="17" s="1"/>
  <c r="BD35" i="16"/>
  <c r="E13" i="17" s="1"/>
  <c r="BB35" i="16"/>
  <c r="E11" i="17" s="1"/>
  <c r="BA35" i="16"/>
  <c r="E10" i="17" s="1"/>
  <c r="AY35" i="16"/>
  <c r="E8" i="17" s="1"/>
  <c r="AX35" i="16"/>
  <c r="E7" i="17" s="1"/>
  <c r="AV35" i="16"/>
  <c r="E5" i="17" s="1"/>
  <c r="AU35" i="16"/>
  <c r="E4" i="17" s="1"/>
  <c r="AP35" i="16"/>
  <c r="B38" i="17" s="1"/>
  <c r="AO35" i="16"/>
  <c r="B37" i="17" s="1"/>
  <c r="AM35" i="16"/>
  <c r="B35" i="17" s="1"/>
  <c r="AL35" i="16"/>
  <c r="B34" i="17" s="1"/>
  <c r="AJ35" i="16"/>
  <c r="B32" i="17" s="1"/>
  <c r="AI35" i="16"/>
  <c r="B31" i="17" s="1"/>
  <c r="AG35" i="16"/>
  <c r="B29" i="17" s="1"/>
  <c r="AF35" i="16"/>
  <c r="B28" i="17" s="1"/>
  <c r="AD35" i="16"/>
  <c r="B26" i="17" s="1"/>
  <c r="AC35" i="16"/>
  <c r="B25" i="17" s="1"/>
  <c r="X35" i="16"/>
  <c r="B23" i="17" s="1"/>
  <c r="W35" i="16"/>
  <c r="B22" i="17" s="1"/>
  <c r="U35" i="16"/>
  <c r="B17" i="17" s="1"/>
  <c r="T35" i="16"/>
  <c r="B16" i="17" s="1"/>
  <c r="R35" i="16"/>
  <c r="B14" i="17" s="1"/>
  <c r="Q35" i="16"/>
  <c r="B13" i="17" s="1"/>
  <c r="L35" i="16"/>
  <c r="B20" i="17" s="1"/>
  <c r="K35" i="16"/>
  <c r="B19" i="17" s="1"/>
  <c r="I35" i="16"/>
  <c r="B11" i="17" s="1"/>
  <c r="H35" i="16"/>
  <c r="B10" i="17" s="1"/>
  <c r="F35" i="16"/>
  <c r="B8" i="17" s="1"/>
  <c r="E35" i="16"/>
  <c r="B7" i="17" s="1"/>
  <c r="C35" i="16"/>
  <c r="B5" i="17" s="1"/>
  <c r="B35" i="16"/>
  <c r="B4" i="17" s="1"/>
  <c r="BW34" i="16"/>
  <c r="BL34" i="16"/>
  <c r="BF34" i="16"/>
  <c r="BC34" i="16"/>
  <c r="AZ34" i="16"/>
  <c r="AW34" i="16"/>
  <c r="G34" i="16"/>
  <c r="D34" i="16"/>
  <c r="BW33" i="16"/>
  <c r="BL33" i="16"/>
  <c r="BF33" i="16"/>
  <c r="BC33" i="16"/>
  <c r="AZ33" i="16"/>
  <c r="AW33" i="16"/>
  <c r="G33" i="16"/>
  <c r="D33" i="16"/>
  <c r="BW32" i="16"/>
  <c r="BL32" i="16"/>
  <c r="BF32" i="16"/>
  <c r="BC32" i="16"/>
  <c r="AZ32" i="16"/>
  <c r="AW32" i="16"/>
  <c r="AK32" i="16"/>
  <c r="AH32" i="16"/>
  <c r="AE32" i="16"/>
  <c r="G32" i="16"/>
  <c r="D32" i="16"/>
  <c r="BW31" i="16"/>
  <c r="BI31" i="16"/>
  <c r="BF31" i="16"/>
  <c r="BC31" i="16"/>
  <c r="AZ31" i="16"/>
  <c r="AW31" i="16"/>
  <c r="AE31" i="16"/>
  <c r="Y31" i="16"/>
  <c r="V31" i="16"/>
  <c r="G31" i="16"/>
  <c r="D31" i="16"/>
  <c r="BW30" i="16"/>
  <c r="BF30" i="16"/>
  <c r="BC30" i="16"/>
  <c r="AW30" i="16"/>
  <c r="AQ30" i="16"/>
  <c r="AK30" i="16"/>
  <c r="AE30" i="16"/>
  <c r="Y30" i="16"/>
  <c r="V30" i="16"/>
  <c r="G30" i="16"/>
  <c r="D30" i="16"/>
  <c r="BW29" i="16"/>
  <c r="BF29" i="16"/>
  <c r="BC29" i="16"/>
  <c r="AW29" i="16"/>
  <c r="AQ29" i="16"/>
  <c r="AK29" i="16"/>
  <c r="AE29" i="16"/>
  <c r="Y29" i="16"/>
  <c r="V29" i="16"/>
  <c r="M29" i="16"/>
  <c r="J29" i="16"/>
  <c r="G29" i="16"/>
  <c r="D29" i="16"/>
  <c r="BW28" i="16"/>
  <c r="BL28" i="16"/>
  <c r="BC28" i="16"/>
  <c r="AW28" i="16"/>
  <c r="Y28" i="16"/>
  <c r="V28" i="16"/>
  <c r="S28" i="16"/>
  <c r="M28" i="16"/>
  <c r="J28" i="16"/>
  <c r="G28" i="16"/>
  <c r="D28" i="16"/>
  <c r="BW27" i="16"/>
  <c r="AW27" i="16"/>
  <c r="Y27" i="16"/>
  <c r="V27" i="16"/>
  <c r="S27" i="16"/>
  <c r="G27" i="16"/>
  <c r="D27" i="16"/>
  <c r="BW26" i="16"/>
  <c r="Y26" i="16"/>
  <c r="V26" i="16"/>
  <c r="S26" i="16"/>
  <c r="M26" i="16"/>
  <c r="J26" i="16"/>
  <c r="G26" i="16"/>
  <c r="D26" i="16"/>
  <c r="BW25" i="16"/>
  <c r="BL25" i="16"/>
  <c r="AW25" i="16"/>
  <c r="Y25" i="16"/>
  <c r="V25" i="16"/>
  <c r="S25" i="16"/>
  <c r="M25" i="16"/>
  <c r="J25" i="16"/>
  <c r="BW24" i="16"/>
  <c r="BL24" i="16"/>
  <c r="BI24" i="16"/>
  <c r="BF24" i="16"/>
  <c r="BC24" i="16"/>
  <c r="AZ24" i="16"/>
  <c r="AW24" i="16"/>
  <c r="Y24" i="16"/>
  <c r="V24" i="16"/>
  <c r="S24" i="16"/>
  <c r="M24" i="16"/>
  <c r="J24" i="16"/>
  <c r="BW23" i="16"/>
  <c r="BU23" i="16"/>
  <c r="BR23" i="16"/>
  <c r="BO23" i="16"/>
  <c r="BL23" i="16"/>
  <c r="BI23" i="16"/>
  <c r="BF23" i="16"/>
  <c r="BC23" i="16"/>
  <c r="AZ23" i="16"/>
  <c r="AW23" i="16"/>
  <c r="AQ23" i="16"/>
  <c r="AN23" i="16"/>
  <c r="AK23" i="16"/>
  <c r="AH23" i="16"/>
  <c r="AE23" i="16"/>
  <c r="Y23" i="16"/>
  <c r="V23" i="16"/>
  <c r="S23" i="16"/>
  <c r="M23" i="16"/>
  <c r="J23" i="16"/>
  <c r="D23" i="16"/>
  <c r="BW22" i="16"/>
  <c r="BL22" i="16"/>
  <c r="AW22" i="16"/>
  <c r="Y22" i="16"/>
  <c r="V22" i="16"/>
  <c r="S22" i="16"/>
  <c r="M22" i="16"/>
  <c r="J22" i="16"/>
  <c r="D22" i="16"/>
  <c r="BW21" i="16"/>
  <c r="AE21" i="16"/>
  <c r="Y21" i="16"/>
  <c r="V21" i="16"/>
  <c r="S21" i="16"/>
  <c r="M21" i="16"/>
  <c r="J21" i="16"/>
  <c r="D21" i="16"/>
  <c r="BW20" i="16"/>
  <c r="AE20" i="16"/>
  <c r="Y20" i="16"/>
  <c r="V20" i="16"/>
  <c r="S20" i="16"/>
  <c r="M20" i="16"/>
  <c r="J20" i="16"/>
  <c r="D20" i="16"/>
  <c r="BW19" i="16"/>
  <c r="AW19" i="16"/>
  <c r="AE19" i="16"/>
  <c r="Y19" i="16"/>
  <c r="V19" i="16"/>
  <c r="S19" i="16"/>
  <c r="M19" i="16"/>
  <c r="G19" i="16"/>
  <c r="D19" i="16"/>
  <c r="BW18" i="16"/>
  <c r="BL18" i="16"/>
  <c r="BF18" i="16"/>
  <c r="AW18" i="16"/>
  <c r="AK18" i="16"/>
  <c r="AE18" i="16"/>
  <c r="Y18" i="16"/>
  <c r="V18" i="16"/>
  <c r="S18" i="16"/>
  <c r="M18" i="16"/>
  <c r="D18" i="16"/>
  <c r="BW17" i="16"/>
  <c r="BL17" i="16"/>
  <c r="AW17" i="16"/>
  <c r="AE17" i="16"/>
  <c r="Y17" i="16"/>
  <c r="V17" i="16"/>
  <c r="S17" i="16"/>
  <c r="M17" i="16"/>
  <c r="D17" i="16"/>
  <c r="BW16" i="16"/>
  <c r="BL16" i="16"/>
  <c r="AW16" i="16"/>
  <c r="AQ16" i="16"/>
  <c r="AN16" i="16"/>
  <c r="AK16" i="16"/>
  <c r="AH16" i="16"/>
  <c r="AE16" i="16"/>
  <c r="Y16" i="16"/>
  <c r="V16" i="16"/>
  <c r="S16" i="16"/>
  <c r="M16" i="16"/>
  <c r="J16" i="16"/>
  <c r="G16" i="16"/>
  <c r="D16" i="16"/>
  <c r="BW15" i="16"/>
  <c r="BL15" i="16"/>
  <c r="BI15" i="16"/>
  <c r="BC15" i="16"/>
  <c r="AZ15" i="16"/>
  <c r="AW15" i="16"/>
  <c r="Y15" i="16"/>
  <c r="V15" i="16"/>
  <c r="S15" i="16"/>
  <c r="M15" i="16"/>
  <c r="J15" i="16"/>
  <c r="G15" i="16"/>
  <c r="D15" i="16"/>
  <c r="BW14" i="16"/>
  <c r="BL14" i="16"/>
  <c r="AW14" i="16"/>
  <c r="AQ14" i="16"/>
  <c r="AN14" i="16"/>
  <c r="AK14" i="16"/>
  <c r="AH14" i="16"/>
  <c r="AE14" i="16"/>
  <c r="Y14" i="16"/>
  <c r="V14" i="16"/>
  <c r="S14" i="16"/>
  <c r="M14" i="16"/>
  <c r="J14" i="16"/>
  <c r="G14" i="16"/>
  <c r="BW13" i="16"/>
  <c r="BL13" i="16"/>
  <c r="BF13" i="16"/>
  <c r="BC13" i="16"/>
  <c r="AW13" i="16"/>
  <c r="S13" i="16"/>
  <c r="M13" i="16"/>
  <c r="J13" i="16"/>
  <c r="G13" i="16"/>
  <c r="BW12" i="16"/>
  <c r="BL12" i="16"/>
  <c r="BF12" i="16"/>
  <c r="BC12" i="16"/>
  <c r="AZ12" i="16"/>
  <c r="AW12" i="16"/>
  <c r="S12" i="16"/>
  <c r="G12" i="16"/>
  <c r="BW11" i="16"/>
  <c r="BL11" i="16"/>
  <c r="BF11" i="16"/>
  <c r="BC11" i="16"/>
  <c r="AZ11" i="16"/>
  <c r="AW11" i="16"/>
  <c r="AQ11" i="16"/>
  <c r="AN11" i="16"/>
  <c r="AK11" i="16"/>
  <c r="AH11" i="16"/>
  <c r="AE11" i="16"/>
  <c r="S11" i="16"/>
  <c r="BW10" i="16"/>
  <c r="BL10" i="16"/>
  <c r="BI10" i="16"/>
  <c r="BF10" i="16"/>
  <c r="BC10" i="16"/>
  <c r="AZ10" i="16"/>
  <c r="AW10" i="16"/>
  <c r="AQ10" i="16"/>
  <c r="AN10" i="16"/>
  <c r="AK10" i="16"/>
  <c r="AH10" i="16"/>
  <c r="AE10" i="16"/>
  <c r="Y10" i="16"/>
  <c r="S10" i="16"/>
  <c r="M10" i="16"/>
  <c r="BW9" i="16"/>
  <c r="BU9" i="16"/>
  <c r="BR9" i="16"/>
  <c r="BO9" i="16"/>
  <c r="BL9" i="16"/>
  <c r="AW9" i="16"/>
  <c r="AQ9" i="16"/>
  <c r="AN9" i="16"/>
  <c r="AK9" i="16"/>
  <c r="AH9" i="16"/>
  <c r="AE9" i="16"/>
  <c r="S9" i="16"/>
  <c r="M9" i="16"/>
  <c r="BW8" i="16"/>
  <c r="BU8" i="16"/>
  <c r="BR8" i="16"/>
  <c r="BL8" i="16"/>
  <c r="BI8" i="16"/>
  <c r="BF8" i="16"/>
  <c r="BC8" i="16"/>
  <c r="AZ8" i="16"/>
  <c r="AW8" i="16"/>
  <c r="AQ8" i="16"/>
  <c r="AN8" i="16"/>
  <c r="AK8" i="16"/>
  <c r="AH8" i="16"/>
  <c r="AE8" i="16"/>
  <c r="Y8" i="16"/>
  <c r="V8" i="16"/>
  <c r="S8" i="16"/>
  <c r="M8" i="16"/>
  <c r="BW7" i="16"/>
  <c r="BU7" i="16"/>
  <c r="BR7" i="16"/>
  <c r="BO7" i="16"/>
  <c r="BL7" i="16"/>
  <c r="BI7" i="16"/>
  <c r="BF7" i="16"/>
  <c r="BC7" i="16"/>
  <c r="AZ7" i="16"/>
  <c r="AW7" i="16"/>
  <c r="AQ7" i="16"/>
  <c r="AN7" i="16"/>
  <c r="AK7" i="16"/>
  <c r="AH7" i="16"/>
  <c r="AE7" i="16"/>
  <c r="Y7" i="16"/>
  <c r="V7" i="16"/>
  <c r="S7" i="16"/>
  <c r="M7" i="16"/>
  <c r="J7" i="16"/>
  <c r="G7" i="16"/>
  <c r="BW6" i="16"/>
  <c r="BW5" i="16"/>
  <c r="BI32" i="14"/>
  <c r="BL32" i="14"/>
  <c r="BI33" i="14"/>
  <c r="BL33" i="14"/>
  <c r="AN32" i="14"/>
  <c r="AQ32" i="14"/>
  <c r="AT32" i="14"/>
  <c r="AW32" i="14"/>
  <c r="AZ32" i="14"/>
  <c r="AN33" i="14"/>
  <c r="AQ33" i="14"/>
  <c r="AT33" i="14"/>
  <c r="AW33" i="14"/>
  <c r="AZ33" i="14"/>
  <c r="Y33" i="14"/>
  <c r="AB32" i="14"/>
  <c r="V32" i="14"/>
  <c r="V33" i="14"/>
  <c r="S32" i="14"/>
  <c r="S33" i="14"/>
  <c r="D35" i="14"/>
  <c r="G35" i="14"/>
  <c r="S35" i="14"/>
  <c r="V35" i="14"/>
  <c r="Y35" i="14"/>
  <c r="AK35" i="14"/>
  <c r="AN35" i="14"/>
  <c r="AQ35" i="14"/>
  <c r="AT35" i="14"/>
  <c r="AW35" i="14"/>
  <c r="AZ35" i="14"/>
  <c r="BF35" i="14"/>
  <c r="BI35" i="14"/>
  <c r="BL35" i="14"/>
  <c r="BN35" i="14"/>
  <c r="AT28" i="14"/>
  <c r="AT29" i="14"/>
  <c r="AT30" i="14"/>
  <c r="V29" i="14"/>
  <c r="V30" i="14"/>
  <c r="S22" i="14"/>
  <c r="S23" i="14"/>
  <c r="S24" i="14"/>
  <c r="S25" i="14"/>
  <c r="S26" i="14"/>
  <c r="S27" i="14"/>
  <c r="P27" i="14"/>
  <c r="P28" i="14"/>
  <c r="J29" i="14"/>
  <c r="M29" i="14"/>
  <c r="G29" i="14"/>
  <c r="BC21" i="14"/>
  <c r="BF21" i="14"/>
  <c r="BI21" i="14"/>
  <c r="BL21" i="14"/>
  <c r="BC22" i="14"/>
  <c r="BF22" i="14"/>
  <c r="BI22" i="14"/>
  <c r="BL22" i="14"/>
  <c r="BC23" i="14"/>
  <c r="BF23" i="14"/>
  <c r="BI23" i="14"/>
  <c r="BL23" i="14"/>
  <c r="AW21" i="14"/>
  <c r="AZ21" i="14"/>
  <c r="AW22" i="14"/>
  <c r="AZ22" i="14"/>
  <c r="AW23" i="14"/>
  <c r="AZ23" i="14"/>
  <c r="AT21" i="14"/>
  <c r="AT22" i="14"/>
  <c r="AT23" i="14"/>
  <c r="AQ21" i="14"/>
  <c r="AQ22" i="14"/>
  <c r="AQ23" i="14"/>
  <c r="AH21" i="14"/>
  <c r="AK21" i="14"/>
  <c r="AE22" i="14"/>
  <c r="AH22" i="14"/>
  <c r="AK22" i="14"/>
  <c r="AE23" i="14"/>
  <c r="AH23" i="14"/>
  <c r="AK23" i="14"/>
  <c r="Y21" i="14"/>
  <c r="AB21" i="14"/>
  <c r="Y22" i="14"/>
  <c r="AB22" i="14"/>
  <c r="Y23" i="14"/>
  <c r="AB23" i="14"/>
  <c r="P22" i="14"/>
  <c r="V22" i="14"/>
  <c r="P23" i="14"/>
  <c r="V23" i="14"/>
  <c r="J21" i="14"/>
  <c r="M21" i="14"/>
  <c r="J22" i="14"/>
  <c r="M22" i="14"/>
  <c r="J23" i="14"/>
  <c r="M23" i="14"/>
  <c r="G22" i="14"/>
  <c r="G23" i="14"/>
  <c r="AN20" i="14"/>
  <c r="BC17" i="14"/>
  <c r="BF17" i="14"/>
  <c r="BI17" i="14"/>
  <c r="BL17" i="14"/>
  <c r="AT17" i="14"/>
  <c r="AW17" i="14"/>
  <c r="AZ17" i="14"/>
  <c r="AQ17" i="14"/>
  <c r="AB17" i="14"/>
  <c r="AE17" i="14"/>
  <c r="AH17" i="14"/>
  <c r="AK17" i="14"/>
  <c r="Y17" i="14"/>
  <c r="BI14" i="14"/>
  <c r="BL14" i="14"/>
  <c r="BI15" i="14"/>
  <c r="BL15" i="14"/>
  <c r="BI16" i="14"/>
  <c r="BL16" i="14"/>
  <c r="BF14" i="14"/>
  <c r="BF15" i="14"/>
  <c r="BF16" i="14"/>
  <c r="AT14" i="14"/>
  <c r="AZ14" i="14"/>
  <c r="AQ15" i="14"/>
  <c r="AT15" i="14"/>
  <c r="AW15" i="14"/>
  <c r="AZ15" i="14"/>
  <c r="AQ16" i="14"/>
  <c r="AT16" i="14"/>
  <c r="AW16" i="14"/>
  <c r="AZ16" i="14"/>
  <c r="AN16" i="14"/>
  <c r="AB13" i="14"/>
  <c r="AE13" i="14"/>
  <c r="AH13" i="14"/>
  <c r="AK13" i="14"/>
  <c r="AB14" i="14"/>
  <c r="AE14" i="14"/>
  <c r="AH14" i="14"/>
  <c r="AK14" i="14"/>
  <c r="AB15" i="14"/>
  <c r="AE15" i="14"/>
  <c r="AH15" i="14"/>
  <c r="AK15" i="14"/>
  <c r="AB16" i="14"/>
  <c r="AE16" i="14"/>
  <c r="AH16" i="14"/>
  <c r="AK16" i="14"/>
  <c r="Y14" i="14"/>
  <c r="Y15" i="14"/>
  <c r="Y16" i="14"/>
  <c r="V13" i="14"/>
  <c r="AN12" i="14"/>
  <c r="AH11" i="14"/>
  <c r="AE11" i="14"/>
  <c r="AB11" i="14"/>
  <c r="Y11" i="14"/>
  <c r="J11" i="14"/>
  <c r="M11" i="14"/>
  <c r="D11" i="14"/>
  <c r="G11" i="14"/>
  <c r="AK10" i="14"/>
  <c r="AH10" i="14"/>
  <c r="AE10" i="14"/>
  <c r="AB10" i="14"/>
  <c r="Y10" i="14"/>
  <c r="V10" i="14"/>
  <c r="S10" i="14"/>
  <c r="P10" i="14"/>
  <c r="J10" i="14"/>
  <c r="M10" i="14"/>
  <c r="G10" i="14"/>
  <c r="D10" i="14"/>
  <c r="BI7" i="14"/>
  <c r="BL7" i="14"/>
  <c r="BI8" i="14"/>
  <c r="BL8" i="14"/>
  <c r="BI9" i="14"/>
  <c r="BL9" i="14"/>
  <c r="BF7" i="14"/>
  <c r="BF8" i="14"/>
  <c r="BF9" i="14"/>
  <c r="AZ7" i="14"/>
  <c r="AZ8" i="14"/>
  <c r="AZ9" i="14"/>
  <c r="AQ7" i="14"/>
  <c r="AQ8" i="14"/>
  <c r="AH7" i="14"/>
  <c r="AH8" i="14"/>
  <c r="AH9" i="14"/>
  <c r="AB7" i="14"/>
  <c r="Y7" i="14"/>
  <c r="Y8" i="14"/>
  <c r="M8" i="14"/>
  <c r="M9" i="14"/>
  <c r="J8" i="14"/>
  <c r="J9" i="14"/>
  <c r="G8" i="14"/>
  <c r="G9" i="14"/>
  <c r="D8" i="14"/>
  <c r="D9" i="14"/>
  <c r="D12" i="14"/>
  <c r="D6" i="14"/>
  <c r="G6" i="14"/>
  <c r="J6" i="14"/>
  <c r="M6" i="14"/>
  <c r="S5" i="14"/>
  <c r="V5" i="14"/>
  <c r="S6" i="14"/>
  <c r="V6" i="14"/>
  <c r="B27" i="27" l="1"/>
  <c r="CP35" i="26"/>
  <c r="CJ35" i="24"/>
  <c r="CG35" i="24"/>
  <c r="H8" i="25"/>
  <c r="B29" i="25"/>
  <c r="B25" i="25"/>
  <c r="CD35" i="24"/>
  <c r="P35" i="24"/>
  <c r="BO35" i="24"/>
  <c r="H6" i="25" s="1"/>
  <c r="J35" i="24"/>
  <c r="CM35" i="24"/>
  <c r="CA35" i="24"/>
  <c r="BX35" i="24"/>
  <c r="H15" i="25" s="1"/>
  <c r="BU35" i="24"/>
  <c r="H12" i="25" s="1"/>
  <c r="AW35" i="24"/>
  <c r="V35" i="24"/>
  <c r="B18" i="25" s="1"/>
  <c r="AH35" i="24"/>
  <c r="B33" i="25" s="1"/>
  <c r="AB35" i="24"/>
  <c r="B24" i="25" s="1"/>
  <c r="S35" i="24"/>
  <c r="B15" i="25" s="1"/>
  <c r="G35" i="24"/>
  <c r="B9" i="25" s="1"/>
  <c r="M35" i="24"/>
  <c r="B12" i="25" s="1"/>
  <c r="H18" i="25"/>
  <c r="AE35" i="24"/>
  <c r="AZ35" i="24"/>
  <c r="E6" i="25" s="1"/>
  <c r="BF35" i="24"/>
  <c r="E12" i="25" s="1"/>
  <c r="BR35" i="24"/>
  <c r="BL35" i="24"/>
  <c r="E18" i="25" s="1"/>
  <c r="BI35" i="24"/>
  <c r="E15" i="25" s="1"/>
  <c r="BC35" i="24"/>
  <c r="E9" i="25" s="1"/>
  <c r="CP33" i="24"/>
  <c r="CP24" i="24"/>
  <c r="Y35" i="24"/>
  <c r="B21" i="25" s="1"/>
  <c r="CP5" i="24"/>
  <c r="CP10" i="24"/>
  <c r="CP15" i="24"/>
  <c r="CP22" i="24"/>
  <c r="CP9" i="24"/>
  <c r="CP26" i="24"/>
  <c r="CP12" i="24"/>
  <c r="CP6" i="24"/>
  <c r="CP28" i="24"/>
  <c r="CP7" i="24"/>
  <c r="CP8" i="24"/>
  <c r="CP16" i="24"/>
  <c r="CP20" i="24"/>
  <c r="CP25" i="24"/>
  <c r="CP30" i="24"/>
  <c r="CP13" i="24"/>
  <c r="CP17" i="24"/>
  <c r="CP19" i="24"/>
  <c r="CP23" i="24"/>
  <c r="CP34" i="24"/>
  <c r="CP11" i="24"/>
  <c r="CP14" i="24"/>
  <c r="CP18" i="24"/>
  <c r="CP21" i="24"/>
  <c r="CP27" i="24"/>
  <c r="CP29" i="24"/>
  <c r="CO35" i="24"/>
  <c r="CG15" i="22"/>
  <c r="BI35" i="22"/>
  <c r="AW35" i="22"/>
  <c r="G35" i="22"/>
  <c r="D35" i="22"/>
  <c r="P35" i="22"/>
  <c r="AB35" i="22"/>
  <c r="AQ35" i="22"/>
  <c r="BC35" i="22"/>
  <c r="BU35" i="22"/>
  <c r="M35" i="22"/>
  <c r="S35" i="22"/>
  <c r="Y35" i="22"/>
  <c r="AE35" i="22"/>
  <c r="AN35" i="22"/>
  <c r="AT35" i="22"/>
  <c r="AZ35" i="22"/>
  <c r="BF35" i="22"/>
  <c r="BL35" i="22"/>
  <c r="BO35" i="22"/>
  <c r="AH35" i="22"/>
  <c r="CG16" i="22"/>
  <c r="CG19" i="22"/>
  <c r="CG8" i="22"/>
  <c r="CG5" i="22"/>
  <c r="CG11" i="22"/>
  <c r="CG17" i="22"/>
  <c r="CG23" i="22"/>
  <c r="CG34" i="22"/>
  <c r="CG26" i="22"/>
  <c r="CG33" i="22"/>
  <c r="V35" i="22"/>
  <c r="CG20" i="22"/>
  <c r="CG9" i="22"/>
  <c r="CG24" i="22"/>
  <c r="CG25" i="22"/>
  <c r="CG21" i="22"/>
  <c r="CG29" i="22"/>
  <c r="CG30" i="22"/>
  <c r="CG31" i="22"/>
  <c r="CG7" i="22"/>
  <c r="CG14" i="22"/>
  <c r="CG12" i="22"/>
  <c r="CG13" i="22"/>
  <c r="CG18" i="22"/>
  <c r="CG28" i="22"/>
  <c r="CG32" i="22"/>
  <c r="CG6" i="22"/>
  <c r="CG22" i="22"/>
  <c r="CG27" i="22"/>
  <c r="CG10" i="22"/>
  <c r="CD35" i="20"/>
  <c r="AE36" i="20"/>
  <c r="B27" i="21" s="1"/>
  <c r="H8" i="21"/>
  <c r="H9" i="21"/>
  <c r="AW36" i="20"/>
  <c r="E6" i="21" s="1"/>
  <c r="E4" i="21"/>
  <c r="BI36" i="20"/>
  <c r="E18" i="21" s="1"/>
  <c r="AT36" i="20"/>
  <c r="AK36" i="20"/>
  <c r="B33" i="21" s="1"/>
  <c r="J36" i="20"/>
  <c r="B12" i="21" s="1"/>
  <c r="P36" i="20"/>
  <c r="V36" i="20"/>
  <c r="B18" i="21" s="1"/>
  <c r="M36" i="20"/>
  <c r="B21" i="21" s="1"/>
  <c r="Y36" i="20"/>
  <c r="B24" i="21" s="1"/>
  <c r="AN36" i="20"/>
  <c r="B36" i="21" s="1"/>
  <c r="BF36" i="20"/>
  <c r="E15" i="21" s="1"/>
  <c r="BL36" i="20"/>
  <c r="H6" i="21" s="1"/>
  <c r="BR36" i="20"/>
  <c r="H12" i="21" s="1"/>
  <c r="AH36" i="20"/>
  <c r="B30" i="21" s="1"/>
  <c r="G36" i="20"/>
  <c r="B9" i="21" s="1"/>
  <c r="D36" i="20"/>
  <c r="B6" i="21" s="1"/>
  <c r="CD32" i="20"/>
  <c r="BC36" i="20"/>
  <c r="E12" i="21" s="1"/>
  <c r="AZ36" i="20"/>
  <c r="E9" i="21" s="1"/>
  <c r="CD16" i="20"/>
  <c r="CD18" i="20"/>
  <c r="CD21" i="20"/>
  <c r="CD25" i="20"/>
  <c r="CD19" i="20"/>
  <c r="AQ36" i="20"/>
  <c r="B39" i="21" s="1"/>
  <c r="CD22" i="20"/>
  <c r="CD31" i="20"/>
  <c r="S36" i="20"/>
  <c r="B15" i="21" s="1"/>
  <c r="CD11" i="20"/>
  <c r="CD12" i="20"/>
  <c r="CD29" i="20"/>
  <c r="CD5" i="20"/>
  <c r="CD8" i="20"/>
  <c r="CD20" i="20"/>
  <c r="CD24" i="20"/>
  <c r="CD27" i="20"/>
  <c r="CD30" i="20"/>
  <c r="CD33" i="20"/>
  <c r="CD6" i="20"/>
  <c r="CD34" i="20"/>
  <c r="CB36" i="20"/>
  <c r="H16" i="21" s="1"/>
  <c r="H18" i="21" s="1"/>
  <c r="CD10" i="20"/>
  <c r="CD13" i="20"/>
  <c r="CD17" i="20"/>
  <c r="CD23" i="20"/>
  <c r="CC36" i="20"/>
  <c r="CD26" i="20"/>
  <c r="CD28" i="20"/>
  <c r="CD7" i="20"/>
  <c r="CD9" i="20"/>
  <c r="CD14" i="20"/>
  <c r="CD15" i="20"/>
  <c r="CA36" i="20"/>
  <c r="BX35" i="18"/>
  <c r="BX34" i="18"/>
  <c r="BX33" i="18"/>
  <c r="BX32" i="18"/>
  <c r="BX22" i="18"/>
  <c r="BX31" i="18"/>
  <c r="BX30" i="18"/>
  <c r="BX29" i="18"/>
  <c r="BX28" i="18"/>
  <c r="BX27" i="18"/>
  <c r="BX26" i="18"/>
  <c r="BX23" i="18"/>
  <c r="BX25" i="18"/>
  <c r="BX24" i="18"/>
  <c r="BX21" i="18"/>
  <c r="BX20" i="18"/>
  <c r="BX19" i="18"/>
  <c r="BX18" i="18"/>
  <c r="BX16" i="18"/>
  <c r="BX17" i="18"/>
  <c r="BX15" i="18"/>
  <c r="BX14" i="18"/>
  <c r="BX13" i="18"/>
  <c r="BX12" i="18"/>
  <c r="BX11" i="18"/>
  <c r="AW36" i="18"/>
  <c r="E6" i="19" s="1"/>
  <c r="S36" i="18"/>
  <c r="B15" i="19" s="1"/>
  <c r="E4" i="19"/>
  <c r="AQ36" i="18"/>
  <c r="B39" i="19" s="1"/>
  <c r="G36" i="18"/>
  <c r="B9" i="19" s="1"/>
  <c r="M36" i="18"/>
  <c r="B21" i="19" s="1"/>
  <c r="B19" i="19"/>
  <c r="BO36" i="18"/>
  <c r="H8" i="19"/>
  <c r="BL36" i="18"/>
  <c r="H6" i="19" s="1"/>
  <c r="H4" i="19"/>
  <c r="E17" i="19"/>
  <c r="BC36" i="18"/>
  <c r="E12" i="19" s="1"/>
  <c r="E10" i="19"/>
  <c r="B37" i="19"/>
  <c r="AK36" i="18"/>
  <c r="B33" i="19" s="1"/>
  <c r="B31" i="19"/>
  <c r="AE36" i="18"/>
  <c r="B27" i="19" s="1"/>
  <c r="B25" i="19"/>
  <c r="Y36" i="18"/>
  <c r="B24" i="19" s="1"/>
  <c r="B13" i="19"/>
  <c r="B7" i="19"/>
  <c r="BX9" i="18"/>
  <c r="BF36" i="18"/>
  <c r="E15" i="19" s="1"/>
  <c r="AZ36" i="18"/>
  <c r="E9" i="19" s="1"/>
  <c r="AT36" i="18"/>
  <c r="AN36" i="18"/>
  <c r="B36" i="19" s="1"/>
  <c r="AH36" i="18"/>
  <c r="B30" i="19" s="1"/>
  <c r="BX5" i="18"/>
  <c r="AB36" i="18"/>
  <c r="V36" i="18"/>
  <c r="B18" i="19" s="1"/>
  <c r="P36" i="18"/>
  <c r="BX8" i="18"/>
  <c r="BX10" i="18"/>
  <c r="J36" i="18"/>
  <c r="B12" i="19" s="1"/>
  <c r="BV36" i="18"/>
  <c r="H16" i="19" s="1"/>
  <c r="BX6" i="18"/>
  <c r="BW36" i="18"/>
  <c r="H17" i="19" s="1"/>
  <c r="BX7" i="18"/>
  <c r="D36" i="18"/>
  <c r="B6" i="19" s="1"/>
  <c r="BR36" i="18"/>
  <c r="H12" i="19" s="1"/>
  <c r="BX33" i="16"/>
  <c r="AT35" i="16"/>
  <c r="P35" i="16"/>
  <c r="BX23" i="16"/>
  <c r="AB35" i="16"/>
  <c r="H8" i="17"/>
  <c r="H9" i="17"/>
  <c r="H11" i="17"/>
  <c r="E17" i="17"/>
  <c r="AE35" i="16"/>
  <c r="B27" i="17" s="1"/>
  <c r="AQ35" i="16"/>
  <c r="B39" i="17" s="1"/>
  <c r="J35" i="16"/>
  <c r="B12" i="17" s="1"/>
  <c r="S35" i="16"/>
  <c r="B15" i="17" s="1"/>
  <c r="Y35" i="16"/>
  <c r="B24" i="17" s="1"/>
  <c r="AW35" i="16"/>
  <c r="E6" i="17" s="1"/>
  <c r="G35" i="16"/>
  <c r="B9" i="17" s="1"/>
  <c r="D35" i="16"/>
  <c r="B6" i="17" s="1"/>
  <c r="BO35" i="14"/>
  <c r="AK35" i="16"/>
  <c r="B33" i="17" s="1"/>
  <c r="AZ35" i="16"/>
  <c r="E9" i="17" s="1"/>
  <c r="BL35" i="16"/>
  <c r="H6" i="17" s="1"/>
  <c r="BC35" i="16"/>
  <c r="E12" i="17" s="1"/>
  <c r="M35" i="16"/>
  <c r="B21" i="17" s="1"/>
  <c r="AN35" i="16"/>
  <c r="B36" i="17" s="1"/>
  <c r="BF35" i="16"/>
  <c r="E15" i="17" s="1"/>
  <c r="BX34" i="16"/>
  <c r="AH35" i="16"/>
  <c r="B30" i="17" s="1"/>
  <c r="V35" i="16"/>
  <c r="B18" i="17" s="1"/>
  <c r="BX29" i="16"/>
  <c r="BX30" i="16"/>
  <c r="BX24" i="16"/>
  <c r="BX15" i="16"/>
  <c r="BX19" i="16"/>
  <c r="BX31" i="16"/>
  <c r="BX6" i="16"/>
  <c r="BX10" i="16"/>
  <c r="BX14" i="16"/>
  <c r="BX18" i="16"/>
  <c r="BX22" i="16"/>
  <c r="BX25" i="16"/>
  <c r="BX27" i="16"/>
  <c r="BX28" i="16"/>
  <c r="BX12" i="16"/>
  <c r="BX16" i="16"/>
  <c r="BX20" i="16"/>
  <c r="BV35" i="16"/>
  <c r="H16" i="17" s="1"/>
  <c r="BX5" i="16"/>
  <c r="BX9" i="16"/>
  <c r="BX13" i="16"/>
  <c r="BX17" i="16"/>
  <c r="BX21" i="16"/>
  <c r="BX26" i="16"/>
  <c r="BX8" i="16"/>
  <c r="BX7" i="16"/>
  <c r="BX11" i="16"/>
  <c r="BX32" i="16"/>
  <c r="BW35" i="16"/>
  <c r="H17" i="17" s="1"/>
  <c r="BU35" i="16"/>
  <c r="H15" i="17" s="1"/>
  <c r="B23" i="13"/>
  <c r="BI33" i="12"/>
  <c r="BL33" i="12"/>
  <c r="BI34" i="12"/>
  <c r="BL34" i="12"/>
  <c r="BF33" i="12"/>
  <c r="BF34" i="12"/>
  <c r="BC33" i="12"/>
  <c r="BB35" i="12"/>
  <c r="BA35" i="12"/>
  <c r="AZ33" i="12"/>
  <c r="AZ34" i="12"/>
  <c r="AT33" i="12"/>
  <c r="AQ33" i="12"/>
  <c r="AQ34" i="12"/>
  <c r="AH33" i="12"/>
  <c r="AH34" i="12"/>
  <c r="AE33" i="12"/>
  <c r="AE34" i="12"/>
  <c r="AB33" i="12"/>
  <c r="AA35" i="12"/>
  <c r="Z35" i="12"/>
  <c r="AJ35" i="12"/>
  <c r="AI35" i="12"/>
  <c r="V33" i="12"/>
  <c r="V34" i="12"/>
  <c r="R35" i="12"/>
  <c r="Q35" i="12"/>
  <c r="S33" i="12"/>
  <c r="N35" i="12"/>
  <c r="B13" i="13" s="1"/>
  <c r="O35" i="12"/>
  <c r="B14" i="13" s="1"/>
  <c r="I35" i="12"/>
  <c r="H35" i="12"/>
  <c r="F35" i="12"/>
  <c r="E35" i="12"/>
  <c r="L35" i="12"/>
  <c r="B20" i="13" s="1"/>
  <c r="K35" i="12"/>
  <c r="B19" i="13" s="1"/>
  <c r="C35" i="12"/>
  <c r="B35" i="12"/>
  <c r="B30" i="15"/>
  <c r="BQ8" i="15"/>
  <c r="H14" i="15"/>
  <c r="H13" i="15"/>
  <c r="BI36" i="14"/>
  <c r="H12" i="15" s="1"/>
  <c r="H10" i="15"/>
  <c r="H7" i="15"/>
  <c r="H5" i="15"/>
  <c r="H4" i="15"/>
  <c r="AZ36" i="14"/>
  <c r="E18" i="15" s="1"/>
  <c r="E16" i="15"/>
  <c r="E14" i="15"/>
  <c r="E11" i="15"/>
  <c r="E10" i="15"/>
  <c r="E8" i="15"/>
  <c r="E5" i="15"/>
  <c r="B38" i="15"/>
  <c r="B35" i="15"/>
  <c r="B34" i="15"/>
  <c r="B32" i="15"/>
  <c r="B31" i="15"/>
  <c r="B29" i="15"/>
  <c r="B26" i="15"/>
  <c r="B25" i="15"/>
  <c r="B22" i="15"/>
  <c r="B17" i="15"/>
  <c r="B16" i="15"/>
  <c r="B14" i="15"/>
  <c r="B20" i="15"/>
  <c r="B10" i="15"/>
  <c r="B8" i="15"/>
  <c r="B7" i="15"/>
  <c r="B5" i="15"/>
  <c r="B4" i="15"/>
  <c r="BN34" i="14"/>
  <c r="BL34" i="14"/>
  <c r="BI34" i="14"/>
  <c r="BF34" i="14"/>
  <c r="BC34" i="14"/>
  <c r="AZ34" i="14"/>
  <c r="AW34" i="14"/>
  <c r="AT34" i="14"/>
  <c r="AQ34" i="14"/>
  <c r="AN34" i="14"/>
  <c r="AK34" i="14"/>
  <c r="Y34" i="14"/>
  <c r="V34" i="14"/>
  <c r="S34" i="14"/>
  <c r="G34" i="14"/>
  <c r="D34" i="14"/>
  <c r="BN33" i="14"/>
  <c r="BO33" i="14" s="1"/>
  <c r="BF33" i="14"/>
  <c r="BC33" i="14"/>
  <c r="AK33" i="14"/>
  <c r="G33" i="14"/>
  <c r="D33" i="14"/>
  <c r="BN32" i="14"/>
  <c r="BF32" i="14"/>
  <c r="BC32" i="14"/>
  <c r="AK32" i="14"/>
  <c r="AH32" i="14"/>
  <c r="AE32" i="14"/>
  <c r="Y32" i="14"/>
  <c r="G32" i="14"/>
  <c r="D32" i="14"/>
  <c r="BN31" i="14"/>
  <c r="BL31" i="14"/>
  <c r="BI31" i="14"/>
  <c r="BF31" i="14"/>
  <c r="BC31" i="14"/>
  <c r="AZ31" i="14"/>
  <c r="AW31" i="14"/>
  <c r="AT31" i="14"/>
  <c r="AQ31" i="14"/>
  <c r="AN31" i="14"/>
  <c r="AK31" i="14"/>
  <c r="AH31" i="14"/>
  <c r="AE31" i="14"/>
  <c r="AB31" i="14"/>
  <c r="Y31" i="14"/>
  <c r="V31" i="14"/>
  <c r="S31" i="14"/>
  <c r="G31" i="14"/>
  <c r="D31" i="14"/>
  <c r="BN30" i="14"/>
  <c r="AW30" i="14"/>
  <c r="AN30" i="14"/>
  <c r="AK30" i="14"/>
  <c r="AE30" i="14"/>
  <c r="Y30" i="14"/>
  <c r="S30" i="14"/>
  <c r="G30" i="14"/>
  <c r="D30" i="14"/>
  <c r="BN29" i="14"/>
  <c r="AW29" i="14"/>
  <c r="AN29" i="14"/>
  <c r="AK29" i="14"/>
  <c r="AE29" i="14"/>
  <c r="Y29" i="14"/>
  <c r="S29" i="14"/>
  <c r="D29" i="14"/>
  <c r="BN28" i="14"/>
  <c r="BC28" i="14"/>
  <c r="AN28" i="14"/>
  <c r="V28" i="14"/>
  <c r="S28" i="14"/>
  <c r="M28" i="14"/>
  <c r="J28" i="14"/>
  <c r="G28" i="14"/>
  <c r="D28" i="14"/>
  <c r="BN27" i="14"/>
  <c r="AT27" i="14"/>
  <c r="AN27" i="14"/>
  <c r="V27" i="14"/>
  <c r="M27" i="14"/>
  <c r="J27" i="14"/>
  <c r="G27" i="14"/>
  <c r="D27" i="14"/>
  <c r="BN26" i="14"/>
  <c r="V26" i="14"/>
  <c r="P26" i="14"/>
  <c r="M26" i="14"/>
  <c r="J26" i="14"/>
  <c r="G26" i="14"/>
  <c r="D26" i="14"/>
  <c r="BN25" i="14"/>
  <c r="BL25" i="14"/>
  <c r="BI25" i="14"/>
  <c r="BF25" i="14"/>
  <c r="BC25" i="14"/>
  <c r="AZ25" i="14"/>
  <c r="AW25" i="14"/>
  <c r="AT25" i="14"/>
  <c r="AQ25" i="14"/>
  <c r="AN25" i="14"/>
  <c r="V25" i="14"/>
  <c r="P25" i="14"/>
  <c r="M25" i="14"/>
  <c r="J25" i="14"/>
  <c r="BN24" i="14"/>
  <c r="BL24" i="14"/>
  <c r="BI24" i="14"/>
  <c r="BF24" i="14"/>
  <c r="BC24" i="14"/>
  <c r="AZ24" i="14"/>
  <c r="AW24" i="14"/>
  <c r="AT24" i="14"/>
  <c r="AQ24" i="14"/>
  <c r="AN24" i="14"/>
  <c r="V24" i="14"/>
  <c r="P24" i="14"/>
  <c r="M24" i="14"/>
  <c r="J24" i="14"/>
  <c r="BN23" i="14"/>
  <c r="AN23" i="14"/>
  <c r="D23" i="14"/>
  <c r="BN22" i="14"/>
  <c r="AN22" i="14"/>
  <c r="D22" i="14"/>
  <c r="BN21" i="14"/>
  <c r="AN21" i="14"/>
  <c r="AE21" i="14"/>
  <c r="V21" i="14"/>
  <c r="S21" i="14"/>
  <c r="P21" i="14"/>
  <c r="G21" i="14"/>
  <c r="D21" i="14"/>
  <c r="BN20" i="14"/>
  <c r="BL20" i="14"/>
  <c r="BI20" i="14"/>
  <c r="BF20" i="14"/>
  <c r="BC20" i="14"/>
  <c r="AZ20" i="14"/>
  <c r="AW20" i="14"/>
  <c r="AT20" i="14"/>
  <c r="AQ20" i="14"/>
  <c r="AK20" i="14"/>
  <c r="AH20" i="14"/>
  <c r="AE20" i="14"/>
  <c r="AB20" i="14"/>
  <c r="Y20" i="14"/>
  <c r="V20" i="14"/>
  <c r="S20" i="14"/>
  <c r="P20" i="14"/>
  <c r="M20" i="14"/>
  <c r="J20" i="14"/>
  <c r="G20" i="14"/>
  <c r="D20" i="14"/>
  <c r="BN19" i="14"/>
  <c r="BL19" i="14"/>
  <c r="BI19" i="14"/>
  <c r="BF19" i="14"/>
  <c r="BC19" i="14"/>
  <c r="AZ19" i="14"/>
  <c r="AW19" i="14"/>
  <c r="AT19" i="14"/>
  <c r="AQ19" i="14"/>
  <c r="AN19" i="14"/>
  <c r="AK19" i="14"/>
  <c r="AH19" i="14"/>
  <c r="AE19" i="14"/>
  <c r="AB19" i="14"/>
  <c r="Y19" i="14"/>
  <c r="V19" i="14"/>
  <c r="S19" i="14"/>
  <c r="P19" i="14"/>
  <c r="M19" i="14"/>
  <c r="J19" i="14"/>
  <c r="G19" i="14"/>
  <c r="D19" i="14"/>
  <c r="BN18" i="14"/>
  <c r="BL18" i="14"/>
  <c r="BI18" i="14"/>
  <c r="BF18" i="14"/>
  <c r="BC18" i="14"/>
  <c r="AZ18" i="14"/>
  <c r="AW18" i="14"/>
  <c r="AT18" i="14"/>
  <c r="AQ18" i="14"/>
  <c r="AN18" i="14"/>
  <c r="AK18" i="14"/>
  <c r="AH18" i="14"/>
  <c r="AE18" i="14"/>
  <c r="AB18" i="14"/>
  <c r="Y18" i="14"/>
  <c r="V18" i="14"/>
  <c r="S18" i="14"/>
  <c r="P18" i="14"/>
  <c r="M18" i="14"/>
  <c r="J18" i="14"/>
  <c r="G18" i="14"/>
  <c r="D18" i="14"/>
  <c r="BN17" i="14"/>
  <c r="AN17" i="14"/>
  <c r="V17" i="14"/>
  <c r="S17" i="14"/>
  <c r="P17" i="14"/>
  <c r="M17" i="14"/>
  <c r="J17" i="14"/>
  <c r="G17" i="14"/>
  <c r="D17" i="14"/>
  <c r="BN16" i="14"/>
  <c r="BC16" i="14"/>
  <c r="V16" i="14"/>
  <c r="S16" i="14"/>
  <c r="P16" i="14"/>
  <c r="M16" i="14"/>
  <c r="J16" i="14"/>
  <c r="G16" i="14"/>
  <c r="D16" i="14"/>
  <c r="BN15" i="14"/>
  <c r="BC15" i="14"/>
  <c r="AN15" i="14"/>
  <c r="V15" i="14"/>
  <c r="S15" i="14"/>
  <c r="P15" i="14"/>
  <c r="M15" i="14"/>
  <c r="J15" i="14"/>
  <c r="G15" i="14"/>
  <c r="D15" i="14"/>
  <c r="BN14" i="14"/>
  <c r="BC14" i="14"/>
  <c r="AW14" i="14"/>
  <c r="AQ14" i="14"/>
  <c r="AN14" i="14"/>
  <c r="V14" i="14"/>
  <c r="S14" i="14"/>
  <c r="P14" i="14"/>
  <c r="M14" i="14"/>
  <c r="J14" i="14"/>
  <c r="G14" i="14"/>
  <c r="D14" i="14"/>
  <c r="BN13" i="14"/>
  <c r="BL13" i="14"/>
  <c r="BI13" i="14"/>
  <c r="BF13" i="14"/>
  <c r="BC13" i="14"/>
  <c r="AZ13" i="14"/>
  <c r="AW13" i="14"/>
  <c r="AT13" i="14"/>
  <c r="AQ13" i="14"/>
  <c r="AN13" i="14"/>
  <c r="Y13" i="14"/>
  <c r="S13" i="14"/>
  <c r="P13" i="14"/>
  <c r="M13" i="14"/>
  <c r="J13" i="14"/>
  <c r="G13" i="14"/>
  <c r="D13" i="14"/>
  <c r="BN12" i="14"/>
  <c r="BL12" i="14"/>
  <c r="BI12" i="14"/>
  <c r="BF12" i="14"/>
  <c r="BC12" i="14"/>
  <c r="AZ12" i="14"/>
  <c r="AW12" i="14"/>
  <c r="AT12" i="14"/>
  <c r="AQ12" i="14"/>
  <c r="AK12" i="14"/>
  <c r="AH12" i="14"/>
  <c r="AE12" i="14"/>
  <c r="AB12" i="14"/>
  <c r="Y12" i="14"/>
  <c r="V12" i="14"/>
  <c r="S12" i="14"/>
  <c r="P12" i="14"/>
  <c r="M12" i="14"/>
  <c r="J12" i="14"/>
  <c r="G12" i="14"/>
  <c r="BN11" i="14"/>
  <c r="BL11" i="14"/>
  <c r="BI11" i="14"/>
  <c r="BF11" i="14"/>
  <c r="BC11" i="14"/>
  <c r="AZ11" i="14"/>
  <c r="AW11" i="14"/>
  <c r="AT11" i="14"/>
  <c r="AQ11" i="14"/>
  <c r="AN11" i="14"/>
  <c r="AK11" i="14"/>
  <c r="V11" i="14"/>
  <c r="S11" i="14"/>
  <c r="P11" i="14"/>
  <c r="BN10" i="14"/>
  <c r="BL10" i="14"/>
  <c r="BI10" i="14"/>
  <c r="BF10" i="14"/>
  <c r="BC10" i="14"/>
  <c r="AZ10" i="14"/>
  <c r="AW10" i="14"/>
  <c r="AT10" i="14"/>
  <c r="AQ10" i="14"/>
  <c r="AN10" i="14"/>
  <c r="BN9" i="14"/>
  <c r="BC9" i="14"/>
  <c r="AW9" i="14"/>
  <c r="AT9" i="14"/>
  <c r="AQ9" i="14"/>
  <c r="AN9" i="14"/>
  <c r="AK9" i="14"/>
  <c r="AE9" i="14"/>
  <c r="AB9" i="14"/>
  <c r="Y9" i="14"/>
  <c r="V9" i="14"/>
  <c r="S9" i="14"/>
  <c r="P9" i="14"/>
  <c r="BN8" i="14"/>
  <c r="BC8" i="14"/>
  <c r="AW8" i="14"/>
  <c r="AT8" i="14"/>
  <c r="AN8" i="14"/>
  <c r="AK8" i="14"/>
  <c r="AE8" i="14"/>
  <c r="AB8" i="14"/>
  <c r="V8" i="14"/>
  <c r="S8" i="14"/>
  <c r="P8" i="14"/>
  <c r="BN7" i="14"/>
  <c r="BC7" i="14"/>
  <c r="AW7" i="14"/>
  <c r="AT7" i="14"/>
  <c r="AN7" i="14"/>
  <c r="AK7" i="14"/>
  <c r="AE7" i="14"/>
  <c r="V7" i="14"/>
  <c r="S7" i="14"/>
  <c r="P7" i="14"/>
  <c r="M7" i="14"/>
  <c r="J7" i="14"/>
  <c r="G7" i="14"/>
  <c r="D7" i="14"/>
  <c r="BN6" i="14"/>
  <c r="BL6" i="14"/>
  <c r="BI6" i="14"/>
  <c r="BF6" i="14"/>
  <c r="BC6" i="14"/>
  <c r="AZ6" i="14"/>
  <c r="AW6" i="14"/>
  <c r="AT6" i="14"/>
  <c r="AQ6" i="14"/>
  <c r="AN6" i="14"/>
  <c r="AK6" i="14"/>
  <c r="AH6" i="14"/>
  <c r="AE6" i="14"/>
  <c r="AB6" i="14"/>
  <c r="Y6" i="14"/>
  <c r="P6" i="14"/>
  <c r="BN5" i="14"/>
  <c r="BL5" i="14"/>
  <c r="BI5" i="14"/>
  <c r="BF5" i="14"/>
  <c r="BC5" i="14"/>
  <c r="AZ5" i="14"/>
  <c r="AW5" i="14"/>
  <c r="AT5" i="14"/>
  <c r="AQ5" i="14"/>
  <c r="AN5" i="14"/>
  <c r="AK5" i="14"/>
  <c r="AH5" i="14"/>
  <c r="AE5" i="14"/>
  <c r="AB5" i="14"/>
  <c r="Y5" i="14"/>
  <c r="P5" i="14"/>
  <c r="M5" i="14"/>
  <c r="J5" i="14"/>
  <c r="G5" i="14"/>
  <c r="D5" i="14"/>
  <c r="BC30" i="12"/>
  <c r="BF30" i="12"/>
  <c r="BI30" i="12"/>
  <c r="BL30" i="12"/>
  <c r="BC31" i="12"/>
  <c r="BF31" i="12"/>
  <c r="BI31" i="12"/>
  <c r="BL31" i="12"/>
  <c r="BC32" i="12"/>
  <c r="BF32" i="12"/>
  <c r="BI32" i="12"/>
  <c r="BL32" i="12"/>
  <c r="AZ30" i="12"/>
  <c r="AN31" i="12"/>
  <c r="AQ31" i="12"/>
  <c r="AT31" i="12"/>
  <c r="AW31" i="12"/>
  <c r="AZ31" i="12"/>
  <c r="AN32" i="12"/>
  <c r="AQ32" i="12"/>
  <c r="AT32" i="12"/>
  <c r="AW32" i="12"/>
  <c r="AZ32" i="12"/>
  <c r="AQ30" i="12"/>
  <c r="AT30" i="12"/>
  <c r="Y30" i="12"/>
  <c r="AB30" i="12"/>
  <c r="AE30" i="12"/>
  <c r="AH30" i="12"/>
  <c r="AK30" i="12"/>
  <c r="Y31" i="12"/>
  <c r="AB31" i="12"/>
  <c r="AE31" i="12"/>
  <c r="AH31" i="12"/>
  <c r="AK31" i="12"/>
  <c r="Y32" i="12"/>
  <c r="AB32" i="12"/>
  <c r="AE32" i="12"/>
  <c r="AH32" i="12"/>
  <c r="AK32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AW28" i="12"/>
  <c r="S28" i="12"/>
  <c r="V21" i="12"/>
  <c r="V22" i="12"/>
  <c r="V23" i="12"/>
  <c r="V24" i="12"/>
  <c r="V25" i="12"/>
  <c r="V26" i="12"/>
  <c r="P24" i="12"/>
  <c r="P25" i="12"/>
  <c r="P26" i="12"/>
  <c r="BF23" i="12"/>
  <c r="BI23" i="12"/>
  <c r="BL23" i="12"/>
  <c r="BF24" i="12"/>
  <c r="BI24" i="12"/>
  <c r="BL24" i="12"/>
  <c r="BF25" i="12"/>
  <c r="BI25" i="12"/>
  <c r="BL25" i="12"/>
  <c r="BC24" i="12"/>
  <c r="AZ23" i="12"/>
  <c r="AW24" i="12"/>
  <c r="AZ24" i="12"/>
  <c r="AW25" i="12"/>
  <c r="AZ25" i="12"/>
  <c r="AQ23" i="12"/>
  <c r="AT23" i="12"/>
  <c r="AQ24" i="12"/>
  <c r="AT24" i="12"/>
  <c r="AQ25" i="12"/>
  <c r="AT25" i="12"/>
  <c r="AH23" i="12"/>
  <c r="AK23" i="12"/>
  <c r="S23" i="12"/>
  <c r="S22" i="12"/>
  <c r="BC22" i="12"/>
  <c r="BF22" i="12"/>
  <c r="BI22" i="12"/>
  <c r="BL22" i="12"/>
  <c r="AZ22" i="12"/>
  <c r="AQ22" i="12"/>
  <c r="AT22" i="12"/>
  <c r="AB22" i="12"/>
  <c r="AE22" i="12"/>
  <c r="AH22" i="12"/>
  <c r="AK22" i="12"/>
  <c r="BC21" i="12"/>
  <c r="BF21" i="12"/>
  <c r="BI21" i="12"/>
  <c r="BL21" i="12"/>
  <c r="AZ21" i="12"/>
  <c r="AT21" i="12"/>
  <c r="AN21" i="12"/>
  <c r="AQ21" i="12"/>
  <c r="BC20" i="12"/>
  <c r="BF20" i="12"/>
  <c r="BI20" i="12"/>
  <c r="BL20" i="12"/>
  <c r="AN20" i="12"/>
  <c r="AQ20" i="12"/>
  <c r="AT20" i="12"/>
  <c r="AW20" i="12"/>
  <c r="AZ20" i="12"/>
  <c r="AK20" i="12"/>
  <c r="Y20" i="12"/>
  <c r="AB20" i="12"/>
  <c r="AE20" i="12"/>
  <c r="AH20" i="12"/>
  <c r="BF19" i="12"/>
  <c r="BI19" i="12"/>
  <c r="BL19" i="12"/>
  <c r="AQ19" i="12"/>
  <c r="AT19" i="12"/>
  <c r="AW19" i="12"/>
  <c r="AZ19" i="12"/>
  <c r="AE19" i="12"/>
  <c r="AH19" i="12"/>
  <c r="AK19" i="12"/>
  <c r="Y19" i="12"/>
  <c r="V19" i="12"/>
  <c r="G19" i="12"/>
  <c r="BC16" i="12"/>
  <c r="BC17" i="12"/>
  <c r="BC18" i="12"/>
  <c r="BF16" i="12"/>
  <c r="BI16" i="12"/>
  <c r="BL16" i="12"/>
  <c r="BF17" i="12"/>
  <c r="BI17" i="12"/>
  <c r="BL17" i="12"/>
  <c r="BF18" i="12"/>
  <c r="BI18" i="12"/>
  <c r="BL18" i="12"/>
  <c r="AN18" i="12"/>
  <c r="AQ18" i="12"/>
  <c r="AT18" i="12"/>
  <c r="AW18" i="12"/>
  <c r="AZ18" i="12"/>
  <c r="P17" i="12"/>
  <c r="S17" i="12"/>
  <c r="V17" i="12"/>
  <c r="Y17" i="12"/>
  <c r="AB17" i="12"/>
  <c r="AE17" i="12"/>
  <c r="AH17" i="12"/>
  <c r="AK17" i="12"/>
  <c r="P18" i="12"/>
  <c r="S18" i="12"/>
  <c r="V18" i="12"/>
  <c r="Y18" i="12"/>
  <c r="AB18" i="12"/>
  <c r="AE18" i="12"/>
  <c r="AH18" i="12"/>
  <c r="AK18" i="12"/>
  <c r="G17" i="12"/>
  <c r="G18" i="12"/>
  <c r="D18" i="12"/>
  <c r="AZ16" i="12"/>
  <c r="AW17" i="12"/>
  <c r="AZ17" i="12"/>
  <c r="AT16" i="12"/>
  <c r="AT17" i="12"/>
  <c r="Y16" i="12"/>
  <c r="AB16" i="12"/>
  <c r="AE16" i="12"/>
  <c r="AH16" i="12"/>
  <c r="AK16" i="12"/>
  <c r="V16" i="12"/>
  <c r="S16" i="12"/>
  <c r="BF15" i="12"/>
  <c r="BI15" i="12"/>
  <c r="BL15" i="12"/>
  <c r="AW15" i="12"/>
  <c r="AZ15" i="12"/>
  <c r="AQ15" i="12"/>
  <c r="AT15" i="12"/>
  <c r="AE15" i="12"/>
  <c r="AH15" i="12"/>
  <c r="AK15" i="12"/>
  <c r="Y15" i="12"/>
  <c r="AB15" i="12"/>
  <c r="S15" i="12"/>
  <c r="BC14" i="12"/>
  <c r="BF14" i="12"/>
  <c r="BI14" i="12"/>
  <c r="BL14" i="12"/>
  <c r="AZ14" i="12"/>
  <c r="AQ14" i="12"/>
  <c r="AT14" i="12"/>
  <c r="AH14" i="12"/>
  <c r="AK14" i="12"/>
  <c r="AB14" i="12"/>
  <c r="S14" i="12"/>
  <c r="BF13" i="12"/>
  <c r="BI13" i="12"/>
  <c r="BL13" i="12"/>
  <c r="AZ13" i="12"/>
  <c r="AQ13" i="12"/>
  <c r="AT13" i="12"/>
  <c r="Y13" i="12"/>
  <c r="AB13" i="12"/>
  <c r="AE13" i="12"/>
  <c r="AH13" i="12"/>
  <c r="AK13" i="12"/>
  <c r="S13" i="12"/>
  <c r="V13" i="12"/>
  <c r="BC12" i="12"/>
  <c r="BF12" i="12"/>
  <c r="BI12" i="12"/>
  <c r="BL12" i="12"/>
  <c r="AW12" i="12"/>
  <c r="AZ12" i="12"/>
  <c r="AQ12" i="12"/>
  <c r="AT12" i="12"/>
  <c r="Y12" i="12"/>
  <c r="AB12" i="12"/>
  <c r="AE12" i="12"/>
  <c r="AH12" i="12"/>
  <c r="AK12" i="12"/>
  <c r="S12" i="12"/>
  <c r="V12" i="12"/>
  <c r="BF9" i="12"/>
  <c r="BI9" i="12"/>
  <c r="BL9" i="12"/>
  <c r="BC10" i="12"/>
  <c r="BF10" i="12"/>
  <c r="BI10" i="12"/>
  <c r="BL10" i="12"/>
  <c r="BC11" i="12"/>
  <c r="BF11" i="12"/>
  <c r="BI11" i="12"/>
  <c r="BL11" i="12"/>
  <c r="AN10" i="12"/>
  <c r="AN11" i="12"/>
  <c r="AQ9" i="12"/>
  <c r="AT9" i="12"/>
  <c r="AQ10" i="12"/>
  <c r="AT10" i="12"/>
  <c r="AQ11" i="12"/>
  <c r="AT11" i="12"/>
  <c r="AW9" i="12"/>
  <c r="AW10" i="12"/>
  <c r="AZ9" i="12"/>
  <c r="AZ10" i="12"/>
  <c r="AZ11" i="12"/>
  <c r="AB9" i="12"/>
  <c r="AE9" i="12"/>
  <c r="AH9" i="12"/>
  <c r="AK9" i="12"/>
  <c r="AB10" i="12"/>
  <c r="AE10" i="12"/>
  <c r="AH10" i="12"/>
  <c r="AK10" i="12"/>
  <c r="AB11" i="12"/>
  <c r="AE11" i="12"/>
  <c r="AH11" i="12"/>
  <c r="AK11" i="12"/>
  <c r="Y10" i="12"/>
  <c r="Y11" i="12"/>
  <c r="Y9" i="12"/>
  <c r="P10" i="12"/>
  <c r="S9" i="12"/>
  <c r="V9" i="12"/>
  <c r="S10" i="12"/>
  <c r="V10" i="12"/>
  <c r="P11" i="12"/>
  <c r="S11" i="12"/>
  <c r="V11" i="12"/>
  <c r="M11" i="12"/>
  <c r="J11" i="12"/>
  <c r="G11" i="12"/>
  <c r="D11" i="12"/>
  <c r="J10" i="12"/>
  <c r="J9" i="12"/>
  <c r="G9" i="12"/>
  <c r="Y8" i="12"/>
  <c r="BC8" i="12"/>
  <c r="BF8" i="12"/>
  <c r="BI8" i="12"/>
  <c r="BL8" i="12"/>
  <c r="AW8" i="12"/>
  <c r="AZ8" i="12"/>
  <c r="AQ8" i="12"/>
  <c r="AT8" i="12"/>
  <c r="AE8" i="12"/>
  <c r="S8" i="12"/>
  <c r="V8" i="12"/>
  <c r="G8" i="12"/>
  <c r="BC7" i="12"/>
  <c r="BF7" i="12"/>
  <c r="BI7" i="12"/>
  <c r="BL7" i="12"/>
  <c r="AZ7" i="12"/>
  <c r="AQ7" i="12"/>
  <c r="AT7" i="12"/>
  <c r="Y7" i="12"/>
  <c r="AB7" i="12"/>
  <c r="AE7" i="12"/>
  <c r="AH7" i="12"/>
  <c r="AK7" i="12"/>
  <c r="V7" i="12"/>
  <c r="BL6" i="12"/>
  <c r="BL5" i="12"/>
  <c r="BI6" i="12"/>
  <c r="BI5" i="12"/>
  <c r="BF6" i="12"/>
  <c r="BF5" i="12"/>
  <c r="BC6" i="12"/>
  <c r="BC5" i="12"/>
  <c r="AZ6" i="12"/>
  <c r="AZ5" i="12"/>
  <c r="AW6" i="12"/>
  <c r="AW5" i="12"/>
  <c r="AT6" i="12"/>
  <c r="AT5" i="12"/>
  <c r="AQ6" i="12"/>
  <c r="AQ5" i="12"/>
  <c r="AK6" i="12"/>
  <c r="AK5" i="12"/>
  <c r="AH6" i="12"/>
  <c r="AH5" i="12"/>
  <c r="AB6" i="12"/>
  <c r="AB5" i="12"/>
  <c r="M6" i="12"/>
  <c r="M5" i="12"/>
  <c r="S5" i="12"/>
  <c r="S6" i="12"/>
  <c r="B30" i="13"/>
  <c r="Y5" i="12"/>
  <c r="AE5" i="12"/>
  <c r="AN5" i="12"/>
  <c r="P5" i="12"/>
  <c r="V5" i="12"/>
  <c r="G5" i="12"/>
  <c r="J5" i="12"/>
  <c r="BC13" i="12"/>
  <c r="BC15" i="12"/>
  <c r="BC19" i="12"/>
  <c r="BC23" i="12"/>
  <c r="BC25" i="12"/>
  <c r="BC28" i="12"/>
  <c r="BC29" i="12"/>
  <c r="BC34" i="12"/>
  <c r="BC9" i="12"/>
  <c r="AW7" i="12"/>
  <c r="AW11" i="12"/>
  <c r="AW13" i="12"/>
  <c r="AW14" i="12"/>
  <c r="AW16" i="12"/>
  <c r="AW21" i="12"/>
  <c r="AW22" i="12"/>
  <c r="AW23" i="12"/>
  <c r="AW27" i="12"/>
  <c r="AW29" i="12"/>
  <c r="AW30" i="12"/>
  <c r="AW33" i="12"/>
  <c r="AW34" i="12"/>
  <c r="AT27" i="12"/>
  <c r="AN6" i="12"/>
  <c r="AN7" i="12"/>
  <c r="AN8" i="12"/>
  <c r="AN9" i="12"/>
  <c r="AN12" i="12"/>
  <c r="AN13" i="12"/>
  <c r="AN14" i="12"/>
  <c r="AN15" i="12"/>
  <c r="AN16" i="12"/>
  <c r="AN17" i="12"/>
  <c r="AN19" i="12"/>
  <c r="AN22" i="12"/>
  <c r="AN23" i="12"/>
  <c r="AN24" i="12"/>
  <c r="AN25" i="12"/>
  <c r="AN27" i="12"/>
  <c r="AN28" i="12"/>
  <c r="AN29" i="12"/>
  <c r="AN30" i="12"/>
  <c r="AN33" i="12"/>
  <c r="AN34" i="12"/>
  <c r="AK21" i="12"/>
  <c r="AK29" i="12"/>
  <c r="AK33" i="12"/>
  <c r="AK34" i="12"/>
  <c r="AE14" i="12"/>
  <c r="AE21" i="12"/>
  <c r="AE23" i="12"/>
  <c r="Y14" i="12"/>
  <c r="Y21" i="12"/>
  <c r="Y22" i="12"/>
  <c r="Y23" i="12"/>
  <c r="Y29" i="12"/>
  <c r="Y33" i="12"/>
  <c r="Y34" i="12"/>
  <c r="V6" i="12"/>
  <c r="V14" i="12"/>
  <c r="V15" i="12"/>
  <c r="V20" i="12"/>
  <c r="V27" i="12"/>
  <c r="V28" i="12"/>
  <c r="V29" i="12"/>
  <c r="V30" i="12"/>
  <c r="V31" i="12"/>
  <c r="V32" i="12"/>
  <c r="S26" i="12"/>
  <c r="S27" i="12"/>
  <c r="S29" i="12"/>
  <c r="S30" i="12"/>
  <c r="S31" i="12"/>
  <c r="S32" i="12"/>
  <c r="S34" i="12"/>
  <c r="S19" i="12"/>
  <c r="S20" i="12"/>
  <c r="P22" i="12"/>
  <c r="P23" i="12"/>
  <c r="P8" i="12"/>
  <c r="P9" i="12"/>
  <c r="P12" i="12"/>
  <c r="P13" i="12"/>
  <c r="P14" i="12"/>
  <c r="P15" i="12"/>
  <c r="P16" i="12"/>
  <c r="P19" i="12"/>
  <c r="P20" i="12"/>
  <c r="P21" i="12"/>
  <c r="P6" i="12"/>
  <c r="J8" i="12"/>
  <c r="J12" i="12"/>
  <c r="J13" i="12"/>
  <c r="J14" i="12"/>
  <c r="G6" i="12"/>
  <c r="G7" i="12"/>
  <c r="G10" i="12"/>
  <c r="G12" i="12"/>
  <c r="G13" i="12"/>
  <c r="G14" i="12"/>
  <c r="G15" i="12"/>
  <c r="G16" i="12"/>
  <c r="G20" i="12"/>
  <c r="G21" i="12"/>
  <c r="G22" i="12"/>
  <c r="G23" i="12"/>
  <c r="G26" i="12"/>
  <c r="G27" i="12"/>
  <c r="G28" i="12"/>
  <c r="G29" i="12"/>
  <c r="G30" i="12"/>
  <c r="G31" i="12"/>
  <c r="G32" i="12"/>
  <c r="G33" i="12"/>
  <c r="G34" i="12"/>
  <c r="D7" i="12"/>
  <c r="D8" i="12"/>
  <c r="D9" i="12"/>
  <c r="D10" i="12"/>
  <c r="D12" i="12"/>
  <c r="D13" i="12"/>
  <c r="D14" i="12"/>
  <c r="D15" i="12"/>
  <c r="D16" i="12"/>
  <c r="D17" i="12"/>
  <c r="D19" i="12"/>
  <c r="D20" i="12"/>
  <c r="D21" i="12"/>
  <c r="D22" i="12"/>
  <c r="D23" i="12"/>
  <c r="D26" i="12"/>
  <c r="D27" i="12"/>
  <c r="D28" i="12"/>
  <c r="D29" i="12"/>
  <c r="D30" i="12"/>
  <c r="D31" i="12"/>
  <c r="D32" i="12"/>
  <c r="D33" i="12"/>
  <c r="D34" i="12"/>
  <c r="D5" i="12"/>
  <c r="BK35" i="12"/>
  <c r="BJ35" i="12"/>
  <c r="H13" i="13" s="1"/>
  <c r="BH35" i="12"/>
  <c r="BI35" i="12" s="1"/>
  <c r="H12" i="13" s="1"/>
  <c r="BG35" i="12"/>
  <c r="H10" i="13" s="1"/>
  <c r="BE35" i="12"/>
  <c r="BF35" i="12" s="1"/>
  <c r="BD35" i="12"/>
  <c r="H7" i="13" s="1"/>
  <c r="H5" i="13"/>
  <c r="H4" i="13"/>
  <c r="AY35" i="12"/>
  <c r="AZ35" i="12" s="1"/>
  <c r="E18" i="13" s="1"/>
  <c r="AX35" i="12"/>
  <c r="E16" i="13" s="1"/>
  <c r="AV35" i="12"/>
  <c r="E14" i="13" s="1"/>
  <c r="AU35" i="12"/>
  <c r="E13" i="13" s="1"/>
  <c r="AS35" i="12"/>
  <c r="E11" i="13" s="1"/>
  <c r="AR35" i="12"/>
  <c r="E10" i="13" s="1"/>
  <c r="AP35" i="12"/>
  <c r="E8" i="13" s="1"/>
  <c r="AO35" i="12"/>
  <c r="E7" i="13" s="1"/>
  <c r="AM35" i="12"/>
  <c r="E5" i="13" s="1"/>
  <c r="AL35" i="12"/>
  <c r="E4" i="13" s="1"/>
  <c r="B38" i="13"/>
  <c r="B37" i="13"/>
  <c r="AG35" i="12"/>
  <c r="B35" i="13" s="1"/>
  <c r="AF35" i="12"/>
  <c r="B34" i="13" s="1"/>
  <c r="AD35" i="12"/>
  <c r="B32" i="13" s="1"/>
  <c r="AC35" i="12"/>
  <c r="B31" i="13" s="1"/>
  <c r="B29" i="13"/>
  <c r="X35" i="12"/>
  <c r="B26" i="13" s="1"/>
  <c r="W35" i="12"/>
  <c r="B25" i="13" s="1"/>
  <c r="B22" i="13"/>
  <c r="B17" i="13"/>
  <c r="B16" i="13"/>
  <c r="B11" i="13"/>
  <c r="B8" i="13"/>
  <c r="B7" i="13"/>
  <c r="B5" i="13"/>
  <c r="B4" i="13"/>
  <c r="BN34" i="12"/>
  <c r="AT34" i="12"/>
  <c r="BN33" i="12"/>
  <c r="BN32" i="12"/>
  <c r="BN31" i="12"/>
  <c r="BN30" i="12"/>
  <c r="BN29" i="12"/>
  <c r="AZ29" i="12"/>
  <c r="AT29" i="12"/>
  <c r="AQ29" i="12"/>
  <c r="AH29" i="12"/>
  <c r="AE29" i="12"/>
  <c r="BN28" i="12"/>
  <c r="BL28" i="12"/>
  <c r="AT28" i="12"/>
  <c r="AQ28" i="12"/>
  <c r="AH28" i="12"/>
  <c r="BN27" i="12"/>
  <c r="AQ27" i="12"/>
  <c r="BN26" i="12"/>
  <c r="BN25" i="12"/>
  <c r="BN24" i="12"/>
  <c r="BN23" i="12"/>
  <c r="BN22" i="12"/>
  <c r="BN21" i="12"/>
  <c r="AH21" i="12"/>
  <c r="AB21" i="12"/>
  <c r="S21" i="12"/>
  <c r="BN20" i="12"/>
  <c r="BN19" i="12"/>
  <c r="AB19" i="12"/>
  <c r="BN18" i="12"/>
  <c r="BN17" i="12"/>
  <c r="AQ17" i="12"/>
  <c r="BN16" i="12"/>
  <c r="AQ16" i="12"/>
  <c r="M16" i="12"/>
  <c r="J16" i="12"/>
  <c r="BN15" i="12"/>
  <c r="M15" i="12"/>
  <c r="J15" i="12"/>
  <c r="BN14" i="12"/>
  <c r="M14" i="12"/>
  <c r="BN13" i="12"/>
  <c r="M13" i="12"/>
  <c r="BN12" i="12"/>
  <c r="M12" i="12"/>
  <c r="BN11" i="12"/>
  <c r="BN10" i="12"/>
  <c r="M10" i="12"/>
  <c r="BN9" i="12"/>
  <c r="M9" i="12"/>
  <c r="BN8" i="12"/>
  <c r="AK8" i="12"/>
  <c r="AH8" i="12"/>
  <c r="AB8" i="12"/>
  <c r="M8" i="12"/>
  <c r="BN7" i="12"/>
  <c r="S7" i="12"/>
  <c r="P7" i="12"/>
  <c r="M7" i="12"/>
  <c r="J7" i="12"/>
  <c r="BN6" i="12"/>
  <c r="AE6" i="12"/>
  <c r="Y6" i="12"/>
  <c r="J6" i="12"/>
  <c r="D6" i="12"/>
  <c r="BN5" i="12"/>
  <c r="BC32" i="10"/>
  <c r="BF32" i="10"/>
  <c r="BI32" i="10"/>
  <c r="BL32" i="10"/>
  <c r="BC33" i="10"/>
  <c r="BF33" i="10"/>
  <c r="BI33" i="10"/>
  <c r="BL33" i="10"/>
  <c r="BC34" i="10"/>
  <c r="BF34" i="10"/>
  <c r="BI34" i="10"/>
  <c r="BL34" i="10"/>
  <c r="BC35" i="10"/>
  <c r="BF35" i="10"/>
  <c r="BI35" i="10"/>
  <c r="BL35" i="10"/>
  <c r="AT32" i="10"/>
  <c r="AW32" i="10"/>
  <c r="AZ32" i="10"/>
  <c r="AT33" i="10"/>
  <c r="AW33" i="10"/>
  <c r="AZ33" i="10"/>
  <c r="AT34" i="10"/>
  <c r="AW34" i="10"/>
  <c r="AZ34" i="10"/>
  <c r="AT35" i="10"/>
  <c r="AW35" i="10"/>
  <c r="AZ35" i="10"/>
  <c r="AQ32" i="10"/>
  <c r="AQ33" i="10"/>
  <c r="AQ34" i="10"/>
  <c r="AQ35" i="10"/>
  <c r="AM36" i="10"/>
  <c r="AL36" i="10"/>
  <c r="AK32" i="10"/>
  <c r="AH32" i="10"/>
  <c r="AB32" i="10"/>
  <c r="BF31" i="10"/>
  <c r="BI31" i="10"/>
  <c r="BL31" i="10"/>
  <c r="AQ31" i="10"/>
  <c r="AT31" i="10"/>
  <c r="AW31" i="10"/>
  <c r="AZ31" i="10"/>
  <c r="AH31" i="10"/>
  <c r="AB31" i="10"/>
  <c r="BC30" i="10"/>
  <c r="BF30" i="10"/>
  <c r="BI30" i="10"/>
  <c r="BL30" i="10"/>
  <c r="AW30" i="10"/>
  <c r="AZ30" i="10"/>
  <c r="AQ30" i="10"/>
  <c r="AT30" i="10"/>
  <c r="AB30" i="10"/>
  <c r="AE30" i="10"/>
  <c r="AH30" i="10"/>
  <c r="AK30" i="10"/>
  <c r="BC29" i="10"/>
  <c r="BF29" i="10"/>
  <c r="BI29" i="10"/>
  <c r="BL29" i="10"/>
  <c r="AZ29" i="10"/>
  <c r="AQ29" i="10"/>
  <c r="AT29" i="10"/>
  <c r="AB29" i="10"/>
  <c r="AE29" i="10"/>
  <c r="AH29" i="10"/>
  <c r="AK29" i="10"/>
  <c r="BC24" i="10"/>
  <c r="BC25" i="10"/>
  <c r="BF24" i="10"/>
  <c r="BI24" i="10"/>
  <c r="BF25" i="10"/>
  <c r="BI25" i="10"/>
  <c r="BF26" i="10"/>
  <c r="BI26" i="10"/>
  <c r="BL24" i="10"/>
  <c r="BL25" i="10"/>
  <c r="BL26" i="10"/>
  <c r="BC27" i="10"/>
  <c r="BF27" i="10"/>
  <c r="BI27" i="10"/>
  <c r="BL27" i="10"/>
  <c r="BC28" i="10"/>
  <c r="BF28" i="10"/>
  <c r="BI28" i="10"/>
  <c r="BL28" i="10"/>
  <c r="AZ24" i="10"/>
  <c r="AZ25" i="10"/>
  <c r="AZ26" i="10"/>
  <c r="AZ27" i="10"/>
  <c r="AZ28" i="10"/>
  <c r="AW28" i="10"/>
  <c r="AW26" i="10"/>
  <c r="AW24" i="10"/>
  <c r="AT26" i="10"/>
  <c r="AT27" i="10"/>
  <c r="AT28" i="10"/>
  <c r="AT24" i="10"/>
  <c r="AQ28" i="10"/>
  <c r="AQ27" i="10"/>
  <c r="AQ26" i="10"/>
  <c r="AQ24" i="10"/>
  <c r="AK26" i="10"/>
  <c r="AK27" i="10"/>
  <c r="AK28" i="10"/>
  <c r="AK24" i="10"/>
  <c r="AK25" i="10"/>
  <c r="AH24" i="10"/>
  <c r="AH25" i="10"/>
  <c r="AH26" i="10"/>
  <c r="AH27" i="10"/>
  <c r="AH28" i="10"/>
  <c r="AE26" i="10"/>
  <c r="AE27" i="10"/>
  <c r="AE28" i="10"/>
  <c r="AE24" i="10"/>
  <c r="AB24" i="10"/>
  <c r="AB25" i="10"/>
  <c r="AB26" i="10"/>
  <c r="AB27" i="10"/>
  <c r="AB28" i="10"/>
  <c r="BC23" i="10"/>
  <c r="BF23" i="10"/>
  <c r="BI23" i="10"/>
  <c r="BL23" i="10"/>
  <c r="AQ23" i="10"/>
  <c r="AT23" i="10"/>
  <c r="AW23" i="10"/>
  <c r="AZ23" i="10"/>
  <c r="AH23" i="10"/>
  <c r="AB23" i="10"/>
  <c r="S23" i="10"/>
  <c r="BF22" i="10"/>
  <c r="BI22" i="10"/>
  <c r="BL22" i="10"/>
  <c r="AW22" i="10"/>
  <c r="AZ22" i="10"/>
  <c r="AQ22" i="10"/>
  <c r="AT22" i="10"/>
  <c r="AB22" i="10"/>
  <c r="AE22" i="10"/>
  <c r="AH22" i="10"/>
  <c r="Y22" i="10"/>
  <c r="S22" i="10"/>
  <c r="B27" i="25" l="1"/>
  <c r="B30" i="25"/>
  <c r="CG35" i="22"/>
  <c r="CD36" i="20"/>
  <c r="H18" i="19"/>
  <c r="BX36" i="18"/>
  <c r="H18" i="17"/>
  <c r="BX35" i="16"/>
  <c r="BO34" i="14"/>
  <c r="AN36" i="14"/>
  <c r="E6" i="15" s="1"/>
  <c r="BF36" i="14"/>
  <c r="AB36" i="14"/>
  <c r="H11" i="15"/>
  <c r="H8" i="15"/>
  <c r="H9" i="15"/>
  <c r="BC36" i="14"/>
  <c r="H6" i="15" s="1"/>
  <c r="E17" i="15"/>
  <c r="AW36" i="14"/>
  <c r="E15" i="15" s="1"/>
  <c r="E13" i="15"/>
  <c r="AT36" i="14"/>
  <c r="E12" i="15" s="1"/>
  <c r="AQ36" i="14"/>
  <c r="E9" i="15" s="1"/>
  <c r="E7" i="15"/>
  <c r="E4" i="15"/>
  <c r="B28" i="15"/>
  <c r="AK36" i="14"/>
  <c r="B39" i="15" s="1"/>
  <c r="B37" i="15"/>
  <c r="Y36" i="14"/>
  <c r="B27" i="15" s="1"/>
  <c r="M36" i="14"/>
  <c r="B21" i="15" s="1"/>
  <c r="J36" i="14"/>
  <c r="B12" i="15" s="1"/>
  <c r="S36" i="14"/>
  <c r="B18" i="15" s="1"/>
  <c r="B19" i="15"/>
  <c r="B11" i="15"/>
  <c r="P36" i="14"/>
  <c r="B15" i="15" s="1"/>
  <c r="B13" i="15"/>
  <c r="BO26" i="14"/>
  <c r="AH36" i="14"/>
  <c r="B36" i="15" s="1"/>
  <c r="AE36" i="14"/>
  <c r="B33" i="15" s="1"/>
  <c r="BO32" i="14"/>
  <c r="BO25" i="14"/>
  <c r="BO24" i="14"/>
  <c r="BO8" i="14"/>
  <c r="BO16" i="14"/>
  <c r="BO20" i="14"/>
  <c r="BO23" i="14"/>
  <c r="BO7" i="14"/>
  <c r="BO11" i="14"/>
  <c r="BO15" i="14"/>
  <c r="BO19" i="14"/>
  <c r="BO28" i="14"/>
  <c r="BO30" i="14"/>
  <c r="G36" i="14"/>
  <c r="B9" i="15" s="1"/>
  <c r="BO6" i="14"/>
  <c r="BO10" i="14"/>
  <c r="BO22" i="14"/>
  <c r="BO29" i="14"/>
  <c r="BO31" i="14"/>
  <c r="BN36" i="14"/>
  <c r="H17" i="15" s="1"/>
  <c r="BO5" i="14"/>
  <c r="BO9" i="14"/>
  <c r="BO13" i="14"/>
  <c r="BO17" i="14"/>
  <c r="BO21" i="14"/>
  <c r="BM36" i="14"/>
  <c r="H16" i="15" s="1"/>
  <c r="BO14" i="14"/>
  <c r="BO18" i="14"/>
  <c r="BO27" i="14"/>
  <c r="BO12" i="14"/>
  <c r="D36" i="14"/>
  <c r="B6" i="15" s="1"/>
  <c r="BL36" i="14"/>
  <c r="H15" i="15" s="1"/>
  <c r="BL35" i="12"/>
  <c r="H15" i="13" s="1"/>
  <c r="E17" i="13"/>
  <c r="AB35" i="12"/>
  <c r="H14" i="13"/>
  <c r="H11" i="13"/>
  <c r="H8" i="13"/>
  <c r="H9" i="13"/>
  <c r="B28" i="13"/>
  <c r="S35" i="12"/>
  <c r="B18" i="13" s="1"/>
  <c r="J35" i="12"/>
  <c r="B12" i="13" s="1"/>
  <c r="B10" i="13"/>
  <c r="AT35" i="12"/>
  <c r="E12" i="13" s="1"/>
  <c r="AW35" i="12"/>
  <c r="E15" i="13" s="1"/>
  <c r="AN35" i="12"/>
  <c r="E6" i="13" s="1"/>
  <c r="AQ35" i="12"/>
  <c r="E9" i="13" s="1"/>
  <c r="BC35" i="12"/>
  <c r="H6" i="13" s="1"/>
  <c r="V35" i="12"/>
  <c r="B24" i="13" s="1"/>
  <c r="P35" i="12"/>
  <c r="B15" i="13" s="1"/>
  <c r="G35" i="12"/>
  <c r="B9" i="13" s="1"/>
  <c r="D35" i="12"/>
  <c r="B6" i="13" s="1"/>
  <c r="AK35" i="12"/>
  <c r="B39" i="13" s="1"/>
  <c r="AH35" i="12"/>
  <c r="B36" i="13" s="1"/>
  <c r="AE35" i="12"/>
  <c r="B33" i="13" s="1"/>
  <c r="Y35" i="12"/>
  <c r="B27" i="13" s="1"/>
  <c r="BO8" i="12"/>
  <c r="BO12" i="12"/>
  <c r="BO5" i="12"/>
  <c r="BO16" i="12"/>
  <c r="M35" i="12"/>
  <c r="B21" i="13" s="1"/>
  <c r="BO17" i="12"/>
  <c r="BO20" i="12"/>
  <c r="BO19" i="12"/>
  <c r="BO18" i="12"/>
  <c r="BO22" i="12"/>
  <c r="BO23" i="12"/>
  <c r="BO27" i="12"/>
  <c r="BO30" i="12"/>
  <c r="BO34" i="12"/>
  <c r="BO7" i="12"/>
  <c r="BO11" i="12"/>
  <c r="BO21" i="12"/>
  <c r="BO6" i="12"/>
  <c r="BO10" i="12"/>
  <c r="BO14" i="12"/>
  <c r="BO15" i="12"/>
  <c r="BO9" i="12"/>
  <c r="BO13" i="12"/>
  <c r="BO26" i="12"/>
  <c r="BO33" i="12"/>
  <c r="BN35" i="12"/>
  <c r="H17" i="13" s="1"/>
  <c r="BO29" i="12"/>
  <c r="BO31" i="12"/>
  <c r="BO32" i="12"/>
  <c r="BO25" i="12"/>
  <c r="BM35" i="12"/>
  <c r="H16" i="13" s="1"/>
  <c r="BO24" i="12"/>
  <c r="BO28" i="12"/>
  <c r="BI17" i="10"/>
  <c r="BL17" i="10"/>
  <c r="BI18" i="10"/>
  <c r="BL18" i="10"/>
  <c r="BI19" i="10"/>
  <c r="BL19" i="10"/>
  <c r="BI20" i="10"/>
  <c r="BL20" i="10"/>
  <c r="BI21" i="10"/>
  <c r="BL21" i="10"/>
  <c r="BF17" i="10"/>
  <c r="BF18" i="10"/>
  <c r="BF19" i="10"/>
  <c r="BF20" i="10"/>
  <c r="BF21" i="10"/>
  <c r="BC21" i="10"/>
  <c r="BC20" i="10"/>
  <c r="BC19" i="10"/>
  <c r="BC17" i="10"/>
  <c r="AZ17" i="10"/>
  <c r="AZ18" i="10"/>
  <c r="AZ19" i="10"/>
  <c r="AZ20" i="10"/>
  <c r="AZ21" i="10"/>
  <c r="AW20" i="10"/>
  <c r="AW18" i="10"/>
  <c r="AW19" i="10"/>
  <c r="AT17" i="10"/>
  <c r="AT18" i="10"/>
  <c r="AT19" i="10"/>
  <c r="AT20" i="10"/>
  <c r="AT21" i="10"/>
  <c r="AQ17" i="10"/>
  <c r="AQ18" i="10"/>
  <c r="AQ19" i="10"/>
  <c r="AQ20" i="10"/>
  <c r="AQ21" i="10"/>
  <c r="AH19" i="10"/>
  <c r="AK19" i="10"/>
  <c r="AE20" i="10"/>
  <c r="AH20" i="10"/>
  <c r="AK20" i="10"/>
  <c r="AE21" i="10"/>
  <c r="AH21" i="10"/>
  <c r="AK21" i="10"/>
  <c r="Y19" i="10"/>
  <c r="Y20" i="10"/>
  <c r="Y21" i="10"/>
  <c r="AB19" i="10"/>
  <c r="AB20" i="10"/>
  <c r="AB21" i="10"/>
  <c r="AH17" i="10"/>
  <c r="AK17" i="10"/>
  <c r="AH18" i="10"/>
  <c r="AK18" i="10"/>
  <c r="AE17" i="10"/>
  <c r="AB17" i="10"/>
  <c r="AB18" i="10"/>
  <c r="P20" i="10"/>
  <c r="P21" i="10"/>
  <c r="S20" i="10"/>
  <c r="V20" i="10"/>
  <c r="S21" i="10"/>
  <c r="V21" i="10"/>
  <c r="S19" i="10"/>
  <c r="V19" i="10"/>
  <c r="V18" i="10"/>
  <c r="M19" i="10"/>
  <c r="M18" i="10"/>
  <c r="M17" i="10"/>
  <c r="G17" i="10"/>
  <c r="S17" i="10"/>
  <c r="V17" i="10"/>
  <c r="H18" i="15" l="1"/>
  <c r="BO36" i="14"/>
  <c r="H18" i="13"/>
  <c r="BO35" i="12"/>
  <c r="BC16" i="10"/>
  <c r="BF16" i="10"/>
  <c r="BI16" i="10"/>
  <c r="BL16" i="10"/>
  <c r="AQ16" i="10"/>
  <c r="AT16" i="10"/>
  <c r="AW16" i="10"/>
  <c r="AZ16" i="10"/>
  <c r="Y16" i="10"/>
  <c r="AB16" i="10"/>
  <c r="AE16" i="10"/>
  <c r="AH16" i="10"/>
  <c r="AK16" i="10"/>
  <c r="V16" i="10"/>
  <c r="S16" i="10"/>
  <c r="M16" i="10"/>
  <c r="G16" i="10"/>
  <c r="J16" i="10"/>
  <c r="BF15" i="10"/>
  <c r="BI15" i="10"/>
  <c r="BL15" i="10"/>
  <c r="AW15" i="10"/>
  <c r="AZ15" i="10"/>
  <c r="AQ15" i="10"/>
  <c r="AT15" i="10"/>
  <c r="Y15" i="10"/>
  <c r="AB15" i="10"/>
  <c r="AE15" i="10"/>
  <c r="AH15" i="10"/>
  <c r="AK15" i="10"/>
  <c r="S15" i="10"/>
  <c r="J15" i="10"/>
  <c r="M15" i="10"/>
  <c r="BF13" i="10"/>
  <c r="BI13" i="10"/>
  <c r="BL13" i="10"/>
  <c r="BF14" i="10"/>
  <c r="BI14" i="10"/>
  <c r="BL14" i="10"/>
  <c r="BC12" i="10"/>
  <c r="BF12" i="10"/>
  <c r="BI12" i="10"/>
  <c r="BL12" i="10"/>
  <c r="AZ12" i="10"/>
  <c r="AZ13" i="10"/>
  <c r="AZ14" i="10"/>
  <c r="AW12" i="10"/>
  <c r="AW13" i="10"/>
  <c r="AQ12" i="10"/>
  <c r="AT12" i="10"/>
  <c r="AQ13" i="10"/>
  <c r="AT13" i="10"/>
  <c r="AQ14" i="10"/>
  <c r="AT14" i="10"/>
  <c r="Y12" i="10"/>
  <c r="AB12" i="10"/>
  <c r="AE12" i="10"/>
  <c r="AH12" i="10"/>
  <c r="AK12" i="10"/>
  <c r="Y13" i="10"/>
  <c r="AB13" i="10"/>
  <c r="AE13" i="10"/>
  <c r="AH13" i="10"/>
  <c r="AK13" i="10"/>
  <c r="Y14" i="10"/>
  <c r="AB14" i="10"/>
  <c r="AE14" i="10"/>
  <c r="AH14" i="10"/>
  <c r="AK14" i="10"/>
  <c r="V12" i="10"/>
  <c r="D14" i="10"/>
  <c r="G14" i="10"/>
  <c r="J14" i="10"/>
  <c r="M14" i="10"/>
  <c r="P14" i="10"/>
  <c r="S14" i="10"/>
  <c r="V14" i="10"/>
  <c r="P13" i="10"/>
  <c r="S13" i="10"/>
  <c r="V13" i="10"/>
  <c r="D13" i="10"/>
  <c r="G13" i="10"/>
  <c r="J13" i="10"/>
  <c r="M13" i="10"/>
  <c r="G12" i="10"/>
  <c r="M12" i="10"/>
  <c r="BC11" i="10"/>
  <c r="BF11" i="10"/>
  <c r="BI11" i="10"/>
  <c r="BL11" i="10"/>
  <c r="AT11" i="10"/>
  <c r="AW11" i="10"/>
  <c r="AZ11" i="10"/>
  <c r="AQ11" i="10"/>
  <c r="AH11" i="10"/>
  <c r="AB11" i="10"/>
  <c r="V11" i="10"/>
  <c r="S11" i="10"/>
  <c r="J11" i="10"/>
  <c r="M11" i="10"/>
  <c r="BL10" i="10"/>
  <c r="BF10" i="10"/>
  <c r="BI10" i="10"/>
  <c r="AZ10" i="10"/>
  <c r="AN10" i="10"/>
  <c r="AQ10" i="10"/>
  <c r="AT10" i="10"/>
  <c r="Y10" i="10"/>
  <c r="AB10" i="10"/>
  <c r="AE10" i="10"/>
  <c r="AH10" i="10"/>
  <c r="AK10" i="10"/>
  <c r="S10" i="10"/>
  <c r="V10" i="10"/>
  <c r="J10" i="10"/>
  <c r="M10" i="10"/>
  <c r="BF9" i="10"/>
  <c r="BI9" i="10"/>
  <c r="BL9" i="10"/>
  <c r="AT9" i="10"/>
  <c r="AW9" i="10"/>
  <c r="AZ9" i="10"/>
  <c r="AQ9" i="10"/>
  <c r="Y9" i="10"/>
  <c r="AB9" i="10"/>
  <c r="AE9" i="10"/>
  <c r="AH9" i="10"/>
  <c r="AK9" i="10"/>
  <c r="P9" i="10"/>
  <c r="S9" i="10"/>
  <c r="V9" i="10"/>
  <c r="M9" i="10"/>
  <c r="BC8" i="10"/>
  <c r="BF8" i="10"/>
  <c r="BI8" i="10"/>
  <c r="BL8" i="10"/>
  <c r="AW8" i="10"/>
  <c r="AZ8" i="10"/>
  <c r="AQ8" i="10"/>
  <c r="Y8" i="10"/>
  <c r="AB8" i="10"/>
  <c r="AE8" i="10"/>
  <c r="AH8" i="10"/>
  <c r="AK8" i="10"/>
  <c r="Q34" i="8"/>
  <c r="V8" i="10"/>
  <c r="P8" i="10"/>
  <c r="S8" i="10"/>
  <c r="M8" i="10"/>
  <c r="BF5" i="10"/>
  <c r="BI5" i="10"/>
  <c r="BL5" i="10"/>
  <c r="BF6" i="10"/>
  <c r="BI6" i="10"/>
  <c r="BL6" i="10"/>
  <c r="BF7" i="10"/>
  <c r="BI7" i="10"/>
  <c r="BL7" i="10"/>
  <c r="BC6" i="10"/>
  <c r="AZ7" i="10"/>
  <c r="AZ6" i="10"/>
  <c r="AZ5" i="10"/>
  <c r="AW6" i="10"/>
  <c r="AT7" i="10"/>
  <c r="AQ7" i="10"/>
  <c r="AT6" i="10"/>
  <c r="AQ6" i="10"/>
  <c r="AT5" i="10"/>
  <c r="AQ5" i="10"/>
  <c r="AK5" i="10"/>
  <c r="AK6" i="10"/>
  <c r="AE6" i="10"/>
  <c r="AH6" i="10"/>
  <c r="AB5" i="10"/>
  <c r="AB6" i="10"/>
  <c r="Y6" i="10"/>
  <c r="Y7" i="10"/>
  <c r="AB7" i="10"/>
  <c r="AE7" i="10"/>
  <c r="AH7" i="10"/>
  <c r="AK7" i="10"/>
  <c r="V7" i="10"/>
  <c r="S7" i="10"/>
  <c r="P7" i="10"/>
  <c r="S6" i="10"/>
  <c r="V5" i="10"/>
  <c r="D6" i="10"/>
  <c r="D7" i="10"/>
  <c r="M6" i="10"/>
  <c r="M7" i="10"/>
  <c r="G6" i="10"/>
  <c r="J6" i="10"/>
  <c r="G7" i="10"/>
  <c r="J7" i="10"/>
  <c r="G8" i="10"/>
  <c r="J8" i="10"/>
  <c r="J5" i="10"/>
  <c r="G5" i="10"/>
  <c r="AN34" i="10"/>
  <c r="BN34" i="10"/>
  <c r="BN35" i="10"/>
  <c r="BO35" i="10" s="1"/>
  <c r="BC7" i="10"/>
  <c r="BC9" i="10"/>
  <c r="BC10" i="10"/>
  <c r="BC13" i="10"/>
  <c r="BC14" i="10"/>
  <c r="BC15" i="10"/>
  <c r="BC18" i="10"/>
  <c r="BC22" i="10"/>
  <c r="BC26" i="10"/>
  <c r="BC31" i="10"/>
  <c r="BC5" i="10"/>
  <c r="AW7" i="10"/>
  <c r="AW10" i="10"/>
  <c r="AW14" i="10"/>
  <c r="AW17" i="10"/>
  <c r="AW21" i="10"/>
  <c r="AW25" i="10"/>
  <c r="AW27" i="10"/>
  <c r="AW29" i="10"/>
  <c r="AQ25" i="10"/>
  <c r="AT25" i="10"/>
  <c r="AT8" i="10"/>
  <c r="AN7" i="10"/>
  <c r="AN8" i="10"/>
  <c r="AN9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5" i="10"/>
  <c r="AK11" i="10"/>
  <c r="AK22" i="10"/>
  <c r="AK23" i="10"/>
  <c r="AK31" i="10"/>
  <c r="AH5" i="10"/>
  <c r="AE11" i="10"/>
  <c r="AE18" i="10"/>
  <c r="AE19" i="10"/>
  <c r="AE23" i="10"/>
  <c r="AE25" i="10"/>
  <c r="AE31" i="10"/>
  <c r="AE32" i="10"/>
  <c r="AE5" i="10"/>
  <c r="Y17" i="10"/>
  <c r="Y18" i="10"/>
  <c r="Y23" i="10"/>
  <c r="Y24" i="10"/>
  <c r="Y26" i="10"/>
  <c r="Y31" i="10"/>
  <c r="Y32" i="10"/>
  <c r="Y5" i="10"/>
  <c r="V15" i="10"/>
  <c r="V22" i="10"/>
  <c r="V23" i="10"/>
  <c r="V6" i="10"/>
  <c r="S12" i="10"/>
  <c r="S18" i="10"/>
  <c r="S24" i="10"/>
  <c r="S25" i="10"/>
  <c r="S29" i="10"/>
  <c r="S32" i="10"/>
  <c r="P10" i="10"/>
  <c r="P11" i="10"/>
  <c r="P12" i="10"/>
  <c r="P15" i="10"/>
  <c r="P16" i="10"/>
  <c r="P17" i="10"/>
  <c r="P18" i="10"/>
  <c r="P19" i="10"/>
  <c r="P22" i="10"/>
  <c r="P23" i="10"/>
  <c r="P29" i="10"/>
  <c r="P30" i="10"/>
  <c r="P31" i="10"/>
  <c r="P32" i="10"/>
  <c r="M5" i="10"/>
  <c r="J9" i="10"/>
  <c r="J12" i="10"/>
  <c r="J17" i="10"/>
  <c r="J19" i="10"/>
  <c r="J25" i="10"/>
  <c r="J30" i="10"/>
  <c r="G9" i="10"/>
  <c r="G10" i="10"/>
  <c r="G11" i="10"/>
  <c r="G15" i="10"/>
  <c r="G18" i="10"/>
  <c r="G19" i="10"/>
  <c r="G24" i="10"/>
  <c r="G25" i="10"/>
  <c r="G29" i="10"/>
  <c r="G32" i="10"/>
  <c r="D21" i="10"/>
  <c r="D22" i="10"/>
  <c r="D23" i="10"/>
  <c r="D24" i="10"/>
  <c r="D29" i="10"/>
  <c r="D30" i="10"/>
  <c r="BK36" i="10"/>
  <c r="BJ36" i="10"/>
  <c r="H13" i="11" s="1"/>
  <c r="BH36" i="10"/>
  <c r="BI36" i="10" s="1"/>
  <c r="H12" i="11" s="1"/>
  <c r="BG36" i="10"/>
  <c r="H10" i="11" s="1"/>
  <c r="BE36" i="10"/>
  <c r="BF36" i="10" s="1"/>
  <c r="BD36" i="10"/>
  <c r="H7" i="11" s="1"/>
  <c r="BB36" i="10"/>
  <c r="H5" i="11" s="1"/>
  <c r="BA36" i="10"/>
  <c r="H4" i="11" s="1"/>
  <c r="AY36" i="10"/>
  <c r="AZ36" i="10" s="1"/>
  <c r="E18" i="11" s="1"/>
  <c r="AX36" i="10"/>
  <c r="E16" i="11" s="1"/>
  <c r="AV36" i="10"/>
  <c r="AU36" i="10"/>
  <c r="E13" i="11" s="1"/>
  <c r="AS36" i="10"/>
  <c r="E11" i="11" s="1"/>
  <c r="AR36" i="10"/>
  <c r="AP36" i="10"/>
  <c r="E8" i="11" s="1"/>
  <c r="AO36" i="10"/>
  <c r="E7" i="11" s="1"/>
  <c r="E5" i="11"/>
  <c r="E4" i="11"/>
  <c r="AJ36" i="10"/>
  <c r="B38" i="11" s="1"/>
  <c r="AI36" i="10"/>
  <c r="B37" i="11" s="1"/>
  <c r="AG36" i="10"/>
  <c r="B35" i="11" s="1"/>
  <c r="AF36" i="10"/>
  <c r="B34" i="11" s="1"/>
  <c r="AD36" i="10"/>
  <c r="B32" i="11" s="1"/>
  <c r="AC36" i="10"/>
  <c r="B31" i="11" s="1"/>
  <c r="AA36" i="10"/>
  <c r="B29" i="11" s="1"/>
  <c r="Z36" i="10"/>
  <c r="B28" i="11" s="1"/>
  <c r="X36" i="10"/>
  <c r="B26" i="11" s="1"/>
  <c r="W36" i="10"/>
  <c r="B25" i="11" s="1"/>
  <c r="U36" i="10"/>
  <c r="B23" i="11" s="1"/>
  <c r="T36" i="10"/>
  <c r="R36" i="10"/>
  <c r="B17" i="11" s="1"/>
  <c r="Q36" i="10"/>
  <c r="B16" i="11" s="1"/>
  <c r="O36" i="10"/>
  <c r="B14" i="11" s="1"/>
  <c r="N36" i="10"/>
  <c r="L36" i="10"/>
  <c r="B20" i="11" s="1"/>
  <c r="K36" i="10"/>
  <c r="B19" i="11" s="1"/>
  <c r="I36" i="10"/>
  <c r="B11" i="11" s="1"/>
  <c r="H36" i="10"/>
  <c r="B10" i="11" s="1"/>
  <c r="F36" i="10"/>
  <c r="B8" i="11" s="1"/>
  <c r="E36" i="10"/>
  <c r="B7" i="11" s="1"/>
  <c r="C36" i="10"/>
  <c r="B5" i="11" s="1"/>
  <c r="B36" i="10"/>
  <c r="B4" i="11" s="1"/>
  <c r="BN33" i="10"/>
  <c r="BN32" i="10"/>
  <c r="D32" i="10"/>
  <c r="BN31" i="10"/>
  <c r="D31" i="10"/>
  <c r="BN30" i="10"/>
  <c r="BN29" i="10"/>
  <c r="BN28" i="10"/>
  <c r="BN27" i="10"/>
  <c r="BN26" i="10"/>
  <c r="BN25" i="10"/>
  <c r="BN24" i="10"/>
  <c r="BN23" i="10"/>
  <c r="BN22" i="10"/>
  <c r="BN21" i="10"/>
  <c r="BN20" i="10"/>
  <c r="D20" i="10"/>
  <c r="BN19" i="10"/>
  <c r="D19" i="10"/>
  <c r="BN18" i="10"/>
  <c r="D18" i="10"/>
  <c r="BN17" i="10"/>
  <c r="D17" i="10"/>
  <c r="BN16" i="10"/>
  <c r="D16" i="10"/>
  <c r="BN15" i="10"/>
  <c r="D15" i="10"/>
  <c r="BN14" i="10"/>
  <c r="BN13" i="10"/>
  <c r="BN12" i="10"/>
  <c r="D12" i="10"/>
  <c r="BN11" i="10"/>
  <c r="Y11" i="10"/>
  <c r="D11" i="10"/>
  <c r="BN10" i="10"/>
  <c r="D10" i="10"/>
  <c r="BN9" i="10"/>
  <c r="D9" i="10"/>
  <c r="BN8" i="10"/>
  <c r="D8" i="10"/>
  <c r="BN7" i="10"/>
  <c r="BN6" i="10"/>
  <c r="AN6" i="10"/>
  <c r="P6" i="10"/>
  <c r="BN5" i="10"/>
  <c r="AW5" i="10"/>
  <c r="S5" i="10"/>
  <c r="P5" i="10"/>
  <c r="D5" i="10"/>
  <c r="E18" i="9"/>
  <c r="E17" i="9"/>
  <c r="E16" i="9"/>
  <c r="B35" i="9"/>
  <c r="B34" i="9"/>
  <c r="B29" i="9"/>
  <c r="B28" i="9"/>
  <c r="BC33" i="8"/>
  <c r="BF33" i="8"/>
  <c r="BI33" i="8"/>
  <c r="BL33" i="8"/>
  <c r="AQ33" i="8"/>
  <c r="AT33" i="8"/>
  <c r="AW33" i="8"/>
  <c r="AZ33" i="8"/>
  <c r="AH33" i="8"/>
  <c r="AB33" i="8"/>
  <c r="M33" i="8"/>
  <c r="G33" i="8"/>
  <c r="V33" i="8"/>
  <c r="BC32" i="8"/>
  <c r="BF32" i="8"/>
  <c r="BI32" i="8"/>
  <c r="BL32" i="8"/>
  <c r="AQ32" i="8"/>
  <c r="AT32" i="8"/>
  <c r="AW32" i="8"/>
  <c r="AZ32" i="8"/>
  <c r="AB32" i="8"/>
  <c r="AE32" i="8"/>
  <c r="AH32" i="8"/>
  <c r="AK32" i="8"/>
  <c r="S32" i="8"/>
  <c r="J32" i="8"/>
  <c r="M32" i="8"/>
  <c r="G32" i="8"/>
  <c r="BL28" i="8"/>
  <c r="BL29" i="8"/>
  <c r="BL30" i="8"/>
  <c r="BL31" i="8"/>
  <c r="BI31" i="8"/>
  <c r="BI28" i="8"/>
  <c r="BI29" i="8"/>
  <c r="BC28" i="8"/>
  <c r="BC29" i="8"/>
  <c r="BC30" i="8"/>
  <c r="BC31" i="8"/>
  <c r="BF28" i="8"/>
  <c r="BF29" i="8"/>
  <c r="BF30" i="8"/>
  <c r="BF31" i="8"/>
  <c r="BF27" i="8"/>
  <c r="BI27" i="8"/>
  <c r="BL27" i="8"/>
  <c r="AW30" i="8"/>
  <c r="AW31" i="8"/>
  <c r="AZ31" i="8"/>
  <c r="AQ31" i="8"/>
  <c r="AT31" i="8"/>
  <c r="AQ30" i="8"/>
  <c r="AT30" i="8"/>
  <c r="AN28" i="8"/>
  <c r="AN29" i="8"/>
  <c r="AT28" i="8"/>
  <c r="AW28" i="8"/>
  <c r="AZ28" i="8"/>
  <c r="AT29" i="8"/>
  <c r="AW29" i="8"/>
  <c r="AZ29" i="8"/>
  <c r="AQ28" i="8"/>
  <c r="AQ29" i="8"/>
  <c r="AW27" i="8"/>
  <c r="AZ27" i="8"/>
  <c r="AQ27" i="8"/>
  <c r="AT27" i="8"/>
  <c r="AK30" i="8"/>
  <c r="AH31" i="8"/>
  <c r="AK31" i="8"/>
  <c r="Y31" i="8"/>
  <c r="AB30" i="8"/>
  <c r="AE30" i="8"/>
  <c r="AB31" i="8"/>
  <c r="AE31" i="8"/>
  <c r="Y28" i="8"/>
  <c r="AB28" i="8"/>
  <c r="AE28" i="8"/>
  <c r="AH28" i="8"/>
  <c r="AK28" i="8"/>
  <c r="Y29" i="8"/>
  <c r="AB29" i="8"/>
  <c r="AE29" i="8"/>
  <c r="AH29" i="8"/>
  <c r="AK29" i="8"/>
  <c r="Y27" i="8"/>
  <c r="AB27" i="8"/>
  <c r="AE27" i="8"/>
  <c r="AH27" i="8"/>
  <c r="AK27" i="8"/>
  <c r="S20" i="8"/>
  <c r="V27" i="8"/>
  <c r="S31" i="8"/>
  <c r="V31" i="8"/>
  <c r="V30" i="8"/>
  <c r="S29" i="8"/>
  <c r="S30" i="8"/>
  <c r="V29" i="8"/>
  <c r="P31" i="8"/>
  <c r="S28" i="8"/>
  <c r="V28" i="8"/>
  <c r="S27" i="8"/>
  <c r="J31" i="8"/>
  <c r="M31" i="8"/>
  <c r="M29" i="8"/>
  <c r="J30" i="8"/>
  <c r="M30" i="8"/>
  <c r="D30" i="8"/>
  <c r="G30" i="8"/>
  <c r="G29" i="8"/>
  <c r="D29" i="8"/>
  <c r="J28" i="8"/>
  <c r="M28" i="8"/>
  <c r="G27" i="8"/>
  <c r="J27" i="8"/>
  <c r="M27" i="8"/>
  <c r="BF26" i="8"/>
  <c r="BI26" i="8"/>
  <c r="BL26" i="8"/>
  <c r="AZ26" i="8"/>
  <c r="AQ26" i="8"/>
  <c r="AT26" i="8"/>
  <c r="AB26" i="8"/>
  <c r="AE26" i="8"/>
  <c r="AH26" i="8"/>
  <c r="AK26" i="8"/>
  <c r="V26" i="8"/>
  <c r="P26" i="8"/>
  <c r="S26" i="8"/>
  <c r="G26" i="8"/>
  <c r="J26" i="8"/>
  <c r="M26" i="8"/>
  <c r="BF25" i="8"/>
  <c r="BI25" i="8"/>
  <c r="BL25" i="8"/>
  <c r="AZ25" i="8"/>
  <c r="AQ25" i="8"/>
  <c r="AT25" i="8"/>
  <c r="AB25" i="8"/>
  <c r="AE25" i="8"/>
  <c r="AH25" i="8"/>
  <c r="AK25" i="8"/>
  <c r="S25" i="8"/>
  <c r="P25" i="8"/>
  <c r="J25" i="8"/>
  <c r="M25" i="8"/>
  <c r="AQ24" i="8"/>
  <c r="AT24" i="8"/>
  <c r="AW24" i="8"/>
  <c r="AZ24" i="8"/>
  <c r="BL24" i="8"/>
  <c r="BF24" i="8"/>
  <c r="BI24" i="8"/>
  <c r="AK24" i="8"/>
  <c r="AB24" i="8"/>
  <c r="AE24" i="8"/>
  <c r="AH24" i="8"/>
  <c r="S24" i="8"/>
  <c r="V24" i="8"/>
  <c r="M24" i="8"/>
  <c r="BK107" i="4"/>
  <c r="BJ107" i="4"/>
  <c r="BH107" i="4"/>
  <c r="BI107" i="4" s="1"/>
  <c r="BG107" i="4"/>
  <c r="BE107" i="4"/>
  <c r="BF107" i="4" s="1"/>
  <c r="BD107" i="4"/>
  <c r="BB107" i="4"/>
  <c r="BA107" i="4"/>
  <c r="AY107" i="4"/>
  <c r="AZ107" i="4" s="1"/>
  <c r="AX107" i="4"/>
  <c r="AV107" i="4"/>
  <c r="AU107" i="4"/>
  <c r="AS107" i="4"/>
  <c r="AR107" i="4"/>
  <c r="AP107" i="4"/>
  <c r="AO107" i="4"/>
  <c r="AM107" i="4"/>
  <c r="AL107" i="4"/>
  <c r="AJ107" i="4"/>
  <c r="AI107" i="4"/>
  <c r="AG107" i="4"/>
  <c r="AF107" i="4"/>
  <c r="AD107" i="4"/>
  <c r="AC107" i="4"/>
  <c r="AA107" i="4"/>
  <c r="Z107" i="4"/>
  <c r="X107" i="4"/>
  <c r="W107" i="4"/>
  <c r="U107" i="4"/>
  <c r="T107" i="4"/>
  <c r="R107" i="4"/>
  <c r="Q107" i="4"/>
  <c r="O107" i="4"/>
  <c r="N107" i="4"/>
  <c r="L107" i="4"/>
  <c r="K107" i="4"/>
  <c r="I107" i="4"/>
  <c r="H107" i="4"/>
  <c r="F107" i="4"/>
  <c r="E107" i="4"/>
  <c r="C107" i="4"/>
  <c r="B107" i="4"/>
  <c r="BN106" i="4"/>
  <c r="BO106" i="4" s="1"/>
  <c r="BM106" i="4"/>
  <c r="BL106" i="4"/>
  <c r="BI106" i="4"/>
  <c r="BF106" i="4"/>
  <c r="BC106" i="4"/>
  <c r="AZ106" i="4"/>
  <c r="AW106" i="4"/>
  <c r="AT106" i="4"/>
  <c r="AQ106" i="4"/>
  <c r="AN106" i="4"/>
  <c r="AK106" i="4"/>
  <c r="AH106" i="4"/>
  <c r="AE106" i="4"/>
  <c r="AB106" i="4"/>
  <c r="Y106" i="4"/>
  <c r="V106" i="4"/>
  <c r="S106" i="4"/>
  <c r="P106" i="4"/>
  <c r="M106" i="4"/>
  <c r="J106" i="4"/>
  <c r="G106" i="4"/>
  <c r="D106" i="4"/>
  <c r="BN105" i="4"/>
  <c r="BO105" i="4" s="1"/>
  <c r="BM105" i="4"/>
  <c r="BL105" i="4"/>
  <c r="BI105" i="4"/>
  <c r="BF105" i="4"/>
  <c r="BC105" i="4"/>
  <c r="AZ105" i="4"/>
  <c r="AW105" i="4"/>
  <c r="AT105" i="4"/>
  <c r="AQ105" i="4"/>
  <c r="AN105" i="4"/>
  <c r="AK105" i="4"/>
  <c r="AH105" i="4"/>
  <c r="AE105" i="4"/>
  <c r="AB105" i="4"/>
  <c r="Y105" i="4"/>
  <c r="V105" i="4"/>
  <c r="S105" i="4"/>
  <c r="P105" i="4"/>
  <c r="M105" i="4"/>
  <c r="J105" i="4"/>
  <c r="G105" i="4"/>
  <c r="D105" i="4"/>
  <c r="BN104" i="4"/>
  <c r="BO104" i="4" s="1"/>
  <c r="BM104" i="4"/>
  <c r="BL104" i="4"/>
  <c r="BI104" i="4"/>
  <c r="BF104" i="4"/>
  <c r="BC104" i="4"/>
  <c r="AZ104" i="4"/>
  <c r="AW104" i="4"/>
  <c r="AT104" i="4"/>
  <c r="AQ104" i="4"/>
  <c r="AN104" i="4"/>
  <c r="AK104" i="4"/>
  <c r="AH104" i="4"/>
  <c r="AE104" i="4"/>
  <c r="AB104" i="4"/>
  <c r="Y104" i="4"/>
  <c r="V104" i="4"/>
  <c r="S104" i="4"/>
  <c r="P104" i="4"/>
  <c r="M104" i="4"/>
  <c r="J104" i="4"/>
  <c r="G104" i="4"/>
  <c r="D104" i="4"/>
  <c r="BN103" i="4"/>
  <c r="BO103" i="4" s="1"/>
  <c r="BM103" i="4"/>
  <c r="BL103" i="4"/>
  <c r="BI103" i="4"/>
  <c r="BF103" i="4"/>
  <c r="BC103" i="4"/>
  <c r="AZ103" i="4"/>
  <c r="AW103" i="4"/>
  <c r="AT103" i="4"/>
  <c r="AQ103" i="4"/>
  <c r="AN103" i="4"/>
  <c r="AK103" i="4"/>
  <c r="AH103" i="4"/>
  <c r="AE103" i="4"/>
  <c r="AB103" i="4"/>
  <c r="Y103" i="4"/>
  <c r="V103" i="4"/>
  <c r="S103" i="4"/>
  <c r="P103" i="4"/>
  <c r="M103" i="4"/>
  <c r="J103" i="4"/>
  <c r="G103" i="4"/>
  <c r="D103" i="4"/>
  <c r="BN102" i="4"/>
  <c r="BO102" i="4" s="1"/>
  <c r="BM102" i="4"/>
  <c r="BL102" i="4"/>
  <c r="BI102" i="4"/>
  <c r="BF102" i="4"/>
  <c r="BC102" i="4"/>
  <c r="AZ102" i="4"/>
  <c r="AW102" i="4"/>
  <c r="AT102" i="4"/>
  <c r="AQ102" i="4"/>
  <c r="AN102" i="4"/>
  <c r="AK102" i="4"/>
  <c r="AH102" i="4"/>
  <c r="AE102" i="4"/>
  <c r="AB102" i="4"/>
  <c r="Y102" i="4"/>
  <c r="V102" i="4"/>
  <c r="S102" i="4"/>
  <c r="P102" i="4"/>
  <c r="M102" i="4"/>
  <c r="J102" i="4"/>
  <c r="G102" i="4"/>
  <c r="D102" i="4"/>
  <c r="BN101" i="4"/>
  <c r="BO101" i="4" s="1"/>
  <c r="BM101" i="4"/>
  <c r="BL101" i="4"/>
  <c r="BI101" i="4"/>
  <c r="BF101" i="4"/>
  <c r="BC101" i="4"/>
  <c r="AZ101" i="4"/>
  <c r="AW101" i="4"/>
  <c r="AT101" i="4"/>
  <c r="AQ101" i="4"/>
  <c r="AN101" i="4"/>
  <c r="AK101" i="4"/>
  <c r="AH101" i="4"/>
  <c r="AE101" i="4"/>
  <c r="AB101" i="4"/>
  <c r="Y101" i="4"/>
  <c r="V101" i="4"/>
  <c r="S101" i="4"/>
  <c r="P101" i="4"/>
  <c r="M101" i="4"/>
  <c r="J101" i="4"/>
  <c r="G101" i="4"/>
  <c r="D101" i="4"/>
  <c r="BN100" i="4"/>
  <c r="BO100" i="4" s="1"/>
  <c r="BM100" i="4"/>
  <c r="BL100" i="4"/>
  <c r="BI100" i="4"/>
  <c r="BF100" i="4"/>
  <c r="BC100" i="4"/>
  <c r="AZ100" i="4"/>
  <c r="AW100" i="4"/>
  <c r="AT100" i="4"/>
  <c r="AQ100" i="4"/>
  <c r="AN100" i="4"/>
  <c r="AK100" i="4"/>
  <c r="AH100" i="4"/>
  <c r="AE100" i="4"/>
  <c r="AB100" i="4"/>
  <c r="Y100" i="4"/>
  <c r="V100" i="4"/>
  <c r="S100" i="4"/>
  <c r="P100" i="4"/>
  <c r="M100" i="4"/>
  <c r="J100" i="4"/>
  <c r="G100" i="4"/>
  <c r="D100" i="4"/>
  <c r="BN99" i="4"/>
  <c r="BO99" i="4" s="1"/>
  <c r="BM99" i="4"/>
  <c r="BL99" i="4"/>
  <c r="BI99" i="4"/>
  <c r="BF99" i="4"/>
  <c r="BC99" i="4"/>
  <c r="AZ99" i="4"/>
  <c r="AW99" i="4"/>
  <c r="AT99" i="4"/>
  <c r="AQ99" i="4"/>
  <c r="AN99" i="4"/>
  <c r="AK99" i="4"/>
  <c r="AH99" i="4"/>
  <c r="AE99" i="4"/>
  <c r="AB99" i="4"/>
  <c r="Y99" i="4"/>
  <c r="V99" i="4"/>
  <c r="S99" i="4"/>
  <c r="P99" i="4"/>
  <c r="M99" i="4"/>
  <c r="J99" i="4"/>
  <c r="G99" i="4"/>
  <c r="D99" i="4"/>
  <c r="BN98" i="4"/>
  <c r="BO98" i="4" s="1"/>
  <c r="BM98" i="4"/>
  <c r="BL98" i="4"/>
  <c r="BI98" i="4"/>
  <c r="BF98" i="4"/>
  <c r="BC98" i="4"/>
  <c r="AZ98" i="4"/>
  <c r="AW98" i="4"/>
  <c r="AT98" i="4"/>
  <c r="AQ98" i="4"/>
  <c r="AN98" i="4"/>
  <c r="AK98" i="4"/>
  <c r="AH98" i="4"/>
  <c r="AE98" i="4"/>
  <c r="AB98" i="4"/>
  <c r="Y98" i="4"/>
  <c r="V98" i="4"/>
  <c r="S98" i="4"/>
  <c r="P98" i="4"/>
  <c r="M98" i="4"/>
  <c r="J98" i="4"/>
  <c r="G98" i="4"/>
  <c r="D98" i="4"/>
  <c r="BN97" i="4"/>
  <c r="BO97" i="4" s="1"/>
  <c r="BM97" i="4"/>
  <c r="BL97" i="4"/>
  <c r="BI97" i="4"/>
  <c r="BF97" i="4"/>
  <c r="BC97" i="4"/>
  <c r="AZ97" i="4"/>
  <c r="AW97" i="4"/>
  <c r="AT97" i="4"/>
  <c r="AQ97" i="4"/>
  <c r="AN97" i="4"/>
  <c r="AK97" i="4"/>
  <c r="AH97" i="4"/>
  <c r="AE97" i="4"/>
  <c r="AB97" i="4"/>
  <c r="Y97" i="4"/>
  <c r="V97" i="4"/>
  <c r="S97" i="4"/>
  <c r="P97" i="4"/>
  <c r="M97" i="4"/>
  <c r="J97" i="4"/>
  <c r="G97" i="4"/>
  <c r="D97" i="4"/>
  <c r="BN96" i="4"/>
  <c r="BM96" i="4"/>
  <c r="BL96" i="4"/>
  <c r="BI96" i="4"/>
  <c r="BF96" i="4"/>
  <c r="BC96" i="4"/>
  <c r="AZ96" i="4"/>
  <c r="AW96" i="4"/>
  <c r="AT96" i="4"/>
  <c r="AQ96" i="4"/>
  <c r="AN96" i="4"/>
  <c r="AK96" i="4"/>
  <c r="AH96" i="4"/>
  <c r="AE96" i="4"/>
  <c r="AB96" i="4"/>
  <c r="Y96" i="4"/>
  <c r="V96" i="4"/>
  <c r="S96" i="4"/>
  <c r="P96" i="4"/>
  <c r="M96" i="4"/>
  <c r="J96" i="4"/>
  <c r="G96" i="4"/>
  <c r="D96" i="4"/>
  <c r="BN95" i="4"/>
  <c r="BM95" i="4"/>
  <c r="BL95" i="4"/>
  <c r="BI95" i="4"/>
  <c r="BF95" i="4"/>
  <c r="BC95" i="4"/>
  <c r="AZ95" i="4"/>
  <c r="AW95" i="4"/>
  <c r="AT95" i="4"/>
  <c r="AQ95" i="4"/>
  <c r="AN95" i="4"/>
  <c r="AK95" i="4"/>
  <c r="AH95" i="4"/>
  <c r="AE95" i="4"/>
  <c r="AB95" i="4"/>
  <c r="Y95" i="4"/>
  <c r="V95" i="4"/>
  <c r="S95" i="4"/>
  <c r="P95" i="4"/>
  <c r="M95" i="4"/>
  <c r="J95" i="4"/>
  <c r="G95" i="4"/>
  <c r="D95" i="4"/>
  <c r="BN94" i="4"/>
  <c r="BM94" i="4"/>
  <c r="BL94" i="4"/>
  <c r="BI94" i="4"/>
  <c r="BF94" i="4"/>
  <c r="BC94" i="4"/>
  <c r="AZ94" i="4"/>
  <c r="AW94" i="4"/>
  <c r="AT94" i="4"/>
  <c r="AQ94" i="4"/>
  <c r="AN94" i="4"/>
  <c r="AK94" i="4"/>
  <c r="AH94" i="4"/>
  <c r="AE94" i="4"/>
  <c r="AB94" i="4"/>
  <c r="Y94" i="4"/>
  <c r="V94" i="4"/>
  <c r="S94" i="4"/>
  <c r="P94" i="4"/>
  <c r="M94" i="4"/>
  <c r="J94" i="4"/>
  <c r="G94" i="4"/>
  <c r="D94" i="4"/>
  <c r="BN93" i="4"/>
  <c r="BM93" i="4"/>
  <c r="BL93" i="4"/>
  <c r="BI93" i="4"/>
  <c r="BF93" i="4"/>
  <c r="BC93" i="4"/>
  <c r="AZ93" i="4"/>
  <c r="AW93" i="4"/>
  <c r="AT93" i="4"/>
  <c r="AQ93" i="4"/>
  <c r="AN93" i="4"/>
  <c r="AK93" i="4"/>
  <c r="AH93" i="4"/>
  <c r="AE93" i="4"/>
  <c r="AB93" i="4"/>
  <c r="Y93" i="4"/>
  <c r="V93" i="4"/>
  <c r="S93" i="4"/>
  <c r="P93" i="4"/>
  <c r="M93" i="4"/>
  <c r="J93" i="4"/>
  <c r="G93" i="4"/>
  <c r="D93" i="4"/>
  <c r="BN92" i="4"/>
  <c r="BM92" i="4"/>
  <c r="BL92" i="4"/>
  <c r="BI92" i="4"/>
  <c r="BF92" i="4"/>
  <c r="BC92" i="4"/>
  <c r="AZ92" i="4"/>
  <c r="AW92" i="4"/>
  <c r="AT92" i="4"/>
  <c r="AQ92" i="4"/>
  <c r="AN92" i="4"/>
  <c r="AK92" i="4"/>
  <c r="AH92" i="4"/>
  <c r="AE92" i="4"/>
  <c r="AB92" i="4"/>
  <c r="Y92" i="4"/>
  <c r="V92" i="4"/>
  <c r="S92" i="4"/>
  <c r="P92" i="4"/>
  <c r="M92" i="4"/>
  <c r="J92" i="4"/>
  <c r="G92" i="4"/>
  <c r="D92" i="4"/>
  <c r="BN91" i="4"/>
  <c r="BM91" i="4"/>
  <c r="BL91" i="4"/>
  <c r="BI91" i="4"/>
  <c r="BF91" i="4"/>
  <c r="BC91" i="4"/>
  <c r="AZ91" i="4"/>
  <c r="AW91" i="4"/>
  <c r="AT91" i="4"/>
  <c r="AQ91" i="4"/>
  <c r="AN91" i="4"/>
  <c r="AK91" i="4"/>
  <c r="AH91" i="4"/>
  <c r="AE91" i="4"/>
  <c r="AB91" i="4"/>
  <c r="Y91" i="4"/>
  <c r="V91" i="4"/>
  <c r="S91" i="4"/>
  <c r="P91" i="4"/>
  <c r="M91" i="4"/>
  <c r="J91" i="4"/>
  <c r="G91" i="4"/>
  <c r="D91" i="4"/>
  <c r="BN90" i="4"/>
  <c r="BM90" i="4"/>
  <c r="BL90" i="4"/>
  <c r="BI90" i="4"/>
  <c r="BF90" i="4"/>
  <c r="BC90" i="4"/>
  <c r="AZ90" i="4"/>
  <c r="AW90" i="4"/>
  <c r="AT90" i="4"/>
  <c r="AQ90" i="4"/>
  <c r="AN90" i="4"/>
  <c r="AK90" i="4"/>
  <c r="AH90" i="4"/>
  <c r="AE90" i="4"/>
  <c r="AB90" i="4"/>
  <c r="Y90" i="4"/>
  <c r="V90" i="4"/>
  <c r="S90" i="4"/>
  <c r="P90" i="4"/>
  <c r="M90" i="4"/>
  <c r="J90" i="4"/>
  <c r="G90" i="4"/>
  <c r="D90" i="4"/>
  <c r="BN89" i="4"/>
  <c r="BM89" i="4"/>
  <c r="BL89" i="4"/>
  <c r="BI89" i="4"/>
  <c r="BF89" i="4"/>
  <c r="BC89" i="4"/>
  <c r="AZ89" i="4"/>
  <c r="AW89" i="4"/>
  <c r="AT89" i="4"/>
  <c r="AQ89" i="4"/>
  <c r="AN89" i="4"/>
  <c r="AK89" i="4"/>
  <c r="AH89" i="4"/>
  <c r="AE89" i="4"/>
  <c r="AB89" i="4"/>
  <c r="Y89" i="4"/>
  <c r="V89" i="4"/>
  <c r="S89" i="4"/>
  <c r="P89" i="4"/>
  <c r="M89" i="4"/>
  <c r="J89" i="4"/>
  <c r="G89" i="4"/>
  <c r="D89" i="4"/>
  <c r="BN88" i="4"/>
  <c r="BM88" i="4"/>
  <c r="BL88" i="4"/>
  <c r="BI88" i="4"/>
  <c r="BF88" i="4"/>
  <c r="BC88" i="4"/>
  <c r="AZ88" i="4"/>
  <c r="AW88" i="4"/>
  <c r="AT88" i="4"/>
  <c r="AQ88" i="4"/>
  <c r="AN88" i="4"/>
  <c r="AK88" i="4"/>
  <c r="AH88" i="4"/>
  <c r="AE88" i="4"/>
  <c r="AB88" i="4"/>
  <c r="Y88" i="4"/>
  <c r="V88" i="4"/>
  <c r="S88" i="4"/>
  <c r="P88" i="4"/>
  <c r="M88" i="4"/>
  <c r="J88" i="4"/>
  <c r="G88" i="4"/>
  <c r="D88" i="4"/>
  <c r="BN87" i="4"/>
  <c r="BM87" i="4"/>
  <c r="BL87" i="4"/>
  <c r="BI87" i="4"/>
  <c r="BF87" i="4"/>
  <c r="BC87" i="4"/>
  <c r="AZ87" i="4"/>
  <c r="AW87" i="4"/>
  <c r="AT87" i="4"/>
  <c r="AQ87" i="4"/>
  <c r="AN87" i="4"/>
  <c r="AK87" i="4"/>
  <c r="AH87" i="4"/>
  <c r="AE87" i="4"/>
  <c r="AB87" i="4"/>
  <c r="Y87" i="4"/>
  <c r="V87" i="4"/>
  <c r="S87" i="4"/>
  <c r="P87" i="4"/>
  <c r="M87" i="4"/>
  <c r="J87" i="4"/>
  <c r="G87" i="4"/>
  <c r="D87" i="4"/>
  <c r="BN86" i="4"/>
  <c r="BM86" i="4"/>
  <c r="BL86" i="4"/>
  <c r="BI86" i="4"/>
  <c r="BF86" i="4"/>
  <c r="BC86" i="4"/>
  <c r="AZ86" i="4"/>
  <c r="AW86" i="4"/>
  <c r="AT86" i="4"/>
  <c r="AQ86" i="4"/>
  <c r="AN86" i="4"/>
  <c r="AK86" i="4"/>
  <c r="AH86" i="4"/>
  <c r="AE86" i="4"/>
  <c r="AB86" i="4"/>
  <c r="Y86" i="4"/>
  <c r="S86" i="4"/>
  <c r="P86" i="4"/>
  <c r="M86" i="4"/>
  <c r="J86" i="4"/>
  <c r="G86" i="4"/>
  <c r="D86" i="4"/>
  <c r="BN85" i="4"/>
  <c r="BM85" i="4"/>
  <c r="BL85" i="4"/>
  <c r="BI85" i="4"/>
  <c r="BF85" i="4"/>
  <c r="BC85" i="4"/>
  <c r="AZ85" i="4"/>
  <c r="AW85" i="4"/>
  <c r="AT85" i="4"/>
  <c r="AQ85" i="4"/>
  <c r="AN85" i="4"/>
  <c r="AK85" i="4"/>
  <c r="AH85" i="4"/>
  <c r="AE85" i="4"/>
  <c r="AB85" i="4"/>
  <c r="Y85" i="4"/>
  <c r="V85" i="4"/>
  <c r="S85" i="4"/>
  <c r="P85" i="4"/>
  <c r="M85" i="4"/>
  <c r="J85" i="4"/>
  <c r="G85" i="4"/>
  <c r="D85" i="4"/>
  <c r="BN84" i="4"/>
  <c r="BM84" i="4"/>
  <c r="BL84" i="4"/>
  <c r="BI84" i="4"/>
  <c r="BF84" i="4"/>
  <c r="BC84" i="4"/>
  <c r="AZ84" i="4"/>
  <c r="AW84" i="4"/>
  <c r="AT84" i="4"/>
  <c r="AQ84" i="4"/>
  <c r="AN84" i="4"/>
  <c r="AK84" i="4"/>
  <c r="AH84" i="4"/>
  <c r="AE84" i="4"/>
  <c r="AB84" i="4"/>
  <c r="Y84" i="4"/>
  <c r="S84" i="4"/>
  <c r="P84" i="4"/>
  <c r="M84" i="4"/>
  <c r="J84" i="4"/>
  <c r="G84" i="4"/>
  <c r="D84" i="4"/>
  <c r="BN83" i="4"/>
  <c r="BM83" i="4"/>
  <c r="BL83" i="4"/>
  <c r="BI83" i="4"/>
  <c r="BF83" i="4"/>
  <c r="BC83" i="4"/>
  <c r="AZ83" i="4"/>
  <c r="AW83" i="4"/>
  <c r="AT83" i="4"/>
  <c r="AQ83" i="4"/>
  <c r="AN83" i="4"/>
  <c r="AK83" i="4"/>
  <c r="AH83" i="4"/>
  <c r="AE83" i="4"/>
  <c r="AB83" i="4"/>
  <c r="Y83" i="4"/>
  <c r="V83" i="4"/>
  <c r="S83" i="4"/>
  <c r="P83" i="4"/>
  <c r="M83" i="4"/>
  <c r="J83" i="4"/>
  <c r="G83" i="4"/>
  <c r="D83" i="4"/>
  <c r="BN82" i="4"/>
  <c r="BM82" i="4"/>
  <c r="BL82" i="4"/>
  <c r="BI82" i="4"/>
  <c r="BF82" i="4"/>
  <c r="BC82" i="4"/>
  <c r="AZ82" i="4"/>
  <c r="AW82" i="4"/>
  <c r="AT82" i="4"/>
  <c r="AQ82" i="4"/>
  <c r="AN82" i="4"/>
  <c r="AK82" i="4"/>
  <c r="AH82" i="4"/>
  <c r="AE82" i="4"/>
  <c r="AB82" i="4"/>
  <c r="Y82" i="4"/>
  <c r="V82" i="4"/>
  <c r="S82" i="4"/>
  <c r="P82" i="4"/>
  <c r="M82" i="4"/>
  <c r="J82" i="4"/>
  <c r="G82" i="4"/>
  <c r="D82" i="4"/>
  <c r="BN81" i="4"/>
  <c r="BM81" i="4"/>
  <c r="BL81" i="4"/>
  <c r="BI81" i="4"/>
  <c r="BF81" i="4"/>
  <c r="BC81" i="4"/>
  <c r="AZ81" i="4"/>
  <c r="AW81" i="4"/>
  <c r="AT81" i="4"/>
  <c r="AQ81" i="4"/>
  <c r="AN81" i="4"/>
  <c r="AK81" i="4"/>
  <c r="AH81" i="4"/>
  <c r="AE81" i="4"/>
  <c r="AB81" i="4"/>
  <c r="Y81" i="4"/>
  <c r="V81" i="4"/>
  <c r="S81" i="4"/>
  <c r="P81" i="4"/>
  <c r="M81" i="4"/>
  <c r="J81" i="4"/>
  <c r="G81" i="4"/>
  <c r="D81" i="4"/>
  <c r="BN80" i="4"/>
  <c r="BM80" i="4"/>
  <c r="BL80" i="4"/>
  <c r="BI80" i="4"/>
  <c r="BF80" i="4"/>
  <c r="BC80" i="4"/>
  <c r="AZ80" i="4"/>
  <c r="AW80" i="4"/>
  <c r="AT80" i="4"/>
  <c r="AQ80" i="4"/>
  <c r="AN80" i="4"/>
  <c r="AK80" i="4"/>
  <c r="AH80" i="4"/>
  <c r="AE80" i="4"/>
  <c r="AB80" i="4"/>
  <c r="Y80" i="4"/>
  <c r="V80" i="4"/>
  <c r="S80" i="4"/>
  <c r="P80" i="4"/>
  <c r="M80" i="4"/>
  <c r="J80" i="4"/>
  <c r="G80" i="4"/>
  <c r="D80" i="4"/>
  <c r="BN79" i="4"/>
  <c r="BM79" i="4"/>
  <c r="BL79" i="4"/>
  <c r="BI79" i="4"/>
  <c r="BF79" i="4"/>
  <c r="BC79" i="4"/>
  <c r="AZ79" i="4"/>
  <c r="AW79" i="4"/>
  <c r="AT79" i="4"/>
  <c r="AQ79" i="4"/>
  <c r="AN79" i="4"/>
  <c r="AK79" i="4"/>
  <c r="AH79" i="4"/>
  <c r="AE79" i="4"/>
  <c r="AB79" i="4"/>
  <c r="Y79" i="4"/>
  <c r="V79" i="4"/>
  <c r="S79" i="4"/>
  <c r="P79" i="4"/>
  <c r="M79" i="4"/>
  <c r="J79" i="4"/>
  <c r="G79" i="4"/>
  <c r="D79" i="4"/>
  <c r="BN78" i="4"/>
  <c r="BM78" i="4"/>
  <c r="BL78" i="4"/>
  <c r="BI78" i="4"/>
  <c r="BF78" i="4"/>
  <c r="BC78" i="4"/>
  <c r="AZ78" i="4"/>
  <c r="AW78" i="4"/>
  <c r="AT78" i="4"/>
  <c r="AQ78" i="4"/>
  <c r="AN78" i="4"/>
  <c r="AK78" i="4"/>
  <c r="AH78" i="4"/>
  <c r="AE78" i="4"/>
  <c r="AB78" i="4"/>
  <c r="Y78" i="4"/>
  <c r="V78" i="4"/>
  <c r="S78" i="4"/>
  <c r="P78" i="4"/>
  <c r="M78" i="4"/>
  <c r="J78" i="4"/>
  <c r="G78" i="4"/>
  <c r="D78" i="4"/>
  <c r="BK72" i="4"/>
  <c r="BL72" i="4" s="1"/>
  <c r="BJ72" i="4"/>
  <c r="BH72" i="4"/>
  <c r="BG72" i="4"/>
  <c r="BE72" i="4"/>
  <c r="BF72" i="4" s="1"/>
  <c r="BD72" i="4"/>
  <c r="BB72" i="4"/>
  <c r="BA72" i="4"/>
  <c r="AY72" i="4"/>
  <c r="AZ72" i="4" s="1"/>
  <c r="AX72" i="4"/>
  <c r="AV72" i="4"/>
  <c r="AU72" i="4"/>
  <c r="AS72" i="4"/>
  <c r="AR72" i="4"/>
  <c r="AP72" i="4"/>
  <c r="AO72" i="4"/>
  <c r="AM72" i="4"/>
  <c r="AL72" i="4"/>
  <c r="AJ72" i="4"/>
  <c r="AI72" i="4"/>
  <c r="AG72" i="4"/>
  <c r="AF72" i="4"/>
  <c r="AD72" i="4"/>
  <c r="AC72" i="4"/>
  <c r="AA72" i="4"/>
  <c r="Z72" i="4"/>
  <c r="X72" i="4"/>
  <c r="W72" i="4"/>
  <c r="U72" i="4"/>
  <c r="T72" i="4"/>
  <c r="R72" i="4"/>
  <c r="Q72" i="4"/>
  <c r="O72" i="4"/>
  <c r="N72" i="4"/>
  <c r="L72" i="4"/>
  <c r="K72" i="4"/>
  <c r="I72" i="4"/>
  <c r="H72" i="4"/>
  <c r="F72" i="4"/>
  <c r="E72" i="4"/>
  <c r="C72" i="4"/>
  <c r="B72" i="4"/>
  <c r="BN71" i="4"/>
  <c r="BM71" i="4"/>
  <c r="AN71" i="4"/>
  <c r="AE71" i="4"/>
  <c r="V71" i="4"/>
  <c r="S71" i="4"/>
  <c r="P71" i="4"/>
  <c r="J71" i="4"/>
  <c r="G71" i="4"/>
  <c r="D71" i="4"/>
  <c r="BN70" i="4"/>
  <c r="BM70" i="4"/>
  <c r="S70" i="4"/>
  <c r="P70" i="4"/>
  <c r="M70" i="4"/>
  <c r="G70" i="4"/>
  <c r="D70" i="4"/>
  <c r="BN69" i="4"/>
  <c r="BM69" i="4"/>
  <c r="BL69" i="4"/>
  <c r="BI69" i="4"/>
  <c r="BF69" i="4"/>
  <c r="BC69" i="4"/>
  <c r="AZ69" i="4"/>
  <c r="AW69" i="4"/>
  <c r="AT69" i="4"/>
  <c r="AQ69" i="4"/>
  <c r="AN69" i="4"/>
  <c r="P69" i="4"/>
  <c r="BN68" i="4"/>
  <c r="BM68" i="4"/>
  <c r="BL68" i="4"/>
  <c r="BI68" i="4"/>
  <c r="BF68" i="4"/>
  <c r="BC68" i="4"/>
  <c r="AZ68" i="4"/>
  <c r="AW68" i="4"/>
  <c r="AT68" i="4"/>
  <c r="AQ68" i="4"/>
  <c r="AN68" i="4"/>
  <c r="BN67" i="4"/>
  <c r="BM67" i="4"/>
  <c r="BL67" i="4"/>
  <c r="BI67" i="4"/>
  <c r="BF67" i="4"/>
  <c r="BC67" i="4"/>
  <c r="AZ67" i="4"/>
  <c r="AW67" i="4"/>
  <c r="AT67" i="4"/>
  <c r="AQ67" i="4"/>
  <c r="AN67" i="4"/>
  <c r="BN66" i="4"/>
  <c r="BM66" i="4"/>
  <c r="BL66" i="4"/>
  <c r="BI66" i="4"/>
  <c r="BF66" i="4"/>
  <c r="BC66" i="4"/>
  <c r="AZ66" i="4"/>
  <c r="AW66" i="4"/>
  <c r="AT66" i="4"/>
  <c r="AQ66" i="4"/>
  <c r="AN66" i="4"/>
  <c r="P66" i="4"/>
  <c r="D66" i="4"/>
  <c r="BN65" i="4"/>
  <c r="BM65" i="4"/>
  <c r="BL65" i="4"/>
  <c r="BI65" i="4"/>
  <c r="BF65" i="4"/>
  <c r="BC65" i="4"/>
  <c r="AZ65" i="4"/>
  <c r="AW65" i="4"/>
  <c r="AT65" i="4"/>
  <c r="AQ65" i="4"/>
  <c r="AN65" i="4"/>
  <c r="AK65" i="4"/>
  <c r="AH65" i="4"/>
  <c r="AE65" i="4"/>
  <c r="AB65" i="4"/>
  <c r="Y65" i="4"/>
  <c r="P65" i="4"/>
  <c r="J65" i="4"/>
  <c r="D65" i="4"/>
  <c r="BN64" i="4"/>
  <c r="BM64" i="4"/>
  <c r="BL64" i="4"/>
  <c r="BI64" i="4"/>
  <c r="BF64" i="4"/>
  <c r="BC64" i="4"/>
  <c r="AZ64" i="4"/>
  <c r="AW64" i="4"/>
  <c r="AT64" i="4"/>
  <c r="AQ64" i="4"/>
  <c r="AN64" i="4"/>
  <c r="AK64" i="4"/>
  <c r="AH64" i="4"/>
  <c r="AE64" i="4"/>
  <c r="AB64" i="4"/>
  <c r="Y64" i="4"/>
  <c r="P64" i="4"/>
  <c r="J64" i="4"/>
  <c r="G64" i="4"/>
  <c r="D64" i="4"/>
  <c r="BN63" i="4"/>
  <c r="BM63" i="4"/>
  <c r="BL63" i="4"/>
  <c r="BI63" i="4"/>
  <c r="BF63" i="4"/>
  <c r="BC63" i="4"/>
  <c r="AZ63" i="4"/>
  <c r="AW63" i="4"/>
  <c r="AT63" i="4"/>
  <c r="AQ63" i="4"/>
  <c r="AN63" i="4"/>
  <c r="AK63" i="4"/>
  <c r="AH63" i="4"/>
  <c r="AE63" i="4"/>
  <c r="AB63" i="4"/>
  <c r="Y63" i="4"/>
  <c r="P63" i="4"/>
  <c r="J63" i="4"/>
  <c r="G63" i="4"/>
  <c r="D63" i="4"/>
  <c r="BN62" i="4"/>
  <c r="BM62" i="4"/>
  <c r="BL62" i="4"/>
  <c r="BI62" i="4"/>
  <c r="BF62" i="4"/>
  <c r="BC62" i="4"/>
  <c r="AZ62" i="4"/>
  <c r="AW62" i="4"/>
  <c r="AT62" i="4"/>
  <c r="AQ62" i="4"/>
  <c r="AN62" i="4"/>
  <c r="AK62" i="4"/>
  <c r="AH62" i="4"/>
  <c r="AE62" i="4"/>
  <c r="AB62" i="4"/>
  <c r="Y62" i="4"/>
  <c r="S62" i="4"/>
  <c r="P62" i="4"/>
  <c r="D62" i="4"/>
  <c r="BN61" i="4"/>
  <c r="BM61" i="4"/>
  <c r="BL61" i="4"/>
  <c r="BI61" i="4"/>
  <c r="BF61" i="4"/>
  <c r="BC61" i="4"/>
  <c r="AZ61" i="4"/>
  <c r="AW61" i="4"/>
  <c r="AT61" i="4"/>
  <c r="AQ61" i="4"/>
  <c r="AN61" i="4"/>
  <c r="AK61" i="4"/>
  <c r="AH61" i="4"/>
  <c r="AE61" i="4"/>
  <c r="AB61" i="4"/>
  <c r="Y61" i="4"/>
  <c r="V61" i="4"/>
  <c r="BN60" i="4"/>
  <c r="BM60" i="4"/>
  <c r="BL60" i="4"/>
  <c r="BI60" i="4"/>
  <c r="BF60" i="4"/>
  <c r="BC60" i="4"/>
  <c r="AZ60" i="4"/>
  <c r="AW60" i="4"/>
  <c r="AT60" i="4"/>
  <c r="AQ60" i="4"/>
  <c r="AN60" i="4"/>
  <c r="AK60" i="4"/>
  <c r="AH60" i="4"/>
  <c r="AE60" i="4"/>
  <c r="AB60" i="4"/>
  <c r="Y60" i="4"/>
  <c r="V60" i="4"/>
  <c r="P60" i="4"/>
  <c r="J60" i="4"/>
  <c r="G60" i="4"/>
  <c r="D60" i="4"/>
  <c r="BN59" i="4"/>
  <c r="BM59" i="4"/>
  <c r="BL59" i="4"/>
  <c r="BI59" i="4"/>
  <c r="BF59" i="4"/>
  <c r="BC59" i="4"/>
  <c r="AZ59" i="4"/>
  <c r="AW59" i="4"/>
  <c r="AT59" i="4"/>
  <c r="AQ59" i="4"/>
  <c r="AN59" i="4"/>
  <c r="AK59" i="4"/>
  <c r="AH59" i="4"/>
  <c r="AE59" i="4"/>
  <c r="AB59" i="4"/>
  <c r="Y59" i="4"/>
  <c r="V59" i="4"/>
  <c r="S59" i="4"/>
  <c r="P59" i="4"/>
  <c r="G59" i="4"/>
  <c r="D59" i="4"/>
  <c r="BN58" i="4"/>
  <c r="BM58" i="4"/>
  <c r="BL58" i="4"/>
  <c r="BI58" i="4"/>
  <c r="BF58" i="4"/>
  <c r="BC58" i="4"/>
  <c r="AZ58" i="4"/>
  <c r="AW58" i="4"/>
  <c r="AT58" i="4"/>
  <c r="AQ58" i="4"/>
  <c r="AN58" i="4"/>
  <c r="AK58" i="4"/>
  <c r="AH58" i="4"/>
  <c r="AE58" i="4"/>
  <c r="AB58" i="4"/>
  <c r="Y58" i="4"/>
  <c r="V58" i="4"/>
  <c r="S58" i="4"/>
  <c r="P58" i="4"/>
  <c r="J58" i="4"/>
  <c r="G58" i="4"/>
  <c r="D58" i="4"/>
  <c r="BN57" i="4"/>
  <c r="BM57" i="4"/>
  <c r="BL57" i="4"/>
  <c r="BI57" i="4"/>
  <c r="BF57" i="4"/>
  <c r="BC57" i="4"/>
  <c r="AZ57" i="4"/>
  <c r="AW57" i="4"/>
  <c r="AT57" i="4"/>
  <c r="AQ57" i="4"/>
  <c r="AN57" i="4"/>
  <c r="AK57" i="4"/>
  <c r="AH57" i="4"/>
  <c r="AE57" i="4"/>
  <c r="AB57" i="4"/>
  <c r="Y57" i="4"/>
  <c r="V57" i="4"/>
  <c r="P57" i="4"/>
  <c r="D57" i="4"/>
  <c r="BN56" i="4"/>
  <c r="BM56" i="4"/>
  <c r="BL56" i="4"/>
  <c r="BI56" i="4"/>
  <c r="BF56" i="4"/>
  <c r="BC56" i="4"/>
  <c r="AZ56" i="4"/>
  <c r="AW56" i="4"/>
  <c r="AT56" i="4"/>
  <c r="AQ56" i="4"/>
  <c r="AN56" i="4"/>
  <c r="AK56" i="4"/>
  <c r="AH56" i="4"/>
  <c r="AE56" i="4"/>
  <c r="AB56" i="4"/>
  <c r="Y56" i="4"/>
  <c r="V56" i="4"/>
  <c r="P56" i="4"/>
  <c r="J56" i="4"/>
  <c r="G56" i="4"/>
  <c r="D56" i="4"/>
  <c r="BN55" i="4"/>
  <c r="BM55" i="4"/>
  <c r="BL55" i="4"/>
  <c r="BI55" i="4"/>
  <c r="BF55" i="4"/>
  <c r="BC55" i="4"/>
  <c r="AZ55" i="4"/>
  <c r="AW55" i="4"/>
  <c r="AT55" i="4"/>
  <c r="AQ55" i="4"/>
  <c r="AN55" i="4"/>
  <c r="AK55" i="4"/>
  <c r="AH55" i="4"/>
  <c r="AE55" i="4"/>
  <c r="AB55" i="4"/>
  <c r="Y55" i="4"/>
  <c r="V55" i="4"/>
  <c r="S55" i="4"/>
  <c r="P55" i="4"/>
  <c r="D55" i="4"/>
  <c r="BN54" i="4"/>
  <c r="BM54" i="4"/>
  <c r="BL54" i="4"/>
  <c r="BI54" i="4"/>
  <c r="BF54" i="4"/>
  <c r="BC54" i="4"/>
  <c r="AZ54" i="4"/>
  <c r="AW54" i="4"/>
  <c r="AT54" i="4"/>
  <c r="AQ54" i="4"/>
  <c r="AN54" i="4"/>
  <c r="AK54" i="4"/>
  <c r="AH54" i="4"/>
  <c r="AE54" i="4"/>
  <c r="AB54" i="4"/>
  <c r="Y54" i="4"/>
  <c r="V54" i="4"/>
  <c r="S54" i="4"/>
  <c r="P54" i="4"/>
  <c r="J54" i="4"/>
  <c r="D54" i="4"/>
  <c r="BN53" i="4"/>
  <c r="BM53" i="4"/>
  <c r="BL53" i="4"/>
  <c r="BI53" i="4"/>
  <c r="BF53" i="4"/>
  <c r="BC53" i="4"/>
  <c r="AZ53" i="4"/>
  <c r="AW53" i="4"/>
  <c r="AT53" i="4"/>
  <c r="AQ53" i="4"/>
  <c r="AN53" i="4"/>
  <c r="AK53" i="4"/>
  <c r="AH53" i="4"/>
  <c r="AE53" i="4"/>
  <c r="AB53" i="4"/>
  <c r="Y53" i="4"/>
  <c r="V53" i="4"/>
  <c r="S53" i="4"/>
  <c r="P53" i="4"/>
  <c r="G53" i="4"/>
  <c r="D53" i="4"/>
  <c r="BN52" i="4"/>
  <c r="BM52" i="4"/>
  <c r="BL52" i="4"/>
  <c r="BI52" i="4"/>
  <c r="BF52" i="4"/>
  <c r="BC52" i="4"/>
  <c r="AZ52" i="4"/>
  <c r="AW52" i="4"/>
  <c r="AT52" i="4"/>
  <c r="AQ52" i="4"/>
  <c r="AN52" i="4"/>
  <c r="AK52" i="4"/>
  <c r="AH52" i="4"/>
  <c r="AE52" i="4"/>
  <c r="AB52" i="4"/>
  <c r="Y52" i="4"/>
  <c r="V52" i="4"/>
  <c r="S52" i="4"/>
  <c r="P52" i="4"/>
  <c r="D52" i="4"/>
  <c r="BN51" i="4"/>
  <c r="BM51" i="4"/>
  <c r="BL51" i="4"/>
  <c r="BI51" i="4"/>
  <c r="BF51" i="4"/>
  <c r="BC51" i="4"/>
  <c r="AZ51" i="4"/>
  <c r="AW51" i="4"/>
  <c r="AT51" i="4"/>
  <c r="AQ51" i="4"/>
  <c r="AN51" i="4"/>
  <c r="AK51" i="4"/>
  <c r="AH51" i="4"/>
  <c r="AE51" i="4"/>
  <c r="AB51" i="4"/>
  <c r="Y51" i="4"/>
  <c r="V51" i="4"/>
  <c r="S51" i="4"/>
  <c r="P51" i="4"/>
  <c r="D51" i="4"/>
  <c r="BN50" i="4"/>
  <c r="BM50" i="4"/>
  <c r="BL50" i="4"/>
  <c r="BI50" i="4"/>
  <c r="BF50" i="4"/>
  <c r="BC50" i="4"/>
  <c r="AZ50" i="4"/>
  <c r="AW50" i="4"/>
  <c r="AT50" i="4"/>
  <c r="AQ50" i="4"/>
  <c r="AN50" i="4"/>
  <c r="AK50" i="4"/>
  <c r="AH50" i="4"/>
  <c r="AE50" i="4"/>
  <c r="AB50" i="4"/>
  <c r="Y50" i="4"/>
  <c r="V50" i="4"/>
  <c r="S50" i="4"/>
  <c r="P50" i="4"/>
  <c r="M50" i="4"/>
  <c r="J50" i="4"/>
  <c r="D50" i="4"/>
  <c r="BN49" i="4"/>
  <c r="BM49" i="4"/>
  <c r="BL49" i="4"/>
  <c r="BI49" i="4"/>
  <c r="BF49" i="4"/>
  <c r="BC49" i="4"/>
  <c r="AZ49" i="4"/>
  <c r="AW49" i="4"/>
  <c r="AT49" i="4"/>
  <c r="AQ49" i="4"/>
  <c r="AN49" i="4"/>
  <c r="AK49" i="4"/>
  <c r="AH49" i="4"/>
  <c r="AE49" i="4"/>
  <c r="AB49" i="4"/>
  <c r="Y49" i="4"/>
  <c r="V49" i="4"/>
  <c r="S49" i="4"/>
  <c r="P49" i="4"/>
  <c r="G49" i="4"/>
  <c r="D49" i="4"/>
  <c r="BN48" i="4"/>
  <c r="BM48" i="4"/>
  <c r="BL48" i="4"/>
  <c r="BI48" i="4"/>
  <c r="BF48" i="4"/>
  <c r="BC48" i="4"/>
  <c r="AZ48" i="4"/>
  <c r="AW48" i="4"/>
  <c r="AT48" i="4"/>
  <c r="AQ48" i="4"/>
  <c r="AN48" i="4"/>
  <c r="AK48" i="4"/>
  <c r="AH48" i="4"/>
  <c r="AE48" i="4"/>
  <c r="AB48" i="4"/>
  <c r="Y48" i="4"/>
  <c r="V48" i="4"/>
  <c r="S48" i="4"/>
  <c r="P48" i="4"/>
  <c r="D48" i="4"/>
  <c r="BN47" i="4"/>
  <c r="BM47" i="4"/>
  <c r="BL47" i="4"/>
  <c r="BI47" i="4"/>
  <c r="BF47" i="4"/>
  <c r="BC47" i="4"/>
  <c r="AZ47" i="4"/>
  <c r="AW47" i="4"/>
  <c r="AQ47" i="4"/>
  <c r="AN47" i="4"/>
  <c r="AK47" i="4"/>
  <c r="AH47" i="4"/>
  <c r="AE47" i="4"/>
  <c r="AB47" i="4"/>
  <c r="Y47" i="4"/>
  <c r="V47" i="4"/>
  <c r="S47" i="4"/>
  <c r="P47" i="4"/>
  <c r="G47" i="4"/>
  <c r="D47" i="4"/>
  <c r="BN46" i="4"/>
  <c r="BM46" i="4"/>
  <c r="BL46" i="4"/>
  <c r="BI46" i="4"/>
  <c r="BF46" i="4"/>
  <c r="BC46" i="4"/>
  <c r="AZ46" i="4"/>
  <c r="AW46" i="4"/>
  <c r="AT46" i="4"/>
  <c r="AQ46" i="4"/>
  <c r="AN46" i="4"/>
  <c r="AK46" i="4"/>
  <c r="AH46" i="4"/>
  <c r="AE46" i="4"/>
  <c r="AB46" i="4"/>
  <c r="Y46" i="4"/>
  <c r="V46" i="4"/>
  <c r="S46" i="4"/>
  <c r="P46" i="4"/>
  <c r="D46" i="4"/>
  <c r="BN45" i="4"/>
  <c r="BM45" i="4"/>
  <c r="BL45" i="4"/>
  <c r="BI45" i="4"/>
  <c r="BF45" i="4"/>
  <c r="BC45" i="4"/>
  <c r="AZ45" i="4"/>
  <c r="AW45" i="4"/>
  <c r="AT45" i="4"/>
  <c r="AQ45" i="4"/>
  <c r="AN45" i="4"/>
  <c r="AK45" i="4"/>
  <c r="AH45" i="4"/>
  <c r="AE45" i="4"/>
  <c r="AB45" i="4"/>
  <c r="Y45" i="4"/>
  <c r="V45" i="4"/>
  <c r="S45" i="4"/>
  <c r="P45" i="4"/>
  <c r="J45" i="4"/>
  <c r="D45" i="4"/>
  <c r="BN44" i="4"/>
  <c r="BM44" i="4"/>
  <c r="BL44" i="4"/>
  <c r="BI44" i="4"/>
  <c r="BF44" i="4"/>
  <c r="BC44" i="4"/>
  <c r="AZ44" i="4"/>
  <c r="AW44" i="4"/>
  <c r="AT44" i="4"/>
  <c r="AQ44" i="4"/>
  <c r="AN44" i="4"/>
  <c r="AK44" i="4"/>
  <c r="AH44" i="4"/>
  <c r="AE44" i="4"/>
  <c r="AB44" i="4"/>
  <c r="Y44" i="4"/>
  <c r="V44" i="4"/>
  <c r="S44" i="4"/>
  <c r="P44" i="4"/>
  <c r="M44" i="4"/>
  <c r="D44" i="4"/>
  <c r="BN43" i="4"/>
  <c r="BM43" i="4"/>
  <c r="BL43" i="4"/>
  <c r="BI43" i="4"/>
  <c r="BF43" i="4"/>
  <c r="BC43" i="4"/>
  <c r="AZ43" i="4"/>
  <c r="AW43" i="4"/>
  <c r="AT43" i="4"/>
  <c r="AQ43" i="4"/>
  <c r="AN43" i="4"/>
  <c r="AK43" i="4"/>
  <c r="AH43" i="4"/>
  <c r="AE43" i="4"/>
  <c r="AB43" i="4"/>
  <c r="Y43" i="4"/>
  <c r="V43" i="4"/>
  <c r="S43" i="4"/>
  <c r="P43" i="4"/>
  <c r="M43" i="4"/>
  <c r="J43" i="4"/>
  <c r="G43" i="4"/>
  <c r="D43" i="4"/>
  <c r="BN42" i="4"/>
  <c r="BM42" i="4"/>
  <c r="BL42" i="4"/>
  <c r="BI42" i="4"/>
  <c r="BF42" i="4"/>
  <c r="BC42" i="4"/>
  <c r="AZ42" i="4"/>
  <c r="AW42" i="4"/>
  <c r="AT42" i="4"/>
  <c r="AQ42" i="4"/>
  <c r="AN42" i="4"/>
  <c r="AK42" i="4"/>
  <c r="AH42" i="4"/>
  <c r="AE42" i="4"/>
  <c r="AB42" i="4"/>
  <c r="Y42" i="4"/>
  <c r="V42" i="4"/>
  <c r="S42" i="4"/>
  <c r="P42" i="4"/>
  <c r="M42" i="4"/>
  <c r="J42" i="4"/>
  <c r="G42" i="4"/>
  <c r="D42" i="4"/>
  <c r="BN41" i="4"/>
  <c r="BO41" i="4" s="1"/>
  <c r="BM41" i="4"/>
  <c r="BL41" i="4"/>
  <c r="BI41" i="4"/>
  <c r="BF41" i="4"/>
  <c r="BC41" i="4"/>
  <c r="AZ41" i="4"/>
  <c r="AW41" i="4"/>
  <c r="AT41" i="4"/>
  <c r="AQ41" i="4"/>
  <c r="AN41" i="4"/>
  <c r="AK41" i="4"/>
  <c r="AH41" i="4"/>
  <c r="AE41" i="4"/>
  <c r="AB41" i="4"/>
  <c r="Y41" i="4"/>
  <c r="V41" i="4"/>
  <c r="S41" i="4"/>
  <c r="P41" i="4"/>
  <c r="M41" i="4"/>
  <c r="J41" i="4"/>
  <c r="G41" i="4"/>
  <c r="D41" i="4"/>
  <c r="BO34" i="10" l="1"/>
  <c r="BO70" i="4"/>
  <c r="D72" i="4"/>
  <c r="J72" i="4"/>
  <c r="P72" i="4"/>
  <c r="V72" i="4"/>
  <c r="AB72" i="4"/>
  <c r="AQ107" i="4"/>
  <c r="BO57" i="4"/>
  <c r="BO56" i="4"/>
  <c r="AW107" i="4"/>
  <c r="BO51" i="4"/>
  <c r="BO92" i="4"/>
  <c r="BO60" i="4"/>
  <c r="BO66" i="4"/>
  <c r="BO82" i="4"/>
  <c r="BO45" i="4"/>
  <c r="BO46" i="4"/>
  <c r="BO52" i="4"/>
  <c r="BO62" i="4"/>
  <c r="BO64" i="4"/>
  <c r="BO85" i="4"/>
  <c r="BO88" i="4"/>
  <c r="BO96" i="4"/>
  <c r="AN107" i="4"/>
  <c r="S72" i="4"/>
  <c r="Y72" i="4"/>
  <c r="AN72" i="4"/>
  <c r="BO43" i="4"/>
  <c r="BO80" i="4"/>
  <c r="J107" i="4"/>
  <c r="P107" i="4"/>
  <c r="V107" i="4"/>
  <c r="AB107" i="4"/>
  <c r="AH107" i="4"/>
  <c r="D107" i="4"/>
  <c r="BO42" i="4"/>
  <c r="BO44" i="4"/>
  <c r="BO48" i="4"/>
  <c r="AE72" i="4"/>
  <c r="AK72" i="4"/>
  <c r="AQ72" i="4"/>
  <c r="AW72" i="4"/>
  <c r="BO81" i="4"/>
  <c r="G107" i="4"/>
  <c r="M107" i="4"/>
  <c r="AE107" i="4"/>
  <c r="AK107" i="4"/>
  <c r="BO49" i="4"/>
  <c r="BO55" i="4"/>
  <c r="BO69" i="4"/>
  <c r="AT72" i="4"/>
  <c r="BO78" i="4"/>
  <c r="BO79" i="4"/>
  <c r="BO83" i="4"/>
  <c r="BM72" i="4"/>
  <c r="BI72" i="4"/>
  <c r="BO84" i="4"/>
  <c r="BO95" i="4"/>
  <c r="BO54" i="4"/>
  <c r="BO58" i="4"/>
  <c r="BO68" i="4"/>
  <c r="BO86" i="4"/>
  <c r="BO90" i="4"/>
  <c r="BO94" i="4"/>
  <c r="BN107" i="4"/>
  <c r="BO53" i="4"/>
  <c r="BO61" i="4"/>
  <c r="BO87" i="4"/>
  <c r="BO91" i="4"/>
  <c r="BO47" i="4"/>
  <c r="BO50" i="4"/>
  <c r="BO59" i="4"/>
  <c r="BO63" i="4"/>
  <c r="BO65" i="4"/>
  <c r="BO67" i="4"/>
  <c r="BO71" i="4"/>
  <c r="G72" i="4"/>
  <c r="M72" i="4"/>
  <c r="AH72" i="4"/>
  <c r="BC72" i="4"/>
  <c r="BN72" i="4"/>
  <c r="BO89" i="4"/>
  <c r="BO93" i="4"/>
  <c r="S107" i="4"/>
  <c r="Y107" i="4"/>
  <c r="AT107" i="4"/>
  <c r="BC107" i="4"/>
  <c r="BL107" i="4"/>
  <c r="BL36" i="10"/>
  <c r="H15" i="11" s="1"/>
  <c r="H11" i="11"/>
  <c r="H8" i="11"/>
  <c r="H9" i="11"/>
  <c r="H14" i="11"/>
  <c r="E17" i="11"/>
  <c r="AW36" i="10"/>
  <c r="E15" i="11" s="1"/>
  <c r="AT36" i="10"/>
  <c r="E12" i="11" s="1"/>
  <c r="E10" i="11"/>
  <c r="E14" i="11"/>
  <c r="AN36" i="10"/>
  <c r="E6" i="11" s="1"/>
  <c r="AK36" i="10"/>
  <c r="B39" i="11" s="1"/>
  <c r="AB36" i="10"/>
  <c r="Y36" i="10"/>
  <c r="B27" i="11" s="1"/>
  <c r="V36" i="10"/>
  <c r="B24" i="11" s="1"/>
  <c r="B22" i="11"/>
  <c r="P36" i="10"/>
  <c r="B15" i="11" s="1"/>
  <c r="B13" i="11"/>
  <c r="M36" i="10"/>
  <c r="B21" i="11" s="1"/>
  <c r="D36" i="10"/>
  <c r="B6" i="11" s="1"/>
  <c r="G36" i="10"/>
  <c r="B9" i="11" s="1"/>
  <c r="AE36" i="10"/>
  <c r="B33" i="11" s="1"/>
  <c r="BC36" i="10"/>
  <c r="H6" i="11" s="1"/>
  <c r="AQ36" i="10"/>
  <c r="E9" i="11" s="1"/>
  <c r="BO9" i="10"/>
  <c r="AH36" i="10"/>
  <c r="B36" i="11" s="1"/>
  <c r="BO10" i="10"/>
  <c r="S36" i="10"/>
  <c r="B18" i="11" s="1"/>
  <c r="BO15" i="10"/>
  <c r="BO19" i="10"/>
  <c r="BO5" i="10"/>
  <c r="BO6" i="10"/>
  <c r="BO23" i="10"/>
  <c r="BO27" i="10"/>
  <c r="BO12" i="10"/>
  <c r="BO30" i="10"/>
  <c r="BN36" i="10"/>
  <c r="H17" i="11" s="1"/>
  <c r="BO16" i="10"/>
  <c r="BO20" i="10"/>
  <c r="J36" i="10"/>
  <c r="B12" i="11" s="1"/>
  <c r="BO8" i="10"/>
  <c r="BO7" i="10"/>
  <c r="BO32" i="10"/>
  <c r="BO24" i="10"/>
  <c r="BO28" i="10"/>
  <c r="BO33" i="10"/>
  <c r="BM36" i="10"/>
  <c r="H16" i="11" s="1"/>
  <c r="BO11" i="10"/>
  <c r="BO14" i="10"/>
  <c r="BO18" i="10"/>
  <c r="BO22" i="10"/>
  <c r="BO26" i="10"/>
  <c r="BO13" i="10"/>
  <c r="BO17" i="10"/>
  <c r="BO21" i="10"/>
  <c r="BO25" i="10"/>
  <c r="BO29" i="10"/>
  <c r="BO31" i="10"/>
  <c r="BM107" i="4"/>
  <c r="BC23" i="8"/>
  <c r="BF23" i="8"/>
  <c r="BI23" i="8"/>
  <c r="AT23" i="8"/>
  <c r="AW23" i="8"/>
  <c r="AZ23" i="8"/>
  <c r="AQ23" i="8"/>
  <c r="AB23" i="8"/>
  <c r="AE23" i="8"/>
  <c r="AH23" i="8"/>
  <c r="V23" i="8"/>
  <c r="S23" i="8"/>
  <c r="M23" i="8"/>
  <c r="G23" i="8"/>
  <c r="BF20" i="8"/>
  <c r="BI20" i="8"/>
  <c r="BL20" i="8"/>
  <c r="BF21" i="8"/>
  <c r="BI21" i="8"/>
  <c r="BL21" i="8"/>
  <c r="BF22" i="8"/>
  <c r="BI22" i="8"/>
  <c r="BL22" i="8"/>
  <c r="AT20" i="8"/>
  <c r="AW20" i="8"/>
  <c r="AZ20" i="8"/>
  <c r="AW21" i="8"/>
  <c r="AZ21" i="8"/>
  <c r="AW22" i="8"/>
  <c r="AZ22" i="8"/>
  <c r="AT21" i="8"/>
  <c r="AQ22" i="8"/>
  <c r="AQ21" i="8"/>
  <c r="AN20" i="8"/>
  <c r="AK20" i="8"/>
  <c r="AH20" i="8"/>
  <c r="AE21" i="8"/>
  <c r="AH21" i="8"/>
  <c r="AK21" i="8"/>
  <c r="AE22" i="8"/>
  <c r="AH22" i="8"/>
  <c r="AK22" i="8"/>
  <c r="Y21" i="8"/>
  <c r="Y22" i="8"/>
  <c r="AB20" i="8"/>
  <c r="AB21" i="8"/>
  <c r="AB22" i="8"/>
  <c r="S21" i="8"/>
  <c r="V21" i="8"/>
  <c r="P22" i="8"/>
  <c r="S22" i="8"/>
  <c r="V22" i="8"/>
  <c r="D22" i="8"/>
  <c r="G22" i="8"/>
  <c r="J22" i="8"/>
  <c r="M22" i="8"/>
  <c r="G21" i="8"/>
  <c r="J21" i="8"/>
  <c r="J20" i="8"/>
  <c r="M20" i="8"/>
  <c r="M21" i="8"/>
  <c r="BC19" i="8"/>
  <c r="BF19" i="8"/>
  <c r="BI19" i="8"/>
  <c r="BL19" i="8"/>
  <c r="AW19" i="8"/>
  <c r="AZ19" i="8"/>
  <c r="AQ19" i="8"/>
  <c r="AE19" i="8"/>
  <c r="AH19" i="8"/>
  <c r="AB19" i="8"/>
  <c r="AK19" i="8"/>
  <c r="V19" i="8"/>
  <c r="M19" i="8"/>
  <c r="D19" i="8"/>
  <c r="G19" i="8"/>
  <c r="BC18" i="8"/>
  <c r="BF18" i="8"/>
  <c r="BI18" i="8"/>
  <c r="BL18" i="8"/>
  <c r="AN18" i="8"/>
  <c r="AW18" i="8"/>
  <c r="AZ18" i="8"/>
  <c r="AQ18" i="8"/>
  <c r="AT18" i="8"/>
  <c r="AH18" i="8"/>
  <c r="AK18" i="8"/>
  <c r="Y18" i="8"/>
  <c r="AB18" i="8"/>
  <c r="V18" i="8"/>
  <c r="G18" i="8"/>
  <c r="J18" i="8"/>
  <c r="M18" i="8"/>
  <c r="BC17" i="8"/>
  <c r="BF17" i="8"/>
  <c r="BI17" i="8"/>
  <c r="BL17" i="8"/>
  <c r="AZ17" i="8"/>
  <c r="AQ17" i="8"/>
  <c r="AT17" i="8"/>
  <c r="AB17" i="8"/>
  <c r="AE17" i="8"/>
  <c r="AH17" i="8"/>
  <c r="AK17" i="8"/>
  <c r="S17" i="8"/>
  <c r="M17" i="8"/>
  <c r="G16" i="8"/>
  <c r="J16" i="8"/>
  <c r="M16" i="8"/>
  <c r="AW16" i="8"/>
  <c r="AZ16" i="8"/>
  <c r="AQ16" i="8"/>
  <c r="AT16" i="8"/>
  <c r="BC16" i="8"/>
  <c r="BF16" i="8"/>
  <c r="BI16" i="8"/>
  <c r="BL16" i="8"/>
  <c r="AB16" i="8"/>
  <c r="AE16" i="8"/>
  <c r="AH16" i="8"/>
  <c r="AK16" i="8"/>
  <c r="AE14" i="8"/>
  <c r="AH14" i="8"/>
  <c r="AK14" i="8"/>
  <c r="AE15" i="8"/>
  <c r="AH15" i="8"/>
  <c r="AK15" i="8"/>
  <c r="Y14" i="8"/>
  <c r="AB14" i="8"/>
  <c r="Y15" i="8"/>
  <c r="AB15" i="8"/>
  <c r="AH13" i="8"/>
  <c r="AK13" i="8"/>
  <c r="Y13" i="8"/>
  <c r="AB13" i="8"/>
  <c r="V16" i="8"/>
  <c r="S16" i="8"/>
  <c r="BC14" i="8"/>
  <c r="BC15" i="8"/>
  <c r="BF13" i="8"/>
  <c r="BI13" i="8"/>
  <c r="BL13" i="8"/>
  <c r="BF14" i="8"/>
  <c r="BI14" i="8"/>
  <c r="BL14" i="8"/>
  <c r="BF15" i="8"/>
  <c r="BI15" i="8"/>
  <c r="BL15" i="8"/>
  <c r="AZ13" i="8"/>
  <c r="AZ14" i="8"/>
  <c r="AZ15" i="8"/>
  <c r="AW13" i="8"/>
  <c r="AW14" i="8"/>
  <c r="AT13" i="8"/>
  <c r="AT14" i="8"/>
  <c r="AT15" i="8"/>
  <c r="AQ13" i="8"/>
  <c r="AQ14" i="8"/>
  <c r="AQ15" i="8"/>
  <c r="P15" i="8"/>
  <c r="S15" i="8"/>
  <c r="V14" i="8"/>
  <c r="S14" i="8"/>
  <c r="J15" i="8"/>
  <c r="M15" i="8"/>
  <c r="G14" i="8"/>
  <c r="J13" i="8"/>
  <c r="M13" i="8"/>
  <c r="J14" i="8"/>
  <c r="M14" i="8"/>
  <c r="BC12" i="8"/>
  <c r="BF12" i="8"/>
  <c r="BI12" i="8"/>
  <c r="BL12" i="8"/>
  <c r="AW12" i="8"/>
  <c r="AZ12" i="8"/>
  <c r="AN12" i="8"/>
  <c r="AQ12" i="8"/>
  <c r="AT12" i="8"/>
  <c r="AH12" i="8"/>
  <c r="AK12" i="8"/>
  <c r="AB12" i="8"/>
  <c r="P12" i="8"/>
  <c r="S12" i="8"/>
  <c r="J12" i="8"/>
  <c r="M12" i="8"/>
  <c r="BC11" i="8"/>
  <c r="BF11" i="8"/>
  <c r="BI11" i="8"/>
  <c r="BL11" i="8"/>
  <c r="AZ11" i="8"/>
  <c r="AQ11" i="8"/>
  <c r="AT11" i="8"/>
  <c r="AH11" i="8"/>
  <c r="AK11" i="8"/>
  <c r="AB11" i="8"/>
  <c r="J11" i="8"/>
  <c r="M11" i="8"/>
  <c r="S10" i="8"/>
  <c r="BF10" i="8"/>
  <c r="BI10" i="8"/>
  <c r="BL10" i="8"/>
  <c r="AW10" i="8"/>
  <c r="AZ10" i="8"/>
  <c r="AQ10" i="8"/>
  <c r="AT10" i="8"/>
  <c r="AB10" i="8"/>
  <c r="AE10" i="8"/>
  <c r="AH10" i="8"/>
  <c r="AK10" i="8"/>
  <c r="J10" i="8"/>
  <c r="M10" i="8"/>
  <c r="D14" i="8"/>
  <c r="BF9" i="8"/>
  <c r="BI9" i="8"/>
  <c r="BL9" i="8"/>
  <c r="AZ9" i="8"/>
  <c r="AQ9" i="8"/>
  <c r="AT9" i="8"/>
  <c r="AE8" i="8"/>
  <c r="AH8" i="8"/>
  <c r="AK8" i="8"/>
  <c r="AE9" i="8"/>
  <c r="AH9" i="8"/>
  <c r="AK9" i="8"/>
  <c r="Y8" i="8"/>
  <c r="AB8" i="8"/>
  <c r="Y9" i="8"/>
  <c r="AB9" i="8"/>
  <c r="AH7" i="8"/>
  <c r="AK7" i="8"/>
  <c r="Y7" i="8"/>
  <c r="AB7" i="8"/>
  <c r="AB6" i="8"/>
  <c r="AB5" i="8"/>
  <c r="Y6" i="8"/>
  <c r="AE6" i="8"/>
  <c r="AH6" i="8"/>
  <c r="AK6" i="8"/>
  <c r="V9" i="8"/>
  <c r="M9" i="8"/>
  <c r="G9" i="8"/>
  <c r="J9" i="8"/>
  <c r="AM36" i="6"/>
  <c r="AL36" i="6"/>
  <c r="BC8" i="8"/>
  <c r="BF7" i="8"/>
  <c r="BI7" i="8"/>
  <c r="BL7" i="8"/>
  <c r="BF8" i="8"/>
  <c r="BI8" i="8"/>
  <c r="BL8" i="8"/>
  <c r="BL6" i="8"/>
  <c r="BI6" i="8"/>
  <c r="BF6" i="8"/>
  <c r="AZ6" i="8"/>
  <c r="AQ8" i="8"/>
  <c r="AT8" i="8"/>
  <c r="AW8" i="8"/>
  <c r="AZ8" i="8"/>
  <c r="AZ7" i="8"/>
  <c r="AQ7" i="8"/>
  <c r="AT7" i="8"/>
  <c r="AW7" i="8"/>
  <c r="AW6" i="8"/>
  <c r="AT6" i="8"/>
  <c r="AQ6" i="8"/>
  <c r="S7" i="8"/>
  <c r="V7" i="8"/>
  <c r="S8" i="8"/>
  <c r="V8" i="8"/>
  <c r="V6" i="8"/>
  <c r="S6" i="8"/>
  <c r="P8" i="8"/>
  <c r="G8" i="8"/>
  <c r="J8" i="8"/>
  <c r="G7" i="8"/>
  <c r="J7" i="8"/>
  <c r="M7" i="8"/>
  <c r="J6" i="8"/>
  <c r="M6" i="8"/>
  <c r="G6" i="8"/>
  <c r="BN5" i="8"/>
  <c r="BL5" i="8"/>
  <c r="BI5" i="8"/>
  <c r="BF5" i="8"/>
  <c r="BC5" i="8"/>
  <c r="AZ5" i="8"/>
  <c r="AN5" i="8"/>
  <c r="AQ5" i="8"/>
  <c r="AT5" i="8"/>
  <c r="Y5" i="8"/>
  <c r="AE5" i="8"/>
  <c r="AH5" i="8"/>
  <c r="AK5" i="8"/>
  <c r="AD36" i="6"/>
  <c r="AC36" i="6"/>
  <c r="V5" i="8"/>
  <c r="M5" i="8"/>
  <c r="R36" i="6"/>
  <c r="Q36" i="6"/>
  <c r="U36" i="6"/>
  <c r="T36" i="6"/>
  <c r="O36" i="6"/>
  <c r="N36" i="6"/>
  <c r="I36" i="6"/>
  <c r="H36" i="6"/>
  <c r="F36" i="6"/>
  <c r="E36" i="6"/>
  <c r="C36" i="6"/>
  <c r="B36" i="6"/>
  <c r="BO72" i="4" l="1"/>
  <c r="BO107" i="4"/>
  <c r="H18" i="11"/>
  <c r="BO36" i="10"/>
  <c r="BO5" i="8"/>
  <c r="BL23" i="8" l="1"/>
  <c r="BI30" i="8"/>
  <c r="BC9" i="8"/>
  <c r="BC10" i="8"/>
  <c r="BC13" i="8"/>
  <c r="BC20" i="8"/>
  <c r="BC21" i="8"/>
  <c r="BC22" i="8"/>
  <c r="BC24" i="8"/>
  <c r="BC25" i="8"/>
  <c r="BC26" i="8"/>
  <c r="BC27" i="8"/>
  <c r="BC6" i="8"/>
  <c r="BC7" i="8"/>
  <c r="AW25" i="8"/>
  <c r="AW26" i="8"/>
  <c r="AW15" i="8"/>
  <c r="AW17" i="8"/>
  <c r="AW5" i="8"/>
  <c r="AW9" i="8"/>
  <c r="AT19" i="8"/>
  <c r="AT22" i="8"/>
  <c r="AQ20" i="8"/>
  <c r="AN10" i="8"/>
  <c r="AN11" i="8"/>
  <c r="AN13" i="8"/>
  <c r="AN14" i="8"/>
  <c r="AN15" i="8"/>
  <c r="AN16" i="8"/>
  <c r="AN17" i="8"/>
  <c r="AN19" i="8"/>
  <c r="AN21" i="8"/>
  <c r="AN22" i="8"/>
  <c r="AN23" i="8"/>
  <c r="AN24" i="8"/>
  <c r="AN25" i="8"/>
  <c r="AN26" i="8"/>
  <c r="AN27" i="8"/>
  <c r="AN30" i="8"/>
  <c r="AN31" i="8"/>
  <c r="AN32" i="8"/>
  <c r="AN33" i="8"/>
  <c r="AN6" i="8"/>
  <c r="AN7" i="8"/>
  <c r="AN8" i="8"/>
  <c r="AK23" i="8"/>
  <c r="AK33" i="8"/>
  <c r="AH30" i="8"/>
  <c r="AE11" i="8"/>
  <c r="AE12" i="8"/>
  <c r="AE13" i="8"/>
  <c r="AE18" i="8"/>
  <c r="AE20" i="8"/>
  <c r="AE33" i="8"/>
  <c r="Y10" i="8"/>
  <c r="Y11" i="8"/>
  <c r="Y12" i="8"/>
  <c r="Y16" i="8"/>
  <c r="Y17" i="8"/>
  <c r="Y19" i="8"/>
  <c r="Y20" i="8"/>
  <c r="Y23" i="8"/>
  <c r="Y24" i="8"/>
  <c r="Y25" i="8"/>
  <c r="Y26" i="8"/>
  <c r="Y30" i="8"/>
  <c r="Y32" i="8"/>
  <c r="Y33" i="8"/>
  <c r="V10" i="8"/>
  <c r="V12" i="8"/>
  <c r="V15" i="8"/>
  <c r="V17" i="8"/>
  <c r="V20" i="8"/>
  <c r="V25" i="8"/>
  <c r="V32" i="8"/>
  <c r="S9" i="8"/>
  <c r="S11" i="8"/>
  <c r="S13" i="8"/>
  <c r="S18" i="8"/>
  <c r="S19" i="8"/>
  <c r="S33" i="8"/>
  <c r="S5" i="8"/>
  <c r="P27" i="8"/>
  <c r="P28" i="8"/>
  <c r="P29" i="8"/>
  <c r="P30" i="8"/>
  <c r="P32" i="8"/>
  <c r="P33" i="8"/>
  <c r="P5" i="8"/>
  <c r="J17" i="8"/>
  <c r="J19" i="8"/>
  <c r="J23" i="8"/>
  <c r="J24" i="8"/>
  <c r="J29" i="8"/>
  <c r="J33" i="8"/>
  <c r="J5" i="8"/>
  <c r="G24" i="8"/>
  <c r="G25" i="8"/>
  <c r="G28" i="8"/>
  <c r="G31" i="8"/>
  <c r="G15" i="8"/>
  <c r="G12" i="8"/>
  <c r="G10" i="8"/>
  <c r="G5" i="8"/>
  <c r="D25" i="8"/>
  <c r="D31" i="8"/>
  <c r="D32" i="8"/>
  <c r="D33" i="8"/>
  <c r="D5" i="8"/>
  <c r="D6" i="8"/>
  <c r="D7" i="8"/>
  <c r="BK34" i="8"/>
  <c r="H14" i="9" s="1"/>
  <c r="BJ34" i="8"/>
  <c r="H13" i="9" s="1"/>
  <c r="BH34" i="8"/>
  <c r="H11" i="9" s="1"/>
  <c r="BG34" i="8"/>
  <c r="H10" i="9" s="1"/>
  <c r="BE34" i="8"/>
  <c r="BD34" i="8"/>
  <c r="H7" i="9" s="1"/>
  <c r="BB34" i="8"/>
  <c r="H5" i="9" s="1"/>
  <c r="BA34" i="8"/>
  <c r="H4" i="9" s="1"/>
  <c r="AY34" i="8"/>
  <c r="AX34" i="8"/>
  <c r="AV34" i="8"/>
  <c r="E14" i="9" s="1"/>
  <c r="AU34" i="8"/>
  <c r="E13" i="9" s="1"/>
  <c r="AS34" i="8"/>
  <c r="E11" i="9" s="1"/>
  <c r="AR34" i="8"/>
  <c r="E10" i="9" s="1"/>
  <c r="AP34" i="8"/>
  <c r="E8" i="9" s="1"/>
  <c r="AO34" i="8"/>
  <c r="E7" i="9" s="1"/>
  <c r="AM34" i="8"/>
  <c r="E5" i="9" s="1"/>
  <c r="AL34" i="8"/>
  <c r="E4" i="9" s="1"/>
  <c r="AJ34" i="8"/>
  <c r="B38" i="9" s="1"/>
  <c r="AI34" i="8"/>
  <c r="B37" i="9" s="1"/>
  <c r="AG34" i="8"/>
  <c r="AF34" i="8"/>
  <c r="AD34" i="8"/>
  <c r="B32" i="9" s="1"/>
  <c r="AC34" i="8"/>
  <c r="B31" i="9" s="1"/>
  <c r="AA34" i="8"/>
  <c r="Z34" i="8"/>
  <c r="X34" i="8"/>
  <c r="B26" i="9" s="1"/>
  <c r="W34" i="8"/>
  <c r="B25" i="9" s="1"/>
  <c r="U34" i="8"/>
  <c r="B23" i="9" s="1"/>
  <c r="T34" i="8"/>
  <c r="B22" i="9" s="1"/>
  <c r="R34" i="8"/>
  <c r="B17" i="9" s="1"/>
  <c r="B16" i="9"/>
  <c r="O34" i="8"/>
  <c r="B14" i="9" s="1"/>
  <c r="N34" i="8"/>
  <c r="B13" i="9" s="1"/>
  <c r="L34" i="8"/>
  <c r="B20" i="9" s="1"/>
  <c r="K34" i="8"/>
  <c r="B19" i="9" s="1"/>
  <c r="I34" i="8"/>
  <c r="B11" i="9" s="1"/>
  <c r="H34" i="8"/>
  <c r="B10" i="9" s="1"/>
  <c r="F34" i="8"/>
  <c r="B8" i="9" s="1"/>
  <c r="E34" i="8"/>
  <c r="B7" i="9" s="1"/>
  <c r="C34" i="8"/>
  <c r="B5" i="9" s="1"/>
  <c r="B34" i="8"/>
  <c r="B4" i="9" s="1"/>
  <c r="BN33" i="8"/>
  <c r="BN32" i="8"/>
  <c r="BN31" i="8"/>
  <c r="BN30" i="8"/>
  <c r="BN29" i="8"/>
  <c r="BN28" i="8"/>
  <c r="D28" i="8"/>
  <c r="BN27" i="8"/>
  <c r="D27" i="8"/>
  <c r="BN26" i="8"/>
  <c r="D26" i="8"/>
  <c r="BN25" i="8"/>
  <c r="BN24" i="8"/>
  <c r="P24" i="8"/>
  <c r="D24" i="8"/>
  <c r="BN23" i="8"/>
  <c r="P23" i="8"/>
  <c r="D23" i="8"/>
  <c r="BN22" i="8"/>
  <c r="BN21" i="8"/>
  <c r="P21" i="8"/>
  <c r="D21" i="8"/>
  <c r="BN20" i="8"/>
  <c r="P20" i="8"/>
  <c r="G20" i="8"/>
  <c r="D20" i="8"/>
  <c r="BN19" i="8"/>
  <c r="P19" i="8"/>
  <c r="BN18" i="8"/>
  <c r="P18" i="8"/>
  <c r="D18" i="8"/>
  <c r="BN17" i="8"/>
  <c r="P17" i="8"/>
  <c r="G17" i="8"/>
  <c r="D17" i="8"/>
  <c r="BN16" i="8"/>
  <c r="P16" i="8"/>
  <c r="D16" i="8"/>
  <c r="BN15" i="8"/>
  <c r="D15" i="8"/>
  <c r="BN14" i="8"/>
  <c r="P14" i="8"/>
  <c r="BN13" i="8"/>
  <c r="P13" i="8"/>
  <c r="G13" i="8"/>
  <c r="D13" i="8"/>
  <c r="BN12" i="8"/>
  <c r="D12" i="8"/>
  <c r="BN11" i="8"/>
  <c r="AW11" i="8"/>
  <c r="P11" i="8"/>
  <c r="G11" i="8"/>
  <c r="D11" i="8"/>
  <c r="BN10" i="8"/>
  <c r="P10" i="8"/>
  <c r="D10" i="8"/>
  <c r="BN9" i="8"/>
  <c r="AN9" i="8"/>
  <c r="P9" i="8"/>
  <c r="D9" i="8"/>
  <c r="BN8" i="8"/>
  <c r="M8" i="8"/>
  <c r="D8" i="8"/>
  <c r="BN7" i="8"/>
  <c r="AE7" i="8"/>
  <c r="P7" i="8"/>
  <c r="BN6" i="8"/>
  <c r="P6" i="8"/>
  <c r="BF33" i="6"/>
  <c r="BI33" i="6"/>
  <c r="BL33" i="6"/>
  <c r="AZ33" i="6"/>
  <c r="AW33" i="6"/>
  <c r="AQ33" i="6"/>
  <c r="D35" i="6"/>
  <c r="G35" i="6"/>
  <c r="J35" i="6"/>
  <c r="P35" i="6"/>
  <c r="S35" i="6"/>
  <c r="V35" i="6"/>
  <c r="AE35" i="6"/>
  <c r="AN35" i="6"/>
  <c r="BM35" i="6"/>
  <c r="BN35" i="6"/>
  <c r="BN24" i="6"/>
  <c r="BF30" i="6"/>
  <c r="BI30" i="6"/>
  <c r="BL30" i="6"/>
  <c r="BF31" i="6"/>
  <c r="BI31" i="6"/>
  <c r="BL31" i="6"/>
  <c r="BC32" i="6"/>
  <c r="BF32" i="6"/>
  <c r="BI32" i="6"/>
  <c r="BL32" i="6"/>
  <c r="AW32" i="6"/>
  <c r="AZ32" i="6"/>
  <c r="AQ30" i="6"/>
  <c r="AT30" i="6"/>
  <c r="AW30" i="6"/>
  <c r="AZ30" i="6"/>
  <c r="AQ31" i="6"/>
  <c r="AT31" i="6"/>
  <c r="AW31" i="6"/>
  <c r="AZ31" i="6"/>
  <c r="BF29" i="6"/>
  <c r="BI29" i="6"/>
  <c r="BL29" i="6"/>
  <c r="AQ29" i="6"/>
  <c r="AT29" i="6"/>
  <c r="AW29" i="6"/>
  <c r="AZ29" i="6"/>
  <c r="AB29" i="6"/>
  <c r="AE29" i="6"/>
  <c r="AH29" i="6"/>
  <c r="AK29" i="6"/>
  <c r="BC28" i="6"/>
  <c r="BF28" i="6"/>
  <c r="BI28" i="6"/>
  <c r="BL28" i="6"/>
  <c r="AZ28" i="6"/>
  <c r="AN28" i="6"/>
  <c r="AQ28" i="6"/>
  <c r="AT28" i="6"/>
  <c r="AW28" i="6"/>
  <c r="AB28" i="6"/>
  <c r="AE28" i="6"/>
  <c r="AH28" i="6"/>
  <c r="AK28" i="6"/>
  <c r="BC27" i="6"/>
  <c r="BF27" i="6"/>
  <c r="BI27" i="6"/>
  <c r="BL27" i="6"/>
  <c r="AQ27" i="6"/>
  <c r="AT27" i="6"/>
  <c r="AW27" i="6"/>
  <c r="AZ27" i="6"/>
  <c r="Y27" i="6"/>
  <c r="AB27" i="6"/>
  <c r="AE27" i="6"/>
  <c r="AH27" i="6"/>
  <c r="AK27" i="6"/>
  <c r="BF26" i="6"/>
  <c r="BI26" i="6"/>
  <c r="BL26" i="6"/>
  <c r="AW26" i="6"/>
  <c r="AZ26" i="6"/>
  <c r="AQ26" i="6"/>
  <c r="AT26" i="6"/>
  <c r="Y26" i="6"/>
  <c r="AB26" i="6"/>
  <c r="AE26" i="6"/>
  <c r="AH26" i="6"/>
  <c r="AK26" i="6"/>
  <c r="D26" i="6"/>
  <c r="BC25" i="6"/>
  <c r="BC24" i="6"/>
  <c r="BF23" i="6"/>
  <c r="BI23" i="6"/>
  <c r="BL23" i="6"/>
  <c r="BF24" i="6"/>
  <c r="BI24" i="6"/>
  <c r="BL24" i="6"/>
  <c r="BF25" i="6"/>
  <c r="BI25" i="6"/>
  <c r="BL25" i="6"/>
  <c r="AZ24" i="6"/>
  <c r="AZ25" i="6"/>
  <c r="AW24" i="6"/>
  <c r="AT24" i="6"/>
  <c r="AT25" i="6"/>
  <c r="AQ24" i="6"/>
  <c r="AQ25" i="6"/>
  <c r="AQ23" i="6"/>
  <c r="AT23" i="6"/>
  <c r="AW23" i="6"/>
  <c r="AZ23" i="6"/>
  <c r="AN23" i="6"/>
  <c r="AN24" i="6"/>
  <c r="AN25" i="6"/>
  <c r="AK25" i="6"/>
  <c r="AK24" i="6"/>
  <c r="AK23" i="6"/>
  <c r="AH25" i="6"/>
  <c r="AH24" i="6"/>
  <c r="AH23" i="6"/>
  <c r="AE25" i="6"/>
  <c r="AE24" i="6"/>
  <c r="AB25" i="6"/>
  <c r="AB24" i="6"/>
  <c r="AB23" i="6"/>
  <c r="Y25" i="6"/>
  <c r="Y24" i="6"/>
  <c r="V23" i="6"/>
  <c r="V24" i="6"/>
  <c r="G23" i="6"/>
  <c r="G24" i="6"/>
  <c r="BM19" i="6"/>
  <c r="BN19" i="6"/>
  <c r="BM21" i="6"/>
  <c r="BN21" i="6"/>
  <c r="BF22" i="6"/>
  <c r="BI22" i="6"/>
  <c r="BL22" i="6"/>
  <c r="AW22" i="6"/>
  <c r="AZ22" i="6"/>
  <c r="AN22" i="6"/>
  <c r="Y22" i="6"/>
  <c r="AB22" i="6"/>
  <c r="AE22" i="6"/>
  <c r="AH22" i="6"/>
  <c r="AK22" i="6"/>
  <c r="V22" i="6"/>
  <c r="G22" i="6"/>
  <c r="BI21" i="6"/>
  <c r="BL21" i="6"/>
  <c r="BI20" i="6"/>
  <c r="BL20" i="6"/>
  <c r="BC20" i="6"/>
  <c r="BF20" i="6"/>
  <c r="BF21" i="6"/>
  <c r="AW21" i="6"/>
  <c r="AZ21" i="6"/>
  <c r="AW20" i="6"/>
  <c r="AZ20" i="6"/>
  <c r="AQ21" i="6"/>
  <c r="AQ20" i="6"/>
  <c r="AT20" i="6"/>
  <c r="AK21" i="6"/>
  <c r="Y20" i="6"/>
  <c r="AB20" i="6"/>
  <c r="AE20" i="6"/>
  <c r="AH20" i="6"/>
  <c r="Y21" i="6"/>
  <c r="AB21" i="6"/>
  <c r="AE21" i="6"/>
  <c r="AH21" i="6"/>
  <c r="V21" i="6"/>
  <c r="G20" i="6"/>
  <c r="J20" i="6"/>
  <c r="BL19" i="6"/>
  <c r="BF19" i="6"/>
  <c r="BI19" i="6"/>
  <c r="AZ19" i="6"/>
  <c r="AQ19" i="6"/>
  <c r="AT19" i="6"/>
  <c r="Y19" i="6"/>
  <c r="AB19" i="6"/>
  <c r="AE19" i="6"/>
  <c r="AH19" i="6"/>
  <c r="V19" i="6"/>
  <c r="Y18" i="6"/>
  <c r="Y17" i="6"/>
  <c r="AB16" i="6"/>
  <c r="AE16" i="6"/>
  <c r="AH16" i="6"/>
  <c r="AK16" i="6"/>
  <c r="AB17" i="6"/>
  <c r="AE17" i="6"/>
  <c r="AH17" i="6"/>
  <c r="AK17" i="6"/>
  <c r="AB18" i="6"/>
  <c r="AE18" i="6"/>
  <c r="AH18" i="6"/>
  <c r="AK18" i="6"/>
  <c r="BC18" i="6"/>
  <c r="BF18" i="6"/>
  <c r="BI18" i="6"/>
  <c r="BL18" i="6"/>
  <c r="BF17" i="6"/>
  <c r="BI17" i="6"/>
  <c r="BL17" i="6"/>
  <c r="BC16" i="6"/>
  <c r="BF16" i="6"/>
  <c r="BI16" i="6"/>
  <c r="BL16" i="6"/>
  <c r="AN18" i="6"/>
  <c r="AN17" i="6"/>
  <c r="AQ16" i="6"/>
  <c r="AT16" i="6"/>
  <c r="AW16" i="6"/>
  <c r="AZ16" i="6"/>
  <c r="AQ17" i="6"/>
  <c r="AT17" i="6"/>
  <c r="AW17" i="6"/>
  <c r="AZ17" i="6"/>
  <c r="AQ18" i="6"/>
  <c r="AT18" i="6"/>
  <c r="AW18" i="6"/>
  <c r="AZ18" i="6"/>
  <c r="V16" i="6"/>
  <c r="V17" i="6"/>
  <c r="V18" i="6"/>
  <c r="BC15" i="6"/>
  <c r="BF15" i="6"/>
  <c r="BI15" i="6"/>
  <c r="BL15" i="6"/>
  <c r="AQ15" i="6"/>
  <c r="AT15" i="6"/>
  <c r="AW15" i="6"/>
  <c r="AZ15" i="6"/>
  <c r="AE15" i="6"/>
  <c r="AH15" i="6"/>
  <c r="AK15" i="6"/>
  <c r="AB15" i="6"/>
  <c r="V15" i="6"/>
  <c r="P15" i="6"/>
  <c r="Y14" i="6"/>
  <c r="BC14" i="6"/>
  <c r="BF14" i="6"/>
  <c r="BI14" i="6"/>
  <c r="BL14" i="6"/>
  <c r="AN14" i="6"/>
  <c r="AQ14" i="6"/>
  <c r="AT14" i="6"/>
  <c r="AW14" i="6"/>
  <c r="AZ14" i="6"/>
  <c r="AK14" i="6"/>
  <c r="AH14" i="6"/>
  <c r="AB14" i="6"/>
  <c r="V13" i="6"/>
  <c r="BC13" i="6"/>
  <c r="BF13" i="6"/>
  <c r="BI13" i="6"/>
  <c r="BL13" i="6"/>
  <c r="AQ13" i="6"/>
  <c r="AT13" i="6"/>
  <c r="AW13" i="6"/>
  <c r="AZ13" i="6"/>
  <c r="AH13" i="6"/>
  <c r="AB13" i="6"/>
  <c r="Y12" i="6"/>
  <c r="AB12" i="6"/>
  <c r="AE12" i="6"/>
  <c r="AH12" i="6"/>
  <c r="AK12" i="6"/>
  <c r="BF12" i="6"/>
  <c r="BI12" i="6"/>
  <c r="BL12" i="6"/>
  <c r="AT12" i="6"/>
  <c r="AW12" i="6"/>
  <c r="AZ12" i="6"/>
  <c r="AQ12" i="6"/>
  <c r="V12" i="6"/>
  <c r="AE10" i="6"/>
  <c r="BF9" i="6"/>
  <c r="BI9" i="6"/>
  <c r="BL9" i="6"/>
  <c r="BF10" i="6"/>
  <c r="BI10" i="6"/>
  <c r="BL10" i="6"/>
  <c r="BF11" i="6"/>
  <c r="BI11" i="6"/>
  <c r="BL11" i="6"/>
  <c r="AZ9" i="6"/>
  <c r="AZ10" i="6"/>
  <c r="AZ11" i="6"/>
  <c r="AW9" i="6"/>
  <c r="AW10" i="6"/>
  <c r="AH10" i="6"/>
  <c r="AB10" i="6"/>
  <c r="Y11" i="6"/>
  <c r="AB11" i="6"/>
  <c r="AE11" i="6"/>
  <c r="AH11" i="6"/>
  <c r="AK11" i="6"/>
  <c r="AH9" i="6"/>
  <c r="AB9" i="6"/>
  <c r="V9" i="6"/>
  <c r="V10" i="6"/>
  <c r="V11" i="6"/>
  <c r="BF7" i="6"/>
  <c r="BI7" i="6"/>
  <c r="BL7" i="6"/>
  <c r="BF8" i="6"/>
  <c r="BI8" i="6"/>
  <c r="BL8" i="6"/>
  <c r="BC7" i="6"/>
  <c r="AN7" i="6"/>
  <c r="AQ7" i="6"/>
  <c r="AT7" i="6"/>
  <c r="AW7" i="6"/>
  <c r="AZ7" i="6"/>
  <c r="AN8" i="6"/>
  <c r="AQ8" i="6"/>
  <c r="AT8" i="6"/>
  <c r="AW8" i="6"/>
  <c r="AZ8" i="6"/>
  <c r="AH8" i="6"/>
  <c r="AK8" i="6"/>
  <c r="AE8" i="6"/>
  <c r="Y8" i="6"/>
  <c r="AB8" i="6"/>
  <c r="AH7" i="6"/>
  <c r="AK7" i="6"/>
  <c r="Y7" i="6"/>
  <c r="AB7" i="6"/>
  <c r="V7" i="6"/>
  <c r="V8" i="6"/>
  <c r="M7" i="6"/>
  <c r="BL6" i="6"/>
  <c r="BI6" i="6"/>
  <c r="BF6" i="6"/>
  <c r="BC6" i="6"/>
  <c r="AZ6" i="6"/>
  <c r="AW6" i="6"/>
  <c r="AT6" i="6"/>
  <c r="AQ6" i="6"/>
  <c r="AN6" i="6"/>
  <c r="AK6" i="6"/>
  <c r="AH6" i="6"/>
  <c r="AE6" i="6"/>
  <c r="AB6" i="6"/>
  <c r="Y6" i="6"/>
  <c r="V6" i="6"/>
  <c r="M6" i="6"/>
  <c r="J6" i="6"/>
  <c r="G6" i="6"/>
  <c r="D6" i="6"/>
  <c r="G5" i="6"/>
  <c r="J5" i="6"/>
  <c r="M5" i="6"/>
  <c r="P5" i="6"/>
  <c r="S5" i="6"/>
  <c r="V5" i="6"/>
  <c r="Y5" i="6"/>
  <c r="AB5" i="6"/>
  <c r="AE5" i="6"/>
  <c r="AH5" i="6"/>
  <c r="AK5" i="6"/>
  <c r="AN5" i="6"/>
  <c r="AQ5" i="6"/>
  <c r="AT5" i="6"/>
  <c r="AW5" i="6"/>
  <c r="AZ5" i="6"/>
  <c r="BC5" i="6"/>
  <c r="BF5" i="6"/>
  <c r="BI5" i="6"/>
  <c r="BL5" i="6"/>
  <c r="D5" i="6"/>
  <c r="M26" i="4"/>
  <c r="M27" i="4"/>
  <c r="M28" i="4"/>
  <c r="M29" i="4"/>
  <c r="M30" i="4"/>
  <c r="M31" i="4"/>
  <c r="M32" i="4"/>
  <c r="M33" i="4"/>
  <c r="M34" i="4"/>
  <c r="BC9" i="6"/>
  <c r="BC10" i="6"/>
  <c r="BC11" i="6"/>
  <c r="BC12" i="6"/>
  <c r="BC17" i="6"/>
  <c r="BC19" i="6"/>
  <c r="BC21" i="6"/>
  <c r="BC22" i="6"/>
  <c r="BC23" i="6"/>
  <c r="BC26" i="6"/>
  <c r="BC29" i="6"/>
  <c r="BC30" i="6"/>
  <c r="BC31" i="6"/>
  <c r="BC33" i="6"/>
  <c r="AW11" i="6"/>
  <c r="AW19" i="6"/>
  <c r="AW25" i="6"/>
  <c r="AT9" i="6"/>
  <c r="AT10" i="6"/>
  <c r="AT21" i="6"/>
  <c r="AT22" i="6"/>
  <c r="AT32" i="6"/>
  <c r="AT33" i="6"/>
  <c r="AQ9" i="6"/>
  <c r="AQ10" i="6"/>
  <c r="AQ11" i="6"/>
  <c r="AQ22" i="6"/>
  <c r="AQ32" i="6"/>
  <c r="AN26" i="6"/>
  <c r="AN27" i="6"/>
  <c r="AN29" i="6"/>
  <c r="AN30" i="6"/>
  <c r="AN31" i="6"/>
  <c r="AN32" i="6"/>
  <c r="AN33" i="6"/>
  <c r="AK13" i="6"/>
  <c r="AK19" i="6"/>
  <c r="AK20" i="6"/>
  <c r="AK9" i="6"/>
  <c r="AE13" i="6"/>
  <c r="AE14" i="6"/>
  <c r="AE23" i="6"/>
  <c r="AE7" i="6"/>
  <c r="AE9" i="6"/>
  <c r="Y13" i="6"/>
  <c r="Y15" i="6"/>
  <c r="Y16" i="6"/>
  <c r="Y23" i="6"/>
  <c r="Y28" i="6"/>
  <c r="Y29" i="6"/>
  <c r="V20" i="6"/>
  <c r="V25" i="6"/>
  <c r="V14" i="6"/>
  <c r="S8" i="6"/>
  <c r="S9" i="6"/>
  <c r="S10" i="6"/>
  <c r="S11" i="6"/>
  <c r="S12" i="6"/>
  <c r="S13" i="6"/>
  <c r="S14" i="6"/>
  <c r="S15" i="6"/>
  <c r="S16" i="6"/>
  <c r="S17" i="6"/>
  <c r="S18" i="6"/>
  <c r="S19" i="6"/>
  <c r="S22" i="6"/>
  <c r="S23" i="6"/>
  <c r="S26" i="6"/>
  <c r="S34" i="6"/>
  <c r="S6" i="6"/>
  <c r="BF34" i="8" l="1"/>
  <c r="H9" i="9" s="1"/>
  <c r="H8" i="9"/>
  <c r="BO19" i="6"/>
  <c r="AE34" i="8"/>
  <c r="B33" i="9" s="1"/>
  <c r="Y34" i="8"/>
  <c r="B27" i="9" s="1"/>
  <c r="AZ34" i="8"/>
  <c r="S34" i="8"/>
  <c r="B18" i="9" s="1"/>
  <c r="BO35" i="6"/>
  <c r="AN34" i="8"/>
  <c r="E6" i="9" s="1"/>
  <c r="V34" i="8"/>
  <c r="B24" i="9" s="1"/>
  <c r="D34" i="8"/>
  <c r="B6" i="9" s="1"/>
  <c r="J34" i="8"/>
  <c r="B12" i="9" s="1"/>
  <c r="P34" i="8"/>
  <c r="B15" i="9" s="1"/>
  <c r="AT34" i="8"/>
  <c r="E12" i="9" s="1"/>
  <c r="AH34" i="8"/>
  <c r="B36" i="9" s="1"/>
  <c r="BO19" i="8"/>
  <c r="BO22" i="8"/>
  <c r="BO32" i="8"/>
  <c r="BO13" i="8"/>
  <c r="BO21" i="8"/>
  <c r="M34" i="8"/>
  <c r="B21" i="9" s="1"/>
  <c r="BO16" i="8"/>
  <c r="BO6" i="8"/>
  <c r="BO27" i="8"/>
  <c r="BO8" i="8"/>
  <c r="BO20" i="8"/>
  <c r="BO7" i="8"/>
  <c r="BM34" i="8"/>
  <c r="H16" i="9" s="1"/>
  <c r="BO10" i="8"/>
  <c r="BO12" i="8"/>
  <c r="BO14" i="8"/>
  <c r="BO9" i="8"/>
  <c r="BO11" i="8"/>
  <c r="BO17" i="8"/>
  <c r="BO23" i="8"/>
  <c r="BO29" i="8"/>
  <c r="BO31" i="8"/>
  <c r="BI34" i="8"/>
  <c r="H12" i="9" s="1"/>
  <c r="BO18" i="8"/>
  <c r="BO24" i="8"/>
  <c r="BO26" i="8"/>
  <c r="BO28" i="8"/>
  <c r="BO30" i="8"/>
  <c r="AK34" i="8"/>
  <c r="B39" i="9" s="1"/>
  <c r="AQ34" i="8"/>
  <c r="E9" i="9" s="1"/>
  <c r="BO15" i="8"/>
  <c r="BO25" i="8"/>
  <c r="BO33" i="8"/>
  <c r="G34" i="8"/>
  <c r="B9" i="9" s="1"/>
  <c r="AB34" i="8"/>
  <c r="B30" i="9" s="1"/>
  <c r="AW34" i="8"/>
  <c r="E15" i="9" s="1"/>
  <c r="BC34" i="8"/>
  <c r="H6" i="9" s="1"/>
  <c r="BN34" i="8"/>
  <c r="H17" i="9" s="1"/>
  <c r="BL34" i="8"/>
  <c r="H15" i="9" s="1"/>
  <c r="BO21" i="6"/>
  <c r="P6" i="6"/>
  <c r="P7" i="6"/>
  <c r="P8" i="6"/>
  <c r="P9" i="6"/>
  <c r="P10" i="6"/>
  <c r="P11" i="6"/>
  <c r="P12" i="6"/>
  <c r="P13" i="6"/>
  <c r="P14" i="6"/>
  <c r="P16" i="6"/>
  <c r="P17" i="6"/>
  <c r="P18" i="6"/>
  <c r="P19" i="6"/>
  <c r="P20" i="6"/>
  <c r="P21" i="6"/>
  <c r="P22" i="6"/>
  <c r="P23" i="6"/>
  <c r="P24" i="6"/>
  <c r="P26" i="6"/>
  <c r="P27" i="6"/>
  <c r="P28" i="6"/>
  <c r="P29" i="6"/>
  <c r="P30" i="6"/>
  <c r="P33" i="6"/>
  <c r="P34" i="6"/>
  <c r="M8" i="6"/>
  <c r="M14" i="6"/>
  <c r="M34" i="6"/>
  <c r="J7" i="6"/>
  <c r="J9" i="6"/>
  <c r="J14" i="6"/>
  <c r="J18" i="6"/>
  <c r="J22" i="6"/>
  <c r="J24" i="6"/>
  <c r="J27" i="6"/>
  <c r="J28" i="6"/>
  <c r="J29" i="6"/>
  <c r="D21" i="6"/>
  <c r="D22" i="6"/>
  <c r="D23" i="6"/>
  <c r="D24" i="6"/>
  <c r="D27" i="6"/>
  <c r="D28" i="6"/>
  <c r="D29" i="6"/>
  <c r="D30" i="6"/>
  <c r="D34" i="6"/>
  <c r="G7" i="6"/>
  <c r="G11" i="6"/>
  <c r="G13" i="6"/>
  <c r="G17" i="6"/>
  <c r="G27" i="6"/>
  <c r="G28" i="6"/>
  <c r="G34" i="6"/>
  <c r="BK36" i="6"/>
  <c r="BJ36" i="6"/>
  <c r="H13" i="7" s="1"/>
  <c r="BH36" i="6"/>
  <c r="BG36" i="6"/>
  <c r="H10" i="7" s="1"/>
  <c r="BE36" i="6"/>
  <c r="BD36" i="6"/>
  <c r="H7" i="7" s="1"/>
  <c r="BB36" i="6"/>
  <c r="H5" i="7" s="1"/>
  <c r="BA36" i="6"/>
  <c r="H4" i="7" s="1"/>
  <c r="AY36" i="6"/>
  <c r="AX36" i="6"/>
  <c r="AV36" i="6"/>
  <c r="E14" i="7" s="1"/>
  <c r="AU36" i="6"/>
  <c r="E13" i="7" s="1"/>
  <c r="AS36" i="6"/>
  <c r="E11" i="7" s="1"/>
  <c r="AR36" i="6"/>
  <c r="AP36" i="6"/>
  <c r="E8" i="7" s="1"/>
  <c r="AO36" i="6"/>
  <c r="E4" i="7"/>
  <c r="AJ36" i="6"/>
  <c r="B38" i="7" s="1"/>
  <c r="AI36" i="6"/>
  <c r="B37" i="7" s="1"/>
  <c r="AG36" i="6"/>
  <c r="AF36" i="6"/>
  <c r="B32" i="7"/>
  <c r="AA36" i="6"/>
  <c r="Z36" i="6"/>
  <c r="X36" i="6"/>
  <c r="B26" i="7" s="1"/>
  <c r="W36" i="6"/>
  <c r="B25" i="7" s="1"/>
  <c r="B23" i="7"/>
  <c r="B17" i="7"/>
  <c r="B14" i="7"/>
  <c r="L36" i="6"/>
  <c r="B20" i="7" s="1"/>
  <c r="K36" i="6"/>
  <c r="B19" i="7" s="1"/>
  <c r="B11" i="7"/>
  <c r="B10" i="7"/>
  <c r="B8" i="7"/>
  <c r="B7" i="7"/>
  <c r="B5" i="7"/>
  <c r="BN34" i="6"/>
  <c r="BM34" i="6"/>
  <c r="BN33" i="6"/>
  <c r="BM33" i="6"/>
  <c r="BN32" i="6"/>
  <c r="BM32" i="6"/>
  <c r="BN31" i="6"/>
  <c r="BM31" i="6"/>
  <c r="BN30" i="6"/>
  <c r="BM30" i="6"/>
  <c r="BN29" i="6"/>
  <c r="BM29" i="6"/>
  <c r="BN28" i="6"/>
  <c r="BM28" i="6"/>
  <c r="BN27" i="6"/>
  <c r="BM27" i="6"/>
  <c r="BN26" i="6"/>
  <c r="BM26" i="6"/>
  <c r="BN25" i="6"/>
  <c r="BM25" i="6"/>
  <c r="BM24" i="6"/>
  <c r="BN23" i="6"/>
  <c r="BM23" i="6"/>
  <c r="BN22" i="6"/>
  <c r="BM22" i="6"/>
  <c r="AN21" i="6"/>
  <c r="BN20" i="6"/>
  <c r="BM20" i="6"/>
  <c r="AN20" i="6"/>
  <c r="D20" i="6"/>
  <c r="AN19" i="6"/>
  <c r="D19" i="6"/>
  <c r="BN18" i="6"/>
  <c r="BM18" i="6"/>
  <c r="D18" i="6"/>
  <c r="BN17" i="6"/>
  <c r="BM17" i="6"/>
  <c r="D17" i="6"/>
  <c r="BN16" i="6"/>
  <c r="BM16" i="6"/>
  <c r="AN16" i="6"/>
  <c r="D16" i="6"/>
  <c r="BN15" i="6"/>
  <c r="BM15" i="6"/>
  <c r="AN15" i="6"/>
  <c r="D15" i="6"/>
  <c r="BN14" i="6"/>
  <c r="BM14" i="6"/>
  <c r="D14" i="6"/>
  <c r="BN13" i="6"/>
  <c r="BM13" i="6"/>
  <c r="AN13" i="6"/>
  <c r="D13" i="6"/>
  <c r="BN12" i="6"/>
  <c r="BM12" i="6"/>
  <c r="AN12" i="6"/>
  <c r="D12" i="6"/>
  <c r="BN11" i="6"/>
  <c r="BM11" i="6"/>
  <c r="AN11" i="6"/>
  <c r="D11" i="6"/>
  <c r="BN10" i="6"/>
  <c r="BM10" i="6"/>
  <c r="AN10" i="6"/>
  <c r="AK10" i="6"/>
  <c r="Y10" i="6"/>
  <c r="D10" i="6"/>
  <c r="BN9" i="6"/>
  <c r="BM9" i="6"/>
  <c r="AN9" i="6"/>
  <c r="Y9" i="6"/>
  <c r="D9" i="6"/>
  <c r="BN8" i="6"/>
  <c r="BM8" i="6"/>
  <c r="BC8" i="6"/>
  <c r="D8" i="6"/>
  <c r="BN7" i="6"/>
  <c r="BM7" i="6"/>
  <c r="S7" i="6"/>
  <c r="D7" i="6"/>
  <c r="BN6" i="6"/>
  <c r="BM6" i="6"/>
  <c r="BN5" i="6"/>
  <c r="BM5" i="6"/>
  <c r="BF24" i="4"/>
  <c r="BI24" i="4"/>
  <c r="BL24" i="4"/>
  <c r="BF25" i="4"/>
  <c r="BI25" i="4"/>
  <c r="BL25" i="4"/>
  <c r="BF26" i="4"/>
  <c r="BI26" i="4"/>
  <c r="BL26" i="4"/>
  <c r="BF27" i="4"/>
  <c r="BI27" i="4"/>
  <c r="BL27" i="4"/>
  <c r="BF28" i="4"/>
  <c r="BI28" i="4"/>
  <c r="BL28" i="4"/>
  <c r="BF29" i="4"/>
  <c r="BI29" i="4"/>
  <c r="BL29" i="4"/>
  <c r="BF30" i="4"/>
  <c r="BI30" i="4"/>
  <c r="BL30" i="4"/>
  <c r="BF31" i="4"/>
  <c r="BI31" i="4"/>
  <c r="BL31" i="4"/>
  <c r="BF32" i="4"/>
  <c r="BI32" i="4"/>
  <c r="BL32" i="4"/>
  <c r="BF33" i="4"/>
  <c r="BI33" i="4"/>
  <c r="BL33" i="4"/>
  <c r="BF34" i="4"/>
  <c r="BI34" i="4"/>
  <c r="BL34" i="4"/>
  <c r="AN24" i="4"/>
  <c r="AQ24" i="4"/>
  <c r="AT24" i="4"/>
  <c r="AW24" i="4"/>
  <c r="AZ24" i="4"/>
  <c r="AN25" i="4"/>
  <c r="AQ25" i="4"/>
  <c r="AT25" i="4"/>
  <c r="AW25" i="4"/>
  <c r="AZ25" i="4"/>
  <c r="AN26" i="4"/>
  <c r="AQ26" i="4"/>
  <c r="AT26" i="4"/>
  <c r="AW26" i="4"/>
  <c r="AZ26" i="4"/>
  <c r="AN27" i="4"/>
  <c r="AQ27" i="4"/>
  <c r="AT27" i="4"/>
  <c r="AW27" i="4"/>
  <c r="AZ27" i="4"/>
  <c r="AN28" i="4"/>
  <c r="AQ28" i="4"/>
  <c r="AT28" i="4"/>
  <c r="AW28" i="4"/>
  <c r="AZ28" i="4"/>
  <c r="AN29" i="4"/>
  <c r="AQ29" i="4"/>
  <c r="AT29" i="4"/>
  <c r="AW29" i="4"/>
  <c r="AZ29" i="4"/>
  <c r="AN30" i="4"/>
  <c r="AQ30" i="4"/>
  <c r="AT30" i="4"/>
  <c r="AW30" i="4"/>
  <c r="AZ30" i="4"/>
  <c r="AN31" i="4"/>
  <c r="AQ31" i="4"/>
  <c r="AT31" i="4"/>
  <c r="AW31" i="4"/>
  <c r="AZ31" i="4"/>
  <c r="AN32" i="4"/>
  <c r="AQ32" i="4"/>
  <c r="AT32" i="4"/>
  <c r="AW32" i="4"/>
  <c r="AZ32" i="4"/>
  <c r="AN33" i="4"/>
  <c r="AQ33" i="4"/>
  <c r="AT33" i="4"/>
  <c r="AW33" i="4"/>
  <c r="AZ33" i="4"/>
  <c r="AN34" i="4"/>
  <c r="AQ34" i="4"/>
  <c r="AT34" i="4"/>
  <c r="AW34" i="4"/>
  <c r="AZ34" i="4"/>
  <c r="H18" i="9" l="1"/>
  <c r="B35" i="7"/>
  <c r="E16" i="7"/>
  <c r="B29" i="7"/>
  <c r="BO34" i="8"/>
  <c r="BO34" i="6"/>
  <c r="BO33" i="6"/>
  <c r="BO32" i="6"/>
  <c r="BO30" i="6"/>
  <c r="BO29" i="6"/>
  <c r="BO28" i="6"/>
  <c r="BO27" i="6"/>
  <c r="BO26" i="6"/>
  <c r="P36" i="6"/>
  <c r="B15" i="7" s="1"/>
  <c r="B13" i="7"/>
  <c r="V36" i="6"/>
  <c r="B24" i="7" s="1"/>
  <c r="B22" i="7"/>
  <c r="AB36" i="6"/>
  <c r="B30" i="7" s="1"/>
  <c r="B28" i="7"/>
  <c r="AH36" i="6"/>
  <c r="B36" i="7" s="1"/>
  <c r="B34" i="7"/>
  <c r="AT36" i="6"/>
  <c r="E12" i="7" s="1"/>
  <c r="E10" i="7"/>
  <c r="AN36" i="6"/>
  <c r="E6" i="7" s="1"/>
  <c r="E5" i="7"/>
  <c r="AZ36" i="6"/>
  <c r="E17" i="7"/>
  <c r="BF36" i="6"/>
  <c r="H9" i="7" s="1"/>
  <c r="H8" i="7"/>
  <c r="BL36" i="6"/>
  <c r="H15" i="7" s="1"/>
  <c r="H14" i="7"/>
  <c r="S36" i="6"/>
  <c r="B18" i="7" s="1"/>
  <c r="B16" i="7"/>
  <c r="AE36" i="6"/>
  <c r="B33" i="7" s="1"/>
  <c r="B31" i="7"/>
  <c r="AQ36" i="6"/>
  <c r="E9" i="7" s="1"/>
  <c r="E7" i="7"/>
  <c r="M36" i="6"/>
  <c r="B21" i="7" s="1"/>
  <c r="BI36" i="6"/>
  <c r="H12" i="7" s="1"/>
  <c r="H11" i="7"/>
  <c r="D36" i="6"/>
  <c r="B6" i="7" s="1"/>
  <c r="B4" i="7"/>
  <c r="BC36" i="6"/>
  <c r="H6" i="7" s="1"/>
  <c r="AW36" i="6"/>
  <c r="E15" i="7" s="1"/>
  <c r="AK36" i="6"/>
  <c r="B39" i="7" s="1"/>
  <c r="Y36" i="6"/>
  <c r="B27" i="7" s="1"/>
  <c r="BO10" i="6"/>
  <c r="BO6" i="6"/>
  <c r="BO24" i="6"/>
  <c r="BO16" i="6"/>
  <c r="BO20" i="6"/>
  <c r="BO17" i="6"/>
  <c r="J36" i="6"/>
  <c r="B12" i="7" s="1"/>
  <c r="BO22" i="6"/>
  <c r="BO25" i="6"/>
  <c r="BO15" i="6"/>
  <c r="BO18" i="6"/>
  <c r="BO7" i="6"/>
  <c r="BO11" i="6"/>
  <c r="BO23" i="6"/>
  <c r="BO31" i="6"/>
  <c r="G36" i="6"/>
  <c r="B9" i="7" s="1"/>
  <c r="BO5" i="6"/>
  <c r="BO9" i="6"/>
  <c r="BO13" i="6"/>
  <c r="BO8" i="6"/>
  <c r="BO12" i="6"/>
  <c r="BN36" i="6"/>
  <c r="H17" i="7" s="1"/>
  <c r="BM36" i="6"/>
  <c r="H16" i="7" s="1"/>
  <c r="BO14" i="6"/>
  <c r="Y24" i="4"/>
  <c r="AB24" i="4"/>
  <c r="AE24" i="4"/>
  <c r="AH24" i="4"/>
  <c r="Y25" i="4"/>
  <c r="AB25" i="4"/>
  <c r="AE25" i="4"/>
  <c r="AH25" i="4"/>
  <c r="Y26" i="4"/>
  <c r="AB26" i="4"/>
  <c r="AE26" i="4"/>
  <c r="AH26" i="4"/>
  <c r="Y27" i="4"/>
  <c r="AB27" i="4"/>
  <c r="AE27" i="4"/>
  <c r="AH27" i="4"/>
  <c r="Y28" i="4"/>
  <c r="AB28" i="4"/>
  <c r="AE28" i="4"/>
  <c r="AH28" i="4"/>
  <c r="Y29" i="4"/>
  <c r="AB29" i="4"/>
  <c r="AE29" i="4"/>
  <c r="AH29" i="4"/>
  <c r="Y30" i="4"/>
  <c r="AB30" i="4"/>
  <c r="AE30" i="4"/>
  <c r="AH30" i="4"/>
  <c r="Y31" i="4"/>
  <c r="AB31" i="4"/>
  <c r="AE31" i="4"/>
  <c r="AH31" i="4"/>
  <c r="Y32" i="4"/>
  <c r="AB32" i="4"/>
  <c r="AE32" i="4"/>
  <c r="AH32" i="4"/>
  <c r="Y33" i="4"/>
  <c r="AB33" i="4"/>
  <c r="AE33" i="4"/>
  <c r="AH33" i="4"/>
  <c r="Y34" i="4"/>
  <c r="AB34" i="4"/>
  <c r="AE34" i="4"/>
  <c r="AH34" i="4"/>
  <c r="V24" i="4"/>
  <c r="V25" i="4"/>
  <c r="V26" i="4"/>
  <c r="V27" i="4"/>
  <c r="V28" i="4"/>
  <c r="V29" i="4"/>
  <c r="V30" i="4"/>
  <c r="V31" i="4"/>
  <c r="V32" i="4"/>
  <c r="V33" i="4"/>
  <c r="V34" i="4"/>
  <c r="S24" i="4"/>
  <c r="S25" i="4"/>
  <c r="S26" i="4"/>
  <c r="S27" i="4"/>
  <c r="S28" i="4"/>
  <c r="S29" i="4"/>
  <c r="S30" i="4"/>
  <c r="M25" i="4"/>
  <c r="M24" i="4"/>
  <c r="Y23" i="4"/>
  <c r="AB23" i="4"/>
  <c r="AE23" i="4"/>
  <c r="AH23" i="4"/>
  <c r="AK23" i="4"/>
  <c r="AN23" i="4"/>
  <c r="AQ23" i="4"/>
  <c r="AT23" i="4"/>
  <c r="AW23" i="4"/>
  <c r="AZ23" i="4"/>
  <c r="BF23" i="4"/>
  <c r="BI23" i="4"/>
  <c r="BL23" i="4"/>
  <c r="S23" i="4"/>
  <c r="V23" i="4"/>
  <c r="M23" i="4"/>
  <c r="J23" i="4"/>
  <c r="J22" i="4"/>
  <c r="D25" i="4"/>
  <c r="AB22" i="4"/>
  <c r="BC22" i="4"/>
  <c r="BF22" i="4"/>
  <c r="BI22" i="4"/>
  <c r="BL22" i="4"/>
  <c r="AN22" i="4"/>
  <c r="AQ22" i="4"/>
  <c r="AT22" i="4"/>
  <c r="AW22" i="4"/>
  <c r="AZ22" i="4"/>
  <c r="S22" i="4"/>
  <c r="V22" i="4"/>
  <c r="M22" i="4"/>
  <c r="BI19" i="4"/>
  <c r="BL19" i="4"/>
  <c r="BI20" i="4"/>
  <c r="BL20" i="4"/>
  <c r="BI21" i="4"/>
  <c r="BL21" i="4"/>
  <c r="BL18" i="4"/>
  <c r="BI18" i="4"/>
  <c r="BC20" i="4"/>
  <c r="BC21" i="4"/>
  <c r="BC19" i="4"/>
  <c r="BF18" i="4"/>
  <c r="BF19" i="4"/>
  <c r="BF20" i="4"/>
  <c r="BF21" i="4"/>
  <c r="AZ18" i="4"/>
  <c r="AZ19" i="4"/>
  <c r="AZ20" i="4"/>
  <c r="AZ21" i="4"/>
  <c r="AW21" i="4"/>
  <c r="AW19" i="4"/>
  <c r="AW18" i="4"/>
  <c r="AQ18" i="4"/>
  <c r="AT18" i="4"/>
  <c r="AQ19" i="4"/>
  <c r="AT19" i="4"/>
  <c r="AQ20" i="4"/>
  <c r="AT20" i="4"/>
  <c r="AQ21" i="4"/>
  <c r="AT21" i="4"/>
  <c r="AB18" i="4"/>
  <c r="AB19" i="4"/>
  <c r="AB20" i="4"/>
  <c r="AB21" i="4"/>
  <c r="P20" i="4"/>
  <c r="P21" i="4"/>
  <c r="P19" i="4"/>
  <c r="V21" i="4"/>
  <c r="S18" i="4"/>
  <c r="S19" i="4"/>
  <c r="S20" i="4"/>
  <c r="S21" i="4"/>
  <c r="V18" i="4"/>
  <c r="V19" i="4"/>
  <c r="D21" i="4"/>
  <c r="G18" i="4"/>
  <c r="G19" i="4"/>
  <c r="G20" i="4"/>
  <c r="G21" i="4"/>
  <c r="J21" i="4"/>
  <c r="M21" i="4"/>
  <c r="J20" i="4"/>
  <c r="M20" i="4"/>
  <c r="J19" i="4"/>
  <c r="M19" i="4"/>
  <c r="M18" i="4"/>
  <c r="J18" i="4"/>
  <c r="BL17" i="4"/>
  <c r="BF17" i="4"/>
  <c r="AZ17" i="4"/>
  <c r="AQ17" i="4"/>
  <c r="AT17" i="4"/>
  <c r="AB17" i="4"/>
  <c r="S17" i="4"/>
  <c r="V17" i="4"/>
  <c r="M17" i="4"/>
  <c r="G17" i="4"/>
  <c r="BC16" i="4"/>
  <c r="BF16" i="4"/>
  <c r="BI16" i="4"/>
  <c r="BL16" i="4"/>
  <c r="AW16" i="4"/>
  <c r="AZ16" i="4"/>
  <c r="AQ16" i="4"/>
  <c r="AT16" i="4"/>
  <c r="Y15" i="4"/>
  <c r="AK16" i="4"/>
  <c r="AE16" i="4"/>
  <c r="Y16" i="4"/>
  <c r="AB16" i="4"/>
  <c r="V16" i="4"/>
  <c r="M16" i="4"/>
  <c r="BF15" i="4"/>
  <c r="BI15" i="4"/>
  <c r="BL15" i="4"/>
  <c r="AZ15" i="4"/>
  <c r="AQ15" i="4"/>
  <c r="AT15" i="4"/>
  <c r="AK15" i="4"/>
  <c r="AB15" i="4"/>
  <c r="J15" i="4"/>
  <c r="BC14" i="4"/>
  <c r="BC13" i="4"/>
  <c r="BF12" i="4"/>
  <c r="BI12" i="4"/>
  <c r="BL12" i="4"/>
  <c r="BF13" i="4"/>
  <c r="BI13" i="4"/>
  <c r="BL13" i="4"/>
  <c r="BF14" i="4"/>
  <c r="BI14" i="4"/>
  <c r="BL14" i="4"/>
  <c r="AZ12" i="4"/>
  <c r="AZ13" i="4"/>
  <c r="AZ14" i="4"/>
  <c r="AW13" i="4"/>
  <c r="AW14" i="4"/>
  <c r="AW12" i="4"/>
  <c r="AQ14" i="4"/>
  <c r="AT14" i="4"/>
  <c r="AQ12" i="4"/>
  <c r="AT12" i="4"/>
  <c r="AQ13" i="4"/>
  <c r="AT13" i="4"/>
  <c r="AH14" i="4"/>
  <c r="AB14" i="4"/>
  <c r="AK14" i="4"/>
  <c r="Y14" i="4"/>
  <c r="Y13" i="4"/>
  <c r="AB13" i="4"/>
  <c r="AE13" i="4"/>
  <c r="AH13" i="4"/>
  <c r="AK13" i="4"/>
  <c r="Y12" i="4"/>
  <c r="AB12" i="4"/>
  <c r="AE12" i="4"/>
  <c r="AH12" i="4"/>
  <c r="AK12" i="4"/>
  <c r="P14" i="4"/>
  <c r="S13" i="4"/>
  <c r="V13" i="4"/>
  <c r="S14" i="4"/>
  <c r="V14" i="4"/>
  <c r="S12" i="4"/>
  <c r="V12" i="4"/>
  <c r="J10" i="4"/>
  <c r="G8" i="4"/>
  <c r="G13" i="4"/>
  <c r="G14" i="4"/>
  <c r="J13" i="4"/>
  <c r="J12" i="4"/>
  <c r="G12" i="4"/>
  <c r="M12" i="4"/>
  <c r="M13" i="4"/>
  <c r="M14" i="4"/>
  <c r="D19" i="4"/>
  <c r="BI11" i="4"/>
  <c r="BF11" i="4"/>
  <c r="BC11" i="4"/>
  <c r="BL11" i="4"/>
  <c r="AZ11" i="4"/>
  <c r="AQ11" i="4"/>
  <c r="AT11" i="4"/>
  <c r="AE11" i="4"/>
  <c r="AH11" i="4"/>
  <c r="AK11" i="4"/>
  <c r="AB11" i="4"/>
  <c r="V11" i="4"/>
  <c r="S11" i="4"/>
  <c r="S15" i="4"/>
  <c r="S16" i="4"/>
  <c r="M10" i="4"/>
  <c r="M11" i="4"/>
  <c r="D16" i="4"/>
  <c r="BL10" i="4"/>
  <c r="BF10" i="4"/>
  <c r="AQ10" i="4"/>
  <c r="AT10" i="4"/>
  <c r="AZ10" i="4"/>
  <c r="AH10" i="4"/>
  <c r="AB10" i="4"/>
  <c r="V10" i="4"/>
  <c r="S10" i="4"/>
  <c r="G10" i="4"/>
  <c r="D10" i="4"/>
  <c r="AE9" i="4"/>
  <c r="AH9" i="4"/>
  <c r="AK9" i="4"/>
  <c r="AB9" i="4"/>
  <c r="G9" i="4"/>
  <c r="BF9" i="4"/>
  <c r="BI9" i="4"/>
  <c r="BL9" i="4"/>
  <c r="AQ9" i="4"/>
  <c r="AT9" i="4"/>
  <c r="AW9" i="4"/>
  <c r="AZ9" i="4"/>
  <c r="S9" i="4"/>
  <c r="V9" i="4"/>
  <c r="M9" i="4"/>
  <c r="D18" i="4"/>
  <c r="BF8" i="4"/>
  <c r="BI8" i="4"/>
  <c r="BL8" i="4"/>
  <c r="AW8" i="4"/>
  <c r="AZ8" i="4"/>
  <c r="AT8" i="4"/>
  <c r="AQ8" i="4"/>
  <c r="AH8" i="4"/>
  <c r="AK8" i="4"/>
  <c r="AB8" i="4"/>
  <c r="Y6" i="4"/>
  <c r="Y7" i="4"/>
  <c r="Y5" i="4"/>
  <c r="S8" i="4"/>
  <c r="V8" i="4"/>
  <c r="M8" i="4"/>
  <c r="BN26" i="3"/>
  <c r="AK7" i="4"/>
  <c r="AK6" i="4"/>
  <c r="AK5" i="4"/>
  <c r="AH7" i="4"/>
  <c r="AH6" i="4"/>
  <c r="AH5" i="4"/>
  <c r="AE7" i="4"/>
  <c r="AE6" i="4"/>
  <c r="AE5" i="4"/>
  <c r="AB7" i="4"/>
  <c r="AB6" i="4"/>
  <c r="AB5" i="4"/>
  <c r="BC7" i="4"/>
  <c r="BF7" i="4"/>
  <c r="BI7" i="4"/>
  <c r="BL7" i="4"/>
  <c r="BL6" i="4"/>
  <c r="BI6" i="4"/>
  <c r="BF6" i="4"/>
  <c r="BL5" i="4"/>
  <c r="BI5" i="4"/>
  <c r="BF5" i="4"/>
  <c r="BC5" i="4"/>
  <c r="BL34" i="3"/>
  <c r="BC34" i="3"/>
  <c r="BF34" i="3"/>
  <c r="BI34" i="3"/>
  <c r="AZ34" i="3"/>
  <c r="AZ7" i="4"/>
  <c r="AZ6" i="4"/>
  <c r="AZ5" i="4"/>
  <c r="AW7" i="4"/>
  <c r="AW6" i="4"/>
  <c r="AW5" i="4"/>
  <c r="AQ6" i="4"/>
  <c r="AQ5" i="4"/>
  <c r="V7" i="4"/>
  <c r="V6" i="4"/>
  <c r="V5" i="4"/>
  <c r="S6" i="4"/>
  <c r="S5" i="4"/>
  <c r="V34" i="3"/>
  <c r="S34" i="3"/>
  <c r="G29" i="3"/>
  <c r="M7" i="4"/>
  <c r="J7" i="4"/>
  <c r="G7" i="4"/>
  <c r="M6" i="4"/>
  <c r="J6" i="4"/>
  <c r="M5" i="4"/>
  <c r="G5" i="4"/>
  <c r="J34" i="3"/>
  <c r="G34" i="3"/>
  <c r="BN26" i="4"/>
  <c r="BO26" i="4" s="1"/>
  <c r="BN27" i="4"/>
  <c r="BI10" i="4"/>
  <c r="BI17" i="4"/>
  <c r="BC6" i="4"/>
  <c r="BC8" i="4"/>
  <c r="BC9" i="4"/>
  <c r="BC10" i="4"/>
  <c r="BC12" i="4"/>
  <c r="BC15" i="4"/>
  <c r="BC17" i="4"/>
  <c r="BC18" i="4"/>
  <c r="BC23" i="4"/>
  <c r="BC25" i="4"/>
  <c r="AW10" i="4"/>
  <c r="AW11" i="4"/>
  <c r="AW15" i="4"/>
  <c r="AW17" i="4"/>
  <c r="AW20" i="4"/>
  <c r="AT5" i="4"/>
  <c r="AT6" i="4"/>
  <c r="AT7" i="4"/>
  <c r="AQ7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K10" i="4"/>
  <c r="AK17" i="4"/>
  <c r="AK22" i="4"/>
  <c r="AK24" i="4"/>
  <c r="AH15" i="4"/>
  <c r="AE8" i="4"/>
  <c r="AE10" i="4"/>
  <c r="AE14" i="4"/>
  <c r="AE17" i="4"/>
  <c r="AE18" i="4"/>
  <c r="AE22" i="4"/>
  <c r="Y8" i="4"/>
  <c r="Y9" i="4"/>
  <c r="Y10" i="4"/>
  <c r="Y11" i="4"/>
  <c r="Y18" i="4"/>
  <c r="Y22" i="4"/>
  <c r="V15" i="4"/>
  <c r="V20" i="4"/>
  <c r="S7" i="4"/>
  <c r="S31" i="4"/>
  <c r="P9" i="4"/>
  <c r="M15" i="4"/>
  <c r="J8" i="4"/>
  <c r="J9" i="4"/>
  <c r="J11" i="4"/>
  <c r="J14" i="4"/>
  <c r="J16" i="4"/>
  <c r="J17" i="4"/>
  <c r="J24" i="4"/>
  <c r="J5" i="4"/>
  <c r="G15" i="4"/>
  <c r="G16" i="4"/>
  <c r="G22" i="4"/>
  <c r="G23" i="4"/>
  <c r="G25" i="4"/>
  <c r="G11" i="4"/>
  <c r="D6" i="4"/>
  <c r="D7" i="4"/>
  <c r="D8" i="4"/>
  <c r="D9" i="4"/>
  <c r="D11" i="4"/>
  <c r="D12" i="4"/>
  <c r="D13" i="4"/>
  <c r="D14" i="4"/>
  <c r="D15" i="4"/>
  <c r="D17" i="4"/>
  <c r="D20" i="4"/>
  <c r="D22" i="4"/>
  <c r="D23" i="4"/>
  <c r="BK35" i="4"/>
  <c r="BL35" i="4" s="1"/>
  <c r="H15" i="5" s="1"/>
  <c r="BJ35" i="4"/>
  <c r="H13" i="5" s="1"/>
  <c r="BH35" i="4"/>
  <c r="BG35" i="4"/>
  <c r="H10" i="5" s="1"/>
  <c r="BE35" i="4"/>
  <c r="BF35" i="4" s="1"/>
  <c r="H9" i="5" s="1"/>
  <c r="BD35" i="4"/>
  <c r="H7" i="5" s="1"/>
  <c r="BB35" i="4"/>
  <c r="H5" i="5" s="1"/>
  <c r="BA35" i="4"/>
  <c r="H4" i="5" s="1"/>
  <c r="AY35" i="4"/>
  <c r="AZ35" i="4" s="1"/>
  <c r="E18" i="5" s="1"/>
  <c r="AX35" i="4"/>
  <c r="E16" i="5" s="1"/>
  <c r="AV35" i="4"/>
  <c r="E14" i="5" s="1"/>
  <c r="AU35" i="4"/>
  <c r="E13" i="5" s="1"/>
  <c r="AS35" i="4"/>
  <c r="E11" i="5" s="1"/>
  <c r="AR35" i="4"/>
  <c r="E10" i="5" s="1"/>
  <c r="AP35" i="4"/>
  <c r="E8" i="5" s="1"/>
  <c r="AO35" i="4"/>
  <c r="E7" i="5" s="1"/>
  <c r="AM35" i="4"/>
  <c r="E5" i="5" s="1"/>
  <c r="AL35" i="4"/>
  <c r="E4" i="5" s="1"/>
  <c r="AJ35" i="4"/>
  <c r="B38" i="5" s="1"/>
  <c r="AI35" i="4"/>
  <c r="B37" i="5" s="1"/>
  <c r="AG35" i="4"/>
  <c r="B35" i="5" s="1"/>
  <c r="AF35" i="4"/>
  <c r="B34" i="5" s="1"/>
  <c r="AD35" i="4"/>
  <c r="B32" i="5" s="1"/>
  <c r="AC35" i="4"/>
  <c r="AA35" i="4"/>
  <c r="B29" i="5" s="1"/>
  <c r="Z35" i="4"/>
  <c r="X35" i="4"/>
  <c r="B26" i="5" s="1"/>
  <c r="W35" i="4"/>
  <c r="B25" i="5" s="1"/>
  <c r="U35" i="4"/>
  <c r="B23" i="5" s="1"/>
  <c r="T35" i="4"/>
  <c r="B22" i="5" s="1"/>
  <c r="R35" i="4"/>
  <c r="B17" i="5" s="1"/>
  <c r="Q35" i="4"/>
  <c r="B16" i="5" s="1"/>
  <c r="O35" i="4"/>
  <c r="B14" i="5" s="1"/>
  <c r="N35" i="4"/>
  <c r="B13" i="5" s="1"/>
  <c r="L35" i="4"/>
  <c r="B20" i="5" s="1"/>
  <c r="K35" i="4"/>
  <c r="B19" i="5" s="1"/>
  <c r="I35" i="4"/>
  <c r="B11" i="5" s="1"/>
  <c r="H35" i="4"/>
  <c r="B10" i="5" s="1"/>
  <c r="F35" i="4"/>
  <c r="B8" i="5" s="1"/>
  <c r="E35" i="4"/>
  <c r="B7" i="5" s="1"/>
  <c r="C35" i="4"/>
  <c r="B5" i="5" s="1"/>
  <c r="B35" i="4"/>
  <c r="B4" i="5" s="1"/>
  <c r="BN34" i="4"/>
  <c r="BO34" i="4" s="1"/>
  <c r="BM34" i="4"/>
  <c r="BN33" i="4"/>
  <c r="BM33" i="4"/>
  <c r="BN32" i="4"/>
  <c r="BM32" i="4"/>
  <c r="BN31" i="4"/>
  <c r="BM31" i="4"/>
  <c r="BN30" i="4"/>
  <c r="BM30" i="4"/>
  <c r="BN29" i="4"/>
  <c r="BM29" i="4"/>
  <c r="BN28" i="4"/>
  <c r="BM28" i="4"/>
  <c r="BM27" i="4"/>
  <c r="BM26" i="4"/>
  <c r="BN25" i="4"/>
  <c r="BM25" i="4"/>
  <c r="P25" i="4"/>
  <c r="BN24" i="4"/>
  <c r="BM24" i="4"/>
  <c r="P24" i="4"/>
  <c r="BN23" i="4"/>
  <c r="BM23" i="4"/>
  <c r="P23" i="4"/>
  <c r="BN22" i="4"/>
  <c r="BM22" i="4"/>
  <c r="P22" i="4"/>
  <c r="BN21" i="4"/>
  <c r="BM21" i="4"/>
  <c r="BN20" i="4"/>
  <c r="BM20" i="4"/>
  <c r="BN19" i="4"/>
  <c r="BM19" i="4"/>
  <c r="BN18" i="4"/>
  <c r="BM18" i="4"/>
  <c r="P18" i="4"/>
  <c r="BN17" i="4"/>
  <c r="BM17" i="4"/>
  <c r="P17" i="4"/>
  <c r="BN16" i="4"/>
  <c r="BM16" i="4"/>
  <c r="P16" i="4"/>
  <c r="BN15" i="4"/>
  <c r="BM15" i="4"/>
  <c r="P15" i="4"/>
  <c r="BN14" i="4"/>
  <c r="BM14" i="4"/>
  <c r="BN13" i="4"/>
  <c r="BM13" i="4"/>
  <c r="P13" i="4"/>
  <c r="BN12" i="4"/>
  <c r="BM12" i="4"/>
  <c r="P12" i="4"/>
  <c r="BN11" i="4"/>
  <c r="BM11" i="4"/>
  <c r="P11" i="4"/>
  <c r="BN10" i="4"/>
  <c r="BM10" i="4"/>
  <c r="P10" i="4"/>
  <c r="BN9" i="4"/>
  <c r="BM9" i="4"/>
  <c r="BN8" i="4"/>
  <c r="BM8" i="4"/>
  <c r="P8" i="4"/>
  <c r="BN7" i="4"/>
  <c r="BM7" i="4"/>
  <c r="P7" i="4"/>
  <c r="BN6" i="4"/>
  <c r="BM6" i="4"/>
  <c r="P6" i="4"/>
  <c r="G6" i="4"/>
  <c r="BN5" i="4"/>
  <c r="BM5" i="4"/>
  <c r="AN5" i="4"/>
  <c r="P5" i="4"/>
  <c r="D5" i="4"/>
  <c r="AN24" i="3"/>
  <c r="AN25" i="3"/>
  <c r="AN26" i="3"/>
  <c r="V27" i="3"/>
  <c r="V28" i="3"/>
  <c r="V29" i="3"/>
  <c r="V30" i="3"/>
  <c r="V31" i="3"/>
  <c r="V32" i="3"/>
  <c r="V33" i="3"/>
  <c r="BC32" i="3"/>
  <c r="AW23" i="3"/>
  <c r="AW24" i="3"/>
  <c r="AW25" i="3"/>
  <c r="AW26" i="3"/>
  <c r="AW27" i="3"/>
  <c r="AW28" i="3"/>
  <c r="AW29" i="3"/>
  <c r="AW30" i="3"/>
  <c r="AW31" i="3"/>
  <c r="AW32" i="3"/>
  <c r="AW33" i="3"/>
  <c r="BC33" i="3"/>
  <c r="BF33" i="3"/>
  <c r="BI33" i="3"/>
  <c r="AZ33" i="3"/>
  <c r="AQ33" i="3"/>
  <c r="AT33" i="3"/>
  <c r="AB33" i="3"/>
  <c r="AE33" i="3"/>
  <c r="AH33" i="3"/>
  <c r="S33" i="3"/>
  <c r="M33" i="3"/>
  <c r="G33" i="3"/>
  <c r="BF32" i="3"/>
  <c r="BI32" i="3"/>
  <c r="BL32" i="3"/>
  <c r="AQ32" i="3"/>
  <c r="AT32" i="3"/>
  <c r="AZ32" i="3"/>
  <c r="AB32" i="3"/>
  <c r="AE32" i="3"/>
  <c r="AH32" i="3"/>
  <c r="S32" i="3"/>
  <c r="M32" i="3"/>
  <c r="J32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8" i="3"/>
  <c r="Y9" i="3"/>
  <c r="Y10" i="3"/>
  <c r="Y6" i="3"/>
  <c r="Y7" i="3"/>
  <c r="AB27" i="3"/>
  <c r="AB28" i="3"/>
  <c r="AB29" i="3"/>
  <c r="AB30" i="3"/>
  <c r="AB31" i="3"/>
  <c r="BC24" i="3"/>
  <c r="BC25" i="3"/>
  <c r="BC26" i="3"/>
  <c r="BC27" i="3"/>
  <c r="BC28" i="3"/>
  <c r="BC29" i="3"/>
  <c r="BC30" i="3"/>
  <c r="BC31" i="3"/>
  <c r="BF30" i="3"/>
  <c r="BI30" i="3"/>
  <c r="BL30" i="3"/>
  <c r="BF31" i="3"/>
  <c r="BI31" i="3"/>
  <c r="BL31" i="3"/>
  <c r="AZ30" i="3"/>
  <c r="AZ31" i="3"/>
  <c r="AQ30" i="3"/>
  <c r="AT30" i="3"/>
  <c r="AQ31" i="3"/>
  <c r="AT31" i="3"/>
  <c r="S31" i="3"/>
  <c r="P30" i="3"/>
  <c r="S30" i="3"/>
  <c r="M31" i="3"/>
  <c r="M30" i="3"/>
  <c r="J30" i="3"/>
  <c r="AZ27" i="3"/>
  <c r="AZ28" i="3"/>
  <c r="AZ29" i="3"/>
  <c r="AQ27" i="3"/>
  <c r="AT27" i="3"/>
  <c r="AQ28" i="3"/>
  <c r="AT28" i="3"/>
  <c r="AQ29" i="3"/>
  <c r="AT29" i="3"/>
  <c r="AN29" i="3"/>
  <c r="D29" i="3"/>
  <c r="J29" i="3"/>
  <c r="M29" i="3"/>
  <c r="E18" i="7" l="1"/>
  <c r="H18" i="7"/>
  <c r="BO36" i="6"/>
  <c r="BI35" i="4"/>
  <c r="H12" i="5" s="1"/>
  <c r="H14" i="5"/>
  <c r="H11" i="5"/>
  <c r="H8" i="5"/>
  <c r="E17" i="5"/>
  <c r="AK35" i="4"/>
  <c r="B39" i="5" s="1"/>
  <c r="AE35" i="4"/>
  <c r="B33" i="5" s="1"/>
  <c r="B31" i="5"/>
  <c r="AB35" i="4"/>
  <c r="B30" i="5" s="1"/>
  <c r="B28" i="5"/>
  <c r="AW35" i="4"/>
  <c r="E15" i="5" s="1"/>
  <c r="AT35" i="4"/>
  <c r="E12" i="5" s="1"/>
  <c r="AQ35" i="4"/>
  <c r="E9" i="5" s="1"/>
  <c r="AN35" i="4"/>
  <c r="E6" i="5" s="1"/>
  <c r="S35" i="4"/>
  <c r="B18" i="5" s="1"/>
  <c r="V35" i="4"/>
  <c r="B24" i="5" s="1"/>
  <c r="P35" i="4"/>
  <c r="B15" i="5" s="1"/>
  <c r="M35" i="4"/>
  <c r="B21" i="5" s="1"/>
  <c r="D35" i="4"/>
  <c r="B6" i="5" s="1"/>
  <c r="J35" i="4"/>
  <c r="B12" i="5" s="1"/>
  <c r="BC35" i="4"/>
  <c r="H6" i="5" s="1"/>
  <c r="AH35" i="4"/>
  <c r="B36" i="5" s="1"/>
  <c r="Y35" i="4"/>
  <c r="B27" i="5" s="1"/>
  <c r="BM35" i="4"/>
  <c r="H16" i="5" s="1"/>
  <c r="BO8" i="4"/>
  <c r="BO12" i="4"/>
  <c r="BO16" i="4"/>
  <c r="BO20" i="4"/>
  <c r="BO5" i="4"/>
  <c r="BO13" i="4"/>
  <c r="BO29" i="4"/>
  <c r="BO33" i="4"/>
  <c r="BO24" i="4"/>
  <c r="BO28" i="4"/>
  <c r="BO32" i="4"/>
  <c r="G35" i="4"/>
  <c r="B9" i="5" s="1"/>
  <c r="BO7" i="4"/>
  <c r="BO11" i="4"/>
  <c r="BO15" i="4"/>
  <c r="BO19" i="4"/>
  <c r="BO23" i="4"/>
  <c r="BO27" i="4"/>
  <c r="BO31" i="4"/>
  <c r="BN35" i="4"/>
  <c r="H17" i="5" s="1"/>
  <c r="BO6" i="4"/>
  <c r="BO10" i="4"/>
  <c r="BO14" i="4"/>
  <c r="BO18" i="4"/>
  <c r="BO22" i="4"/>
  <c r="BO30" i="4"/>
  <c r="BO9" i="4"/>
  <c r="BO17" i="4"/>
  <c r="BO21" i="4"/>
  <c r="BO25" i="4"/>
  <c r="BF27" i="3"/>
  <c r="BI27" i="3"/>
  <c r="BL27" i="3"/>
  <c r="BF28" i="3"/>
  <c r="BI28" i="3"/>
  <c r="BL28" i="3"/>
  <c r="BF29" i="3"/>
  <c r="BI29" i="3"/>
  <c r="BL29" i="3"/>
  <c r="S29" i="3"/>
  <c r="P29" i="3"/>
  <c r="G28" i="3"/>
  <c r="S28" i="3"/>
  <c r="S27" i="3"/>
  <c r="M27" i="3"/>
  <c r="BF26" i="3"/>
  <c r="BI26" i="3"/>
  <c r="BL26" i="3"/>
  <c r="AQ26" i="3"/>
  <c r="AT26" i="3"/>
  <c r="AZ26" i="3"/>
  <c r="AB26" i="3"/>
  <c r="V26" i="3"/>
  <c r="S26" i="3"/>
  <c r="M26" i="3"/>
  <c r="AB25" i="3"/>
  <c r="BF25" i="3"/>
  <c r="BI25" i="3"/>
  <c r="BL25" i="3"/>
  <c r="AZ25" i="3"/>
  <c r="AQ25" i="3"/>
  <c r="AT25" i="3"/>
  <c r="V25" i="3"/>
  <c r="S25" i="3"/>
  <c r="M25" i="3"/>
  <c r="G25" i="3"/>
  <c r="AZ24" i="3"/>
  <c r="AQ24" i="3"/>
  <c r="AT24" i="3"/>
  <c r="BF24" i="3"/>
  <c r="BI24" i="3"/>
  <c r="BL24" i="3"/>
  <c r="AB24" i="3"/>
  <c r="V24" i="3"/>
  <c r="S24" i="3"/>
  <c r="J24" i="3"/>
  <c r="M24" i="3"/>
  <c r="AB22" i="3"/>
  <c r="AB23" i="3"/>
  <c r="AB21" i="3"/>
  <c r="BF21" i="3"/>
  <c r="BI21" i="3"/>
  <c r="BL21" i="3"/>
  <c r="BF22" i="3"/>
  <c r="BI22" i="3"/>
  <c r="BL22" i="3"/>
  <c r="BF23" i="3"/>
  <c r="BI23" i="3"/>
  <c r="BL23" i="3"/>
  <c r="BC23" i="3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5" i="1"/>
  <c r="AZ23" i="3"/>
  <c r="AW22" i="3"/>
  <c r="AZ22" i="3"/>
  <c r="AQ22" i="3"/>
  <c r="AT22" i="3"/>
  <c r="AQ23" i="3"/>
  <c r="AT23" i="3"/>
  <c r="AQ21" i="3"/>
  <c r="AT21" i="3"/>
  <c r="AW21" i="3"/>
  <c r="AZ21" i="3"/>
  <c r="AN21" i="3"/>
  <c r="S23" i="3"/>
  <c r="S22" i="3"/>
  <c r="V21" i="3"/>
  <c r="V22" i="3"/>
  <c r="V23" i="3"/>
  <c r="M23" i="3"/>
  <c r="J23" i="3"/>
  <c r="D25" i="3"/>
  <c r="M22" i="3"/>
  <c r="G22" i="3"/>
  <c r="J21" i="3"/>
  <c r="M21" i="3"/>
  <c r="G21" i="3"/>
  <c r="BF6" i="3"/>
  <c r="BC20" i="3"/>
  <c r="BF20" i="3"/>
  <c r="BI20" i="3"/>
  <c r="BL20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7" i="3"/>
  <c r="BN28" i="3"/>
  <c r="BN29" i="3"/>
  <c r="BN30" i="3"/>
  <c r="BN31" i="3"/>
  <c r="BN32" i="3"/>
  <c r="BN33" i="3"/>
  <c r="BN34" i="3"/>
  <c r="BN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5" i="3"/>
  <c r="AN20" i="3"/>
  <c r="AQ20" i="3"/>
  <c r="AT20" i="3"/>
  <c r="AW20" i="3"/>
  <c r="AZ20" i="3"/>
  <c r="AB20" i="3"/>
  <c r="V20" i="3"/>
  <c r="M20" i="3"/>
  <c r="J20" i="3"/>
  <c r="AB19" i="3"/>
  <c r="V19" i="3"/>
  <c r="AQ19" i="3"/>
  <c r="AT19" i="3"/>
  <c r="AW19" i="3"/>
  <c r="AZ19" i="3"/>
  <c r="M19" i="3"/>
  <c r="G20" i="3"/>
  <c r="BI18" i="3"/>
  <c r="BI19" i="3"/>
  <c r="BL19" i="3"/>
  <c r="BF19" i="3"/>
  <c r="AB18" i="3"/>
  <c r="V8" i="3"/>
  <c r="V9" i="3"/>
  <c r="V10" i="3"/>
  <c r="V11" i="3"/>
  <c r="V12" i="3"/>
  <c r="V13" i="3"/>
  <c r="V14" i="3"/>
  <c r="V15" i="3"/>
  <c r="V16" i="3"/>
  <c r="V17" i="3"/>
  <c r="V18" i="3"/>
  <c r="V5" i="3"/>
  <c r="V6" i="3"/>
  <c r="U35" i="3"/>
  <c r="B23" i="2" s="1"/>
  <c r="T35" i="3"/>
  <c r="B22" i="2" s="1"/>
  <c r="V7" i="3"/>
  <c r="AZ18" i="3"/>
  <c r="AW18" i="3"/>
  <c r="AT18" i="3"/>
  <c r="AQ18" i="3"/>
  <c r="BL18" i="3"/>
  <c r="BF18" i="3"/>
  <c r="BC18" i="3"/>
  <c r="M18" i="3"/>
  <c r="J18" i="3"/>
  <c r="G18" i="3"/>
  <c r="AB17" i="3"/>
  <c r="BL17" i="3"/>
  <c r="BI17" i="3"/>
  <c r="BF17" i="3"/>
  <c r="H18" i="5" l="1"/>
  <c r="BO35" i="4"/>
  <c r="BO5" i="3"/>
  <c r="BM35" i="3"/>
  <c r="V35" i="3"/>
  <c r="B24" i="2" s="1"/>
  <c r="AZ17" i="3"/>
  <c r="AW17" i="3"/>
  <c r="AT17" i="3"/>
  <c r="AQ17" i="3"/>
  <c r="AQ16" i="3"/>
  <c r="M17" i="3"/>
  <c r="J17" i="3"/>
  <c r="G17" i="3"/>
  <c r="G16" i="3"/>
  <c r="BL16" i="3"/>
  <c r="BL15" i="3"/>
  <c r="BL14" i="3"/>
  <c r="BL13" i="3"/>
  <c r="BL12" i="3"/>
  <c r="BL11" i="3"/>
  <c r="BL10" i="3"/>
  <c r="BL9" i="3"/>
  <c r="BL8" i="3"/>
  <c r="BL7" i="3"/>
  <c r="BL6" i="3"/>
  <c r="BI16" i="3"/>
  <c r="BI15" i="3"/>
  <c r="BI14" i="3"/>
  <c r="BI13" i="3"/>
  <c r="BI12" i="3"/>
  <c r="BI11" i="3"/>
  <c r="BI10" i="3"/>
  <c r="BI9" i="3"/>
  <c r="BI8" i="3"/>
  <c r="BI7" i="3"/>
  <c r="BI6" i="3"/>
  <c r="BI5" i="3"/>
  <c r="BF16" i="3"/>
  <c r="BF15" i="3"/>
  <c r="BF14" i="3"/>
  <c r="BF13" i="3"/>
  <c r="BF12" i="3"/>
  <c r="BF11" i="3"/>
  <c r="BF10" i="3"/>
  <c r="BF9" i="3"/>
  <c r="BF8" i="3"/>
  <c r="BF7" i="3"/>
  <c r="BF5" i="3"/>
  <c r="BC13" i="3"/>
  <c r="BC10" i="3"/>
  <c r="BC9" i="3"/>
  <c r="BC7" i="3"/>
  <c r="BC6" i="3"/>
  <c r="BC5" i="3"/>
  <c r="AZ16" i="3"/>
  <c r="AZ15" i="3"/>
  <c r="AZ14" i="3"/>
  <c r="AZ13" i="3"/>
  <c r="AZ12" i="3"/>
  <c r="AZ11" i="3"/>
  <c r="AZ10" i="3"/>
  <c r="AZ9" i="3"/>
  <c r="AZ8" i="3"/>
  <c r="AZ7" i="3"/>
  <c r="AZ6" i="3"/>
  <c r="AZ5" i="3"/>
  <c r="AW16" i="3"/>
  <c r="AW15" i="3"/>
  <c r="AW14" i="3"/>
  <c r="AW13" i="3"/>
  <c r="AW11" i="3"/>
  <c r="AW10" i="3"/>
  <c r="AW8" i="3"/>
  <c r="AW7" i="3"/>
  <c r="AW6" i="3"/>
  <c r="AT16" i="3"/>
  <c r="AT13" i="3"/>
  <c r="AT12" i="3"/>
  <c r="AT11" i="3"/>
  <c r="AT10" i="3"/>
  <c r="AT9" i="3"/>
  <c r="AT8" i="3"/>
  <c r="AT7" i="3"/>
  <c r="AT6" i="3"/>
  <c r="AT5" i="3"/>
  <c r="AQ14" i="3"/>
  <c r="AQ13" i="3"/>
  <c r="AQ12" i="3"/>
  <c r="AQ11" i="3"/>
  <c r="AQ10" i="3"/>
  <c r="AQ9" i="3"/>
  <c r="AQ8" i="3"/>
  <c r="AQ7" i="3"/>
  <c r="AQ6" i="3"/>
  <c r="AQ5" i="3"/>
  <c r="AN16" i="3"/>
  <c r="AN12" i="3"/>
  <c r="AN8" i="3"/>
  <c r="AK9" i="3"/>
  <c r="AK8" i="3"/>
  <c r="AH6" i="3"/>
  <c r="AH5" i="3"/>
  <c r="AE5" i="3"/>
  <c r="AB16" i="3"/>
  <c r="AB15" i="3"/>
  <c r="AB14" i="3"/>
  <c r="AB13" i="3"/>
  <c r="AB11" i="3"/>
  <c r="AB10" i="3"/>
  <c r="AB9" i="3"/>
  <c r="AB8" i="3"/>
  <c r="AB7" i="3"/>
  <c r="AB6" i="3"/>
  <c r="AB5" i="3"/>
  <c r="S16" i="3"/>
  <c r="S15" i="3"/>
  <c r="S8" i="3"/>
  <c r="S7" i="3"/>
  <c r="P9" i="3"/>
  <c r="M16" i="3"/>
  <c r="M15" i="3"/>
  <c r="M14" i="3"/>
  <c r="M13" i="3"/>
  <c r="M10" i="3"/>
  <c r="M9" i="3"/>
  <c r="M8" i="3"/>
  <c r="M7" i="3"/>
  <c r="M6" i="3"/>
  <c r="M5" i="3"/>
  <c r="J16" i="3"/>
  <c r="J15" i="3"/>
  <c r="J12" i="3"/>
  <c r="J9" i="3"/>
  <c r="J8" i="3"/>
  <c r="J6" i="3"/>
  <c r="J5" i="3"/>
  <c r="G11" i="3"/>
  <c r="G9" i="3"/>
  <c r="G8" i="3"/>
  <c r="G5" i="3"/>
  <c r="D15" i="3"/>
  <c r="D9" i="3"/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10" i="1"/>
  <c r="S11" i="1"/>
  <c r="S12" i="1"/>
  <c r="S13" i="1"/>
  <c r="S14" i="1"/>
  <c r="S15" i="1"/>
  <c r="S5" i="1"/>
  <c r="S6" i="1"/>
  <c r="S7" i="1"/>
  <c r="S8" i="1"/>
  <c r="P35" i="1"/>
  <c r="P33" i="1"/>
  <c r="P26" i="1"/>
  <c r="P27" i="1"/>
  <c r="P28" i="1"/>
  <c r="P29" i="1"/>
  <c r="P30" i="1"/>
  <c r="P22" i="1"/>
  <c r="P23" i="1"/>
  <c r="P24" i="1"/>
  <c r="P16" i="1"/>
  <c r="P17" i="1"/>
  <c r="P18" i="1"/>
  <c r="P5" i="1"/>
  <c r="P6" i="1"/>
  <c r="P7" i="1"/>
  <c r="P8" i="1"/>
  <c r="P9" i="1"/>
  <c r="P10" i="1"/>
  <c r="P11" i="1"/>
  <c r="P12" i="1"/>
  <c r="P13" i="1"/>
  <c r="BL33" i="3"/>
  <c r="BL5" i="3"/>
  <c r="BC22" i="3"/>
  <c r="BC21" i="3"/>
  <c r="BC19" i="3"/>
  <c r="BC17" i="3"/>
  <c r="BC16" i="3"/>
  <c r="BC15" i="3"/>
  <c r="BC14" i="3"/>
  <c r="BC12" i="3"/>
  <c r="BC11" i="3"/>
  <c r="BC8" i="3"/>
  <c r="AW34" i="3"/>
  <c r="AW12" i="3"/>
  <c r="AW9" i="3"/>
  <c r="AW5" i="3"/>
  <c r="AT34" i="3"/>
  <c r="AT15" i="3"/>
  <c r="AT14" i="3"/>
  <c r="AQ34" i="3"/>
  <c r="AQ15" i="3"/>
  <c r="AN34" i="3"/>
  <c r="AN33" i="3"/>
  <c r="AN32" i="3"/>
  <c r="AN31" i="3"/>
  <c r="AN30" i="3"/>
  <c r="AN28" i="3"/>
  <c r="AN27" i="3"/>
  <c r="AN23" i="3"/>
  <c r="AN22" i="3"/>
  <c r="AN19" i="3"/>
  <c r="AN18" i="3"/>
  <c r="AN17" i="3"/>
  <c r="AN15" i="3"/>
  <c r="AN14" i="3"/>
  <c r="AN13" i="3"/>
  <c r="AN11" i="3"/>
  <c r="AN10" i="3"/>
  <c r="AN9" i="3"/>
  <c r="AN7" i="3"/>
  <c r="AN6" i="3"/>
  <c r="AN5" i="3"/>
  <c r="AK34" i="3"/>
  <c r="AK33" i="3"/>
  <c r="AK32" i="3"/>
  <c r="AK7" i="3"/>
  <c r="AK6" i="3"/>
  <c r="AK5" i="3"/>
  <c r="AH34" i="3"/>
  <c r="AE34" i="3"/>
  <c r="AB34" i="3"/>
  <c r="AB12" i="3"/>
  <c r="Y34" i="3"/>
  <c r="Y33" i="3"/>
  <c r="Y32" i="3"/>
  <c r="Y5" i="3"/>
  <c r="M34" i="3"/>
  <c r="M28" i="3"/>
  <c r="M12" i="3"/>
  <c r="M11" i="3"/>
  <c r="S21" i="3"/>
  <c r="S20" i="3"/>
  <c r="S19" i="3"/>
  <c r="S18" i="3"/>
  <c r="S17" i="3"/>
  <c r="S14" i="3"/>
  <c r="S13" i="3"/>
  <c r="S12" i="3"/>
  <c r="S11" i="3"/>
  <c r="S10" i="3"/>
  <c r="S9" i="3"/>
  <c r="S6" i="3"/>
  <c r="S5" i="3"/>
  <c r="P34" i="3"/>
  <c r="P33" i="3"/>
  <c r="P32" i="3"/>
  <c r="P31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8" i="3"/>
  <c r="P7" i="3"/>
  <c r="P6" i="3"/>
  <c r="P5" i="3"/>
  <c r="J33" i="3"/>
  <c r="J31" i="3"/>
  <c r="J28" i="3"/>
  <c r="J27" i="3"/>
  <c r="J26" i="3"/>
  <c r="J25" i="3"/>
  <c r="J22" i="3"/>
  <c r="J19" i="3"/>
  <c r="J14" i="3"/>
  <c r="J13" i="3"/>
  <c r="J11" i="3"/>
  <c r="J10" i="3"/>
  <c r="G32" i="3"/>
  <c r="G31" i="3"/>
  <c r="G30" i="3"/>
  <c r="G27" i="3"/>
  <c r="G26" i="3"/>
  <c r="G24" i="3"/>
  <c r="G23" i="3"/>
  <c r="G19" i="3"/>
  <c r="G15" i="3"/>
  <c r="G14" i="3"/>
  <c r="G13" i="3"/>
  <c r="G12" i="3"/>
  <c r="G10" i="3"/>
  <c r="G7" i="3"/>
  <c r="G6" i="3"/>
  <c r="D34" i="3"/>
  <c r="D33" i="3"/>
  <c r="D32" i="3"/>
  <c r="D31" i="3"/>
  <c r="D30" i="3"/>
  <c r="D28" i="3"/>
  <c r="D27" i="3"/>
  <c r="D26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8" i="3"/>
  <c r="D7" i="3"/>
  <c r="D6" i="3"/>
  <c r="D5" i="3"/>
  <c r="J7" i="3" l="1"/>
  <c r="AT19" i="1" l="1"/>
  <c r="AT13" i="1"/>
  <c r="AT11" i="1"/>
  <c r="AK6" i="1"/>
  <c r="AK7" i="1"/>
  <c r="AK8" i="1"/>
  <c r="AK9" i="1"/>
  <c r="AK10" i="1"/>
  <c r="AK11" i="1"/>
  <c r="AK12" i="1"/>
  <c r="AK13" i="1"/>
  <c r="AK5" i="1"/>
  <c r="BK35" i="3" l="1"/>
  <c r="BJ35" i="3"/>
  <c r="H13" i="2" s="1"/>
  <c r="BH35" i="3"/>
  <c r="BG35" i="3"/>
  <c r="H10" i="2" s="1"/>
  <c r="BE35" i="3"/>
  <c r="BD35" i="3"/>
  <c r="H7" i="2" s="1"/>
  <c r="BB35" i="3"/>
  <c r="BA35" i="3"/>
  <c r="H4" i="2" s="1"/>
  <c r="AY35" i="3"/>
  <c r="AX35" i="3"/>
  <c r="AV35" i="3"/>
  <c r="E14" i="2" s="1"/>
  <c r="AU35" i="3"/>
  <c r="E13" i="2" s="1"/>
  <c r="AS35" i="3"/>
  <c r="E11" i="2" s="1"/>
  <c r="AR35" i="3"/>
  <c r="E10" i="2" s="1"/>
  <c r="AP35" i="3"/>
  <c r="E8" i="2" s="1"/>
  <c r="AO35" i="3"/>
  <c r="E7" i="2" s="1"/>
  <c r="AM35" i="3"/>
  <c r="E5" i="2" s="1"/>
  <c r="AL35" i="3"/>
  <c r="E4" i="2" s="1"/>
  <c r="AJ35" i="3"/>
  <c r="B38" i="2" s="1"/>
  <c r="AI35" i="3"/>
  <c r="B37" i="2" s="1"/>
  <c r="AG35" i="3"/>
  <c r="B35" i="2" s="1"/>
  <c r="AF35" i="3"/>
  <c r="B34" i="2" s="1"/>
  <c r="AD35" i="3"/>
  <c r="B32" i="2" s="1"/>
  <c r="AC35" i="3"/>
  <c r="B31" i="2" s="1"/>
  <c r="AA35" i="3"/>
  <c r="B29" i="2" s="1"/>
  <c r="Z35" i="3"/>
  <c r="B28" i="2" s="1"/>
  <c r="X35" i="3"/>
  <c r="B26" i="2" s="1"/>
  <c r="W35" i="3"/>
  <c r="B25" i="2" s="1"/>
  <c r="L35" i="3"/>
  <c r="B20" i="2" s="1"/>
  <c r="K35" i="3"/>
  <c r="B19" i="2" s="1"/>
  <c r="R35" i="3"/>
  <c r="B17" i="2" s="1"/>
  <c r="Q35" i="3"/>
  <c r="B16" i="2" s="1"/>
  <c r="O35" i="3"/>
  <c r="B14" i="2" s="1"/>
  <c r="N35" i="3"/>
  <c r="B13" i="2" s="1"/>
  <c r="I35" i="3"/>
  <c r="B11" i="2" s="1"/>
  <c r="H35" i="3"/>
  <c r="B10" i="2" s="1"/>
  <c r="F35" i="3"/>
  <c r="B8" i="2" s="1"/>
  <c r="E35" i="3"/>
  <c r="B7" i="2" s="1"/>
  <c r="C35" i="3"/>
  <c r="B5" i="2" s="1"/>
  <c r="B35" i="3"/>
  <c r="B4" i="2" s="1"/>
  <c r="AZ10" i="1"/>
  <c r="M29" i="1"/>
  <c r="P25" i="1"/>
  <c r="P19" i="1"/>
  <c r="P14" i="1"/>
  <c r="D24" i="1"/>
  <c r="G21" i="1"/>
  <c r="H5" i="2" l="1"/>
  <c r="BN35" i="3"/>
  <c r="H17" i="2" s="1"/>
  <c r="AZ35" i="3"/>
  <c r="BI35" i="3"/>
  <c r="H12" i="2" s="1"/>
  <c r="H11" i="2"/>
  <c r="BF35" i="3"/>
  <c r="H9" i="2" s="1"/>
  <c r="H8" i="2"/>
  <c r="BL35" i="3"/>
  <c r="H15" i="2" s="1"/>
  <c r="H14" i="2"/>
  <c r="E17" i="2"/>
  <c r="E16" i="2"/>
  <c r="AW35" i="3"/>
  <c r="E15" i="2" s="1"/>
  <c r="AN35" i="3"/>
  <c r="E6" i="2" s="1"/>
  <c r="AQ35" i="3"/>
  <c r="E9" i="2" s="1"/>
  <c r="AT35" i="3"/>
  <c r="E12" i="2" s="1"/>
  <c r="AE35" i="3"/>
  <c r="B33" i="2" s="1"/>
  <c r="Y35" i="3"/>
  <c r="B27" i="2" s="1"/>
  <c r="AH35" i="3"/>
  <c r="B36" i="2" s="1"/>
  <c r="AB35" i="3"/>
  <c r="B30" i="2" s="1"/>
  <c r="S35" i="3"/>
  <c r="B18" i="2" s="1"/>
  <c r="M35" i="3"/>
  <c r="B21" i="2" s="1"/>
  <c r="J35" i="3"/>
  <c r="B12" i="2" s="1"/>
  <c r="G35" i="3"/>
  <c r="B9" i="2" s="1"/>
  <c r="D35" i="3"/>
  <c r="B6" i="2" s="1"/>
  <c r="BC35" i="3"/>
  <c r="H6" i="2" s="1"/>
  <c r="AK35" i="3"/>
  <c r="B39" i="2" s="1"/>
  <c r="BO20" i="3"/>
  <c r="BO12" i="3"/>
  <c r="BO6" i="3"/>
  <c r="BO14" i="3"/>
  <c r="BO27" i="3"/>
  <c r="BO15" i="3"/>
  <c r="BO19" i="3"/>
  <c r="BO31" i="3"/>
  <c r="P35" i="3"/>
  <c r="B15" i="2" s="1"/>
  <c r="BO7" i="3"/>
  <c r="BO30" i="3"/>
  <c r="H16" i="2"/>
  <c r="BO9" i="3"/>
  <c r="BO22" i="3"/>
  <c r="BO25" i="3"/>
  <c r="BO34" i="3"/>
  <c r="BO11" i="3"/>
  <c r="BO18" i="3"/>
  <c r="BO23" i="3"/>
  <c r="BO32" i="3"/>
  <c r="BO29" i="3"/>
  <c r="BO10" i="3"/>
  <c r="BO16" i="3"/>
  <c r="BO24" i="3"/>
  <c r="BO33" i="3"/>
  <c r="BO8" i="3"/>
  <c r="BO13" i="3"/>
  <c r="BO17" i="3"/>
  <c r="BO21" i="3"/>
  <c r="BO26" i="3"/>
  <c r="BO28" i="3"/>
  <c r="J8" i="1"/>
  <c r="J9" i="1"/>
  <c r="J13" i="1"/>
  <c r="J14" i="1"/>
  <c r="J15" i="1"/>
  <c r="J17" i="1"/>
  <c r="J19" i="1"/>
  <c r="J30" i="1"/>
  <c r="J35" i="1"/>
  <c r="K36" i="1"/>
  <c r="G35" i="1"/>
  <c r="G31" i="1"/>
  <c r="G29" i="1"/>
  <c r="G28" i="1"/>
  <c r="G27" i="1"/>
  <c r="G24" i="1"/>
  <c r="G23" i="1"/>
  <c r="G22" i="1"/>
  <c r="G18" i="1"/>
  <c r="G16" i="1"/>
  <c r="G14" i="1"/>
  <c r="G10" i="1"/>
  <c r="G9" i="1"/>
  <c r="G8" i="1"/>
  <c r="G7" i="1"/>
  <c r="G5" i="1"/>
  <c r="BI14" i="1"/>
  <c r="BI10" i="1"/>
  <c r="AZ5" i="1"/>
  <c r="AZ33" i="1"/>
  <c r="AZ31" i="1"/>
  <c r="AZ26" i="1"/>
  <c r="AZ22" i="1"/>
  <c r="AZ20" i="1"/>
  <c r="AZ18" i="1"/>
  <c r="AZ17" i="1"/>
  <c r="AZ16" i="1"/>
  <c r="AZ15" i="1"/>
  <c r="AZ14" i="1"/>
  <c r="AZ12" i="1"/>
  <c r="AZ9" i="1"/>
  <c r="AW34" i="1"/>
  <c r="AW31" i="1"/>
  <c r="AW24" i="1"/>
  <c r="AW21" i="1"/>
  <c r="AW19" i="1"/>
  <c r="AT33" i="1"/>
  <c r="AT29" i="1"/>
  <c r="AT28" i="1"/>
  <c r="AT26" i="1"/>
  <c r="AT23" i="1"/>
  <c r="AQ24" i="1"/>
  <c r="AQ23" i="1"/>
  <c r="AN32" i="1"/>
  <c r="AN29" i="1"/>
  <c r="AN24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S9" i="1"/>
  <c r="P34" i="1"/>
  <c r="P32" i="1"/>
  <c r="P31" i="1"/>
  <c r="P21" i="1"/>
  <c r="P20" i="1"/>
  <c r="P15" i="1"/>
  <c r="M35" i="1"/>
  <c r="M34" i="1"/>
  <c r="M32" i="1"/>
  <c r="M31" i="1"/>
  <c r="M30" i="1"/>
  <c r="M28" i="1"/>
  <c r="M27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0" i="1"/>
  <c r="M9" i="1"/>
  <c r="M8" i="1"/>
  <c r="M7" i="1"/>
  <c r="M6" i="1"/>
  <c r="M5" i="1"/>
  <c r="AH31" i="1"/>
  <c r="AH29" i="1"/>
  <c r="AH28" i="1"/>
  <c r="AH27" i="1"/>
  <c r="AH22" i="1"/>
  <c r="AH20" i="1"/>
  <c r="AH14" i="1"/>
  <c r="AH13" i="1"/>
  <c r="AE22" i="1"/>
  <c r="AE21" i="1"/>
  <c r="AB35" i="1"/>
  <c r="AB28" i="1"/>
  <c r="AB18" i="1"/>
  <c r="AB17" i="1"/>
  <c r="AB15" i="1"/>
  <c r="Y28" i="1"/>
  <c r="V6" i="1"/>
  <c r="D35" i="1"/>
  <c r="D34" i="1"/>
  <c r="D33" i="1"/>
  <c r="D32" i="1"/>
  <c r="D31" i="1"/>
  <c r="D30" i="1"/>
  <c r="D29" i="1"/>
  <c r="D28" i="1"/>
  <c r="D27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BH36" i="1"/>
  <c r="BG36" i="1"/>
  <c r="BE36" i="1"/>
  <c r="BD36" i="1"/>
  <c r="BB36" i="1"/>
  <c r="BA36" i="1"/>
  <c r="AY36" i="1"/>
  <c r="AX36" i="1"/>
  <c r="AV36" i="1"/>
  <c r="AU36" i="1"/>
  <c r="AS36" i="1"/>
  <c r="AR36" i="1"/>
  <c r="AP36" i="1"/>
  <c r="AO36" i="1"/>
  <c r="AM36" i="1"/>
  <c r="AL36" i="1"/>
  <c r="AJ36" i="1"/>
  <c r="AI36" i="1"/>
  <c r="R36" i="1"/>
  <c r="Q36" i="1"/>
  <c r="O36" i="1"/>
  <c r="N36" i="1"/>
  <c r="L36" i="1"/>
  <c r="I36" i="1"/>
  <c r="H36" i="1"/>
  <c r="F36" i="1"/>
  <c r="E36" i="1"/>
  <c r="AG36" i="1"/>
  <c r="AF36" i="1"/>
  <c r="AD36" i="1"/>
  <c r="AC36" i="1"/>
  <c r="AA36" i="1"/>
  <c r="Z36" i="1"/>
  <c r="X36" i="1"/>
  <c r="W36" i="1"/>
  <c r="U36" i="1"/>
  <c r="T36" i="1"/>
  <c r="C36" i="1"/>
  <c r="B36" i="1"/>
  <c r="E18" i="2" l="1"/>
  <c r="BO35" i="3"/>
  <c r="BL20" i="1"/>
  <c r="BL35" i="1"/>
  <c r="BL34" i="1"/>
  <c r="BL33" i="1"/>
  <c r="BL32" i="1"/>
  <c r="BL28" i="1"/>
  <c r="BL24" i="1"/>
  <c r="BL21" i="1"/>
  <c r="BL19" i="1"/>
  <c r="BL18" i="1"/>
  <c r="BL16" i="1"/>
  <c r="BL15" i="1"/>
  <c r="BL14" i="1"/>
  <c r="BL12" i="1"/>
  <c r="BL11" i="1"/>
  <c r="BL9" i="1"/>
  <c r="BL7" i="1"/>
  <c r="BL31" i="1"/>
  <c r="BL29" i="1"/>
  <c r="BJ36" i="1"/>
  <c r="BL5" i="1"/>
  <c r="D36" i="1"/>
  <c r="M36" i="1"/>
  <c r="AN36" i="1"/>
  <c r="BC36" i="1"/>
  <c r="AZ36" i="1"/>
  <c r="BL13" i="1"/>
  <c r="BL17" i="1"/>
  <c r="V36" i="1"/>
  <c r="AH36" i="1"/>
  <c r="P36" i="1"/>
  <c r="AQ36" i="1"/>
  <c r="BF36" i="1"/>
  <c r="BL22" i="1"/>
  <c r="BL26" i="1"/>
  <c r="BL30" i="1"/>
  <c r="BL23" i="1"/>
  <c r="BL27" i="1"/>
  <c r="AE36" i="1"/>
  <c r="BL25" i="1"/>
  <c r="Y36" i="1"/>
  <c r="G36" i="1"/>
  <c r="S36" i="1"/>
  <c r="AT36" i="1"/>
  <c r="AB36" i="1"/>
  <c r="J36" i="1"/>
  <c r="AK36" i="1"/>
  <c r="AW36" i="1"/>
  <c r="BI36" i="1"/>
  <c r="BK36" i="1"/>
  <c r="BL10" i="1"/>
  <c r="BL6" i="1"/>
  <c r="BL8" i="1" l="1"/>
  <c r="H18" i="2"/>
  <c r="BL36" i="1"/>
  <c r="BQ8" i="11" l="1"/>
  <c r="BQ8" i="13"/>
  <c r="BQ8" i="2"/>
  <c r="BQ8" i="9"/>
  <c r="BQ8" i="7"/>
  <c r="BQ8" i="5"/>
  <c r="B23" i="15"/>
  <c r="V36" i="14" l="1"/>
  <c r="B24" i="15" s="1"/>
  <c r="D35" i="24"/>
  <c r="B6" i="25" s="1"/>
  <c r="D5" i="24"/>
  <c r="B4" i="25" l="1"/>
  <c r="CN31" i="24"/>
  <c r="CN32" i="24"/>
  <c r="CP32" i="24" s="1"/>
  <c r="AR35" i="24"/>
  <c r="AT35" i="24" s="1"/>
  <c r="B42" i="25" s="1"/>
  <c r="CN35" i="24" l="1"/>
  <c r="CP35" i="24" s="1"/>
  <c r="CP31" i="24"/>
  <c r="B40" i="25"/>
  <c r="CP5" i="34"/>
  <c r="AT36" i="34" l="1"/>
  <c r="B40" i="35"/>
  <c r="CP36" i="34"/>
  <c r="B42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tc={440568A2-ACBA-4E77-9A63-40197A417C74}</author>
  </authors>
  <commentList>
    <comment ref="AL25" authorId="0" shapeId="0" xr:uid="{440568A2-ACBA-4E77-9A63-40197A417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Payload protection for x2 loads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tc={B6CD9EA8-8C31-4A5F-B670-77BDB8C2D6D0}</author>
    <author>tc={8E0F1533-0034-4015-B70E-3D309FCD4CCF}</author>
  </authors>
  <commentList>
    <comment ref="Q7" authorId="0" shapeId="0" xr:uid="{B6CD9EA8-8C31-4A5F-B670-77BDB8C2D6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TTAF to DCT
</t>
      </text>
    </comment>
    <comment ref="U90" authorId="1" shapeId="0" xr:uid="{8E0F1533-0034-4015-B70E-3D309FCD4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MOTUS GP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tc={788A0024-1B94-472B-BDBF-30ED0ABEF1ED}</author>
  </authors>
  <commentList>
    <comment ref="U17" authorId="0" shapeId="0" xr:uid="{788A0024-1B94-472B-BDBF-30ED0ABEF1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MOTUS GP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tc={BF89BA0B-5B37-4F41-8A8A-A71DDFC9317E}</author>
  </authors>
  <commentList>
    <comment ref="U17" authorId="0" shapeId="0" xr:uid="{BF89BA0B-5B37-4F41-8A8A-A71DDFC931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MOTUS GP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tc={BD04215B-5036-4919-A67C-33E3DCCDD803}</author>
    <author>tc={D943508B-C1A1-4D9A-8C69-C992E0BB0CDE}</author>
    <author>tc={D9626B31-2C00-4059-B831-A0AA3B5FCAE0}</author>
  </authors>
  <commentList>
    <comment ref="AV26" authorId="0" shapeId="0" xr:uid="{BD04215B-5036-4919-A67C-33E3DCCDD8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X4 Carriers to EC
</t>
      </text>
    </comment>
    <comment ref="AV27" authorId="1" shapeId="0" xr:uid="{D943508B-C1A1-4D9A-8C69-C992E0BB0CDE}">
      <text>
        <t>[Threaded comment]
Your version of Excel allows you to read this threaded comment; however, any edits to it will get removed if the file is opened in a newer version of Excel. Learn more: https://go.microsoft.com/fwlink/?linkid=870924
Comment:
    X3 Empty to DBN</t>
      </text>
    </comment>
    <comment ref="AV28" authorId="2" shapeId="0" xr:uid="{D9626B31-2C00-4059-B831-A0AA3B5FCA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X3 Empty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tc={E6028D5C-8D1F-4A8A-AD35-219589BB57AE}</author>
    <author>tc={B3184A37-D807-4B86-AFE8-D9E2E4F4B659}</author>
  </authors>
  <commentList>
    <comment ref="BB7" authorId="0" shapeId="0" xr:uid="{E6028D5C-8D1F-4A8A-AD35-219589BB57AE}">
      <text>
        <t>[Threaded comment]
Your version of Excel allows you to read this threaded comment; however, any edits to it will get removed if the file is opened in a newer version of Excel. Learn more: https://go.microsoft.com/fwlink/?linkid=870924
Comment:
    1 CC Empty from EL</t>
      </text>
    </comment>
    <comment ref="BB8" authorId="1" shapeId="0" xr:uid="{B3184A37-D807-4B86-AFE8-D9E2E4F4B659}">
      <text>
        <t>[Threaded comment]
Your version of Excel allows you to read this threaded comment; however, any edits to it will get removed if the file is opened in a newer version of Excel. Learn more: https://go.microsoft.com/fwlink/?linkid=870924
Comment:
    1 CC Empty from EL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tc={07A94DFE-5FE9-403D-8B24-956A49158CD1}</author>
  </authors>
  <commentList>
    <comment ref="BE8" authorId="0" shapeId="0" xr:uid="{07A94DFE-5FE9-403D-8B24-956A49158CD1}">
      <text>
        <t>[Threaded comment]
Your version of Excel allows you to read this threaded comment; however, any edits to it will get removed if the file is opened in a newer version of Excel. Learn more: https://go.microsoft.com/fwlink/?linkid=870924
Comment:
    1 X CC LOADED X1 UNIT FROM EL AND RAN BACK TO DBN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Carey Gobind</author>
  </authors>
  <commentList>
    <comment ref="BK13" authorId="0" shapeId="0" xr:uid="{04A737D4-D6D7-4F53-BC88-21389E616DDF}">
      <text>
        <r>
          <rPr>
            <b/>
            <sz val="9"/>
            <color indexed="81"/>
            <rFont val="Tahoma"/>
            <family val="2"/>
          </rPr>
          <t>Carey Gobind:</t>
        </r>
        <r>
          <rPr>
            <sz val="9"/>
            <color indexed="81"/>
            <rFont val="Tahoma"/>
            <family val="2"/>
          </rPr>
          <t xml:space="preserve">
Empty to Dbn
</t>
        </r>
      </text>
    </comment>
    <comment ref="BK14" authorId="0" shapeId="0" xr:uid="{8054A778-761E-4ED1-8D16-9354A6FF7499}">
      <text>
        <r>
          <rPr>
            <b/>
            <sz val="9"/>
            <color indexed="81"/>
            <rFont val="Tahoma"/>
            <family val="2"/>
          </rPr>
          <t>Carey Gobind:</t>
        </r>
        <r>
          <rPr>
            <sz val="9"/>
            <color indexed="81"/>
            <rFont val="Tahoma"/>
            <family val="2"/>
          </rPr>
          <t xml:space="preserve">
1 Empty to Dbn
</t>
        </r>
      </text>
    </comment>
  </commentList>
</comments>
</file>

<file path=xl/sharedStrings.xml><?xml version="1.0" encoding="utf-8"?>
<sst xmlns="http://schemas.openxmlformats.org/spreadsheetml/2006/main" count="5912" uniqueCount="138">
  <si>
    <t>PAYLOAD REPORT BY ROUTE AND MONTH OCT 2023</t>
  </si>
  <si>
    <t xml:space="preserve">Aversen </t>
  </si>
  <si>
    <t>Jerome</t>
  </si>
  <si>
    <t xml:space="preserve">Ansar </t>
  </si>
  <si>
    <t>Ansar</t>
  </si>
  <si>
    <t>Brent</t>
  </si>
  <si>
    <t xml:space="preserve">Sune </t>
  </si>
  <si>
    <t xml:space="preserve">Total vehicles </t>
  </si>
  <si>
    <t xml:space="preserve">Route Kzn - Western Cape </t>
  </si>
  <si>
    <t>Route Kzn - Northern Cape</t>
  </si>
  <si>
    <t xml:space="preserve">Route Kzn - Gauteng </t>
  </si>
  <si>
    <t>Route Kzn - Kzn Dealer</t>
  </si>
  <si>
    <t>Route DCT - VDC / Other S/Yard</t>
  </si>
  <si>
    <t>Route Kzn - Other</t>
  </si>
  <si>
    <t>Route Western Cape to PE</t>
  </si>
  <si>
    <t>Route Western Cape to EL</t>
  </si>
  <si>
    <t xml:space="preserve">Route Western Cape to Kzn </t>
  </si>
  <si>
    <t>Route Western Cape to GP</t>
  </si>
  <si>
    <t>Route Western Cape to Other</t>
  </si>
  <si>
    <t>Route PE - Kzn</t>
  </si>
  <si>
    <t>Route PE - Western Cape</t>
  </si>
  <si>
    <t>Route PE - Gauteng</t>
  </si>
  <si>
    <t xml:space="preserve">Route PE - Freestate </t>
  </si>
  <si>
    <t>Route PE - Other</t>
  </si>
  <si>
    <t xml:space="preserve">Route Gauteng - Kzn </t>
  </si>
  <si>
    <t>Route Gauteng - Eastern Cape</t>
  </si>
  <si>
    <t>Route Gauteng - Western Cape</t>
  </si>
  <si>
    <t>Route Gauteng - Other</t>
  </si>
  <si>
    <t xml:space="preserve">TOTALS </t>
  </si>
  <si>
    <t xml:space="preserve">DAY DATE </t>
  </si>
  <si>
    <t xml:space="preserve">Total Carriers </t>
  </si>
  <si>
    <t>Payload</t>
  </si>
  <si>
    <t>-</t>
  </si>
  <si>
    <t xml:space="preserve">Total </t>
  </si>
  <si>
    <t>PAYLOAD REPORT BY ROUTE AND MONTH NOV 2023</t>
  </si>
  <si>
    <t>Route KZN - Maputo TTAF/Other</t>
  </si>
  <si>
    <t>Route EC - Kzn</t>
  </si>
  <si>
    <t>Route EC - Western Cape</t>
  </si>
  <si>
    <t>Route EC - Gauteng</t>
  </si>
  <si>
    <t xml:space="preserve">Route EC- Freestate </t>
  </si>
  <si>
    <t>Route EC - Maputo</t>
  </si>
  <si>
    <t>PAYLOAD SUMMARY OCTOBER 2023</t>
  </si>
  <si>
    <t xml:space="preserve">Route </t>
  </si>
  <si>
    <t>Stats</t>
  </si>
  <si>
    <t>Route DCT - VDC and/any other SY</t>
  </si>
  <si>
    <t>Route PE - Maputo</t>
  </si>
  <si>
    <t>Route KZN - Maputo TTAF</t>
  </si>
  <si>
    <t>PAYLOAD REPORT BY ROUTE AND MONTH JAN 2024</t>
  </si>
  <si>
    <t>PAYLOAD REPORT BY ROUTE AND MONTH FEB 2024</t>
  </si>
  <si>
    <t>PAYLOAD SUMMARY DECEMBER 2023</t>
  </si>
  <si>
    <t>PAYLOAD REPORT BY ROUTE AND MONTH MAR 2024</t>
  </si>
  <si>
    <t>PAYLOAD SUMMARY MARCH 2024</t>
  </si>
  <si>
    <t>PAYLOAD REPORT BY ROUTE AND MONTH APRIL 2024</t>
  </si>
  <si>
    <t>should be 8 unless we had payload protection</t>
  </si>
  <si>
    <t>very concerning</t>
  </si>
  <si>
    <t>Route Kzn - Eastern Cape</t>
  </si>
  <si>
    <t xml:space="preserve">looks low - unless payload protection </t>
  </si>
  <si>
    <t>Why not 6?</t>
  </si>
  <si>
    <t>PAYLOAD REPORT BY ROUTE AND MONTH MAY 2024</t>
  </si>
  <si>
    <t>Route Western Cape to WC</t>
  </si>
  <si>
    <t>PAYLOAD SUMMARY MAY2024</t>
  </si>
  <si>
    <t>PAYLOAD REPORT BY ROUTE AND MONTH JUNE 2024</t>
  </si>
  <si>
    <t>Route KZN - GP</t>
  </si>
  <si>
    <t>Route Western Cape to FS</t>
  </si>
  <si>
    <t>Route Western Cape to Local</t>
  </si>
  <si>
    <t>PAYLOAD REPORT BY ROUTE AND MONTH JULY 2024</t>
  </si>
  <si>
    <t>PAYLOAD REPORT BY ROUTE AND MONTH AUG 2024</t>
  </si>
  <si>
    <t>Route Kzn - GP</t>
  </si>
  <si>
    <t>Route KZN - NC</t>
  </si>
  <si>
    <t>Route KZN - EC</t>
  </si>
  <si>
    <t>Route Western Cape to Limpopo</t>
  </si>
  <si>
    <t>PAYLOAD SUMMARY August2024</t>
  </si>
  <si>
    <t>PAYLOAD REPORT BY ROUTE AND MONTH SEPT 2024</t>
  </si>
  <si>
    <t>Route KZN - TTAF</t>
  </si>
  <si>
    <t>Route KZN - Botswana</t>
  </si>
  <si>
    <t>Route KZN - MP/NC</t>
  </si>
  <si>
    <t>PAYLOAD SUMMARY September 2024</t>
  </si>
  <si>
    <t>PAYLOAD REPORT BY ROUTE AND MONTH OCT 2024</t>
  </si>
  <si>
    <t>MASSIA</t>
  </si>
  <si>
    <t>Route KZN - DCT</t>
  </si>
  <si>
    <t>Route KZN - WC</t>
  </si>
  <si>
    <t>Route EL - KZN</t>
  </si>
  <si>
    <t>Route EL - GP</t>
  </si>
  <si>
    <t>Route EL - FS</t>
  </si>
  <si>
    <t>Route Gauteng -KZN</t>
  </si>
  <si>
    <t>Route Kzn - Maputo TTAF/Other</t>
  </si>
  <si>
    <t>Route KZN -  TTAF</t>
  </si>
  <si>
    <t>PAYLOAD REPORT BY ROUTE AND MONTH DEC 2024</t>
  </si>
  <si>
    <t>PAYLOAD REPORT BY ROUTE AND MONTH JAN 2025</t>
  </si>
  <si>
    <t xml:space="preserve">- </t>
  </si>
  <si>
    <t xml:space="preserve">  </t>
  </si>
  <si>
    <t>Route KZN - MOZ</t>
  </si>
  <si>
    <t>PAYLOAD SUMMARY FEBRUARY 2025</t>
  </si>
  <si>
    <t>PAYLOAD SUMMARY JANUARY 2025</t>
  </si>
  <si>
    <t>PAYLOAD SUMMARY DECEMBER 2024</t>
  </si>
  <si>
    <t>PAYLOAD REPORT BY ROUTE AND MONTH FEB 2025</t>
  </si>
  <si>
    <t>PAYLOAD REPORT BY ROUTE AND MONTH MAR 2025</t>
  </si>
  <si>
    <t>Route Gauteng - FS</t>
  </si>
  <si>
    <t>PAYLOAD REPORT BY ROUTE AND MONTH APRIL 2025</t>
  </si>
  <si>
    <t>Route Gauteng - NC</t>
  </si>
  <si>
    <t>PAYLOAD REPORT BY ROUTE AND MONTH JUNE 2025</t>
  </si>
  <si>
    <t>PAYLOAD REPORT BY ROUTE AND MONTH AUG 2025</t>
  </si>
  <si>
    <t>PAYLOAD REPORT BY ROUTE AND MONTH JULY 2025</t>
  </si>
  <si>
    <t>PAYLOAD REPORT BY ROUTE AND MONTH MAY 2025</t>
  </si>
  <si>
    <t>PAYLOAD SUMMARY AUG 2025</t>
  </si>
  <si>
    <t>PAYLOAD SUMMARY JULY 2025</t>
  </si>
  <si>
    <t>PAYLOAD SUMMARY APRIL 2025</t>
  </si>
  <si>
    <t>PAYLOAD SUMMARY MARCH 2025</t>
  </si>
  <si>
    <t>PAYLOAD SUMMARY September 2025</t>
  </si>
  <si>
    <t>PAYLOAD REPORT BY ROUTE AND MONTH September 2025</t>
  </si>
  <si>
    <t>PAYLOAD REPORT BY ROUTE AND MONTH OCT 2025</t>
  </si>
  <si>
    <t>Route GP - DCT</t>
  </si>
  <si>
    <t>Route GP - KZN</t>
  </si>
  <si>
    <t>Route EC - Free State</t>
  </si>
  <si>
    <t>Route KZN LOCAL</t>
  </si>
  <si>
    <t>Route -TTAF - DCT</t>
  </si>
  <si>
    <t>Route TTAF - TOYOTA STORAGE</t>
  </si>
  <si>
    <t>Route KZN - EC/WC</t>
  </si>
  <si>
    <t>PAYLOAD SUMMARY October 2025</t>
  </si>
  <si>
    <t>PAYLOAD SUMMARY November 2025</t>
  </si>
  <si>
    <t>PAYLOAD REPORT BY ROUTE AND MONTH NOVEMBER 2025</t>
  </si>
  <si>
    <t xml:space="preserve">Route Kzn - Northern Cape </t>
  </si>
  <si>
    <t xml:space="preserve">Route Kzn - Eastern Cape </t>
  </si>
  <si>
    <t>Route PE - Kzn/Maputo</t>
  </si>
  <si>
    <t>Aversen / Jerome</t>
  </si>
  <si>
    <t>PAYLOAD REPORT BY ROUTE AND MONTH DECEMBER 2025</t>
  </si>
  <si>
    <t xml:space="preserve">Route Gauteng-Kzn    </t>
  </si>
  <si>
    <t>PAYLOAD SUMMARY December 2025</t>
  </si>
  <si>
    <t xml:space="preserve">Route FS/NC/Gauteng-Kzn    </t>
  </si>
  <si>
    <t>PAYLOAD REPORT BY ROUTE AND MONTH JANUARY 2026</t>
  </si>
  <si>
    <t>PAYLOAD SUMMARY JANUARY 2026</t>
  </si>
  <si>
    <t>PAYLOAD REPORT BY ROUTE AND MONTH FEBRUARY 2026</t>
  </si>
  <si>
    <t>PAYLOAD SUMMARY FEBRUARY 2026</t>
  </si>
  <si>
    <t>Aversen/Jerome</t>
  </si>
  <si>
    <t>Andre</t>
  </si>
  <si>
    <t xml:space="preserve">Route Western Cape to Bloem/ Kzn </t>
  </si>
  <si>
    <t xml:space="preserve">Route EC- Maputo </t>
  </si>
  <si>
    <t>Route PE - KZN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</si>
</sst>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_-* #,##0_-;\-* #,##0_-;_-* &quot;-&quot;??_-;_-@_-"/>
    <numFmt numFmtId="166" formatCode="#,##0;[Red]#,##0"/>
    <numFmt numFmtId="167" formatCode="0.00;[Red]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5"/>
      <color theme="2" tint="-0.499984740745262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2F2F2"/>
        <bgColor rgb="FF000000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theme="0"/>
      </right>
      <top style="hair">
        <color indexed="64"/>
      </top>
      <bottom style="hair">
        <color indexed="64"/>
      </bottom>
      <diagonal/>
    </border>
    <border>
      <left style="medium">
        <color theme="0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theme="0"/>
      </right>
      <top style="hair">
        <color indexed="64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3">
    <xf numFmtId="0" fontId="0" fillId="0" borderId="0" xfId="0"/>
    <xf numFmtId="164" fontId="0" fillId="0" borderId="0" xfId="0" applyNumberFormat="1"/>
    <xf numFmtId="43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43" fontId="0" fillId="0" borderId="11" xfId="1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43" fontId="4" fillId="5" borderId="3" xfId="1" applyFont="1" applyFill="1" applyBorder="1"/>
    <xf numFmtId="43" fontId="4" fillId="5" borderId="6" xfId="1" applyFont="1" applyFill="1" applyBorder="1" applyAlignment="1">
      <alignment horizontal="center"/>
    </xf>
    <xf numFmtId="43" fontId="0" fillId="0" borderId="14" xfId="1" applyFont="1" applyBorder="1"/>
    <xf numFmtId="43" fontId="0" fillId="4" borderId="3" xfId="1" applyFont="1" applyFill="1" applyBorder="1"/>
    <xf numFmtId="43" fontId="0" fillId="4" borderId="6" xfId="1" applyFont="1" applyFill="1" applyBorder="1" applyAlignment="1">
      <alignment horizontal="center"/>
    </xf>
    <xf numFmtId="43" fontId="0" fillId="3" borderId="2" xfId="1" applyFont="1" applyFill="1" applyBorder="1"/>
    <xf numFmtId="43" fontId="0" fillId="3" borderId="5" xfId="1" applyFont="1" applyFill="1" applyBorder="1" applyAlignment="1">
      <alignment horizontal="center"/>
    </xf>
    <xf numFmtId="43" fontId="0" fillId="3" borderId="3" xfId="1" applyFont="1" applyFill="1" applyBorder="1"/>
    <xf numFmtId="43" fontId="0" fillId="3" borderId="6" xfId="1" applyFont="1" applyFill="1" applyBorder="1" applyAlignment="1">
      <alignment horizontal="center"/>
    </xf>
    <xf numFmtId="43" fontId="0" fillId="2" borderId="3" xfId="1" applyFont="1" applyFill="1" applyBorder="1"/>
    <xf numFmtId="43" fontId="0" fillId="2" borderId="6" xfId="1" applyFont="1" applyFill="1" applyBorder="1" applyAlignment="1">
      <alignment horizontal="center"/>
    </xf>
    <xf numFmtId="43" fontId="0" fillId="2" borderId="2" xfId="1" applyFont="1" applyFill="1" applyBorder="1"/>
    <xf numFmtId="43" fontId="0" fillId="2" borderId="5" xfId="1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43" fontId="0" fillId="0" borderId="22" xfId="1" applyFont="1" applyBorder="1"/>
    <xf numFmtId="0" fontId="0" fillId="0" borderId="23" xfId="0" applyBorder="1"/>
    <xf numFmtId="0" fontId="3" fillId="0" borderId="0" xfId="0" applyFont="1"/>
    <xf numFmtId="164" fontId="2" fillId="5" borderId="24" xfId="0" applyNumberFormat="1" applyFont="1" applyFill="1" applyBorder="1"/>
    <xf numFmtId="0" fontId="2" fillId="5" borderId="25" xfId="0" applyFont="1" applyFill="1" applyBorder="1"/>
    <xf numFmtId="43" fontId="2" fillId="5" borderId="25" xfId="1" applyFont="1" applyFill="1" applyBorder="1"/>
    <xf numFmtId="43" fontId="2" fillId="5" borderId="26" xfId="1" applyFont="1" applyFill="1" applyBorder="1"/>
    <xf numFmtId="0" fontId="0" fillId="6" borderId="1" xfId="0" applyFill="1" applyBorder="1"/>
    <xf numFmtId="0" fontId="0" fillId="6" borderId="2" xfId="0" applyFill="1" applyBorder="1"/>
    <xf numFmtId="43" fontId="0" fillId="6" borderId="3" xfId="1" applyFont="1" applyFill="1" applyBorder="1"/>
    <xf numFmtId="43" fontId="0" fillId="6" borderId="2" xfId="1" applyFont="1" applyFill="1" applyBorder="1"/>
    <xf numFmtId="0" fontId="0" fillId="6" borderId="4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43" fontId="0" fillId="6" borderId="6" xfId="1" applyFont="1" applyFill="1" applyBorder="1" applyAlignment="1">
      <alignment horizontal="center"/>
    </xf>
    <xf numFmtId="43" fontId="0" fillId="6" borderId="5" xfId="1" applyFont="1" applyFill="1" applyBorder="1" applyAlignment="1">
      <alignment horizontal="center"/>
    </xf>
    <xf numFmtId="16" fontId="4" fillId="5" borderId="1" xfId="0" applyNumberFormat="1" applyFont="1" applyFill="1" applyBorder="1"/>
    <xf numFmtId="43" fontId="0" fillId="4" borderId="2" xfId="1" applyFont="1" applyFill="1" applyBorder="1"/>
    <xf numFmtId="0" fontId="4" fillId="5" borderId="4" xfId="0" applyFont="1" applyFill="1" applyBorder="1" applyAlignment="1">
      <alignment horizontal="center"/>
    </xf>
    <xf numFmtId="43" fontId="0" fillId="4" borderId="5" xfId="1" applyFont="1" applyFill="1" applyBorder="1" applyAlignment="1">
      <alignment horizontal="center"/>
    </xf>
    <xf numFmtId="0" fontId="0" fillId="2" borderId="28" xfId="0" applyFill="1" applyBorder="1"/>
    <xf numFmtId="0" fontId="0" fillId="2" borderId="29" xfId="0" applyFill="1" applyBorder="1"/>
    <xf numFmtId="43" fontId="0" fillId="2" borderId="30" xfId="1" applyFont="1" applyFill="1" applyBorder="1"/>
    <xf numFmtId="0" fontId="0" fillId="2" borderId="31" xfId="0" applyFill="1" applyBorder="1" applyAlignment="1">
      <alignment horizontal="center" wrapText="1"/>
    </xf>
    <xf numFmtId="0" fontId="0" fillId="2" borderId="32" xfId="0" applyFill="1" applyBorder="1" applyAlignment="1">
      <alignment horizontal="center" wrapText="1"/>
    </xf>
    <xf numFmtId="43" fontId="0" fillId="2" borderId="33" xfId="1" applyFont="1" applyFill="1" applyBorder="1" applyAlignment="1">
      <alignment horizontal="center"/>
    </xf>
    <xf numFmtId="43" fontId="0" fillId="7" borderId="17" xfId="1" applyFont="1" applyFill="1" applyBorder="1"/>
    <xf numFmtId="43" fontId="0" fillId="7" borderId="18" xfId="1" applyFont="1" applyFill="1" applyBorder="1"/>
    <xf numFmtId="43" fontId="0" fillId="7" borderId="21" xfId="1" applyFont="1" applyFill="1" applyBorder="1"/>
    <xf numFmtId="0" fontId="5" fillId="8" borderId="0" xfId="0" applyFont="1" applyFill="1"/>
    <xf numFmtId="0" fontId="0" fillId="8" borderId="0" xfId="0" applyFill="1"/>
    <xf numFmtId="43" fontId="0" fillId="8" borderId="0" xfId="1" applyFont="1" applyFill="1"/>
    <xf numFmtId="0" fontId="3" fillId="8" borderId="1" xfId="0" applyFont="1" applyFill="1" applyBorder="1"/>
    <xf numFmtId="0" fontId="3" fillId="8" borderId="7" xfId="0" applyFont="1" applyFill="1" applyBorder="1"/>
    <xf numFmtId="0" fontId="3" fillId="8" borderId="27" xfId="0" applyFont="1" applyFill="1" applyBorder="1"/>
    <xf numFmtId="43" fontId="3" fillId="8" borderId="27" xfId="1" applyFont="1" applyFill="1" applyBorder="1"/>
    <xf numFmtId="43" fontId="3" fillId="8" borderId="8" xfId="1" applyFont="1" applyFill="1" applyBorder="1"/>
    <xf numFmtId="0" fontId="3" fillId="8" borderId="2" xfId="0" applyFont="1" applyFill="1" applyBorder="1"/>
    <xf numFmtId="43" fontId="3" fillId="8" borderId="2" xfId="1" applyFont="1" applyFill="1" applyBorder="1"/>
    <xf numFmtId="43" fontId="3" fillId="8" borderId="7" xfId="1" applyFont="1" applyFill="1" applyBorder="1"/>
    <xf numFmtId="43" fontId="0" fillId="0" borderId="0" xfId="0" applyNumberFormat="1"/>
    <xf numFmtId="165" fontId="0" fillId="0" borderId="0" xfId="1" applyNumberFormat="1" applyFont="1"/>
    <xf numFmtId="0" fontId="0" fillId="2" borderId="12" xfId="0" applyFill="1" applyBorder="1"/>
    <xf numFmtId="165" fontId="0" fillId="0" borderId="14" xfId="1" applyNumberFormat="1" applyFont="1" applyBorder="1"/>
    <xf numFmtId="43" fontId="0" fillId="2" borderId="12" xfId="1" applyFont="1" applyFill="1" applyBorder="1"/>
    <xf numFmtId="0" fontId="0" fillId="6" borderId="12" xfId="0" applyFill="1" applyBorder="1"/>
    <xf numFmtId="43" fontId="0" fillId="6" borderId="12" xfId="1" applyFont="1" applyFill="1" applyBorder="1"/>
    <xf numFmtId="0" fontId="0" fillId="3" borderId="12" xfId="0" applyFill="1" applyBorder="1"/>
    <xf numFmtId="43" fontId="0" fillId="3" borderId="12" xfId="1" applyFont="1" applyFill="1" applyBorder="1"/>
    <xf numFmtId="0" fontId="0" fillId="4" borderId="12" xfId="0" applyFill="1" applyBorder="1"/>
    <xf numFmtId="43" fontId="0" fillId="4" borderId="12" xfId="1" applyFont="1" applyFill="1" applyBorder="1"/>
    <xf numFmtId="43" fontId="0" fillId="0" borderId="35" xfId="1" applyFont="1" applyBorder="1"/>
    <xf numFmtId="0" fontId="2" fillId="9" borderId="24" xfId="0" applyFont="1" applyFill="1" applyBorder="1"/>
    <xf numFmtId="165" fontId="2" fillId="9" borderId="26" xfId="1" applyNumberFormat="1" applyFont="1" applyFill="1" applyBorder="1" applyAlignment="1">
      <alignment horizontal="right"/>
    </xf>
    <xf numFmtId="0" fontId="0" fillId="2" borderId="9" xfId="0" applyFill="1" applyBorder="1"/>
    <xf numFmtId="165" fontId="0" fillId="0" borderId="11" xfId="1" applyNumberFormat="1" applyFont="1" applyBorder="1"/>
    <xf numFmtId="43" fontId="0" fillId="6" borderId="34" xfId="1" applyFont="1" applyFill="1" applyBorder="1"/>
    <xf numFmtId="0" fontId="0" fillId="3" borderId="9" xfId="0" applyFill="1" applyBorder="1"/>
    <xf numFmtId="0" fontId="2" fillId="9" borderId="38" xfId="0" applyFont="1" applyFill="1" applyBorder="1"/>
    <xf numFmtId="165" fontId="2" fillId="9" borderId="39" xfId="1" applyNumberFormat="1" applyFont="1" applyFill="1" applyBorder="1"/>
    <xf numFmtId="43" fontId="2" fillId="9" borderId="40" xfId="1" applyFont="1" applyFill="1" applyBorder="1"/>
    <xf numFmtId="43" fontId="2" fillId="9" borderId="41" xfId="1" applyFont="1" applyFill="1" applyBorder="1"/>
    <xf numFmtId="43" fontId="0" fillId="2" borderId="19" xfId="1" applyFont="1" applyFill="1" applyBorder="1"/>
    <xf numFmtId="0" fontId="0" fillId="6" borderId="9" xfId="0" applyFill="1" applyBorder="1"/>
    <xf numFmtId="43" fontId="0" fillId="3" borderId="34" xfId="1" applyFont="1" applyFill="1" applyBorder="1"/>
    <xf numFmtId="0" fontId="6" fillId="8" borderId="7" xfId="0" applyFont="1" applyFill="1" applyBorder="1"/>
    <xf numFmtId="0" fontId="6" fillId="8" borderId="27" xfId="0" applyFont="1" applyFill="1" applyBorder="1"/>
    <xf numFmtId="43" fontId="6" fillId="8" borderId="8" xfId="1" applyFont="1" applyFill="1" applyBorder="1"/>
    <xf numFmtId="43" fontId="6" fillId="8" borderId="27" xfId="1" applyFont="1" applyFill="1" applyBorder="1"/>
    <xf numFmtId="43" fontId="6" fillId="8" borderId="7" xfId="1" applyFont="1" applyFill="1" applyBorder="1"/>
    <xf numFmtId="0" fontId="7" fillId="8" borderId="7" xfId="0" applyFont="1" applyFill="1" applyBorder="1"/>
    <xf numFmtId="0" fontId="7" fillId="8" borderId="27" xfId="0" applyFont="1" applyFill="1" applyBorder="1"/>
    <xf numFmtId="43" fontId="7" fillId="8" borderId="27" xfId="1" applyFont="1" applyFill="1" applyBorder="1"/>
    <xf numFmtId="43" fontId="7" fillId="8" borderId="8" xfId="1" applyFont="1" applyFill="1" applyBorder="1"/>
    <xf numFmtId="0" fontId="7" fillId="8" borderId="8" xfId="0" applyFont="1" applyFill="1" applyBorder="1"/>
    <xf numFmtId="165" fontId="0" fillId="8" borderId="0" xfId="1" applyNumberFormat="1" applyFont="1" applyFill="1"/>
    <xf numFmtId="165" fontId="3" fillId="8" borderId="7" xfId="1" applyNumberFormat="1" applyFont="1" applyFill="1" applyBorder="1"/>
    <xf numFmtId="165" fontId="4" fillId="5" borderId="2" xfId="1" applyNumberFormat="1" applyFont="1" applyFill="1" applyBorder="1"/>
    <xf numFmtId="165" fontId="4" fillId="5" borderId="5" xfId="1" applyNumberFormat="1" applyFont="1" applyFill="1" applyBorder="1" applyAlignment="1">
      <alignment horizontal="center" wrapText="1"/>
    </xf>
    <xf numFmtId="165" fontId="0" fillId="0" borderId="15" xfId="1" applyNumberFormat="1" applyFont="1" applyBorder="1"/>
    <xf numFmtId="165" fontId="2" fillId="5" borderId="25" xfId="1" applyNumberFormat="1" applyFont="1" applyFill="1" applyBorder="1"/>
    <xf numFmtId="165" fontId="3" fillId="8" borderId="27" xfId="1" applyNumberFormat="1" applyFont="1" applyFill="1" applyBorder="1"/>
    <xf numFmtId="165" fontId="0" fillId="0" borderId="10" xfId="1" applyNumberFormat="1" applyFont="1" applyBorder="1"/>
    <xf numFmtId="43" fontId="0" fillId="7" borderId="11" xfId="1" applyFont="1" applyFill="1" applyBorder="1"/>
    <xf numFmtId="43" fontId="0" fillId="7" borderId="14" xfId="1" applyFont="1" applyFill="1" applyBorder="1"/>
    <xf numFmtId="43" fontId="0" fillId="7" borderId="22" xfId="1" applyFont="1" applyFill="1" applyBorder="1"/>
    <xf numFmtId="0" fontId="0" fillId="7" borderId="14" xfId="0" applyFill="1" applyBorder="1"/>
    <xf numFmtId="0" fontId="0" fillId="0" borderId="36" xfId="0" applyBorder="1"/>
    <xf numFmtId="0" fontId="0" fillId="0" borderId="44" xfId="0" applyBorder="1"/>
    <xf numFmtId="0" fontId="0" fillId="0" borderId="45" xfId="0" applyBorder="1"/>
    <xf numFmtId="0" fontId="0" fillId="0" borderId="29" xfId="0" applyBorder="1"/>
    <xf numFmtId="0" fontId="0" fillId="2" borderId="4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43" fontId="0" fillId="2" borderId="43" xfId="1" applyFont="1" applyFill="1" applyBorder="1" applyAlignment="1">
      <alignment horizontal="center"/>
    </xf>
    <xf numFmtId="43" fontId="0" fillId="0" borderId="37" xfId="1" applyFont="1" applyBorder="1"/>
    <xf numFmtId="166" fontId="0" fillId="0" borderId="46" xfId="1" applyNumberFormat="1" applyFont="1" applyBorder="1"/>
    <xf numFmtId="166" fontId="0" fillId="0" borderId="48" xfId="1" applyNumberFormat="1" applyFont="1" applyBorder="1"/>
    <xf numFmtId="166" fontId="0" fillId="0" borderId="50" xfId="1" applyNumberFormat="1" applyFont="1" applyBorder="1"/>
    <xf numFmtId="166" fontId="0" fillId="0" borderId="47" xfId="1" applyNumberFormat="1" applyFont="1" applyBorder="1"/>
    <xf numFmtId="166" fontId="0" fillId="0" borderId="49" xfId="1" applyNumberFormat="1" applyFont="1" applyBorder="1"/>
    <xf numFmtId="166" fontId="0" fillId="0" borderId="51" xfId="1" applyNumberFormat="1" applyFont="1" applyBorder="1"/>
    <xf numFmtId="43" fontId="0" fillId="7" borderId="14" xfId="1" applyFont="1" applyFill="1" applyBorder="1" applyAlignment="1">
      <alignment horizontal="center"/>
    </xf>
    <xf numFmtId="43" fontId="2" fillId="5" borderId="25" xfId="1" applyFont="1" applyFill="1" applyBorder="1" applyAlignment="1">
      <alignment horizontal="center"/>
    </xf>
    <xf numFmtId="43" fontId="0" fillId="2" borderId="34" xfId="1" applyFont="1" applyFill="1" applyBorder="1"/>
    <xf numFmtId="165" fontId="0" fillId="8" borderId="14" xfId="1" applyNumberFormat="1" applyFont="1" applyFill="1" applyBorder="1"/>
    <xf numFmtId="43" fontId="0" fillId="8" borderId="35" xfId="1" applyFont="1" applyFill="1" applyBorder="1"/>
    <xf numFmtId="43" fontId="2" fillId="5" borderId="52" xfId="1" applyFont="1" applyFill="1" applyBorder="1"/>
    <xf numFmtId="165" fontId="2" fillId="5" borderId="44" xfId="1" applyNumberFormat="1" applyFont="1" applyFill="1" applyBorder="1"/>
    <xf numFmtId="43" fontId="4" fillId="5" borderId="43" xfId="1" applyFont="1" applyFill="1" applyBorder="1" applyAlignment="1">
      <alignment horizontal="center"/>
    </xf>
    <xf numFmtId="43" fontId="0" fillId="0" borderId="53" xfId="1" applyFont="1" applyBorder="1"/>
    <xf numFmtId="0" fontId="0" fillId="0" borderId="54" xfId="0" applyBorder="1"/>
    <xf numFmtId="43" fontId="0" fillId="0" borderId="35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8" fillId="8" borderId="0" xfId="0" applyFont="1" applyFill="1"/>
    <xf numFmtId="0" fontId="9" fillId="8" borderId="0" xfId="0" applyFont="1" applyFill="1"/>
    <xf numFmtId="43" fontId="9" fillId="8" borderId="0" xfId="1" applyFont="1" applyFill="1"/>
    <xf numFmtId="165" fontId="9" fillId="8" borderId="0" xfId="1" applyNumberFormat="1" applyFont="1" applyFill="1"/>
    <xf numFmtId="0" fontId="9" fillId="0" borderId="0" xfId="0" applyFont="1"/>
    <xf numFmtId="0" fontId="8" fillId="8" borderId="1" xfId="0" applyFont="1" applyFill="1" applyBorder="1"/>
    <xf numFmtId="0" fontId="10" fillId="8" borderId="7" xfId="0" applyFont="1" applyFill="1" applyBorder="1"/>
    <xf numFmtId="0" fontId="10" fillId="8" borderId="27" xfId="0" applyFont="1" applyFill="1" applyBorder="1"/>
    <xf numFmtId="43" fontId="10" fillId="8" borderId="8" xfId="1" applyFont="1" applyFill="1" applyBorder="1"/>
    <xf numFmtId="43" fontId="10" fillId="8" borderId="27" xfId="1" applyFont="1" applyFill="1" applyBorder="1"/>
    <xf numFmtId="43" fontId="10" fillId="8" borderId="7" xfId="1" applyFont="1" applyFill="1" applyBorder="1"/>
    <xf numFmtId="43" fontId="8" fillId="8" borderId="27" xfId="1" applyFont="1" applyFill="1" applyBorder="1"/>
    <xf numFmtId="43" fontId="8" fillId="8" borderId="8" xfId="1" applyFont="1" applyFill="1" applyBorder="1"/>
    <xf numFmtId="43" fontId="8" fillId="8" borderId="7" xfId="1" applyFont="1" applyFill="1" applyBorder="1"/>
    <xf numFmtId="0" fontId="8" fillId="8" borderId="7" xfId="0" applyFont="1" applyFill="1" applyBorder="1"/>
    <xf numFmtId="0" fontId="8" fillId="8" borderId="27" xfId="0" applyFont="1" applyFill="1" applyBorder="1"/>
    <xf numFmtId="0" fontId="11" fillId="8" borderId="7" xfId="0" applyFont="1" applyFill="1" applyBorder="1"/>
    <xf numFmtId="0" fontId="11" fillId="8" borderId="27" xfId="0" applyFont="1" applyFill="1" applyBorder="1"/>
    <xf numFmtId="43" fontId="11" fillId="8" borderId="27" xfId="1" applyFont="1" applyFill="1" applyBorder="1"/>
    <xf numFmtId="43" fontId="11" fillId="8" borderId="8" xfId="1" applyFont="1" applyFill="1" applyBorder="1"/>
    <xf numFmtId="0" fontId="11" fillId="8" borderId="8" xfId="0" applyFont="1" applyFill="1" applyBorder="1"/>
    <xf numFmtId="0" fontId="8" fillId="8" borderId="2" xfId="0" applyFont="1" applyFill="1" applyBorder="1"/>
    <xf numFmtId="43" fontId="8" fillId="8" borderId="2" xfId="1" applyFont="1" applyFill="1" applyBorder="1"/>
    <xf numFmtId="165" fontId="8" fillId="8" borderId="7" xfId="1" applyNumberFormat="1" applyFont="1" applyFill="1" applyBorder="1"/>
    <xf numFmtId="165" fontId="8" fillId="8" borderId="27" xfId="1" applyNumberFormat="1" applyFont="1" applyFill="1" applyBorder="1"/>
    <xf numFmtId="0" fontId="8" fillId="0" borderId="0" xfId="0" applyFont="1"/>
    <xf numFmtId="16" fontId="12" fillId="5" borderId="1" xfId="0" applyNumberFormat="1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43" fontId="9" fillId="2" borderId="30" xfId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43" fontId="9" fillId="2" borderId="3" xfId="1" applyFont="1" applyFill="1" applyBorder="1"/>
    <xf numFmtId="43" fontId="9" fillId="2" borderId="2" xfId="1" applyFont="1" applyFill="1" applyBorder="1"/>
    <xf numFmtId="0" fontId="9" fillId="6" borderId="2" xfId="0" applyFont="1" applyFill="1" applyBorder="1"/>
    <xf numFmtId="43" fontId="9" fillId="6" borderId="2" xfId="1" applyFont="1" applyFill="1" applyBorder="1"/>
    <xf numFmtId="0" fontId="9" fillId="6" borderId="1" xfId="0" applyFont="1" applyFill="1" applyBorder="1"/>
    <xf numFmtId="43" fontId="9" fillId="6" borderId="3" xfId="1" applyFont="1" applyFill="1" applyBorder="1"/>
    <xf numFmtId="0" fontId="9" fillId="3" borderId="1" xfId="0" applyFont="1" applyFill="1" applyBorder="1"/>
    <xf numFmtId="0" fontId="9" fillId="3" borderId="2" xfId="0" applyFont="1" applyFill="1" applyBorder="1"/>
    <xf numFmtId="43" fontId="9" fillId="3" borderId="2" xfId="1" applyFont="1" applyFill="1" applyBorder="1"/>
    <xf numFmtId="43" fontId="9" fillId="3" borderId="3" xfId="1" applyFont="1" applyFill="1" applyBorder="1"/>
    <xf numFmtId="0" fontId="9" fillId="3" borderId="3" xfId="0" applyFont="1" applyFill="1" applyBorder="1"/>
    <xf numFmtId="0" fontId="9" fillId="4" borderId="1" xfId="0" applyFont="1" applyFill="1" applyBorder="1"/>
    <xf numFmtId="0" fontId="9" fillId="4" borderId="2" xfId="0" applyFont="1" applyFill="1" applyBorder="1"/>
    <xf numFmtId="43" fontId="9" fillId="4" borderId="3" xfId="1" applyFont="1" applyFill="1" applyBorder="1"/>
    <xf numFmtId="43" fontId="9" fillId="4" borderId="2" xfId="1" applyFont="1" applyFill="1" applyBorder="1"/>
    <xf numFmtId="165" fontId="12" fillId="5" borderId="2" xfId="1" applyNumberFormat="1" applyFont="1" applyFill="1" applyBorder="1"/>
    <xf numFmtId="43" fontId="12" fillId="5" borderId="3" xfId="1" applyFont="1" applyFill="1" applyBorder="1"/>
    <xf numFmtId="0" fontId="12" fillId="5" borderId="4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 wrapText="1"/>
    </xf>
    <xf numFmtId="0" fontId="9" fillId="2" borderId="32" xfId="0" applyFont="1" applyFill="1" applyBorder="1" applyAlignment="1">
      <alignment horizontal="center" wrapText="1"/>
    </xf>
    <xf numFmtId="43" fontId="9" fillId="2" borderId="33" xfId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43" fontId="9" fillId="2" borderId="6" xfId="1" applyFont="1" applyFill="1" applyBorder="1" applyAlignment="1">
      <alignment horizontal="center"/>
    </xf>
    <xf numFmtId="43" fontId="9" fillId="2" borderId="5" xfId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wrapText="1"/>
    </xf>
    <xf numFmtId="43" fontId="9" fillId="6" borderId="5" xfId="1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43" fontId="9" fillId="6" borderId="6" xfId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43" fontId="9" fillId="3" borderId="5" xfId="1" applyFont="1" applyFill="1" applyBorder="1" applyAlignment="1">
      <alignment horizontal="center"/>
    </xf>
    <xf numFmtId="43" fontId="9" fillId="3" borderId="6" xfId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43" fontId="9" fillId="4" borderId="6" xfId="1" applyFont="1" applyFill="1" applyBorder="1" applyAlignment="1">
      <alignment horizontal="center"/>
    </xf>
    <xf numFmtId="43" fontId="9" fillId="4" borderId="5" xfId="1" applyFont="1" applyFill="1" applyBorder="1" applyAlignment="1">
      <alignment horizontal="center"/>
    </xf>
    <xf numFmtId="165" fontId="12" fillId="5" borderId="5" xfId="1" applyNumberFormat="1" applyFont="1" applyFill="1" applyBorder="1" applyAlignment="1">
      <alignment horizontal="center" wrapText="1"/>
    </xf>
    <xf numFmtId="43" fontId="12" fillId="5" borderId="43" xfId="1" applyFont="1" applyFill="1" applyBorder="1" applyAlignment="1">
      <alignment horizontal="center"/>
    </xf>
    <xf numFmtId="164" fontId="9" fillId="0" borderId="0" xfId="0" applyNumberFormat="1" applyFont="1"/>
    <xf numFmtId="0" fontId="9" fillId="0" borderId="9" xfId="0" applyFont="1" applyBorder="1"/>
    <xf numFmtId="0" fontId="9" fillId="0" borderId="10" xfId="0" applyFont="1" applyBorder="1"/>
    <xf numFmtId="43" fontId="9" fillId="7" borderId="14" xfId="1" applyFont="1" applyFill="1" applyBorder="1"/>
    <xf numFmtId="43" fontId="9" fillId="7" borderId="14" xfId="1" applyFont="1" applyFill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/>
    <xf numFmtId="0" fontId="9" fillId="0" borderId="15" xfId="0" applyFont="1" applyBorder="1"/>
    <xf numFmtId="0" fontId="9" fillId="0" borderId="36" xfId="0" applyFont="1" applyBorder="1"/>
    <xf numFmtId="0" fontId="9" fillId="0" borderId="44" xfId="0" applyFont="1" applyBorder="1"/>
    <xf numFmtId="0" fontId="9" fillId="0" borderId="45" xfId="0" applyFont="1" applyBorder="1"/>
    <xf numFmtId="0" fontId="9" fillId="0" borderId="29" xfId="0" applyFont="1" applyBorder="1"/>
    <xf numFmtId="165" fontId="9" fillId="0" borderId="15" xfId="1" applyNumberFormat="1" applyFont="1" applyBorder="1"/>
    <xf numFmtId="165" fontId="9" fillId="0" borderId="10" xfId="1" applyNumberFormat="1" applyFont="1" applyBorder="1"/>
    <xf numFmtId="43" fontId="9" fillId="0" borderId="53" xfId="1" applyFont="1" applyBorder="1"/>
    <xf numFmtId="0" fontId="9" fillId="0" borderId="16" xfId="0" applyFont="1" applyBorder="1"/>
    <xf numFmtId="0" fontId="9" fillId="0" borderId="54" xfId="0" applyFont="1" applyBorder="1"/>
    <xf numFmtId="164" fontId="13" fillId="5" borderId="24" xfId="0" applyNumberFormat="1" applyFont="1" applyFill="1" applyBorder="1"/>
    <xf numFmtId="0" fontId="13" fillId="5" borderId="25" xfId="0" applyFont="1" applyFill="1" applyBorder="1"/>
    <xf numFmtId="43" fontId="13" fillId="5" borderId="25" xfId="1" applyFont="1" applyFill="1" applyBorder="1"/>
    <xf numFmtId="43" fontId="13" fillId="5" borderId="25" xfId="1" applyFont="1" applyFill="1" applyBorder="1" applyAlignment="1">
      <alignment horizontal="center"/>
    </xf>
    <xf numFmtId="165" fontId="13" fillId="5" borderId="25" xfId="1" applyNumberFormat="1" applyFont="1" applyFill="1" applyBorder="1"/>
    <xf numFmtId="165" fontId="13" fillId="5" borderId="44" xfId="1" applyNumberFormat="1" applyFont="1" applyFill="1" applyBorder="1"/>
    <xf numFmtId="43" fontId="13" fillId="5" borderId="52" xfId="1" applyFont="1" applyFill="1" applyBorder="1"/>
    <xf numFmtId="43" fontId="9" fillId="0" borderId="0" xfId="1" applyFont="1"/>
    <xf numFmtId="165" fontId="9" fillId="0" borderId="0" xfId="1" applyNumberFormat="1" applyFont="1"/>
    <xf numFmtId="0" fontId="14" fillId="0" borderId="9" xfId="0" applyFont="1" applyBorder="1"/>
    <xf numFmtId="0" fontId="14" fillId="0" borderId="10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2" xfId="0" applyFont="1" applyBorder="1"/>
    <xf numFmtId="0" fontId="14" fillId="0" borderId="29" xfId="0" applyFont="1" applyBorder="1"/>
    <xf numFmtId="0" fontId="14" fillId="0" borderId="55" xfId="0" applyFont="1" applyBorder="1"/>
    <xf numFmtId="0" fontId="14" fillId="0" borderId="56" xfId="0" applyFont="1" applyBorder="1"/>
    <xf numFmtId="43" fontId="0" fillId="10" borderId="14" xfId="1" applyFont="1" applyFill="1" applyBorder="1"/>
    <xf numFmtId="165" fontId="0" fillId="10" borderId="14" xfId="1" applyNumberFormat="1" applyFont="1" applyFill="1" applyBorder="1"/>
    <xf numFmtId="43" fontId="0" fillId="10" borderId="35" xfId="1" applyFont="1" applyFill="1" applyBorder="1"/>
    <xf numFmtId="0" fontId="0" fillId="10" borderId="57" xfId="0" applyFill="1" applyBorder="1" applyAlignment="1">
      <alignment wrapText="1"/>
    </xf>
    <xf numFmtId="0" fontId="0" fillId="10" borderId="57" xfId="0" applyFill="1" applyBorder="1"/>
    <xf numFmtId="164" fontId="0" fillId="11" borderId="0" xfId="0" applyNumberFormat="1" applyFill="1"/>
    <xf numFmtId="0" fontId="0" fillId="11" borderId="12" xfId="0" applyFill="1" applyBorder="1"/>
    <xf numFmtId="0" fontId="0" fillId="11" borderId="13" xfId="0" applyFill="1" applyBorder="1"/>
    <xf numFmtId="43" fontId="0" fillId="11" borderId="14" xfId="1" applyFont="1" applyFill="1" applyBorder="1" applyAlignment="1">
      <alignment horizontal="center"/>
    </xf>
    <xf numFmtId="165" fontId="0" fillId="11" borderId="10" xfId="1" applyNumberFormat="1" applyFont="1" applyFill="1" applyBorder="1"/>
    <xf numFmtId="43" fontId="0" fillId="11" borderId="53" xfId="1" applyFont="1" applyFill="1" applyBorder="1"/>
    <xf numFmtId="164" fontId="0" fillId="8" borderId="0" xfId="0" applyNumberFormat="1" applyFill="1"/>
    <xf numFmtId="0" fontId="0" fillId="8" borderId="12" xfId="0" applyFill="1" applyBorder="1"/>
    <xf numFmtId="0" fontId="0" fillId="8" borderId="13" xfId="0" applyFill="1" applyBorder="1"/>
    <xf numFmtId="43" fontId="0" fillId="8" borderId="14" xfId="1" applyFont="1" applyFill="1" applyBorder="1" applyAlignment="1">
      <alignment horizontal="center"/>
    </xf>
    <xf numFmtId="165" fontId="0" fillId="8" borderId="10" xfId="1" applyNumberFormat="1" applyFont="1" applyFill="1" applyBorder="1"/>
    <xf numFmtId="43" fontId="0" fillId="8" borderId="53" xfId="1" applyFont="1" applyFill="1" applyBorder="1"/>
    <xf numFmtId="43" fontId="0" fillId="0" borderId="14" xfId="1" applyFont="1" applyBorder="1" applyAlignment="1">
      <alignment horizontal="center" vertical="center"/>
    </xf>
    <xf numFmtId="43" fontId="0" fillId="7" borderId="37" xfId="1" applyFont="1" applyFill="1" applyBorder="1" applyAlignment="1">
      <alignment horizontal="center"/>
    </xf>
    <xf numFmtId="43" fontId="0" fillId="7" borderId="58" xfId="1" applyFont="1" applyFill="1" applyBorder="1" applyAlignment="1">
      <alignment horizontal="center"/>
    </xf>
    <xf numFmtId="43" fontId="0" fillId="7" borderId="18" xfId="1" applyFont="1" applyFill="1" applyBorder="1" applyAlignment="1">
      <alignment horizontal="center"/>
    </xf>
    <xf numFmtId="0" fontId="0" fillId="0" borderId="59" xfId="0" applyBorder="1"/>
    <xf numFmtId="43" fontId="0" fillId="7" borderId="53" xfId="1" applyFont="1" applyFill="1" applyBorder="1" applyAlignment="1">
      <alignment horizontal="center"/>
    </xf>
    <xf numFmtId="43" fontId="0" fillId="8" borderId="53" xfId="1" applyFont="1" applyFill="1" applyBorder="1" applyAlignment="1">
      <alignment horizontal="center"/>
    </xf>
    <xf numFmtId="43" fontId="3" fillId="8" borderId="60" xfId="1" applyFont="1" applyFill="1" applyBorder="1"/>
    <xf numFmtId="43" fontId="0" fillId="2" borderId="45" xfId="1" applyFont="1" applyFill="1" applyBorder="1"/>
    <xf numFmtId="43" fontId="0" fillId="2" borderId="61" xfId="1" applyFont="1" applyFill="1" applyBorder="1" applyAlignment="1">
      <alignment horizontal="center"/>
    </xf>
    <xf numFmtId="43" fontId="0" fillId="7" borderId="62" xfId="1" applyFont="1" applyFill="1" applyBorder="1" applyAlignment="1">
      <alignment horizontal="center"/>
    </xf>
    <xf numFmtId="0" fontId="0" fillId="0" borderId="53" xfId="0" applyBorder="1"/>
    <xf numFmtId="43" fontId="0" fillId="6" borderId="45" xfId="1" applyFont="1" applyFill="1" applyBorder="1"/>
    <xf numFmtId="43" fontId="0" fillId="6" borderId="61" xfId="1" applyFont="1" applyFill="1" applyBorder="1" applyAlignment="1">
      <alignment horizontal="center"/>
    </xf>
    <xf numFmtId="0" fontId="0" fillId="0" borderId="63" xfId="0" applyBorder="1"/>
    <xf numFmtId="0" fontId="5" fillId="8" borderId="0" xfId="0" applyFont="1" applyFill="1" applyAlignment="1">
      <alignment horizontal="left"/>
    </xf>
    <xf numFmtId="0" fontId="3" fillId="8" borderId="1" xfId="0" applyFont="1" applyFill="1" applyBorder="1" applyAlignment="1">
      <alignment horizontal="left"/>
    </xf>
    <xf numFmtId="16" fontId="4" fillId="5" borderId="1" xfId="0" applyNumberFormat="1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164" fontId="2" fillId="5" borderId="24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43" fontId="2" fillId="5" borderId="64" xfId="1" applyFont="1" applyFill="1" applyBorder="1"/>
    <xf numFmtId="43" fontId="0" fillId="7" borderId="17" xfId="1" applyFont="1" applyFill="1" applyBorder="1" applyAlignment="1">
      <alignment horizontal="center"/>
    </xf>
    <xf numFmtId="43" fontId="0" fillId="7" borderId="0" xfId="1" applyFont="1" applyFill="1" applyBorder="1" applyAlignment="1">
      <alignment horizontal="center"/>
    </xf>
    <xf numFmtId="165" fontId="0" fillId="0" borderId="44" xfId="1" applyNumberFormat="1" applyFont="1" applyBorder="1"/>
    <xf numFmtId="43" fontId="0" fillId="0" borderId="0" xfId="1" applyFont="1" applyBorder="1"/>
    <xf numFmtId="0" fontId="14" fillId="12" borderId="55" xfId="0" applyFont="1" applyFill="1" applyBorder="1"/>
    <xf numFmtId="0" fontId="14" fillId="12" borderId="13" xfId="0" applyFont="1" applyFill="1" applyBorder="1"/>
    <xf numFmtId="0" fontId="0" fillId="13" borderId="2" xfId="0" applyFill="1" applyBorder="1"/>
    <xf numFmtId="43" fontId="0" fillId="13" borderId="3" xfId="1" applyFont="1" applyFill="1" applyBorder="1"/>
    <xf numFmtId="0" fontId="0" fillId="13" borderId="5" xfId="0" applyFill="1" applyBorder="1" applyAlignment="1">
      <alignment horizontal="center" wrapText="1"/>
    </xf>
    <xf numFmtId="43" fontId="0" fillId="13" borderId="6" xfId="1" applyFont="1" applyFill="1" applyBorder="1" applyAlignment="1">
      <alignment horizontal="center"/>
    </xf>
    <xf numFmtId="0" fontId="0" fillId="6" borderId="36" xfId="0" applyFill="1" applyBorder="1"/>
    <xf numFmtId="165" fontId="0" fillId="0" borderId="37" xfId="1" applyNumberFormat="1" applyFont="1" applyBorder="1"/>
    <xf numFmtId="0" fontId="0" fillId="2" borderId="19" xfId="0" applyFill="1" applyBorder="1"/>
    <xf numFmtId="165" fontId="0" fillId="8" borderId="22" xfId="1" applyNumberFormat="1" applyFont="1" applyFill="1" applyBorder="1"/>
    <xf numFmtId="165" fontId="0" fillId="8" borderId="62" xfId="1" applyNumberFormat="1" applyFont="1" applyFill="1" applyBorder="1"/>
    <xf numFmtId="43" fontId="0" fillId="2" borderId="65" xfId="1" applyFont="1" applyFill="1" applyBorder="1"/>
    <xf numFmtId="43" fontId="0" fillId="2" borderId="66" xfId="1" applyFont="1" applyFill="1" applyBorder="1"/>
    <xf numFmtId="0" fontId="0" fillId="2" borderId="67" xfId="0" applyFill="1" applyBorder="1"/>
    <xf numFmtId="43" fontId="0" fillId="8" borderId="54" xfId="1" applyFont="1" applyFill="1" applyBorder="1"/>
    <xf numFmtId="43" fontId="0" fillId="8" borderId="68" xfId="1" applyFont="1" applyFill="1" applyBorder="1"/>
    <xf numFmtId="0" fontId="14" fillId="12" borderId="12" xfId="0" applyFont="1" applyFill="1" applyBorder="1"/>
    <xf numFmtId="0" fontId="14" fillId="14" borderId="14" xfId="0" applyFont="1" applyFill="1" applyBorder="1" applyAlignment="1">
      <alignment horizontal="center"/>
    </xf>
    <xf numFmtId="0" fontId="14" fillId="14" borderId="69" xfId="0" applyFont="1" applyFill="1" applyBorder="1" applyAlignment="1">
      <alignment horizontal="center"/>
    </xf>
    <xf numFmtId="0" fontId="14" fillId="14" borderId="69" xfId="0" applyFont="1" applyFill="1" applyBorder="1"/>
    <xf numFmtId="0" fontId="14" fillId="14" borderId="14" xfId="0" applyFont="1" applyFill="1" applyBorder="1"/>
    <xf numFmtId="165" fontId="0" fillId="8" borderId="53" xfId="1" applyNumberFormat="1" applyFont="1" applyFill="1" applyBorder="1"/>
    <xf numFmtId="0" fontId="0" fillId="2" borderId="53" xfId="0" applyFill="1" applyBorder="1"/>
    <xf numFmtId="43" fontId="0" fillId="2" borderId="53" xfId="1" applyFont="1" applyFill="1" applyBorder="1"/>
    <xf numFmtId="0" fontId="14" fillId="12" borderId="70" xfId="0" applyFont="1" applyFill="1" applyBorder="1"/>
    <xf numFmtId="0" fontId="14" fillId="12" borderId="10" xfId="0" applyFont="1" applyFill="1" applyBorder="1"/>
    <xf numFmtId="43" fontId="0" fillId="4" borderId="45" xfId="1" applyFont="1" applyFill="1" applyBorder="1"/>
    <xf numFmtId="43" fontId="0" fillId="4" borderId="61" xfId="1" applyFont="1" applyFill="1" applyBorder="1" applyAlignment="1">
      <alignment horizontal="center"/>
    </xf>
    <xf numFmtId="0" fontId="14" fillId="0" borderId="0" xfId="0" applyFont="1"/>
    <xf numFmtId="0" fontId="14" fillId="0" borderId="54" xfId="0" applyFont="1" applyBorder="1"/>
    <xf numFmtId="167" fontId="2" fillId="5" borderId="25" xfId="0" applyNumberFormat="1" applyFont="1" applyFill="1" applyBorder="1"/>
    <xf numFmtId="43" fontId="4" fillId="5" borderId="14" xfId="1" applyFont="1" applyFill="1" applyBorder="1" applyAlignment="1">
      <alignment horizontal="center"/>
    </xf>
    <xf numFmtId="43" fontId="2" fillId="5" borderId="14" xfId="1" applyFont="1" applyFill="1" applyBorder="1" applyAlignment="1">
      <alignment horizontal="center"/>
    </xf>
    <xf numFmtId="0" fontId="14" fillId="0" borderId="34" xfId="0" applyFont="1" applyBorder="1"/>
    <xf numFmtId="0" fontId="14" fillId="0" borderId="71" xfId="0" applyFont="1" applyBorder="1"/>
    <xf numFmtId="0" fontId="14" fillId="12" borderId="72" xfId="0" applyFont="1" applyFill="1" applyBorder="1"/>
    <xf numFmtId="0" fontId="14" fillId="12" borderId="71" xfId="0" applyFont="1" applyFill="1" applyBorder="1"/>
    <xf numFmtId="0" fontId="14" fillId="0" borderId="73" xfId="0" applyFont="1" applyBorder="1"/>
    <xf numFmtId="165" fontId="0" fillId="8" borderId="22" xfId="1" applyNumberFormat="1" applyFont="1" applyFill="1" applyBorder="1" applyAlignment="1">
      <alignment horizontal="center"/>
    </xf>
    <xf numFmtId="165" fontId="0" fillId="8" borderId="53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6" borderId="53" xfId="0" applyFill="1" applyBorder="1"/>
    <xf numFmtId="165" fontId="0" fillId="0" borderId="53" xfId="1" applyNumberFormat="1" applyFont="1" applyBorder="1" applyAlignment="1">
      <alignment horizontal="center"/>
    </xf>
    <xf numFmtId="43" fontId="0" fillId="6" borderId="53" xfId="1" applyFont="1" applyFill="1" applyBorder="1"/>
    <xf numFmtId="43" fontId="0" fillId="0" borderId="53" xfId="1" applyFont="1" applyBorder="1" applyAlignment="1">
      <alignment horizontal="center"/>
    </xf>
    <xf numFmtId="43" fontId="0" fillId="0" borderId="53" xfId="1" applyFont="1" applyBorder="1" applyAlignment="1">
      <alignment horizontal="center" vertical="center"/>
    </xf>
    <xf numFmtId="41" fontId="0" fillId="0" borderId="0" xfId="1" applyNumberFormat="1" applyFont="1"/>
    <xf numFmtId="43" fontId="0" fillId="10" borderId="14" xfId="1" applyFont="1" applyFill="1" applyBorder="1" applyAlignment="1">
      <alignment horizontal="center" vertical="center"/>
    </xf>
    <xf numFmtId="43" fontId="0" fillId="10" borderId="53" xfId="1" applyFont="1" applyFill="1" applyBorder="1"/>
    <xf numFmtId="43" fontId="0" fillId="6" borderId="30" xfId="1" applyFont="1" applyFill="1" applyBorder="1"/>
    <xf numFmtId="43" fontId="0" fillId="6" borderId="33" xfId="1" applyFont="1" applyFill="1" applyBorder="1" applyAlignment="1">
      <alignment horizontal="center"/>
    </xf>
    <xf numFmtId="165" fontId="2" fillId="5" borderId="25" xfId="0" applyNumberFormat="1" applyFont="1" applyFill="1" applyBorder="1"/>
    <xf numFmtId="0" fontId="0" fillId="8" borderId="55" xfId="0" applyFill="1" applyBorder="1"/>
    <xf numFmtId="0" fontId="0" fillId="0" borderId="56" xfId="0" applyBorder="1"/>
    <xf numFmtId="0" fontId="0" fillId="8" borderId="36" xfId="0" applyFill="1" applyBorder="1"/>
    <xf numFmtId="43" fontId="0" fillId="7" borderId="69" xfId="1" applyFont="1" applyFill="1" applyBorder="1"/>
    <xf numFmtId="43" fontId="0" fillId="8" borderId="74" xfId="1" applyFont="1" applyFill="1" applyBorder="1"/>
    <xf numFmtId="43" fontId="0" fillId="10" borderId="74" xfId="1" applyFont="1" applyFill="1" applyBorder="1"/>
    <xf numFmtId="165" fontId="0" fillId="0" borderId="74" xfId="1" applyNumberFormat="1" applyFont="1" applyBorder="1"/>
    <xf numFmtId="165" fontId="0" fillId="8" borderId="74" xfId="1" applyNumberFormat="1" applyFont="1" applyFill="1" applyBorder="1"/>
    <xf numFmtId="43" fontId="0" fillId="10" borderId="75" xfId="1" applyFont="1" applyFill="1" applyBorder="1"/>
    <xf numFmtId="0" fontId="0" fillId="2" borderId="34" xfId="0" applyFill="1" applyBorder="1"/>
    <xf numFmtId="2" fontId="2" fillId="5" borderId="25" xfId="0" applyNumberFormat="1" applyFont="1" applyFill="1" applyBorder="1"/>
    <xf numFmtId="0" fontId="0" fillId="8" borderId="70" xfId="0" applyFill="1" applyBorder="1"/>
    <xf numFmtId="0" fontId="0" fillId="8" borderId="10" xfId="0" applyFill="1" applyBorder="1"/>
    <xf numFmtId="0" fontId="0" fillId="0" borderId="2" xfId="0" applyBorder="1"/>
    <xf numFmtId="0" fontId="0" fillId="0" borderId="55" xfId="0" applyBorder="1"/>
    <xf numFmtId="165" fontId="0" fillId="0" borderId="0" xfId="0" applyNumberFormat="1"/>
    <xf numFmtId="2" fontId="0" fillId="0" borderId="0" xfId="0" applyNumberFormat="1"/>
    <xf numFmtId="165" fontId="4" fillId="5" borderId="0" xfId="1" applyNumberFormat="1" applyFont="1" applyFill="1" applyBorder="1" applyAlignment="1">
      <alignment horizontal="center" wrapText="1"/>
    </xf>
    <xf numFmtId="165" fontId="2" fillId="5" borderId="64" xfId="0" applyNumberFormat="1" applyFont="1" applyFill="1" applyBorder="1"/>
    <xf numFmtId="165" fontId="0" fillId="0" borderId="13" xfId="1" applyNumberFormat="1" applyFont="1" applyBorder="1"/>
    <xf numFmtId="165" fontId="0" fillId="0" borderId="9" xfId="1" applyNumberFormat="1" applyFont="1" applyBorder="1"/>
    <xf numFmtId="165" fontId="0" fillId="0" borderId="12" xfId="1" applyNumberFormat="1" applyFont="1" applyBorder="1"/>
    <xf numFmtId="165" fontId="0" fillId="0" borderId="71" xfId="1" applyNumberFormat="1" applyFont="1" applyBorder="1"/>
    <xf numFmtId="0" fontId="0" fillId="0" borderId="34" xfId="0" applyBorder="1"/>
    <xf numFmtId="0" fontId="0" fillId="0" borderId="71" xfId="0" applyBorder="1"/>
    <xf numFmtId="0" fontId="0" fillId="0" borderId="1" xfId="0" applyBorder="1"/>
    <xf numFmtId="43" fontId="0" fillId="7" borderId="11" xfId="1" applyFont="1" applyFill="1" applyBorder="1" applyAlignment="1">
      <alignment horizontal="center"/>
    </xf>
    <xf numFmtId="43" fontId="0" fillId="7" borderId="33" xfId="1" applyFont="1" applyFill="1" applyBorder="1" applyAlignment="1">
      <alignment horizontal="center"/>
    </xf>
    <xf numFmtId="0" fontId="0" fillId="3" borderId="36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ly202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2024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rey Gobind" id="{ADD50189-AC8F-4537-B455-D019A8B432CB}" userId="S::Carey.Gobind@autocarriers.co.za::7de33104-bda1-416a-896f-67fc93713d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25" dT="2023-11-22T12:59:16.52" personId="{ADD50189-AC8F-4537-B455-D019A8B432CB}" id="{440568A2-ACBA-4E77-9A63-40197A417C74}">
    <text>Payload protection for x2 loads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3-12-04T13:31:14.40" personId="{ADD50189-AC8F-4537-B455-D019A8B432CB}" id="{B6CD9EA8-8C31-4A5F-B670-77BDB8C2D6D0}">
    <text xml:space="preserve">TTAF to DCT
</text>
  </threadedComment>
  <threadedComment ref="U90" dT="2024-02-14T13:52:01.13" personId="{ADD50189-AC8F-4537-B455-D019A8B432CB}" id="{8E0F1533-0034-4015-B70E-3D309FCD4CCF}">
    <text xml:space="preserve">MOTUS GP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17" dT="2024-02-14T13:52:01.13" personId="{ADD50189-AC8F-4537-B455-D019A8B432CB}" id="{788A0024-1B94-472B-BDBF-30ED0ABEF1ED}">
    <text xml:space="preserve">MOTUS GP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17" dT="2024-02-14T13:52:01.13" personId="{ADD50189-AC8F-4537-B455-D019A8B432CB}" id="{BF89BA0B-5B37-4F41-8A8A-A71DDFC9317E}">
    <text xml:space="preserve">MOTUS GP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V26" dT="2024-07-23T13:39:15.02" personId="{ADD50189-AC8F-4537-B455-D019A8B432CB}" id="{BD04215B-5036-4919-A67C-33E3DCCDD803}">
    <text xml:space="preserve">X4 Carriers to EC
</text>
  </threadedComment>
  <threadedComment ref="AV27" dT="2024-07-25T13:55:42.00" personId="{ADD50189-AC8F-4537-B455-D019A8B432CB}" id="{D943508B-C1A1-4D9A-8C69-C992E0BB0CDE}">
    <text>X3 Empty to DBN</text>
  </threadedComment>
  <threadedComment ref="AV28" dT="2024-07-25T13:55:53.79" personId="{ADD50189-AC8F-4537-B455-D019A8B432CB}" id="{D9626B31-2C00-4059-B831-A0AA3B5FCAE0}">
    <text xml:space="preserve">X3 Empty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B7" dT="2024-08-05T14:09:36.81" personId="{ADD50189-AC8F-4537-B455-D019A8B432CB}" id="{E6028D5C-8D1F-4A8A-AD35-219589BB57AE}">
    <text>1 CC Empty from EL</text>
  </threadedComment>
  <threadedComment ref="BB8" dT="2024-08-05T14:09:57.87" personId="{ADD50189-AC8F-4537-B455-D019A8B432CB}" id="{B3184A37-D807-4B86-AFE8-D9E2E4F4B659}">
    <text>1 CC Empty from EL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E8" dT="2024-09-05T14:29:41.38" personId="{ADD50189-AC8F-4537-B455-D019A8B432CB}" id="{07A94DFE-5FE9-403D-8B24-956A49158CD1}">
    <text>1 X CC LOADED X1 UNIT FROM EL AND RAN BACK TO DBN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92E3-14D9-4783-9350-81BA994CA683}">
  <sheetPr codeName="Sheet1"/>
  <dimension ref="A1:BL126"/>
  <sheetViews>
    <sheetView topLeftCell="AQ13" workbookViewId="0">
      <selection activeCell="BM9" sqref="BM9"/>
    </sheetView>
  </sheetViews>
  <sheetFormatPr defaultRowHeight="14.4" x14ac:dyDescent="0.3"/>
  <cols>
    <col min="1" max="1" width="29.6640625" customWidth="1"/>
    <col min="2" max="3" width="8.88671875" hidden="1" customWidth="1"/>
    <col min="4" max="13" width="8.88671875" style="2" hidden="1" customWidth="1"/>
    <col min="14" max="19" width="8.88671875" style="2" customWidth="1"/>
    <col min="20" max="21" width="8.88671875" customWidth="1"/>
    <col min="22" max="22" width="8.88671875" style="2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7.33203125" style="2" customWidth="1"/>
    <col min="32" max="32" width="7.33203125" customWidth="1"/>
    <col min="33" max="33" width="9.6640625" customWidth="1"/>
    <col min="34" max="34" width="10.88671875" style="2" customWidth="1"/>
    <col min="35" max="36" width="8.88671875" customWidth="1"/>
    <col min="37" max="37" width="8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8" width="8.88671875" customWidth="1"/>
    <col min="49" max="49" width="8.88671875" style="2" customWidth="1"/>
    <col min="52" max="52" width="8.6640625" style="2"/>
    <col min="55" max="55" width="8.6640625" style="2"/>
    <col min="58" max="58" width="9.33203125" style="2" customWidth="1"/>
    <col min="61" max="61" width="8.6640625" style="2"/>
    <col min="62" max="62" width="9.109375" style="79" bestFit="1" customWidth="1"/>
    <col min="63" max="63" width="8.6640625" style="79"/>
    <col min="64" max="64" width="8.6640625" style="2"/>
  </cols>
  <sheetData>
    <row r="1" spans="1:64" ht="18.600000000000001" thickBot="1" x14ac:dyDescent="0.4">
      <c r="A1" s="67" t="s">
        <v>0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8"/>
      <c r="U1" s="68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8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113"/>
      <c r="BK1" s="113"/>
      <c r="BL1" s="69"/>
    </row>
    <row r="2" spans="1:64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73" t="s">
        <v>2</v>
      </c>
      <c r="M2" s="73"/>
      <c r="N2" s="77"/>
      <c r="O2" s="73" t="s">
        <v>2</v>
      </c>
      <c r="P2" s="74"/>
      <c r="Q2" s="73"/>
      <c r="R2" s="104" t="s">
        <v>1</v>
      </c>
      <c r="S2" s="74"/>
      <c r="T2" s="71"/>
      <c r="U2" s="72" t="s">
        <v>3</v>
      </c>
      <c r="V2" s="73"/>
      <c r="W2" s="71"/>
      <c r="X2" s="72" t="s">
        <v>3</v>
      </c>
      <c r="Y2" s="74"/>
      <c r="Z2" s="72"/>
      <c r="AA2" s="72" t="s">
        <v>4</v>
      </c>
      <c r="AB2" s="73"/>
      <c r="AC2" s="71"/>
      <c r="AD2" s="72" t="s">
        <v>4</v>
      </c>
      <c r="AE2" s="74"/>
      <c r="AF2" s="72"/>
      <c r="AG2" s="72" t="s">
        <v>4</v>
      </c>
      <c r="AH2" s="74"/>
      <c r="AI2" s="108"/>
      <c r="AJ2" s="109" t="s">
        <v>5</v>
      </c>
      <c r="AK2" s="110"/>
      <c r="AL2" s="108"/>
      <c r="AM2" s="109" t="s">
        <v>5</v>
      </c>
      <c r="AN2" s="111"/>
      <c r="AO2" s="109"/>
      <c r="AP2" s="109" t="s">
        <v>5</v>
      </c>
      <c r="AQ2" s="110"/>
      <c r="AR2" s="108"/>
      <c r="AS2" s="109" t="s">
        <v>5</v>
      </c>
      <c r="AT2" s="112"/>
      <c r="AU2" s="109"/>
      <c r="AV2" s="109" t="s">
        <v>5</v>
      </c>
      <c r="AW2" s="111"/>
      <c r="AX2" s="71"/>
      <c r="AY2" s="72" t="s">
        <v>6</v>
      </c>
      <c r="AZ2" s="74"/>
      <c r="BA2" s="75"/>
      <c r="BB2" s="75" t="s">
        <v>6</v>
      </c>
      <c r="BC2" s="76"/>
      <c r="BD2" s="71"/>
      <c r="BE2" s="72" t="s">
        <v>6</v>
      </c>
      <c r="BF2" s="74"/>
      <c r="BG2" s="75"/>
      <c r="BH2" s="75" t="s">
        <v>6</v>
      </c>
      <c r="BI2" s="76"/>
      <c r="BJ2" s="114" t="s">
        <v>7</v>
      </c>
      <c r="BK2" s="119"/>
      <c r="BL2" s="74"/>
    </row>
    <row r="3" spans="1:64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11</v>
      </c>
      <c r="L3" s="4"/>
      <c r="M3" s="35"/>
      <c r="N3" s="3" t="s">
        <v>12</v>
      </c>
      <c r="O3" s="4"/>
      <c r="P3" s="33"/>
      <c r="Q3" s="4" t="s">
        <v>13</v>
      </c>
      <c r="R3" s="4"/>
      <c r="S3" s="33"/>
      <c r="T3" s="47" t="s">
        <v>14</v>
      </c>
      <c r="U3" s="47"/>
      <c r="V3" s="49"/>
      <c r="W3" s="46" t="s">
        <v>15</v>
      </c>
      <c r="X3" s="47"/>
      <c r="Y3" s="48"/>
      <c r="Z3" s="47" t="s">
        <v>16</v>
      </c>
      <c r="AA3" s="47"/>
      <c r="AB3" s="49"/>
      <c r="AC3" s="46" t="s">
        <v>17</v>
      </c>
      <c r="AD3" s="47"/>
      <c r="AE3" s="48"/>
      <c r="AF3" s="47" t="s">
        <v>18</v>
      </c>
      <c r="AG3" s="47"/>
      <c r="AH3" s="49"/>
      <c r="AI3" s="9" t="s">
        <v>19</v>
      </c>
      <c r="AJ3" s="7"/>
      <c r="AK3" s="29"/>
      <c r="AL3" s="9" t="s">
        <v>20</v>
      </c>
      <c r="AM3" s="7"/>
      <c r="AN3" s="31"/>
      <c r="AO3" s="7" t="s">
        <v>21</v>
      </c>
      <c r="AP3" s="7"/>
      <c r="AQ3" s="29"/>
      <c r="AR3" s="9" t="s">
        <v>22</v>
      </c>
      <c r="AS3" s="7"/>
      <c r="AT3" s="8"/>
      <c r="AU3" s="7" t="s">
        <v>23</v>
      </c>
      <c r="AV3" s="7"/>
      <c r="AW3" s="31"/>
      <c r="AX3" s="13" t="s">
        <v>24</v>
      </c>
      <c r="AY3" s="14"/>
      <c r="AZ3" s="27"/>
      <c r="BA3" s="14" t="s">
        <v>25</v>
      </c>
      <c r="BB3" s="14"/>
      <c r="BC3" s="55"/>
      <c r="BD3" s="13" t="s">
        <v>26</v>
      </c>
      <c r="BE3" s="14"/>
      <c r="BF3" s="27"/>
      <c r="BG3" s="14" t="s">
        <v>27</v>
      </c>
      <c r="BH3" s="14"/>
      <c r="BI3" s="55"/>
      <c r="BJ3" s="115" t="s">
        <v>28</v>
      </c>
      <c r="BK3" s="115"/>
      <c r="BL3" s="24"/>
    </row>
    <row r="4" spans="1:64" ht="43.8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6" t="s">
        <v>31</v>
      </c>
      <c r="N4" s="129" t="s">
        <v>7</v>
      </c>
      <c r="O4" s="130" t="s">
        <v>30</v>
      </c>
      <c r="P4" s="131" t="s">
        <v>31</v>
      </c>
      <c r="Q4" s="6" t="s">
        <v>7</v>
      </c>
      <c r="R4" s="6" t="s">
        <v>30</v>
      </c>
      <c r="S4" s="34" t="s">
        <v>31</v>
      </c>
      <c r="T4" s="51" t="s">
        <v>7</v>
      </c>
      <c r="U4" s="51" t="s">
        <v>30</v>
      </c>
      <c r="V4" s="53" t="s">
        <v>31</v>
      </c>
      <c r="W4" s="50" t="s">
        <v>7</v>
      </c>
      <c r="X4" s="51" t="s">
        <v>30</v>
      </c>
      <c r="Y4" s="52" t="s">
        <v>31</v>
      </c>
      <c r="Z4" s="51" t="s">
        <v>7</v>
      </c>
      <c r="AA4" s="51" t="s">
        <v>30</v>
      </c>
      <c r="AB4" s="53" t="s">
        <v>31</v>
      </c>
      <c r="AC4" s="50" t="s">
        <v>7</v>
      </c>
      <c r="AD4" s="51" t="s">
        <v>30</v>
      </c>
      <c r="AE4" s="52" t="s">
        <v>31</v>
      </c>
      <c r="AF4" s="51" t="s">
        <v>7</v>
      </c>
      <c r="AG4" s="51" t="s">
        <v>30</v>
      </c>
      <c r="AH4" s="53" t="s">
        <v>31</v>
      </c>
      <c r="AI4" s="12" t="s">
        <v>7</v>
      </c>
      <c r="AJ4" s="10" t="s">
        <v>30</v>
      </c>
      <c r="AK4" s="30" t="s">
        <v>31</v>
      </c>
      <c r="AL4" s="12" t="s">
        <v>7</v>
      </c>
      <c r="AM4" s="10" t="s">
        <v>30</v>
      </c>
      <c r="AN4" s="32" t="s">
        <v>31</v>
      </c>
      <c r="AO4" s="10" t="s">
        <v>7</v>
      </c>
      <c r="AP4" s="10" t="s">
        <v>30</v>
      </c>
      <c r="AQ4" s="30" t="s">
        <v>31</v>
      </c>
      <c r="AR4" s="12" t="s">
        <v>7</v>
      </c>
      <c r="AS4" s="10" t="s">
        <v>30</v>
      </c>
      <c r="AT4" s="11" t="s">
        <v>31</v>
      </c>
      <c r="AU4" s="10" t="s">
        <v>7</v>
      </c>
      <c r="AV4" s="10" t="s">
        <v>30</v>
      </c>
      <c r="AW4" s="32" t="s">
        <v>31</v>
      </c>
      <c r="AX4" s="15" t="s">
        <v>7</v>
      </c>
      <c r="AY4" s="16" t="s">
        <v>30</v>
      </c>
      <c r="AZ4" s="28" t="s">
        <v>31</v>
      </c>
      <c r="BA4" s="16" t="s">
        <v>7</v>
      </c>
      <c r="BB4" s="16" t="s">
        <v>30</v>
      </c>
      <c r="BC4" s="57" t="s">
        <v>31</v>
      </c>
      <c r="BD4" s="15" t="s">
        <v>7</v>
      </c>
      <c r="BE4" s="16" t="s">
        <v>30</v>
      </c>
      <c r="BF4" s="28" t="s">
        <v>31</v>
      </c>
      <c r="BG4" s="16" t="s">
        <v>7</v>
      </c>
      <c r="BH4" s="16" t="s">
        <v>30</v>
      </c>
      <c r="BI4" s="57" t="s">
        <v>31</v>
      </c>
      <c r="BJ4" s="116" t="s">
        <v>7</v>
      </c>
      <c r="BK4" s="116" t="s">
        <v>30</v>
      </c>
      <c r="BL4" s="25" t="s">
        <v>31</v>
      </c>
    </row>
    <row r="5" spans="1:64" ht="15" thickBot="1" x14ac:dyDescent="0.35">
      <c r="A5" s="1">
        <v>45200</v>
      </c>
      <c r="B5" s="17">
        <v>36</v>
      </c>
      <c r="C5" s="18">
        <v>4</v>
      </c>
      <c r="D5" s="64">
        <f>IF(C5=0,"",B5/C5)</f>
        <v>9</v>
      </c>
      <c r="E5" s="17">
        <v>8</v>
      </c>
      <c r="F5" s="18">
        <v>1</v>
      </c>
      <c r="G5" s="64">
        <f>IF(F5=0,"",E5/F5)</f>
        <v>8</v>
      </c>
      <c r="H5" s="17">
        <v>0</v>
      </c>
      <c r="I5" s="18">
        <v>0</v>
      </c>
      <c r="J5" s="26">
        <v>0</v>
      </c>
      <c r="K5" s="22">
        <v>17</v>
      </c>
      <c r="L5" s="18">
        <v>3</v>
      </c>
      <c r="M5" s="64">
        <f>IF(L5=0,"",K5/L5)</f>
        <v>5.666666666666667</v>
      </c>
      <c r="N5" s="133">
        <v>232</v>
      </c>
      <c r="O5" s="136">
        <v>36</v>
      </c>
      <c r="P5" s="132">
        <f t="shared" ref="P5:P13" si="0">IF(O5=0,"",N5/O5)</f>
        <v>6.4444444444444446</v>
      </c>
      <c r="Q5" s="22">
        <v>0</v>
      </c>
      <c r="R5" s="18">
        <v>0</v>
      </c>
      <c r="S5" s="122" t="str">
        <f t="shared" ref="S5:S35" si="1">IF(R5=0,"",Q5/R5)</f>
        <v/>
      </c>
      <c r="T5" s="17">
        <v>0</v>
      </c>
      <c r="U5" s="18">
        <v>0</v>
      </c>
      <c r="V5" s="122" t="str">
        <f t="shared" ref="V5:V35" si="2">IF(U5=0,"",T5/U5)</f>
        <v/>
      </c>
      <c r="W5" s="22">
        <v>0</v>
      </c>
      <c r="X5" s="18">
        <v>0</v>
      </c>
      <c r="Y5" s="121">
        <v>0</v>
      </c>
      <c r="Z5" s="17">
        <v>0</v>
      </c>
      <c r="AA5" s="18">
        <v>0</v>
      </c>
      <c r="AB5" s="121">
        <v>0</v>
      </c>
      <c r="AC5" s="17">
        <v>0</v>
      </c>
      <c r="AD5" s="18">
        <v>0</v>
      </c>
      <c r="AE5" s="121">
        <v>0</v>
      </c>
      <c r="AF5" s="22">
        <v>0</v>
      </c>
      <c r="AG5" s="18">
        <v>0</v>
      </c>
      <c r="AH5" s="121">
        <v>0</v>
      </c>
      <c r="AI5" s="22">
        <v>26</v>
      </c>
      <c r="AJ5" s="18">
        <v>4</v>
      </c>
      <c r="AK5" s="122">
        <f t="shared" ref="AK5:AK13" si="3">IF(AJ5=0,"",AI5/AJ5)</f>
        <v>6.5</v>
      </c>
      <c r="AL5" s="20">
        <v>0</v>
      </c>
      <c r="AM5" s="21">
        <v>0</v>
      </c>
      <c r="AN5" s="122">
        <v>0</v>
      </c>
      <c r="AO5" s="20">
        <v>0</v>
      </c>
      <c r="AP5" s="21">
        <v>0</v>
      </c>
      <c r="AQ5" s="122">
        <v>0</v>
      </c>
      <c r="AR5" s="20">
        <v>0</v>
      </c>
      <c r="AS5" s="21">
        <v>0</v>
      </c>
      <c r="AT5" s="122">
        <v>0</v>
      </c>
      <c r="AU5" s="17">
        <v>0</v>
      </c>
      <c r="AV5" s="18">
        <v>0</v>
      </c>
      <c r="AW5" s="121">
        <v>0</v>
      </c>
      <c r="AX5" s="17">
        <v>7</v>
      </c>
      <c r="AY5" s="18">
        <v>1</v>
      </c>
      <c r="AZ5" s="121">
        <f>IF(AY5=0,"",AX5/AY5)</f>
        <v>7</v>
      </c>
      <c r="BA5" s="22">
        <v>0</v>
      </c>
      <c r="BB5" s="18">
        <v>0</v>
      </c>
      <c r="BC5" s="121">
        <v>0</v>
      </c>
      <c r="BD5" s="17">
        <v>0</v>
      </c>
      <c r="BE5" s="18">
        <v>0</v>
      </c>
      <c r="BF5" s="121">
        <v>0</v>
      </c>
      <c r="BG5" s="17">
        <v>0</v>
      </c>
      <c r="BH5" s="18">
        <v>0</v>
      </c>
      <c r="BI5" s="121">
        <v>0</v>
      </c>
      <c r="BJ5" s="117">
        <f>BG5+BD5+BA5+AX5+AU5+AR5+AO5+AL5+AI5+Q5+N5+K5+H5+E5+AF5+AC5+Z5+W5+T5+B5</f>
        <v>326</v>
      </c>
      <c r="BK5" s="120">
        <f>BH5+BE5+BB5+AY5+AV5+AS5+AP5+AM5+AJ5+R5+O5+L5+I5+F5+AG5+AD5+AA5+X5+U5+C5</f>
        <v>49</v>
      </c>
      <c r="BL5" s="19">
        <f>IF(BK5=0,"",BJ5/BK5)</f>
        <v>6.6530612244897958</v>
      </c>
    </row>
    <row r="6" spans="1:64" ht="15" thickBot="1" x14ac:dyDescent="0.35">
      <c r="A6" s="1">
        <v>45201</v>
      </c>
      <c r="B6" s="20">
        <v>45</v>
      </c>
      <c r="C6" s="21">
        <v>5</v>
      </c>
      <c r="D6" s="65">
        <f t="shared" ref="D6:D35" si="4">IF(C6=0,"",B6/C6)</f>
        <v>9</v>
      </c>
      <c r="E6" s="20">
        <v>0</v>
      </c>
      <c r="F6" s="21">
        <v>0</v>
      </c>
      <c r="G6" s="65" t="s">
        <v>32</v>
      </c>
      <c r="H6" s="20">
        <v>0</v>
      </c>
      <c r="I6" s="21">
        <v>0</v>
      </c>
      <c r="J6" s="26">
        <v>0</v>
      </c>
      <c r="K6" s="23">
        <v>31</v>
      </c>
      <c r="L6" s="21">
        <v>5</v>
      </c>
      <c r="M6" s="65">
        <f t="shared" ref="M6:M35" si="5">IF(L6=0,"",K6/L6)</f>
        <v>6.2</v>
      </c>
      <c r="N6" s="134">
        <v>370</v>
      </c>
      <c r="O6" s="137">
        <v>60</v>
      </c>
      <c r="P6" s="132">
        <f t="shared" si="0"/>
        <v>6.166666666666667</v>
      </c>
      <c r="Q6" s="23">
        <v>0</v>
      </c>
      <c r="R6" s="21">
        <v>0</v>
      </c>
      <c r="S6" s="122" t="str">
        <f t="shared" si="1"/>
        <v/>
      </c>
      <c r="T6" s="20">
        <v>5</v>
      </c>
      <c r="U6" s="21">
        <v>1</v>
      </c>
      <c r="V6" s="122">
        <f t="shared" si="2"/>
        <v>5</v>
      </c>
      <c r="W6" s="23">
        <v>0</v>
      </c>
      <c r="X6" s="21">
        <v>0</v>
      </c>
      <c r="Y6" s="122">
        <v>0</v>
      </c>
      <c r="Z6" s="20">
        <v>0</v>
      </c>
      <c r="AA6" s="21">
        <v>0</v>
      </c>
      <c r="AB6" s="122">
        <v>0</v>
      </c>
      <c r="AC6" s="20">
        <v>0</v>
      </c>
      <c r="AD6" s="21">
        <v>0</v>
      </c>
      <c r="AE6" s="122">
        <v>0</v>
      </c>
      <c r="AF6" s="23">
        <v>1</v>
      </c>
      <c r="AG6" s="21">
        <v>1</v>
      </c>
      <c r="AH6" s="121">
        <v>0</v>
      </c>
      <c r="AI6" s="23">
        <v>19</v>
      </c>
      <c r="AJ6" s="21">
        <v>3</v>
      </c>
      <c r="AK6" s="122">
        <f t="shared" si="3"/>
        <v>6.333333333333333</v>
      </c>
      <c r="AL6" s="20">
        <v>0</v>
      </c>
      <c r="AM6" s="21">
        <v>0</v>
      </c>
      <c r="AN6" s="122">
        <v>0</v>
      </c>
      <c r="AO6" s="20">
        <v>0</v>
      </c>
      <c r="AP6" s="21">
        <v>0</v>
      </c>
      <c r="AQ6" s="122">
        <v>0</v>
      </c>
      <c r="AR6" s="20">
        <v>0</v>
      </c>
      <c r="AS6" s="21">
        <v>0</v>
      </c>
      <c r="AT6" s="122">
        <v>0</v>
      </c>
      <c r="AU6" s="20">
        <v>0</v>
      </c>
      <c r="AV6" s="21">
        <v>0</v>
      </c>
      <c r="AW6" s="122">
        <v>0</v>
      </c>
      <c r="AX6" s="20">
        <v>0</v>
      </c>
      <c r="AY6" s="21">
        <v>0</v>
      </c>
      <c r="AZ6" s="122">
        <v>0</v>
      </c>
      <c r="BA6" s="20">
        <v>0</v>
      </c>
      <c r="BB6" s="21">
        <v>0</v>
      </c>
      <c r="BC6" s="122">
        <v>0</v>
      </c>
      <c r="BD6" s="20">
        <v>0</v>
      </c>
      <c r="BE6" s="21">
        <v>0</v>
      </c>
      <c r="BF6" s="122">
        <v>0</v>
      </c>
      <c r="BG6" s="20">
        <v>0</v>
      </c>
      <c r="BH6" s="21">
        <v>0</v>
      </c>
      <c r="BI6" s="122">
        <v>0</v>
      </c>
      <c r="BJ6" s="117">
        <f t="shared" ref="BJ6:BJ35" si="6">BG6+BD6+BA6+AX6+AU6+AR6+AO6+AL6+AI6+Q6+N6+K6+H6+E6+AF6+AC6+Z6+W6+T6+B6</f>
        <v>471</v>
      </c>
      <c r="BK6" s="120">
        <f t="shared" ref="BK6:BK35" si="7">BH6+BE6+BB6+AY6+AV6+AS6+AP6+AM6+AJ6+R6+O6+L6+I6+F6+AG6+AD6+AA6+X6+U6+C6</f>
        <v>75</v>
      </c>
      <c r="BL6" s="26">
        <f t="shared" ref="BL6:BL35" si="8">IF(BK6=0,"",BJ6/BK6)</f>
        <v>6.28</v>
      </c>
    </row>
    <row r="7" spans="1:64" ht="15" thickBot="1" x14ac:dyDescent="0.35">
      <c r="A7" s="1">
        <v>45202</v>
      </c>
      <c r="B7" s="20">
        <v>93</v>
      </c>
      <c r="C7" s="21">
        <v>11</v>
      </c>
      <c r="D7" s="65">
        <f t="shared" si="4"/>
        <v>8.454545454545455</v>
      </c>
      <c r="E7" s="20">
        <v>8</v>
      </c>
      <c r="F7" s="21">
        <v>1</v>
      </c>
      <c r="G7" s="65">
        <f t="shared" ref="G7:G35" si="9">IF(F7=0,"",E7/F7)</f>
        <v>8</v>
      </c>
      <c r="H7" s="20">
        <v>0</v>
      </c>
      <c r="I7" s="21">
        <v>0</v>
      </c>
      <c r="J7" s="26">
        <v>0</v>
      </c>
      <c r="K7" s="23">
        <v>46</v>
      </c>
      <c r="L7" s="21">
        <v>8</v>
      </c>
      <c r="M7" s="65">
        <f t="shared" si="5"/>
        <v>5.75</v>
      </c>
      <c r="N7" s="134">
        <v>297</v>
      </c>
      <c r="O7" s="137">
        <v>50</v>
      </c>
      <c r="P7" s="132">
        <f t="shared" si="0"/>
        <v>5.94</v>
      </c>
      <c r="Q7" s="23">
        <v>0</v>
      </c>
      <c r="R7" s="21">
        <v>0</v>
      </c>
      <c r="S7" s="122" t="str">
        <f t="shared" si="1"/>
        <v/>
      </c>
      <c r="T7" s="20">
        <v>1</v>
      </c>
      <c r="U7" s="21">
        <v>1</v>
      </c>
      <c r="V7" s="122">
        <f t="shared" si="2"/>
        <v>1</v>
      </c>
      <c r="W7" s="23">
        <v>0</v>
      </c>
      <c r="X7" s="21">
        <v>0</v>
      </c>
      <c r="Y7" s="122">
        <v>0</v>
      </c>
      <c r="Z7" s="20">
        <v>0</v>
      </c>
      <c r="AA7" s="21">
        <v>0</v>
      </c>
      <c r="AB7" s="122">
        <v>0</v>
      </c>
      <c r="AC7" s="20">
        <v>0</v>
      </c>
      <c r="AD7" s="21">
        <v>0</v>
      </c>
      <c r="AE7" s="122">
        <v>0</v>
      </c>
      <c r="AF7" s="23">
        <v>0</v>
      </c>
      <c r="AG7" s="21">
        <v>0</v>
      </c>
      <c r="AH7" s="122">
        <v>0</v>
      </c>
      <c r="AI7" s="23">
        <v>13</v>
      </c>
      <c r="AJ7" s="21">
        <v>2</v>
      </c>
      <c r="AK7" s="122">
        <f t="shared" si="3"/>
        <v>6.5</v>
      </c>
      <c r="AL7" s="20">
        <v>0</v>
      </c>
      <c r="AM7" s="21">
        <v>0</v>
      </c>
      <c r="AN7" s="122">
        <v>0</v>
      </c>
      <c r="AO7" s="20">
        <v>0</v>
      </c>
      <c r="AP7" s="21">
        <v>0</v>
      </c>
      <c r="AQ7" s="122">
        <v>0</v>
      </c>
      <c r="AR7" s="20">
        <v>0</v>
      </c>
      <c r="AS7" s="21">
        <v>0</v>
      </c>
      <c r="AT7" s="122">
        <v>0</v>
      </c>
      <c r="AU7" s="20">
        <v>0</v>
      </c>
      <c r="AV7" s="21">
        <v>0</v>
      </c>
      <c r="AW7" s="122">
        <v>0</v>
      </c>
      <c r="AX7" s="20">
        <v>0</v>
      </c>
      <c r="AY7" s="21">
        <v>0</v>
      </c>
      <c r="AZ7" s="122">
        <v>0</v>
      </c>
      <c r="BA7" s="20">
        <v>0</v>
      </c>
      <c r="BB7" s="21">
        <v>0</v>
      </c>
      <c r="BC7" s="122">
        <v>0</v>
      </c>
      <c r="BD7" s="20">
        <v>0</v>
      </c>
      <c r="BE7" s="21">
        <v>0</v>
      </c>
      <c r="BF7" s="122">
        <v>0</v>
      </c>
      <c r="BG7" s="20">
        <v>0</v>
      </c>
      <c r="BH7" s="21">
        <v>0</v>
      </c>
      <c r="BI7" s="122">
        <v>0</v>
      </c>
      <c r="BJ7" s="117">
        <f t="shared" si="6"/>
        <v>458</v>
      </c>
      <c r="BK7" s="120">
        <f t="shared" si="7"/>
        <v>73</v>
      </c>
      <c r="BL7" s="26">
        <f t="shared" si="8"/>
        <v>6.2739726027397262</v>
      </c>
    </row>
    <row r="8" spans="1:64" ht="15" thickBot="1" x14ac:dyDescent="0.35">
      <c r="A8" s="1">
        <v>45203</v>
      </c>
      <c r="B8" s="20">
        <v>61</v>
      </c>
      <c r="C8" s="21">
        <v>7</v>
      </c>
      <c r="D8" s="65">
        <f t="shared" si="4"/>
        <v>8.7142857142857135</v>
      </c>
      <c r="E8" s="20">
        <v>8</v>
      </c>
      <c r="F8" s="21">
        <v>1</v>
      </c>
      <c r="G8" s="65">
        <f t="shared" si="9"/>
        <v>8</v>
      </c>
      <c r="H8" s="20">
        <v>18</v>
      </c>
      <c r="I8" s="21">
        <v>2</v>
      </c>
      <c r="J8" s="26">
        <f t="shared" ref="J8:J35" si="10">IF(I8=0,"",H8/I8)</f>
        <v>9</v>
      </c>
      <c r="K8" s="23">
        <v>69</v>
      </c>
      <c r="L8" s="21">
        <v>14</v>
      </c>
      <c r="M8" s="65">
        <f t="shared" si="5"/>
        <v>4.9285714285714288</v>
      </c>
      <c r="N8" s="134">
        <v>25</v>
      </c>
      <c r="O8" s="137">
        <v>4</v>
      </c>
      <c r="P8" s="132">
        <f t="shared" si="0"/>
        <v>6.25</v>
      </c>
      <c r="Q8" s="23">
        <v>0</v>
      </c>
      <c r="R8" s="21">
        <v>0</v>
      </c>
      <c r="S8" s="122" t="str">
        <f t="shared" si="1"/>
        <v/>
      </c>
      <c r="T8" s="20">
        <v>3</v>
      </c>
      <c r="U8" s="21">
        <v>1</v>
      </c>
      <c r="V8" s="122">
        <f t="shared" si="2"/>
        <v>3</v>
      </c>
      <c r="W8" s="23">
        <v>0</v>
      </c>
      <c r="X8" s="21">
        <v>0</v>
      </c>
      <c r="Y8" s="122">
        <v>0</v>
      </c>
      <c r="Z8" s="20">
        <v>0</v>
      </c>
      <c r="AA8" s="21">
        <v>0</v>
      </c>
      <c r="AB8" s="122">
        <v>0</v>
      </c>
      <c r="AC8" s="20">
        <v>0</v>
      </c>
      <c r="AD8" s="21">
        <v>0</v>
      </c>
      <c r="AE8" s="122">
        <v>0</v>
      </c>
      <c r="AF8" s="23">
        <v>0</v>
      </c>
      <c r="AG8" s="21">
        <v>0</v>
      </c>
      <c r="AH8" s="122">
        <v>0</v>
      </c>
      <c r="AI8" s="23">
        <v>30</v>
      </c>
      <c r="AJ8" s="21">
        <v>4</v>
      </c>
      <c r="AK8" s="122">
        <f t="shared" si="3"/>
        <v>7.5</v>
      </c>
      <c r="AL8" s="20">
        <v>0</v>
      </c>
      <c r="AM8" s="21">
        <v>0</v>
      </c>
      <c r="AN8" s="122">
        <v>0</v>
      </c>
      <c r="AO8" s="20">
        <v>0</v>
      </c>
      <c r="AP8" s="21">
        <v>0</v>
      </c>
      <c r="AQ8" s="122">
        <v>0</v>
      </c>
      <c r="AR8" s="20">
        <v>0</v>
      </c>
      <c r="AS8" s="21">
        <v>0</v>
      </c>
      <c r="AT8" s="122">
        <v>0</v>
      </c>
      <c r="AU8" s="20">
        <v>0</v>
      </c>
      <c r="AV8" s="21">
        <v>0</v>
      </c>
      <c r="AW8" s="122">
        <v>0</v>
      </c>
      <c r="AX8" s="20">
        <v>0</v>
      </c>
      <c r="AY8" s="21">
        <v>0</v>
      </c>
      <c r="AZ8" s="122">
        <v>0</v>
      </c>
      <c r="BA8" s="20">
        <v>0</v>
      </c>
      <c r="BB8" s="21">
        <v>0</v>
      </c>
      <c r="BC8" s="122">
        <v>0</v>
      </c>
      <c r="BD8" s="20">
        <v>0</v>
      </c>
      <c r="BE8" s="21">
        <v>0</v>
      </c>
      <c r="BF8" s="122">
        <v>0</v>
      </c>
      <c r="BG8" s="20">
        <v>0</v>
      </c>
      <c r="BH8" s="21">
        <v>0</v>
      </c>
      <c r="BI8" s="122">
        <v>0</v>
      </c>
      <c r="BJ8" s="117">
        <f t="shared" si="6"/>
        <v>214</v>
      </c>
      <c r="BK8" s="120">
        <f t="shared" si="7"/>
        <v>33</v>
      </c>
      <c r="BL8" s="26">
        <f t="shared" si="8"/>
        <v>6.4848484848484844</v>
      </c>
    </row>
    <row r="9" spans="1:64" ht="15" thickBot="1" x14ac:dyDescent="0.35">
      <c r="A9" s="1">
        <v>45204</v>
      </c>
      <c r="B9" s="20">
        <v>58</v>
      </c>
      <c r="C9" s="21">
        <v>6</v>
      </c>
      <c r="D9" s="65">
        <f t="shared" si="4"/>
        <v>9.6666666666666661</v>
      </c>
      <c r="E9" s="20">
        <v>5</v>
      </c>
      <c r="F9" s="21">
        <v>1</v>
      </c>
      <c r="G9" s="65">
        <f t="shared" si="9"/>
        <v>5</v>
      </c>
      <c r="H9" s="20">
        <v>21</v>
      </c>
      <c r="I9" s="21">
        <v>3</v>
      </c>
      <c r="J9" s="26">
        <f t="shared" si="10"/>
        <v>7</v>
      </c>
      <c r="K9" s="23">
        <v>15</v>
      </c>
      <c r="L9" s="21">
        <v>3</v>
      </c>
      <c r="M9" s="65">
        <f t="shared" si="5"/>
        <v>5</v>
      </c>
      <c r="N9" s="134">
        <v>0</v>
      </c>
      <c r="O9" s="137">
        <v>0</v>
      </c>
      <c r="P9" s="132" t="str">
        <f t="shared" si="0"/>
        <v/>
      </c>
      <c r="Q9" s="23">
        <v>16</v>
      </c>
      <c r="R9" s="21">
        <v>2</v>
      </c>
      <c r="S9" s="122">
        <f t="shared" ref="S9:S31" si="11">IF(R9=0,"",Q9/R9)</f>
        <v>8</v>
      </c>
      <c r="T9" s="20">
        <v>0</v>
      </c>
      <c r="U9" s="21">
        <v>0</v>
      </c>
      <c r="V9" s="122" t="str">
        <f t="shared" si="2"/>
        <v/>
      </c>
      <c r="W9" s="23">
        <v>0</v>
      </c>
      <c r="X9" s="21">
        <v>0</v>
      </c>
      <c r="Y9" s="122">
        <v>0</v>
      </c>
      <c r="Z9" s="20">
        <v>0</v>
      </c>
      <c r="AA9" s="21">
        <v>0</v>
      </c>
      <c r="AB9" s="122">
        <v>0</v>
      </c>
      <c r="AC9" s="20">
        <v>0</v>
      </c>
      <c r="AD9" s="21">
        <v>0</v>
      </c>
      <c r="AE9" s="122">
        <v>0</v>
      </c>
      <c r="AF9" s="23">
        <v>0</v>
      </c>
      <c r="AG9" s="21">
        <v>0</v>
      </c>
      <c r="AH9" s="122">
        <v>0</v>
      </c>
      <c r="AI9" s="23">
        <v>26</v>
      </c>
      <c r="AJ9" s="21">
        <v>3</v>
      </c>
      <c r="AK9" s="122">
        <f t="shared" si="3"/>
        <v>8.6666666666666661</v>
      </c>
      <c r="AL9" s="20">
        <v>0</v>
      </c>
      <c r="AM9" s="21">
        <v>0</v>
      </c>
      <c r="AN9" s="122">
        <v>0</v>
      </c>
      <c r="AO9" s="20">
        <v>0</v>
      </c>
      <c r="AP9" s="21">
        <v>0</v>
      </c>
      <c r="AQ9" s="122">
        <v>0</v>
      </c>
      <c r="AR9" s="20">
        <v>0</v>
      </c>
      <c r="AS9" s="21">
        <v>0</v>
      </c>
      <c r="AT9" s="122">
        <v>0</v>
      </c>
      <c r="AU9" s="20">
        <v>0</v>
      </c>
      <c r="AV9" s="21">
        <v>0</v>
      </c>
      <c r="AW9" s="122">
        <v>0</v>
      </c>
      <c r="AX9" s="20">
        <v>8</v>
      </c>
      <c r="AY9" s="21">
        <v>1</v>
      </c>
      <c r="AZ9" s="122">
        <f t="shared" ref="AZ9:AZ33" si="12">IF(AY9=0,"",AX9/AY9)</f>
        <v>8</v>
      </c>
      <c r="BA9" s="20">
        <v>0</v>
      </c>
      <c r="BB9" s="21">
        <v>0</v>
      </c>
      <c r="BC9" s="122">
        <v>0</v>
      </c>
      <c r="BD9" s="20">
        <v>0</v>
      </c>
      <c r="BE9" s="21">
        <v>0</v>
      </c>
      <c r="BF9" s="122">
        <v>0</v>
      </c>
      <c r="BG9" s="20">
        <v>0</v>
      </c>
      <c r="BH9" s="21">
        <v>0</v>
      </c>
      <c r="BI9" s="122">
        <v>0</v>
      </c>
      <c r="BJ9" s="117">
        <f t="shared" si="6"/>
        <v>149</v>
      </c>
      <c r="BK9" s="120">
        <f t="shared" si="7"/>
        <v>19</v>
      </c>
      <c r="BL9" s="26">
        <f t="shared" si="8"/>
        <v>7.8421052631578947</v>
      </c>
    </row>
    <row r="10" spans="1:64" ht="15" thickBot="1" x14ac:dyDescent="0.35">
      <c r="A10" s="1">
        <v>45205</v>
      </c>
      <c r="B10" s="20">
        <v>53</v>
      </c>
      <c r="C10" s="21">
        <v>6</v>
      </c>
      <c r="D10" s="65">
        <f t="shared" si="4"/>
        <v>8.8333333333333339</v>
      </c>
      <c r="E10" s="20">
        <v>18</v>
      </c>
      <c r="F10" s="21">
        <v>3</v>
      </c>
      <c r="G10" s="65">
        <f t="shared" si="9"/>
        <v>6</v>
      </c>
      <c r="H10" s="20">
        <v>0</v>
      </c>
      <c r="I10" s="21">
        <v>0</v>
      </c>
      <c r="J10" s="26">
        <v>0</v>
      </c>
      <c r="K10" s="23">
        <v>24</v>
      </c>
      <c r="L10" s="21">
        <v>5</v>
      </c>
      <c r="M10" s="65">
        <f t="shared" si="5"/>
        <v>4.8</v>
      </c>
      <c r="N10" s="134">
        <v>0</v>
      </c>
      <c r="O10" s="137">
        <v>0</v>
      </c>
      <c r="P10" s="132" t="str">
        <f t="shared" si="0"/>
        <v/>
      </c>
      <c r="Q10" s="23">
        <v>0</v>
      </c>
      <c r="R10" s="21">
        <v>0</v>
      </c>
      <c r="S10" s="122" t="str">
        <f t="shared" si="1"/>
        <v/>
      </c>
      <c r="T10" s="20">
        <v>6</v>
      </c>
      <c r="U10" s="21">
        <v>2</v>
      </c>
      <c r="V10" s="122">
        <f t="shared" si="2"/>
        <v>3</v>
      </c>
      <c r="W10" s="23">
        <v>0</v>
      </c>
      <c r="X10" s="21">
        <v>0</v>
      </c>
      <c r="Y10" s="122">
        <v>0</v>
      </c>
      <c r="Z10" s="20">
        <v>0</v>
      </c>
      <c r="AA10" s="21">
        <v>0</v>
      </c>
      <c r="AB10" s="122">
        <v>0</v>
      </c>
      <c r="AC10" s="20">
        <v>0</v>
      </c>
      <c r="AD10" s="21">
        <v>0</v>
      </c>
      <c r="AE10" s="122">
        <v>0</v>
      </c>
      <c r="AF10" s="23">
        <v>0</v>
      </c>
      <c r="AG10" s="21">
        <v>0</v>
      </c>
      <c r="AH10" s="122">
        <v>0</v>
      </c>
      <c r="AI10" s="23">
        <v>26</v>
      </c>
      <c r="AJ10" s="21">
        <v>3</v>
      </c>
      <c r="AK10" s="122">
        <f t="shared" si="3"/>
        <v>8.6666666666666661</v>
      </c>
      <c r="AL10" s="20">
        <v>0</v>
      </c>
      <c r="AM10" s="21">
        <v>0</v>
      </c>
      <c r="AN10" s="122">
        <v>0</v>
      </c>
      <c r="AO10" s="20">
        <v>0</v>
      </c>
      <c r="AP10" s="21">
        <v>0</v>
      </c>
      <c r="AQ10" s="122">
        <v>0</v>
      </c>
      <c r="AR10" s="23">
        <v>0</v>
      </c>
      <c r="AS10" s="21">
        <v>0</v>
      </c>
      <c r="AT10" s="122">
        <v>0</v>
      </c>
      <c r="AU10" s="20">
        <v>0</v>
      </c>
      <c r="AV10" s="21">
        <v>0</v>
      </c>
      <c r="AW10" s="122">
        <v>0</v>
      </c>
      <c r="AX10" s="20">
        <v>18</v>
      </c>
      <c r="AY10" s="21">
        <v>3</v>
      </c>
      <c r="AZ10" s="122">
        <f t="shared" ref="AZ10" si="13">IF(AY10=0,"",AX10/AY10)</f>
        <v>6</v>
      </c>
      <c r="BA10" s="23">
        <v>0</v>
      </c>
      <c r="BB10" s="21">
        <v>0</v>
      </c>
      <c r="BC10" s="122">
        <v>0</v>
      </c>
      <c r="BD10" s="20">
        <v>0</v>
      </c>
      <c r="BE10" s="21">
        <v>0</v>
      </c>
      <c r="BF10" s="122">
        <v>0</v>
      </c>
      <c r="BG10" s="20">
        <v>1</v>
      </c>
      <c r="BH10" s="21">
        <v>1</v>
      </c>
      <c r="BI10" s="122">
        <f t="shared" ref="BI10:BI14" si="14">IF(BH10=0,"",BG10/BH10)</f>
        <v>1</v>
      </c>
      <c r="BJ10" s="117">
        <f t="shared" si="6"/>
        <v>146</v>
      </c>
      <c r="BK10" s="120">
        <f t="shared" si="7"/>
        <v>23</v>
      </c>
      <c r="BL10" s="26">
        <f t="shared" si="8"/>
        <v>6.3478260869565215</v>
      </c>
    </row>
    <row r="11" spans="1:64" ht="15" thickBot="1" x14ac:dyDescent="0.35">
      <c r="A11" s="1">
        <v>45206</v>
      </c>
      <c r="B11" s="20">
        <v>129</v>
      </c>
      <c r="C11" s="21">
        <v>16</v>
      </c>
      <c r="D11" s="65">
        <f t="shared" si="4"/>
        <v>8.0625</v>
      </c>
      <c r="E11" s="20">
        <v>0</v>
      </c>
      <c r="F11" s="21">
        <v>0</v>
      </c>
      <c r="G11" s="65">
        <v>0</v>
      </c>
      <c r="H11" s="20">
        <v>0</v>
      </c>
      <c r="I11" s="21">
        <v>0</v>
      </c>
      <c r="J11" s="26">
        <v>0</v>
      </c>
      <c r="K11" s="23">
        <v>0</v>
      </c>
      <c r="L11" s="21">
        <v>0</v>
      </c>
      <c r="M11" s="65">
        <v>0</v>
      </c>
      <c r="N11" s="134">
        <v>0</v>
      </c>
      <c r="O11" s="137">
        <v>0</v>
      </c>
      <c r="P11" s="132" t="str">
        <f t="shared" si="0"/>
        <v/>
      </c>
      <c r="Q11" s="23">
        <v>0</v>
      </c>
      <c r="R11" s="21">
        <v>0</v>
      </c>
      <c r="S11" s="122" t="str">
        <f t="shared" si="1"/>
        <v/>
      </c>
      <c r="T11" s="20">
        <v>0</v>
      </c>
      <c r="U11" s="21">
        <v>0</v>
      </c>
      <c r="V11" s="122" t="str">
        <f t="shared" si="2"/>
        <v/>
      </c>
      <c r="W11" s="23">
        <v>0</v>
      </c>
      <c r="X11" s="21">
        <v>0</v>
      </c>
      <c r="Y11" s="122">
        <v>0</v>
      </c>
      <c r="Z11" s="20">
        <v>0</v>
      </c>
      <c r="AA11" s="21">
        <v>0</v>
      </c>
      <c r="AB11" s="122">
        <v>0</v>
      </c>
      <c r="AC11" s="20">
        <v>0</v>
      </c>
      <c r="AD11" s="21">
        <v>0</v>
      </c>
      <c r="AE11" s="122">
        <v>0</v>
      </c>
      <c r="AF11" s="23">
        <v>0</v>
      </c>
      <c r="AG11" s="21">
        <v>0</v>
      </c>
      <c r="AH11" s="122">
        <v>0</v>
      </c>
      <c r="AI11" s="23">
        <v>8</v>
      </c>
      <c r="AJ11" s="21">
        <v>1</v>
      </c>
      <c r="AK11" s="122">
        <f t="shared" si="3"/>
        <v>8</v>
      </c>
      <c r="AL11" s="20">
        <v>0</v>
      </c>
      <c r="AM11" s="21">
        <v>0</v>
      </c>
      <c r="AN11" s="122">
        <v>0</v>
      </c>
      <c r="AO11" s="20">
        <v>0</v>
      </c>
      <c r="AP11" s="21">
        <v>0</v>
      </c>
      <c r="AQ11" s="122">
        <v>0</v>
      </c>
      <c r="AR11" s="23">
        <v>7</v>
      </c>
      <c r="AS11" s="21">
        <v>1</v>
      </c>
      <c r="AT11" s="122">
        <f t="shared" ref="AT11" si="15">IF(AS11=0,"",AR11/AS11)</f>
        <v>7</v>
      </c>
      <c r="AU11" s="20">
        <v>0</v>
      </c>
      <c r="AV11" s="21">
        <v>0</v>
      </c>
      <c r="AW11" s="122">
        <v>0</v>
      </c>
      <c r="AX11" s="20">
        <v>0</v>
      </c>
      <c r="AY11" s="21">
        <v>0</v>
      </c>
      <c r="AZ11" s="122">
        <v>0</v>
      </c>
      <c r="BA11" s="20">
        <v>0</v>
      </c>
      <c r="BB11" s="21">
        <v>0</v>
      </c>
      <c r="BC11" s="122">
        <v>0</v>
      </c>
      <c r="BD11" s="20">
        <v>0</v>
      </c>
      <c r="BE11" s="21">
        <v>0</v>
      </c>
      <c r="BF11" s="122">
        <v>0</v>
      </c>
      <c r="BG11" s="20">
        <v>0</v>
      </c>
      <c r="BH11" s="21">
        <v>0</v>
      </c>
      <c r="BI11" s="122">
        <v>0</v>
      </c>
      <c r="BJ11" s="117">
        <f t="shared" si="6"/>
        <v>144</v>
      </c>
      <c r="BK11" s="120">
        <f t="shared" si="7"/>
        <v>18</v>
      </c>
      <c r="BL11" s="26">
        <f t="shared" si="8"/>
        <v>8</v>
      </c>
    </row>
    <row r="12" spans="1:64" ht="15" thickBot="1" x14ac:dyDescent="0.35">
      <c r="A12" s="1">
        <v>45207</v>
      </c>
      <c r="B12" s="20">
        <v>40</v>
      </c>
      <c r="C12" s="21">
        <v>5</v>
      </c>
      <c r="D12" s="65">
        <f t="shared" si="4"/>
        <v>8</v>
      </c>
      <c r="E12" s="20">
        <v>0</v>
      </c>
      <c r="F12" s="21">
        <v>0</v>
      </c>
      <c r="G12" s="65">
        <v>0</v>
      </c>
      <c r="H12" s="20">
        <v>0</v>
      </c>
      <c r="I12" s="21">
        <v>0</v>
      </c>
      <c r="J12" s="26">
        <v>0</v>
      </c>
      <c r="K12" s="23">
        <v>0</v>
      </c>
      <c r="L12" s="21">
        <v>0</v>
      </c>
      <c r="M12" s="65">
        <v>0</v>
      </c>
      <c r="N12" s="134">
        <v>0</v>
      </c>
      <c r="O12" s="137">
        <v>0</v>
      </c>
      <c r="P12" s="132" t="str">
        <f t="shared" si="0"/>
        <v/>
      </c>
      <c r="Q12" s="23">
        <v>0</v>
      </c>
      <c r="R12" s="21">
        <v>0</v>
      </c>
      <c r="S12" s="122" t="str">
        <f t="shared" si="1"/>
        <v/>
      </c>
      <c r="T12" s="20">
        <v>0</v>
      </c>
      <c r="U12" s="21">
        <v>0</v>
      </c>
      <c r="V12" s="122" t="str">
        <f t="shared" si="2"/>
        <v/>
      </c>
      <c r="W12" s="23">
        <v>0</v>
      </c>
      <c r="X12" s="21">
        <v>0</v>
      </c>
      <c r="Y12" s="122">
        <v>0</v>
      </c>
      <c r="Z12" s="20">
        <v>0</v>
      </c>
      <c r="AA12" s="21">
        <v>0</v>
      </c>
      <c r="AB12" s="122">
        <v>0</v>
      </c>
      <c r="AC12" s="20">
        <v>0</v>
      </c>
      <c r="AD12" s="21">
        <v>0</v>
      </c>
      <c r="AE12" s="122">
        <v>0</v>
      </c>
      <c r="AF12" s="23">
        <v>0</v>
      </c>
      <c r="AG12" s="21">
        <v>0</v>
      </c>
      <c r="AH12" s="122">
        <v>0</v>
      </c>
      <c r="AI12" s="23">
        <v>30</v>
      </c>
      <c r="AJ12" s="21">
        <v>4</v>
      </c>
      <c r="AK12" s="122">
        <f t="shared" si="3"/>
        <v>7.5</v>
      </c>
      <c r="AL12" s="20">
        <v>0</v>
      </c>
      <c r="AM12" s="21">
        <v>0</v>
      </c>
      <c r="AN12" s="122">
        <v>0</v>
      </c>
      <c r="AO12" s="20">
        <v>0</v>
      </c>
      <c r="AP12" s="21">
        <v>0</v>
      </c>
      <c r="AQ12" s="122">
        <v>0</v>
      </c>
      <c r="AR12" s="23">
        <v>0</v>
      </c>
      <c r="AS12" s="21">
        <v>0</v>
      </c>
      <c r="AT12" s="122">
        <v>0</v>
      </c>
      <c r="AU12" s="20">
        <v>0</v>
      </c>
      <c r="AV12" s="21">
        <v>0</v>
      </c>
      <c r="AW12" s="122">
        <v>0</v>
      </c>
      <c r="AX12" s="20">
        <v>8</v>
      </c>
      <c r="AY12" s="21">
        <v>1</v>
      </c>
      <c r="AZ12" s="122">
        <f t="shared" si="12"/>
        <v>8</v>
      </c>
      <c r="BA12" s="23">
        <v>0</v>
      </c>
      <c r="BB12" s="21">
        <v>0</v>
      </c>
      <c r="BC12" s="122">
        <v>0</v>
      </c>
      <c r="BD12" s="23">
        <v>0</v>
      </c>
      <c r="BE12" s="21">
        <v>0</v>
      </c>
      <c r="BF12" s="122">
        <v>0</v>
      </c>
      <c r="BG12" s="23">
        <v>0</v>
      </c>
      <c r="BH12" s="21">
        <v>0</v>
      </c>
      <c r="BI12" s="122">
        <v>0</v>
      </c>
      <c r="BJ12" s="117">
        <f t="shared" si="6"/>
        <v>78</v>
      </c>
      <c r="BK12" s="120">
        <f t="shared" si="7"/>
        <v>10</v>
      </c>
      <c r="BL12" s="26">
        <f t="shared" si="8"/>
        <v>7.8</v>
      </c>
    </row>
    <row r="13" spans="1:64" ht="15" thickBot="1" x14ac:dyDescent="0.35">
      <c r="A13" s="1">
        <v>45208</v>
      </c>
      <c r="B13" s="20">
        <v>16</v>
      </c>
      <c r="C13" s="21">
        <v>2</v>
      </c>
      <c r="D13" s="65">
        <f t="shared" si="4"/>
        <v>8</v>
      </c>
      <c r="E13" s="20">
        <v>0</v>
      </c>
      <c r="F13" s="21">
        <v>0</v>
      </c>
      <c r="G13" s="65">
        <v>0</v>
      </c>
      <c r="H13" s="20">
        <v>6</v>
      </c>
      <c r="I13" s="21">
        <v>1</v>
      </c>
      <c r="J13" s="26">
        <f t="shared" si="10"/>
        <v>6</v>
      </c>
      <c r="K13" s="23">
        <v>5</v>
      </c>
      <c r="L13" s="21">
        <v>1</v>
      </c>
      <c r="M13" s="65">
        <f t="shared" si="5"/>
        <v>5</v>
      </c>
      <c r="N13" s="135">
        <v>329</v>
      </c>
      <c r="O13" s="138">
        <v>63</v>
      </c>
      <c r="P13" s="132">
        <f t="shared" si="0"/>
        <v>5.2222222222222223</v>
      </c>
      <c r="Q13" s="23">
        <v>19</v>
      </c>
      <c r="R13" s="21">
        <v>5</v>
      </c>
      <c r="S13" s="122">
        <f t="shared" si="1"/>
        <v>3.8</v>
      </c>
      <c r="T13" s="20">
        <v>0</v>
      </c>
      <c r="U13" s="21">
        <v>0</v>
      </c>
      <c r="V13" s="122" t="str">
        <f t="shared" si="2"/>
        <v/>
      </c>
      <c r="W13" s="23">
        <v>0</v>
      </c>
      <c r="X13" s="21">
        <v>0</v>
      </c>
      <c r="Y13" s="122">
        <v>0</v>
      </c>
      <c r="Z13" s="20">
        <v>0</v>
      </c>
      <c r="AA13" s="21">
        <v>0</v>
      </c>
      <c r="AB13" s="122">
        <v>0</v>
      </c>
      <c r="AC13" s="20">
        <v>0</v>
      </c>
      <c r="AD13" s="21">
        <v>0</v>
      </c>
      <c r="AE13" s="122">
        <v>0</v>
      </c>
      <c r="AF13" s="23">
        <v>20</v>
      </c>
      <c r="AG13" s="21">
        <v>5</v>
      </c>
      <c r="AH13" s="122">
        <f t="shared" ref="AH13:AH31" si="16">IF(AG13=0,"",AF13/AG13)</f>
        <v>4</v>
      </c>
      <c r="AI13" s="23">
        <v>8</v>
      </c>
      <c r="AJ13" s="21">
        <v>1</v>
      </c>
      <c r="AK13" s="122">
        <f t="shared" si="3"/>
        <v>8</v>
      </c>
      <c r="AL13" s="20">
        <v>0</v>
      </c>
      <c r="AM13" s="21">
        <v>0</v>
      </c>
      <c r="AN13" s="122">
        <v>0</v>
      </c>
      <c r="AO13" s="20">
        <v>0</v>
      </c>
      <c r="AP13" s="21">
        <v>0</v>
      </c>
      <c r="AQ13" s="122">
        <v>0</v>
      </c>
      <c r="AR13" s="23">
        <v>5</v>
      </c>
      <c r="AS13" s="21">
        <v>1</v>
      </c>
      <c r="AT13" s="122">
        <f t="shared" ref="AT13" si="17">IF(AS13=0,"",AR13/AS13)</f>
        <v>5</v>
      </c>
      <c r="AU13" s="20">
        <v>0</v>
      </c>
      <c r="AV13" s="21">
        <v>0</v>
      </c>
      <c r="AW13" s="122">
        <v>0</v>
      </c>
      <c r="AX13" s="20">
        <v>0</v>
      </c>
      <c r="AY13" s="21">
        <v>0</v>
      </c>
      <c r="AZ13" s="122">
        <v>0</v>
      </c>
      <c r="BA13" s="23">
        <v>0</v>
      </c>
      <c r="BB13" s="21">
        <v>0</v>
      </c>
      <c r="BC13" s="122">
        <v>0</v>
      </c>
      <c r="BD13" s="20">
        <v>0</v>
      </c>
      <c r="BE13" s="21">
        <v>0</v>
      </c>
      <c r="BF13" s="122">
        <v>0</v>
      </c>
      <c r="BG13" s="20">
        <v>0</v>
      </c>
      <c r="BH13" s="21">
        <v>0</v>
      </c>
      <c r="BI13" s="122">
        <v>0</v>
      </c>
      <c r="BJ13" s="117">
        <f t="shared" si="6"/>
        <v>408</v>
      </c>
      <c r="BK13" s="120">
        <f t="shared" si="7"/>
        <v>79</v>
      </c>
      <c r="BL13" s="26">
        <f t="shared" si="8"/>
        <v>5.1645569620253164</v>
      </c>
    </row>
    <row r="14" spans="1:64" ht="15" thickBot="1" x14ac:dyDescent="0.35">
      <c r="A14" s="1">
        <v>45209</v>
      </c>
      <c r="B14" s="20">
        <v>29</v>
      </c>
      <c r="C14" s="21">
        <v>4</v>
      </c>
      <c r="D14" s="65">
        <f t="shared" si="4"/>
        <v>7.25</v>
      </c>
      <c r="E14" s="20">
        <v>7</v>
      </c>
      <c r="F14" s="21">
        <v>1</v>
      </c>
      <c r="G14" s="65">
        <f t="shared" si="9"/>
        <v>7</v>
      </c>
      <c r="H14" s="20">
        <v>6</v>
      </c>
      <c r="I14" s="21">
        <v>1</v>
      </c>
      <c r="J14" s="26">
        <f t="shared" si="10"/>
        <v>6</v>
      </c>
      <c r="K14" s="23">
        <v>11</v>
      </c>
      <c r="L14" s="21">
        <v>2</v>
      </c>
      <c r="M14" s="122">
        <f t="shared" si="5"/>
        <v>5.5</v>
      </c>
      <c r="N14" s="125">
        <v>4</v>
      </c>
      <c r="O14" s="126">
        <v>1</v>
      </c>
      <c r="P14" s="132">
        <f t="shared" ref="P14:P35" si="18">IF(O14=0,"",N14/O14)</f>
        <v>4</v>
      </c>
      <c r="Q14" s="20">
        <v>25</v>
      </c>
      <c r="R14" s="21">
        <v>1</v>
      </c>
      <c r="S14" s="122">
        <f t="shared" si="11"/>
        <v>25</v>
      </c>
      <c r="T14" s="20">
        <v>8</v>
      </c>
      <c r="U14" s="21">
        <v>1</v>
      </c>
      <c r="V14" s="122">
        <f t="shared" si="2"/>
        <v>8</v>
      </c>
      <c r="W14" s="23">
        <v>0</v>
      </c>
      <c r="X14" s="21">
        <v>0</v>
      </c>
      <c r="Y14" s="122">
        <v>0</v>
      </c>
      <c r="Z14" s="20">
        <v>0</v>
      </c>
      <c r="AA14" s="21">
        <v>0</v>
      </c>
      <c r="AB14" s="122">
        <v>0</v>
      </c>
      <c r="AC14" s="20">
        <v>0</v>
      </c>
      <c r="AD14" s="21">
        <v>0</v>
      </c>
      <c r="AE14" s="122">
        <v>0</v>
      </c>
      <c r="AF14" s="23">
        <v>3</v>
      </c>
      <c r="AG14" s="21">
        <v>1</v>
      </c>
      <c r="AH14" s="122">
        <f t="shared" si="16"/>
        <v>3</v>
      </c>
      <c r="AI14" s="23">
        <v>27</v>
      </c>
      <c r="AJ14" s="21">
        <v>3</v>
      </c>
      <c r="AK14" s="122">
        <f t="shared" ref="AK14:AK35" si="19">IF(AJ14=0,"",AI14/AJ14)</f>
        <v>9</v>
      </c>
      <c r="AL14" s="20">
        <v>0</v>
      </c>
      <c r="AM14" s="21">
        <v>0</v>
      </c>
      <c r="AN14" s="122">
        <v>0</v>
      </c>
      <c r="AO14" s="20">
        <v>0</v>
      </c>
      <c r="AP14" s="21">
        <v>0</v>
      </c>
      <c r="AQ14" s="122">
        <v>0</v>
      </c>
      <c r="AR14" s="20">
        <v>0</v>
      </c>
      <c r="AS14" s="21">
        <v>0</v>
      </c>
      <c r="AT14" s="122">
        <v>0</v>
      </c>
      <c r="AU14" s="20">
        <v>0</v>
      </c>
      <c r="AV14" s="21">
        <v>0</v>
      </c>
      <c r="AW14" s="122">
        <v>0</v>
      </c>
      <c r="AX14" s="20">
        <v>5</v>
      </c>
      <c r="AY14" s="21">
        <v>1</v>
      </c>
      <c r="AZ14" s="122">
        <f t="shared" si="12"/>
        <v>5</v>
      </c>
      <c r="BA14" s="23">
        <v>0</v>
      </c>
      <c r="BB14" s="21">
        <v>0</v>
      </c>
      <c r="BC14" s="122">
        <v>0</v>
      </c>
      <c r="BD14" s="20">
        <v>0</v>
      </c>
      <c r="BE14" s="21">
        <v>0</v>
      </c>
      <c r="BF14" s="122">
        <v>0</v>
      </c>
      <c r="BG14" s="20">
        <v>2</v>
      </c>
      <c r="BH14" s="21">
        <v>1</v>
      </c>
      <c r="BI14" s="122">
        <f t="shared" si="14"/>
        <v>2</v>
      </c>
      <c r="BJ14" s="117">
        <f t="shared" si="6"/>
        <v>127</v>
      </c>
      <c r="BK14" s="120">
        <f t="shared" si="7"/>
        <v>17</v>
      </c>
      <c r="BL14" s="26">
        <f t="shared" si="8"/>
        <v>7.4705882352941178</v>
      </c>
    </row>
    <row r="15" spans="1:64" ht="15" thickBot="1" x14ac:dyDescent="0.35">
      <c r="A15" s="1">
        <v>45210</v>
      </c>
      <c r="B15" s="20">
        <v>19</v>
      </c>
      <c r="C15" s="21">
        <v>4</v>
      </c>
      <c r="D15" s="65">
        <f t="shared" si="4"/>
        <v>4.75</v>
      </c>
      <c r="E15" s="20">
        <v>0</v>
      </c>
      <c r="F15" s="21">
        <v>0</v>
      </c>
      <c r="G15" s="65">
        <v>0</v>
      </c>
      <c r="H15" s="20">
        <v>36</v>
      </c>
      <c r="I15" s="21">
        <v>4</v>
      </c>
      <c r="J15" s="26">
        <f t="shared" si="10"/>
        <v>9</v>
      </c>
      <c r="K15" s="23">
        <v>12</v>
      </c>
      <c r="L15" s="21">
        <v>2</v>
      </c>
      <c r="M15" s="122">
        <f t="shared" si="5"/>
        <v>6</v>
      </c>
      <c r="N15" s="20">
        <v>48</v>
      </c>
      <c r="O15" s="21">
        <v>10</v>
      </c>
      <c r="P15" s="26">
        <f t="shared" si="18"/>
        <v>4.8</v>
      </c>
      <c r="Q15" s="20">
        <v>37</v>
      </c>
      <c r="R15" s="21">
        <v>6</v>
      </c>
      <c r="S15" s="122">
        <f t="shared" si="1"/>
        <v>6.166666666666667</v>
      </c>
      <c r="T15" s="20">
        <v>0</v>
      </c>
      <c r="U15" s="21">
        <v>0</v>
      </c>
      <c r="V15" s="122" t="str">
        <f t="shared" si="2"/>
        <v/>
      </c>
      <c r="W15" s="23">
        <v>0</v>
      </c>
      <c r="X15" s="21">
        <v>0</v>
      </c>
      <c r="Y15" s="122">
        <v>0</v>
      </c>
      <c r="Z15" s="20">
        <v>1</v>
      </c>
      <c r="AA15" s="21">
        <v>1</v>
      </c>
      <c r="AB15" s="122">
        <f t="shared" ref="AB15:AB35" si="20">IF(AA15=0,"",Z15/AA15)</f>
        <v>1</v>
      </c>
      <c r="AC15" s="20">
        <v>0</v>
      </c>
      <c r="AD15" s="21">
        <v>0</v>
      </c>
      <c r="AE15" s="122">
        <v>0</v>
      </c>
      <c r="AF15" s="23">
        <v>0</v>
      </c>
      <c r="AG15" s="21">
        <v>0</v>
      </c>
      <c r="AH15" s="122">
        <v>0</v>
      </c>
      <c r="AI15" s="23">
        <v>50</v>
      </c>
      <c r="AJ15" s="21">
        <v>6</v>
      </c>
      <c r="AK15" s="122">
        <f t="shared" si="19"/>
        <v>8.3333333333333339</v>
      </c>
      <c r="AL15" s="20">
        <v>0</v>
      </c>
      <c r="AM15" s="21">
        <v>0</v>
      </c>
      <c r="AN15" s="122">
        <v>0</v>
      </c>
      <c r="AO15" s="20">
        <v>0</v>
      </c>
      <c r="AP15" s="21">
        <v>0</v>
      </c>
      <c r="AQ15" s="122">
        <v>0</v>
      </c>
      <c r="AR15" s="20">
        <v>0</v>
      </c>
      <c r="AS15" s="21">
        <v>0</v>
      </c>
      <c r="AT15" s="122">
        <v>0</v>
      </c>
      <c r="AU15" s="20">
        <v>0</v>
      </c>
      <c r="AV15" s="21">
        <v>0</v>
      </c>
      <c r="AW15" s="122">
        <v>0</v>
      </c>
      <c r="AX15" s="20">
        <v>6</v>
      </c>
      <c r="AY15" s="21">
        <v>1</v>
      </c>
      <c r="AZ15" s="122">
        <f t="shared" si="12"/>
        <v>6</v>
      </c>
      <c r="BA15" s="23">
        <v>0</v>
      </c>
      <c r="BB15" s="21">
        <v>0</v>
      </c>
      <c r="BC15" s="122">
        <v>0</v>
      </c>
      <c r="BD15" s="20">
        <v>0</v>
      </c>
      <c r="BE15" s="21">
        <v>0</v>
      </c>
      <c r="BF15" s="122">
        <v>0</v>
      </c>
      <c r="BG15" s="20">
        <v>0</v>
      </c>
      <c r="BH15" s="21">
        <v>0</v>
      </c>
      <c r="BI15" s="122">
        <v>0</v>
      </c>
      <c r="BJ15" s="117">
        <f t="shared" si="6"/>
        <v>209</v>
      </c>
      <c r="BK15" s="120">
        <f t="shared" si="7"/>
        <v>34</v>
      </c>
      <c r="BL15" s="26">
        <f t="shared" si="8"/>
        <v>6.1470588235294121</v>
      </c>
    </row>
    <row r="16" spans="1:64" ht="15" thickBot="1" x14ac:dyDescent="0.35">
      <c r="A16" s="1">
        <v>45211</v>
      </c>
      <c r="B16" s="20">
        <v>48</v>
      </c>
      <c r="C16" s="21">
        <v>6</v>
      </c>
      <c r="D16" s="65">
        <f t="shared" si="4"/>
        <v>8</v>
      </c>
      <c r="E16" s="20">
        <v>7</v>
      </c>
      <c r="F16" s="21">
        <v>1</v>
      </c>
      <c r="G16" s="65">
        <f t="shared" si="9"/>
        <v>7</v>
      </c>
      <c r="H16" s="20">
        <v>0</v>
      </c>
      <c r="I16" s="21">
        <v>0</v>
      </c>
      <c r="J16" s="26">
        <v>0</v>
      </c>
      <c r="K16" s="23">
        <v>29</v>
      </c>
      <c r="L16" s="21">
        <v>5</v>
      </c>
      <c r="M16" s="122">
        <f t="shared" si="5"/>
        <v>5.8</v>
      </c>
      <c r="N16" s="20">
        <v>0</v>
      </c>
      <c r="O16" s="21">
        <v>0</v>
      </c>
      <c r="P16" s="26" t="str">
        <f t="shared" si="18"/>
        <v/>
      </c>
      <c r="Q16" s="20">
        <v>0</v>
      </c>
      <c r="R16" s="21">
        <v>0</v>
      </c>
      <c r="S16" s="122" t="str">
        <f t="shared" si="1"/>
        <v/>
      </c>
      <c r="T16" s="20">
        <v>8</v>
      </c>
      <c r="U16" s="21">
        <v>1</v>
      </c>
      <c r="V16" s="122">
        <f t="shared" si="2"/>
        <v>8</v>
      </c>
      <c r="W16" s="23">
        <v>0</v>
      </c>
      <c r="X16" s="21">
        <v>0</v>
      </c>
      <c r="Y16" s="122">
        <v>0</v>
      </c>
      <c r="Z16" s="20">
        <v>0</v>
      </c>
      <c r="AA16" s="21">
        <v>0</v>
      </c>
      <c r="AB16" s="122">
        <v>0</v>
      </c>
      <c r="AC16" s="20">
        <v>0</v>
      </c>
      <c r="AD16" s="21">
        <v>0</v>
      </c>
      <c r="AE16" s="122">
        <v>0</v>
      </c>
      <c r="AF16" s="23">
        <v>0</v>
      </c>
      <c r="AG16" s="21">
        <v>0</v>
      </c>
      <c r="AH16" s="122">
        <v>0</v>
      </c>
      <c r="AI16" s="23">
        <v>36</v>
      </c>
      <c r="AJ16" s="21">
        <v>4</v>
      </c>
      <c r="AK16" s="122">
        <f t="shared" si="19"/>
        <v>9</v>
      </c>
      <c r="AL16" s="20">
        <v>0</v>
      </c>
      <c r="AM16" s="21">
        <v>0</v>
      </c>
      <c r="AN16" s="122">
        <v>0</v>
      </c>
      <c r="AO16" s="20">
        <v>0</v>
      </c>
      <c r="AP16" s="21">
        <v>0</v>
      </c>
      <c r="AQ16" s="122">
        <v>0</v>
      </c>
      <c r="AR16" s="20">
        <v>0</v>
      </c>
      <c r="AS16" s="21">
        <v>0</v>
      </c>
      <c r="AT16" s="122">
        <v>0</v>
      </c>
      <c r="AU16" s="20">
        <v>0</v>
      </c>
      <c r="AV16" s="21">
        <v>0</v>
      </c>
      <c r="AW16" s="122">
        <v>0</v>
      </c>
      <c r="AX16" s="20">
        <v>32</v>
      </c>
      <c r="AY16" s="21">
        <v>4</v>
      </c>
      <c r="AZ16" s="122">
        <f t="shared" si="12"/>
        <v>8</v>
      </c>
      <c r="BA16" s="23">
        <v>0</v>
      </c>
      <c r="BB16" s="21">
        <v>0</v>
      </c>
      <c r="BC16" s="122">
        <v>0</v>
      </c>
      <c r="BD16" s="20">
        <v>0</v>
      </c>
      <c r="BE16" s="21">
        <v>0</v>
      </c>
      <c r="BF16" s="122">
        <v>0</v>
      </c>
      <c r="BG16" s="20">
        <v>0</v>
      </c>
      <c r="BH16" s="21">
        <v>0</v>
      </c>
      <c r="BI16" s="122">
        <v>0</v>
      </c>
      <c r="BJ16" s="117">
        <f t="shared" si="6"/>
        <v>160</v>
      </c>
      <c r="BK16" s="120">
        <f t="shared" si="7"/>
        <v>21</v>
      </c>
      <c r="BL16" s="26">
        <f t="shared" si="8"/>
        <v>7.6190476190476186</v>
      </c>
    </row>
    <row r="17" spans="1:64" ht="15" thickBot="1" x14ac:dyDescent="0.35">
      <c r="A17" s="1">
        <v>45212</v>
      </c>
      <c r="B17" s="20">
        <v>138</v>
      </c>
      <c r="C17" s="21">
        <v>14</v>
      </c>
      <c r="D17" s="65">
        <f t="shared" si="4"/>
        <v>9.8571428571428577</v>
      </c>
      <c r="E17" s="20">
        <v>0</v>
      </c>
      <c r="F17" s="21">
        <v>0</v>
      </c>
      <c r="G17" s="65">
        <v>0</v>
      </c>
      <c r="H17" s="20">
        <v>9</v>
      </c>
      <c r="I17" s="21">
        <v>1</v>
      </c>
      <c r="J17" s="26">
        <f t="shared" si="10"/>
        <v>9</v>
      </c>
      <c r="K17" s="23">
        <v>5</v>
      </c>
      <c r="L17" s="21">
        <v>1</v>
      </c>
      <c r="M17" s="122">
        <f t="shared" si="5"/>
        <v>5</v>
      </c>
      <c r="N17" s="20">
        <v>0</v>
      </c>
      <c r="O17" s="21">
        <v>0</v>
      </c>
      <c r="P17" s="26" t="str">
        <f t="shared" si="18"/>
        <v/>
      </c>
      <c r="Q17" s="20">
        <v>0</v>
      </c>
      <c r="R17" s="21">
        <v>0</v>
      </c>
      <c r="S17" s="122" t="str">
        <f t="shared" si="1"/>
        <v/>
      </c>
      <c r="T17" s="20">
        <v>1</v>
      </c>
      <c r="U17" s="21">
        <v>1</v>
      </c>
      <c r="V17" s="122">
        <f t="shared" si="2"/>
        <v>1</v>
      </c>
      <c r="W17" s="23">
        <v>0</v>
      </c>
      <c r="X17" s="21">
        <v>0</v>
      </c>
      <c r="Y17" s="122">
        <v>0</v>
      </c>
      <c r="Z17" s="20">
        <v>1</v>
      </c>
      <c r="AA17" s="21">
        <v>1</v>
      </c>
      <c r="AB17" s="122">
        <f t="shared" si="20"/>
        <v>1</v>
      </c>
      <c r="AC17" s="20">
        <v>0</v>
      </c>
      <c r="AD17" s="21">
        <v>0</v>
      </c>
      <c r="AE17" s="122">
        <v>0</v>
      </c>
      <c r="AF17" s="23">
        <v>0</v>
      </c>
      <c r="AG17" s="21">
        <v>0</v>
      </c>
      <c r="AH17" s="122">
        <v>0</v>
      </c>
      <c r="AI17" s="23">
        <v>42</v>
      </c>
      <c r="AJ17" s="21">
        <v>5</v>
      </c>
      <c r="AK17" s="122">
        <f t="shared" si="19"/>
        <v>8.4</v>
      </c>
      <c r="AL17" s="20">
        <v>0</v>
      </c>
      <c r="AM17" s="21">
        <v>0</v>
      </c>
      <c r="AN17" s="122">
        <v>0</v>
      </c>
      <c r="AO17" s="20">
        <v>0</v>
      </c>
      <c r="AP17" s="21">
        <v>0</v>
      </c>
      <c r="AQ17" s="122">
        <v>0</v>
      </c>
      <c r="AR17" s="20">
        <v>0</v>
      </c>
      <c r="AS17" s="21">
        <v>0</v>
      </c>
      <c r="AT17" s="122">
        <v>0</v>
      </c>
      <c r="AU17" s="20">
        <v>0</v>
      </c>
      <c r="AV17" s="21">
        <v>0</v>
      </c>
      <c r="AW17" s="122">
        <v>0</v>
      </c>
      <c r="AX17" s="20">
        <v>6</v>
      </c>
      <c r="AY17" s="21">
        <v>1</v>
      </c>
      <c r="AZ17" s="122">
        <f t="shared" si="12"/>
        <v>6</v>
      </c>
      <c r="BA17" s="23">
        <v>0</v>
      </c>
      <c r="BB17" s="21">
        <v>0</v>
      </c>
      <c r="BC17" s="122">
        <v>0</v>
      </c>
      <c r="BD17" s="20">
        <v>0</v>
      </c>
      <c r="BE17" s="21">
        <v>0</v>
      </c>
      <c r="BF17" s="122">
        <v>0</v>
      </c>
      <c r="BG17" s="20">
        <v>0</v>
      </c>
      <c r="BH17" s="21">
        <v>0</v>
      </c>
      <c r="BI17" s="122">
        <v>0</v>
      </c>
      <c r="BJ17" s="117">
        <f t="shared" si="6"/>
        <v>202</v>
      </c>
      <c r="BK17" s="120">
        <f t="shared" si="7"/>
        <v>24</v>
      </c>
      <c r="BL17" s="26">
        <f t="shared" si="8"/>
        <v>8.4166666666666661</v>
      </c>
    </row>
    <row r="18" spans="1:64" ht="15" thickBot="1" x14ac:dyDescent="0.35">
      <c r="A18" s="1">
        <v>45213</v>
      </c>
      <c r="B18" s="20">
        <v>63</v>
      </c>
      <c r="C18" s="21">
        <v>7</v>
      </c>
      <c r="D18" s="65">
        <f t="shared" si="4"/>
        <v>9</v>
      </c>
      <c r="E18" s="20">
        <v>7</v>
      </c>
      <c r="F18" s="21">
        <v>1</v>
      </c>
      <c r="G18" s="65">
        <f t="shared" si="9"/>
        <v>7</v>
      </c>
      <c r="H18" s="20">
        <v>0</v>
      </c>
      <c r="I18" s="21">
        <v>0</v>
      </c>
      <c r="J18" s="26">
        <v>0</v>
      </c>
      <c r="K18" s="23">
        <v>5</v>
      </c>
      <c r="L18" s="21">
        <v>1</v>
      </c>
      <c r="M18" s="122">
        <f t="shared" si="5"/>
        <v>5</v>
      </c>
      <c r="N18" s="20">
        <v>0</v>
      </c>
      <c r="O18" s="21">
        <v>0</v>
      </c>
      <c r="P18" s="26" t="str">
        <f t="shared" si="18"/>
        <v/>
      </c>
      <c r="Q18" s="20">
        <v>9</v>
      </c>
      <c r="R18" s="21">
        <v>1</v>
      </c>
      <c r="S18" s="122">
        <f t="shared" si="1"/>
        <v>9</v>
      </c>
      <c r="T18" s="20">
        <v>8</v>
      </c>
      <c r="U18" s="21">
        <v>2</v>
      </c>
      <c r="V18" s="122">
        <f t="shared" si="2"/>
        <v>4</v>
      </c>
      <c r="W18" s="23">
        <v>0</v>
      </c>
      <c r="X18" s="21">
        <v>0</v>
      </c>
      <c r="Y18" s="122">
        <v>0</v>
      </c>
      <c r="Z18" s="20">
        <v>1</v>
      </c>
      <c r="AA18" s="21">
        <v>1</v>
      </c>
      <c r="AB18" s="122">
        <f t="shared" si="20"/>
        <v>1</v>
      </c>
      <c r="AC18" s="20">
        <v>0</v>
      </c>
      <c r="AD18" s="21">
        <v>0</v>
      </c>
      <c r="AE18" s="122">
        <v>0</v>
      </c>
      <c r="AF18" s="23">
        <v>0</v>
      </c>
      <c r="AG18" s="21">
        <v>0</v>
      </c>
      <c r="AH18" s="122">
        <v>0</v>
      </c>
      <c r="AI18" s="23">
        <v>9</v>
      </c>
      <c r="AJ18" s="21">
        <v>1</v>
      </c>
      <c r="AK18" s="122">
        <f t="shared" si="19"/>
        <v>9</v>
      </c>
      <c r="AL18" s="20">
        <v>0</v>
      </c>
      <c r="AM18" s="21">
        <v>0</v>
      </c>
      <c r="AN18" s="122">
        <v>0</v>
      </c>
      <c r="AO18" s="20">
        <v>0</v>
      </c>
      <c r="AP18" s="21">
        <v>0</v>
      </c>
      <c r="AQ18" s="122">
        <v>0</v>
      </c>
      <c r="AR18" s="20">
        <v>0</v>
      </c>
      <c r="AS18" s="21">
        <v>0</v>
      </c>
      <c r="AT18" s="122">
        <v>0</v>
      </c>
      <c r="AU18" s="20">
        <v>0</v>
      </c>
      <c r="AV18" s="21">
        <v>0</v>
      </c>
      <c r="AW18" s="122">
        <v>0</v>
      </c>
      <c r="AX18" s="20">
        <v>5</v>
      </c>
      <c r="AY18" s="21">
        <v>1</v>
      </c>
      <c r="AZ18" s="122">
        <f t="shared" si="12"/>
        <v>5</v>
      </c>
      <c r="BA18" s="23">
        <v>0</v>
      </c>
      <c r="BB18" s="21">
        <v>0</v>
      </c>
      <c r="BC18" s="122">
        <v>0</v>
      </c>
      <c r="BD18" s="20">
        <v>0</v>
      </c>
      <c r="BE18" s="21">
        <v>0</v>
      </c>
      <c r="BF18" s="122">
        <v>0</v>
      </c>
      <c r="BG18" s="20">
        <v>0</v>
      </c>
      <c r="BH18" s="21">
        <v>0</v>
      </c>
      <c r="BI18" s="122">
        <v>0</v>
      </c>
      <c r="BJ18" s="117">
        <f t="shared" si="6"/>
        <v>107</v>
      </c>
      <c r="BK18" s="120">
        <f t="shared" si="7"/>
        <v>15</v>
      </c>
      <c r="BL18" s="26">
        <f t="shared" si="8"/>
        <v>7.1333333333333337</v>
      </c>
    </row>
    <row r="19" spans="1:64" ht="15" thickBot="1" x14ac:dyDescent="0.35">
      <c r="A19" s="1">
        <v>45214</v>
      </c>
      <c r="B19" s="20">
        <v>64</v>
      </c>
      <c r="C19" s="21">
        <v>7</v>
      </c>
      <c r="D19" s="65">
        <f t="shared" si="4"/>
        <v>9.1428571428571423</v>
      </c>
      <c r="E19" s="20">
        <v>0</v>
      </c>
      <c r="F19" s="21">
        <v>0</v>
      </c>
      <c r="G19" s="65">
        <v>0</v>
      </c>
      <c r="H19" s="20">
        <v>17</v>
      </c>
      <c r="I19" s="21">
        <v>3</v>
      </c>
      <c r="J19" s="26">
        <f t="shared" si="10"/>
        <v>5.666666666666667</v>
      </c>
      <c r="K19" s="23">
        <v>49</v>
      </c>
      <c r="L19" s="21">
        <v>7</v>
      </c>
      <c r="M19" s="122">
        <f t="shared" si="5"/>
        <v>7</v>
      </c>
      <c r="N19" s="20">
        <v>123</v>
      </c>
      <c r="O19" s="21">
        <v>28</v>
      </c>
      <c r="P19" s="26">
        <f t="shared" si="18"/>
        <v>4.3928571428571432</v>
      </c>
      <c r="Q19" s="20">
        <v>0</v>
      </c>
      <c r="R19" s="21">
        <v>0</v>
      </c>
      <c r="S19" s="122" t="str">
        <f t="shared" si="1"/>
        <v/>
      </c>
      <c r="T19" s="20">
        <v>0</v>
      </c>
      <c r="U19" s="21">
        <v>0</v>
      </c>
      <c r="V19" s="122" t="str">
        <f t="shared" si="2"/>
        <v/>
      </c>
      <c r="W19" s="23">
        <v>0</v>
      </c>
      <c r="X19" s="21">
        <v>0</v>
      </c>
      <c r="Y19" s="122">
        <v>0</v>
      </c>
      <c r="Z19" s="23">
        <v>0</v>
      </c>
      <c r="AA19" s="21">
        <v>0</v>
      </c>
      <c r="AB19" s="122">
        <v>0</v>
      </c>
      <c r="AC19" s="23">
        <v>0</v>
      </c>
      <c r="AD19" s="21">
        <v>0</v>
      </c>
      <c r="AE19" s="122">
        <v>0</v>
      </c>
      <c r="AF19" s="23">
        <v>0</v>
      </c>
      <c r="AG19" s="21">
        <v>0</v>
      </c>
      <c r="AH19" s="122">
        <v>0</v>
      </c>
      <c r="AI19" s="23">
        <v>17</v>
      </c>
      <c r="AJ19" s="21">
        <v>3</v>
      </c>
      <c r="AK19" s="122">
        <f t="shared" si="19"/>
        <v>5.666666666666667</v>
      </c>
      <c r="AL19" s="20">
        <v>0</v>
      </c>
      <c r="AM19" s="21">
        <v>0</v>
      </c>
      <c r="AN19" s="122">
        <v>0</v>
      </c>
      <c r="AO19" s="20">
        <v>0</v>
      </c>
      <c r="AP19" s="21">
        <v>0</v>
      </c>
      <c r="AQ19" s="122">
        <v>0</v>
      </c>
      <c r="AR19" s="23">
        <v>13</v>
      </c>
      <c r="AS19" s="21">
        <v>2</v>
      </c>
      <c r="AT19" s="122">
        <f t="shared" ref="AT19" si="21">IF(AS19=0,"",AR19/AS19)</f>
        <v>6.5</v>
      </c>
      <c r="AU19" s="20">
        <v>1</v>
      </c>
      <c r="AV19" s="21">
        <v>1</v>
      </c>
      <c r="AW19" s="122">
        <f t="shared" ref="AW19:AW34" si="22">IF(AV19=0,"",AU19/AV19)</f>
        <v>1</v>
      </c>
      <c r="AX19" s="20">
        <v>0</v>
      </c>
      <c r="AY19" s="21">
        <v>0</v>
      </c>
      <c r="AZ19" s="122">
        <v>0</v>
      </c>
      <c r="BA19" s="23">
        <v>0</v>
      </c>
      <c r="BB19" s="21">
        <v>0</v>
      </c>
      <c r="BC19" s="122">
        <v>0</v>
      </c>
      <c r="BD19" s="20">
        <v>0</v>
      </c>
      <c r="BE19" s="21">
        <v>0</v>
      </c>
      <c r="BF19" s="122">
        <v>0</v>
      </c>
      <c r="BG19" s="20">
        <v>0</v>
      </c>
      <c r="BH19" s="21">
        <v>0</v>
      </c>
      <c r="BI19" s="122">
        <v>0</v>
      </c>
      <c r="BJ19" s="117">
        <f t="shared" si="6"/>
        <v>284</v>
      </c>
      <c r="BK19" s="120">
        <f t="shared" si="7"/>
        <v>51</v>
      </c>
      <c r="BL19" s="26">
        <f t="shared" si="8"/>
        <v>5.5686274509803919</v>
      </c>
    </row>
    <row r="20" spans="1:64" ht="15" thickBot="1" x14ac:dyDescent="0.35">
      <c r="A20" s="1">
        <v>45215</v>
      </c>
      <c r="B20" s="20">
        <v>25</v>
      </c>
      <c r="C20" s="21">
        <v>3</v>
      </c>
      <c r="D20" s="65">
        <f t="shared" si="4"/>
        <v>8.3333333333333339</v>
      </c>
      <c r="E20" s="20">
        <v>0</v>
      </c>
      <c r="F20" s="21">
        <v>0</v>
      </c>
      <c r="G20" s="65">
        <v>0</v>
      </c>
      <c r="H20" s="20">
        <v>0</v>
      </c>
      <c r="I20" s="21">
        <v>0</v>
      </c>
      <c r="J20" s="26">
        <v>0</v>
      </c>
      <c r="K20" s="23">
        <v>83</v>
      </c>
      <c r="L20" s="21">
        <v>13</v>
      </c>
      <c r="M20" s="122">
        <f t="shared" si="5"/>
        <v>6.384615384615385</v>
      </c>
      <c r="N20" s="20">
        <v>7</v>
      </c>
      <c r="O20" s="21">
        <v>2</v>
      </c>
      <c r="P20" s="26">
        <f t="shared" si="18"/>
        <v>3.5</v>
      </c>
      <c r="Q20" s="20">
        <v>0</v>
      </c>
      <c r="R20" s="21">
        <v>0</v>
      </c>
      <c r="S20" s="122" t="str">
        <f t="shared" si="11"/>
        <v/>
      </c>
      <c r="T20" s="20">
        <v>9</v>
      </c>
      <c r="U20" s="21">
        <v>1</v>
      </c>
      <c r="V20" s="122">
        <f t="shared" si="2"/>
        <v>9</v>
      </c>
      <c r="W20" s="23">
        <v>0</v>
      </c>
      <c r="X20" s="21">
        <v>0</v>
      </c>
      <c r="Y20" s="122">
        <v>0</v>
      </c>
      <c r="Z20" s="23">
        <v>0</v>
      </c>
      <c r="AA20" s="21">
        <v>0</v>
      </c>
      <c r="AB20" s="122">
        <v>0</v>
      </c>
      <c r="AC20" s="23">
        <v>0</v>
      </c>
      <c r="AD20" s="21">
        <v>0</v>
      </c>
      <c r="AE20" s="122">
        <v>0</v>
      </c>
      <c r="AF20" s="23">
        <v>4</v>
      </c>
      <c r="AG20" s="21">
        <v>1</v>
      </c>
      <c r="AH20" s="122">
        <f t="shared" si="16"/>
        <v>4</v>
      </c>
      <c r="AI20" s="23">
        <v>9</v>
      </c>
      <c r="AJ20" s="21">
        <v>1</v>
      </c>
      <c r="AK20" s="122">
        <f t="shared" si="19"/>
        <v>9</v>
      </c>
      <c r="AL20" s="20">
        <v>0</v>
      </c>
      <c r="AM20" s="21">
        <v>0</v>
      </c>
      <c r="AN20" s="122">
        <v>0</v>
      </c>
      <c r="AO20" s="20">
        <v>0</v>
      </c>
      <c r="AP20" s="21">
        <v>0</v>
      </c>
      <c r="AQ20" s="122">
        <v>0</v>
      </c>
      <c r="AR20" s="20">
        <v>0</v>
      </c>
      <c r="AS20" s="21">
        <v>0</v>
      </c>
      <c r="AT20" s="122">
        <v>0</v>
      </c>
      <c r="AU20" s="20">
        <v>0</v>
      </c>
      <c r="AV20" s="21">
        <v>0</v>
      </c>
      <c r="AW20" s="122">
        <v>0</v>
      </c>
      <c r="AX20" s="20">
        <v>10</v>
      </c>
      <c r="AY20" s="21">
        <v>2</v>
      </c>
      <c r="AZ20" s="122">
        <f t="shared" si="12"/>
        <v>5</v>
      </c>
      <c r="BA20" s="23">
        <v>0</v>
      </c>
      <c r="BB20" s="21">
        <v>0</v>
      </c>
      <c r="BC20" s="122">
        <v>0</v>
      </c>
      <c r="BD20" s="20">
        <v>0</v>
      </c>
      <c r="BE20" s="21">
        <v>0</v>
      </c>
      <c r="BF20" s="122">
        <v>0</v>
      </c>
      <c r="BG20" s="20">
        <v>0</v>
      </c>
      <c r="BH20" s="21">
        <v>0</v>
      </c>
      <c r="BI20" s="122">
        <v>0</v>
      </c>
      <c r="BJ20" s="117">
        <f t="shared" si="6"/>
        <v>147</v>
      </c>
      <c r="BK20" s="120">
        <f t="shared" si="7"/>
        <v>23</v>
      </c>
      <c r="BL20" s="26">
        <f t="shared" si="8"/>
        <v>6.3913043478260869</v>
      </c>
    </row>
    <row r="21" spans="1:64" ht="15" thickBot="1" x14ac:dyDescent="0.35">
      <c r="A21" s="1">
        <v>45216</v>
      </c>
      <c r="B21" s="20">
        <v>88</v>
      </c>
      <c r="C21" s="21">
        <v>12</v>
      </c>
      <c r="D21" s="65">
        <f t="shared" si="4"/>
        <v>7.333333333333333</v>
      </c>
      <c r="E21" s="20">
        <v>12</v>
      </c>
      <c r="F21" s="21">
        <v>2</v>
      </c>
      <c r="G21" s="65">
        <f>IF(F21=0,"",E21/F21)</f>
        <v>6</v>
      </c>
      <c r="H21" s="20">
        <v>0</v>
      </c>
      <c r="I21" s="21">
        <v>0</v>
      </c>
      <c r="J21" s="26">
        <v>0</v>
      </c>
      <c r="K21" s="23">
        <v>31</v>
      </c>
      <c r="L21" s="21">
        <v>5</v>
      </c>
      <c r="M21" s="122">
        <f t="shared" si="5"/>
        <v>6.2</v>
      </c>
      <c r="N21" s="20">
        <v>231</v>
      </c>
      <c r="O21" s="21">
        <v>37</v>
      </c>
      <c r="P21" s="26">
        <f t="shared" si="18"/>
        <v>6.243243243243243</v>
      </c>
      <c r="Q21" s="20">
        <v>0</v>
      </c>
      <c r="R21" s="21">
        <v>0</v>
      </c>
      <c r="S21" s="122" t="str">
        <f t="shared" si="1"/>
        <v/>
      </c>
      <c r="T21" s="20">
        <v>0</v>
      </c>
      <c r="U21" s="21">
        <v>0</v>
      </c>
      <c r="V21" s="122" t="str">
        <f t="shared" si="2"/>
        <v/>
      </c>
      <c r="W21" s="23">
        <v>0</v>
      </c>
      <c r="X21" s="21">
        <v>0</v>
      </c>
      <c r="Y21" s="122">
        <v>0</v>
      </c>
      <c r="Z21" s="20">
        <v>0</v>
      </c>
      <c r="AA21" s="21">
        <v>0</v>
      </c>
      <c r="AB21" s="122">
        <v>0</v>
      </c>
      <c r="AC21" s="20">
        <v>7</v>
      </c>
      <c r="AD21" s="21">
        <v>1</v>
      </c>
      <c r="AE21" s="122">
        <f t="shared" ref="AE21:AE22" si="23">IF(AD21=0,"",AC21/AD21)</f>
        <v>7</v>
      </c>
      <c r="AF21" s="23">
        <v>0</v>
      </c>
      <c r="AG21" s="21">
        <v>0</v>
      </c>
      <c r="AH21" s="122">
        <v>0</v>
      </c>
      <c r="AI21" s="23">
        <v>23</v>
      </c>
      <c r="AJ21" s="21">
        <v>3</v>
      </c>
      <c r="AK21" s="122">
        <f t="shared" si="19"/>
        <v>7.666666666666667</v>
      </c>
      <c r="AL21" s="20">
        <v>0</v>
      </c>
      <c r="AM21" s="21">
        <v>0</v>
      </c>
      <c r="AN21" s="122">
        <v>0</v>
      </c>
      <c r="AO21" s="20">
        <v>0</v>
      </c>
      <c r="AP21" s="21">
        <v>0</v>
      </c>
      <c r="AQ21" s="122">
        <v>0</v>
      </c>
      <c r="AR21" s="20">
        <v>6</v>
      </c>
      <c r="AS21" s="21">
        <v>1</v>
      </c>
      <c r="AT21" s="122">
        <v>0</v>
      </c>
      <c r="AU21" s="20">
        <v>6</v>
      </c>
      <c r="AV21" s="21">
        <v>1</v>
      </c>
      <c r="AW21" s="122">
        <f t="shared" si="22"/>
        <v>6</v>
      </c>
      <c r="AX21" s="20">
        <v>0</v>
      </c>
      <c r="AY21" s="21">
        <v>0</v>
      </c>
      <c r="AZ21" s="122">
        <v>0</v>
      </c>
      <c r="BA21" s="20">
        <v>0</v>
      </c>
      <c r="BB21" s="21">
        <v>0</v>
      </c>
      <c r="BC21" s="122">
        <v>0</v>
      </c>
      <c r="BD21" s="20">
        <v>0</v>
      </c>
      <c r="BE21" s="21">
        <v>0</v>
      </c>
      <c r="BF21" s="122">
        <v>0</v>
      </c>
      <c r="BG21" s="20">
        <v>0</v>
      </c>
      <c r="BH21" s="21">
        <v>0</v>
      </c>
      <c r="BI21" s="122">
        <v>0</v>
      </c>
      <c r="BJ21" s="117">
        <f t="shared" si="6"/>
        <v>404</v>
      </c>
      <c r="BK21" s="120">
        <f t="shared" si="7"/>
        <v>62</v>
      </c>
      <c r="BL21" s="26">
        <f t="shared" si="8"/>
        <v>6.5161290322580649</v>
      </c>
    </row>
    <row r="22" spans="1:64" ht="15" thickBot="1" x14ac:dyDescent="0.35">
      <c r="A22" s="1">
        <v>45217</v>
      </c>
      <c r="B22" s="20">
        <v>38</v>
      </c>
      <c r="C22" s="21">
        <v>5</v>
      </c>
      <c r="D22" s="65">
        <f t="shared" si="4"/>
        <v>7.6</v>
      </c>
      <c r="E22" s="20">
        <v>8</v>
      </c>
      <c r="F22" s="21">
        <v>1</v>
      </c>
      <c r="G22" s="65">
        <f t="shared" si="9"/>
        <v>8</v>
      </c>
      <c r="H22" s="20">
        <v>0</v>
      </c>
      <c r="I22" s="21">
        <v>0</v>
      </c>
      <c r="J22" s="26">
        <v>0</v>
      </c>
      <c r="K22" s="23">
        <v>60</v>
      </c>
      <c r="L22" s="21">
        <v>10</v>
      </c>
      <c r="M22" s="122">
        <f t="shared" si="5"/>
        <v>6</v>
      </c>
      <c r="N22" s="20">
        <v>130</v>
      </c>
      <c r="O22" s="21">
        <v>24</v>
      </c>
      <c r="P22" s="26">
        <f t="shared" si="18"/>
        <v>5.416666666666667</v>
      </c>
      <c r="Q22" s="20">
        <v>12</v>
      </c>
      <c r="R22" s="21">
        <v>2</v>
      </c>
      <c r="S22" s="122">
        <f t="shared" si="1"/>
        <v>6</v>
      </c>
      <c r="T22" s="20">
        <v>3</v>
      </c>
      <c r="U22" s="21">
        <v>1</v>
      </c>
      <c r="V22" s="122">
        <f t="shared" si="2"/>
        <v>3</v>
      </c>
      <c r="W22" s="23">
        <v>0</v>
      </c>
      <c r="X22" s="21">
        <v>0</v>
      </c>
      <c r="Y22" s="122">
        <v>0</v>
      </c>
      <c r="Z22" s="20">
        <v>0</v>
      </c>
      <c r="AA22" s="21">
        <v>0</v>
      </c>
      <c r="AB22" s="122">
        <v>0</v>
      </c>
      <c r="AC22" s="20">
        <v>1</v>
      </c>
      <c r="AD22" s="21">
        <v>1</v>
      </c>
      <c r="AE22" s="122">
        <f t="shared" si="23"/>
        <v>1</v>
      </c>
      <c r="AF22" s="23">
        <v>2</v>
      </c>
      <c r="AG22" s="21">
        <v>1</v>
      </c>
      <c r="AH22" s="122">
        <f t="shared" si="16"/>
        <v>2</v>
      </c>
      <c r="AI22" s="23">
        <v>25</v>
      </c>
      <c r="AJ22" s="21">
        <v>3</v>
      </c>
      <c r="AK22" s="122">
        <f t="shared" si="19"/>
        <v>8.3333333333333339</v>
      </c>
      <c r="AL22" s="20">
        <v>0</v>
      </c>
      <c r="AM22" s="21">
        <v>0</v>
      </c>
      <c r="AN22" s="122">
        <v>0</v>
      </c>
      <c r="AO22" s="20">
        <v>0</v>
      </c>
      <c r="AP22" s="21">
        <v>0</v>
      </c>
      <c r="AQ22" s="122">
        <v>0</v>
      </c>
      <c r="AR22" s="20">
        <v>0</v>
      </c>
      <c r="AS22" s="21">
        <v>0</v>
      </c>
      <c r="AT22" s="122">
        <v>0</v>
      </c>
      <c r="AU22" s="20">
        <v>0</v>
      </c>
      <c r="AV22" s="21">
        <v>0</v>
      </c>
      <c r="AW22" s="122">
        <v>0</v>
      </c>
      <c r="AX22" s="20">
        <v>6</v>
      </c>
      <c r="AY22" s="21">
        <v>1</v>
      </c>
      <c r="AZ22" s="122">
        <f t="shared" si="12"/>
        <v>6</v>
      </c>
      <c r="BA22" s="20">
        <v>0</v>
      </c>
      <c r="BB22" s="21">
        <v>0</v>
      </c>
      <c r="BC22" s="122">
        <v>0</v>
      </c>
      <c r="BD22" s="20">
        <v>0</v>
      </c>
      <c r="BE22" s="21">
        <v>0</v>
      </c>
      <c r="BF22" s="122">
        <v>0</v>
      </c>
      <c r="BG22" s="20">
        <v>0</v>
      </c>
      <c r="BH22" s="21">
        <v>0</v>
      </c>
      <c r="BI22" s="122">
        <v>0</v>
      </c>
      <c r="BJ22" s="117">
        <f t="shared" si="6"/>
        <v>285</v>
      </c>
      <c r="BK22" s="120">
        <f t="shared" si="7"/>
        <v>49</v>
      </c>
      <c r="BL22" s="26">
        <f t="shared" si="8"/>
        <v>5.8163265306122449</v>
      </c>
    </row>
    <row r="23" spans="1:64" ht="15" thickBot="1" x14ac:dyDescent="0.35">
      <c r="A23" s="1">
        <v>45218</v>
      </c>
      <c r="B23" s="20">
        <v>51</v>
      </c>
      <c r="C23" s="21">
        <v>6</v>
      </c>
      <c r="D23" s="65">
        <f t="shared" si="4"/>
        <v>8.5</v>
      </c>
      <c r="E23" s="20">
        <v>8</v>
      </c>
      <c r="F23" s="21">
        <v>1</v>
      </c>
      <c r="G23" s="65">
        <f t="shared" si="9"/>
        <v>8</v>
      </c>
      <c r="H23" s="20">
        <v>0</v>
      </c>
      <c r="I23" s="21">
        <v>0</v>
      </c>
      <c r="J23" s="26">
        <v>0</v>
      </c>
      <c r="K23" s="23">
        <v>40</v>
      </c>
      <c r="L23" s="21">
        <v>8</v>
      </c>
      <c r="M23" s="122">
        <f t="shared" si="5"/>
        <v>5</v>
      </c>
      <c r="N23" s="20">
        <v>6</v>
      </c>
      <c r="O23" s="21">
        <v>2</v>
      </c>
      <c r="P23" s="26">
        <f t="shared" si="18"/>
        <v>3</v>
      </c>
      <c r="Q23" s="20">
        <v>0</v>
      </c>
      <c r="R23" s="21">
        <v>0</v>
      </c>
      <c r="S23" s="122" t="str">
        <f t="shared" si="1"/>
        <v/>
      </c>
      <c r="T23" s="20">
        <v>2</v>
      </c>
      <c r="U23" s="21">
        <v>1</v>
      </c>
      <c r="V23" s="122">
        <f t="shared" si="2"/>
        <v>2</v>
      </c>
      <c r="W23" s="23">
        <v>0</v>
      </c>
      <c r="X23" s="21">
        <v>0</v>
      </c>
      <c r="Y23" s="122">
        <v>0</v>
      </c>
      <c r="Z23" s="20">
        <v>0</v>
      </c>
      <c r="AA23" s="21">
        <v>0</v>
      </c>
      <c r="AB23" s="122">
        <v>0</v>
      </c>
      <c r="AC23" s="20">
        <v>0</v>
      </c>
      <c r="AD23" s="21">
        <v>0</v>
      </c>
      <c r="AE23" s="122">
        <v>0</v>
      </c>
      <c r="AF23" s="20">
        <v>0</v>
      </c>
      <c r="AG23" s="21">
        <v>0</v>
      </c>
      <c r="AH23" s="122">
        <v>0</v>
      </c>
      <c r="AI23" s="23">
        <v>6</v>
      </c>
      <c r="AJ23" s="21">
        <v>1</v>
      </c>
      <c r="AK23" s="122">
        <f t="shared" si="19"/>
        <v>6</v>
      </c>
      <c r="AL23" s="20">
        <v>0</v>
      </c>
      <c r="AM23" s="21">
        <v>0</v>
      </c>
      <c r="AN23" s="122">
        <v>0</v>
      </c>
      <c r="AO23" s="20">
        <v>12</v>
      </c>
      <c r="AP23" s="21">
        <v>2</v>
      </c>
      <c r="AQ23" s="122">
        <f t="shared" ref="AQ23:AQ24" si="24">IF(AP23=0,"",AO23/AP23)</f>
        <v>6</v>
      </c>
      <c r="AR23" s="23">
        <v>7</v>
      </c>
      <c r="AS23" s="21">
        <v>1</v>
      </c>
      <c r="AT23" s="124">
        <f t="shared" ref="AT23:AT33" si="25">IF(AS23=0,"",AR23/AS23)</f>
        <v>7</v>
      </c>
      <c r="AU23" s="20">
        <v>0</v>
      </c>
      <c r="AV23" s="21">
        <v>0</v>
      </c>
      <c r="AW23" s="122">
        <v>0</v>
      </c>
      <c r="AX23" s="20">
        <v>0</v>
      </c>
      <c r="AY23" s="21">
        <v>0</v>
      </c>
      <c r="AZ23" s="122">
        <v>0</v>
      </c>
      <c r="BA23" s="20">
        <v>0</v>
      </c>
      <c r="BB23" s="21">
        <v>0</v>
      </c>
      <c r="BC23" s="122">
        <v>0</v>
      </c>
      <c r="BD23" s="20">
        <v>0</v>
      </c>
      <c r="BE23" s="21">
        <v>0</v>
      </c>
      <c r="BF23" s="122">
        <v>0</v>
      </c>
      <c r="BG23" s="20">
        <v>0</v>
      </c>
      <c r="BH23" s="21">
        <v>0</v>
      </c>
      <c r="BI23" s="122">
        <v>0</v>
      </c>
      <c r="BJ23" s="117">
        <f t="shared" si="6"/>
        <v>132</v>
      </c>
      <c r="BK23" s="120">
        <f t="shared" si="7"/>
        <v>22</v>
      </c>
      <c r="BL23" s="26">
        <f t="shared" si="8"/>
        <v>6</v>
      </c>
    </row>
    <row r="24" spans="1:64" ht="15" thickBot="1" x14ac:dyDescent="0.35">
      <c r="A24" s="1">
        <v>45219</v>
      </c>
      <c r="B24" s="20">
        <v>16</v>
      </c>
      <c r="C24" s="21">
        <v>2</v>
      </c>
      <c r="D24" s="65">
        <f t="shared" si="4"/>
        <v>8</v>
      </c>
      <c r="E24" s="20">
        <v>2</v>
      </c>
      <c r="F24" s="21">
        <v>1</v>
      </c>
      <c r="G24" s="65">
        <f t="shared" si="9"/>
        <v>2</v>
      </c>
      <c r="H24" s="20">
        <v>0</v>
      </c>
      <c r="I24" s="21">
        <v>0</v>
      </c>
      <c r="J24" s="26">
        <v>0</v>
      </c>
      <c r="K24" s="23">
        <v>14</v>
      </c>
      <c r="L24" s="21">
        <v>3</v>
      </c>
      <c r="M24" s="122">
        <f t="shared" si="5"/>
        <v>4.666666666666667</v>
      </c>
      <c r="N24" s="20">
        <v>0</v>
      </c>
      <c r="O24" s="21">
        <v>0</v>
      </c>
      <c r="P24" s="26" t="str">
        <f t="shared" si="18"/>
        <v/>
      </c>
      <c r="Q24" s="20">
        <v>27</v>
      </c>
      <c r="R24" s="21">
        <v>4</v>
      </c>
      <c r="S24" s="122">
        <f t="shared" si="1"/>
        <v>6.75</v>
      </c>
      <c r="T24" s="20">
        <v>3</v>
      </c>
      <c r="U24" s="21">
        <v>1</v>
      </c>
      <c r="V24" s="122">
        <f t="shared" si="2"/>
        <v>3</v>
      </c>
      <c r="W24" s="23">
        <v>0</v>
      </c>
      <c r="X24" s="21">
        <v>0</v>
      </c>
      <c r="Y24" s="122">
        <v>0</v>
      </c>
      <c r="Z24" s="23">
        <v>0</v>
      </c>
      <c r="AA24" s="21">
        <v>0</v>
      </c>
      <c r="AB24" s="122">
        <v>0</v>
      </c>
      <c r="AC24" s="23">
        <v>0</v>
      </c>
      <c r="AD24" s="21">
        <v>0</v>
      </c>
      <c r="AE24" s="122">
        <v>0</v>
      </c>
      <c r="AF24" s="23">
        <v>0</v>
      </c>
      <c r="AG24" s="21">
        <v>0</v>
      </c>
      <c r="AH24" s="122">
        <v>0</v>
      </c>
      <c r="AI24" s="23">
        <v>8</v>
      </c>
      <c r="AJ24" s="21">
        <v>1</v>
      </c>
      <c r="AK24" s="122">
        <f t="shared" si="19"/>
        <v>8</v>
      </c>
      <c r="AL24" s="20">
        <v>2</v>
      </c>
      <c r="AM24" s="21">
        <v>1</v>
      </c>
      <c r="AN24" s="122">
        <f t="shared" ref="AN24:AN32" si="26">IF(AM24=0,"",AL24/AM24)</f>
        <v>2</v>
      </c>
      <c r="AO24" s="20">
        <v>7</v>
      </c>
      <c r="AP24" s="21">
        <v>1</v>
      </c>
      <c r="AQ24" s="122">
        <f t="shared" si="24"/>
        <v>7</v>
      </c>
      <c r="AR24" s="23">
        <v>0</v>
      </c>
      <c r="AS24" s="21">
        <v>0</v>
      </c>
      <c r="AT24" s="124">
        <v>0</v>
      </c>
      <c r="AU24" s="20">
        <v>6</v>
      </c>
      <c r="AV24" s="21">
        <v>1</v>
      </c>
      <c r="AW24" s="122">
        <f t="shared" si="22"/>
        <v>6</v>
      </c>
      <c r="AX24" s="20">
        <v>0</v>
      </c>
      <c r="AY24" s="21">
        <v>0</v>
      </c>
      <c r="AZ24" s="122">
        <v>0</v>
      </c>
      <c r="BA24" s="20">
        <v>0</v>
      </c>
      <c r="BB24" s="21">
        <v>0</v>
      </c>
      <c r="BC24" s="122">
        <v>0</v>
      </c>
      <c r="BD24" s="20">
        <v>0</v>
      </c>
      <c r="BE24" s="21">
        <v>0</v>
      </c>
      <c r="BF24" s="122">
        <v>0</v>
      </c>
      <c r="BG24" s="20">
        <v>0</v>
      </c>
      <c r="BH24" s="21">
        <v>0</v>
      </c>
      <c r="BI24" s="122">
        <v>0</v>
      </c>
      <c r="BJ24" s="117">
        <f t="shared" si="6"/>
        <v>85</v>
      </c>
      <c r="BK24" s="120">
        <f t="shared" si="7"/>
        <v>15</v>
      </c>
      <c r="BL24" s="26">
        <f t="shared" si="8"/>
        <v>5.666666666666667</v>
      </c>
    </row>
    <row r="25" spans="1:64" ht="15" thickBot="1" x14ac:dyDescent="0.35">
      <c r="A25" s="1">
        <v>45220</v>
      </c>
      <c r="B25" s="20">
        <v>90</v>
      </c>
      <c r="C25" s="21">
        <v>10</v>
      </c>
      <c r="D25" s="65">
        <f t="shared" si="4"/>
        <v>9</v>
      </c>
      <c r="E25" s="20">
        <v>0</v>
      </c>
      <c r="F25" s="21">
        <v>0</v>
      </c>
      <c r="G25" s="65">
        <v>0</v>
      </c>
      <c r="H25" s="20">
        <v>0</v>
      </c>
      <c r="I25" s="21">
        <v>0</v>
      </c>
      <c r="J25" s="26">
        <v>0</v>
      </c>
      <c r="K25" s="23">
        <v>10</v>
      </c>
      <c r="L25" s="21">
        <v>2</v>
      </c>
      <c r="M25" s="122">
        <f t="shared" si="5"/>
        <v>5</v>
      </c>
      <c r="N25" s="20">
        <v>6</v>
      </c>
      <c r="O25" s="21">
        <v>1</v>
      </c>
      <c r="P25" s="26">
        <f>IF(O25=0,"",N25/O25)</f>
        <v>6</v>
      </c>
      <c r="Q25" s="20">
        <v>29</v>
      </c>
      <c r="R25" s="21">
        <v>3</v>
      </c>
      <c r="S25" s="122">
        <f t="shared" si="11"/>
        <v>9.6666666666666661</v>
      </c>
      <c r="T25" s="23">
        <v>0</v>
      </c>
      <c r="U25" s="21">
        <v>0</v>
      </c>
      <c r="V25" s="122" t="str">
        <f t="shared" si="2"/>
        <v/>
      </c>
      <c r="W25" s="23">
        <v>0</v>
      </c>
      <c r="X25" s="21">
        <v>0</v>
      </c>
      <c r="Y25" s="122">
        <v>0</v>
      </c>
      <c r="Z25" s="23">
        <v>0</v>
      </c>
      <c r="AA25" s="21">
        <v>0</v>
      </c>
      <c r="AB25" s="122">
        <v>0</v>
      </c>
      <c r="AC25" s="23">
        <v>0</v>
      </c>
      <c r="AD25" s="21">
        <v>0</v>
      </c>
      <c r="AE25" s="122">
        <v>0</v>
      </c>
      <c r="AF25" s="23">
        <v>0</v>
      </c>
      <c r="AG25" s="21">
        <v>0</v>
      </c>
      <c r="AH25" s="122">
        <v>0</v>
      </c>
      <c r="AI25" s="23">
        <v>8</v>
      </c>
      <c r="AJ25" s="21">
        <v>1</v>
      </c>
      <c r="AK25" s="122">
        <f t="shared" si="19"/>
        <v>8</v>
      </c>
      <c r="AL25" s="20">
        <v>0</v>
      </c>
      <c r="AM25" s="21">
        <v>0</v>
      </c>
      <c r="AN25" s="122">
        <v>0</v>
      </c>
      <c r="AO25" s="20">
        <v>0</v>
      </c>
      <c r="AP25" s="21">
        <v>0</v>
      </c>
      <c r="AQ25" s="122">
        <v>0</v>
      </c>
      <c r="AR25" s="20">
        <v>0</v>
      </c>
      <c r="AS25" s="21">
        <v>0</v>
      </c>
      <c r="AT25" s="122">
        <v>0</v>
      </c>
      <c r="AU25" s="20">
        <v>0</v>
      </c>
      <c r="AV25" s="21">
        <v>0</v>
      </c>
      <c r="AW25" s="122">
        <v>0</v>
      </c>
      <c r="AX25" s="20">
        <v>0</v>
      </c>
      <c r="AY25" s="21">
        <v>0</v>
      </c>
      <c r="AZ25" s="122">
        <v>0</v>
      </c>
      <c r="BA25" s="20">
        <v>0</v>
      </c>
      <c r="BB25" s="21">
        <v>0</v>
      </c>
      <c r="BC25" s="122">
        <v>0</v>
      </c>
      <c r="BD25" s="20">
        <v>0</v>
      </c>
      <c r="BE25" s="21">
        <v>0</v>
      </c>
      <c r="BF25" s="122">
        <v>0</v>
      </c>
      <c r="BG25" s="20">
        <v>0</v>
      </c>
      <c r="BH25" s="21">
        <v>0</v>
      </c>
      <c r="BI25" s="122">
        <v>0</v>
      </c>
      <c r="BJ25" s="117">
        <f t="shared" si="6"/>
        <v>143</v>
      </c>
      <c r="BK25" s="120">
        <f t="shared" si="7"/>
        <v>17</v>
      </c>
      <c r="BL25" s="26">
        <f t="shared" si="8"/>
        <v>8.4117647058823533</v>
      </c>
    </row>
    <row r="26" spans="1:64" ht="15" thickBot="1" x14ac:dyDescent="0.35">
      <c r="A26" s="1">
        <v>45221</v>
      </c>
      <c r="B26" s="20">
        <v>0</v>
      </c>
      <c r="C26" s="21">
        <v>0</v>
      </c>
      <c r="D26" s="65">
        <v>0</v>
      </c>
      <c r="E26" s="20">
        <v>0</v>
      </c>
      <c r="F26" s="21">
        <v>0</v>
      </c>
      <c r="G26" s="65">
        <v>0</v>
      </c>
      <c r="H26" s="20">
        <v>0</v>
      </c>
      <c r="I26" s="21">
        <v>0</v>
      </c>
      <c r="J26" s="26">
        <v>0</v>
      </c>
      <c r="K26" s="23">
        <v>0</v>
      </c>
      <c r="L26" s="21">
        <v>0</v>
      </c>
      <c r="M26" s="122">
        <v>0</v>
      </c>
      <c r="N26" s="20">
        <v>0</v>
      </c>
      <c r="O26" s="21">
        <v>0</v>
      </c>
      <c r="P26" s="26" t="str">
        <f t="shared" ref="P26:P30" si="27">IF(O26=0,"",N26/O26)</f>
        <v/>
      </c>
      <c r="Q26" s="20">
        <v>0</v>
      </c>
      <c r="R26" s="21">
        <v>0</v>
      </c>
      <c r="S26" s="122" t="str">
        <f t="shared" si="1"/>
        <v/>
      </c>
      <c r="T26" s="23">
        <v>0</v>
      </c>
      <c r="U26" s="21">
        <v>0</v>
      </c>
      <c r="V26" s="122" t="str">
        <f t="shared" si="2"/>
        <v/>
      </c>
      <c r="W26" s="23">
        <v>0</v>
      </c>
      <c r="X26" s="21">
        <v>0</v>
      </c>
      <c r="Y26" s="122">
        <v>0</v>
      </c>
      <c r="Z26" s="23">
        <v>0</v>
      </c>
      <c r="AA26" s="21">
        <v>0</v>
      </c>
      <c r="AB26" s="122">
        <v>0</v>
      </c>
      <c r="AC26" s="23">
        <v>0</v>
      </c>
      <c r="AD26" s="21">
        <v>0</v>
      </c>
      <c r="AE26" s="122">
        <v>0</v>
      </c>
      <c r="AF26" s="23">
        <v>0</v>
      </c>
      <c r="AG26" s="21">
        <v>0</v>
      </c>
      <c r="AH26" s="122">
        <v>0</v>
      </c>
      <c r="AI26" s="23">
        <v>49</v>
      </c>
      <c r="AJ26" s="21">
        <v>7</v>
      </c>
      <c r="AK26" s="122">
        <f t="shared" si="19"/>
        <v>7</v>
      </c>
      <c r="AL26" s="20">
        <v>0</v>
      </c>
      <c r="AM26" s="21">
        <v>0</v>
      </c>
      <c r="AN26" s="122">
        <v>0</v>
      </c>
      <c r="AO26" s="20">
        <v>0</v>
      </c>
      <c r="AP26" s="21">
        <v>0</v>
      </c>
      <c r="AQ26" s="122">
        <v>0</v>
      </c>
      <c r="AR26" s="23">
        <v>7</v>
      </c>
      <c r="AS26" s="21">
        <v>1</v>
      </c>
      <c r="AT26" s="124">
        <f t="shared" si="25"/>
        <v>7</v>
      </c>
      <c r="AU26" s="20">
        <v>0</v>
      </c>
      <c r="AV26" s="21">
        <v>0</v>
      </c>
      <c r="AW26" s="122">
        <v>0</v>
      </c>
      <c r="AX26" s="20">
        <v>4</v>
      </c>
      <c r="AY26" s="21">
        <v>1</v>
      </c>
      <c r="AZ26" s="122">
        <f t="shared" si="12"/>
        <v>4</v>
      </c>
      <c r="BA26" s="20">
        <v>0</v>
      </c>
      <c r="BB26" s="21">
        <v>0</v>
      </c>
      <c r="BC26" s="122">
        <v>0</v>
      </c>
      <c r="BD26" s="20">
        <v>0</v>
      </c>
      <c r="BE26" s="21">
        <v>0</v>
      </c>
      <c r="BF26" s="122">
        <v>0</v>
      </c>
      <c r="BG26" s="20">
        <v>0</v>
      </c>
      <c r="BH26" s="21">
        <v>0</v>
      </c>
      <c r="BI26" s="122">
        <v>0</v>
      </c>
      <c r="BJ26" s="117">
        <f t="shared" si="6"/>
        <v>60</v>
      </c>
      <c r="BK26" s="120">
        <f t="shared" si="7"/>
        <v>9</v>
      </c>
      <c r="BL26" s="26">
        <f t="shared" si="8"/>
        <v>6.666666666666667</v>
      </c>
    </row>
    <row r="27" spans="1:64" ht="15" thickBot="1" x14ac:dyDescent="0.35">
      <c r="A27" s="1">
        <v>45222</v>
      </c>
      <c r="B27" s="20">
        <v>59</v>
      </c>
      <c r="C27" s="21">
        <v>7</v>
      </c>
      <c r="D27" s="65">
        <f t="shared" si="4"/>
        <v>8.4285714285714288</v>
      </c>
      <c r="E27" s="20">
        <v>13</v>
      </c>
      <c r="F27" s="21">
        <v>2</v>
      </c>
      <c r="G27" s="65">
        <f t="shared" si="9"/>
        <v>6.5</v>
      </c>
      <c r="H27" s="20">
        <v>0</v>
      </c>
      <c r="I27" s="21">
        <v>0</v>
      </c>
      <c r="J27" s="26">
        <v>0</v>
      </c>
      <c r="K27" s="23">
        <v>17</v>
      </c>
      <c r="L27" s="21">
        <v>3</v>
      </c>
      <c r="M27" s="122">
        <f t="shared" si="5"/>
        <v>5.666666666666667</v>
      </c>
      <c r="N27" s="20">
        <v>241</v>
      </c>
      <c r="O27" s="21">
        <v>41</v>
      </c>
      <c r="P27" s="26">
        <f t="shared" si="27"/>
        <v>5.8780487804878048</v>
      </c>
      <c r="Q27" s="20">
        <v>0</v>
      </c>
      <c r="R27" s="21">
        <v>0</v>
      </c>
      <c r="S27" s="122" t="str">
        <f t="shared" si="1"/>
        <v/>
      </c>
      <c r="T27" s="20">
        <v>7</v>
      </c>
      <c r="U27" s="21">
        <v>1</v>
      </c>
      <c r="V27" s="122">
        <f t="shared" si="2"/>
        <v>7</v>
      </c>
      <c r="W27" s="23">
        <v>0</v>
      </c>
      <c r="X27" s="21">
        <v>0</v>
      </c>
      <c r="Y27" s="122">
        <v>0</v>
      </c>
      <c r="Z27" s="23">
        <v>0</v>
      </c>
      <c r="AA27" s="21">
        <v>0</v>
      </c>
      <c r="AB27" s="122">
        <v>0</v>
      </c>
      <c r="AC27" s="23">
        <v>0</v>
      </c>
      <c r="AD27" s="21">
        <v>0</v>
      </c>
      <c r="AE27" s="122">
        <v>0</v>
      </c>
      <c r="AF27" s="23">
        <v>2</v>
      </c>
      <c r="AG27" s="21">
        <v>1</v>
      </c>
      <c r="AH27" s="122">
        <f t="shared" si="16"/>
        <v>2</v>
      </c>
      <c r="AI27" s="23">
        <v>6</v>
      </c>
      <c r="AJ27" s="21">
        <v>1</v>
      </c>
      <c r="AK27" s="122">
        <f t="shared" si="19"/>
        <v>6</v>
      </c>
      <c r="AL27" s="20">
        <v>0</v>
      </c>
      <c r="AM27" s="21">
        <v>0</v>
      </c>
      <c r="AN27" s="122">
        <v>0</v>
      </c>
      <c r="AO27" s="20">
        <v>0</v>
      </c>
      <c r="AP27" s="21">
        <v>0</v>
      </c>
      <c r="AQ27" s="122">
        <v>0</v>
      </c>
      <c r="AR27" s="20">
        <v>0</v>
      </c>
      <c r="AS27" s="21">
        <v>0</v>
      </c>
      <c r="AT27" s="122">
        <v>0</v>
      </c>
      <c r="AU27" s="20">
        <v>0</v>
      </c>
      <c r="AV27" s="21">
        <v>0</v>
      </c>
      <c r="AW27" s="122">
        <v>0</v>
      </c>
      <c r="AX27" s="20">
        <v>0</v>
      </c>
      <c r="AY27" s="21">
        <v>0</v>
      </c>
      <c r="AZ27" s="122">
        <v>0</v>
      </c>
      <c r="BA27" s="20">
        <v>0</v>
      </c>
      <c r="BB27" s="21">
        <v>0</v>
      </c>
      <c r="BC27" s="122">
        <v>0</v>
      </c>
      <c r="BD27" s="20">
        <v>0</v>
      </c>
      <c r="BE27" s="21">
        <v>0</v>
      </c>
      <c r="BF27" s="122">
        <v>0</v>
      </c>
      <c r="BG27" s="20">
        <v>0</v>
      </c>
      <c r="BH27" s="21">
        <v>0</v>
      </c>
      <c r="BI27" s="122">
        <v>0</v>
      </c>
      <c r="BJ27" s="117">
        <f t="shared" si="6"/>
        <v>345</v>
      </c>
      <c r="BK27" s="120">
        <f t="shared" si="7"/>
        <v>56</v>
      </c>
      <c r="BL27" s="26">
        <f t="shared" si="8"/>
        <v>6.1607142857142856</v>
      </c>
    </row>
    <row r="28" spans="1:64" ht="15" thickBot="1" x14ac:dyDescent="0.35">
      <c r="A28" s="1">
        <v>45223</v>
      </c>
      <c r="B28" s="20">
        <v>51</v>
      </c>
      <c r="C28" s="21">
        <v>7</v>
      </c>
      <c r="D28" s="65">
        <f t="shared" si="4"/>
        <v>7.2857142857142856</v>
      </c>
      <c r="E28" s="20">
        <v>7</v>
      </c>
      <c r="F28" s="21">
        <v>1</v>
      </c>
      <c r="G28" s="65">
        <f t="shared" si="9"/>
        <v>7</v>
      </c>
      <c r="H28" s="20">
        <v>0</v>
      </c>
      <c r="I28" s="21">
        <v>0</v>
      </c>
      <c r="J28" s="26">
        <v>0</v>
      </c>
      <c r="K28" s="23">
        <v>62</v>
      </c>
      <c r="L28" s="21">
        <v>11</v>
      </c>
      <c r="M28" s="122">
        <f t="shared" si="5"/>
        <v>5.6363636363636367</v>
      </c>
      <c r="N28" s="20">
        <v>0</v>
      </c>
      <c r="O28" s="21">
        <v>0</v>
      </c>
      <c r="P28" s="26" t="str">
        <f t="shared" si="27"/>
        <v/>
      </c>
      <c r="Q28" s="20">
        <v>17</v>
      </c>
      <c r="R28" s="21">
        <v>2</v>
      </c>
      <c r="S28" s="122">
        <f t="shared" si="1"/>
        <v>8.5</v>
      </c>
      <c r="T28" s="20">
        <v>1</v>
      </c>
      <c r="U28" s="21">
        <v>1</v>
      </c>
      <c r="V28" s="122">
        <f t="shared" si="2"/>
        <v>1</v>
      </c>
      <c r="W28" s="23">
        <v>0</v>
      </c>
      <c r="X28" s="21">
        <v>0</v>
      </c>
      <c r="Y28" s="122" t="str">
        <f t="shared" ref="Y28" si="28">IF(X28=0,"",W28/X28)</f>
        <v/>
      </c>
      <c r="Z28" s="20">
        <v>2</v>
      </c>
      <c r="AA28" s="21">
        <v>1</v>
      </c>
      <c r="AB28" s="122">
        <f t="shared" si="20"/>
        <v>2</v>
      </c>
      <c r="AC28" s="20">
        <v>0</v>
      </c>
      <c r="AD28" s="21">
        <v>0</v>
      </c>
      <c r="AE28" s="122">
        <v>0</v>
      </c>
      <c r="AF28" s="23">
        <v>1</v>
      </c>
      <c r="AG28" s="21">
        <v>1</v>
      </c>
      <c r="AH28" s="122">
        <f t="shared" si="16"/>
        <v>1</v>
      </c>
      <c r="AI28" s="23">
        <v>26</v>
      </c>
      <c r="AJ28" s="21">
        <v>4</v>
      </c>
      <c r="AK28" s="122">
        <f t="shared" si="19"/>
        <v>6.5</v>
      </c>
      <c r="AL28" s="20">
        <v>0</v>
      </c>
      <c r="AM28" s="21">
        <v>0</v>
      </c>
      <c r="AN28" s="122">
        <v>0</v>
      </c>
      <c r="AO28" s="20">
        <v>0</v>
      </c>
      <c r="AP28" s="21">
        <v>0</v>
      </c>
      <c r="AQ28" s="122">
        <v>0</v>
      </c>
      <c r="AR28" s="23">
        <v>0</v>
      </c>
      <c r="AS28" s="21">
        <v>0</v>
      </c>
      <c r="AT28" s="124" t="str">
        <f t="shared" si="25"/>
        <v/>
      </c>
      <c r="AU28" s="20">
        <v>0</v>
      </c>
      <c r="AV28" s="21">
        <v>0</v>
      </c>
      <c r="AW28" s="122">
        <v>0</v>
      </c>
      <c r="AX28" s="20">
        <v>0</v>
      </c>
      <c r="AY28" s="21">
        <v>0</v>
      </c>
      <c r="AZ28" s="122">
        <v>0</v>
      </c>
      <c r="BA28" s="20">
        <v>0</v>
      </c>
      <c r="BB28" s="21">
        <v>0</v>
      </c>
      <c r="BC28" s="122">
        <v>0</v>
      </c>
      <c r="BD28" s="20">
        <v>0</v>
      </c>
      <c r="BE28" s="21">
        <v>0</v>
      </c>
      <c r="BF28" s="122">
        <v>0</v>
      </c>
      <c r="BG28" s="20">
        <v>0</v>
      </c>
      <c r="BH28" s="21">
        <v>0</v>
      </c>
      <c r="BI28" s="122">
        <v>0</v>
      </c>
      <c r="BJ28" s="117">
        <f t="shared" si="6"/>
        <v>167</v>
      </c>
      <c r="BK28" s="120">
        <f t="shared" si="7"/>
        <v>28</v>
      </c>
      <c r="BL28" s="26">
        <f t="shared" si="8"/>
        <v>5.9642857142857144</v>
      </c>
    </row>
    <row r="29" spans="1:64" ht="15" thickBot="1" x14ac:dyDescent="0.35">
      <c r="A29" s="1">
        <v>45224</v>
      </c>
      <c r="B29" s="20">
        <v>17</v>
      </c>
      <c r="C29" s="21">
        <v>2</v>
      </c>
      <c r="D29" s="65">
        <f t="shared" si="4"/>
        <v>8.5</v>
      </c>
      <c r="E29" s="20">
        <v>7</v>
      </c>
      <c r="F29" s="21">
        <v>1</v>
      </c>
      <c r="G29" s="65">
        <f t="shared" si="9"/>
        <v>7</v>
      </c>
      <c r="H29" s="20">
        <v>0</v>
      </c>
      <c r="I29" s="21">
        <v>0</v>
      </c>
      <c r="J29" s="26">
        <v>0</v>
      </c>
      <c r="K29" s="23">
        <v>32</v>
      </c>
      <c r="L29" s="21">
        <v>6</v>
      </c>
      <c r="M29" s="122">
        <f>IF(L29=0,"",K29/L29)</f>
        <v>5.333333333333333</v>
      </c>
      <c r="N29" s="20">
        <v>0</v>
      </c>
      <c r="O29" s="21">
        <v>0</v>
      </c>
      <c r="P29" s="26" t="str">
        <f t="shared" si="27"/>
        <v/>
      </c>
      <c r="Q29" s="20">
        <v>25</v>
      </c>
      <c r="R29" s="21">
        <v>3</v>
      </c>
      <c r="S29" s="122">
        <f t="shared" si="1"/>
        <v>8.3333333333333339</v>
      </c>
      <c r="T29" s="20">
        <v>0</v>
      </c>
      <c r="U29" s="21">
        <v>0</v>
      </c>
      <c r="V29" s="122" t="str">
        <f t="shared" si="2"/>
        <v/>
      </c>
      <c r="W29" s="23">
        <v>0</v>
      </c>
      <c r="X29" s="21">
        <v>0</v>
      </c>
      <c r="Y29" s="122">
        <v>0</v>
      </c>
      <c r="Z29" s="20">
        <v>0</v>
      </c>
      <c r="AA29" s="21">
        <v>0</v>
      </c>
      <c r="AB29" s="122">
        <v>0</v>
      </c>
      <c r="AC29" s="20">
        <v>0</v>
      </c>
      <c r="AD29" s="21">
        <v>0</v>
      </c>
      <c r="AE29" s="122">
        <v>0</v>
      </c>
      <c r="AF29" s="23">
        <v>1</v>
      </c>
      <c r="AG29" s="21">
        <v>1</v>
      </c>
      <c r="AH29" s="122">
        <f t="shared" si="16"/>
        <v>1</v>
      </c>
      <c r="AI29" s="23">
        <v>13</v>
      </c>
      <c r="AJ29" s="21">
        <v>2</v>
      </c>
      <c r="AK29" s="122">
        <f t="shared" si="19"/>
        <v>6.5</v>
      </c>
      <c r="AL29" s="20">
        <v>9</v>
      </c>
      <c r="AM29" s="21">
        <v>1</v>
      </c>
      <c r="AN29" s="122">
        <f t="shared" si="26"/>
        <v>9</v>
      </c>
      <c r="AO29" s="20">
        <v>0</v>
      </c>
      <c r="AP29" s="21">
        <v>0</v>
      </c>
      <c r="AQ29" s="122">
        <v>0</v>
      </c>
      <c r="AR29" s="23">
        <v>6</v>
      </c>
      <c r="AS29" s="21">
        <v>1</v>
      </c>
      <c r="AT29" s="124">
        <f t="shared" si="25"/>
        <v>6</v>
      </c>
      <c r="AU29" s="20">
        <v>0</v>
      </c>
      <c r="AV29" s="21">
        <v>0</v>
      </c>
      <c r="AW29" s="122">
        <v>0</v>
      </c>
      <c r="AX29" s="20">
        <v>0</v>
      </c>
      <c r="AY29" s="21">
        <v>0</v>
      </c>
      <c r="AZ29" s="122">
        <v>0</v>
      </c>
      <c r="BA29" s="20">
        <v>0</v>
      </c>
      <c r="BB29" s="21">
        <v>0</v>
      </c>
      <c r="BC29" s="122">
        <v>0</v>
      </c>
      <c r="BD29" s="20">
        <v>0</v>
      </c>
      <c r="BE29" s="21">
        <v>0</v>
      </c>
      <c r="BF29" s="122">
        <v>0</v>
      </c>
      <c r="BG29" s="20">
        <v>0</v>
      </c>
      <c r="BH29" s="21">
        <v>0</v>
      </c>
      <c r="BI29" s="122">
        <v>0</v>
      </c>
      <c r="BJ29" s="117">
        <f t="shared" si="6"/>
        <v>110</v>
      </c>
      <c r="BK29" s="120">
        <f t="shared" si="7"/>
        <v>17</v>
      </c>
      <c r="BL29" s="26">
        <f t="shared" si="8"/>
        <v>6.4705882352941178</v>
      </c>
    </row>
    <row r="30" spans="1:64" ht="15" thickBot="1" x14ac:dyDescent="0.35">
      <c r="A30" s="1">
        <v>45225</v>
      </c>
      <c r="B30" s="20">
        <v>17</v>
      </c>
      <c r="C30" s="21">
        <v>2</v>
      </c>
      <c r="D30" s="65">
        <f t="shared" si="4"/>
        <v>8.5</v>
      </c>
      <c r="E30" s="20">
        <v>0</v>
      </c>
      <c r="F30" s="21">
        <v>0</v>
      </c>
      <c r="G30" s="65">
        <v>0</v>
      </c>
      <c r="H30" s="20">
        <v>22</v>
      </c>
      <c r="I30" s="21">
        <v>3</v>
      </c>
      <c r="J30" s="26">
        <f t="shared" si="10"/>
        <v>7.333333333333333</v>
      </c>
      <c r="K30" s="23">
        <v>23</v>
      </c>
      <c r="L30" s="21">
        <v>4</v>
      </c>
      <c r="M30" s="122">
        <f t="shared" si="5"/>
        <v>5.75</v>
      </c>
      <c r="N30" s="20">
        <v>431</v>
      </c>
      <c r="O30" s="21">
        <v>70</v>
      </c>
      <c r="P30" s="26">
        <f t="shared" si="27"/>
        <v>6.1571428571428575</v>
      </c>
      <c r="Q30" s="20">
        <v>0</v>
      </c>
      <c r="R30" s="21">
        <v>0</v>
      </c>
      <c r="S30" s="122" t="str">
        <f t="shared" si="1"/>
        <v/>
      </c>
      <c r="T30" s="20">
        <v>0</v>
      </c>
      <c r="U30" s="21">
        <v>0</v>
      </c>
      <c r="V30" s="122" t="str">
        <f t="shared" si="2"/>
        <v/>
      </c>
      <c r="W30" s="23">
        <v>0</v>
      </c>
      <c r="X30" s="21">
        <v>0</v>
      </c>
      <c r="Y30" s="122">
        <v>0</v>
      </c>
      <c r="Z30" s="20">
        <v>0</v>
      </c>
      <c r="AA30" s="21">
        <v>0</v>
      </c>
      <c r="AB30" s="122">
        <v>0</v>
      </c>
      <c r="AC30" s="20">
        <v>0</v>
      </c>
      <c r="AD30" s="21">
        <v>0</v>
      </c>
      <c r="AE30" s="122">
        <v>0</v>
      </c>
      <c r="AF30" s="23">
        <v>0</v>
      </c>
      <c r="AG30" s="21">
        <v>0</v>
      </c>
      <c r="AH30" s="122">
        <v>0</v>
      </c>
      <c r="AI30" s="23">
        <v>6</v>
      </c>
      <c r="AJ30" s="21">
        <v>1</v>
      </c>
      <c r="AK30" s="122">
        <f t="shared" si="19"/>
        <v>6</v>
      </c>
      <c r="AL30" s="20">
        <v>0</v>
      </c>
      <c r="AM30" s="21">
        <v>0</v>
      </c>
      <c r="AN30" s="122">
        <v>0</v>
      </c>
      <c r="AO30" s="20">
        <v>0</v>
      </c>
      <c r="AP30" s="21">
        <v>0</v>
      </c>
      <c r="AQ30" s="122">
        <v>0</v>
      </c>
      <c r="AR30" s="23">
        <v>0</v>
      </c>
      <c r="AS30" s="21">
        <v>0</v>
      </c>
      <c r="AT30" s="124">
        <v>0</v>
      </c>
      <c r="AU30" s="20">
        <v>0</v>
      </c>
      <c r="AV30" s="21">
        <v>0</v>
      </c>
      <c r="AW30" s="122">
        <v>0</v>
      </c>
      <c r="AX30" s="20">
        <v>0</v>
      </c>
      <c r="AY30" s="21">
        <v>0</v>
      </c>
      <c r="AZ30" s="122">
        <v>0</v>
      </c>
      <c r="BA30" s="20">
        <v>0</v>
      </c>
      <c r="BB30" s="21">
        <v>0</v>
      </c>
      <c r="BC30" s="122">
        <v>0</v>
      </c>
      <c r="BD30" s="20">
        <v>0</v>
      </c>
      <c r="BE30" s="21">
        <v>0</v>
      </c>
      <c r="BF30" s="122">
        <v>0</v>
      </c>
      <c r="BG30" s="20">
        <v>0</v>
      </c>
      <c r="BH30" s="21">
        <v>0</v>
      </c>
      <c r="BI30" s="122">
        <v>0</v>
      </c>
      <c r="BJ30" s="117">
        <f t="shared" si="6"/>
        <v>499</v>
      </c>
      <c r="BK30" s="120">
        <f t="shared" si="7"/>
        <v>80</v>
      </c>
      <c r="BL30" s="26">
        <f t="shared" si="8"/>
        <v>6.2374999999999998</v>
      </c>
    </row>
    <row r="31" spans="1:64" ht="15" thickBot="1" x14ac:dyDescent="0.35">
      <c r="A31" s="1">
        <v>45226</v>
      </c>
      <c r="B31" s="20">
        <v>78</v>
      </c>
      <c r="C31" s="21">
        <v>9</v>
      </c>
      <c r="D31" s="65">
        <f t="shared" si="4"/>
        <v>8.6666666666666661</v>
      </c>
      <c r="E31" s="20">
        <v>16</v>
      </c>
      <c r="F31" s="21">
        <v>2</v>
      </c>
      <c r="G31" s="65">
        <f t="shared" si="9"/>
        <v>8</v>
      </c>
      <c r="H31" s="20">
        <v>0</v>
      </c>
      <c r="I31" s="21">
        <v>0</v>
      </c>
      <c r="J31" s="26">
        <v>0</v>
      </c>
      <c r="K31" s="23">
        <v>28</v>
      </c>
      <c r="L31" s="21">
        <v>5</v>
      </c>
      <c r="M31" s="122">
        <f t="shared" si="5"/>
        <v>5.6</v>
      </c>
      <c r="N31" s="20">
        <v>191</v>
      </c>
      <c r="O31" s="21">
        <v>32</v>
      </c>
      <c r="P31" s="26">
        <f t="shared" si="18"/>
        <v>5.96875</v>
      </c>
      <c r="Q31" s="20">
        <v>0</v>
      </c>
      <c r="R31" s="21">
        <v>0</v>
      </c>
      <c r="S31" s="122" t="str">
        <f t="shared" si="11"/>
        <v/>
      </c>
      <c r="T31" s="20">
        <v>5</v>
      </c>
      <c r="U31" s="21">
        <v>1</v>
      </c>
      <c r="V31" s="122">
        <f t="shared" si="2"/>
        <v>5</v>
      </c>
      <c r="W31" s="23">
        <v>0</v>
      </c>
      <c r="X31" s="21">
        <v>0</v>
      </c>
      <c r="Y31" s="122">
        <v>0</v>
      </c>
      <c r="Z31" s="20">
        <v>0</v>
      </c>
      <c r="AA31" s="21">
        <v>0</v>
      </c>
      <c r="AB31" s="122">
        <v>0</v>
      </c>
      <c r="AC31" s="20">
        <v>0</v>
      </c>
      <c r="AD31" s="21">
        <v>0</v>
      </c>
      <c r="AE31" s="122">
        <v>0</v>
      </c>
      <c r="AF31" s="23">
        <v>5</v>
      </c>
      <c r="AG31" s="21">
        <v>1</v>
      </c>
      <c r="AH31" s="122">
        <f t="shared" si="16"/>
        <v>5</v>
      </c>
      <c r="AI31" s="23">
        <v>27</v>
      </c>
      <c r="AJ31" s="21">
        <v>4</v>
      </c>
      <c r="AK31" s="122">
        <f t="shared" si="19"/>
        <v>6.75</v>
      </c>
      <c r="AL31" s="20">
        <v>0</v>
      </c>
      <c r="AM31" s="21">
        <v>0</v>
      </c>
      <c r="AN31" s="122">
        <v>0</v>
      </c>
      <c r="AO31" s="20">
        <v>0</v>
      </c>
      <c r="AP31" s="21">
        <v>0</v>
      </c>
      <c r="AQ31" s="122">
        <v>0</v>
      </c>
      <c r="AR31" s="23">
        <v>0</v>
      </c>
      <c r="AS31" s="21">
        <v>0</v>
      </c>
      <c r="AT31" s="124">
        <v>0</v>
      </c>
      <c r="AU31" s="20">
        <v>6</v>
      </c>
      <c r="AV31" s="21">
        <v>1</v>
      </c>
      <c r="AW31" s="122">
        <f t="shared" si="22"/>
        <v>6</v>
      </c>
      <c r="AX31" s="20">
        <v>14</v>
      </c>
      <c r="AY31" s="21">
        <v>2</v>
      </c>
      <c r="AZ31" s="122">
        <f t="shared" si="12"/>
        <v>7</v>
      </c>
      <c r="BA31" s="20">
        <v>0</v>
      </c>
      <c r="BB31" s="21">
        <v>0</v>
      </c>
      <c r="BC31" s="122">
        <v>0</v>
      </c>
      <c r="BD31" s="20">
        <v>0</v>
      </c>
      <c r="BE31" s="21">
        <v>0</v>
      </c>
      <c r="BF31" s="122">
        <v>0</v>
      </c>
      <c r="BG31" s="20">
        <v>0</v>
      </c>
      <c r="BH31" s="21">
        <v>0</v>
      </c>
      <c r="BI31" s="122">
        <v>0</v>
      </c>
      <c r="BJ31" s="117">
        <f t="shared" si="6"/>
        <v>370</v>
      </c>
      <c r="BK31" s="120">
        <f t="shared" si="7"/>
        <v>57</v>
      </c>
      <c r="BL31" s="26">
        <f t="shared" si="8"/>
        <v>6.4912280701754383</v>
      </c>
    </row>
    <row r="32" spans="1:64" ht="15" thickBot="1" x14ac:dyDescent="0.35">
      <c r="A32" s="1">
        <v>45227</v>
      </c>
      <c r="B32" s="20">
        <v>49</v>
      </c>
      <c r="C32" s="21">
        <v>6</v>
      </c>
      <c r="D32" s="65">
        <f t="shared" si="4"/>
        <v>8.1666666666666661</v>
      </c>
      <c r="E32" s="20">
        <v>0</v>
      </c>
      <c r="F32" s="21">
        <v>0</v>
      </c>
      <c r="G32" s="65">
        <v>0</v>
      </c>
      <c r="H32" s="20">
        <v>0</v>
      </c>
      <c r="I32" s="21">
        <v>0</v>
      </c>
      <c r="J32" s="26">
        <v>0</v>
      </c>
      <c r="K32" s="23">
        <v>53</v>
      </c>
      <c r="L32" s="21">
        <v>11</v>
      </c>
      <c r="M32" s="122">
        <f t="shared" si="5"/>
        <v>4.8181818181818183</v>
      </c>
      <c r="N32" s="20">
        <v>13</v>
      </c>
      <c r="O32" s="21">
        <v>3</v>
      </c>
      <c r="P32" s="26">
        <f t="shared" si="18"/>
        <v>4.333333333333333</v>
      </c>
      <c r="Q32" s="20">
        <v>0</v>
      </c>
      <c r="R32" s="21">
        <v>0</v>
      </c>
      <c r="S32" s="122" t="str">
        <f t="shared" si="1"/>
        <v/>
      </c>
      <c r="T32" s="20">
        <v>0</v>
      </c>
      <c r="U32" s="21">
        <v>0</v>
      </c>
      <c r="V32" s="122" t="str">
        <f t="shared" si="2"/>
        <v/>
      </c>
      <c r="W32" s="20">
        <v>0</v>
      </c>
      <c r="X32" s="21">
        <v>0</v>
      </c>
      <c r="Y32" s="122">
        <v>0</v>
      </c>
      <c r="Z32" s="20">
        <v>0</v>
      </c>
      <c r="AA32" s="21">
        <v>0</v>
      </c>
      <c r="AB32" s="122">
        <v>0</v>
      </c>
      <c r="AC32" s="20">
        <v>0</v>
      </c>
      <c r="AD32" s="21">
        <v>0</v>
      </c>
      <c r="AE32" s="122">
        <v>0</v>
      </c>
      <c r="AF32" s="20">
        <v>0</v>
      </c>
      <c r="AG32" s="21">
        <v>0</v>
      </c>
      <c r="AH32" s="122">
        <v>0</v>
      </c>
      <c r="AI32" s="23">
        <v>26</v>
      </c>
      <c r="AJ32" s="21">
        <v>4</v>
      </c>
      <c r="AK32" s="122">
        <f t="shared" si="19"/>
        <v>6.5</v>
      </c>
      <c r="AL32" s="20">
        <v>10</v>
      </c>
      <c r="AM32" s="21">
        <v>1</v>
      </c>
      <c r="AN32" s="122">
        <f t="shared" si="26"/>
        <v>10</v>
      </c>
      <c r="AO32" s="20">
        <v>0</v>
      </c>
      <c r="AP32" s="21">
        <v>0</v>
      </c>
      <c r="AQ32" s="122">
        <v>0</v>
      </c>
      <c r="AR32" s="23">
        <v>0</v>
      </c>
      <c r="AS32" s="21">
        <v>0</v>
      </c>
      <c r="AT32" s="124">
        <v>0</v>
      </c>
      <c r="AU32" s="23">
        <v>0</v>
      </c>
      <c r="AV32" s="21">
        <v>0</v>
      </c>
      <c r="AW32" s="124">
        <v>0</v>
      </c>
      <c r="AX32" s="20">
        <v>0</v>
      </c>
      <c r="AY32" s="21">
        <v>0</v>
      </c>
      <c r="AZ32" s="122">
        <v>0</v>
      </c>
      <c r="BA32" s="20">
        <v>0</v>
      </c>
      <c r="BB32" s="21">
        <v>0</v>
      </c>
      <c r="BC32" s="122">
        <v>0</v>
      </c>
      <c r="BD32" s="20">
        <v>0</v>
      </c>
      <c r="BE32" s="21">
        <v>0</v>
      </c>
      <c r="BF32" s="122">
        <v>0</v>
      </c>
      <c r="BG32" s="20">
        <v>0</v>
      </c>
      <c r="BH32" s="21">
        <v>0</v>
      </c>
      <c r="BI32" s="122">
        <v>0</v>
      </c>
      <c r="BJ32" s="117">
        <f t="shared" si="6"/>
        <v>151</v>
      </c>
      <c r="BK32" s="120">
        <f t="shared" si="7"/>
        <v>25</v>
      </c>
      <c r="BL32" s="26">
        <f t="shared" si="8"/>
        <v>6.04</v>
      </c>
    </row>
    <row r="33" spans="1:64" ht="15" thickBot="1" x14ac:dyDescent="0.35">
      <c r="A33" s="1">
        <v>45228</v>
      </c>
      <c r="B33" s="20">
        <v>42</v>
      </c>
      <c r="C33" s="21">
        <v>5</v>
      </c>
      <c r="D33" s="65">
        <f t="shared" si="4"/>
        <v>8.4</v>
      </c>
      <c r="E33" s="20">
        <v>0</v>
      </c>
      <c r="F33" s="21">
        <v>0</v>
      </c>
      <c r="G33" s="65">
        <v>0</v>
      </c>
      <c r="H33" s="20">
        <v>0</v>
      </c>
      <c r="I33" s="21">
        <v>0</v>
      </c>
      <c r="J33" s="26">
        <v>0</v>
      </c>
      <c r="K33" s="23">
        <v>0</v>
      </c>
      <c r="L33" s="21">
        <v>0</v>
      </c>
      <c r="M33" s="122">
        <v>0</v>
      </c>
      <c r="N33" s="20">
        <v>0</v>
      </c>
      <c r="O33" s="21">
        <v>0</v>
      </c>
      <c r="P33" s="26" t="str">
        <f t="shared" si="18"/>
        <v/>
      </c>
      <c r="Q33" s="20">
        <v>0</v>
      </c>
      <c r="R33" s="21">
        <v>0</v>
      </c>
      <c r="S33" s="122" t="str">
        <f t="shared" si="1"/>
        <v/>
      </c>
      <c r="T33" s="20">
        <v>0</v>
      </c>
      <c r="U33" s="21">
        <v>0</v>
      </c>
      <c r="V33" s="122" t="str">
        <f t="shared" si="2"/>
        <v/>
      </c>
      <c r="W33" s="20">
        <v>0</v>
      </c>
      <c r="X33" s="21">
        <v>0</v>
      </c>
      <c r="Y33" s="122">
        <v>0</v>
      </c>
      <c r="Z33" s="20">
        <v>0</v>
      </c>
      <c r="AA33" s="21">
        <v>0</v>
      </c>
      <c r="AB33" s="122">
        <v>0</v>
      </c>
      <c r="AC33" s="20">
        <v>0</v>
      </c>
      <c r="AD33" s="21">
        <v>0</v>
      </c>
      <c r="AE33" s="122">
        <v>0</v>
      </c>
      <c r="AF33" s="20">
        <v>0</v>
      </c>
      <c r="AG33" s="21">
        <v>0</v>
      </c>
      <c r="AH33" s="122">
        <v>0</v>
      </c>
      <c r="AI33" s="23">
        <v>12</v>
      </c>
      <c r="AJ33" s="21">
        <v>2</v>
      </c>
      <c r="AK33" s="122">
        <f t="shared" si="19"/>
        <v>6</v>
      </c>
      <c r="AL33" s="20">
        <v>0</v>
      </c>
      <c r="AM33" s="21">
        <v>0</v>
      </c>
      <c r="AN33" s="122">
        <v>0</v>
      </c>
      <c r="AO33" s="20">
        <v>0</v>
      </c>
      <c r="AP33" s="21">
        <v>0</v>
      </c>
      <c r="AQ33" s="122">
        <v>0</v>
      </c>
      <c r="AR33" s="23">
        <v>6</v>
      </c>
      <c r="AS33" s="21">
        <v>1</v>
      </c>
      <c r="AT33" s="124">
        <f t="shared" si="25"/>
        <v>6</v>
      </c>
      <c r="AU33" s="20">
        <v>0</v>
      </c>
      <c r="AV33" s="21">
        <v>0</v>
      </c>
      <c r="AW33" s="122">
        <v>0</v>
      </c>
      <c r="AX33" s="20">
        <v>5</v>
      </c>
      <c r="AY33" s="21">
        <v>1</v>
      </c>
      <c r="AZ33" s="122">
        <f t="shared" si="12"/>
        <v>5</v>
      </c>
      <c r="BA33" s="20">
        <v>0</v>
      </c>
      <c r="BB33" s="21">
        <v>0</v>
      </c>
      <c r="BC33" s="122">
        <v>0</v>
      </c>
      <c r="BD33" s="20">
        <v>0</v>
      </c>
      <c r="BE33" s="21">
        <v>0</v>
      </c>
      <c r="BF33" s="122">
        <v>0</v>
      </c>
      <c r="BG33" s="20">
        <v>0</v>
      </c>
      <c r="BH33" s="21">
        <v>0</v>
      </c>
      <c r="BI33" s="122">
        <v>0</v>
      </c>
      <c r="BJ33" s="117">
        <f t="shared" si="6"/>
        <v>65</v>
      </c>
      <c r="BK33" s="120">
        <f t="shared" si="7"/>
        <v>9</v>
      </c>
      <c r="BL33" s="26">
        <f t="shared" si="8"/>
        <v>7.2222222222222223</v>
      </c>
    </row>
    <row r="34" spans="1:64" ht="15" thickBot="1" x14ac:dyDescent="0.35">
      <c r="A34" s="1">
        <v>45229</v>
      </c>
      <c r="B34" s="20">
        <v>9</v>
      </c>
      <c r="C34" s="21">
        <v>1</v>
      </c>
      <c r="D34" s="65">
        <f t="shared" si="4"/>
        <v>9</v>
      </c>
      <c r="E34" s="20">
        <v>0</v>
      </c>
      <c r="F34" s="21">
        <v>0</v>
      </c>
      <c r="G34" s="65">
        <v>0</v>
      </c>
      <c r="H34" s="20">
        <v>0</v>
      </c>
      <c r="I34" s="21">
        <v>0</v>
      </c>
      <c r="J34" s="26">
        <v>0</v>
      </c>
      <c r="K34" s="23">
        <v>37</v>
      </c>
      <c r="L34" s="21">
        <v>7</v>
      </c>
      <c r="M34" s="122">
        <f t="shared" si="5"/>
        <v>5.2857142857142856</v>
      </c>
      <c r="N34" s="20">
        <v>1</v>
      </c>
      <c r="O34" s="21">
        <v>1</v>
      </c>
      <c r="P34" s="26">
        <f t="shared" si="18"/>
        <v>1</v>
      </c>
      <c r="Q34" s="20">
        <v>66</v>
      </c>
      <c r="R34" s="21">
        <v>7</v>
      </c>
      <c r="S34" s="122">
        <f t="shared" si="1"/>
        <v>9.4285714285714288</v>
      </c>
      <c r="T34" s="20">
        <v>2</v>
      </c>
      <c r="U34" s="21">
        <v>1</v>
      </c>
      <c r="V34" s="122">
        <f t="shared" si="2"/>
        <v>2</v>
      </c>
      <c r="W34" s="20">
        <v>0</v>
      </c>
      <c r="X34" s="21">
        <v>0</v>
      </c>
      <c r="Y34" s="122">
        <v>0</v>
      </c>
      <c r="Z34" s="20">
        <v>0</v>
      </c>
      <c r="AA34" s="21">
        <v>0</v>
      </c>
      <c r="AB34" s="122">
        <v>0</v>
      </c>
      <c r="AC34" s="20">
        <v>0</v>
      </c>
      <c r="AD34" s="21">
        <v>0</v>
      </c>
      <c r="AE34" s="122">
        <v>0</v>
      </c>
      <c r="AF34" s="20">
        <v>0</v>
      </c>
      <c r="AG34" s="21">
        <v>0</v>
      </c>
      <c r="AH34" s="122">
        <v>0</v>
      </c>
      <c r="AI34" s="23">
        <v>8</v>
      </c>
      <c r="AJ34" s="21">
        <v>1</v>
      </c>
      <c r="AK34" s="122">
        <f t="shared" si="19"/>
        <v>8</v>
      </c>
      <c r="AL34" s="20">
        <v>0</v>
      </c>
      <c r="AM34" s="21">
        <v>0</v>
      </c>
      <c r="AN34" s="122">
        <v>0</v>
      </c>
      <c r="AO34" s="20">
        <v>0</v>
      </c>
      <c r="AP34" s="21">
        <v>0</v>
      </c>
      <c r="AQ34" s="122">
        <v>0</v>
      </c>
      <c r="AR34" s="20">
        <v>0</v>
      </c>
      <c r="AS34" s="21">
        <v>0</v>
      </c>
      <c r="AT34" s="122">
        <v>0</v>
      </c>
      <c r="AU34" s="20">
        <v>14</v>
      </c>
      <c r="AV34" s="21">
        <v>2</v>
      </c>
      <c r="AW34" s="122">
        <f t="shared" si="22"/>
        <v>7</v>
      </c>
      <c r="AX34" s="20">
        <v>0</v>
      </c>
      <c r="AY34" s="21">
        <v>0</v>
      </c>
      <c r="AZ34" s="122">
        <v>0</v>
      </c>
      <c r="BA34" s="20">
        <v>0</v>
      </c>
      <c r="BB34" s="21">
        <v>0</v>
      </c>
      <c r="BC34" s="122">
        <v>0</v>
      </c>
      <c r="BD34" s="20">
        <v>0</v>
      </c>
      <c r="BE34" s="21">
        <v>0</v>
      </c>
      <c r="BF34" s="122">
        <v>0</v>
      </c>
      <c r="BG34" s="20">
        <v>0</v>
      </c>
      <c r="BH34" s="21">
        <v>0</v>
      </c>
      <c r="BI34" s="122">
        <v>0</v>
      </c>
      <c r="BJ34" s="117">
        <f t="shared" si="6"/>
        <v>137</v>
      </c>
      <c r="BK34" s="120">
        <f t="shared" si="7"/>
        <v>20</v>
      </c>
      <c r="BL34" s="26">
        <f t="shared" si="8"/>
        <v>6.85</v>
      </c>
    </row>
    <row r="35" spans="1:64" ht="15" thickBot="1" x14ac:dyDescent="0.35">
      <c r="A35" s="1">
        <v>45230</v>
      </c>
      <c r="B35" s="37">
        <v>34</v>
      </c>
      <c r="C35" s="38">
        <v>4</v>
      </c>
      <c r="D35" s="66">
        <f t="shared" si="4"/>
        <v>8.5</v>
      </c>
      <c r="E35" s="37">
        <v>8</v>
      </c>
      <c r="F35" s="38">
        <v>1</v>
      </c>
      <c r="G35" s="66">
        <f t="shared" si="9"/>
        <v>8</v>
      </c>
      <c r="H35" s="37"/>
      <c r="I35" s="38"/>
      <c r="J35" s="39" t="str">
        <f t="shared" si="10"/>
        <v/>
      </c>
      <c r="K35" s="40">
        <v>32</v>
      </c>
      <c r="L35" s="38">
        <v>8</v>
      </c>
      <c r="M35" s="123">
        <f t="shared" si="5"/>
        <v>4</v>
      </c>
      <c r="N35" s="37">
        <v>0</v>
      </c>
      <c r="O35" s="38">
        <v>0</v>
      </c>
      <c r="P35" s="26" t="str">
        <f t="shared" si="18"/>
        <v/>
      </c>
      <c r="Q35" s="37">
        <v>18</v>
      </c>
      <c r="R35" s="38">
        <v>2</v>
      </c>
      <c r="S35" s="122">
        <f t="shared" si="1"/>
        <v>9</v>
      </c>
      <c r="T35" s="37">
        <v>0</v>
      </c>
      <c r="U35" s="38">
        <v>0</v>
      </c>
      <c r="V35" s="122" t="str">
        <f t="shared" si="2"/>
        <v/>
      </c>
      <c r="W35" s="40">
        <v>0</v>
      </c>
      <c r="X35" s="38">
        <v>0</v>
      </c>
      <c r="Y35" s="123">
        <v>0</v>
      </c>
      <c r="Z35" s="37">
        <v>1</v>
      </c>
      <c r="AA35" s="38">
        <v>1</v>
      </c>
      <c r="AB35" s="123">
        <f t="shared" si="20"/>
        <v>1</v>
      </c>
      <c r="AC35" s="20">
        <v>0</v>
      </c>
      <c r="AD35" s="21">
        <v>0</v>
      </c>
      <c r="AE35" s="122">
        <v>0</v>
      </c>
      <c r="AF35" s="20">
        <v>0</v>
      </c>
      <c r="AG35" s="21">
        <v>0</v>
      </c>
      <c r="AH35" s="122">
        <v>0</v>
      </c>
      <c r="AI35" s="40">
        <v>7</v>
      </c>
      <c r="AJ35" s="38">
        <v>1</v>
      </c>
      <c r="AK35" s="123">
        <f t="shared" si="19"/>
        <v>7</v>
      </c>
      <c r="AL35" s="20">
        <v>0</v>
      </c>
      <c r="AM35" s="21">
        <v>0</v>
      </c>
      <c r="AN35" s="122">
        <v>0</v>
      </c>
      <c r="AO35" s="20">
        <v>0</v>
      </c>
      <c r="AP35" s="21">
        <v>0</v>
      </c>
      <c r="AQ35" s="122">
        <v>0</v>
      </c>
      <c r="AR35" s="20">
        <v>0</v>
      </c>
      <c r="AS35" s="21">
        <v>0</v>
      </c>
      <c r="AT35" s="122">
        <v>0</v>
      </c>
      <c r="AU35" s="20">
        <v>0</v>
      </c>
      <c r="AV35" s="21">
        <v>0</v>
      </c>
      <c r="AW35" s="122">
        <v>0</v>
      </c>
      <c r="AX35" s="37">
        <v>0</v>
      </c>
      <c r="AY35" s="38">
        <v>0</v>
      </c>
      <c r="AZ35" s="123">
        <v>0</v>
      </c>
      <c r="BA35" s="20">
        <v>0</v>
      </c>
      <c r="BB35" s="21">
        <v>0</v>
      </c>
      <c r="BC35" s="122">
        <v>0</v>
      </c>
      <c r="BD35" s="20">
        <v>0</v>
      </c>
      <c r="BE35" s="21">
        <v>0</v>
      </c>
      <c r="BF35" s="122">
        <v>0</v>
      </c>
      <c r="BG35" s="20">
        <v>0</v>
      </c>
      <c r="BH35" s="21">
        <v>0</v>
      </c>
      <c r="BI35" s="122">
        <v>0</v>
      </c>
      <c r="BJ35" s="117">
        <f t="shared" si="6"/>
        <v>100</v>
      </c>
      <c r="BK35" s="120">
        <f t="shared" si="7"/>
        <v>17</v>
      </c>
      <c r="BL35" s="39">
        <f t="shared" si="8"/>
        <v>5.882352941176471</v>
      </c>
    </row>
    <row r="36" spans="1:64" s="41" customFormat="1" ht="15" thickBot="1" x14ac:dyDescent="0.35">
      <c r="A36" s="42" t="s">
        <v>33</v>
      </c>
      <c r="B36" s="43">
        <f>SUM(B5:B35)</f>
        <v>1556</v>
      </c>
      <c r="C36" s="43">
        <f>SUM(C5:C35)</f>
        <v>185</v>
      </c>
      <c r="D36" s="44">
        <f>B36/C36</f>
        <v>8.4108108108108102</v>
      </c>
      <c r="E36" s="43">
        <f>SUM(E5:E35)</f>
        <v>149</v>
      </c>
      <c r="F36" s="43">
        <f>SUM(F5:F35)</f>
        <v>22</v>
      </c>
      <c r="G36" s="44">
        <f>E36/F36</f>
        <v>6.7727272727272725</v>
      </c>
      <c r="H36" s="43">
        <f>SUM(H5:H35)</f>
        <v>135</v>
      </c>
      <c r="I36" s="43">
        <f>SUM(I5:I35)</f>
        <v>18</v>
      </c>
      <c r="J36" s="44">
        <f>H36/I36</f>
        <v>7.5</v>
      </c>
      <c r="K36" s="43">
        <f>SUM(K5:K35)</f>
        <v>840</v>
      </c>
      <c r="L36" s="43">
        <f>SUM(L5:L35)</f>
        <v>153</v>
      </c>
      <c r="M36" s="44">
        <f>K36/L36</f>
        <v>5.4901960784313726</v>
      </c>
      <c r="N36" s="43">
        <f>SUM(N5:N35)</f>
        <v>2685</v>
      </c>
      <c r="O36" s="43">
        <f>SUM(O5:O35)</f>
        <v>465</v>
      </c>
      <c r="P36" s="44">
        <f>N36/O36</f>
        <v>5.774193548387097</v>
      </c>
      <c r="Q36" s="43">
        <f>SUM(Q5:Q35)</f>
        <v>300</v>
      </c>
      <c r="R36" s="43">
        <f>SUM(R5:R35)</f>
        <v>38</v>
      </c>
      <c r="S36" s="44">
        <f>Q36/R36</f>
        <v>7.8947368421052628</v>
      </c>
      <c r="T36" s="43">
        <f>SUM(T5:T35)</f>
        <v>72</v>
      </c>
      <c r="U36" s="43">
        <f>SUM(U5:U35)</f>
        <v>18</v>
      </c>
      <c r="V36" s="44">
        <f>T36/U36</f>
        <v>4</v>
      </c>
      <c r="W36" s="43">
        <f>SUM(W5:W35)</f>
        <v>0</v>
      </c>
      <c r="X36" s="43">
        <f>SUM(X5:X35)</f>
        <v>0</v>
      </c>
      <c r="Y36" s="44" t="e">
        <f>W36/X36</f>
        <v>#DIV/0!</v>
      </c>
      <c r="Z36" s="43">
        <f>SUM(Z5:Z35)</f>
        <v>6</v>
      </c>
      <c r="AA36" s="43">
        <f>SUM(AA5:AA35)</f>
        <v>5</v>
      </c>
      <c r="AB36" s="44">
        <f>Z36/AA36</f>
        <v>1.2</v>
      </c>
      <c r="AC36" s="43">
        <f>SUM(AC5:AC35)</f>
        <v>8</v>
      </c>
      <c r="AD36" s="43">
        <f>SUM(AD5:AD35)</f>
        <v>2</v>
      </c>
      <c r="AE36" s="44">
        <f>AC36/AD36</f>
        <v>4</v>
      </c>
      <c r="AF36" s="43">
        <f>SUM(AF5:AF35)</f>
        <v>39</v>
      </c>
      <c r="AG36" s="43">
        <f>SUM(AG5:AG35)</f>
        <v>13</v>
      </c>
      <c r="AH36" s="44">
        <f>AF36/AG36</f>
        <v>3</v>
      </c>
      <c r="AI36" s="43">
        <f>SUM(AI5:AI35)</f>
        <v>626</v>
      </c>
      <c r="AJ36" s="43">
        <f>SUM(AJ5:AJ35)</f>
        <v>84</v>
      </c>
      <c r="AK36" s="44">
        <f>AI36/AJ36</f>
        <v>7.4523809523809526</v>
      </c>
      <c r="AL36" s="43">
        <f>SUM(AL5:AL35)</f>
        <v>21</v>
      </c>
      <c r="AM36" s="43">
        <f>SUM(AM5:AM35)</f>
        <v>3</v>
      </c>
      <c r="AN36" s="44">
        <f>AL36/AM36</f>
        <v>7</v>
      </c>
      <c r="AO36" s="43">
        <f>SUM(AO5:AO35)</f>
        <v>19</v>
      </c>
      <c r="AP36" s="43">
        <f>SUM(AP5:AP35)</f>
        <v>3</v>
      </c>
      <c r="AQ36" s="44">
        <f>AO36/AP36</f>
        <v>6.333333333333333</v>
      </c>
      <c r="AR36" s="43">
        <f>SUM(AR5:AR35)</f>
        <v>57</v>
      </c>
      <c r="AS36" s="43">
        <f>SUM(AS5:AS35)</f>
        <v>9</v>
      </c>
      <c r="AT36" s="44">
        <f>AR36/AS36</f>
        <v>6.333333333333333</v>
      </c>
      <c r="AU36" s="43">
        <f>SUM(AU5:AU35)</f>
        <v>33</v>
      </c>
      <c r="AV36" s="43">
        <f>SUM(AV5:AV35)</f>
        <v>6</v>
      </c>
      <c r="AW36" s="44">
        <f>AU36/AV36</f>
        <v>5.5</v>
      </c>
      <c r="AX36" s="43">
        <f>SUM(AX5:AX35)</f>
        <v>134</v>
      </c>
      <c r="AY36" s="43">
        <f>SUM(AY5:AY35)</f>
        <v>21</v>
      </c>
      <c r="AZ36" s="44">
        <f>AX36/AY36</f>
        <v>6.3809523809523814</v>
      </c>
      <c r="BA36" s="43">
        <f>SUM(BA5:BA35)</f>
        <v>0</v>
      </c>
      <c r="BB36" s="43">
        <f>SUM(BB5:BB35)</f>
        <v>0</v>
      </c>
      <c r="BC36" s="44" t="e">
        <f>BA36/BB36</f>
        <v>#DIV/0!</v>
      </c>
      <c r="BD36" s="43">
        <f>SUM(BD5:BD35)</f>
        <v>0</v>
      </c>
      <c r="BE36" s="43">
        <f>SUM(BE5:BE35)</f>
        <v>0</v>
      </c>
      <c r="BF36" s="44" t="e">
        <f>BD36/BE36</f>
        <v>#DIV/0!</v>
      </c>
      <c r="BG36" s="43">
        <f>SUM(BG5:BG35)</f>
        <v>3</v>
      </c>
      <c r="BH36" s="43">
        <f>SUM(BH5:BH35)</f>
        <v>2</v>
      </c>
      <c r="BI36" s="44">
        <f>BG36/BH36</f>
        <v>1.5</v>
      </c>
      <c r="BJ36" s="118">
        <f>SUM(BJ5:BJ35)</f>
        <v>6683</v>
      </c>
      <c r="BK36" s="118">
        <f>SUM(BK5:BK35)</f>
        <v>1047</v>
      </c>
      <c r="BL36" s="45">
        <f t="shared" ref="BL36" si="29">IF(BK36=0,"",BJ36/BK36)</f>
        <v>6.3829990448901626</v>
      </c>
    </row>
    <row r="37" spans="1:64" x14ac:dyDescent="0.3">
      <c r="A37" s="1"/>
      <c r="E37"/>
      <c r="F37"/>
      <c r="H37"/>
      <c r="I37"/>
      <c r="K37"/>
      <c r="L37"/>
      <c r="N37"/>
      <c r="O37"/>
      <c r="Q37"/>
      <c r="R37"/>
    </row>
    <row r="38" spans="1:64" x14ac:dyDescent="0.3">
      <c r="A38" s="1"/>
      <c r="E38"/>
      <c r="F38"/>
      <c r="H38"/>
      <c r="I38"/>
      <c r="K38"/>
      <c r="L38"/>
      <c r="N38"/>
      <c r="O38"/>
      <c r="Q38"/>
      <c r="R38"/>
    </row>
    <row r="39" spans="1:64" x14ac:dyDescent="0.3">
      <c r="A39" s="1"/>
    </row>
    <row r="40" spans="1:64" x14ac:dyDescent="0.3">
      <c r="A40" s="1"/>
    </row>
    <row r="41" spans="1:64" x14ac:dyDescent="0.3">
      <c r="A41" s="1"/>
    </row>
    <row r="42" spans="1:64" x14ac:dyDescent="0.3">
      <c r="A42" s="1"/>
    </row>
    <row r="43" spans="1:64" x14ac:dyDescent="0.3">
      <c r="A43" s="1"/>
    </row>
    <row r="44" spans="1:64" x14ac:dyDescent="0.3">
      <c r="A44" s="1"/>
    </row>
    <row r="45" spans="1:64" x14ac:dyDescent="0.3">
      <c r="A45" s="1"/>
    </row>
    <row r="46" spans="1:64" x14ac:dyDescent="0.3">
      <c r="A46" s="1"/>
    </row>
    <row r="47" spans="1:64" x14ac:dyDescent="0.3">
      <c r="A47" s="1"/>
    </row>
    <row r="48" spans="1:64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9FAB-3780-41B1-82D0-3769D91CD623}">
  <sheetPr codeName="Sheet2"/>
  <dimension ref="A1:BO125"/>
  <sheetViews>
    <sheetView topLeftCell="AW24" workbookViewId="0">
      <selection activeCell="BL33" sqref="BL33"/>
    </sheetView>
  </sheetViews>
  <sheetFormatPr defaultRowHeight="14.4" x14ac:dyDescent="0.3"/>
  <cols>
    <col min="1" max="1" width="29.6640625" customWidth="1"/>
    <col min="2" max="3" width="8.88671875" customWidth="1"/>
    <col min="4" max="9" width="8.88671875" style="2" customWidth="1"/>
    <col min="10" max="10" width="10" style="2" customWidth="1"/>
    <col min="11" max="18" width="8.88671875" style="2" customWidth="1"/>
    <col min="19" max="19" width="9.6640625" style="2" customWidth="1"/>
    <col min="20" max="21" width="8.88671875" style="2" customWidth="1"/>
    <col min="22" max="22" width="9.6640625" style="2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8.88671875" style="2" customWidth="1"/>
    <col min="32" max="33" width="8.88671875" customWidth="1"/>
    <col min="34" max="34" width="7.33203125" style="2" customWidth="1"/>
    <col min="35" max="35" width="7.33203125" customWidth="1"/>
    <col min="36" max="36" width="9.6640625" customWidth="1"/>
    <col min="37" max="37" width="10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51" width="8.88671875" customWidth="1"/>
    <col min="52" max="52" width="8.88671875" style="2" customWidth="1"/>
    <col min="55" max="55" width="8.88671875" style="2"/>
    <col min="58" max="58" width="8.88671875" style="2"/>
    <col min="61" max="61" width="9.33203125" style="2" customWidth="1"/>
    <col min="64" max="64" width="8.88671875" style="2"/>
    <col min="65" max="65" width="9.109375" style="79" bestFit="1" customWidth="1"/>
    <col min="66" max="66" width="8.88671875" style="79"/>
    <col min="67" max="67" width="8.88671875" style="2"/>
  </cols>
  <sheetData>
    <row r="1" spans="1:67" ht="18.600000000000001" thickBot="1" x14ac:dyDescent="0.4">
      <c r="A1" s="67" t="s">
        <v>34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8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113"/>
      <c r="BN1" s="113"/>
      <c r="BO1" s="69"/>
    </row>
    <row r="2" spans="1:67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73" t="s">
        <v>2</v>
      </c>
      <c r="P2" s="73"/>
      <c r="Q2" s="77"/>
      <c r="R2" s="73" t="s">
        <v>2</v>
      </c>
      <c r="S2" s="74"/>
      <c r="T2" s="77"/>
      <c r="U2" s="73" t="s">
        <v>2</v>
      </c>
      <c r="V2" s="74"/>
      <c r="W2" s="71"/>
      <c r="X2" s="72" t="s">
        <v>3</v>
      </c>
      <c r="Y2" s="73"/>
      <c r="Z2" s="71"/>
      <c r="AA2" s="72" t="s">
        <v>3</v>
      </c>
      <c r="AB2" s="74"/>
      <c r="AC2" s="72"/>
      <c r="AD2" s="72" t="s">
        <v>4</v>
      </c>
      <c r="AE2" s="73"/>
      <c r="AF2" s="71"/>
      <c r="AG2" s="72" t="s">
        <v>4</v>
      </c>
      <c r="AH2" s="74"/>
      <c r="AI2" s="72"/>
      <c r="AJ2" s="72" t="s">
        <v>4</v>
      </c>
      <c r="AK2" s="74"/>
      <c r="AL2" s="108"/>
      <c r="AM2" s="109" t="s">
        <v>5</v>
      </c>
      <c r="AN2" s="110"/>
      <c r="AO2" s="108"/>
      <c r="AP2" s="109" t="s">
        <v>5</v>
      </c>
      <c r="AQ2" s="111"/>
      <c r="AR2" s="109"/>
      <c r="AS2" s="109" t="s">
        <v>5</v>
      </c>
      <c r="AT2" s="110"/>
      <c r="AU2" s="108"/>
      <c r="AV2" s="109" t="s">
        <v>5</v>
      </c>
      <c r="AW2" s="112"/>
      <c r="AX2" s="109"/>
      <c r="AY2" s="109" t="s">
        <v>5</v>
      </c>
      <c r="AZ2" s="111"/>
      <c r="BA2" s="71"/>
      <c r="BB2" s="72" t="s">
        <v>6</v>
      </c>
      <c r="BC2" s="74"/>
      <c r="BD2" s="75"/>
      <c r="BE2" s="75" t="s">
        <v>6</v>
      </c>
      <c r="BF2" s="76"/>
      <c r="BG2" s="71"/>
      <c r="BH2" s="72" t="s">
        <v>6</v>
      </c>
      <c r="BI2" s="74"/>
      <c r="BJ2" s="75"/>
      <c r="BK2" s="75" t="s">
        <v>6</v>
      </c>
      <c r="BL2" s="76"/>
      <c r="BM2" s="114" t="s">
        <v>7</v>
      </c>
      <c r="BN2" s="119"/>
      <c r="BO2" s="74"/>
    </row>
    <row r="3" spans="1:67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13</v>
      </c>
      <c r="L3" s="4"/>
      <c r="M3" s="33"/>
      <c r="N3" s="4" t="s">
        <v>11</v>
      </c>
      <c r="O3" s="4"/>
      <c r="P3" s="35"/>
      <c r="Q3" s="3" t="s">
        <v>12</v>
      </c>
      <c r="R3" s="4"/>
      <c r="S3" s="33"/>
      <c r="T3" s="3" t="s">
        <v>35</v>
      </c>
      <c r="U3" s="4"/>
      <c r="V3" s="33"/>
      <c r="W3" s="47" t="s">
        <v>14</v>
      </c>
      <c r="X3" s="47"/>
      <c r="Y3" s="49"/>
      <c r="Z3" s="46" t="s">
        <v>15</v>
      </c>
      <c r="AA3" s="47"/>
      <c r="AB3" s="48"/>
      <c r="AC3" s="47" t="s">
        <v>16</v>
      </c>
      <c r="AD3" s="47"/>
      <c r="AE3" s="49"/>
      <c r="AF3" s="46" t="s">
        <v>17</v>
      </c>
      <c r="AG3" s="47"/>
      <c r="AH3" s="48"/>
      <c r="AI3" s="47" t="s">
        <v>18</v>
      </c>
      <c r="AJ3" s="47"/>
      <c r="AK3" s="49"/>
      <c r="AL3" s="9" t="s">
        <v>36</v>
      </c>
      <c r="AM3" s="7"/>
      <c r="AN3" s="29"/>
      <c r="AO3" s="9" t="s">
        <v>37</v>
      </c>
      <c r="AP3" s="7"/>
      <c r="AQ3" s="31"/>
      <c r="AR3" s="7" t="s">
        <v>38</v>
      </c>
      <c r="AS3" s="7"/>
      <c r="AT3" s="29"/>
      <c r="AU3" s="9" t="s">
        <v>39</v>
      </c>
      <c r="AV3" s="7"/>
      <c r="AW3" s="8"/>
      <c r="AX3" s="7" t="s">
        <v>40</v>
      </c>
      <c r="AY3" s="7"/>
      <c r="AZ3" s="31"/>
      <c r="BA3" s="13" t="s">
        <v>24</v>
      </c>
      <c r="BB3" s="14"/>
      <c r="BC3" s="27"/>
      <c r="BD3" s="14" t="s">
        <v>25</v>
      </c>
      <c r="BE3" s="14"/>
      <c r="BF3" s="55"/>
      <c r="BG3" s="13" t="s">
        <v>26</v>
      </c>
      <c r="BH3" s="14"/>
      <c r="BI3" s="27"/>
      <c r="BJ3" s="14" t="s">
        <v>27</v>
      </c>
      <c r="BK3" s="14"/>
      <c r="BL3" s="55"/>
      <c r="BM3" s="115" t="s">
        <v>28</v>
      </c>
      <c r="BN3" s="115"/>
      <c r="BO3" s="24"/>
    </row>
    <row r="4" spans="1:67" ht="43.8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36" t="s">
        <v>31</v>
      </c>
      <c r="Q4" s="5" t="s">
        <v>7</v>
      </c>
      <c r="R4" s="6" t="s">
        <v>30</v>
      </c>
      <c r="S4" s="34" t="s">
        <v>31</v>
      </c>
      <c r="T4" s="5" t="s">
        <v>7</v>
      </c>
      <c r="U4" s="6" t="s">
        <v>30</v>
      </c>
      <c r="V4" s="34" t="s">
        <v>31</v>
      </c>
      <c r="W4" s="51" t="s">
        <v>7</v>
      </c>
      <c r="X4" s="51" t="s">
        <v>30</v>
      </c>
      <c r="Y4" s="53" t="s">
        <v>31</v>
      </c>
      <c r="Z4" s="50" t="s">
        <v>7</v>
      </c>
      <c r="AA4" s="51" t="s">
        <v>30</v>
      </c>
      <c r="AB4" s="52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12" t="s">
        <v>7</v>
      </c>
      <c r="AM4" s="10" t="s">
        <v>30</v>
      </c>
      <c r="AN4" s="30" t="s">
        <v>31</v>
      </c>
      <c r="AO4" s="12" t="s">
        <v>7</v>
      </c>
      <c r="AP4" s="10" t="s">
        <v>30</v>
      </c>
      <c r="AQ4" s="32" t="s">
        <v>31</v>
      </c>
      <c r="AR4" s="10" t="s">
        <v>7</v>
      </c>
      <c r="AS4" s="10" t="s">
        <v>30</v>
      </c>
      <c r="AT4" s="30" t="s">
        <v>31</v>
      </c>
      <c r="AU4" s="12" t="s">
        <v>7</v>
      </c>
      <c r="AV4" s="10" t="s">
        <v>30</v>
      </c>
      <c r="AW4" s="11" t="s">
        <v>31</v>
      </c>
      <c r="AX4" s="10" t="s">
        <v>7</v>
      </c>
      <c r="AY4" s="10" t="s">
        <v>30</v>
      </c>
      <c r="AZ4" s="32" t="s">
        <v>31</v>
      </c>
      <c r="BA4" s="15" t="s">
        <v>7</v>
      </c>
      <c r="BB4" s="16" t="s">
        <v>30</v>
      </c>
      <c r="BC4" s="28" t="s">
        <v>31</v>
      </c>
      <c r="BD4" s="16" t="s">
        <v>7</v>
      </c>
      <c r="BE4" s="16" t="s">
        <v>30</v>
      </c>
      <c r="BF4" s="57" t="s">
        <v>31</v>
      </c>
      <c r="BG4" s="15" t="s">
        <v>7</v>
      </c>
      <c r="BH4" s="16" t="s">
        <v>30</v>
      </c>
      <c r="BI4" s="28" t="s">
        <v>31</v>
      </c>
      <c r="BJ4" s="16" t="s">
        <v>7</v>
      </c>
      <c r="BK4" s="16" t="s">
        <v>30</v>
      </c>
      <c r="BL4" s="57" t="s">
        <v>31</v>
      </c>
      <c r="BM4" s="116" t="s">
        <v>7</v>
      </c>
      <c r="BN4" s="116" t="s">
        <v>30</v>
      </c>
      <c r="BO4" s="146" t="s">
        <v>31</v>
      </c>
    </row>
    <row r="5" spans="1:67" ht="15" thickBot="1" x14ac:dyDescent="0.35">
      <c r="A5" s="1">
        <v>45231</v>
      </c>
      <c r="B5" s="17">
        <v>68</v>
      </c>
      <c r="C5" s="18">
        <v>9</v>
      </c>
      <c r="D5" s="122">
        <f t="shared" ref="D5:D34" si="0">IF(C5=0,"",B5/C5)</f>
        <v>7.5555555555555554</v>
      </c>
      <c r="E5" s="17">
        <v>0</v>
      </c>
      <c r="F5" s="18">
        <v>0</v>
      </c>
      <c r="G5" s="139" t="str">
        <f>IF(F5=0,"-",E5/F5)</f>
        <v>-</v>
      </c>
      <c r="H5" s="17">
        <v>0</v>
      </c>
      <c r="I5" s="18">
        <v>0</v>
      </c>
      <c r="J5" s="139" t="str">
        <f t="shared" ref="J5:J6" si="1">IF(I5=0,"-",H5/I5)</f>
        <v>-</v>
      </c>
      <c r="K5" s="20">
        <v>0</v>
      </c>
      <c r="L5" s="21">
        <v>0</v>
      </c>
      <c r="M5" s="139" t="str">
        <f t="shared" ref="M5:M10" si="2">IF(L5=0,"-",K5/L5)</f>
        <v>-</v>
      </c>
      <c r="N5" s="22">
        <v>38</v>
      </c>
      <c r="O5" s="18">
        <v>7</v>
      </c>
      <c r="P5" s="122">
        <f t="shared" ref="P5:P34" si="3">IF(O5=0,"",N5/O5)</f>
        <v>5.4285714285714288</v>
      </c>
      <c r="Q5" s="125">
        <v>214</v>
      </c>
      <c r="R5" s="126">
        <v>52</v>
      </c>
      <c r="S5" s="122">
        <f t="shared" ref="S5:S21" si="4">IF(R5=0,"",Q5/R5)</f>
        <v>4.115384615384615</v>
      </c>
      <c r="T5" s="125">
        <v>0</v>
      </c>
      <c r="U5" s="126">
        <v>0</v>
      </c>
      <c r="V5" s="139" t="str">
        <f t="shared" ref="V5:V20" si="5">IF(U5=0,"-",T5/U5)</f>
        <v>-</v>
      </c>
      <c r="W5" s="17">
        <v>1</v>
      </c>
      <c r="X5" s="18">
        <v>1</v>
      </c>
      <c r="Y5" s="122">
        <f t="shared" ref="Y5:Y34" si="6">IF(X5=0,"",W5/X5)</f>
        <v>1</v>
      </c>
      <c r="Z5" s="22">
        <v>0</v>
      </c>
      <c r="AA5" s="18">
        <v>0</v>
      </c>
      <c r="AB5" s="139" t="str">
        <f t="shared" ref="AB5:AB11" si="7">IF(AA5=0,"-",Z5/AA5)</f>
        <v>-</v>
      </c>
      <c r="AC5" s="17">
        <v>0</v>
      </c>
      <c r="AD5" s="18">
        <v>0</v>
      </c>
      <c r="AE5" s="139" t="str">
        <f>IF(AD5=0,"-",AC5/AD5)</f>
        <v>-</v>
      </c>
      <c r="AF5" s="17">
        <v>0</v>
      </c>
      <c r="AG5" s="18">
        <v>0</v>
      </c>
      <c r="AH5" s="139" t="str">
        <f t="shared" ref="AH5:AH31" si="8">IF(AG5=0,"-",AF5/AG5)</f>
        <v>-</v>
      </c>
      <c r="AI5" s="22">
        <v>1</v>
      </c>
      <c r="AJ5" s="18">
        <v>1</v>
      </c>
      <c r="AK5" s="122">
        <f t="shared" ref="AK5:AK34" si="9">IF(AJ5=0,"",AI5/AJ5)</f>
        <v>1</v>
      </c>
      <c r="AL5" s="22">
        <v>47</v>
      </c>
      <c r="AM5" s="18">
        <v>7</v>
      </c>
      <c r="AN5" s="122">
        <f t="shared" ref="AN5:AN34" si="10">IF(AM5=0,"",AL5/AM5)</f>
        <v>6.7142857142857144</v>
      </c>
      <c r="AO5" s="17">
        <v>0</v>
      </c>
      <c r="AP5" s="18">
        <v>0</v>
      </c>
      <c r="AQ5" s="139" t="str">
        <f t="shared" ref="AQ5:AQ20" si="11">IF(AP5=0,"-",AO5/AP5)</f>
        <v>-</v>
      </c>
      <c r="AR5" s="17">
        <v>0</v>
      </c>
      <c r="AS5" s="18">
        <v>0</v>
      </c>
      <c r="AT5" s="139" t="str">
        <f t="shared" ref="AT5:AT13" si="12">IF(AS5=0,"-",AR5/AS5)</f>
        <v>-</v>
      </c>
      <c r="AU5" s="127">
        <v>6</v>
      </c>
      <c r="AV5" s="128">
        <v>1</v>
      </c>
      <c r="AW5" s="122">
        <f t="shared" ref="AW5:AW34" si="13">IF(AV5=0,"",AU5/AV5)</f>
        <v>6</v>
      </c>
      <c r="AX5" s="17">
        <v>0</v>
      </c>
      <c r="AY5" s="18">
        <v>0</v>
      </c>
      <c r="AZ5" s="139" t="str">
        <f t="shared" ref="AZ5:AZ17" si="14">IF(AY5=0,"-",AX5/AY5)</f>
        <v>-</v>
      </c>
      <c r="BA5" s="17">
        <v>0</v>
      </c>
      <c r="BB5" s="18">
        <v>0</v>
      </c>
      <c r="BC5" s="139" t="str">
        <f t="shared" ref="BC5:BC7" si="15">IF(BB5=0,"-",BA5/BB5)</f>
        <v>-</v>
      </c>
      <c r="BD5" s="22">
        <v>0</v>
      </c>
      <c r="BE5" s="18">
        <v>0</v>
      </c>
      <c r="BF5" s="139" t="str">
        <f t="shared" ref="BF5:BF17" si="16">IF(BE5=0,"-",BD5/BE5)</f>
        <v>-</v>
      </c>
      <c r="BG5" s="17">
        <v>0</v>
      </c>
      <c r="BH5" s="18">
        <v>0</v>
      </c>
      <c r="BI5" s="139" t="str">
        <f t="shared" ref="BI5:BI20" si="17">IF(BH5=0,"-",BG5/BH5)</f>
        <v>-</v>
      </c>
      <c r="BJ5" s="17">
        <v>0</v>
      </c>
      <c r="BK5" s="18">
        <v>0</v>
      </c>
      <c r="BL5" s="122" t="str">
        <f t="shared" ref="BL5:BL33" si="18">IF(BK5=0,"",BJ5/BK5)</f>
        <v/>
      </c>
      <c r="BM5" s="117">
        <f>BJ5+BG5+BD5+BA5+AX5+AU5+AR5+AO5+AL5+K5+Q5+N5+H5+E5+AI5+AF5+AC5+Z5+W5+B5</f>
        <v>375</v>
      </c>
      <c r="BN5" s="120">
        <f>BK5+BH5+BE5+BB5+AY5+AV5+AS5+AP5+AM5+L5+R5+O5+I5+F5+AJ5+AG5+AD5+AA5+X5+C5</f>
        <v>78</v>
      </c>
      <c r="BO5" s="147">
        <f>IF(BN5=0,"",BM5/BN5)</f>
        <v>4.8076923076923075</v>
      </c>
    </row>
    <row r="6" spans="1:67" ht="15" thickBot="1" x14ac:dyDescent="0.35">
      <c r="A6" s="1">
        <v>45232</v>
      </c>
      <c r="B6" s="20">
        <v>39</v>
      </c>
      <c r="C6" s="21">
        <v>6</v>
      </c>
      <c r="D6" s="122">
        <f t="shared" si="0"/>
        <v>6.5</v>
      </c>
      <c r="E6" s="20">
        <v>14</v>
      </c>
      <c r="F6" s="21">
        <v>2</v>
      </c>
      <c r="G6" s="122">
        <f t="shared" ref="G6:G32" si="19">IF(F6=0,"",E6/F6)</f>
        <v>7</v>
      </c>
      <c r="H6" s="20">
        <v>0</v>
      </c>
      <c r="I6" s="21">
        <v>0</v>
      </c>
      <c r="J6" s="139" t="str">
        <f t="shared" si="1"/>
        <v>-</v>
      </c>
      <c r="K6" s="20">
        <v>0</v>
      </c>
      <c r="L6" s="21">
        <v>0</v>
      </c>
      <c r="M6" s="139" t="str">
        <f t="shared" si="2"/>
        <v>-</v>
      </c>
      <c r="N6" s="23">
        <v>20</v>
      </c>
      <c r="O6" s="21">
        <v>5</v>
      </c>
      <c r="P6" s="122">
        <f t="shared" si="3"/>
        <v>4</v>
      </c>
      <c r="Q6" s="20">
        <v>149</v>
      </c>
      <c r="R6" s="21">
        <v>35</v>
      </c>
      <c r="S6" s="122">
        <f t="shared" si="4"/>
        <v>4.2571428571428571</v>
      </c>
      <c r="T6" s="125">
        <v>0</v>
      </c>
      <c r="U6" s="126">
        <v>0</v>
      </c>
      <c r="V6" s="139" t="str">
        <f t="shared" si="5"/>
        <v>-</v>
      </c>
      <c r="W6" s="20">
        <v>6</v>
      </c>
      <c r="X6" s="21">
        <v>1</v>
      </c>
      <c r="Y6" s="122">
        <f t="shared" si="6"/>
        <v>6</v>
      </c>
      <c r="Z6" s="23">
        <v>0</v>
      </c>
      <c r="AA6" s="21">
        <v>0</v>
      </c>
      <c r="AB6" s="139" t="str">
        <f t="shared" si="7"/>
        <v>-</v>
      </c>
      <c r="AC6" s="20">
        <v>5</v>
      </c>
      <c r="AD6" s="21">
        <v>1</v>
      </c>
      <c r="AE6" s="139">
        <f t="shared" ref="AE6:AE31" si="20">IF(AD6=0,"-",AC6/AD6)</f>
        <v>5</v>
      </c>
      <c r="AF6" s="20">
        <v>0</v>
      </c>
      <c r="AG6" s="21">
        <v>0</v>
      </c>
      <c r="AH6" s="139" t="str">
        <f t="shared" si="8"/>
        <v>-</v>
      </c>
      <c r="AI6" s="23">
        <v>2</v>
      </c>
      <c r="AJ6" s="21">
        <v>2</v>
      </c>
      <c r="AK6" s="122">
        <f t="shared" si="9"/>
        <v>1</v>
      </c>
      <c r="AL6" s="23">
        <v>20</v>
      </c>
      <c r="AM6" s="21">
        <v>3</v>
      </c>
      <c r="AN6" s="122">
        <f t="shared" si="10"/>
        <v>6.666666666666667</v>
      </c>
      <c r="AO6" s="20">
        <v>0</v>
      </c>
      <c r="AP6" s="21">
        <v>0</v>
      </c>
      <c r="AQ6" s="139" t="str">
        <f t="shared" si="11"/>
        <v>-</v>
      </c>
      <c r="AR6" s="20">
        <v>0</v>
      </c>
      <c r="AS6" s="20">
        <v>0</v>
      </c>
      <c r="AT6" s="139" t="str">
        <f t="shared" si="12"/>
        <v>-</v>
      </c>
      <c r="AU6" s="20">
        <v>0</v>
      </c>
      <c r="AV6" s="20">
        <v>0</v>
      </c>
      <c r="AW6" s="139" t="str">
        <f t="shared" ref="AW6:AW8" si="21">IF(AV6=0,"-",AU6/AV6)</f>
        <v>-</v>
      </c>
      <c r="AX6" s="20">
        <v>0</v>
      </c>
      <c r="AY6" s="21">
        <v>0</v>
      </c>
      <c r="AZ6" s="139" t="str">
        <f t="shared" si="14"/>
        <v>-</v>
      </c>
      <c r="BA6" s="20">
        <v>0</v>
      </c>
      <c r="BB6" s="21">
        <v>0</v>
      </c>
      <c r="BC6" s="139" t="str">
        <f t="shared" si="15"/>
        <v>-</v>
      </c>
      <c r="BD6" s="20">
        <v>0</v>
      </c>
      <c r="BE6" s="21">
        <v>0</v>
      </c>
      <c r="BF6" s="139" t="str">
        <f>IF(BE6=0,"-",BD6/BE6)</f>
        <v>-</v>
      </c>
      <c r="BG6" s="20">
        <v>0</v>
      </c>
      <c r="BH6" s="21">
        <v>0</v>
      </c>
      <c r="BI6" s="139" t="str">
        <f t="shared" si="17"/>
        <v>-</v>
      </c>
      <c r="BJ6" s="20">
        <v>0</v>
      </c>
      <c r="BK6" s="21">
        <v>0</v>
      </c>
      <c r="BL6" s="139" t="str">
        <f t="shared" ref="BL6:BL17" si="22">IF(BK6=0,"-",BJ6/BK6)</f>
        <v>-</v>
      </c>
      <c r="BM6" s="117">
        <f t="shared" ref="BM6:BM34" si="23">BJ6+BG6+BD6+BA6+AX6+AU6+AR6+AO6+AL6+K6+Q6+N6+H6+E6+AI6+AF6+AC6+Z6+W6+B6</f>
        <v>255</v>
      </c>
      <c r="BN6" s="120">
        <f t="shared" ref="BN6:BN35" si="24">BK6+BH6+BE6+BB6+AY6+AV6+AS6+AP6+AM6+L6+R6+O6+I6+F6+AJ6+AG6+AD6+AA6+X6+C6</f>
        <v>55</v>
      </c>
      <c r="BO6" s="147">
        <f t="shared" ref="BO6:BO35" si="25">IF(BN6=0,"",BM6/BN6)</f>
        <v>4.6363636363636367</v>
      </c>
    </row>
    <row r="7" spans="1:67" ht="15" thickBot="1" x14ac:dyDescent="0.35">
      <c r="A7" s="1">
        <v>45233</v>
      </c>
      <c r="B7" s="20">
        <v>32</v>
      </c>
      <c r="C7" s="21">
        <v>4</v>
      </c>
      <c r="D7" s="122">
        <f t="shared" si="0"/>
        <v>8</v>
      </c>
      <c r="E7" s="20">
        <v>8</v>
      </c>
      <c r="F7" s="21">
        <v>1</v>
      </c>
      <c r="G7" s="122">
        <f t="shared" si="19"/>
        <v>8</v>
      </c>
      <c r="H7" s="20">
        <v>23</v>
      </c>
      <c r="I7" s="21">
        <v>3</v>
      </c>
      <c r="J7" s="122">
        <f t="shared" ref="J7:J33" si="26">IF(I7=0,"",H7/I7)</f>
        <v>7.666666666666667</v>
      </c>
      <c r="K7" s="20">
        <v>0</v>
      </c>
      <c r="L7" s="21">
        <v>0</v>
      </c>
      <c r="M7" s="139" t="str">
        <f t="shared" si="2"/>
        <v>-</v>
      </c>
      <c r="N7" s="23">
        <v>15</v>
      </c>
      <c r="O7" s="21">
        <v>3</v>
      </c>
      <c r="P7" s="122">
        <f t="shared" si="3"/>
        <v>5</v>
      </c>
      <c r="Q7" s="20">
        <v>0</v>
      </c>
      <c r="R7" s="21">
        <v>0</v>
      </c>
      <c r="S7" s="139" t="str">
        <f t="shared" ref="S7:S8" si="27">IF(R7=0,"-",Q7/R7)</f>
        <v>-</v>
      </c>
      <c r="T7" s="125">
        <v>0</v>
      </c>
      <c r="U7" s="126">
        <v>0</v>
      </c>
      <c r="V7" s="139" t="str">
        <f t="shared" si="5"/>
        <v>-</v>
      </c>
      <c r="W7" s="20">
        <v>0</v>
      </c>
      <c r="X7" s="21">
        <v>0</v>
      </c>
      <c r="Y7" s="139" t="str">
        <f t="shared" ref="Y7:Y31" si="28">IF(X7=0,"-",W7/X7)</f>
        <v>-</v>
      </c>
      <c r="Z7" s="23">
        <v>0</v>
      </c>
      <c r="AA7" s="21">
        <v>0</v>
      </c>
      <c r="AB7" s="139" t="str">
        <f t="shared" si="7"/>
        <v>-</v>
      </c>
      <c r="AC7" s="20">
        <v>4</v>
      </c>
      <c r="AD7" s="21">
        <v>1</v>
      </c>
      <c r="AE7" s="139">
        <f t="shared" si="20"/>
        <v>4</v>
      </c>
      <c r="AF7" s="20">
        <v>0</v>
      </c>
      <c r="AG7" s="21">
        <v>0</v>
      </c>
      <c r="AH7" s="139" t="str">
        <f t="shared" si="8"/>
        <v>-</v>
      </c>
      <c r="AI7" s="23">
        <v>15</v>
      </c>
      <c r="AJ7" s="21">
        <v>4</v>
      </c>
      <c r="AK7" s="122">
        <f t="shared" si="9"/>
        <v>3.75</v>
      </c>
      <c r="AL7" s="23">
        <v>7</v>
      </c>
      <c r="AM7" s="21">
        <v>1</v>
      </c>
      <c r="AN7" s="122">
        <f t="shared" si="10"/>
        <v>7</v>
      </c>
      <c r="AO7" s="20">
        <v>0</v>
      </c>
      <c r="AP7" s="21">
        <v>0</v>
      </c>
      <c r="AQ7" s="139" t="str">
        <f t="shared" si="11"/>
        <v>-</v>
      </c>
      <c r="AR7" s="20">
        <v>0</v>
      </c>
      <c r="AS7" s="21">
        <v>0</v>
      </c>
      <c r="AT7" s="139" t="str">
        <f t="shared" si="12"/>
        <v>-</v>
      </c>
      <c r="AU7" s="20">
        <v>0</v>
      </c>
      <c r="AV7" s="21">
        <v>0</v>
      </c>
      <c r="AW7" s="139" t="str">
        <f t="shared" si="21"/>
        <v>-</v>
      </c>
      <c r="AX7" s="20">
        <v>0</v>
      </c>
      <c r="AY7" s="21">
        <v>0</v>
      </c>
      <c r="AZ7" s="139" t="str">
        <f t="shared" si="14"/>
        <v>-</v>
      </c>
      <c r="BA7" s="20">
        <v>0</v>
      </c>
      <c r="BB7" s="21">
        <v>0</v>
      </c>
      <c r="BC7" s="139" t="str">
        <f t="shared" si="15"/>
        <v>-</v>
      </c>
      <c r="BD7" s="20">
        <v>0</v>
      </c>
      <c r="BE7" s="21">
        <v>0</v>
      </c>
      <c r="BF7" s="139" t="str">
        <f t="shared" si="16"/>
        <v>-</v>
      </c>
      <c r="BG7" s="20">
        <v>0</v>
      </c>
      <c r="BH7" s="21">
        <v>0</v>
      </c>
      <c r="BI7" s="139" t="str">
        <f t="shared" si="17"/>
        <v>-</v>
      </c>
      <c r="BJ7" s="20">
        <v>0</v>
      </c>
      <c r="BK7" s="21">
        <v>0</v>
      </c>
      <c r="BL7" s="139" t="str">
        <f t="shared" si="22"/>
        <v>-</v>
      </c>
      <c r="BM7" s="117">
        <f t="shared" si="23"/>
        <v>104</v>
      </c>
      <c r="BN7" s="120">
        <f t="shared" si="24"/>
        <v>17</v>
      </c>
      <c r="BO7" s="147">
        <f t="shared" si="25"/>
        <v>6.117647058823529</v>
      </c>
    </row>
    <row r="8" spans="1:67" ht="15" thickBot="1" x14ac:dyDescent="0.35">
      <c r="A8" s="1">
        <v>45234</v>
      </c>
      <c r="B8" s="20">
        <v>32</v>
      </c>
      <c r="C8" s="21">
        <v>4</v>
      </c>
      <c r="D8" s="122">
        <f t="shared" si="0"/>
        <v>8</v>
      </c>
      <c r="E8" s="20">
        <v>0</v>
      </c>
      <c r="F8" s="21">
        <v>0</v>
      </c>
      <c r="G8" s="139" t="str">
        <f t="shared" ref="G8:G9" si="29">IF(F8=0,"-",E8/F8)</f>
        <v>-</v>
      </c>
      <c r="H8" s="20">
        <v>0</v>
      </c>
      <c r="I8" s="21">
        <v>0</v>
      </c>
      <c r="J8" s="139" t="str">
        <f t="shared" ref="J8:J9" si="30">IF(I8=0,"-",H8/I8)</f>
        <v>-</v>
      </c>
      <c r="K8" s="20">
        <v>0</v>
      </c>
      <c r="L8" s="21">
        <v>0</v>
      </c>
      <c r="M8" s="139" t="str">
        <f t="shared" si="2"/>
        <v>-</v>
      </c>
      <c r="N8" s="23">
        <v>18</v>
      </c>
      <c r="O8" s="21">
        <v>4</v>
      </c>
      <c r="P8" s="122">
        <f t="shared" si="3"/>
        <v>4.5</v>
      </c>
      <c r="Q8" s="20">
        <v>0</v>
      </c>
      <c r="R8" s="21">
        <v>0</v>
      </c>
      <c r="S8" s="139" t="str">
        <f t="shared" si="27"/>
        <v>-</v>
      </c>
      <c r="T8" s="125">
        <v>6</v>
      </c>
      <c r="U8" s="126">
        <v>1</v>
      </c>
      <c r="V8" s="139">
        <f t="shared" si="5"/>
        <v>6</v>
      </c>
      <c r="W8" s="20">
        <v>0</v>
      </c>
      <c r="X8" s="21">
        <v>0</v>
      </c>
      <c r="Y8" s="139" t="str">
        <f t="shared" si="28"/>
        <v>-</v>
      </c>
      <c r="Z8" s="23">
        <v>0</v>
      </c>
      <c r="AA8" s="21">
        <v>0</v>
      </c>
      <c r="AB8" s="139" t="str">
        <f t="shared" si="7"/>
        <v>-</v>
      </c>
      <c r="AC8" s="20">
        <v>0</v>
      </c>
      <c r="AD8" s="21">
        <v>0</v>
      </c>
      <c r="AE8" s="139" t="str">
        <f t="shared" si="20"/>
        <v>-</v>
      </c>
      <c r="AF8" s="20">
        <v>0</v>
      </c>
      <c r="AG8" s="21">
        <v>0</v>
      </c>
      <c r="AH8" s="139" t="str">
        <f t="shared" si="8"/>
        <v>-</v>
      </c>
      <c r="AI8" s="23">
        <v>0</v>
      </c>
      <c r="AJ8" s="21">
        <v>0</v>
      </c>
      <c r="AK8" s="139" t="str">
        <f t="shared" ref="AK8:AK31" si="31">IF(AJ8=0,"-",AI8/AJ8)</f>
        <v>-</v>
      </c>
      <c r="AL8" s="23">
        <v>0</v>
      </c>
      <c r="AM8" s="21">
        <v>0</v>
      </c>
      <c r="AN8" s="139" t="str">
        <f>IF(AM8=0,"-",AL8/AM8)</f>
        <v>-</v>
      </c>
      <c r="AO8" s="20">
        <v>0</v>
      </c>
      <c r="AP8" s="21">
        <v>0</v>
      </c>
      <c r="AQ8" s="139" t="str">
        <f t="shared" si="11"/>
        <v>-</v>
      </c>
      <c r="AR8" s="20">
        <v>0</v>
      </c>
      <c r="AS8" s="21">
        <v>0</v>
      </c>
      <c r="AT8" s="139" t="str">
        <f t="shared" si="12"/>
        <v>-</v>
      </c>
      <c r="AU8" s="20">
        <v>0</v>
      </c>
      <c r="AV8" s="21">
        <v>0</v>
      </c>
      <c r="AW8" s="139" t="str">
        <f t="shared" si="21"/>
        <v>-</v>
      </c>
      <c r="AX8" s="20">
        <v>6</v>
      </c>
      <c r="AY8" s="21">
        <v>1</v>
      </c>
      <c r="AZ8" s="139">
        <f t="shared" si="14"/>
        <v>6</v>
      </c>
      <c r="BA8" s="20">
        <v>24</v>
      </c>
      <c r="BB8" s="21">
        <v>3</v>
      </c>
      <c r="BC8" s="122">
        <f t="shared" ref="BC8:BC22" si="32">IF(BB8=0,"",BA8/BB8)</f>
        <v>8</v>
      </c>
      <c r="BD8" s="20">
        <v>0</v>
      </c>
      <c r="BE8" s="21">
        <v>0</v>
      </c>
      <c r="BF8" s="139" t="str">
        <f t="shared" si="16"/>
        <v>-</v>
      </c>
      <c r="BG8" s="20">
        <v>0</v>
      </c>
      <c r="BH8" s="21">
        <v>0</v>
      </c>
      <c r="BI8" s="139" t="str">
        <f t="shared" si="17"/>
        <v>-</v>
      </c>
      <c r="BJ8" s="20">
        <v>0</v>
      </c>
      <c r="BK8" s="21">
        <v>0</v>
      </c>
      <c r="BL8" s="139" t="str">
        <f t="shared" si="22"/>
        <v>-</v>
      </c>
      <c r="BM8" s="117">
        <f t="shared" si="23"/>
        <v>80</v>
      </c>
      <c r="BN8" s="120">
        <f t="shared" si="24"/>
        <v>12</v>
      </c>
      <c r="BO8" s="147">
        <f t="shared" si="25"/>
        <v>6.666666666666667</v>
      </c>
    </row>
    <row r="9" spans="1:67" ht="15" thickBot="1" x14ac:dyDescent="0.35">
      <c r="A9" s="1">
        <v>45235</v>
      </c>
      <c r="B9" s="20">
        <v>0</v>
      </c>
      <c r="C9" s="21">
        <v>0</v>
      </c>
      <c r="D9" s="139" t="str">
        <f>IF(C9=0,"-",B9/C9)</f>
        <v>-</v>
      </c>
      <c r="E9" s="20">
        <v>0</v>
      </c>
      <c r="F9" s="21">
        <v>0</v>
      </c>
      <c r="G9" s="139" t="str">
        <f t="shared" si="29"/>
        <v>-</v>
      </c>
      <c r="H9" s="20">
        <v>0</v>
      </c>
      <c r="I9" s="21">
        <v>0</v>
      </c>
      <c r="J9" s="139" t="str">
        <f t="shared" si="30"/>
        <v>-</v>
      </c>
      <c r="K9" s="20">
        <v>0</v>
      </c>
      <c r="L9" s="21">
        <v>0</v>
      </c>
      <c r="M9" s="139" t="str">
        <f t="shared" si="2"/>
        <v>-</v>
      </c>
      <c r="N9" s="23">
        <v>0</v>
      </c>
      <c r="O9" s="21">
        <v>0</v>
      </c>
      <c r="P9" s="139" t="str">
        <f>IF(O9=0,"-",N9/O9)</f>
        <v>-</v>
      </c>
      <c r="Q9" s="20">
        <v>414</v>
      </c>
      <c r="R9" s="21">
        <v>55</v>
      </c>
      <c r="S9" s="122">
        <f t="shared" si="4"/>
        <v>7.5272727272727273</v>
      </c>
      <c r="T9" s="125">
        <v>0</v>
      </c>
      <c r="U9" s="126">
        <v>0</v>
      </c>
      <c r="V9" s="139" t="str">
        <f t="shared" si="5"/>
        <v>-</v>
      </c>
      <c r="W9" s="20">
        <v>0</v>
      </c>
      <c r="X9" s="21">
        <v>0</v>
      </c>
      <c r="Y9" s="139" t="str">
        <f t="shared" si="28"/>
        <v>-</v>
      </c>
      <c r="Z9" s="23">
        <v>0</v>
      </c>
      <c r="AA9" s="21">
        <v>0</v>
      </c>
      <c r="AB9" s="139" t="str">
        <f t="shared" si="7"/>
        <v>-</v>
      </c>
      <c r="AC9" s="20">
        <v>0</v>
      </c>
      <c r="AD9" s="21">
        <v>0</v>
      </c>
      <c r="AE9" s="139" t="str">
        <f t="shared" si="20"/>
        <v>-</v>
      </c>
      <c r="AF9" s="20">
        <v>0</v>
      </c>
      <c r="AG9" s="21">
        <v>0</v>
      </c>
      <c r="AH9" s="139" t="str">
        <f t="shared" si="8"/>
        <v>-</v>
      </c>
      <c r="AI9" s="23">
        <v>0</v>
      </c>
      <c r="AJ9" s="21">
        <v>0</v>
      </c>
      <c r="AK9" s="139" t="str">
        <f t="shared" si="31"/>
        <v>-</v>
      </c>
      <c r="AL9" s="23">
        <v>6</v>
      </c>
      <c r="AM9" s="21">
        <v>1</v>
      </c>
      <c r="AN9" s="122">
        <f t="shared" si="10"/>
        <v>6</v>
      </c>
      <c r="AO9" s="20">
        <v>0</v>
      </c>
      <c r="AP9" s="21">
        <v>0</v>
      </c>
      <c r="AQ9" s="139" t="str">
        <f t="shared" si="11"/>
        <v>-</v>
      </c>
      <c r="AR9" s="20">
        <v>0</v>
      </c>
      <c r="AS9" s="21">
        <v>0</v>
      </c>
      <c r="AT9" s="139" t="str">
        <f t="shared" si="12"/>
        <v>-</v>
      </c>
      <c r="AU9" s="23">
        <v>8</v>
      </c>
      <c r="AV9" s="21">
        <v>1</v>
      </c>
      <c r="AW9" s="122">
        <f t="shared" si="13"/>
        <v>8</v>
      </c>
      <c r="AX9" s="20">
        <v>0</v>
      </c>
      <c r="AY9" s="21">
        <v>0</v>
      </c>
      <c r="AZ9" s="139" t="str">
        <f t="shared" si="14"/>
        <v>-</v>
      </c>
      <c r="BA9" s="20">
        <v>0</v>
      </c>
      <c r="BB9" s="21">
        <v>0</v>
      </c>
      <c r="BC9" s="139" t="str">
        <f t="shared" ref="BC9:BC10" si="33">IF(BB9=0,"-",BA9/BB9)</f>
        <v>-</v>
      </c>
      <c r="BD9" s="20">
        <v>0</v>
      </c>
      <c r="BE9" s="21">
        <v>0</v>
      </c>
      <c r="BF9" s="139" t="str">
        <f t="shared" si="16"/>
        <v>-</v>
      </c>
      <c r="BG9" s="20">
        <v>0</v>
      </c>
      <c r="BH9" s="21">
        <v>0</v>
      </c>
      <c r="BI9" s="139" t="str">
        <f t="shared" si="17"/>
        <v>-</v>
      </c>
      <c r="BJ9" s="20">
        <v>0</v>
      </c>
      <c r="BK9" s="21">
        <v>0</v>
      </c>
      <c r="BL9" s="139" t="str">
        <f t="shared" si="22"/>
        <v>-</v>
      </c>
      <c r="BM9" s="117">
        <f t="shared" si="23"/>
        <v>428</v>
      </c>
      <c r="BN9" s="120">
        <f t="shared" si="24"/>
        <v>57</v>
      </c>
      <c r="BO9" s="147">
        <f t="shared" si="25"/>
        <v>7.5087719298245617</v>
      </c>
    </row>
    <row r="10" spans="1:67" ht="15" thickBot="1" x14ac:dyDescent="0.35">
      <c r="A10" s="1">
        <v>45236</v>
      </c>
      <c r="B10" s="20">
        <v>13</v>
      </c>
      <c r="C10" s="21">
        <v>2</v>
      </c>
      <c r="D10" s="122">
        <f t="shared" si="0"/>
        <v>6.5</v>
      </c>
      <c r="E10" s="20">
        <v>8</v>
      </c>
      <c r="F10" s="21">
        <v>1</v>
      </c>
      <c r="G10" s="122">
        <f t="shared" si="19"/>
        <v>8</v>
      </c>
      <c r="H10" s="20">
        <v>9</v>
      </c>
      <c r="I10" s="21">
        <v>1</v>
      </c>
      <c r="J10" s="122">
        <f t="shared" si="26"/>
        <v>9</v>
      </c>
      <c r="K10" s="23">
        <v>0</v>
      </c>
      <c r="L10" s="21">
        <v>0</v>
      </c>
      <c r="M10" s="139" t="str">
        <f t="shared" si="2"/>
        <v>-</v>
      </c>
      <c r="N10" s="23">
        <v>28</v>
      </c>
      <c r="O10" s="21">
        <v>5</v>
      </c>
      <c r="P10" s="122">
        <f t="shared" si="3"/>
        <v>5.6</v>
      </c>
      <c r="Q10" s="20">
        <v>504</v>
      </c>
      <c r="R10" s="21">
        <v>71</v>
      </c>
      <c r="S10" s="122">
        <f t="shared" si="4"/>
        <v>7.098591549295775</v>
      </c>
      <c r="T10" s="125">
        <v>0</v>
      </c>
      <c r="U10" s="126">
        <v>0</v>
      </c>
      <c r="V10" s="139" t="str">
        <f t="shared" si="5"/>
        <v>-</v>
      </c>
      <c r="W10" s="20">
        <v>7</v>
      </c>
      <c r="X10" s="21">
        <v>1</v>
      </c>
      <c r="Y10" s="139">
        <f t="shared" si="28"/>
        <v>7</v>
      </c>
      <c r="Z10" s="23">
        <v>0</v>
      </c>
      <c r="AA10" s="21">
        <v>0</v>
      </c>
      <c r="AB10" s="139" t="str">
        <f t="shared" si="7"/>
        <v>-</v>
      </c>
      <c r="AC10" s="20">
        <v>0</v>
      </c>
      <c r="AD10" s="21">
        <v>0</v>
      </c>
      <c r="AE10" s="139" t="str">
        <f t="shared" si="20"/>
        <v>-</v>
      </c>
      <c r="AF10" s="20">
        <v>0</v>
      </c>
      <c r="AG10" s="21">
        <v>0</v>
      </c>
      <c r="AH10" s="139" t="str">
        <f t="shared" si="8"/>
        <v>-</v>
      </c>
      <c r="AI10" s="23">
        <v>5</v>
      </c>
      <c r="AJ10" s="21">
        <v>1</v>
      </c>
      <c r="AK10" s="139">
        <f t="shared" si="31"/>
        <v>5</v>
      </c>
      <c r="AL10" s="23">
        <v>12</v>
      </c>
      <c r="AM10" s="21">
        <v>2</v>
      </c>
      <c r="AN10" s="122">
        <f t="shared" si="10"/>
        <v>6</v>
      </c>
      <c r="AO10" s="20">
        <v>0</v>
      </c>
      <c r="AP10" s="21">
        <v>0</v>
      </c>
      <c r="AQ10" s="139" t="str">
        <f t="shared" si="11"/>
        <v>-</v>
      </c>
      <c r="AR10" s="20">
        <v>0</v>
      </c>
      <c r="AS10" s="21">
        <v>0</v>
      </c>
      <c r="AT10" s="139" t="str">
        <f t="shared" si="12"/>
        <v>-</v>
      </c>
      <c r="AU10" s="23">
        <v>0</v>
      </c>
      <c r="AV10" s="21">
        <v>0</v>
      </c>
      <c r="AW10" s="139" t="str">
        <f t="shared" ref="AW10:AW11" si="34">IF(AV10=0,"-",AU10/AV10)</f>
        <v>-</v>
      </c>
      <c r="AX10" s="20">
        <v>0</v>
      </c>
      <c r="AY10" s="21">
        <v>0</v>
      </c>
      <c r="AZ10" s="139" t="str">
        <f t="shared" si="14"/>
        <v>-</v>
      </c>
      <c r="BA10" s="20">
        <v>0</v>
      </c>
      <c r="BB10" s="21">
        <v>0</v>
      </c>
      <c r="BC10" s="139" t="str">
        <f t="shared" si="33"/>
        <v>-</v>
      </c>
      <c r="BD10" s="23">
        <v>0</v>
      </c>
      <c r="BE10" s="21">
        <v>0</v>
      </c>
      <c r="BF10" s="139" t="str">
        <f t="shared" si="16"/>
        <v>-</v>
      </c>
      <c r="BG10" s="20">
        <v>0</v>
      </c>
      <c r="BH10" s="21">
        <v>0</v>
      </c>
      <c r="BI10" s="139" t="str">
        <f t="shared" si="17"/>
        <v>-</v>
      </c>
      <c r="BJ10" s="20">
        <v>0</v>
      </c>
      <c r="BK10" s="21">
        <v>0</v>
      </c>
      <c r="BL10" s="139" t="str">
        <f t="shared" si="22"/>
        <v>-</v>
      </c>
      <c r="BM10" s="117">
        <f t="shared" si="23"/>
        <v>586</v>
      </c>
      <c r="BN10" s="120">
        <f t="shared" si="24"/>
        <v>84</v>
      </c>
      <c r="BO10" s="147">
        <f t="shared" si="25"/>
        <v>6.9761904761904763</v>
      </c>
    </row>
    <row r="11" spans="1:67" ht="15" thickBot="1" x14ac:dyDescent="0.35">
      <c r="A11" s="1">
        <v>45237</v>
      </c>
      <c r="B11" s="20">
        <v>31</v>
      </c>
      <c r="C11" s="21">
        <v>4</v>
      </c>
      <c r="D11" s="122">
        <f t="shared" si="0"/>
        <v>7.75</v>
      </c>
      <c r="E11" s="20">
        <v>0</v>
      </c>
      <c r="F11" s="21">
        <v>0</v>
      </c>
      <c r="G11" s="139" t="str">
        <f>IF(F11=0,"-",E11/F11)</f>
        <v>-</v>
      </c>
      <c r="H11" s="20">
        <v>15</v>
      </c>
      <c r="I11" s="21">
        <v>2</v>
      </c>
      <c r="J11" s="122">
        <f t="shared" si="26"/>
        <v>7.5</v>
      </c>
      <c r="K11" s="23">
        <v>1</v>
      </c>
      <c r="L11" s="21">
        <v>1</v>
      </c>
      <c r="M11" s="122">
        <f t="shared" ref="M11:M34" si="35">IF(L11=0,"",K11/L11)</f>
        <v>1</v>
      </c>
      <c r="N11" s="20">
        <v>26</v>
      </c>
      <c r="O11" s="21">
        <v>6</v>
      </c>
      <c r="P11" s="122">
        <f t="shared" si="3"/>
        <v>4.333333333333333</v>
      </c>
      <c r="Q11" s="20">
        <v>407</v>
      </c>
      <c r="R11" s="21">
        <v>61</v>
      </c>
      <c r="S11" s="122">
        <f t="shared" si="4"/>
        <v>6.6721311475409832</v>
      </c>
      <c r="T11" s="125">
        <v>0</v>
      </c>
      <c r="U11" s="126">
        <v>0</v>
      </c>
      <c r="V11" s="139" t="str">
        <f t="shared" si="5"/>
        <v>-</v>
      </c>
      <c r="W11" s="20">
        <v>0</v>
      </c>
      <c r="X11" s="21">
        <v>0</v>
      </c>
      <c r="Y11" s="139" t="str">
        <f t="shared" si="28"/>
        <v>-</v>
      </c>
      <c r="Z11" s="23">
        <v>0</v>
      </c>
      <c r="AA11" s="21">
        <v>0</v>
      </c>
      <c r="AB11" s="139" t="str">
        <f t="shared" si="7"/>
        <v>-</v>
      </c>
      <c r="AC11" s="20">
        <v>0</v>
      </c>
      <c r="AD11" s="21">
        <v>0</v>
      </c>
      <c r="AE11" s="139" t="str">
        <f t="shared" si="20"/>
        <v>-</v>
      </c>
      <c r="AF11" s="20">
        <v>0</v>
      </c>
      <c r="AG11" s="21">
        <v>0</v>
      </c>
      <c r="AH11" s="139" t="str">
        <f t="shared" si="8"/>
        <v>-</v>
      </c>
      <c r="AI11" s="23">
        <v>0</v>
      </c>
      <c r="AJ11" s="21">
        <v>0</v>
      </c>
      <c r="AK11" s="139" t="str">
        <f t="shared" si="31"/>
        <v>-</v>
      </c>
      <c r="AL11" s="23">
        <v>14</v>
      </c>
      <c r="AM11" s="21">
        <v>2</v>
      </c>
      <c r="AN11" s="122">
        <f t="shared" si="10"/>
        <v>7</v>
      </c>
      <c r="AO11" s="20">
        <v>0</v>
      </c>
      <c r="AP11" s="21">
        <v>0</v>
      </c>
      <c r="AQ11" s="139" t="str">
        <f t="shared" si="11"/>
        <v>-</v>
      </c>
      <c r="AR11" s="20">
        <v>0</v>
      </c>
      <c r="AS11" s="21">
        <v>0</v>
      </c>
      <c r="AT11" s="139" t="str">
        <f t="shared" si="12"/>
        <v>-</v>
      </c>
      <c r="AU11" s="23">
        <v>0</v>
      </c>
      <c r="AV11" s="21">
        <v>0</v>
      </c>
      <c r="AW11" s="139" t="str">
        <f t="shared" si="34"/>
        <v>-</v>
      </c>
      <c r="AX11" s="20">
        <v>0</v>
      </c>
      <c r="AY11" s="21">
        <v>0</v>
      </c>
      <c r="AZ11" s="139" t="str">
        <f t="shared" si="14"/>
        <v>-</v>
      </c>
      <c r="BA11" s="20">
        <v>9</v>
      </c>
      <c r="BB11" s="21">
        <v>1</v>
      </c>
      <c r="BC11" s="122">
        <f t="shared" si="32"/>
        <v>9</v>
      </c>
      <c r="BD11" s="20">
        <v>0</v>
      </c>
      <c r="BE11" s="21">
        <v>0</v>
      </c>
      <c r="BF11" s="139" t="str">
        <f t="shared" si="16"/>
        <v>-</v>
      </c>
      <c r="BG11" s="20">
        <v>0</v>
      </c>
      <c r="BH11" s="21">
        <v>0</v>
      </c>
      <c r="BI11" s="139" t="str">
        <f t="shared" si="17"/>
        <v>-</v>
      </c>
      <c r="BJ11" s="20">
        <v>0</v>
      </c>
      <c r="BK11" s="21">
        <v>0</v>
      </c>
      <c r="BL11" s="139" t="str">
        <f t="shared" si="22"/>
        <v>-</v>
      </c>
      <c r="BM11" s="117">
        <f t="shared" si="23"/>
        <v>503</v>
      </c>
      <c r="BN11" s="120">
        <f t="shared" si="24"/>
        <v>77</v>
      </c>
      <c r="BO11" s="147">
        <f t="shared" si="25"/>
        <v>6.5324675324675328</v>
      </c>
    </row>
    <row r="12" spans="1:67" ht="15" thickBot="1" x14ac:dyDescent="0.35">
      <c r="A12" s="1">
        <v>45238</v>
      </c>
      <c r="B12" s="20">
        <v>39</v>
      </c>
      <c r="C12" s="21">
        <v>5</v>
      </c>
      <c r="D12" s="122">
        <f t="shared" si="0"/>
        <v>7.8</v>
      </c>
      <c r="E12" s="20">
        <v>8</v>
      </c>
      <c r="F12" s="21">
        <v>1</v>
      </c>
      <c r="G12" s="122">
        <f t="shared" si="19"/>
        <v>8</v>
      </c>
      <c r="H12" s="20">
        <v>0</v>
      </c>
      <c r="I12" s="21">
        <v>0</v>
      </c>
      <c r="J12" s="139" t="str">
        <f>IF(I12=0,"-",H12/I12)</f>
        <v>-</v>
      </c>
      <c r="K12" s="23">
        <v>1</v>
      </c>
      <c r="L12" s="21">
        <v>1</v>
      </c>
      <c r="M12" s="122">
        <f t="shared" si="35"/>
        <v>1</v>
      </c>
      <c r="N12" s="23">
        <v>39</v>
      </c>
      <c r="O12" s="21">
        <v>7</v>
      </c>
      <c r="P12" s="122">
        <f t="shared" si="3"/>
        <v>5.5714285714285712</v>
      </c>
      <c r="Q12" s="20">
        <v>440</v>
      </c>
      <c r="R12" s="21">
        <v>62</v>
      </c>
      <c r="S12" s="122">
        <f t="shared" si="4"/>
        <v>7.096774193548387</v>
      </c>
      <c r="T12" s="125">
        <v>0</v>
      </c>
      <c r="U12" s="126">
        <v>0</v>
      </c>
      <c r="V12" s="139" t="str">
        <f t="shared" si="5"/>
        <v>-</v>
      </c>
      <c r="W12" s="20">
        <v>0</v>
      </c>
      <c r="X12" s="21">
        <v>0</v>
      </c>
      <c r="Y12" s="139" t="str">
        <f t="shared" si="28"/>
        <v>-</v>
      </c>
      <c r="Z12" s="23">
        <v>2</v>
      </c>
      <c r="AA12" s="21">
        <v>1</v>
      </c>
      <c r="AB12" s="122">
        <f t="shared" ref="AB12:AB34" si="36">IF(AA12=0,"",Z12/AA12)</f>
        <v>2</v>
      </c>
      <c r="AC12" s="20">
        <v>5</v>
      </c>
      <c r="AD12" s="21">
        <v>2</v>
      </c>
      <c r="AE12" s="139">
        <f t="shared" si="20"/>
        <v>2.5</v>
      </c>
      <c r="AF12" s="20">
        <v>0</v>
      </c>
      <c r="AG12" s="21">
        <v>0</v>
      </c>
      <c r="AH12" s="139" t="str">
        <f t="shared" si="8"/>
        <v>-</v>
      </c>
      <c r="AI12" s="23">
        <v>0</v>
      </c>
      <c r="AJ12" s="21">
        <v>0</v>
      </c>
      <c r="AK12" s="139" t="str">
        <f t="shared" si="31"/>
        <v>-</v>
      </c>
      <c r="AL12" s="23">
        <v>0</v>
      </c>
      <c r="AM12" s="21">
        <v>0</v>
      </c>
      <c r="AN12" s="139" t="str">
        <f>IF(AM12=0,"-",AL12/AM12)</f>
        <v>-</v>
      </c>
      <c r="AO12" s="20">
        <v>0</v>
      </c>
      <c r="AP12" s="21">
        <v>0</v>
      </c>
      <c r="AQ12" s="139" t="str">
        <f t="shared" si="11"/>
        <v>-</v>
      </c>
      <c r="AR12" s="20">
        <v>0</v>
      </c>
      <c r="AS12" s="21">
        <v>0</v>
      </c>
      <c r="AT12" s="139" t="str">
        <f t="shared" si="12"/>
        <v>-</v>
      </c>
      <c r="AU12" s="23">
        <v>6</v>
      </c>
      <c r="AV12" s="21">
        <v>1</v>
      </c>
      <c r="AW12" s="122">
        <f t="shared" si="13"/>
        <v>6</v>
      </c>
      <c r="AX12" s="20">
        <v>0</v>
      </c>
      <c r="AY12" s="21">
        <v>0</v>
      </c>
      <c r="AZ12" s="139" t="str">
        <f t="shared" si="14"/>
        <v>-</v>
      </c>
      <c r="BA12" s="20">
        <v>149</v>
      </c>
      <c r="BB12" s="21">
        <v>22</v>
      </c>
      <c r="BC12" s="122">
        <f t="shared" si="32"/>
        <v>6.7727272727272725</v>
      </c>
      <c r="BD12" s="23">
        <v>0</v>
      </c>
      <c r="BE12" s="21">
        <v>0</v>
      </c>
      <c r="BF12" s="139" t="str">
        <f t="shared" si="16"/>
        <v>-</v>
      </c>
      <c r="BG12" s="23">
        <v>0</v>
      </c>
      <c r="BH12" s="21">
        <v>0</v>
      </c>
      <c r="BI12" s="139" t="str">
        <f t="shared" si="17"/>
        <v>-</v>
      </c>
      <c r="BJ12" s="23">
        <v>0</v>
      </c>
      <c r="BK12" s="21">
        <v>0</v>
      </c>
      <c r="BL12" s="139" t="str">
        <f t="shared" si="22"/>
        <v>-</v>
      </c>
      <c r="BM12" s="117">
        <f t="shared" si="23"/>
        <v>689</v>
      </c>
      <c r="BN12" s="120">
        <f t="shared" si="24"/>
        <v>102</v>
      </c>
      <c r="BO12" s="147">
        <f t="shared" si="25"/>
        <v>6.7549019607843137</v>
      </c>
    </row>
    <row r="13" spans="1:67" ht="15" thickBot="1" x14ac:dyDescent="0.35">
      <c r="A13" s="1">
        <v>45239</v>
      </c>
      <c r="B13" s="20">
        <v>37</v>
      </c>
      <c r="C13" s="21">
        <v>6</v>
      </c>
      <c r="D13" s="122">
        <f t="shared" si="0"/>
        <v>6.166666666666667</v>
      </c>
      <c r="E13" s="20">
        <v>8</v>
      </c>
      <c r="F13" s="21">
        <v>1</v>
      </c>
      <c r="G13" s="122">
        <f t="shared" si="19"/>
        <v>8</v>
      </c>
      <c r="H13" s="20">
        <v>9</v>
      </c>
      <c r="I13" s="21">
        <v>1</v>
      </c>
      <c r="J13" s="122">
        <f t="shared" si="26"/>
        <v>9</v>
      </c>
      <c r="K13" s="23">
        <v>0</v>
      </c>
      <c r="L13" s="21">
        <v>0</v>
      </c>
      <c r="M13" s="139" t="str">
        <f t="shared" ref="M13:M16" si="37">IF(L13=0,"-",K13/L13)</f>
        <v>-</v>
      </c>
      <c r="N13" s="23">
        <v>39</v>
      </c>
      <c r="O13" s="21">
        <v>7</v>
      </c>
      <c r="P13" s="122">
        <f t="shared" si="3"/>
        <v>5.5714285714285712</v>
      </c>
      <c r="Q13" s="20">
        <v>319</v>
      </c>
      <c r="R13" s="21">
        <v>41</v>
      </c>
      <c r="S13" s="122">
        <f t="shared" si="4"/>
        <v>7.7804878048780486</v>
      </c>
      <c r="T13" s="125">
        <v>0</v>
      </c>
      <c r="U13" s="126">
        <v>0</v>
      </c>
      <c r="V13" s="139" t="str">
        <f t="shared" si="5"/>
        <v>-</v>
      </c>
      <c r="W13" s="20">
        <v>9</v>
      </c>
      <c r="X13" s="21">
        <v>1</v>
      </c>
      <c r="Y13" s="139">
        <f t="shared" si="28"/>
        <v>9</v>
      </c>
      <c r="Z13" s="20">
        <v>0</v>
      </c>
      <c r="AA13" s="21">
        <v>0</v>
      </c>
      <c r="AB13" s="139" t="str">
        <f t="shared" ref="AB13:AB16" si="38">IF(AA13=0,"-",Z13/AA13)</f>
        <v>-</v>
      </c>
      <c r="AC13" s="20">
        <v>4</v>
      </c>
      <c r="AD13" s="21">
        <v>1</v>
      </c>
      <c r="AE13" s="139">
        <f t="shared" si="20"/>
        <v>4</v>
      </c>
      <c r="AF13" s="20">
        <v>0</v>
      </c>
      <c r="AG13" s="21">
        <v>0</v>
      </c>
      <c r="AH13" s="139" t="str">
        <f t="shared" si="8"/>
        <v>-</v>
      </c>
      <c r="AI13" s="23">
        <v>6</v>
      </c>
      <c r="AJ13" s="21">
        <v>1</v>
      </c>
      <c r="AK13" s="139">
        <f t="shared" si="31"/>
        <v>6</v>
      </c>
      <c r="AL13" s="23">
        <v>7</v>
      </c>
      <c r="AM13" s="21">
        <v>1</v>
      </c>
      <c r="AN13" s="122">
        <f t="shared" si="10"/>
        <v>7</v>
      </c>
      <c r="AO13" s="20">
        <v>0</v>
      </c>
      <c r="AP13" s="21">
        <v>0</v>
      </c>
      <c r="AQ13" s="139" t="str">
        <f t="shared" si="11"/>
        <v>-</v>
      </c>
      <c r="AR13" s="20">
        <v>0</v>
      </c>
      <c r="AS13" s="21">
        <v>0</v>
      </c>
      <c r="AT13" s="139" t="str">
        <f t="shared" si="12"/>
        <v>-</v>
      </c>
      <c r="AU13" s="23">
        <v>0</v>
      </c>
      <c r="AV13" s="21">
        <v>0</v>
      </c>
      <c r="AW13" s="139" t="str">
        <f t="shared" ref="AW13:AW17" si="39">IF(AV13=0,"-",AU13/AV13)</f>
        <v>-</v>
      </c>
      <c r="AX13" s="20">
        <v>6</v>
      </c>
      <c r="AY13" s="21">
        <v>1</v>
      </c>
      <c r="AZ13" s="139">
        <f t="shared" si="14"/>
        <v>6</v>
      </c>
      <c r="BA13" s="20">
        <v>0</v>
      </c>
      <c r="BB13" s="21">
        <v>0</v>
      </c>
      <c r="BC13" s="139" t="str">
        <f>IF(BB13=0,"-",BA13/BB13)</f>
        <v>-</v>
      </c>
      <c r="BD13" s="23">
        <v>0</v>
      </c>
      <c r="BE13" s="21">
        <v>0</v>
      </c>
      <c r="BF13" s="139" t="str">
        <f t="shared" si="16"/>
        <v>-</v>
      </c>
      <c r="BG13" s="20">
        <v>0</v>
      </c>
      <c r="BH13" s="21">
        <v>0</v>
      </c>
      <c r="BI13" s="139" t="str">
        <f t="shared" si="17"/>
        <v>-</v>
      </c>
      <c r="BJ13" s="20">
        <v>0</v>
      </c>
      <c r="BK13" s="21">
        <v>0</v>
      </c>
      <c r="BL13" s="139" t="str">
        <f t="shared" si="22"/>
        <v>-</v>
      </c>
      <c r="BM13" s="117">
        <f t="shared" si="23"/>
        <v>444</v>
      </c>
      <c r="BN13" s="120">
        <f t="shared" si="24"/>
        <v>61</v>
      </c>
      <c r="BO13" s="147">
        <f t="shared" si="25"/>
        <v>7.278688524590164</v>
      </c>
    </row>
    <row r="14" spans="1:67" ht="15" thickBot="1" x14ac:dyDescent="0.35">
      <c r="A14" s="1">
        <v>45240</v>
      </c>
      <c r="B14" s="20">
        <v>34</v>
      </c>
      <c r="C14" s="21">
        <v>4</v>
      </c>
      <c r="D14" s="122">
        <f t="shared" si="0"/>
        <v>8.5</v>
      </c>
      <c r="E14" s="20">
        <v>8</v>
      </c>
      <c r="F14" s="21">
        <v>1</v>
      </c>
      <c r="G14" s="122">
        <f t="shared" si="19"/>
        <v>8</v>
      </c>
      <c r="H14" s="20">
        <v>27</v>
      </c>
      <c r="I14" s="21">
        <v>3</v>
      </c>
      <c r="J14" s="122">
        <f t="shared" si="26"/>
        <v>9</v>
      </c>
      <c r="K14" s="23">
        <v>0</v>
      </c>
      <c r="L14" s="21">
        <v>0</v>
      </c>
      <c r="M14" s="139" t="str">
        <f t="shared" si="37"/>
        <v>-</v>
      </c>
      <c r="N14" s="23">
        <v>35</v>
      </c>
      <c r="O14" s="21">
        <v>6</v>
      </c>
      <c r="P14" s="122">
        <f t="shared" si="3"/>
        <v>5.833333333333333</v>
      </c>
      <c r="Q14" s="20">
        <v>407</v>
      </c>
      <c r="R14" s="21">
        <v>56</v>
      </c>
      <c r="S14" s="122">
        <f t="shared" si="4"/>
        <v>7.2678571428571432</v>
      </c>
      <c r="T14" s="125">
        <v>0</v>
      </c>
      <c r="U14" s="126">
        <v>0</v>
      </c>
      <c r="V14" s="139" t="str">
        <f t="shared" si="5"/>
        <v>-</v>
      </c>
      <c r="W14" s="20">
        <v>0</v>
      </c>
      <c r="X14" s="21">
        <v>0</v>
      </c>
      <c r="Y14" s="139" t="str">
        <f t="shared" si="28"/>
        <v>-</v>
      </c>
      <c r="Z14" s="20">
        <v>0</v>
      </c>
      <c r="AA14" s="21">
        <v>0</v>
      </c>
      <c r="AB14" s="139" t="str">
        <f t="shared" si="38"/>
        <v>-</v>
      </c>
      <c r="AC14" s="20">
        <v>0</v>
      </c>
      <c r="AD14" s="21">
        <v>0</v>
      </c>
      <c r="AE14" s="139" t="str">
        <f t="shared" si="20"/>
        <v>-</v>
      </c>
      <c r="AF14" s="20">
        <v>0</v>
      </c>
      <c r="AG14" s="21">
        <v>0</v>
      </c>
      <c r="AH14" s="139" t="str">
        <f t="shared" si="8"/>
        <v>-</v>
      </c>
      <c r="AI14" s="23">
        <v>0</v>
      </c>
      <c r="AJ14" s="21">
        <v>0</v>
      </c>
      <c r="AK14" s="139" t="str">
        <f t="shared" si="31"/>
        <v>-</v>
      </c>
      <c r="AL14" s="23">
        <v>0</v>
      </c>
      <c r="AM14" s="21">
        <v>0</v>
      </c>
      <c r="AN14" s="122" t="str">
        <f t="shared" si="10"/>
        <v/>
      </c>
      <c r="AO14" s="20">
        <v>0</v>
      </c>
      <c r="AP14" s="21">
        <v>0</v>
      </c>
      <c r="AQ14" s="139" t="str">
        <f t="shared" si="11"/>
        <v>-</v>
      </c>
      <c r="AR14" s="20">
        <v>14</v>
      </c>
      <c r="AS14" s="21">
        <v>2</v>
      </c>
      <c r="AT14" s="122">
        <f t="shared" ref="AT14:AT34" si="40">IF(AS14=0,"",AR14/AS14)</f>
        <v>7</v>
      </c>
      <c r="AU14" s="23">
        <v>0</v>
      </c>
      <c r="AV14" s="21">
        <v>0</v>
      </c>
      <c r="AW14" s="139" t="str">
        <f t="shared" si="39"/>
        <v>-</v>
      </c>
      <c r="AX14" s="20">
        <v>14</v>
      </c>
      <c r="AY14" s="21">
        <v>2</v>
      </c>
      <c r="AZ14" s="139">
        <f t="shared" si="14"/>
        <v>7</v>
      </c>
      <c r="BA14" s="20">
        <v>96</v>
      </c>
      <c r="BB14" s="21">
        <v>14</v>
      </c>
      <c r="BC14" s="122">
        <f t="shared" si="32"/>
        <v>6.8571428571428568</v>
      </c>
      <c r="BD14" s="23">
        <v>0</v>
      </c>
      <c r="BE14" s="21">
        <v>0</v>
      </c>
      <c r="BF14" s="139" t="str">
        <f t="shared" si="16"/>
        <v>-</v>
      </c>
      <c r="BG14" s="20">
        <v>0</v>
      </c>
      <c r="BH14" s="21">
        <v>0</v>
      </c>
      <c r="BI14" s="139" t="str">
        <f t="shared" si="17"/>
        <v>-</v>
      </c>
      <c r="BJ14" s="20">
        <v>0</v>
      </c>
      <c r="BK14" s="21">
        <v>0</v>
      </c>
      <c r="BL14" s="139" t="str">
        <f t="shared" si="22"/>
        <v>-</v>
      </c>
      <c r="BM14" s="117">
        <f t="shared" si="23"/>
        <v>635</v>
      </c>
      <c r="BN14" s="120">
        <f t="shared" si="24"/>
        <v>88</v>
      </c>
      <c r="BO14" s="147">
        <f t="shared" si="25"/>
        <v>7.2159090909090908</v>
      </c>
    </row>
    <row r="15" spans="1:67" ht="15" thickBot="1" x14ac:dyDescent="0.35">
      <c r="A15" s="1">
        <v>45241</v>
      </c>
      <c r="B15" s="20">
        <v>110</v>
      </c>
      <c r="C15" s="21">
        <v>13</v>
      </c>
      <c r="D15" s="139">
        <f>IF(C15=0,"-",B15/C15)</f>
        <v>8.4615384615384617</v>
      </c>
      <c r="E15" s="20">
        <v>8</v>
      </c>
      <c r="F15" s="21">
        <v>1</v>
      </c>
      <c r="G15" s="122">
        <f t="shared" si="19"/>
        <v>8</v>
      </c>
      <c r="H15" s="20">
        <v>0</v>
      </c>
      <c r="I15" s="21">
        <v>0</v>
      </c>
      <c r="J15" s="139" t="str">
        <f t="shared" ref="J15:J16" si="41">IF(I15=0,"-",H15/I15)</f>
        <v>-</v>
      </c>
      <c r="K15" s="23">
        <v>0</v>
      </c>
      <c r="L15" s="21">
        <v>0</v>
      </c>
      <c r="M15" s="139" t="str">
        <f t="shared" si="37"/>
        <v>-</v>
      </c>
      <c r="N15" s="23">
        <v>21</v>
      </c>
      <c r="O15" s="21">
        <v>5</v>
      </c>
      <c r="P15" s="122">
        <f t="shared" si="3"/>
        <v>4.2</v>
      </c>
      <c r="Q15" s="20">
        <v>0</v>
      </c>
      <c r="R15" s="21">
        <v>0</v>
      </c>
      <c r="S15" s="139" t="str">
        <f t="shared" ref="S15:S16" si="42">IF(R15=0,"-",Q15/R15)</f>
        <v>-</v>
      </c>
      <c r="T15" s="125">
        <v>0</v>
      </c>
      <c r="U15" s="126">
        <v>0</v>
      </c>
      <c r="V15" s="139" t="str">
        <f t="shared" si="5"/>
        <v>-</v>
      </c>
      <c r="W15" s="20">
        <v>6</v>
      </c>
      <c r="X15" s="21">
        <v>3</v>
      </c>
      <c r="Y15" s="139">
        <f t="shared" si="28"/>
        <v>2</v>
      </c>
      <c r="Z15" s="23">
        <v>0</v>
      </c>
      <c r="AA15" s="21">
        <v>0</v>
      </c>
      <c r="AB15" s="139" t="str">
        <f t="shared" si="38"/>
        <v>-</v>
      </c>
      <c r="AC15" s="20">
        <v>0</v>
      </c>
      <c r="AD15" s="21">
        <v>0</v>
      </c>
      <c r="AE15" s="139" t="str">
        <f t="shared" si="20"/>
        <v>-</v>
      </c>
      <c r="AF15" s="20">
        <v>5</v>
      </c>
      <c r="AG15" s="21">
        <v>1</v>
      </c>
      <c r="AH15" s="139">
        <f t="shared" si="8"/>
        <v>5</v>
      </c>
      <c r="AI15" s="23">
        <v>0</v>
      </c>
      <c r="AJ15" s="21">
        <v>0</v>
      </c>
      <c r="AK15" s="139" t="str">
        <f t="shared" si="31"/>
        <v>-</v>
      </c>
      <c r="AL15" s="23">
        <v>12</v>
      </c>
      <c r="AM15" s="21">
        <v>2</v>
      </c>
      <c r="AN15" s="122">
        <f t="shared" si="10"/>
        <v>6</v>
      </c>
      <c r="AO15" s="20">
        <v>13</v>
      </c>
      <c r="AP15" s="21">
        <v>2</v>
      </c>
      <c r="AQ15" s="122">
        <f t="shared" ref="AQ15:AQ34" si="43">IF(AP15=0,"",AO15/AP15)</f>
        <v>6.5</v>
      </c>
      <c r="AR15" s="20">
        <v>21</v>
      </c>
      <c r="AS15" s="21">
        <v>3</v>
      </c>
      <c r="AT15" s="122">
        <f t="shared" si="40"/>
        <v>7</v>
      </c>
      <c r="AU15" s="23">
        <v>0</v>
      </c>
      <c r="AV15" s="21">
        <v>0</v>
      </c>
      <c r="AW15" s="139" t="str">
        <f t="shared" si="39"/>
        <v>-</v>
      </c>
      <c r="AX15" s="20">
        <v>0</v>
      </c>
      <c r="AY15" s="21">
        <v>0</v>
      </c>
      <c r="AZ15" s="139" t="str">
        <f t="shared" si="14"/>
        <v>-</v>
      </c>
      <c r="BA15" s="20">
        <v>28</v>
      </c>
      <c r="BB15" s="21">
        <v>4</v>
      </c>
      <c r="BC15" s="122">
        <f t="shared" si="32"/>
        <v>7</v>
      </c>
      <c r="BD15" s="23">
        <v>0</v>
      </c>
      <c r="BE15" s="21">
        <v>0</v>
      </c>
      <c r="BF15" s="139" t="str">
        <f t="shared" si="16"/>
        <v>-</v>
      </c>
      <c r="BG15" s="20">
        <v>0</v>
      </c>
      <c r="BH15" s="21">
        <v>0</v>
      </c>
      <c r="BI15" s="139" t="str">
        <f t="shared" si="17"/>
        <v>-</v>
      </c>
      <c r="BJ15" s="20">
        <v>0</v>
      </c>
      <c r="BK15" s="21">
        <v>0</v>
      </c>
      <c r="BL15" s="139" t="str">
        <f t="shared" si="22"/>
        <v>-</v>
      </c>
      <c r="BM15" s="117">
        <f t="shared" si="23"/>
        <v>224</v>
      </c>
      <c r="BN15" s="120">
        <f t="shared" si="24"/>
        <v>34</v>
      </c>
      <c r="BO15" s="147">
        <f t="shared" si="25"/>
        <v>6.5882352941176467</v>
      </c>
    </row>
    <row r="16" spans="1:67" ht="15" thickBot="1" x14ac:dyDescent="0.35">
      <c r="A16" s="1">
        <v>45242</v>
      </c>
      <c r="B16" s="20">
        <v>34</v>
      </c>
      <c r="C16" s="21">
        <v>4</v>
      </c>
      <c r="D16" s="122">
        <f t="shared" si="0"/>
        <v>8.5</v>
      </c>
      <c r="E16" s="20">
        <v>0</v>
      </c>
      <c r="F16" s="21">
        <v>0</v>
      </c>
      <c r="G16" s="139" t="str">
        <f>IF(F16=0,"-",E16/F16)</f>
        <v>-</v>
      </c>
      <c r="H16" s="20">
        <v>0</v>
      </c>
      <c r="I16" s="21">
        <v>0</v>
      </c>
      <c r="J16" s="139" t="str">
        <f t="shared" si="41"/>
        <v>-</v>
      </c>
      <c r="K16" s="23">
        <v>0</v>
      </c>
      <c r="L16" s="21">
        <v>0</v>
      </c>
      <c r="M16" s="139" t="str">
        <f t="shared" si="37"/>
        <v>-</v>
      </c>
      <c r="N16" s="23">
        <v>11</v>
      </c>
      <c r="O16" s="21">
        <v>2</v>
      </c>
      <c r="P16" s="122">
        <f t="shared" si="3"/>
        <v>5.5</v>
      </c>
      <c r="Q16" s="20">
        <v>0</v>
      </c>
      <c r="R16" s="21">
        <v>0</v>
      </c>
      <c r="S16" s="139" t="str">
        <f t="shared" si="42"/>
        <v>-</v>
      </c>
      <c r="T16" s="125">
        <v>0</v>
      </c>
      <c r="U16" s="126">
        <v>0</v>
      </c>
      <c r="V16" s="139" t="str">
        <f t="shared" si="5"/>
        <v>-</v>
      </c>
      <c r="W16" s="20">
        <v>0</v>
      </c>
      <c r="X16" s="21">
        <v>0</v>
      </c>
      <c r="Y16" s="139" t="str">
        <f t="shared" si="28"/>
        <v>-</v>
      </c>
      <c r="Z16" s="23">
        <v>0</v>
      </c>
      <c r="AA16" s="21">
        <v>0</v>
      </c>
      <c r="AB16" s="139" t="str">
        <f t="shared" si="38"/>
        <v>-</v>
      </c>
      <c r="AC16" s="20">
        <v>0</v>
      </c>
      <c r="AD16" s="21">
        <v>0</v>
      </c>
      <c r="AE16" s="139" t="str">
        <f t="shared" si="20"/>
        <v>-</v>
      </c>
      <c r="AF16" s="20">
        <v>0</v>
      </c>
      <c r="AG16" s="21">
        <v>0</v>
      </c>
      <c r="AH16" s="139" t="str">
        <f t="shared" si="8"/>
        <v>-</v>
      </c>
      <c r="AI16" s="23">
        <v>0</v>
      </c>
      <c r="AJ16" s="21">
        <v>0</v>
      </c>
      <c r="AK16" s="139" t="str">
        <f t="shared" si="31"/>
        <v>-</v>
      </c>
      <c r="AL16" s="23">
        <v>14</v>
      </c>
      <c r="AM16" s="21">
        <v>2</v>
      </c>
      <c r="AN16" s="139">
        <f>IF(AM16=0,"-",AL16/AM16)</f>
        <v>7</v>
      </c>
      <c r="AO16" s="20">
        <v>0</v>
      </c>
      <c r="AP16" s="21">
        <v>0</v>
      </c>
      <c r="AQ16" s="139" t="str">
        <f t="shared" si="11"/>
        <v>-</v>
      </c>
      <c r="AR16" s="20">
        <v>22</v>
      </c>
      <c r="AS16" s="21">
        <v>3</v>
      </c>
      <c r="AT16" s="139">
        <f>IF(AS16=0,"-",AR16/AS16)</f>
        <v>7.333333333333333</v>
      </c>
      <c r="AU16" s="23">
        <v>0</v>
      </c>
      <c r="AV16" s="21">
        <v>0</v>
      </c>
      <c r="AW16" s="139" t="str">
        <f t="shared" si="39"/>
        <v>-</v>
      </c>
      <c r="AX16" s="20">
        <v>0</v>
      </c>
      <c r="AY16" s="21">
        <v>0</v>
      </c>
      <c r="AZ16" s="139" t="str">
        <f t="shared" si="14"/>
        <v>-</v>
      </c>
      <c r="BA16" s="20">
        <v>16</v>
      </c>
      <c r="BB16" s="21">
        <v>2</v>
      </c>
      <c r="BC16" s="122">
        <f t="shared" si="32"/>
        <v>8</v>
      </c>
      <c r="BD16" s="23">
        <v>0</v>
      </c>
      <c r="BE16" s="21">
        <v>0</v>
      </c>
      <c r="BF16" s="139" t="str">
        <f t="shared" si="16"/>
        <v>-</v>
      </c>
      <c r="BG16" s="20">
        <v>0</v>
      </c>
      <c r="BH16" s="21">
        <v>0</v>
      </c>
      <c r="BI16" s="139" t="str">
        <f t="shared" si="17"/>
        <v>-</v>
      </c>
      <c r="BJ16" s="20">
        <v>0</v>
      </c>
      <c r="BK16" s="21">
        <v>0</v>
      </c>
      <c r="BL16" s="139" t="str">
        <f t="shared" si="22"/>
        <v>-</v>
      </c>
      <c r="BM16" s="117">
        <f t="shared" si="23"/>
        <v>97</v>
      </c>
      <c r="BN16" s="120">
        <f t="shared" si="24"/>
        <v>13</v>
      </c>
      <c r="BO16" s="147">
        <f t="shared" si="25"/>
        <v>7.4615384615384617</v>
      </c>
    </row>
    <row r="17" spans="1:67" ht="15" thickBot="1" x14ac:dyDescent="0.35">
      <c r="A17" s="1">
        <v>45243</v>
      </c>
      <c r="B17" s="20">
        <v>8</v>
      </c>
      <c r="C17" s="21">
        <v>1</v>
      </c>
      <c r="D17" s="122">
        <f t="shared" si="0"/>
        <v>8</v>
      </c>
      <c r="E17" s="20">
        <v>0</v>
      </c>
      <c r="F17" s="21">
        <v>0</v>
      </c>
      <c r="G17" s="139" t="str">
        <f>IF(F17=0,"-",E17/F17)</f>
        <v>-</v>
      </c>
      <c r="H17" s="20">
        <v>0</v>
      </c>
      <c r="I17" s="21">
        <v>0</v>
      </c>
      <c r="J17" s="139" t="str">
        <f>IF(I17=0,"-",H17/I17)</f>
        <v>-</v>
      </c>
      <c r="K17" s="20">
        <v>0</v>
      </c>
      <c r="L17" s="21">
        <v>0</v>
      </c>
      <c r="M17" s="139" t="str">
        <f t="shared" ref="M17:M23" si="44">IF(L17=0,"-",K17/L17)</f>
        <v>-</v>
      </c>
      <c r="N17" s="23">
        <v>34</v>
      </c>
      <c r="O17" s="21">
        <v>7</v>
      </c>
      <c r="P17" s="122">
        <f t="shared" si="3"/>
        <v>4.8571428571428568</v>
      </c>
      <c r="Q17" s="20">
        <v>251</v>
      </c>
      <c r="R17" s="21">
        <v>41</v>
      </c>
      <c r="S17" s="122">
        <f t="shared" si="4"/>
        <v>6.1219512195121952</v>
      </c>
      <c r="T17" s="125">
        <v>0</v>
      </c>
      <c r="U17" s="126">
        <v>0</v>
      </c>
      <c r="V17" s="139" t="str">
        <f t="shared" si="5"/>
        <v>-</v>
      </c>
      <c r="W17" s="20">
        <v>2</v>
      </c>
      <c r="X17" s="21">
        <v>1</v>
      </c>
      <c r="Y17" s="139">
        <f t="shared" si="28"/>
        <v>2</v>
      </c>
      <c r="Z17" s="23">
        <v>0</v>
      </c>
      <c r="AA17" s="21">
        <v>0</v>
      </c>
      <c r="AB17" s="139" t="str">
        <f t="shared" ref="AB17" si="45">IF(AA17=0,"-",Z17/AA17)</f>
        <v>-</v>
      </c>
      <c r="AC17" s="20">
        <v>1</v>
      </c>
      <c r="AD17" s="21">
        <v>1</v>
      </c>
      <c r="AE17" s="139">
        <f t="shared" si="20"/>
        <v>1</v>
      </c>
      <c r="AF17" s="20">
        <v>0</v>
      </c>
      <c r="AG17" s="21">
        <v>0</v>
      </c>
      <c r="AH17" s="139" t="str">
        <f t="shared" si="8"/>
        <v>-</v>
      </c>
      <c r="AI17" s="23">
        <v>8</v>
      </c>
      <c r="AJ17" s="21">
        <v>2</v>
      </c>
      <c r="AK17" s="139">
        <f t="shared" si="31"/>
        <v>4</v>
      </c>
      <c r="AL17" s="23">
        <v>15</v>
      </c>
      <c r="AM17" s="21">
        <v>2</v>
      </c>
      <c r="AN17" s="122">
        <f t="shared" si="10"/>
        <v>7.5</v>
      </c>
      <c r="AO17" s="20">
        <v>0</v>
      </c>
      <c r="AP17" s="21">
        <v>0</v>
      </c>
      <c r="AQ17" s="139" t="str">
        <f t="shared" si="11"/>
        <v>-</v>
      </c>
      <c r="AR17" s="20">
        <v>0</v>
      </c>
      <c r="AS17" s="21">
        <v>0</v>
      </c>
      <c r="AT17" s="139" t="str">
        <f t="shared" ref="AT17:AT19" si="46">IF(AS17=0,"-",AR17/AS17)</f>
        <v>-</v>
      </c>
      <c r="AU17" s="23">
        <v>0</v>
      </c>
      <c r="AV17" s="21">
        <v>0</v>
      </c>
      <c r="AW17" s="139" t="str">
        <f t="shared" si="39"/>
        <v>-</v>
      </c>
      <c r="AX17" s="20">
        <v>0</v>
      </c>
      <c r="AY17" s="21">
        <v>0</v>
      </c>
      <c r="AZ17" s="139" t="str">
        <f t="shared" si="14"/>
        <v>-</v>
      </c>
      <c r="BA17" s="20">
        <v>24</v>
      </c>
      <c r="BB17" s="21">
        <v>3</v>
      </c>
      <c r="BC17" s="122">
        <f t="shared" si="32"/>
        <v>8</v>
      </c>
      <c r="BD17" s="23">
        <v>0</v>
      </c>
      <c r="BE17" s="21">
        <v>0</v>
      </c>
      <c r="BF17" s="139" t="str">
        <f t="shared" si="16"/>
        <v>-</v>
      </c>
      <c r="BG17" s="20">
        <v>0</v>
      </c>
      <c r="BH17" s="21">
        <v>0</v>
      </c>
      <c r="BI17" s="139" t="str">
        <f t="shared" si="17"/>
        <v>-</v>
      </c>
      <c r="BJ17" s="20">
        <v>0</v>
      </c>
      <c r="BK17" s="21">
        <v>0</v>
      </c>
      <c r="BL17" s="139" t="str">
        <f t="shared" si="22"/>
        <v>-</v>
      </c>
      <c r="BM17" s="117">
        <f t="shared" si="23"/>
        <v>343</v>
      </c>
      <c r="BN17" s="120">
        <f t="shared" si="24"/>
        <v>58</v>
      </c>
      <c r="BO17" s="147">
        <f t="shared" si="25"/>
        <v>5.9137931034482758</v>
      </c>
    </row>
    <row r="18" spans="1:67" ht="15" thickBot="1" x14ac:dyDescent="0.35">
      <c r="A18" s="1">
        <v>45244</v>
      </c>
      <c r="B18" s="20">
        <v>53</v>
      </c>
      <c r="C18" s="21">
        <v>6</v>
      </c>
      <c r="D18" s="122">
        <f t="shared" si="0"/>
        <v>8.8333333333333339</v>
      </c>
      <c r="E18" s="20">
        <v>0</v>
      </c>
      <c r="F18" s="21">
        <v>0</v>
      </c>
      <c r="G18" s="139" t="str">
        <f>IF(F18=0,"-",E18/F18)</f>
        <v>-</v>
      </c>
      <c r="H18" s="20">
        <v>0</v>
      </c>
      <c r="I18" s="21">
        <v>0</v>
      </c>
      <c r="J18" s="139" t="str">
        <f>IF(I18=0,"-",H18/I18)</f>
        <v>-</v>
      </c>
      <c r="K18" s="20">
        <v>0</v>
      </c>
      <c r="L18" s="21">
        <v>0</v>
      </c>
      <c r="M18" s="139" t="str">
        <f t="shared" si="44"/>
        <v>-</v>
      </c>
      <c r="N18" s="23">
        <v>38</v>
      </c>
      <c r="O18" s="21">
        <v>5</v>
      </c>
      <c r="P18" s="122">
        <f t="shared" si="3"/>
        <v>7.6</v>
      </c>
      <c r="Q18" s="20">
        <v>4</v>
      </c>
      <c r="R18" s="21">
        <v>1</v>
      </c>
      <c r="S18" s="122">
        <f t="shared" si="4"/>
        <v>4</v>
      </c>
      <c r="T18" s="125">
        <v>6</v>
      </c>
      <c r="U18" s="126">
        <v>1</v>
      </c>
      <c r="V18" s="139">
        <f t="shared" si="5"/>
        <v>6</v>
      </c>
      <c r="W18" s="20">
        <v>1</v>
      </c>
      <c r="X18" s="21">
        <v>1</v>
      </c>
      <c r="Y18" s="139">
        <f t="shared" si="28"/>
        <v>1</v>
      </c>
      <c r="Z18" s="23">
        <v>0</v>
      </c>
      <c r="AA18" s="21">
        <v>0</v>
      </c>
      <c r="AB18" s="139" t="str">
        <f>IF(AA18=0,"-",Z18/AA18)</f>
        <v>-</v>
      </c>
      <c r="AC18" s="20">
        <v>0</v>
      </c>
      <c r="AD18" s="21">
        <v>0</v>
      </c>
      <c r="AE18" s="139" t="str">
        <f t="shared" si="20"/>
        <v>-</v>
      </c>
      <c r="AF18" s="20">
        <v>0</v>
      </c>
      <c r="AG18" s="21">
        <v>0</v>
      </c>
      <c r="AH18" s="139" t="str">
        <f t="shared" si="8"/>
        <v>-</v>
      </c>
      <c r="AI18" s="23">
        <v>2</v>
      </c>
      <c r="AJ18" s="21">
        <v>1</v>
      </c>
      <c r="AK18" s="139">
        <f t="shared" si="31"/>
        <v>2</v>
      </c>
      <c r="AL18" s="23">
        <v>58</v>
      </c>
      <c r="AM18" s="21">
        <v>7</v>
      </c>
      <c r="AN18" s="122">
        <f t="shared" si="10"/>
        <v>8.2857142857142865</v>
      </c>
      <c r="AO18" s="20">
        <v>0</v>
      </c>
      <c r="AP18" s="21">
        <v>0</v>
      </c>
      <c r="AQ18" s="139" t="str">
        <f t="shared" si="11"/>
        <v>-</v>
      </c>
      <c r="AR18" s="20">
        <v>0</v>
      </c>
      <c r="AS18" s="21">
        <v>0</v>
      </c>
      <c r="AT18" s="139" t="str">
        <f t="shared" si="46"/>
        <v>-</v>
      </c>
      <c r="AU18" s="23">
        <v>0</v>
      </c>
      <c r="AV18" s="21">
        <v>0</v>
      </c>
      <c r="AW18" s="139" t="str">
        <f t="shared" ref="AW18:AW19" si="47">IF(AV18=0,"-",AU18/AV18)</f>
        <v>-</v>
      </c>
      <c r="AX18" s="20">
        <v>0</v>
      </c>
      <c r="AY18" s="21">
        <v>0</v>
      </c>
      <c r="AZ18" s="139" t="str">
        <f t="shared" ref="AZ18" si="48">IF(AY18=0,"-",AX18/AY18)</f>
        <v>-</v>
      </c>
      <c r="BA18" s="20">
        <v>94</v>
      </c>
      <c r="BB18" s="21">
        <v>14</v>
      </c>
      <c r="BC18" s="139">
        <f t="shared" ref="BC18" si="49">IF(BB18=0,"-",BA18/BB18)</f>
        <v>6.7142857142857144</v>
      </c>
      <c r="BD18" s="23">
        <v>0</v>
      </c>
      <c r="BE18" s="21">
        <v>0</v>
      </c>
      <c r="BF18" s="139" t="str">
        <f t="shared" ref="BF18:BF20" si="50">IF(BE18=0,"-",BD18/BE18)</f>
        <v>-</v>
      </c>
      <c r="BG18" s="20">
        <v>0</v>
      </c>
      <c r="BH18" s="21">
        <v>0</v>
      </c>
      <c r="BI18" s="139" t="str">
        <f t="shared" si="17"/>
        <v>-</v>
      </c>
      <c r="BJ18" s="20">
        <v>0</v>
      </c>
      <c r="BK18" s="21">
        <v>0</v>
      </c>
      <c r="BL18" s="139" t="str">
        <f t="shared" ref="BL18" si="51">IF(BK18=0,"-",BJ18/BK18)</f>
        <v>-</v>
      </c>
      <c r="BM18" s="117">
        <f t="shared" si="23"/>
        <v>250</v>
      </c>
      <c r="BN18" s="120">
        <f t="shared" si="24"/>
        <v>35</v>
      </c>
      <c r="BO18" s="147">
        <f t="shared" si="25"/>
        <v>7.1428571428571432</v>
      </c>
    </row>
    <row r="19" spans="1:67" ht="15" thickBot="1" x14ac:dyDescent="0.35">
      <c r="A19" s="1">
        <v>45245</v>
      </c>
      <c r="B19" s="20">
        <v>127</v>
      </c>
      <c r="C19" s="21">
        <v>14</v>
      </c>
      <c r="D19" s="122">
        <f t="shared" si="0"/>
        <v>9.0714285714285712</v>
      </c>
      <c r="E19" s="20">
        <v>16</v>
      </c>
      <c r="F19" s="21">
        <v>2</v>
      </c>
      <c r="G19" s="122">
        <f t="shared" si="19"/>
        <v>8</v>
      </c>
      <c r="H19" s="20">
        <v>6</v>
      </c>
      <c r="I19" s="21">
        <v>1</v>
      </c>
      <c r="J19" s="122">
        <f t="shared" si="26"/>
        <v>6</v>
      </c>
      <c r="K19" s="20">
        <v>0</v>
      </c>
      <c r="L19" s="21">
        <v>0</v>
      </c>
      <c r="M19" s="139" t="str">
        <f t="shared" si="44"/>
        <v>-</v>
      </c>
      <c r="N19" s="23">
        <v>17</v>
      </c>
      <c r="O19" s="21">
        <v>4</v>
      </c>
      <c r="P19" s="122">
        <f t="shared" si="3"/>
        <v>4.25</v>
      </c>
      <c r="Q19" s="20">
        <v>228</v>
      </c>
      <c r="R19" s="21">
        <v>63</v>
      </c>
      <c r="S19" s="122">
        <f t="shared" si="4"/>
        <v>3.6190476190476191</v>
      </c>
      <c r="T19" s="20">
        <v>0</v>
      </c>
      <c r="U19" s="21">
        <v>0</v>
      </c>
      <c r="V19" s="139" t="str">
        <f t="shared" si="5"/>
        <v>-</v>
      </c>
      <c r="W19" s="20">
        <v>0</v>
      </c>
      <c r="X19" s="21">
        <v>0</v>
      </c>
      <c r="Y19" s="139" t="str">
        <f t="shared" si="28"/>
        <v>-</v>
      </c>
      <c r="Z19" s="23">
        <v>0</v>
      </c>
      <c r="AA19" s="21">
        <v>0</v>
      </c>
      <c r="AB19" s="139" t="str">
        <f>IF(AA19=0,"-",Z19/AA19)</f>
        <v>-</v>
      </c>
      <c r="AC19" s="23">
        <v>0</v>
      </c>
      <c r="AD19" s="21">
        <v>0</v>
      </c>
      <c r="AE19" s="139" t="str">
        <f t="shared" si="20"/>
        <v>-</v>
      </c>
      <c r="AF19" s="23">
        <v>0</v>
      </c>
      <c r="AG19" s="21">
        <v>0</v>
      </c>
      <c r="AH19" s="139" t="str">
        <f t="shared" si="8"/>
        <v>-</v>
      </c>
      <c r="AI19" s="23">
        <v>0</v>
      </c>
      <c r="AJ19" s="21">
        <v>0</v>
      </c>
      <c r="AK19" s="139" t="str">
        <f t="shared" si="31"/>
        <v>-</v>
      </c>
      <c r="AL19" s="23">
        <v>13</v>
      </c>
      <c r="AM19" s="21">
        <v>2</v>
      </c>
      <c r="AN19" s="122">
        <f t="shared" si="10"/>
        <v>6.5</v>
      </c>
      <c r="AO19" s="20">
        <v>0</v>
      </c>
      <c r="AP19" s="21">
        <v>0</v>
      </c>
      <c r="AQ19" s="139" t="str">
        <f t="shared" si="11"/>
        <v>-</v>
      </c>
      <c r="AR19" s="20">
        <v>0</v>
      </c>
      <c r="AS19" s="21">
        <v>0</v>
      </c>
      <c r="AT19" s="139" t="str">
        <f t="shared" si="46"/>
        <v>-</v>
      </c>
      <c r="AU19" s="23">
        <v>0</v>
      </c>
      <c r="AV19" s="21">
        <v>0</v>
      </c>
      <c r="AW19" s="139" t="str">
        <f t="shared" si="47"/>
        <v>-</v>
      </c>
      <c r="AX19" s="20">
        <v>0</v>
      </c>
      <c r="AY19" s="21">
        <v>0</v>
      </c>
      <c r="AZ19" s="139" t="str">
        <f t="shared" ref="AZ19" si="52">IF(AY19=0,"-",AX19/AY19)</f>
        <v>-</v>
      </c>
      <c r="BA19" s="20">
        <v>15</v>
      </c>
      <c r="BB19" s="21">
        <v>2</v>
      </c>
      <c r="BC19" s="122">
        <f t="shared" si="32"/>
        <v>7.5</v>
      </c>
      <c r="BD19" s="23">
        <v>0</v>
      </c>
      <c r="BE19" s="21">
        <v>0</v>
      </c>
      <c r="BF19" s="139" t="str">
        <f t="shared" si="50"/>
        <v>-</v>
      </c>
      <c r="BG19" s="20">
        <v>0</v>
      </c>
      <c r="BH19" s="21">
        <v>0</v>
      </c>
      <c r="BI19" s="139" t="str">
        <f t="shared" si="17"/>
        <v>-</v>
      </c>
      <c r="BJ19" s="20">
        <v>0</v>
      </c>
      <c r="BK19" s="21">
        <v>0</v>
      </c>
      <c r="BL19" s="139" t="str">
        <f t="shared" ref="BL19:BL20" si="53">IF(BK19=0,"-",BJ19/BK19)</f>
        <v>-</v>
      </c>
      <c r="BM19" s="117">
        <f t="shared" si="23"/>
        <v>422</v>
      </c>
      <c r="BN19" s="120">
        <f t="shared" si="24"/>
        <v>88</v>
      </c>
      <c r="BO19" s="147">
        <f t="shared" si="25"/>
        <v>4.7954545454545459</v>
      </c>
    </row>
    <row r="20" spans="1:67" ht="15" thickBot="1" x14ac:dyDescent="0.35">
      <c r="A20" s="1">
        <v>45246</v>
      </c>
      <c r="B20" s="20">
        <v>16</v>
      </c>
      <c r="C20" s="21">
        <v>2</v>
      </c>
      <c r="D20" s="122">
        <f t="shared" si="0"/>
        <v>8</v>
      </c>
      <c r="E20" s="20">
        <v>8</v>
      </c>
      <c r="F20" s="21">
        <v>1</v>
      </c>
      <c r="G20" s="122">
        <f>IF(F20=0,"",E20/F20)</f>
        <v>8</v>
      </c>
      <c r="H20" s="20">
        <v>0</v>
      </c>
      <c r="I20" s="21">
        <v>0</v>
      </c>
      <c r="J20" s="139" t="str">
        <f>IF(I20=0,"-",H20/I20)</f>
        <v>-</v>
      </c>
      <c r="K20" s="20">
        <v>0</v>
      </c>
      <c r="L20" s="21">
        <v>0</v>
      </c>
      <c r="M20" s="139" t="str">
        <f t="shared" si="44"/>
        <v>-</v>
      </c>
      <c r="N20" s="23">
        <v>33</v>
      </c>
      <c r="O20" s="21">
        <v>7</v>
      </c>
      <c r="P20" s="122">
        <f t="shared" si="3"/>
        <v>4.7142857142857144</v>
      </c>
      <c r="Q20" s="20">
        <v>376</v>
      </c>
      <c r="R20" s="21">
        <v>51</v>
      </c>
      <c r="S20" s="122">
        <f t="shared" si="4"/>
        <v>7.3725490196078427</v>
      </c>
      <c r="T20" s="20">
        <v>0</v>
      </c>
      <c r="U20" s="21">
        <v>0</v>
      </c>
      <c r="V20" s="139" t="str">
        <f t="shared" si="5"/>
        <v>-</v>
      </c>
      <c r="W20" s="20">
        <v>0</v>
      </c>
      <c r="X20" s="21">
        <v>0</v>
      </c>
      <c r="Y20" s="139" t="str">
        <f t="shared" si="28"/>
        <v>-</v>
      </c>
      <c r="Z20" s="23">
        <v>0</v>
      </c>
      <c r="AA20" s="21">
        <v>0</v>
      </c>
      <c r="AB20" s="139" t="str">
        <f>IF(AA20=0,"-",Z20/AA20)</f>
        <v>-</v>
      </c>
      <c r="AC20" s="23">
        <v>1</v>
      </c>
      <c r="AD20" s="21">
        <v>1</v>
      </c>
      <c r="AE20" s="139">
        <f t="shared" si="20"/>
        <v>1</v>
      </c>
      <c r="AF20" s="23">
        <v>0</v>
      </c>
      <c r="AG20" s="21">
        <v>0</v>
      </c>
      <c r="AH20" s="139" t="str">
        <f t="shared" si="8"/>
        <v>-</v>
      </c>
      <c r="AI20" s="23">
        <v>13</v>
      </c>
      <c r="AJ20" s="21">
        <v>4</v>
      </c>
      <c r="AK20" s="139">
        <f t="shared" si="31"/>
        <v>3.25</v>
      </c>
      <c r="AL20" s="23">
        <v>0</v>
      </c>
      <c r="AM20" s="21">
        <v>0</v>
      </c>
      <c r="AN20" s="139" t="str">
        <f t="shared" ref="AN20" si="54">IF(AM20=0,"-",AL20/AM20)</f>
        <v>-</v>
      </c>
      <c r="AO20" s="20">
        <v>0</v>
      </c>
      <c r="AP20" s="21">
        <v>0</v>
      </c>
      <c r="AQ20" s="139" t="str">
        <f t="shared" si="11"/>
        <v>-</v>
      </c>
      <c r="AR20" s="20">
        <v>0</v>
      </c>
      <c r="AS20" s="21">
        <v>0</v>
      </c>
      <c r="AT20" s="139" t="str">
        <f t="shared" ref="AT20" si="55">IF(AS20=0,"-",AR20/AS20)</f>
        <v>-</v>
      </c>
      <c r="AU20" s="23">
        <v>0</v>
      </c>
      <c r="AV20" s="21">
        <v>0</v>
      </c>
      <c r="AW20" s="139" t="str">
        <f t="shared" ref="AW20" si="56">IF(AV20=0,"-",AU20/AV20)</f>
        <v>-</v>
      </c>
      <c r="AX20" s="20">
        <v>0</v>
      </c>
      <c r="AY20" s="21">
        <v>0</v>
      </c>
      <c r="AZ20" s="139" t="str">
        <f t="shared" ref="AZ20" si="57">IF(AY20=0,"-",AX20/AY20)</f>
        <v>-</v>
      </c>
      <c r="BA20" s="20">
        <v>0</v>
      </c>
      <c r="BB20" s="21">
        <v>0</v>
      </c>
      <c r="BC20" s="139" t="str">
        <f t="shared" ref="BC20" si="58">IF(BB20=0,"-",BA20/BB20)</f>
        <v>-</v>
      </c>
      <c r="BD20" s="23">
        <v>0</v>
      </c>
      <c r="BE20" s="21">
        <v>0</v>
      </c>
      <c r="BF20" s="139" t="str">
        <f t="shared" si="50"/>
        <v>-</v>
      </c>
      <c r="BG20" s="20">
        <v>0</v>
      </c>
      <c r="BH20" s="21">
        <v>0</v>
      </c>
      <c r="BI20" s="139" t="str">
        <f t="shared" si="17"/>
        <v>-</v>
      </c>
      <c r="BJ20" s="20">
        <v>0</v>
      </c>
      <c r="BK20" s="21">
        <v>0</v>
      </c>
      <c r="BL20" s="139" t="str">
        <f t="shared" si="53"/>
        <v>-</v>
      </c>
      <c r="BM20" s="117">
        <f t="shared" si="23"/>
        <v>447</v>
      </c>
      <c r="BN20" s="120">
        <f t="shared" si="24"/>
        <v>66</v>
      </c>
      <c r="BO20" s="147">
        <f t="shared" si="25"/>
        <v>6.7727272727272725</v>
      </c>
    </row>
    <row r="21" spans="1:67" ht="15" thickBot="1" x14ac:dyDescent="0.35">
      <c r="A21" s="1">
        <v>45247</v>
      </c>
      <c r="B21" s="20">
        <v>48</v>
      </c>
      <c r="C21" s="21">
        <v>5</v>
      </c>
      <c r="D21" s="122">
        <f t="shared" si="0"/>
        <v>9.6</v>
      </c>
      <c r="E21" s="20">
        <v>0</v>
      </c>
      <c r="F21" s="21">
        <v>0</v>
      </c>
      <c r="G21" s="139" t="str">
        <f>IF(F21=0,"-",E21/F21)</f>
        <v>-</v>
      </c>
      <c r="H21" s="20">
        <v>0</v>
      </c>
      <c r="I21" s="21">
        <v>0</v>
      </c>
      <c r="J21" s="139" t="str">
        <f>IF(I21=0,"-",H21/I21)</f>
        <v>-</v>
      </c>
      <c r="K21" s="20">
        <v>0</v>
      </c>
      <c r="L21" s="21">
        <v>0</v>
      </c>
      <c r="M21" s="139" t="str">
        <f t="shared" si="44"/>
        <v>-</v>
      </c>
      <c r="N21" s="23">
        <v>29</v>
      </c>
      <c r="O21" s="21">
        <v>6</v>
      </c>
      <c r="P21" s="122">
        <f t="shared" si="3"/>
        <v>4.833333333333333</v>
      </c>
      <c r="Q21" s="20">
        <v>118</v>
      </c>
      <c r="R21" s="21">
        <v>18</v>
      </c>
      <c r="S21" s="122">
        <f t="shared" si="4"/>
        <v>6.5555555555555554</v>
      </c>
      <c r="T21" s="20">
        <v>0</v>
      </c>
      <c r="U21" s="21">
        <v>0</v>
      </c>
      <c r="V21" s="139" t="str">
        <f t="shared" ref="V21:V23" si="59">IF(U21=0,"-",T21/U21)</f>
        <v>-</v>
      </c>
      <c r="W21" s="20">
        <v>0</v>
      </c>
      <c r="X21" s="21">
        <v>0</v>
      </c>
      <c r="Y21" s="139" t="str">
        <f t="shared" si="28"/>
        <v>-</v>
      </c>
      <c r="Z21" s="23">
        <v>0</v>
      </c>
      <c r="AA21" s="21">
        <v>0</v>
      </c>
      <c r="AB21" s="139" t="str">
        <f>IF(AA21=0,"-",Z21/AA21)</f>
        <v>-</v>
      </c>
      <c r="AC21" s="23">
        <v>0</v>
      </c>
      <c r="AD21" s="21">
        <v>0</v>
      </c>
      <c r="AE21" s="139" t="str">
        <f t="shared" si="20"/>
        <v>-</v>
      </c>
      <c r="AF21" s="23">
        <v>0</v>
      </c>
      <c r="AG21" s="21">
        <v>0</v>
      </c>
      <c r="AH21" s="139" t="str">
        <f t="shared" si="8"/>
        <v>-</v>
      </c>
      <c r="AI21" s="23">
        <v>0</v>
      </c>
      <c r="AJ21" s="21">
        <v>0</v>
      </c>
      <c r="AK21" s="139" t="str">
        <f t="shared" si="31"/>
        <v>-</v>
      </c>
      <c r="AL21" s="23">
        <v>0</v>
      </c>
      <c r="AM21" s="21">
        <v>0</v>
      </c>
      <c r="AN21" s="139" t="str">
        <f t="shared" ref="AN21" si="60">IF(AM21=0,"-",AL21/AM21)</f>
        <v>-</v>
      </c>
      <c r="AO21" s="20">
        <v>0</v>
      </c>
      <c r="AP21" s="21">
        <v>0</v>
      </c>
      <c r="AQ21" s="139" t="str">
        <f t="shared" ref="AQ21" si="61">IF(AP21=0,"-",AO21/AP21)</f>
        <v>-</v>
      </c>
      <c r="AR21" s="20">
        <v>0</v>
      </c>
      <c r="AS21" s="21">
        <v>0</v>
      </c>
      <c r="AT21" s="139" t="str">
        <f t="shared" ref="AT21" si="62">IF(AS21=0,"-",AR21/AS21)</f>
        <v>-</v>
      </c>
      <c r="AU21" s="23">
        <v>0</v>
      </c>
      <c r="AV21" s="21">
        <v>0</v>
      </c>
      <c r="AW21" s="139" t="str">
        <f t="shared" ref="AW21" si="63">IF(AV21=0,"-",AU21/AV21)</f>
        <v>-</v>
      </c>
      <c r="AX21" s="20">
        <v>0</v>
      </c>
      <c r="AY21" s="21">
        <v>0</v>
      </c>
      <c r="AZ21" s="139" t="str">
        <f t="shared" ref="AZ21" si="64">IF(AY21=0,"-",AX21/AY21)</f>
        <v>-</v>
      </c>
      <c r="BA21" s="20">
        <v>61</v>
      </c>
      <c r="BB21" s="21">
        <v>10</v>
      </c>
      <c r="BC21" s="122">
        <f t="shared" si="32"/>
        <v>6.1</v>
      </c>
      <c r="BD21" s="23">
        <v>0</v>
      </c>
      <c r="BE21" s="21">
        <v>0</v>
      </c>
      <c r="BF21" s="139" t="str">
        <f t="shared" ref="BF21:BF23" si="65">IF(BE21=0,"-",BD21/BE21)</f>
        <v>-</v>
      </c>
      <c r="BG21" s="20">
        <v>0</v>
      </c>
      <c r="BH21" s="21">
        <v>0</v>
      </c>
      <c r="BI21" s="139" t="str">
        <f t="shared" ref="BI21:BI23" si="66">IF(BH21=0,"-",BG21/BH21)</f>
        <v>-</v>
      </c>
      <c r="BJ21" s="20">
        <v>0</v>
      </c>
      <c r="BK21" s="21">
        <v>0</v>
      </c>
      <c r="BL21" s="139" t="str">
        <f t="shared" ref="BL21:BL23" si="67">IF(BK21=0,"-",BJ21/BK21)</f>
        <v>-</v>
      </c>
      <c r="BM21" s="117">
        <f t="shared" si="23"/>
        <v>256</v>
      </c>
      <c r="BN21" s="120">
        <f t="shared" si="24"/>
        <v>39</v>
      </c>
      <c r="BO21" s="147">
        <f t="shared" si="25"/>
        <v>6.5641025641025639</v>
      </c>
    </row>
    <row r="22" spans="1:67" ht="15" thickBot="1" x14ac:dyDescent="0.35">
      <c r="A22" s="1">
        <v>45248</v>
      </c>
      <c r="B22" s="20">
        <v>102</v>
      </c>
      <c r="C22" s="21">
        <v>11</v>
      </c>
      <c r="D22" s="122">
        <f t="shared" si="0"/>
        <v>9.2727272727272734</v>
      </c>
      <c r="E22" s="20">
        <v>0</v>
      </c>
      <c r="F22" s="21">
        <v>0</v>
      </c>
      <c r="G22" s="139" t="str">
        <f>IF(F22=0,"-",E22/F22)</f>
        <v>-</v>
      </c>
      <c r="H22" s="20">
        <v>21</v>
      </c>
      <c r="I22" s="21">
        <v>3</v>
      </c>
      <c r="J22" s="122">
        <f t="shared" si="26"/>
        <v>7</v>
      </c>
      <c r="K22" s="20">
        <v>0</v>
      </c>
      <c r="L22" s="21">
        <v>0</v>
      </c>
      <c r="M22" s="139" t="str">
        <f t="shared" si="44"/>
        <v>-</v>
      </c>
      <c r="N22" s="23">
        <v>60</v>
      </c>
      <c r="O22" s="21">
        <v>14</v>
      </c>
      <c r="P22" s="122">
        <f t="shared" si="3"/>
        <v>4.2857142857142856</v>
      </c>
      <c r="Q22" s="20">
        <v>0</v>
      </c>
      <c r="R22" s="21">
        <v>0</v>
      </c>
      <c r="S22" s="139" t="str">
        <f t="shared" ref="S22:S23" si="68">IF(R22=0,"-",Q22/R22)</f>
        <v>-</v>
      </c>
      <c r="T22" s="20">
        <v>0</v>
      </c>
      <c r="U22" s="21">
        <v>0</v>
      </c>
      <c r="V22" s="139" t="str">
        <f t="shared" si="59"/>
        <v>-</v>
      </c>
      <c r="W22" s="20">
        <v>8</v>
      </c>
      <c r="X22" s="21">
        <v>1</v>
      </c>
      <c r="Y22" s="139">
        <f t="shared" si="28"/>
        <v>8</v>
      </c>
      <c r="Z22" s="23">
        <v>0</v>
      </c>
      <c r="AA22" s="21">
        <v>0</v>
      </c>
      <c r="AB22" s="139" t="str">
        <f t="shared" ref="AB22:AB23" si="69">IF(AA22=0,"-",Z22/AA22)</f>
        <v>-</v>
      </c>
      <c r="AC22" s="20">
        <v>5</v>
      </c>
      <c r="AD22" s="21">
        <v>1</v>
      </c>
      <c r="AE22" s="139">
        <f t="shared" si="20"/>
        <v>5</v>
      </c>
      <c r="AF22" s="23">
        <v>0</v>
      </c>
      <c r="AG22" s="21">
        <v>0</v>
      </c>
      <c r="AH22" s="139" t="str">
        <f t="shared" si="8"/>
        <v>-</v>
      </c>
      <c r="AI22" s="23">
        <v>1</v>
      </c>
      <c r="AJ22" s="21">
        <v>1</v>
      </c>
      <c r="AK22" s="139">
        <f t="shared" si="31"/>
        <v>1</v>
      </c>
      <c r="AL22" s="23">
        <v>8</v>
      </c>
      <c r="AM22" s="21">
        <v>1</v>
      </c>
      <c r="AN22" s="122">
        <f t="shared" si="10"/>
        <v>8</v>
      </c>
      <c r="AO22" s="20">
        <v>0</v>
      </c>
      <c r="AP22" s="21">
        <v>0</v>
      </c>
      <c r="AQ22" s="139" t="str">
        <f t="shared" ref="AQ22:AQ23" si="70">IF(AP22=0,"-",AO22/AP22)</f>
        <v>-</v>
      </c>
      <c r="AR22" s="20">
        <v>0</v>
      </c>
      <c r="AS22" s="21">
        <v>0</v>
      </c>
      <c r="AT22" s="139" t="str">
        <f t="shared" ref="AT22:AT23" si="71">IF(AS22=0,"-",AR22/AS22)</f>
        <v>-</v>
      </c>
      <c r="AU22" s="23">
        <v>0</v>
      </c>
      <c r="AV22" s="21">
        <v>0</v>
      </c>
      <c r="AW22" s="139" t="str">
        <f t="shared" ref="AW22:AW33" si="72">IF(AV22=0,"-",AU22/AV22)</f>
        <v>-</v>
      </c>
      <c r="AX22" s="20">
        <v>0</v>
      </c>
      <c r="AY22" s="21">
        <v>0</v>
      </c>
      <c r="AZ22" s="139" t="str">
        <f t="shared" ref="AZ22" si="73">IF(AY22=0,"-",AX22/AY22)</f>
        <v>-</v>
      </c>
      <c r="BA22" s="20">
        <v>94</v>
      </c>
      <c r="BB22" s="21">
        <v>15</v>
      </c>
      <c r="BC22" s="122">
        <f t="shared" si="32"/>
        <v>6.2666666666666666</v>
      </c>
      <c r="BD22" s="23">
        <v>0</v>
      </c>
      <c r="BE22" s="21">
        <v>0</v>
      </c>
      <c r="BF22" s="139" t="str">
        <f t="shared" si="65"/>
        <v>-</v>
      </c>
      <c r="BG22" s="20">
        <v>0</v>
      </c>
      <c r="BH22" s="21">
        <v>0</v>
      </c>
      <c r="BI22" s="139" t="str">
        <f t="shared" si="66"/>
        <v>-</v>
      </c>
      <c r="BJ22" s="20">
        <v>0</v>
      </c>
      <c r="BK22" s="21">
        <v>0</v>
      </c>
      <c r="BL22" s="139" t="str">
        <f t="shared" si="67"/>
        <v>-</v>
      </c>
      <c r="BM22" s="117">
        <f t="shared" si="23"/>
        <v>299</v>
      </c>
      <c r="BN22" s="120">
        <f t="shared" si="24"/>
        <v>47</v>
      </c>
      <c r="BO22" s="147">
        <f t="shared" si="25"/>
        <v>6.3617021276595747</v>
      </c>
    </row>
    <row r="23" spans="1:67" ht="15" thickBot="1" x14ac:dyDescent="0.35">
      <c r="A23" s="1">
        <v>45249</v>
      </c>
      <c r="B23" s="20">
        <v>79</v>
      </c>
      <c r="C23" s="21">
        <v>9</v>
      </c>
      <c r="D23" s="122">
        <f t="shared" si="0"/>
        <v>8.7777777777777786</v>
      </c>
      <c r="E23" s="20">
        <v>8</v>
      </c>
      <c r="F23" s="21">
        <v>1</v>
      </c>
      <c r="G23" s="122">
        <f t="shared" si="19"/>
        <v>8</v>
      </c>
      <c r="H23" s="20">
        <v>0</v>
      </c>
      <c r="I23" s="21">
        <v>0</v>
      </c>
      <c r="J23" s="139" t="str">
        <f>IF(I23=0,"-",H23/I23)</f>
        <v>-</v>
      </c>
      <c r="K23" s="20">
        <v>0</v>
      </c>
      <c r="L23" s="21">
        <v>0</v>
      </c>
      <c r="M23" s="139" t="str">
        <f t="shared" si="44"/>
        <v>-</v>
      </c>
      <c r="N23" s="23">
        <v>12</v>
      </c>
      <c r="O23" s="21">
        <v>3</v>
      </c>
      <c r="P23" s="122">
        <f t="shared" si="3"/>
        <v>4</v>
      </c>
      <c r="Q23" s="20">
        <v>0</v>
      </c>
      <c r="R23" s="21">
        <v>0</v>
      </c>
      <c r="S23" s="139" t="str">
        <f t="shared" si="68"/>
        <v>-</v>
      </c>
      <c r="T23" s="20">
        <v>0</v>
      </c>
      <c r="U23" s="21">
        <v>0</v>
      </c>
      <c r="V23" s="139" t="str">
        <f t="shared" si="59"/>
        <v>-</v>
      </c>
      <c r="W23" s="23">
        <v>0</v>
      </c>
      <c r="X23" s="21">
        <v>0</v>
      </c>
      <c r="Y23" s="139" t="str">
        <f t="shared" si="28"/>
        <v>-</v>
      </c>
      <c r="Z23" s="23">
        <v>0</v>
      </c>
      <c r="AA23" s="21">
        <v>0</v>
      </c>
      <c r="AB23" s="139" t="str">
        <f t="shared" si="69"/>
        <v>-</v>
      </c>
      <c r="AC23" s="23">
        <v>0</v>
      </c>
      <c r="AD23" s="21">
        <v>0</v>
      </c>
      <c r="AE23" s="139" t="str">
        <f t="shared" si="20"/>
        <v>-</v>
      </c>
      <c r="AF23" s="23">
        <v>0</v>
      </c>
      <c r="AG23" s="21">
        <v>0</v>
      </c>
      <c r="AH23" s="139" t="str">
        <f t="shared" si="8"/>
        <v>-</v>
      </c>
      <c r="AI23" s="23">
        <v>0</v>
      </c>
      <c r="AJ23" s="21">
        <v>0</v>
      </c>
      <c r="AK23" s="139" t="str">
        <f t="shared" si="31"/>
        <v>-</v>
      </c>
      <c r="AL23" s="23">
        <v>31</v>
      </c>
      <c r="AM23" s="21">
        <v>4</v>
      </c>
      <c r="AN23" s="122">
        <f t="shared" si="10"/>
        <v>7.75</v>
      </c>
      <c r="AO23" s="20">
        <v>0</v>
      </c>
      <c r="AP23" s="21">
        <v>0</v>
      </c>
      <c r="AQ23" s="139" t="str">
        <f t="shared" si="70"/>
        <v>-</v>
      </c>
      <c r="AR23" s="20">
        <v>0</v>
      </c>
      <c r="AS23" s="21">
        <v>0</v>
      </c>
      <c r="AT23" s="139" t="str">
        <f t="shared" si="71"/>
        <v>-</v>
      </c>
      <c r="AU23" s="23">
        <v>15</v>
      </c>
      <c r="AV23" s="21">
        <v>2</v>
      </c>
      <c r="AW23" s="139">
        <f t="shared" si="72"/>
        <v>7.5</v>
      </c>
      <c r="AX23" s="20">
        <v>0</v>
      </c>
      <c r="AY23" s="21">
        <v>0</v>
      </c>
      <c r="AZ23" s="139" t="str">
        <f t="shared" ref="AZ23:AZ24" si="74">IF(AY23=0,"-",AX23/AY23)</f>
        <v>-</v>
      </c>
      <c r="BA23" s="20">
        <v>0</v>
      </c>
      <c r="BB23" s="21">
        <v>0</v>
      </c>
      <c r="BC23" s="139" t="str">
        <f t="shared" ref="BC23:BC32" si="75">IF(BB23=0,"-",BA23/BB23)</f>
        <v>-</v>
      </c>
      <c r="BD23" s="23">
        <v>0</v>
      </c>
      <c r="BE23" s="21">
        <v>0</v>
      </c>
      <c r="BF23" s="139" t="str">
        <f t="shared" si="65"/>
        <v>-</v>
      </c>
      <c r="BG23" s="20">
        <v>0</v>
      </c>
      <c r="BH23" s="21">
        <v>0</v>
      </c>
      <c r="BI23" s="139" t="str">
        <f t="shared" si="66"/>
        <v>-</v>
      </c>
      <c r="BJ23" s="20">
        <v>0</v>
      </c>
      <c r="BK23" s="21">
        <v>0</v>
      </c>
      <c r="BL23" s="139" t="str">
        <f t="shared" si="67"/>
        <v>-</v>
      </c>
      <c r="BM23" s="117">
        <f t="shared" si="23"/>
        <v>145</v>
      </c>
      <c r="BN23" s="120">
        <f t="shared" si="24"/>
        <v>19</v>
      </c>
      <c r="BO23" s="147">
        <f t="shared" si="25"/>
        <v>7.6315789473684212</v>
      </c>
    </row>
    <row r="24" spans="1:67" ht="15" thickBot="1" x14ac:dyDescent="0.35">
      <c r="A24" s="1">
        <v>45250</v>
      </c>
      <c r="B24" s="20">
        <v>35</v>
      </c>
      <c r="C24" s="21">
        <v>4</v>
      </c>
      <c r="D24" s="122">
        <f t="shared" si="0"/>
        <v>8.75</v>
      </c>
      <c r="E24" s="20">
        <v>6</v>
      </c>
      <c r="F24" s="21">
        <v>1</v>
      </c>
      <c r="G24" s="122">
        <f t="shared" si="19"/>
        <v>6</v>
      </c>
      <c r="H24" s="20">
        <v>0</v>
      </c>
      <c r="I24" s="21">
        <v>0</v>
      </c>
      <c r="J24" s="139" t="str">
        <f>IF(I24=0,"-",H24/I24)</f>
        <v>-</v>
      </c>
      <c r="K24" s="20">
        <v>0</v>
      </c>
      <c r="L24" s="21">
        <v>0</v>
      </c>
      <c r="M24" s="139" t="str">
        <f t="shared" ref="M24" si="76">IF(L24=0,"-",K24/L24)</f>
        <v>-</v>
      </c>
      <c r="N24" s="23">
        <v>28</v>
      </c>
      <c r="O24" s="21">
        <v>6</v>
      </c>
      <c r="P24" s="122">
        <f t="shared" si="3"/>
        <v>4.666666666666667</v>
      </c>
      <c r="Q24" s="20">
        <v>0</v>
      </c>
      <c r="R24" s="21">
        <v>0</v>
      </c>
      <c r="S24" s="139" t="str">
        <f t="shared" ref="S24" si="77">IF(R24=0,"-",Q24/R24)</f>
        <v>-</v>
      </c>
      <c r="T24" s="20">
        <v>0</v>
      </c>
      <c r="U24" s="21">
        <v>0</v>
      </c>
      <c r="V24" s="139" t="str">
        <f t="shared" ref="V24" si="78">IF(U24=0,"-",T24/U24)</f>
        <v>-</v>
      </c>
      <c r="W24" s="23">
        <v>0</v>
      </c>
      <c r="X24" s="21">
        <v>0</v>
      </c>
      <c r="Y24" s="139" t="str">
        <f t="shared" si="28"/>
        <v>-</v>
      </c>
      <c r="Z24" s="23">
        <v>0</v>
      </c>
      <c r="AA24" s="21">
        <v>0</v>
      </c>
      <c r="AB24" s="139" t="str">
        <f t="shared" ref="AB24" si="79">IF(AA24=0,"-",Z24/AA24)</f>
        <v>-</v>
      </c>
      <c r="AC24" s="23">
        <v>4</v>
      </c>
      <c r="AD24" s="21">
        <v>2</v>
      </c>
      <c r="AE24" s="139">
        <f t="shared" si="20"/>
        <v>2</v>
      </c>
      <c r="AF24" s="23">
        <v>0</v>
      </c>
      <c r="AG24" s="21">
        <v>0</v>
      </c>
      <c r="AH24" s="139" t="str">
        <f t="shared" si="8"/>
        <v>-</v>
      </c>
      <c r="AI24" s="23">
        <v>4</v>
      </c>
      <c r="AJ24" s="21">
        <v>2</v>
      </c>
      <c r="AK24" s="139">
        <f t="shared" si="31"/>
        <v>2</v>
      </c>
      <c r="AL24" s="20">
        <v>0</v>
      </c>
      <c r="AM24" s="21">
        <v>0</v>
      </c>
      <c r="AN24" s="139" t="str">
        <f t="shared" ref="AN24" si="80">IF(AM24=0,"-",AL24/AM24)</f>
        <v>-</v>
      </c>
      <c r="AO24" s="20">
        <v>0</v>
      </c>
      <c r="AP24" s="21">
        <v>0</v>
      </c>
      <c r="AQ24" s="139" t="str">
        <f t="shared" ref="AQ24" si="81">IF(AP24=0,"-",AO24/AP24)</f>
        <v>-</v>
      </c>
      <c r="AR24" s="20">
        <v>0</v>
      </c>
      <c r="AS24" s="21">
        <v>0</v>
      </c>
      <c r="AT24" s="139" t="str">
        <f t="shared" ref="AT24" si="82">IF(AS24=0,"-",AR24/AS24)</f>
        <v>-</v>
      </c>
      <c r="AU24" s="20">
        <v>0</v>
      </c>
      <c r="AV24" s="21">
        <v>0</v>
      </c>
      <c r="AW24" s="139" t="str">
        <f t="shared" si="72"/>
        <v>-</v>
      </c>
      <c r="AX24" s="20">
        <v>0</v>
      </c>
      <c r="AY24" s="21">
        <v>0</v>
      </c>
      <c r="AZ24" s="139" t="str">
        <f t="shared" si="74"/>
        <v>-</v>
      </c>
      <c r="BA24" s="20">
        <v>20</v>
      </c>
      <c r="BB24" s="21">
        <v>3</v>
      </c>
      <c r="BC24" s="139">
        <f t="shared" si="75"/>
        <v>6.666666666666667</v>
      </c>
      <c r="BD24" s="23">
        <v>0</v>
      </c>
      <c r="BE24" s="21">
        <v>0</v>
      </c>
      <c r="BF24" s="139" t="str">
        <f t="shared" ref="BF24" si="83">IF(BE24=0,"-",BD24/BE24)</f>
        <v>-</v>
      </c>
      <c r="BG24" s="20">
        <v>0</v>
      </c>
      <c r="BH24" s="21">
        <v>0</v>
      </c>
      <c r="BI24" s="139" t="str">
        <f t="shared" ref="BI24" si="84">IF(BH24=0,"-",BG24/BH24)</f>
        <v>-</v>
      </c>
      <c r="BJ24" s="20">
        <v>0</v>
      </c>
      <c r="BK24" s="21">
        <v>0</v>
      </c>
      <c r="BL24" s="139" t="str">
        <f t="shared" ref="BL24" si="85">IF(BK24=0,"-",BJ24/BK24)</f>
        <v>-</v>
      </c>
      <c r="BM24" s="117">
        <f t="shared" si="23"/>
        <v>97</v>
      </c>
      <c r="BN24" s="120">
        <f t="shared" si="24"/>
        <v>18</v>
      </c>
      <c r="BO24" s="147">
        <f t="shared" si="25"/>
        <v>5.3888888888888893</v>
      </c>
    </row>
    <row r="25" spans="1:67" ht="15" thickBot="1" x14ac:dyDescent="0.35">
      <c r="A25" s="1">
        <v>45251</v>
      </c>
      <c r="B25" s="20">
        <v>9</v>
      </c>
      <c r="C25" s="21">
        <v>1</v>
      </c>
      <c r="D25" s="122">
        <f>IF(C25=0,"",B25/C25)</f>
        <v>9</v>
      </c>
      <c r="E25" s="20">
        <v>0</v>
      </c>
      <c r="F25" s="21">
        <v>0</v>
      </c>
      <c r="G25" s="139" t="str">
        <f>IF(F25=0,"-",E25/F25)</f>
        <v>-</v>
      </c>
      <c r="H25" s="20">
        <v>9</v>
      </c>
      <c r="I25" s="21">
        <v>1</v>
      </c>
      <c r="J25" s="122">
        <f t="shared" si="26"/>
        <v>9</v>
      </c>
      <c r="K25" s="20">
        <v>0</v>
      </c>
      <c r="L25" s="21">
        <v>0</v>
      </c>
      <c r="M25" s="139" t="str">
        <f t="shared" ref="M25" si="86">IF(L25=0,"-",K25/L25)</f>
        <v>-</v>
      </c>
      <c r="N25" s="23">
        <v>18</v>
      </c>
      <c r="O25" s="21">
        <v>3</v>
      </c>
      <c r="P25" s="122">
        <f t="shared" si="3"/>
        <v>6</v>
      </c>
      <c r="Q25" s="20">
        <v>0</v>
      </c>
      <c r="R25" s="21">
        <v>0</v>
      </c>
      <c r="S25" s="139" t="str">
        <f t="shared" ref="S25:S27" si="87">IF(R25=0,"-",Q25/R25)</f>
        <v>-</v>
      </c>
      <c r="T25" s="20">
        <v>0</v>
      </c>
      <c r="U25" s="21">
        <v>0</v>
      </c>
      <c r="V25" s="139" t="str">
        <f t="shared" ref="V25" si="88">IF(U25=0,"-",T25/U25)</f>
        <v>-</v>
      </c>
      <c r="W25" s="23">
        <v>6</v>
      </c>
      <c r="X25" s="21">
        <v>1</v>
      </c>
      <c r="Y25" s="139">
        <f t="shared" si="28"/>
        <v>6</v>
      </c>
      <c r="Z25" s="23">
        <v>0</v>
      </c>
      <c r="AA25" s="21">
        <v>0</v>
      </c>
      <c r="AB25" s="139" t="str">
        <f t="shared" ref="AB25" si="89">IF(AA25=0,"-",Z25/AA25)</f>
        <v>-</v>
      </c>
      <c r="AC25" s="23">
        <v>5</v>
      </c>
      <c r="AD25" s="21">
        <v>1</v>
      </c>
      <c r="AE25" s="139">
        <f t="shared" si="20"/>
        <v>5</v>
      </c>
      <c r="AF25" s="23">
        <v>0</v>
      </c>
      <c r="AG25" s="21">
        <v>0</v>
      </c>
      <c r="AH25" s="139" t="str">
        <f t="shared" si="8"/>
        <v>-</v>
      </c>
      <c r="AI25" s="23">
        <v>15</v>
      </c>
      <c r="AJ25" s="148">
        <v>3</v>
      </c>
      <c r="AK25" s="139">
        <f t="shared" si="31"/>
        <v>5</v>
      </c>
      <c r="AL25" s="23">
        <v>29</v>
      </c>
      <c r="AM25" s="21">
        <v>5</v>
      </c>
      <c r="AN25" s="122">
        <f t="shared" si="10"/>
        <v>5.8</v>
      </c>
      <c r="AO25" s="20">
        <v>0</v>
      </c>
      <c r="AP25" s="21">
        <v>0</v>
      </c>
      <c r="AQ25" s="139" t="str">
        <f t="shared" ref="AQ25" si="90">IF(AP25=0,"-",AO25/AP25)</f>
        <v>-</v>
      </c>
      <c r="AR25" s="20">
        <v>0</v>
      </c>
      <c r="AS25" s="21">
        <v>0</v>
      </c>
      <c r="AT25" s="139" t="str">
        <f t="shared" ref="AT25" si="91">IF(AS25=0,"-",AR25/AS25)</f>
        <v>-</v>
      </c>
      <c r="AU25" s="20">
        <v>0</v>
      </c>
      <c r="AV25" s="21">
        <v>0</v>
      </c>
      <c r="AW25" s="139" t="str">
        <f t="shared" si="72"/>
        <v>-</v>
      </c>
      <c r="AX25" s="20">
        <v>0</v>
      </c>
      <c r="AY25" s="21">
        <v>0</v>
      </c>
      <c r="AZ25" s="139" t="str">
        <f t="shared" ref="AZ25" si="92">IF(AY25=0,"-",AX25/AY25)</f>
        <v>-</v>
      </c>
      <c r="BA25" s="20">
        <v>0</v>
      </c>
      <c r="BB25" s="21">
        <v>0</v>
      </c>
      <c r="BC25" s="139" t="str">
        <f t="shared" si="75"/>
        <v>-</v>
      </c>
      <c r="BD25" s="23">
        <v>0</v>
      </c>
      <c r="BE25" s="21">
        <v>0</v>
      </c>
      <c r="BF25" s="139" t="str">
        <f t="shared" ref="BF25" si="93">IF(BE25=0,"-",BD25/BE25)</f>
        <v>-</v>
      </c>
      <c r="BG25" s="20">
        <v>0</v>
      </c>
      <c r="BH25" s="21">
        <v>0</v>
      </c>
      <c r="BI25" s="139" t="str">
        <f t="shared" ref="BI25" si="94">IF(BH25=0,"-",BG25/BH25)</f>
        <v>-</v>
      </c>
      <c r="BJ25" s="20">
        <v>0</v>
      </c>
      <c r="BK25" s="21">
        <v>0</v>
      </c>
      <c r="BL25" s="139" t="str">
        <f t="shared" ref="BL25" si="95">IF(BK25=0,"-",BJ25/BK25)</f>
        <v>-</v>
      </c>
      <c r="BM25" s="117">
        <f t="shared" si="23"/>
        <v>91</v>
      </c>
      <c r="BN25" s="120">
        <f>BK25+BH25+BE25+BB25+AY25+AV25+AS25+AP25+AM25+L25+R25+O25+I25+F25+AJ26+AG25+AD25+AA25+X25+C25</f>
        <v>14</v>
      </c>
      <c r="BO25" s="147">
        <f t="shared" si="25"/>
        <v>6.5</v>
      </c>
    </row>
    <row r="26" spans="1:67" ht="15" thickBot="1" x14ac:dyDescent="0.35">
      <c r="A26" s="1">
        <v>45252</v>
      </c>
      <c r="B26" s="20">
        <v>43</v>
      </c>
      <c r="C26" s="21">
        <v>6</v>
      </c>
      <c r="D26" s="122">
        <f t="shared" si="0"/>
        <v>7.166666666666667</v>
      </c>
      <c r="E26" s="20">
        <v>15</v>
      </c>
      <c r="F26" s="21">
        <v>2</v>
      </c>
      <c r="G26" s="122">
        <f t="shared" si="19"/>
        <v>7.5</v>
      </c>
      <c r="H26" s="20">
        <v>24</v>
      </c>
      <c r="I26" s="21">
        <v>3</v>
      </c>
      <c r="J26" s="122">
        <f t="shared" si="26"/>
        <v>8</v>
      </c>
      <c r="K26" s="20">
        <v>0</v>
      </c>
      <c r="L26" s="21">
        <v>0</v>
      </c>
      <c r="M26" s="139" t="str">
        <f t="shared" ref="M26:M27" si="96">IF(L26=0,"-",K26/L26)</f>
        <v>-</v>
      </c>
      <c r="N26" s="23">
        <v>49</v>
      </c>
      <c r="O26" s="21">
        <v>9</v>
      </c>
      <c r="P26" s="122">
        <f t="shared" si="3"/>
        <v>5.4444444444444446</v>
      </c>
      <c r="Q26" s="20">
        <v>0</v>
      </c>
      <c r="R26" s="21">
        <v>0</v>
      </c>
      <c r="S26" s="139" t="str">
        <f t="shared" si="87"/>
        <v>-</v>
      </c>
      <c r="T26" s="20">
        <v>0</v>
      </c>
      <c r="U26" s="21">
        <v>0</v>
      </c>
      <c r="V26" s="139" t="str">
        <f t="shared" ref="V26:V34" si="97">IF(U26=0,"-",T26/U26)</f>
        <v>-</v>
      </c>
      <c r="W26" s="23">
        <v>0</v>
      </c>
      <c r="X26" s="21">
        <v>0</v>
      </c>
      <c r="Y26" s="139" t="str">
        <f t="shared" si="28"/>
        <v>-</v>
      </c>
      <c r="Z26" s="23">
        <v>0</v>
      </c>
      <c r="AA26" s="21">
        <v>0</v>
      </c>
      <c r="AB26" s="139" t="str">
        <f t="shared" ref="AB26:AB31" si="98">IF(AA26=0,"-",Z26/AA26)</f>
        <v>-</v>
      </c>
      <c r="AC26" s="23">
        <v>1</v>
      </c>
      <c r="AD26" s="21">
        <v>1</v>
      </c>
      <c r="AE26" s="139">
        <f t="shared" si="20"/>
        <v>1</v>
      </c>
      <c r="AF26" s="23">
        <v>0</v>
      </c>
      <c r="AG26" s="21">
        <v>0</v>
      </c>
      <c r="AH26" s="139" t="str">
        <f t="shared" si="8"/>
        <v>-</v>
      </c>
      <c r="AI26" s="23">
        <v>10</v>
      </c>
      <c r="AJ26" s="21">
        <v>2</v>
      </c>
      <c r="AK26" s="139">
        <f t="shared" si="31"/>
        <v>5</v>
      </c>
      <c r="AL26" s="23">
        <v>16</v>
      </c>
      <c r="AM26" s="21">
        <v>2</v>
      </c>
      <c r="AN26" s="122">
        <f t="shared" si="10"/>
        <v>8</v>
      </c>
      <c r="AO26" s="20">
        <v>0</v>
      </c>
      <c r="AP26" s="21">
        <v>0</v>
      </c>
      <c r="AQ26" s="139" t="str">
        <f t="shared" ref="AQ26" si="99">IF(AP26=0,"-",AO26/AP26)</f>
        <v>-</v>
      </c>
      <c r="AR26" s="20">
        <v>0</v>
      </c>
      <c r="AS26" s="21">
        <v>0</v>
      </c>
      <c r="AT26" s="139" t="str">
        <f t="shared" ref="AT26" si="100">IF(AS26=0,"-",AR26/AS26)</f>
        <v>-</v>
      </c>
      <c r="AU26" s="20">
        <v>0</v>
      </c>
      <c r="AV26" s="21">
        <v>0</v>
      </c>
      <c r="AW26" s="139" t="str">
        <f t="shared" si="72"/>
        <v>-</v>
      </c>
      <c r="AX26" s="20">
        <v>0</v>
      </c>
      <c r="AY26" s="21">
        <v>0</v>
      </c>
      <c r="AZ26" s="139" t="str">
        <f t="shared" ref="AZ26" si="101">IF(AY26=0,"-",AX26/AY26)</f>
        <v>-</v>
      </c>
      <c r="BA26" s="20">
        <v>30</v>
      </c>
      <c r="BB26" s="21">
        <v>4</v>
      </c>
      <c r="BC26" s="139">
        <f t="shared" si="75"/>
        <v>7.5</v>
      </c>
      <c r="BD26" s="23">
        <v>0</v>
      </c>
      <c r="BE26" s="21">
        <v>0</v>
      </c>
      <c r="BF26" s="139" t="str">
        <f t="shared" ref="BF26" si="102">IF(BE26=0,"-",BD26/BE26)</f>
        <v>-</v>
      </c>
      <c r="BG26" s="20">
        <v>0</v>
      </c>
      <c r="BH26" s="21">
        <v>0</v>
      </c>
      <c r="BI26" s="139" t="str">
        <f t="shared" ref="BI26" si="103">IF(BH26=0,"-",BG26/BH26)</f>
        <v>-</v>
      </c>
      <c r="BJ26" s="20">
        <v>0</v>
      </c>
      <c r="BK26" s="21">
        <v>0</v>
      </c>
      <c r="BL26" s="139" t="str">
        <f t="shared" ref="BL26" si="104">IF(BK26=0,"-",BJ26/BK26)</f>
        <v>-</v>
      </c>
      <c r="BM26" s="117">
        <f t="shared" si="23"/>
        <v>188</v>
      </c>
      <c r="BN26" s="120">
        <f>BK26+BH26+BE26+BB26+AY26+AV26+AS26+AP26+AM26+L26+R26+O26+I26+F26+AJ27+AG26+AD26+AA26+X26+C26</f>
        <v>27</v>
      </c>
      <c r="BO26" s="147">
        <f t="shared" si="25"/>
        <v>6.9629629629629628</v>
      </c>
    </row>
    <row r="27" spans="1:67" ht="15" thickBot="1" x14ac:dyDescent="0.35">
      <c r="A27" s="1">
        <v>45253</v>
      </c>
      <c r="B27" s="20">
        <v>97</v>
      </c>
      <c r="C27" s="21">
        <v>11</v>
      </c>
      <c r="D27" s="122">
        <f t="shared" si="0"/>
        <v>8.8181818181818183</v>
      </c>
      <c r="E27" s="20">
        <v>8</v>
      </c>
      <c r="F27" s="21">
        <v>1</v>
      </c>
      <c r="G27" s="122">
        <f t="shared" si="19"/>
        <v>8</v>
      </c>
      <c r="H27" s="20">
        <v>22</v>
      </c>
      <c r="I27" s="21">
        <v>3</v>
      </c>
      <c r="J27" s="122">
        <f t="shared" si="26"/>
        <v>7.333333333333333</v>
      </c>
      <c r="K27" s="20">
        <v>0</v>
      </c>
      <c r="L27" s="21">
        <v>0</v>
      </c>
      <c r="M27" s="139" t="str">
        <f t="shared" si="96"/>
        <v>-</v>
      </c>
      <c r="N27" s="23">
        <v>42</v>
      </c>
      <c r="O27" s="21">
        <v>11</v>
      </c>
      <c r="P27" s="122">
        <f t="shared" si="3"/>
        <v>3.8181818181818183</v>
      </c>
      <c r="Q27" s="20">
        <v>0</v>
      </c>
      <c r="R27" s="21">
        <v>0</v>
      </c>
      <c r="S27" s="139" t="str">
        <f t="shared" si="87"/>
        <v>-</v>
      </c>
      <c r="T27" s="20">
        <v>0</v>
      </c>
      <c r="U27" s="21">
        <v>0</v>
      </c>
      <c r="V27" s="139" t="str">
        <f t="shared" si="97"/>
        <v>-</v>
      </c>
      <c r="W27" s="23">
        <v>0</v>
      </c>
      <c r="X27" s="21">
        <v>0</v>
      </c>
      <c r="Y27" s="139" t="str">
        <f t="shared" si="28"/>
        <v>-</v>
      </c>
      <c r="Z27" s="23">
        <v>0</v>
      </c>
      <c r="AA27" s="21">
        <v>0</v>
      </c>
      <c r="AB27" s="139" t="str">
        <f t="shared" si="98"/>
        <v>-</v>
      </c>
      <c r="AC27" s="23">
        <v>0</v>
      </c>
      <c r="AD27" s="21">
        <v>0</v>
      </c>
      <c r="AE27" s="139" t="str">
        <f t="shared" si="20"/>
        <v>-</v>
      </c>
      <c r="AF27" s="23">
        <v>0</v>
      </c>
      <c r="AG27" s="21">
        <v>0</v>
      </c>
      <c r="AH27" s="139" t="str">
        <f t="shared" si="8"/>
        <v>-</v>
      </c>
      <c r="AI27" s="23">
        <v>0</v>
      </c>
      <c r="AJ27" s="21">
        <v>0</v>
      </c>
      <c r="AK27" s="139" t="str">
        <f t="shared" si="31"/>
        <v>-</v>
      </c>
      <c r="AL27" s="23">
        <v>17</v>
      </c>
      <c r="AM27" s="21">
        <v>2</v>
      </c>
      <c r="AN27" s="122">
        <f t="shared" si="10"/>
        <v>8.5</v>
      </c>
      <c r="AO27" s="20">
        <v>0</v>
      </c>
      <c r="AP27" s="21">
        <v>0</v>
      </c>
      <c r="AQ27" s="139" t="str">
        <f t="shared" ref="AQ27:AQ29" si="105">IF(AP27=0,"-",AO27/AP27)</f>
        <v>-</v>
      </c>
      <c r="AR27" s="20">
        <v>0</v>
      </c>
      <c r="AS27" s="21">
        <v>0</v>
      </c>
      <c r="AT27" s="139" t="str">
        <f t="shared" ref="AT27:AT29" si="106">IF(AS27=0,"-",AR27/AS27)</f>
        <v>-</v>
      </c>
      <c r="AU27" s="20">
        <v>0</v>
      </c>
      <c r="AV27" s="21">
        <v>0</v>
      </c>
      <c r="AW27" s="139" t="str">
        <f t="shared" si="72"/>
        <v>-</v>
      </c>
      <c r="AX27" s="20">
        <v>0</v>
      </c>
      <c r="AY27" s="21">
        <v>0</v>
      </c>
      <c r="AZ27" s="139" t="str">
        <f t="shared" ref="AZ27:AZ29" si="107">IF(AY27=0,"-",AX27/AY27)</f>
        <v>-</v>
      </c>
      <c r="BA27" s="20">
        <v>10</v>
      </c>
      <c r="BB27" s="21">
        <v>2</v>
      </c>
      <c r="BC27" s="139">
        <f t="shared" si="75"/>
        <v>5</v>
      </c>
      <c r="BD27" s="23">
        <v>0</v>
      </c>
      <c r="BE27" s="21">
        <v>0</v>
      </c>
      <c r="BF27" s="139" t="str">
        <f t="shared" ref="BF27:BF29" si="108">IF(BE27=0,"-",BD27/BE27)</f>
        <v>-</v>
      </c>
      <c r="BG27" s="20">
        <v>0</v>
      </c>
      <c r="BH27" s="21">
        <v>0</v>
      </c>
      <c r="BI27" s="139" t="str">
        <f t="shared" ref="BI27:BI29" si="109">IF(BH27=0,"-",BG27/BH27)</f>
        <v>-</v>
      </c>
      <c r="BJ27" s="20">
        <v>0</v>
      </c>
      <c r="BK27" s="21">
        <v>0</v>
      </c>
      <c r="BL27" s="139" t="str">
        <f t="shared" ref="BL27:BL29" si="110">IF(BK27=0,"-",BJ27/BK27)</f>
        <v>-</v>
      </c>
      <c r="BM27" s="117">
        <f t="shared" si="23"/>
        <v>196</v>
      </c>
      <c r="BN27" s="120">
        <f t="shared" si="24"/>
        <v>30</v>
      </c>
      <c r="BO27" s="147">
        <f t="shared" si="25"/>
        <v>6.5333333333333332</v>
      </c>
    </row>
    <row r="28" spans="1:67" ht="15" thickBot="1" x14ac:dyDescent="0.35">
      <c r="A28" s="1">
        <v>45254</v>
      </c>
      <c r="B28" s="20">
        <v>17</v>
      </c>
      <c r="C28" s="21">
        <v>2</v>
      </c>
      <c r="D28" s="122">
        <f t="shared" si="0"/>
        <v>8.5</v>
      </c>
      <c r="E28" s="20">
        <v>0</v>
      </c>
      <c r="F28" s="21">
        <v>0</v>
      </c>
      <c r="G28" s="139" t="str">
        <f>IF(F28=0,"-",E28/F28)</f>
        <v>-</v>
      </c>
      <c r="H28" s="20">
        <v>25</v>
      </c>
      <c r="I28" s="21">
        <v>5</v>
      </c>
      <c r="J28" s="122">
        <f t="shared" si="26"/>
        <v>5</v>
      </c>
      <c r="K28" s="20">
        <v>25</v>
      </c>
      <c r="L28" s="21">
        <v>3</v>
      </c>
      <c r="M28" s="122">
        <f t="shared" si="35"/>
        <v>8.3333333333333339</v>
      </c>
      <c r="N28" s="23">
        <v>46</v>
      </c>
      <c r="O28" s="21">
        <v>9</v>
      </c>
      <c r="P28" s="122">
        <f t="shared" si="3"/>
        <v>5.1111111111111107</v>
      </c>
      <c r="Q28" s="20">
        <v>0</v>
      </c>
      <c r="R28" s="21">
        <v>0</v>
      </c>
      <c r="S28" s="139" t="str">
        <f t="shared" ref="S28" si="111">IF(R28=0,"-",Q28/R28)</f>
        <v>-</v>
      </c>
      <c r="T28" s="20">
        <v>0</v>
      </c>
      <c r="U28" s="21">
        <v>0</v>
      </c>
      <c r="V28" s="139" t="str">
        <f t="shared" si="97"/>
        <v>-</v>
      </c>
      <c r="W28" s="20">
        <v>4</v>
      </c>
      <c r="X28" s="21">
        <v>1</v>
      </c>
      <c r="Y28" s="139">
        <f t="shared" si="28"/>
        <v>4</v>
      </c>
      <c r="Z28" s="23">
        <v>0</v>
      </c>
      <c r="AA28" s="21">
        <v>0</v>
      </c>
      <c r="AB28" s="139" t="str">
        <f t="shared" si="98"/>
        <v>-</v>
      </c>
      <c r="AC28" s="23">
        <v>0</v>
      </c>
      <c r="AD28" s="21">
        <v>0</v>
      </c>
      <c r="AE28" s="139" t="str">
        <f t="shared" si="20"/>
        <v>-</v>
      </c>
      <c r="AF28" s="23">
        <v>0</v>
      </c>
      <c r="AG28" s="21">
        <v>0</v>
      </c>
      <c r="AH28" s="139" t="str">
        <f t="shared" si="8"/>
        <v>-</v>
      </c>
      <c r="AI28" s="23">
        <v>0</v>
      </c>
      <c r="AJ28" s="21">
        <v>0</v>
      </c>
      <c r="AK28" s="139" t="str">
        <f t="shared" si="31"/>
        <v>-</v>
      </c>
      <c r="AL28" s="23">
        <v>53</v>
      </c>
      <c r="AM28" s="21">
        <v>7</v>
      </c>
      <c r="AN28" s="122">
        <f t="shared" si="10"/>
        <v>7.5714285714285712</v>
      </c>
      <c r="AO28" s="20">
        <v>0</v>
      </c>
      <c r="AP28" s="21">
        <v>0</v>
      </c>
      <c r="AQ28" s="139" t="str">
        <f t="shared" si="105"/>
        <v>-</v>
      </c>
      <c r="AR28" s="20">
        <v>0</v>
      </c>
      <c r="AS28" s="21">
        <v>0</v>
      </c>
      <c r="AT28" s="139" t="str">
        <f t="shared" si="106"/>
        <v>-</v>
      </c>
      <c r="AU28" s="23">
        <v>6</v>
      </c>
      <c r="AV28" s="21">
        <v>1</v>
      </c>
      <c r="AW28" s="139">
        <f t="shared" si="72"/>
        <v>6</v>
      </c>
      <c r="AX28" s="20">
        <v>0</v>
      </c>
      <c r="AY28" s="21">
        <v>0</v>
      </c>
      <c r="AZ28" s="139" t="str">
        <f t="shared" si="107"/>
        <v>-</v>
      </c>
      <c r="BA28" s="20">
        <v>26</v>
      </c>
      <c r="BB28" s="21">
        <v>4</v>
      </c>
      <c r="BC28" s="139">
        <f t="shared" si="75"/>
        <v>6.5</v>
      </c>
      <c r="BD28" s="23">
        <v>0</v>
      </c>
      <c r="BE28" s="21">
        <v>0</v>
      </c>
      <c r="BF28" s="139" t="str">
        <f t="shared" si="108"/>
        <v>-</v>
      </c>
      <c r="BG28" s="20">
        <v>0</v>
      </c>
      <c r="BH28" s="21">
        <v>0</v>
      </c>
      <c r="BI28" s="139" t="str">
        <f t="shared" si="109"/>
        <v>-</v>
      </c>
      <c r="BJ28" s="20">
        <v>0</v>
      </c>
      <c r="BK28" s="21">
        <v>0</v>
      </c>
      <c r="BL28" s="139" t="str">
        <f t="shared" si="110"/>
        <v>-</v>
      </c>
      <c r="BM28" s="117">
        <f t="shared" si="23"/>
        <v>202</v>
      </c>
      <c r="BN28" s="120">
        <f t="shared" si="24"/>
        <v>32</v>
      </c>
      <c r="BO28" s="147">
        <f t="shared" si="25"/>
        <v>6.3125</v>
      </c>
    </row>
    <row r="29" spans="1:67" ht="15" thickBot="1" x14ac:dyDescent="0.35">
      <c r="A29" s="1">
        <v>45255</v>
      </c>
      <c r="B29" s="20">
        <v>69</v>
      </c>
      <c r="C29" s="21">
        <v>7</v>
      </c>
      <c r="D29" s="139">
        <f>IF(C29=0,"-",B29/C29)</f>
        <v>9.8571428571428577</v>
      </c>
      <c r="E29" s="20">
        <v>0</v>
      </c>
      <c r="F29" s="21">
        <v>0</v>
      </c>
      <c r="G29" s="139" t="str">
        <f>IF(F29=0,"-",E29/F29)</f>
        <v>-</v>
      </c>
      <c r="H29" s="20">
        <v>0</v>
      </c>
      <c r="I29" s="21">
        <v>0</v>
      </c>
      <c r="J29" s="139" t="str">
        <f t="shared" ref="J29" si="112">IF(I29=0,"-",H29/I29)</f>
        <v>-</v>
      </c>
      <c r="K29" s="20">
        <v>9</v>
      </c>
      <c r="L29" s="21">
        <v>2</v>
      </c>
      <c r="M29" s="139">
        <f t="shared" ref="M29:M30" si="113">IF(L29=0,"-",K29/L29)</f>
        <v>4.5</v>
      </c>
      <c r="N29" s="23">
        <v>24</v>
      </c>
      <c r="O29" s="21">
        <v>4</v>
      </c>
      <c r="P29" s="122">
        <f>IF(O29=0,"",N29/O29)</f>
        <v>6</v>
      </c>
      <c r="Q29" s="20">
        <v>0</v>
      </c>
      <c r="R29" s="21">
        <v>0</v>
      </c>
      <c r="S29" s="139" t="str">
        <f t="shared" ref="S29:S30" si="114">IF(R29=0,"-",Q29/R29)</f>
        <v>-</v>
      </c>
      <c r="T29" s="20">
        <v>12</v>
      </c>
      <c r="U29" s="21">
        <v>2</v>
      </c>
      <c r="V29" s="139">
        <f t="shared" si="97"/>
        <v>6</v>
      </c>
      <c r="W29" s="20">
        <v>8</v>
      </c>
      <c r="X29" s="21">
        <v>2</v>
      </c>
      <c r="Y29" s="139">
        <f t="shared" si="28"/>
        <v>4</v>
      </c>
      <c r="Z29" s="23">
        <v>0</v>
      </c>
      <c r="AA29" s="21">
        <v>0</v>
      </c>
      <c r="AB29" s="139" t="str">
        <f t="shared" si="98"/>
        <v>-</v>
      </c>
      <c r="AC29" s="23">
        <v>0</v>
      </c>
      <c r="AD29" s="21">
        <v>0</v>
      </c>
      <c r="AE29" s="139" t="str">
        <f t="shared" si="20"/>
        <v>-</v>
      </c>
      <c r="AF29" s="23">
        <v>0</v>
      </c>
      <c r="AG29" s="21">
        <v>0</v>
      </c>
      <c r="AH29" s="139" t="str">
        <f t="shared" si="8"/>
        <v>-</v>
      </c>
      <c r="AI29" s="23">
        <v>0</v>
      </c>
      <c r="AJ29" s="21">
        <v>0</v>
      </c>
      <c r="AK29" s="139" t="str">
        <f t="shared" si="31"/>
        <v>-</v>
      </c>
      <c r="AL29" s="23">
        <v>23</v>
      </c>
      <c r="AM29" s="21">
        <v>3</v>
      </c>
      <c r="AN29" s="122">
        <f>IF(AM29=0,"",AL29/AM29)</f>
        <v>7.666666666666667</v>
      </c>
      <c r="AO29" s="20">
        <v>0</v>
      </c>
      <c r="AP29" s="21">
        <v>0</v>
      </c>
      <c r="AQ29" s="139" t="str">
        <f t="shared" si="105"/>
        <v>-</v>
      </c>
      <c r="AR29" s="20">
        <v>0</v>
      </c>
      <c r="AS29" s="21">
        <v>0</v>
      </c>
      <c r="AT29" s="139" t="str">
        <f t="shared" si="106"/>
        <v>-</v>
      </c>
      <c r="AU29" s="23">
        <v>0</v>
      </c>
      <c r="AV29" s="23">
        <v>0</v>
      </c>
      <c r="AW29" s="139" t="str">
        <f t="shared" si="72"/>
        <v>-</v>
      </c>
      <c r="AX29" s="20">
        <v>0</v>
      </c>
      <c r="AY29" s="21">
        <v>0</v>
      </c>
      <c r="AZ29" s="139" t="str">
        <f t="shared" si="107"/>
        <v>-</v>
      </c>
      <c r="BA29" s="20">
        <v>20</v>
      </c>
      <c r="BB29" s="21">
        <v>4</v>
      </c>
      <c r="BC29" s="139">
        <f t="shared" si="75"/>
        <v>5</v>
      </c>
      <c r="BD29" s="23">
        <v>0</v>
      </c>
      <c r="BE29" s="21">
        <v>0</v>
      </c>
      <c r="BF29" s="139" t="str">
        <f t="shared" si="108"/>
        <v>-</v>
      </c>
      <c r="BG29" s="20">
        <v>0</v>
      </c>
      <c r="BH29" s="21">
        <v>0</v>
      </c>
      <c r="BI29" s="139" t="str">
        <f t="shared" si="109"/>
        <v>-</v>
      </c>
      <c r="BJ29" s="20">
        <v>0</v>
      </c>
      <c r="BK29" s="21">
        <v>0</v>
      </c>
      <c r="BL29" s="139" t="str">
        <f t="shared" si="110"/>
        <v>-</v>
      </c>
      <c r="BM29" s="117">
        <f t="shared" si="23"/>
        <v>153</v>
      </c>
      <c r="BN29" s="120">
        <f t="shared" si="24"/>
        <v>22</v>
      </c>
      <c r="BO29" s="147">
        <f t="shared" si="25"/>
        <v>6.9545454545454541</v>
      </c>
    </row>
    <row r="30" spans="1:67" ht="15" thickBot="1" x14ac:dyDescent="0.35">
      <c r="A30" s="1">
        <v>45256</v>
      </c>
      <c r="B30" s="20">
        <v>59</v>
      </c>
      <c r="C30" s="21">
        <v>6</v>
      </c>
      <c r="D30" s="122">
        <f t="shared" si="0"/>
        <v>9.8333333333333339</v>
      </c>
      <c r="E30" s="20">
        <v>6</v>
      </c>
      <c r="F30" s="21">
        <v>1</v>
      </c>
      <c r="G30" s="122">
        <f t="shared" si="19"/>
        <v>6</v>
      </c>
      <c r="H30" s="20">
        <v>0</v>
      </c>
      <c r="I30" s="21">
        <v>0</v>
      </c>
      <c r="J30" s="139" t="str">
        <f t="shared" ref="J30" si="115">IF(I30=0,"-",H30/I30)</f>
        <v>-</v>
      </c>
      <c r="K30" s="20">
        <v>0</v>
      </c>
      <c r="L30" s="21">
        <v>0</v>
      </c>
      <c r="M30" s="139" t="str">
        <f t="shared" si="113"/>
        <v>-</v>
      </c>
      <c r="N30" s="20">
        <v>0</v>
      </c>
      <c r="O30" s="21">
        <v>0</v>
      </c>
      <c r="P30" s="139" t="str">
        <f t="shared" ref="P30" si="116">IF(O30=0,"-",N30/O30)</f>
        <v>-</v>
      </c>
      <c r="Q30" s="20">
        <v>0</v>
      </c>
      <c r="R30" s="21">
        <v>0</v>
      </c>
      <c r="S30" s="139" t="str">
        <f t="shared" si="114"/>
        <v>-</v>
      </c>
      <c r="T30" s="20">
        <v>0</v>
      </c>
      <c r="U30" s="21">
        <v>0</v>
      </c>
      <c r="V30" s="139" t="str">
        <f t="shared" si="97"/>
        <v>-</v>
      </c>
      <c r="W30" s="20">
        <v>0</v>
      </c>
      <c r="X30" s="21">
        <v>0</v>
      </c>
      <c r="Y30" s="139" t="str">
        <f t="shared" si="28"/>
        <v>-</v>
      </c>
      <c r="Z30" s="23">
        <v>0</v>
      </c>
      <c r="AA30" s="21">
        <v>0</v>
      </c>
      <c r="AB30" s="139" t="str">
        <f t="shared" si="98"/>
        <v>-</v>
      </c>
      <c r="AC30" s="20">
        <v>3</v>
      </c>
      <c r="AD30" s="21">
        <v>1</v>
      </c>
      <c r="AE30" s="139">
        <f t="shared" si="20"/>
        <v>3</v>
      </c>
      <c r="AF30" s="23">
        <v>0</v>
      </c>
      <c r="AG30" s="21">
        <v>0</v>
      </c>
      <c r="AH30" s="139" t="str">
        <f t="shared" si="8"/>
        <v>-</v>
      </c>
      <c r="AI30" s="23">
        <v>2</v>
      </c>
      <c r="AJ30" s="21">
        <v>1</v>
      </c>
      <c r="AK30" s="139">
        <f t="shared" si="31"/>
        <v>2</v>
      </c>
      <c r="AL30" s="23">
        <v>76</v>
      </c>
      <c r="AM30" s="21">
        <v>12</v>
      </c>
      <c r="AN30" s="122">
        <f t="shared" si="10"/>
        <v>6.333333333333333</v>
      </c>
      <c r="AO30" s="20">
        <v>0</v>
      </c>
      <c r="AP30" s="21">
        <v>0</v>
      </c>
      <c r="AQ30" s="139" t="str">
        <f t="shared" ref="AQ30:AQ31" si="117">IF(AP30=0,"-",AO30/AP30)</f>
        <v>-</v>
      </c>
      <c r="AR30" s="20">
        <v>0</v>
      </c>
      <c r="AS30" s="21">
        <v>0</v>
      </c>
      <c r="AT30" s="139" t="str">
        <f t="shared" ref="AT30:AT31" si="118">IF(AS30=0,"-",AR30/AS30)</f>
        <v>-</v>
      </c>
      <c r="AU30" s="23">
        <v>7</v>
      </c>
      <c r="AV30" s="21">
        <v>1</v>
      </c>
      <c r="AW30" s="139">
        <f t="shared" si="72"/>
        <v>7</v>
      </c>
      <c r="AX30" s="20">
        <v>0</v>
      </c>
      <c r="AY30" s="21">
        <v>0</v>
      </c>
      <c r="AZ30" s="139" t="str">
        <f t="shared" ref="AZ30:AZ31" si="119">IF(AY30=0,"-",AX30/AY30)</f>
        <v>-</v>
      </c>
      <c r="BA30" s="20">
        <v>0</v>
      </c>
      <c r="BB30" s="21">
        <v>0</v>
      </c>
      <c r="BC30" s="139" t="str">
        <f t="shared" si="75"/>
        <v>-</v>
      </c>
      <c r="BD30" s="23">
        <v>0</v>
      </c>
      <c r="BE30" s="21">
        <v>0</v>
      </c>
      <c r="BF30" s="139" t="str">
        <f t="shared" ref="BF30:BF31" si="120">IF(BE30=0,"-",BD30/BE30)</f>
        <v>-</v>
      </c>
      <c r="BG30" s="20">
        <v>0</v>
      </c>
      <c r="BH30" s="21">
        <v>0</v>
      </c>
      <c r="BI30" s="139" t="str">
        <f t="shared" ref="BI30:BI31" si="121">IF(BH30=0,"-",BG30/BH30)</f>
        <v>-</v>
      </c>
      <c r="BJ30" s="20">
        <v>0</v>
      </c>
      <c r="BK30" s="21">
        <v>0</v>
      </c>
      <c r="BL30" s="139" t="str">
        <f t="shared" ref="BL30:BL31" si="122">IF(BK30=0,"-",BJ30/BK30)</f>
        <v>-</v>
      </c>
      <c r="BM30" s="117">
        <f t="shared" si="23"/>
        <v>153</v>
      </c>
      <c r="BN30" s="120">
        <f t="shared" si="24"/>
        <v>22</v>
      </c>
      <c r="BO30" s="147">
        <f t="shared" si="25"/>
        <v>6.9545454545454541</v>
      </c>
    </row>
    <row r="31" spans="1:67" ht="15" thickBot="1" x14ac:dyDescent="0.35">
      <c r="A31" s="1">
        <v>45257</v>
      </c>
      <c r="B31" s="20">
        <v>70</v>
      </c>
      <c r="C31" s="21">
        <v>8</v>
      </c>
      <c r="D31" s="122">
        <f t="shared" si="0"/>
        <v>8.75</v>
      </c>
      <c r="E31" s="20">
        <v>6</v>
      </c>
      <c r="F31" s="21">
        <v>1</v>
      </c>
      <c r="G31" s="122">
        <f t="shared" si="19"/>
        <v>6</v>
      </c>
      <c r="H31" s="20">
        <v>11</v>
      </c>
      <c r="I31" s="21">
        <v>2</v>
      </c>
      <c r="J31" s="122">
        <f t="shared" si="26"/>
        <v>5.5</v>
      </c>
      <c r="K31" s="20">
        <v>0</v>
      </c>
      <c r="L31" s="21">
        <v>0</v>
      </c>
      <c r="M31" s="139" t="str">
        <f t="shared" ref="M31" si="123">IF(L31=0,"-",K31/L31)</f>
        <v>-</v>
      </c>
      <c r="N31" s="23">
        <v>30</v>
      </c>
      <c r="O31" s="21">
        <v>6</v>
      </c>
      <c r="P31" s="122">
        <f t="shared" si="3"/>
        <v>5</v>
      </c>
      <c r="Q31" s="20">
        <v>0</v>
      </c>
      <c r="R31" s="21">
        <v>0</v>
      </c>
      <c r="S31" s="139" t="str">
        <f t="shared" ref="S31" si="124">IF(R31=0,"-",Q31/R31)</f>
        <v>-</v>
      </c>
      <c r="T31" s="20">
        <v>11</v>
      </c>
      <c r="U31" s="21">
        <v>2</v>
      </c>
      <c r="V31" s="139">
        <f t="shared" si="97"/>
        <v>5.5</v>
      </c>
      <c r="W31" s="20">
        <v>0</v>
      </c>
      <c r="X31" s="21">
        <v>0</v>
      </c>
      <c r="Y31" s="139" t="str">
        <f t="shared" si="28"/>
        <v>-</v>
      </c>
      <c r="Z31" s="23">
        <v>0</v>
      </c>
      <c r="AA31" s="21">
        <v>0</v>
      </c>
      <c r="AB31" s="139" t="str">
        <f t="shared" si="98"/>
        <v>-</v>
      </c>
      <c r="AC31" s="20">
        <v>0</v>
      </c>
      <c r="AD31" s="21">
        <v>0</v>
      </c>
      <c r="AE31" s="139" t="str">
        <f t="shared" si="20"/>
        <v>-</v>
      </c>
      <c r="AF31" s="23">
        <v>0</v>
      </c>
      <c r="AG31" s="21">
        <v>0</v>
      </c>
      <c r="AH31" s="139" t="str">
        <f t="shared" si="8"/>
        <v>-</v>
      </c>
      <c r="AI31" s="23">
        <v>0</v>
      </c>
      <c r="AJ31" s="21">
        <v>0</v>
      </c>
      <c r="AK31" s="139" t="str">
        <f t="shared" si="31"/>
        <v>-</v>
      </c>
      <c r="AL31" s="23">
        <v>28</v>
      </c>
      <c r="AM31" s="21">
        <v>4</v>
      </c>
      <c r="AN31" s="122">
        <f t="shared" si="10"/>
        <v>7</v>
      </c>
      <c r="AO31" s="20">
        <v>0</v>
      </c>
      <c r="AP31" s="21">
        <v>0</v>
      </c>
      <c r="AQ31" s="139" t="str">
        <f t="shared" si="117"/>
        <v>-</v>
      </c>
      <c r="AR31" s="20">
        <v>0</v>
      </c>
      <c r="AS31" s="21">
        <v>0</v>
      </c>
      <c r="AT31" s="139" t="str">
        <f t="shared" si="118"/>
        <v>-</v>
      </c>
      <c r="AU31" s="20">
        <v>0</v>
      </c>
      <c r="AV31" s="21">
        <v>0</v>
      </c>
      <c r="AW31" s="139" t="str">
        <f t="shared" si="72"/>
        <v>-</v>
      </c>
      <c r="AX31" s="20">
        <v>0</v>
      </c>
      <c r="AY31" s="21">
        <v>0</v>
      </c>
      <c r="AZ31" s="139" t="str">
        <f t="shared" si="119"/>
        <v>-</v>
      </c>
      <c r="BA31" s="20">
        <v>0</v>
      </c>
      <c r="BB31" s="21">
        <v>0</v>
      </c>
      <c r="BC31" s="139" t="str">
        <f t="shared" si="75"/>
        <v>-</v>
      </c>
      <c r="BD31" s="23">
        <v>0</v>
      </c>
      <c r="BE31" s="21">
        <v>0</v>
      </c>
      <c r="BF31" s="139" t="str">
        <f t="shared" si="120"/>
        <v>-</v>
      </c>
      <c r="BG31" s="20">
        <v>0</v>
      </c>
      <c r="BH31" s="21">
        <v>0</v>
      </c>
      <c r="BI31" s="139" t="str">
        <f t="shared" si="121"/>
        <v>-</v>
      </c>
      <c r="BJ31" s="20">
        <v>0</v>
      </c>
      <c r="BK31" s="21">
        <v>0</v>
      </c>
      <c r="BL31" s="139" t="str">
        <f t="shared" si="122"/>
        <v>-</v>
      </c>
      <c r="BM31" s="117">
        <f t="shared" si="23"/>
        <v>145</v>
      </c>
      <c r="BN31" s="120">
        <f t="shared" si="24"/>
        <v>21</v>
      </c>
      <c r="BO31" s="147">
        <f t="shared" si="25"/>
        <v>6.9047619047619051</v>
      </c>
    </row>
    <row r="32" spans="1:67" ht="15" thickBot="1" x14ac:dyDescent="0.35">
      <c r="A32" s="1">
        <v>45258</v>
      </c>
      <c r="B32" s="20">
        <v>34</v>
      </c>
      <c r="C32" s="21">
        <v>6</v>
      </c>
      <c r="D32" s="122">
        <f t="shared" si="0"/>
        <v>5.666666666666667</v>
      </c>
      <c r="E32" s="20">
        <v>6</v>
      </c>
      <c r="F32" s="21">
        <v>1</v>
      </c>
      <c r="G32" s="122">
        <f t="shared" si="19"/>
        <v>6</v>
      </c>
      <c r="H32" s="20">
        <v>0</v>
      </c>
      <c r="I32" s="21">
        <v>0</v>
      </c>
      <c r="J32" s="139" t="str">
        <f t="shared" ref="J32" si="125">IF(I32=0,"-",H32/I32)</f>
        <v>-</v>
      </c>
      <c r="K32" s="20">
        <v>0</v>
      </c>
      <c r="L32" s="21">
        <v>0</v>
      </c>
      <c r="M32" s="139" t="str">
        <f t="shared" ref="M32:M33" si="126">IF(L32=0,"-",K32/L32)</f>
        <v>-</v>
      </c>
      <c r="N32" s="23">
        <v>35</v>
      </c>
      <c r="O32" s="21">
        <v>8</v>
      </c>
      <c r="P32" s="122">
        <f t="shared" si="3"/>
        <v>4.375</v>
      </c>
      <c r="Q32" s="20">
        <v>0</v>
      </c>
      <c r="R32" s="21">
        <v>0</v>
      </c>
      <c r="S32" s="139" t="str">
        <f t="shared" ref="S32" si="127">IF(R32=0,"-",Q32/R32)</f>
        <v>-</v>
      </c>
      <c r="T32" s="20">
        <v>0</v>
      </c>
      <c r="U32" s="21">
        <v>0</v>
      </c>
      <c r="V32" s="139" t="str">
        <f t="shared" si="97"/>
        <v>-</v>
      </c>
      <c r="W32" s="20">
        <v>6</v>
      </c>
      <c r="X32" s="21">
        <v>1</v>
      </c>
      <c r="Y32" s="122">
        <f t="shared" si="6"/>
        <v>6</v>
      </c>
      <c r="Z32" s="23">
        <v>0</v>
      </c>
      <c r="AA32" s="21">
        <v>0</v>
      </c>
      <c r="AB32" s="139" t="str">
        <f t="shared" ref="AB32" si="128">IF(AA32=0,"-",Z32/AA32)</f>
        <v>-</v>
      </c>
      <c r="AC32" s="20">
        <v>0</v>
      </c>
      <c r="AD32" s="21">
        <v>0</v>
      </c>
      <c r="AE32" s="139" t="str">
        <f t="shared" ref="AE32" si="129">IF(AD32=0,"-",AC32/AD32)</f>
        <v>-</v>
      </c>
      <c r="AF32" s="23">
        <v>0</v>
      </c>
      <c r="AG32" s="21">
        <v>0</v>
      </c>
      <c r="AH32" s="139" t="str">
        <f t="shared" ref="AH32" si="130">IF(AG32=0,"-",AF32/AG32)</f>
        <v>-</v>
      </c>
      <c r="AI32" s="20">
        <v>8</v>
      </c>
      <c r="AJ32" s="21">
        <v>1</v>
      </c>
      <c r="AK32" s="122">
        <f t="shared" si="9"/>
        <v>8</v>
      </c>
      <c r="AL32" s="23">
        <v>29</v>
      </c>
      <c r="AM32" s="21">
        <v>4</v>
      </c>
      <c r="AN32" s="122">
        <f t="shared" si="10"/>
        <v>7.25</v>
      </c>
      <c r="AO32" s="20">
        <v>0</v>
      </c>
      <c r="AP32" s="21">
        <v>0</v>
      </c>
      <c r="AQ32" s="139" t="str">
        <f t="shared" ref="AQ32" si="131">IF(AP32=0,"-",AO32/AP32)</f>
        <v>-</v>
      </c>
      <c r="AR32" s="20">
        <v>0</v>
      </c>
      <c r="AS32" s="21">
        <v>0</v>
      </c>
      <c r="AT32" s="139" t="str">
        <f t="shared" ref="AT32" si="132">IF(AS32=0,"-",AR32/AS32)</f>
        <v>-</v>
      </c>
      <c r="AU32" s="20">
        <v>0</v>
      </c>
      <c r="AV32" s="21">
        <v>0</v>
      </c>
      <c r="AW32" s="139" t="str">
        <f t="shared" si="72"/>
        <v>-</v>
      </c>
      <c r="AX32" s="20">
        <v>0</v>
      </c>
      <c r="AY32" s="21">
        <v>0</v>
      </c>
      <c r="AZ32" s="139" t="str">
        <f t="shared" ref="AZ32" si="133">IF(AY32=0,"-",AX32/AY32)</f>
        <v>-</v>
      </c>
      <c r="BA32" s="20">
        <v>12</v>
      </c>
      <c r="BB32" s="21">
        <v>2</v>
      </c>
      <c r="BC32" s="139">
        <f t="shared" si="75"/>
        <v>6</v>
      </c>
      <c r="BD32" s="23">
        <v>0</v>
      </c>
      <c r="BE32" s="21">
        <v>0</v>
      </c>
      <c r="BF32" s="139" t="str">
        <f t="shared" ref="BF32" si="134">IF(BE32=0,"-",BD32/BE32)</f>
        <v>-</v>
      </c>
      <c r="BG32" s="20">
        <v>0</v>
      </c>
      <c r="BH32" s="21">
        <v>0</v>
      </c>
      <c r="BI32" s="139" t="str">
        <f t="shared" ref="BI32" si="135">IF(BH32=0,"-",BG32/BH32)</f>
        <v>-</v>
      </c>
      <c r="BJ32" s="20">
        <v>0</v>
      </c>
      <c r="BK32" s="21">
        <v>0</v>
      </c>
      <c r="BL32" s="139" t="str">
        <f t="shared" ref="BL32:BL34" si="136">IF(BK32=0,"-",BJ32/BK32)</f>
        <v>-</v>
      </c>
      <c r="BM32" s="117">
        <f t="shared" si="23"/>
        <v>130</v>
      </c>
      <c r="BN32" s="120">
        <f t="shared" si="24"/>
        <v>23</v>
      </c>
      <c r="BO32" s="147">
        <f t="shared" si="25"/>
        <v>5.6521739130434785</v>
      </c>
    </row>
    <row r="33" spans="1:67" ht="15" thickBot="1" x14ac:dyDescent="0.35">
      <c r="A33" s="1">
        <v>45259</v>
      </c>
      <c r="B33" s="20">
        <v>52</v>
      </c>
      <c r="C33" s="21">
        <v>6</v>
      </c>
      <c r="D33" s="122">
        <f t="shared" si="0"/>
        <v>8.6666666666666661</v>
      </c>
      <c r="E33" s="20">
        <v>0</v>
      </c>
      <c r="F33" s="21">
        <v>0</v>
      </c>
      <c r="G33" s="139" t="str">
        <f t="shared" ref="G33" si="137">IF(F33=0,"-",E33/F33)</f>
        <v>-</v>
      </c>
      <c r="H33" s="20">
        <v>6</v>
      </c>
      <c r="I33" s="21">
        <v>1</v>
      </c>
      <c r="J33" s="122">
        <f t="shared" si="26"/>
        <v>6</v>
      </c>
      <c r="K33" s="20">
        <v>0</v>
      </c>
      <c r="L33" s="21">
        <v>0</v>
      </c>
      <c r="M33" s="139" t="str">
        <f t="shared" si="126"/>
        <v>-</v>
      </c>
      <c r="N33" s="23">
        <v>40</v>
      </c>
      <c r="O33" s="21">
        <v>7</v>
      </c>
      <c r="P33" s="122">
        <f t="shared" si="3"/>
        <v>5.7142857142857144</v>
      </c>
      <c r="Q33" s="20">
        <v>0</v>
      </c>
      <c r="R33" s="21">
        <v>0</v>
      </c>
      <c r="S33" s="139" t="str">
        <f t="shared" ref="S33" si="138">IF(R33=0,"-",Q33/R33)</f>
        <v>-</v>
      </c>
      <c r="T33" s="20">
        <v>6</v>
      </c>
      <c r="U33" s="21">
        <v>1</v>
      </c>
      <c r="V33" s="139">
        <f t="shared" si="97"/>
        <v>6</v>
      </c>
      <c r="W33" s="20">
        <v>5</v>
      </c>
      <c r="X33" s="21">
        <v>1</v>
      </c>
      <c r="Y33" s="122">
        <f t="shared" si="6"/>
        <v>5</v>
      </c>
      <c r="Z33" s="23">
        <v>0</v>
      </c>
      <c r="AA33" s="21">
        <v>0</v>
      </c>
      <c r="AB33" s="139" t="str">
        <f t="shared" ref="AB33" si="139">IF(AA33=0,"-",Z33/AA33)</f>
        <v>-</v>
      </c>
      <c r="AC33" s="20">
        <v>0</v>
      </c>
      <c r="AD33" s="21">
        <v>0</v>
      </c>
      <c r="AE33" s="139" t="str">
        <f t="shared" ref="AE33" si="140">IF(AD33=0,"-",AC33/AD33)</f>
        <v>-</v>
      </c>
      <c r="AF33" s="23">
        <v>0</v>
      </c>
      <c r="AG33" s="21">
        <v>0</v>
      </c>
      <c r="AH33" s="139" t="str">
        <f t="shared" ref="AH33" si="141">IF(AG33=0,"-",AF33/AG33)</f>
        <v>-</v>
      </c>
      <c r="AI33" s="20">
        <v>11</v>
      </c>
      <c r="AJ33" s="21">
        <v>2</v>
      </c>
      <c r="AK33" s="122">
        <f t="shared" si="9"/>
        <v>5.5</v>
      </c>
      <c r="AL33" s="23">
        <v>45</v>
      </c>
      <c r="AM33" s="21">
        <v>6</v>
      </c>
      <c r="AN33" s="122">
        <f t="shared" si="10"/>
        <v>7.5</v>
      </c>
      <c r="AO33" s="20">
        <v>0</v>
      </c>
      <c r="AP33" s="21">
        <v>0</v>
      </c>
      <c r="AQ33" s="139" t="str">
        <f t="shared" ref="AQ33" si="142">IF(AP33=0,"-",AO33/AP33)</f>
        <v>-</v>
      </c>
      <c r="AR33" s="20">
        <v>0</v>
      </c>
      <c r="AS33" s="21">
        <v>0</v>
      </c>
      <c r="AT33" s="139" t="str">
        <f t="shared" ref="AT33" si="143">IF(AS33=0,"-",AR33/AS33)</f>
        <v>-</v>
      </c>
      <c r="AU33" s="20">
        <v>0</v>
      </c>
      <c r="AV33" s="21">
        <v>0</v>
      </c>
      <c r="AW33" s="139" t="str">
        <f t="shared" si="72"/>
        <v>-</v>
      </c>
      <c r="AX33" s="20">
        <v>0</v>
      </c>
      <c r="AY33" s="21">
        <v>0</v>
      </c>
      <c r="AZ33" s="139" t="str">
        <f t="shared" ref="AZ33" si="144">IF(AY33=0,"-",AX33/AY33)</f>
        <v>-</v>
      </c>
      <c r="BA33" s="23">
        <v>0</v>
      </c>
      <c r="BB33" s="21">
        <v>0</v>
      </c>
      <c r="BC33" s="139" t="str">
        <f t="shared" ref="BC33" si="145">IF(BB33=0,"-",BA33/BB33)</f>
        <v>-</v>
      </c>
      <c r="BD33" s="23">
        <v>0</v>
      </c>
      <c r="BE33" s="21">
        <v>0</v>
      </c>
      <c r="BF33" s="139" t="str">
        <f t="shared" ref="BF33" si="146">IF(BE33=0,"-",BD33/BE33)</f>
        <v>-</v>
      </c>
      <c r="BG33" s="20">
        <v>0</v>
      </c>
      <c r="BH33" s="21">
        <v>0</v>
      </c>
      <c r="BI33" s="139" t="str">
        <f t="shared" ref="BI33" si="147">IF(BH33=0,"-",BG33/BH33)</f>
        <v>-</v>
      </c>
      <c r="BJ33" s="20">
        <v>1</v>
      </c>
      <c r="BK33" s="21">
        <v>1</v>
      </c>
      <c r="BL33" s="122">
        <f t="shared" si="18"/>
        <v>1</v>
      </c>
      <c r="BM33" s="117">
        <f t="shared" si="23"/>
        <v>160</v>
      </c>
      <c r="BN33" s="120">
        <f t="shared" si="24"/>
        <v>24</v>
      </c>
      <c r="BO33" s="147">
        <f t="shared" si="25"/>
        <v>6.666666666666667</v>
      </c>
    </row>
    <row r="34" spans="1:67" ht="15" thickBot="1" x14ac:dyDescent="0.35">
      <c r="A34" s="1">
        <v>45260</v>
      </c>
      <c r="B34" s="20">
        <v>27</v>
      </c>
      <c r="C34" s="21">
        <v>3</v>
      </c>
      <c r="D34" s="122">
        <f t="shared" si="0"/>
        <v>9</v>
      </c>
      <c r="E34" s="20">
        <v>0</v>
      </c>
      <c r="F34" s="21">
        <v>0</v>
      </c>
      <c r="G34" s="139" t="str">
        <f t="shared" ref="G34" si="148">IF(F34=0,"-",E34/F34)</f>
        <v>-</v>
      </c>
      <c r="H34" s="20">
        <v>0</v>
      </c>
      <c r="I34" s="21">
        <v>0</v>
      </c>
      <c r="J34" s="139" t="str">
        <f t="shared" ref="J34" si="149">IF(I34=0,"-",H34/I34)</f>
        <v>-</v>
      </c>
      <c r="K34" s="20">
        <v>22</v>
      </c>
      <c r="L34" s="21">
        <v>3</v>
      </c>
      <c r="M34" s="122">
        <f t="shared" si="35"/>
        <v>7.333333333333333</v>
      </c>
      <c r="N34" s="23">
        <v>60</v>
      </c>
      <c r="O34" s="21">
        <v>11</v>
      </c>
      <c r="P34" s="122">
        <f t="shared" si="3"/>
        <v>5.4545454545454541</v>
      </c>
      <c r="Q34" s="20">
        <v>188</v>
      </c>
      <c r="R34" s="21">
        <v>32</v>
      </c>
      <c r="S34" s="139">
        <f t="shared" ref="S34" si="150">IF(R34=0,"-",Q34/R34)</f>
        <v>5.875</v>
      </c>
      <c r="T34" s="20">
        <v>0</v>
      </c>
      <c r="U34" s="21">
        <v>0</v>
      </c>
      <c r="V34" s="139" t="str">
        <f t="shared" si="97"/>
        <v>-</v>
      </c>
      <c r="W34" s="20"/>
      <c r="X34" s="21"/>
      <c r="Y34" s="122" t="str">
        <f t="shared" si="6"/>
        <v/>
      </c>
      <c r="Z34" s="20"/>
      <c r="AA34" s="21"/>
      <c r="AB34" s="122" t="str">
        <f t="shared" si="36"/>
        <v/>
      </c>
      <c r="AC34" s="20"/>
      <c r="AD34" s="21"/>
      <c r="AE34" s="122" t="str">
        <f t="shared" ref="AE34" si="151">IF(AD34=0,"",AC34/AD34)</f>
        <v/>
      </c>
      <c r="AF34" s="20"/>
      <c r="AG34" s="21"/>
      <c r="AH34" s="122" t="str">
        <f t="shared" ref="AH34" si="152">IF(AG34=0,"",AF34/AG34)</f>
        <v/>
      </c>
      <c r="AI34" s="20"/>
      <c r="AJ34" s="21"/>
      <c r="AK34" s="122" t="str">
        <f t="shared" si="9"/>
        <v/>
      </c>
      <c r="AL34" s="23">
        <v>33</v>
      </c>
      <c r="AM34" s="21">
        <v>4</v>
      </c>
      <c r="AN34" s="122">
        <f t="shared" si="10"/>
        <v>8.25</v>
      </c>
      <c r="AO34" s="20">
        <v>16</v>
      </c>
      <c r="AP34" s="21">
        <v>2</v>
      </c>
      <c r="AQ34" s="122">
        <f t="shared" si="43"/>
        <v>8</v>
      </c>
      <c r="AR34" s="20">
        <v>7</v>
      </c>
      <c r="AS34" s="21">
        <v>1</v>
      </c>
      <c r="AT34" s="122">
        <f t="shared" si="40"/>
        <v>7</v>
      </c>
      <c r="AU34" s="23">
        <v>7</v>
      </c>
      <c r="AV34" s="21">
        <v>1</v>
      </c>
      <c r="AW34" s="122">
        <f t="shared" si="13"/>
        <v>7</v>
      </c>
      <c r="AX34" s="20">
        <v>0</v>
      </c>
      <c r="AY34" s="21">
        <v>0</v>
      </c>
      <c r="AZ34" s="139" t="str">
        <f t="shared" ref="AZ34" si="153">IF(AY34=0,"-",AX34/AY34)</f>
        <v>-</v>
      </c>
      <c r="BA34" s="23">
        <v>0</v>
      </c>
      <c r="BB34" s="21">
        <v>0</v>
      </c>
      <c r="BC34" s="139" t="str">
        <f t="shared" ref="BC34" si="154">IF(BB34=0,"-",BA34/BB34)</f>
        <v>-</v>
      </c>
      <c r="BD34" s="23">
        <v>0</v>
      </c>
      <c r="BE34" s="21">
        <v>0</v>
      </c>
      <c r="BF34" s="139" t="str">
        <f t="shared" ref="BF34" si="155">IF(BE34=0,"-",BD34/BE34)</f>
        <v>-</v>
      </c>
      <c r="BG34" s="20">
        <v>0</v>
      </c>
      <c r="BH34" s="21">
        <v>0</v>
      </c>
      <c r="BI34" s="139" t="str">
        <f t="shared" ref="BI34" si="156">IF(BH34=0,"-",BG34/BH34)</f>
        <v>-</v>
      </c>
      <c r="BJ34" s="20">
        <v>0</v>
      </c>
      <c r="BK34" s="21">
        <v>0</v>
      </c>
      <c r="BL34" s="139" t="str">
        <f t="shared" si="136"/>
        <v>-</v>
      </c>
      <c r="BM34" s="117">
        <f t="shared" si="23"/>
        <v>360</v>
      </c>
      <c r="BN34" s="120">
        <f t="shared" si="24"/>
        <v>57</v>
      </c>
      <c r="BO34" s="147">
        <f t="shared" si="25"/>
        <v>6.3157894736842106</v>
      </c>
    </row>
    <row r="35" spans="1:67" s="41" customFormat="1" ht="15" thickBot="1" x14ac:dyDescent="0.35">
      <c r="A35" s="42" t="s">
        <v>33</v>
      </c>
      <c r="B35" s="43">
        <f>SUM(B5:B34)</f>
        <v>1414</v>
      </c>
      <c r="C35" s="43">
        <f>SUM(C5:C34)</f>
        <v>169</v>
      </c>
      <c r="D35" s="44">
        <f>B35/C35</f>
        <v>8.3668639053254434</v>
      </c>
      <c r="E35" s="43">
        <f>SUM(E5:E34)</f>
        <v>141</v>
      </c>
      <c r="F35" s="43">
        <f>SUM(F5:F34)</f>
        <v>19</v>
      </c>
      <c r="G35" s="44">
        <f>E35/F35</f>
        <v>7.4210526315789478</v>
      </c>
      <c r="H35" s="43">
        <f>SUM(H5:H34)</f>
        <v>207</v>
      </c>
      <c r="I35" s="43">
        <f>SUM(I5:I34)</f>
        <v>29</v>
      </c>
      <c r="J35" s="44">
        <f>H35/I35</f>
        <v>7.1379310344827589</v>
      </c>
      <c r="K35" s="43">
        <f>SUM(K5:K34)</f>
        <v>58</v>
      </c>
      <c r="L35" s="43">
        <f>SUM(L5:L34)</f>
        <v>10</v>
      </c>
      <c r="M35" s="44">
        <f>K35/L35</f>
        <v>5.8</v>
      </c>
      <c r="N35" s="43">
        <f>SUM(N5:N34)</f>
        <v>885</v>
      </c>
      <c r="O35" s="43">
        <f>SUM(O5:O34)</f>
        <v>177</v>
      </c>
      <c r="P35" s="44">
        <f>N35/O35</f>
        <v>5</v>
      </c>
      <c r="Q35" s="43">
        <f>SUM(Q5:Q34)</f>
        <v>4019</v>
      </c>
      <c r="R35" s="43">
        <f>SUM(R5:R34)</f>
        <v>639</v>
      </c>
      <c r="S35" s="44">
        <f>Q35/R35</f>
        <v>6.2895148669796557</v>
      </c>
      <c r="T35" s="43">
        <f>SUM(T5:T34)</f>
        <v>41</v>
      </c>
      <c r="U35" s="43">
        <f>SUM(U5:U34)</f>
        <v>7</v>
      </c>
      <c r="V35" s="44">
        <f>T35/U35</f>
        <v>5.8571428571428568</v>
      </c>
      <c r="W35" s="43">
        <f>SUM(W5:W34)</f>
        <v>69</v>
      </c>
      <c r="X35" s="43">
        <f>SUM(X5:X34)</f>
        <v>16</v>
      </c>
      <c r="Y35" s="44">
        <f>W35/X35</f>
        <v>4.3125</v>
      </c>
      <c r="Z35" s="43">
        <f>SUM(Z5:Z34)</f>
        <v>2</v>
      </c>
      <c r="AA35" s="43">
        <f>SUM(AA5:AA34)</f>
        <v>1</v>
      </c>
      <c r="AB35" s="44">
        <f>Z35/AA35</f>
        <v>2</v>
      </c>
      <c r="AC35" s="43">
        <f>SUM(AC5:AC34)</f>
        <v>38</v>
      </c>
      <c r="AD35" s="43">
        <f>SUM(AD5:AD34)</f>
        <v>13</v>
      </c>
      <c r="AE35" s="44">
        <f>AC35/AD35</f>
        <v>2.9230769230769229</v>
      </c>
      <c r="AF35" s="43">
        <f>SUM(AF5:AF34)</f>
        <v>5</v>
      </c>
      <c r="AG35" s="43">
        <f>SUM(AG5:AG34)</f>
        <v>1</v>
      </c>
      <c r="AH35" s="44">
        <f>AF35/AG35</f>
        <v>5</v>
      </c>
      <c r="AI35" s="43">
        <f>SUM(AI5:AI34)</f>
        <v>103</v>
      </c>
      <c r="AJ35" s="43">
        <f>SUM(AJ5:AJ34)</f>
        <v>28</v>
      </c>
      <c r="AK35" s="44">
        <f>AI35/AJ35</f>
        <v>3.6785714285714284</v>
      </c>
      <c r="AL35" s="43">
        <f>SUM(AL5:AL34)</f>
        <v>613</v>
      </c>
      <c r="AM35" s="43">
        <f>SUM(AM5:AM34)</f>
        <v>86</v>
      </c>
      <c r="AN35" s="44">
        <f>AL35/AM35</f>
        <v>7.1279069767441863</v>
      </c>
      <c r="AO35" s="43">
        <f>SUM(AO5:AO34)</f>
        <v>29</v>
      </c>
      <c r="AP35" s="43">
        <f>SUM(AP5:AP34)</f>
        <v>4</v>
      </c>
      <c r="AQ35" s="44">
        <f>AO35/AP35</f>
        <v>7.25</v>
      </c>
      <c r="AR35" s="43">
        <f>SUM(AR5:AR34)</f>
        <v>64</v>
      </c>
      <c r="AS35" s="43">
        <f>SUM(AS5:AS34)</f>
        <v>9</v>
      </c>
      <c r="AT35" s="44">
        <f>AR35/AS35</f>
        <v>7.1111111111111107</v>
      </c>
      <c r="AU35" s="43">
        <f>SUM(AU5:AU34)</f>
        <v>55</v>
      </c>
      <c r="AV35" s="43">
        <f>SUM(AV5:AV34)</f>
        <v>8</v>
      </c>
      <c r="AW35" s="44">
        <f>AU35/AV35</f>
        <v>6.875</v>
      </c>
      <c r="AX35" s="43">
        <f>SUM(AX5:AX34)</f>
        <v>26</v>
      </c>
      <c r="AY35" s="43">
        <f>SUM(AY5:AY34)</f>
        <v>4</v>
      </c>
      <c r="AZ35" s="140">
        <f>IF(AY35=0,"-",AX35/AY35)</f>
        <v>6.5</v>
      </c>
      <c r="BA35" s="43">
        <f>SUM(BA5:BA34)</f>
        <v>728</v>
      </c>
      <c r="BB35" s="43">
        <f>SUM(BB5:BB34)</f>
        <v>109</v>
      </c>
      <c r="BC35" s="44">
        <f>BA35/BB35</f>
        <v>6.6788990825688073</v>
      </c>
      <c r="BD35" s="43">
        <f>SUM(BD5:BD34)</f>
        <v>0</v>
      </c>
      <c r="BE35" s="43">
        <f>SUM(BE5:BE34)</f>
        <v>0</v>
      </c>
      <c r="BF35" s="140" t="str">
        <f>IF(BE35=0,"-",BD35/BE35)</f>
        <v>-</v>
      </c>
      <c r="BG35" s="43">
        <f>SUM(BG5:BG34)</f>
        <v>0</v>
      </c>
      <c r="BH35" s="43">
        <f>SUM(BH5:BH34)</f>
        <v>0</v>
      </c>
      <c r="BI35" s="140" t="str">
        <f>IF(BH35=0,"-",BG35/BH35)</f>
        <v>-</v>
      </c>
      <c r="BJ35" s="43">
        <f>SUM(BJ5:BJ34)</f>
        <v>1</v>
      </c>
      <c r="BK35" s="43">
        <f>SUM(BK5:BK34)</f>
        <v>1</v>
      </c>
      <c r="BL35" s="140">
        <f>IF(BK35=0,"-",BJ35/BK35)</f>
        <v>1</v>
      </c>
      <c r="BM35" s="118">
        <f>SUM(BM5:BM34)</f>
        <v>8457</v>
      </c>
      <c r="BN35" s="145">
        <f t="shared" si="24"/>
        <v>1323</v>
      </c>
      <c r="BO35" s="144">
        <f t="shared" si="25"/>
        <v>6.3922902494331062</v>
      </c>
    </row>
    <row r="36" spans="1:67" x14ac:dyDescent="0.3">
      <c r="A36" s="1"/>
      <c r="E36"/>
      <c r="F36"/>
      <c r="H36"/>
      <c r="I36"/>
      <c r="K36"/>
      <c r="L36"/>
      <c r="N36"/>
      <c r="O36"/>
      <c r="Q36"/>
      <c r="R36"/>
      <c r="T36"/>
      <c r="U36"/>
    </row>
    <row r="37" spans="1:67" x14ac:dyDescent="0.3">
      <c r="A37" s="1"/>
      <c r="E37"/>
      <c r="F37"/>
      <c r="H37"/>
      <c r="I37"/>
      <c r="K37"/>
      <c r="L37"/>
      <c r="N37"/>
      <c r="O37"/>
      <c r="Q37"/>
      <c r="R37"/>
      <c r="T37"/>
      <c r="U37"/>
    </row>
    <row r="38" spans="1:67" x14ac:dyDescent="0.3">
      <c r="A38" s="1"/>
    </row>
    <row r="39" spans="1:67" x14ac:dyDescent="0.3">
      <c r="A39" s="1"/>
    </row>
    <row r="40" spans="1:67" x14ac:dyDescent="0.3">
      <c r="A40" s="1"/>
    </row>
    <row r="41" spans="1:67" x14ac:dyDescent="0.3">
      <c r="A41" s="1"/>
    </row>
    <row r="42" spans="1:67" x14ac:dyDescent="0.3">
      <c r="A42" s="1"/>
    </row>
    <row r="43" spans="1:67" x14ac:dyDescent="0.3">
      <c r="A43" s="1"/>
    </row>
    <row r="44" spans="1:67" x14ac:dyDescent="0.3">
      <c r="A44" s="1"/>
    </row>
    <row r="45" spans="1:67" x14ac:dyDescent="0.3">
      <c r="A45" s="1"/>
    </row>
    <row r="46" spans="1:67" x14ac:dyDescent="0.3">
      <c r="A46" s="1"/>
    </row>
    <row r="47" spans="1:67" x14ac:dyDescent="0.3">
      <c r="A47" s="1"/>
    </row>
    <row r="48" spans="1:6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</sheetData>
  <pageMargins left="0.7" right="0.7" top="0.75" bottom="0.75" header="0.3" footer="0.3"/>
  <ignoredErrors>
    <ignoredError sqref="BC13 BC8 D15 G10:G11 J7 J12 P9 AB12 AN8 AN12 AN16 AQ15 AT16 G16 BC18:BC20 G21 J19 J22:J23 BC23 G25 G28 D29 J29 M28 G33 BL33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16A3-E223-496B-8628-CCD018BB4B5F}">
  <sheetPr codeName="Sheet3">
    <tabColor rgb="FFFF0000"/>
  </sheetPr>
  <dimension ref="A1:CL40"/>
  <sheetViews>
    <sheetView workbookViewId="0">
      <selection activeCell="B21" sqref="B21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41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'Nov 2023'!B35</f>
        <v>1414</v>
      </c>
      <c r="C4" s="68"/>
      <c r="D4" s="95" t="s">
        <v>19</v>
      </c>
      <c r="E4" s="93">
        <f>'Nov 2023'!AL35</f>
        <v>613</v>
      </c>
      <c r="F4" s="68"/>
      <c r="G4" s="87" t="s">
        <v>24</v>
      </c>
      <c r="H4" s="81">
        <f>'Nov 2023'!BA35</f>
        <v>728</v>
      </c>
    </row>
    <row r="5" spans="1:90" x14ac:dyDescent="0.3">
      <c r="A5" s="80"/>
      <c r="B5" s="81">
        <f>'Nov 2023'!C35</f>
        <v>169</v>
      </c>
      <c r="C5" s="68"/>
      <c r="D5" s="85"/>
      <c r="E5" s="81">
        <f>'Nov 2023'!AM35</f>
        <v>86</v>
      </c>
      <c r="F5" s="68"/>
      <c r="G5" s="87"/>
      <c r="H5" s="81">
        <f>'Nov 2023'!BB35</f>
        <v>109</v>
      </c>
    </row>
    <row r="6" spans="1:90" x14ac:dyDescent="0.3">
      <c r="A6" s="82"/>
      <c r="B6" s="26">
        <f>'Nov 2023'!D35</f>
        <v>8.3668639053254434</v>
      </c>
      <c r="C6" s="68"/>
      <c r="D6" s="86"/>
      <c r="E6" s="26">
        <f>'Nov 2023'!AN35</f>
        <v>7.1279069767441863</v>
      </c>
      <c r="F6" s="68"/>
      <c r="G6" s="88"/>
      <c r="H6" s="26">
        <f>'Nov 2023'!BC35</f>
        <v>6.6788990825688073</v>
      </c>
    </row>
    <row r="7" spans="1:90" x14ac:dyDescent="0.3">
      <c r="A7" s="80" t="s">
        <v>9</v>
      </c>
      <c r="B7" s="81">
        <f>'Nov 2023'!E35</f>
        <v>141</v>
      </c>
      <c r="C7" s="68"/>
      <c r="D7" s="85" t="s">
        <v>20</v>
      </c>
      <c r="E7" s="81">
        <f>'Nov 2023'!AO35</f>
        <v>29</v>
      </c>
      <c r="F7" s="68"/>
      <c r="G7" s="87" t="s">
        <v>25</v>
      </c>
      <c r="H7" s="81">
        <f>'Nov 2023'!BD35</f>
        <v>0</v>
      </c>
    </row>
    <row r="8" spans="1:90" x14ac:dyDescent="0.3">
      <c r="A8" s="80"/>
      <c r="B8" s="81">
        <f>'Nov 2023'!F35</f>
        <v>19</v>
      </c>
      <c r="C8" s="68"/>
      <c r="D8" s="85"/>
      <c r="E8" s="81">
        <f>'Nov 2023'!AP35</f>
        <v>4</v>
      </c>
      <c r="F8" s="68"/>
      <c r="G8" s="87"/>
      <c r="H8" s="81">
        <f>'Nov 2023'!BE35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'Nov 2023'!G35</f>
        <v>7.4210526315789478</v>
      </c>
      <c r="C9" s="68"/>
      <c r="D9" s="86"/>
      <c r="E9" s="26">
        <f>'Nov 2023'!AQ35</f>
        <v>7.25</v>
      </c>
      <c r="F9" s="68"/>
      <c r="G9" s="88"/>
      <c r="H9" s="26" t="str">
        <f>'Nov 2023'!BF35</f>
        <v>-</v>
      </c>
    </row>
    <row r="10" spans="1:90" x14ac:dyDescent="0.3">
      <c r="A10" s="80" t="s">
        <v>10</v>
      </c>
      <c r="B10" s="81">
        <f>'Nov 2023'!H35</f>
        <v>207</v>
      </c>
      <c r="C10" s="68"/>
      <c r="D10" s="85" t="s">
        <v>21</v>
      </c>
      <c r="E10" s="81">
        <f>'Nov 2023'!AR35</f>
        <v>64</v>
      </c>
      <c r="F10" s="68"/>
      <c r="G10" s="87" t="s">
        <v>26</v>
      </c>
      <c r="H10" s="81">
        <f>'Nov 2023'!BG35</f>
        <v>0</v>
      </c>
    </row>
    <row r="11" spans="1:90" x14ac:dyDescent="0.3">
      <c r="A11" s="80"/>
      <c r="B11" s="81">
        <f>'Nov 2023'!I35</f>
        <v>29</v>
      </c>
      <c r="C11" s="68"/>
      <c r="D11" s="85"/>
      <c r="E11" s="81">
        <f>'Nov 2023'!AS35</f>
        <v>9</v>
      </c>
      <c r="F11" s="68"/>
      <c r="G11" s="87"/>
      <c r="H11" s="81">
        <f>'Nov 2023'!BH35</f>
        <v>0</v>
      </c>
    </row>
    <row r="12" spans="1:90" x14ac:dyDescent="0.3">
      <c r="A12" s="82"/>
      <c r="B12" s="26">
        <f>'Nov 2023'!J35</f>
        <v>7.1379310344827589</v>
      </c>
      <c r="C12" s="68"/>
      <c r="D12" s="86"/>
      <c r="E12" s="26">
        <f>'Nov 2023'!AT35</f>
        <v>7.1111111111111107</v>
      </c>
      <c r="F12" s="68"/>
      <c r="G12" s="88"/>
      <c r="H12" s="26" t="str">
        <f>'Nov 2023'!BI35</f>
        <v>-</v>
      </c>
    </row>
    <row r="13" spans="1:90" x14ac:dyDescent="0.3">
      <c r="A13" s="80" t="s">
        <v>11</v>
      </c>
      <c r="B13" s="81">
        <f>'Nov 2023'!N35</f>
        <v>885</v>
      </c>
      <c r="C13" s="68"/>
      <c r="D13" s="85" t="s">
        <v>22</v>
      </c>
      <c r="E13" s="81">
        <f>'Nov 2023'!AU35</f>
        <v>55</v>
      </c>
      <c r="F13" s="68"/>
      <c r="G13" s="87" t="s">
        <v>27</v>
      </c>
      <c r="H13" s="81">
        <f>'Nov 2023'!BJ35</f>
        <v>1</v>
      </c>
    </row>
    <row r="14" spans="1:90" x14ac:dyDescent="0.3">
      <c r="A14" s="80"/>
      <c r="B14" s="81">
        <f>'Nov 2023'!O35</f>
        <v>177</v>
      </c>
      <c r="C14" s="68"/>
      <c r="D14" s="85"/>
      <c r="E14" s="81">
        <f>'Nov 2023'!AV35</f>
        <v>8</v>
      </c>
      <c r="F14" s="68"/>
      <c r="G14" s="87"/>
      <c r="H14" s="81">
        <f>'Nov 2023'!BK35</f>
        <v>1</v>
      </c>
    </row>
    <row r="15" spans="1:90" x14ac:dyDescent="0.3">
      <c r="A15" s="82"/>
      <c r="B15" s="26">
        <f>'Nov 2023'!P35</f>
        <v>5</v>
      </c>
      <c r="C15" s="68"/>
      <c r="D15" s="85"/>
      <c r="E15" s="26">
        <f>'Nov 2023'!AW35</f>
        <v>6.875</v>
      </c>
      <c r="F15" s="68"/>
      <c r="G15" s="88"/>
      <c r="H15" s="26">
        <f>'Nov 2023'!BL35</f>
        <v>1</v>
      </c>
    </row>
    <row r="16" spans="1:90" x14ac:dyDescent="0.3">
      <c r="A16" s="80" t="s">
        <v>44</v>
      </c>
      <c r="B16" s="81">
        <f>'Nov 2023'!Q35</f>
        <v>4019</v>
      </c>
      <c r="C16" s="68"/>
      <c r="D16" s="85" t="s">
        <v>45</v>
      </c>
      <c r="E16" s="81">
        <f>'Nov 2023'!AX35</f>
        <v>26</v>
      </c>
      <c r="F16" s="68"/>
      <c r="G16" s="96" t="s">
        <v>28</v>
      </c>
      <c r="H16" s="97">
        <f>'Nov 2023'!BM35</f>
        <v>8457</v>
      </c>
    </row>
    <row r="17" spans="1:8" x14ac:dyDescent="0.3">
      <c r="A17" s="80"/>
      <c r="B17" s="81">
        <f>'Nov 2023'!R35</f>
        <v>639</v>
      </c>
      <c r="C17" s="68"/>
      <c r="D17" s="85"/>
      <c r="E17" s="81">
        <f>'Nov 2023'!AY35</f>
        <v>4</v>
      </c>
      <c r="F17" s="68"/>
      <c r="G17" s="96"/>
      <c r="H17" s="97">
        <f>'Nov 2023'!BN35</f>
        <v>1323</v>
      </c>
    </row>
    <row r="18" spans="1:8" ht="15" thickBot="1" x14ac:dyDescent="0.35">
      <c r="A18" s="82"/>
      <c r="B18" s="26">
        <f>'Nov 2023'!S35</f>
        <v>6.2895148669796557</v>
      </c>
      <c r="C18" s="68"/>
      <c r="D18" s="102"/>
      <c r="E18" s="89">
        <f>'Nov 2023'!AZ35</f>
        <v>6.5</v>
      </c>
      <c r="F18" s="68"/>
      <c r="G18" s="98"/>
      <c r="H18" s="99">
        <f>H16/H17</f>
        <v>6.3922902494331062</v>
      </c>
    </row>
    <row r="19" spans="1:8" x14ac:dyDescent="0.3">
      <c r="A19" s="80" t="s">
        <v>13</v>
      </c>
      <c r="B19" s="81">
        <f>'Nov 2023'!K35</f>
        <v>58</v>
      </c>
      <c r="C19" s="68"/>
    </row>
    <row r="20" spans="1:8" x14ac:dyDescent="0.3">
      <c r="A20" s="80"/>
      <c r="B20" s="81">
        <f>'Nov 2023'!L35</f>
        <v>10</v>
      </c>
      <c r="C20" s="68"/>
    </row>
    <row r="21" spans="1:8" x14ac:dyDescent="0.3">
      <c r="A21" s="100"/>
      <c r="B21" s="39">
        <f>'Nov 2023'!M35</f>
        <v>5.8</v>
      </c>
      <c r="C21" s="68"/>
    </row>
    <row r="22" spans="1:8" x14ac:dyDescent="0.3">
      <c r="A22" s="80" t="s">
        <v>46</v>
      </c>
      <c r="B22" s="142">
        <f>'Nov 2023'!T35</f>
        <v>41</v>
      </c>
      <c r="C22" s="68"/>
      <c r="D22" s="68"/>
      <c r="E22" s="68"/>
    </row>
    <row r="23" spans="1:8" x14ac:dyDescent="0.3">
      <c r="A23" s="80"/>
      <c r="B23" s="142">
        <f>'Nov 2023'!U35</f>
        <v>7</v>
      </c>
      <c r="C23" s="68"/>
      <c r="D23" s="68"/>
      <c r="E23" s="68"/>
    </row>
    <row r="24" spans="1:8" ht="15" thickBot="1" x14ac:dyDescent="0.35">
      <c r="A24" s="141"/>
      <c r="B24" s="143">
        <f>'Nov 2023'!V35</f>
        <v>5.8571428571428568</v>
      </c>
      <c r="C24" s="68"/>
      <c r="D24" s="68"/>
      <c r="E24" s="68"/>
    </row>
    <row r="25" spans="1:8" x14ac:dyDescent="0.3">
      <c r="A25" s="101" t="s">
        <v>14</v>
      </c>
      <c r="B25" s="93">
        <f>'Nov 2023'!W35</f>
        <v>69</v>
      </c>
      <c r="C25" s="68"/>
      <c r="D25" s="68"/>
      <c r="E25" s="68"/>
    </row>
    <row r="26" spans="1:8" x14ac:dyDescent="0.3">
      <c r="A26" s="83"/>
      <c r="B26" s="81">
        <f>'Nov 2023'!X35</f>
        <v>16</v>
      </c>
      <c r="C26" s="68"/>
      <c r="D26" s="68"/>
      <c r="E26" s="68"/>
    </row>
    <row r="27" spans="1:8" x14ac:dyDescent="0.3">
      <c r="A27" s="84"/>
      <c r="B27" s="26">
        <f>'Nov 2023'!Y35</f>
        <v>4.3125</v>
      </c>
      <c r="C27" s="68"/>
      <c r="D27" s="68"/>
      <c r="E27" s="68"/>
    </row>
    <row r="28" spans="1:8" x14ac:dyDescent="0.3">
      <c r="A28" s="83" t="s">
        <v>15</v>
      </c>
      <c r="B28" s="81">
        <f>'Nov 2023'!Z35</f>
        <v>2</v>
      </c>
      <c r="C28" s="68"/>
      <c r="F28" s="68"/>
      <c r="G28" s="68"/>
    </row>
    <row r="29" spans="1:8" x14ac:dyDescent="0.3">
      <c r="A29" s="83"/>
      <c r="B29" s="81">
        <f>'Nov 2023'!AA35</f>
        <v>1</v>
      </c>
      <c r="C29" s="68"/>
      <c r="F29" s="68"/>
      <c r="G29" s="68"/>
    </row>
    <row r="30" spans="1:8" x14ac:dyDescent="0.3">
      <c r="A30" s="84"/>
      <c r="B30" s="26">
        <f>'Nov 2023'!AB35</f>
        <v>2</v>
      </c>
      <c r="C30" s="68"/>
      <c r="F30" s="68"/>
      <c r="G30" s="68"/>
    </row>
    <row r="31" spans="1:8" x14ac:dyDescent="0.3">
      <c r="A31" s="83" t="s">
        <v>16</v>
      </c>
      <c r="B31" s="81">
        <f>'Nov 2023'!AC35</f>
        <v>38</v>
      </c>
      <c r="C31" s="68"/>
      <c r="F31" s="68"/>
      <c r="G31" s="68"/>
    </row>
    <row r="32" spans="1:8" x14ac:dyDescent="0.3">
      <c r="A32" s="83"/>
      <c r="B32" s="81">
        <f>'Nov 2023'!AD35</f>
        <v>13</v>
      </c>
      <c r="C32" s="68"/>
      <c r="F32" s="68"/>
      <c r="G32" s="68"/>
    </row>
    <row r="33" spans="1:7" x14ac:dyDescent="0.3">
      <c r="A33" s="84"/>
      <c r="B33" s="26">
        <f>'Nov 2023'!AE35</f>
        <v>2.9230769230769229</v>
      </c>
      <c r="C33" s="68"/>
      <c r="F33" s="68"/>
      <c r="G33" s="68"/>
    </row>
    <row r="34" spans="1:7" x14ac:dyDescent="0.3">
      <c r="A34" s="83" t="s">
        <v>17</v>
      </c>
      <c r="B34" s="81">
        <f>'Nov 2023'!AF35</f>
        <v>5</v>
      </c>
      <c r="C34" s="68"/>
      <c r="F34" s="68"/>
      <c r="G34" s="68"/>
    </row>
    <row r="35" spans="1:7" x14ac:dyDescent="0.3">
      <c r="A35" s="83"/>
      <c r="B35" s="81">
        <f>'Nov 2023'!AG35</f>
        <v>1</v>
      </c>
      <c r="C35" s="68"/>
      <c r="F35" s="68"/>
      <c r="G35" s="68"/>
    </row>
    <row r="36" spans="1:7" x14ac:dyDescent="0.3">
      <c r="A36" s="84"/>
      <c r="B36" s="26">
        <f>'Nov 2023'!AH35</f>
        <v>5</v>
      </c>
      <c r="C36" s="68"/>
      <c r="F36" s="68"/>
      <c r="G36" s="68"/>
    </row>
    <row r="37" spans="1:7" x14ac:dyDescent="0.3">
      <c r="A37" s="83" t="s">
        <v>18</v>
      </c>
      <c r="B37" s="81">
        <f>'Nov 2023'!AI35</f>
        <v>103</v>
      </c>
      <c r="C37" s="68"/>
      <c r="F37" s="68"/>
      <c r="G37" s="68"/>
    </row>
    <row r="38" spans="1:7" x14ac:dyDescent="0.3">
      <c r="A38" s="83"/>
      <c r="B38" s="81">
        <f>'Nov 2023'!AJ35</f>
        <v>28</v>
      </c>
      <c r="C38" s="68"/>
      <c r="F38" s="68"/>
      <c r="G38" s="68"/>
    </row>
    <row r="39" spans="1:7" ht="15" thickBot="1" x14ac:dyDescent="0.35">
      <c r="A39" s="94"/>
      <c r="B39" s="89">
        <f>'Nov 2023'!AK35</f>
        <v>3.6785714285714284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204A-B3E1-4929-9FB1-82BD6D90B2A4}">
  <sheetPr codeName="Sheet4">
    <pageSetUpPr fitToPage="1"/>
  </sheetPr>
  <dimension ref="A1:BO125"/>
  <sheetViews>
    <sheetView topLeftCell="AS13" zoomScale="80" zoomScaleNormal="80" workbookViewId="0">
      <selection activeCell="B5" sqref="B5"/>
    </sheetView>
  </sheetViews>
  <sheetFormatPr defaultColWidth="8.88671875" defaultRowHeight="19.8" x14ac:dyDescent="0.4"/>
  <cols>
    <col min="1" max="1" width="38.5546875" style="156" customWidth="1"/>
    <col min="2" max="3" width="8.88671875" style="156" customWidth="1"/>
    <col min="4" max="9" width="8.88671875" style="248" customWidth="1"/>
    <col min="10" max="10" width="10" style="248" customWidth="1"/>
    <col min="11" max="18" width="8.88671875" style="248" customWidth="1"/>
    <col min="19" max="19" width="9.6640625" style="248" customWidth="1"/>
    <col min="20" max="21" width="8.88671875" style="248" customWidth="1"/>
    <col min="22" max="22" width="9.6640625" style="248" customWidth="1"/>
    <col min="23" max="24" width="8.88671875" style="156" customWidth="1"/>
    <col min="25" max="25" width="8.88671875" style="248" customWidth="1"/>
    <col min="26" max="27" width="8.88671875" style="156" customWidth="1"/>
    <col min="28" max="28" width="8.88671875" style="248" customWidth="1"/>
    <col min="29" max="30" width="8.88671875" style="156" customWidth="1"/>
    <col min="31" max="31" width="8.88671875" style="248" customWidth="1"/>
    <col min="32" max="33" width="8.88671875" style="156" customWidth="1"/>
    <col min="34" max="34" width="7.33203125" style="248" customWidth="1"/>
    <col min="35" max="35" width="7.33203125" style="156" customWidth="1"/>
    <col min="36" max="36" width="9.6640625" style="156" customWidth="1"/>
    <col min="37" max="37" width="10.88671875" style="248" customWidth="1"/>
    <col min="38" max="39" width="8.88671875" style="156" customWidth="1"/>
    <col min="40" max="40" width="8.88671875" style="248" customWidth="1"/>
    <col min="41" max="42" width="8.88671875" style="156" customWidth="1"/>
    <col min="43" max="43" width="8.88671875" style="248" customWidth="1"/>
    <col min="44" max="45" width="8.88671875" style="156" customWidth="1"/>
    <col min="46" max="46" width="8.88671875" style="248" customWidth="1"/>
    <col min="47" max="51" width="8.88671875" style="156" customWidth="1"/>
    <col min="52" max="52" width="8.88671875" style="248" customWidth="1"/>
    <col min="53" max="54" width="9" style="156" bestFit="1" customWidth="1"/>
    <col min="55" max="55" width="9" style="248" bestFit="1" customWidth="1"/>
    <col min="56" max="57" width="9" style="156" bestFit="1" customWidth="1"/>
    <col min="58" max="58" width="8.88671875" style="248"/>
    <col min="59" max="60" width="9" style="156" bestFit="1" customWidth="1"/>
    <col min="61" max="61" width="9.33203125" style="248" customWidth="1"/>
    <col min="62" max="63" width="9" style="156" bestFit="1" customWidth="1"/>
    <col min="64" max="64" width="9" style="248" bestFit="1" customWidth="1"/>
    <col min="65" max="66" width="9.88671875" style="249" bestFit="1" customWidth="1"/>
    <col min="67" max="67" width="9" style="248" bestFit="1" customWidth="1"/>
    <col min="68" max="16384" width="8.88671875" style="156"/>
  </cols>
  <sheetData>
    <row r="1" spans="1:67" ht="20.399999999999999" thickBot="1" x14ac:dyDescent="0.45">
      <c r="A1" s="152" t="s">
        <v>0</v>
      </c>
      <c r="B1" s="153"/>
      <c r="C1" s="153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3"/>
      <c r="X1" s="153"/>
      <c r="Y1" s="154"/>
      <c r="Z1" s="153"/>
      <c r="AA1" s="153"/>
      <c r="AB1" s="154"/>
      <c r="AC1" s="153"/>
      <c r="AD1" s="153"/>
      <c r="AE1" s="154"/>
      <c r="AF1" s="153"/>
      <c r="AG1" s="153"/>
      <c r="AH1" s="154"/>
      <c r="AI1" s="153"/>
      <c r="AJ1" s="153"/>
      <c r="AK1" s="154"/>
      <c r="AL1" s="153"/>
      <c r="AM1" s="153"/>
      <c r="AN1" s="154"/>
      <c r="AO1" s="153"/>
      <c r="AP1" s="153"/>
      <c r="AQ1" s="154"/>
      <c r="AR1" s="153"/>
      <c r="AS1" s="153"/>
      <c r="AT1" s="154"/>
      <c r="AU1" s="153"/>
      <c r="AV1" s="153"/>
      <c r="AW1" s="153"/>
      <c r="AX1" s="153"/>
      <c r="AY1" s="153"/>
      <c r="AZ1" s="154"/>
      <c r="BA1" s="153"/>
      <c r="BB1" s="153"/>
      <c r="BC1" s="154"/>
      <c r="BD1" s="153"/>
      <c r="BE1" s="153"/>
      <c r="BF1" s="154"/>
      <c r="BG1" s="153"/>
      <c r="BH1" s="153"/>
      <c r="BI1" s="154"/>
      <c r="BJ1" s="153"/>
      <c r="BK1" s="153"/>
      <c r="BL1" s="154"/>
      <c r="BM1" s="155"/>
      <c r="BN1" s="155"/>
      <c r="BO1" s="154"/>
    </row>
    <row r="2" spans="1:67" s="177" customFormat="1" ht="20.399999999999999" thickBot="1" x14ac:dyDescent="0.45">
      <c r="A2" s="157"/>
      <c r="B2" s="158"/>
      <c r="C2" s="159" t="s">
        <v>1</v>
      </c>
      <c r="D2" s="160"/>
      <c r="E2" s="161"/>
      <c r="F2" s="159" t="s">
        <v>1</v>
      </c>
      <c r="G2" s="161"/>
      <c r="H2" s="162"/>
      <c r="I2" s="159" t="s">
        <v>1</v>
      </c>
      <c r="J2" s="160"/>
      <c r="K2" s="163"/>
      <c r="L2" s="159" t="s">
        <v>1</v>
      </c>
      <c r="M2" s="164"/>
      <c r="N2" s="163"/>
      <c r="O2" s="163" t="s">
        <v>2</v>
      </c>
      <c r="P2" s="163"/>
      <c r="Q2" s="165"/>
      <c r="R2" s="163" t="s">
        <v>2</v>
      </c>
      <c r="S2" s="164"/>
      <c r="T2" s="165"/>
      <c r="U2" s="163" t="s">
        <v>2</v>
      </c>
      <c r="V2" s="164"/>
      <c r="W2" s="166"/>
      <c r="X2" s="167" t="s">
        <v>3</v>
      </c>
      <c r="Y2" s="163"/>
      <c r="Z2" s="166"/>
      <c r="AA2" s="167" t="s">
        <v>3</v>
      </c>
      <c r="AB2" s="164"/>
      <c r="AC2" s="167"/>
      <c r="AD2" s="167" t="s">
        <v>4</v>
      </c>
      <c r="AE2" s="163"/>
      <c r="AF2" s="166"/>
      <c r="AG2" s="167" t="s">
        <v>4</v>
      </c>
      <c r="AH2" s="164"/>
      <c r="AI2" s="167"/>
      <c r="AJ2" s="167" t="s">
        <v>4</v>
      </c>
      <c r="AK2" s="164"/>
      <c r="AL2" s="168"/>
      <c r="AM2" s="169" t="s">
        <v>5</v>
      </c>
      <c r="AN2" s="170"/>
      <c r="AO2" s="168"/>
      <c r="AP2" s="169" t="s">
        <v>5</v>
      </c>
      <c r="AQ2" s="171"/>
      <c r="AR2" s="169"/>
      <c r="AS2" s="169" t="s">
        <v>5</v>
      </c>
      <c r="AT2" s="170"/>
      <c r="AU2" s="168"/>
      <c r="AV2" s="169" t="s">
        <v>5</v>
      </c>
      <c r="AW2" s="172"/>
      <c r="AX2" s="169"/>
      <c r="AY2" s="169" t="s">
        <v>5</v>
      </c>
      <c r="AZ2" s="171"/>
      <c r="BA2" s="166"/>
      <c r="BB2" s="167" t="s">
        <v>6</v>
      </c>
      <c r="BC2" s="164"/>
      <c r="BD2" s="173"/>
      <c r="BE2" s="173" t="s">
        <v>6</v>
      </c>
      <c r="BF2" s="174"/>
      <c r="BG2" s="166"/>
      <c r="BH2" s="167" t="s">
        <v>6</v>
      </c>
      <c r="BI2" s="164"/>
      <c r="BJ2" s="173"/>
      <c r="BK2" s="173" t="s">
        <v>6</v>
      </c>
      <c r="BL2" s="174"/>
      <c r="BM2" s="175" t="s">
        <v>7</v>
      </c>
      <c r="BN2" s="176"/>
      <c r="BO2" s="164"/>
    </row>
    <row r="3" spans="1:67" x14ac:dyDescent="0.4">
      <c r="A3" s="178"/>
      <c r="B3" s="179" t="s">
        <v>8</v>
      </c>
      <c r="C3" s="180"/>
      <c r="D3" s="181"/>
      <c r="E3" s="182" t="s">
        <v>9</v>
      </c>
      <c r="F3" s="183"/>
      <c r="G3" s="184"/>
      <c r="H3" s="182" t="s">
        <v>10</v>
      </c>
      <c r="I3" s="183"/>
      <c r="J3" s="184"/>
      <c r="K3" s="183" t="s">
        <v>13</v>
      </c>
      <c r="L3" s="183"/>
      <c r="M3" s="184"/>
      <c r="N3" s="183" t="s">
        <v>11</v>
      </c>
      <c r="O3" s="183"/>
      <c r="P3" s="185"/>
      <c r="Q3" s="182" t="s">
        <v>12</v>
      </c>
      <c r="R3" s="183"/>
      <c r="S3" s="184"/>
      <c r="T3" s="182" t="s">
        <v>35</v>
      </c>
      <c r="U3" s="183"/>
      <c r="V3" s="184"/>
      <c r="W3" s="186" t="s">
        <v>14</v>
      </c>
      <c r="X3" s="186"/>
      <c r="Y3" s="187"/>
      <c r="Z3" s="188" t="s">
        <v>15</v>
      </c>
      <c r="AA3" s="186"/>
      <c r="AB3" s="189"/>
      <c r="AC3" s="186" t="s">
        <v>16</v>
      </c>
      <c r="AD3" s="186"/>
      <c r="AE3" s="187"/>
      <c r="AF3" s="188" t="s">
        <v>17</v>
      </c>
      <c r="AG3" s="186"/>
      <c r="AH3" s="189"/>
      <c r="AI3" s="186" t="s">
        <v>18</v>
      </c>
      <c r="AJ3" s="186"/>
      <c r="AK3" s="187"/>
      <c r="AL3" s="190" t="s">
        <v>36</v>
      </c>
      <c r="AM3" s="191"/>
      <c r="AN3" s="192"/>
      <c r="AO3" s="190" t="s">
        <v>37</v>
      </c>
      <c r="AP3" s="191"/>
      <c r="AQ3" s="193"/>
      <c r="AR3" s="191" t="s">
        <v>38</v>
      </c>
      <c r="AS3" s="191"/>
      <c r="AT3" s="192"/>
      <c r="AU3" s="190" t="s">
        <v>39</v>
      </c>
      <c r="AV3" s="191"/>
      <c r="AW3" s="194"/>
      <c r="AX3" s="191" t="s">
        <v>40</v>
      </c>
      <c r="AY3" s="191"/>
      <c r="AZ3" s="193"/>
      <c r="BA3" s="195" t="s">
        <v>24</v>
      </c>
      <c r="BB3" s="196"/>
      <c r="BC3" s="197"/>
      <c r="BD3" s="196" t="s">
        <v>25</v>
      </c>
      <c r="BE3" s="196"/>
      <c r="BF3" s="198"/>
      <c r="BG3" s="195" t="s">
        <v>26</v>
      </c>
      <c r="BH3" s="196"/>
      <c r="BI3" s="197"/>
      <c r="BJ3" s="196" t="s">
        <v>27</v>
      </c>
      <c r="BK3" s="196"/>
      <c r="BL3" s="198"/>
      <c r="BM3" s="199" t="s">
        <v>28</v>
      </c>
      <c r="BN3" s="199"/>
      <c r="BO3" s="200"/>
    </row>
    <row r="4" spans="1:67" ht="60" thickBot="1" x14ac:dyDescent="0.45">
      <c r="A4" s="201" t="s">
        <v>29</v>
      </c>
      <c r="B4" s="202" t="s">
        <v>7</v>
      </c>
      <c r="C4" s="203" t="s">
        <v>30</v>
      </c>
      <c r="D4" s="204" t="s">
        <v>31</v>
      </c>
      <c r="E4" s="205" t="s">
        <v>7</v>
      </c>
      <c r="F4" s="206" t="s">
        <v>30</v>
      </c>
      <c r="G4" s="207" t="s">
        <v>31</v>
      </c>
      <c r="H4" s="205" t="s">
        <v>7</v>
      </c>
      <c r="I4" s="206" t="s">
        <v>30</v>
      </c>
      <c r="J4" s="207" t="s">
        <v>31</v>
      </c>
      <c r="K4" s="206" t="s">
        <v>7</v>
      </c>
      <c r="L4" s="206" t="s">
        <v>30</v>
      </c>
      <c r="M4" s="207" t="s">
        <v>31</v>
      </c>
      <c r="N4" s="206" t="s">
        <v>7</v>
      </c>
      <c r="O4" s="206" t="s">
        <v>30</v>
      </c>
      <c r="P4" s="208" t="s">
        <v>31</v>
      </c>
      <c r="Q4" s="205" t="s">
        <v>7</v>
      </c>
      <c r="R4" s="206" t="s">
        <v>30</v>
      </c>
      <c r="S4" s="207" t="s">
        <v>31</v>
      </c>
      <c r="T4" s="205" t="s">
        <v>7</v>
      </c>
      <c r="U4" s="206" t="s">
        <v>30</v>
      </c>
      <c r="V4" s="207" t="s">
        <v>31</v>
      </c>
      <c r="W4" s="209" t="s">
        <v>7</v>
      </c>
      <c r="X4" s="209" t="s">
        <v>30</v>
      </c>
      <c r="Y4" s="210" t="s">
        <v>31</v>
      </c>
      <c r="Z4" s="211" t="s">
        <v>7</v>
      </c>
      <c r="AA4" s="209" t="s">
        <v>30</v>
      </c>
      <c r="AB4" s="212" t="s">
        <v>31</v>
      </c>
      <c r="AC4" s="209" t="s">
        <v>7</v>
      </c>
      <c r="AD4" s="209" t="s">
        <v>30</v>
      </c>
      <c r="AE4" s="210" t="s">
        <v>31</v>
      </c>
      <c r="AF4" s="211" t="s">
        <v>7</v>
      </c>
      <c r="AG4" s="209" t="s">
        <v>30</v>
      </c>
      <c r="AH4" s="212" t="s">
        <v>31</v>
      </c>
      <c r="AI4" s="209" t="s">
        <v>7</v>
      </c>
      <c r="AJ4" s="209" t="s">
        <v>30</v>
      </c>
      <c r="AK4" s="210" t="s">
        <v>31</v>
      </c>
      <c r="AL4" s="213" t="s">
        <v>7</v>
      </c>
      <c r="AM4" s="214" t="s">
        <v>30</v>
      </c>
      <c r="AN4" s="215" t="s">
        <v>31</v>
      </c>
      <c r="AO4" s="213" t="s">
        <v>7</v>
      </c>
      <c r="AP4" s="214" t="s">
        <v>30</v>
      </c>
      <c r="AQ4" s="216" t="s">
        <v>31</v>
      </c>
      <c r="AR4" s="214" t="s">
        <v>7</v>
      </c>
      <c r="AS4" s="214" t="s">
        <v>30</v>
      </c>
      <c r="AT4" s="215" t="s">
        <v>31</v>
      </c>
      <c r="AU4" s="213" t="s">
        <v>7</v>
      </c>
      <c r="AV4" s="214" t="s">
        <v>30</v>
      </c>
      <c r="AW4" s="217" t="s">
        <v>31</v>
      </c>
      <c r="AX4" s="214" t="s">
        <v>7</v>
      </c>
      <c r="AY4" s="214" t="s">
        <v>30</v>
      </c>
      <c r="AZ4" s="216" t="s">
        <v>31</v>
      </c>
      <c r="BA4" s="218" t="s">
        <v>7</v>
      </c>
      <c r="BB4" s="219" t="s">
        <v>30</v>
      </c>
      <c r="BC4" s="220" t="s">
        <v>31</v>
      </c>
      <c r="BD4" s="219" t="s">
        <v>7</v>
      </c>
      <c r="BE4" s="219" t="s">
        <v>30</v>
      </c>
      <c r="BF4" s="221" t="s">
        <v>31</v>
      </c>
      <c r="BG4" s="218" t="s">
        <v>7</v>
      </c>
      <c r="BH4" s="219" t="s">
        <v>30</v>
      </c>
      <c r="BI4" s="220" t="s">
        <v>31</v>
      </c>
      <c r="BJ4" s="219" t="s">
        <v>7</v>
      </c>
      <c r="BK4" s="219" t="s">
        <v>30</v>
      </c>
      <c r="BL4" s="221" t="s">
        <v>31</v>
      </c>
      <c r="BM4" s="222" t="s">
        <v>7</v>
      </c>
      <c r="BN4" s="222" t="s">
        <v>30</v>
      </c>
      <c r="BO4" s="223" t="s">
        <v>31</v>
      </c>
    </row>
    <row r="5" spans="1:67" ht="20.399999999999999" thickBot="1" x14ac:dyDescent="0.45">
      <c r="A5" s="224">
        <v>45261</v>
      </c>
      <c r="B5" s="225">
        <v>59</v>
      </c>
      <c r="C5" s="226">
        <v>6</v>
      </c>
      <c r="D5" s="227">
        <f t="shared" ref="D5:D23" si="0">IF(C5=0,"",B5/C5)</f>
        <v>9.8333333333333339</v>
      </c>
      <c r="E5" s="225">
        <v>0</v>
      </c>
      <c r="F5" s="226">
        <v>0</v>
      </c>
      <c r="G5" s="228" t="str">
        <f>IF(F5=0,"-",E5/F5)</f>
        <v>-</v>
      </c>
      <c r="H5" s="225">
        <v>7</v>
      </c>
      <c r="I5" s="226">
        <v>1</v>
      </c>
      <c r="J5" s="227">
        <f t="shared" ref="J5:J24" si="1">IF(I5=0,"",H5/I5)</f>
        <v>7</v>
      </c>
      <c r="K5" s="229">
        <v>0</v>
      </c>
      <c r="L5" s="230">
        <v>0</v>
      </c>
      <c r="M5" s="228" t="str">
        <f>IF(L5=0,"-",K5/L5)</f>
        <v>-</v>
      </c>
      <c r="N5" s="231">
        <v>77</v>
      </c>
      <c r="O5" s="226">
        <v>14</v>
      </c>
      <c r="P5" s="227">
        <f t="shared" ref="P5:P25" si="2">IF(O5=0,"",N5/O5)</f>
        <v>5.5</v>
      </c>
      <c r="Q5" s="232">
        <v>257</v>
      </c>
      <c r="R5" s="233">
        <v>44</v>
      </c>
      <c r="S5" s="228">
        <f t="shared" ref="S5:S6" si="3">IF(R5=0,"-",Q5/R5)</f>
        <v>5.8409090909090908</v>
      </c>
      <c r="T5" s="232">
        <v>0</v>
      </c>
      <c r="U5" s="233">
        <v>0</v>
      </c>
      <c r="V5" s="228" t="str">
        <f t="shared" ref="V5:V6" si="4">IF(U5=0,"-",T5/U5)</f>
        <v>-</v>
      </c>
      <c r="W5" s="225">
        <v>0</v>
      </c>
      <c r="X5" s="226">
        <v>0</v>
      </c>
      <c r="Y5" s="228" t="str">
        <f t="shared" ref="Y5:Y7" si="5">IF(X5=0,"-",W5/X5)</f>
        <v>-</v>
      </c>
      <c r="Z5" s="231">
        <v>0</v>
      </c>
      <c r="AA5" s="226">
        <v>0</v>
      </c>
      <c r="AB5" s="228" t="str">
        <f t="shared" ref="AB5:AB7" si="6">IF(AA5=0,"-",Z5/AA5)</f>
        <v>-</v>
      </c>
      <c r="AC5" s="225">
        <v>0</v>
      </c>
      <c r="AD5" s="226">
        <v>0</v>
      </c>
      <c r="AE5" s="228" t="str">
        <f t="shared" ref="AE5:AE7" si="7">IF(AD5=0,"-",AC5/AD5)</f>
        <v>-</v>
      </c>
      <c r="AF5" s="225">
        <v>0</v>
      </c>
      <c r="AG5" s="226">
        <v>0</v>
      </c>
      <c r="AH5" s="228" t="str">
        <f t="shared" ref="AH5:AH7" si="8">IF(AG5=0,"-",AF5/AG5)</f>
        <v>-</v>
      </c>
      <c r="AI5" s="231">
        <v>0</v>
      </c>
      <c r="AJ5" s="226">
        <v>0</v>
      </c>
      <c r="AK5" s="228" t="str">
        <f t="shared" ref="AK5:AK7" si="9">IF(AJ5=0,"-",AI5/AJ5)</f>
        <v>-</v>
      </c>
      <c r="AL5" s="231">
        <v>28</v>
      </c>
      <c r="AM5" s="226">
        <v>4</v>
      </c>
      <c r="AN5" s="227">
        <f t="shared" ref="AN5:AN21" si="10">IF(AM5=0,"",AL5/AM5)</f>
        <v>7</v>
      </c>
      <c r="AO5" s="225">
        <v>0</v>
      </c>
      <c r="AP5" s="226">
        <v>0</v>
      </c>
      <c r="AQ5" s="228" t="str">
        <f t="shared" ref="AQ5:AQ8" si="11">IF(AP5=0,"-",AO5/AP5)</f>
        <v>-</v>
      </c>
      <c r="AR5" s="225">
        <v>30</v>
      </c>
      <c r="AS5" s="226">
        <v>4</v>
      </c>
      <c r="AT5" s="227">
        <f t="shared" ref="AT5:AT7" si="12">IF(AS5=0,"",AR5/AS5)</f>
        <v>7.5</v>
      </c>
      <c r="AU5" s="234">
        <v>0</v>
      </c>
      <c r="AV5" s="235">
        <v>0</v>
      </c>
      <c r="AW5" s="228" t="str">
        <f t="shared" ref="AW5:AW8" si="13">IF(AV5=0,"-",AU5/AV5)</f>
        <v>-</v>
      </c>
      <c r="AX5" s="225">
        <v>0</v>
      </c>
      <c r="AY5" s="226">
        <v>0</v>
      </c>
      <c r="AZ5" s="228" t="str">
        <f t="shared" ref="AZ5:AZ8" si="14">IF(AY5=0,"-",AX5/AY5)</f>
        <v>-</v>
      </c>
      <c r="BA5" s="225">
        <v>0</v>
      </c>
      <c r="BB5" s="226">
        <v>0</v>
      </c>
      <c r="BC5" s="228" t="str">
        <f t="shared" ref="BC5" si="15">IF(BB5=0,"-",BA5/BB5)</f>
        <v>-</v>
      </c>
      <c r="BD5" s="231">
        <v>0</v>
      </c>
      <c r="BE5" s="226">
        <v>0</v>
      </c>
      <c r="BF5" s="228" t="str">
        <f t="shared" ref="BF5:BF7" si="16">IF(BE5=0,"-",BD5/BE5)</f>
        <v>-</v>
      </c>
      <c r="BG5" s="225">
        <v>0</v>
      </c>
      <c r="BH5" s="226">
        <v>0</v>
      </c>
      <c r="BI5" s="228" t="str">
        <f t="shared" ref="BI5:BI7" si="17">IF(BH5=0,"-",BG5/BH5)</f>
        <v>-</v>
      </c>
      <c r="BJ5" s="225">
        <v>0</v>
      </c>
      <c r="BK5" s="226">
        <v>0</v>
      </c>
      <c r="BL5" s="228" t="str">
        <f t="shared" ref="BL5:BL7" si="18">IF(BK5=0,"-",BJ5/BK5)</f>
        <v>-</v>
      </c>
      <c r="BM5" s="236">
        <f>BJ5+BG5+BD5+BA5+AX5+AU5+AR5+AO5+AL5+K5+Q5+N5+H5+E5+AI5+AF5+AC5+Z5+W5+B5</f>
        <v>458</v>
      </c>
      <c r="BN5" s="237">
        <f>BK5+BH5+BE5+BB5+AY5+AV5+AS5+AP5+AM5+L5+R5+O5+I5+F5+AJ5+AG5+AD5+AA5+X5+C5</f>
        <v>73</v>
      </c>
      <c r="BO5" s="238">
        <f>IF(BN5=0,"",BM5/BN5)</f>
        <v>6.2739726027397262</v>
      </c>
    </row>
    <row r="6" spans="1:67" ht="20.399999999999999" thickBot="1" x14ac:dyDescent="0.45">
      <c r="A6" s="224">
        <v>45262</v>
      </c>
      <c r="B6" s="229">
        <v>85</v>
      </c>
      <c r="C6" s="230">
        <v>9</v>
      </c>
      <c r="D6" s="227">
        <f t="shared" si="0"/>
        <v>9.4444444444444446</v>
      </c>
      <c r="E6" s="229">
        <v>8</v>
      </c>
      <c r="F6" s="230">
        <v>1</v>
      </c>
      <c r="G6" s="227">
        <f t="shared" ref="G6:G25" si="19">IF(F6=0,"",E6/F6)</f>
        <v>8</v>
      </c>
      <c r="H6" s="229">
        <v>0</v>
      </c>
      <c r="I6" s="230">
        <v>0</v>
      </c>
      <c r="J6" s="228" t="str">
        <f>IF(I6=0,"-",H6/I6)</f>
        <v>-</v>
      </c>
      <c r="K6" s="229">
        <v>0</v>
      </c>
      <c r="L6" s="230">
        <v>0</v>
      </c>
      <c r="M6" s="228" t="str">
        <f>IF(L6=0,"-",K6/L6)</f>
        <v>-</v>
      </c>
      <c r="N6" s="239">
        <v>24</v>
      </c>
      <c r="O6" s="230">
        <v>5</v>
      </c>
      <c r="P6" s="227">
        <f t="shared" si="2"/>
        <v>4.8</v>
      </c>
      <c r="Q6" s="229">
        <v>309</v>
      </c>
      <c r="R6" s="230">
        <v>47</v>
      </c>
      <c r="S6" s="228">
        <f t="shared" si="3"/>
        <v>6.5744680851063828</v>
      </c>
      <c r="T6" s="229">
        <v>6</v>
      </c>
      <c r="U6" s="230">
        <v>1</v>
      </c>
      <c r="V6" s="228">
        <f t="shared" si="4"/>
        <v>6</v>
      </c>
      <c r="W6" s="229">
        <v>0</v>
      </c>
      <c r="X6" s="230">
        <v>0</v>
      </c>
      <c r="Y6" s="228" t="str">
        <f t="shared" si="5"/>
        <v>-</v>
      </c>
      <c r="Z6" s="239">
        <v>0</v>
      </c>
      <c r="AA6" s="230">
        <v>0</v>
      </c>
      <c r="AB6" s="228" t="str">
        <f t="shared" si="6"/>
        <v>-</v>
      </c>
      <c r="AC6" s="229">
        <v>0</v>
      </c>
      <c r="AD6" s="230">
        <v>0</v>
      </c>
      <c r="AE6" s="228" t="str">
        <f t="shared" si="7"/>
        <v>-</v>
      </c>
      <c r="AF6" s="229">
        <v>0</v>
      </c>
      <c r="AG6" s="230">
        <v>0</v>
      </c>
      <c r="AH6" s="228" t="str">
        <f t="shared" si="8"/>
        <v>-</v>
      </c>
      <c r="AI6" s="239">
        <v>0</v>
      </c>
      <c r="AJ6" s="230">
        <v>0</v>
      </c>
      <c r="AK6" s="228" t="str">
        <f t="shared" si="9"/>
        <v>-</v>
      </c>
      <c r="AL6" s="239">
        <v>21</v>
      </c>
      <c r="AM6" s="230">
        <v>3</v>
      </c>
      <c r="AN6" s="227">
        <f t="shared" si="10"/>
        <v>7</v>
      </c>
      <c r="AO6" s="229">
        <v>0</v>
      </c>
      <c r="AP6" s="230">
        <v>0</v>
      </c>
      <c r="AQ6" s="228" t="str">
        <f t="shared" si="11"/>
        <v>-</v>
      </c>
      <c r="AR6" s="229">
        <v>43</v>
      </c>
      <c r="AS6" s="229">
        <v>6</v>
      </c>
      <c r="AT6" s="227">
        <f t="shared" si="12"/>
        <v>7.166666666666667</v>
      </c>
      <c r="AU6" s="229">
        <v>0</v>
      </c>
      <c r="AV6" s="229">
        <v>0</v>
      </c>
      <c r="AW6" s="228" t="str">
        <f t="shared" si="13"/>
        <v>-</v>
      </c>
      <c r="AX6" s="229">
        <v>0</v>
      </c>
      <c r="AY6" s="230">
        <v>0</v>
      </c>
      <c r="AZ6" s="228" t="str">
        <f t="shared" si="14"/>
        <v>-</v>
      </c>
      <c r="BA6" s="229">
        <v>13</v>
      </c>
      <c r="BB6" s="230">
        <v>3</v>
      </c>
      <c r="BC6" s="227">
        <f t="shared" ref="BC6:BC25" si="20">IF(BB6=0,"",BA6/BB6)</f>
        <v>4.333333333333333</v>
      </c>
      <c r="BD6" s="229">
        <v>0</v>
      </c>
      <c r="BE6" s="230">
        <v>0</v>
      </c>
      <c r="BF6" s="228" t="str">
        <f t="shared" si="16"/>
        <v>-</v>
      </c>
      <c r="BG6" s="229">
        <v>0</v>
      </c>
      <c r="BH6" s="230">
        <v>0</v>
      </c>
      <c r="BI6" s="228" t="str">
        <f t="shared" si="17"/>
        <v>-</v>
      </c>
      <c r="BJ6" s="229">
        <v>0</v>
      </c>
      <c r="BK6" s="230">
        <v>0</v>
      </c>
      <c r="BL6" s="228" t="str">
        <f t="shared" si="18"/>
        <v>-</v>
      </c>
      <c r="BM6" s="236">
        <f t="shared" ref="BM6:BN34" si="21">BJ6+BG6+BD6+BA6+AX6+AU6+AR6+AO6+AL6+K6+Q6+N6+H6+E6+AI6+AF6+AC6+Z6+W6+B6</f>
        <v>503</v>
      </c>
      <c r="BN6" s="237">
        <f t="shared" si="21"/>
        <v>74</v>
      </c>
      <c r="BO6" s="238">
        <f t="shared" ref="BO6:BO35" si="22">IF(BN6=0,"",BM6/BN6)</f>
        <v>6.7972972972972974</v>
      </c>
    </row>
    <row r="7" spans="1:67" ht="20.399999999999999" thickBot="1" x14ac:dyDescent="0.45">
      <c r="A7" s="224">
        <v>45263</v>
      </c>
      <c r="B7" s="229">
        <v>28</v>
      </c>
      <c r="C7" s="230">
        <v>3</v>
      </c>
      <c r="D7" s="227">
        <f t="shared" si="0"/>
        <v>9.3333333333333339</v>
      </c>
      <c r="E7" s="229">
        <v>0</v>
      </c>
      <c r="F7" s="230">
        <v>0</v>
      </c>
      <c r="G7" s="228" t="str">
        <f>IF(F7=0,"-",E7/F7)</f>
        <v>-</v>
      </c>
      <c r="H7" s="229">
        <v>0</v>
      </c>
      <c r="I7" s="230">
        <v>0</v>
      </c>
      <c r="J7" s="228" t="str">
        <f>IF(I7=0,"-",H7/I7)</f>
        <v>-</v>
      </c>
      <c r="K7" s="229">
        <v>0</v>
      </c>
      <c r="L7" s="230">
        <v>0</v>
      </c>
      <c r="M7" s="228" t="str">
        <f>IF(L7=0,"-",K7/L7)</f>
        <v>-</v>
      </c>
      <c r="N7" s="239">
        <v>30</v>
      </c>
      <c r="O7" s="230">
        <v>5</v>
      </c>
      <c r="P7" s="227">
        <f t="shared" si="2"/>
        <v>6</v>
      </c>
      <c r="Q7" s="229">
        <v>202</v>
      </c>
      <c r="R7" s="230">
        <v>40</v>
      </c>
      <c r="S7" s="227">
        <f t="shared" ref="S7:S31" si="23">IF(R7=0,"",Q7/R7)</f>
        <v>5.05</v>
      </c>
      <c r="T7" s="229">
        <v>0</v>
      </c>
      <c r="U7" s="230">
        <v>0</v>
      </c>
      <c r="V7" s="228" t="str">
        <f t="shared" ref="V7" si="24">IF(U7=0,"-",T7/U7)</f>
        <v>-</v>
      </c>
      <c r="W7" s="229">
        <v>0</v>
      </c>
      <c r="X7" s="230">
        <v>0</v>
      </c>
      <c r="Y7" s="228" t="str">
        <f t="shared" si="5"/>
        <v>-</v>
      </c>
      <c r="Z7" s="239">
        <v>0</v>
      </c>
      <c r="AA7" s="230">
        <v>0</v>
      </c>
      <c r="AB7" s="228" t="str">
        <f t="shared" si="6"/>
        <v>-</v>
      </c>
      <c r="AC7" s="229">
        <v>0</v>
      </c>
      <c r="AD7" s="230">
        <v>0</v>
      </c>
      <c r="AE7" s="228" t="str">
        <f t="shared" si="7"/>
        <v>-</v>
      </c>
      <c r="AF7" s="229">
        <v>0</v>
      </c>
      <c r="AG7" s="230">
        <v>0</v>
      </c>
      <c r="AH7" s="228" t="str">
        <f t="shared" si="8"/>
        <v>-</v>
      </c>
      <c r="AI7" s="239">
        <v>0</v>
      </c>
      <c r="AJ7" s="230">
        <v>0</v>
      </c>
      <c r="AK7" s="228" t="str">
        <f t="shared" si="9"/>
        <v>-</v>
      </c>
      <c r="AL7" s="239">
        <v>34</v>
      </c>
      <c r="AM7" s="230">
        <v>5</v>
      </c>
      <c r="AN7" s="227">
        <f t="shared" si="10"/>
        <v>6.8</v>
      </c>
      <c r="AO7" s="229">
        <v>8</v>
      </c>
      <c r="AP7" s="230">
        <v>1</v>
      </c>
      <c r="AQ7" s="227">
        <f t="shared" ref="AQ7" si="25">IF(AP7=0,"",AO7/AP7)</f>
        <v>8</v>
      </c>
      <c r="AR7" s="229">
        <v>14</v>
      </c>
      <c r="AS7" s="230">
        <v>2</v>
      </c>
      <c r="AT7" s="227">
        <f t="shared" si="12"/>
        <v>7</v>
      </c>
      <c r="AU7" s="229">
        <v>0</v>
      </c>
      <c r="AV7" s="230">
        <v>0</v>
      </c>
      <c r="AW7" s="228" t="str">
        <f t="shared" si="13"/>
        <v>-</v>
      </c>
      <c r="AX7" s="229">
        <v>0</v>
      </c>
      <c r="AY7" s="230">
        <v>0</v>
      </c>
      <c r="AZ7" s="228" t="str">
        <f t="shared" si="14"/>
        <v>-</v>
      </c>
      <c r="BA7" s="229">
        <v>0</v>
      </c>
      <c r="BB7" s="230">
        <v>0</v>
      </c>
      <c r="BC7" s="228" t="str">
        <f t="shared" ref="BC7" si="26">IF(BB7=0,"-",BA7/BB7)</f>
        <v>-</v>
      </c>
      <c r="BD7" s="229">
        <v>0</v>
      </c>
      <c r="BE7" s="230">
        <v>0</v>
      </c>
      <c r="BF7" s="228" t="str">
        <f t="shared" si="16"/>
        <v>-</v>
      </c>
      <c r="BG7" s="229">
        <v>0</v>
      </c>
      <c r="BH7" s="230">
        <v>0</v>
      </c>
      <c r="BI7" s="228" t="str">
        <f t="shared" si="17"/>
        <v>-</v>
      </c>
      <c r="BJ7" s="229">
        <v>0</v>
      </c>
      <c r="BK7" s="230">
        <v>0</v>
      </c>
      <c r="BL7" s="228" t="str">
        <f t="shared" si="18"/>
        <v>-</v>
      </c>
      <c r="BM7" s="236">
        <f t="shared" si="21"/>
        <v>316</v>
      </c>
      <c r="BN7" s="237">
        <f t="shared" si="21"/>
        <v>56</v>
      </c>
      <c r="BO7" s="238">
        <f t="shared" si="22"/>
        <v>5.6428571428571432</v>
      </c>
    </row>
    <row r="8" spans="1:67" ht="20.399999999999999" thickBot="1" x14ac:dyDescent="0.45">
      <c r="A8" s="224">
        <v>45264</v>
      </c>
      <c r="B8" s="229">
        <v>61</v>
      </c>
      <c r="C8" s="230">
        <v>7</v>
      </c>
      <c r="D8" s="227">
        <f t="shared" si="0"/>
        <v>8.7142857142857135</v>
      </c>
      <c r="E8" s="229">
        <v>13</v>
      </c>
      <c r="F8" s="230">
        <v>2</v>
      </c>
      <c r="G8" s="228">
        <f>IF(F8=0,"-",E8/F8)</f>
        <v>6.5</v>
      </c>
      <c r="H8" s="229">
        <v>12</v>
      </c>
      <c r="I8" s="230">
        <v>2</v>
      </c>
      <c r="J8" s="227">
        <f t="shared" si="1"/>
        <v>6</v>
      </c>
      <c r="K8" s="229">
        <v>0</v>
      </c>
      <c r="L8" s="230">
        <v>0</v>
      </c>
      <c r="M8" s="228" t="str">
        <f>IF(L8=0,"-",K8/L8)</f>
        <v>-</v>
      </c>
      <c r="N8" s="239">
        <v>77</v>
      </c>
      <c r="O8" s="230">
        <v>14</v>
      </c>
      <c r="P8" s="227">
        <f t="shared" si="2"/>
        <v>5.5</v>
      </c>
      <c r="Q8" s="229">
        <v>4</v>
      </c>
      <c r="R8" s="230">
        <v>1</v>
      </c>
      <c r="S8" s="228">
        <f t="shared" ref="S8" si="27">IF(R8=0,"-",Q8/R8)</f>
        <v>4</v>
      </c>
      <c r="T8" s="229">
        <v>0</v>
      </c>
      <c r="U8" s="230">
        <v>0</v>
      </c>
      <c r="V8" s="228" t="str">
        <f t="shared" ref="V8" si="28">IF(U8=0,"-",T8/U8)</f>
        <v>-</v>
      </c>
      <c r="W8" s="229">
        <v>8</v>
      </c>
      <c r="X8" s="230">
        <v>2</v>
      </c>
      <c r="Y8" s="227">
        <f t="shared" ref="Y8:Y22" si="29">IF(X8=0,"",W8/X8)</f>
        <v>4</v>
      </c>
      <c r="Z8" s="239">
        <v>0</v>
      </c>
      <c r="AA8" s="230">
        <v>0</v>
      </c>
      <c r="AB8" s="228" t="str">
        <f t="shared" ref="AB8" si="30">IF(AA8=0,"-",Z8/AA8)</f>
        <v>-</v>
      </c>
      <c r="AC8" s="229">
        <v>8</v>
      </c>
      <c r="AD8" s="230">
        <v>1</v>
      </c>
      <c r="AE8" s="227">
        <f t="shared" ref="AE8:AE22" si="31">IF(AD8=0,"",AC8/AD8)</f>
        <v>8</v>
      </c>
      <c r="AF8" s="229">
        <v>0</v>
      </c>
      <c r="AG8" s="230">
        <v>0</v>
      </c>
      <c r="AH8" s="228" t="str">
        <f t="shared" ref="AH8:AH9" si="32">IF(AG8=0,"-",AF8/AG8)</f>
        <v>-</v>
      </c>
      <c r="AI8" s="239">
        <v>0</v>
      </c>
      <c r="AJ8" s="230">
        <v>0</v>
      </c>
      <c r="AK8" s="228" t="str">
        <f t="shared" ref="AK8:AK9" si="33">IF(AJ8=0,"-",AI8/AJ8)</f>
        <v>-</v>
      </c>
      <c r="AL8" s="239">
        <v>36</v>
      </c>
      <c r="AM8" s="230">
        <v>5</v>
      </c>
      <c r="AN8" s="227">
        <f t="shared" si="10"/>
        <v>7.2</v>
      </c>
      <c r="AO8" s="229">
        <v>0</v>
      </c>
      <c r="AP8" s="230">
        <v>0</v>
      </c>
      <c r="AQ8" s="228" t="str">
        <f t="shared" si="11"/>
        <v>-</v>
      </c>
      <c r="AR8" s="229">
        <v>0</v>
      </c>
      <c r="AS8" s="230">
        <v>0</v>
      </c>
      <c r="AT8" s="228" t="str">
        <f t="shared" ref="AT8" si="34">IF(AS8=0,"-",AR8/AS8)</f>
        <v>-</v>
      </c>
      <c r="AU8" s="229">
        <v>0</v>
      </c>
      <c r="AV8" s="230">
        <v>0</v>
      </c>
      <c r="AW8" s="228" t="str">
        <f t="shared" si="13"/>
        <v>-</v>
      </c>
      <c r="AX8" s="229">
        <v>0</v>
      </c>
      <c r="AY8" s="230">
        <v>0</v>
      </c>
      <c r="AZ8" s="228" t="str">
        <f t="shared" si="14"/>
        <v>-</v>
      </c>
      <c r="BA8" s="229">
        <v>28</v>
      </c>
      <c r="BB8" s="230">
        <v>4</v>
      </c>
      <c r="BC8" s="227">
        <f t="shared" si="20"/>
        <v>7</v>
      </c>
      <c r="BD8" s="229">
        <v>0</v>
      </c>
      <c r="BE8" s="230">
        <v>0</v>
      </c>
      <c r="BF8" s="228" t="str">
        <f t="shared" ref="BF8" si="35">IF(BE8=0,"-",BD8/BE8)</f>
        <v>-</v>
      </c>
      <c r="BG8" s="229">
        <v>0</v>
      </c>
      <c r="BH8" s="230">
        <v>0</v>
      </c>
      <c r="BI8" s="228" t="str">
        <f t="shared" ref="BI8" si="36">IF(BH8=0,"-",BG8/BH8)</f>
        <v>-</v>
      </c>
      <c r="BJ8" s="229">
        <v>0</v>
      </c>
      <c r="BK8" s="230">
        <v>0</v>
      </c>
      <c r="BL8" s="228" t="str">
        <f t="shared" ref="BL8" si="37">IF(BK8=0,"-",BJ8/BK8)</f>
        <v>-</v>
      </c>
      <c r="BM8" s="236">
        <f t="shared" si="21"/>
        <v>247</v>
      </c>
      <c r="BN8" s="237">
        <f t="shared" si="21"/>
        <v>38</v>
      </c>
      <c r="BO8" s="238">
        <f t="shared" si="22"/>
        <v>6.5</v>
      </c>
    </row>
    <row r="9" spans="1:67" ht="20.399999999999999" thickBot="1" x14ac:dyDescent="0.45">
      <c r="A9" s="224">
        <v>45265</v>
      </c>
      <c r="B9" s="229">
        <v>25</v>
      </c>
      <c r="C9" s="230">
        <v>4</v>
      </c>
      <c r="D9" s="227">
        <f t="shared" si="0"/>
        <v>6.25</v>
      </c>
      <c r="E9" s="229">
        <v>0</v>
      </c>
      <c r="F9" s="230">
        <v>0</v>
      </c>
      <c r="G9" s="228" t="str">
        <f>IF(F9=0,"-",E9/F9)</f>
        <v>-</v>
      </c>
      <c r="H9" s="229">
        <v>32</v>
      </c>
      <c r="I9" s="230">
        <v>4</v>
      </c>
      <c r="J9" s="227">
        <f t="shared" si="1"/>
        <v>8</v>
      </c>
      <c r="K9" s="229">
        <v>0</v>
      </c>
      <c r="L9" s="230">
        <v>0</v>
      </c>
      <c r="M9" s="228" t="str">
        <f>IF(L9=0,"-",K9/L9)</f>
        <v>-</v>
      </c>
      <c r="N9" s="239">
        <v>44</v>
      </c>
      <c r="O9" s="230">
        <v>9</v>
      </c>
      <c r="P9" s="227">
        <f t="shared" si="2"/>
        <v>4.8888888888888893</v>
      </c>
      <c r="Q9" s="229">
        <v>44</v>
      </c>
      <c r="R9" s="230">
        <v>10</v>
      </c>
      <c r="S9" s="228">
        <f t="shared" ref="S9:S16" si="38">IF(R9=0,"-",Q9/R9)</f>
        <v>4.4000000000000004</v>
      </c>
      <c r="T9" s="229">
        <v>0</v>
      </c>
      <c r="U9" s="230">
        <v>0</v>
      </c>
      <c r="V9" s="228" t="str">
        <f t="shared" ref="V9:V10" si="39">IF(U9=0,"-",T9/U9)</f>
        <v>-</v>
      </c>
      <c r="W9" s="229">
        <v>4</v>
      </c>
      <c r="X9" s="230">
        <v>1</v>
      </c>
      <c r="Y9" s="227">
        <f t="shared" si="29"/>
        <v>4</v>
      </c>
      <c r="Z9" s="239">
        <v>0</v>
      </c>
      <c r="AA9" s="230">
        <v>0</v>
      </c>
      <c r="AB9" s="228" t="str">
        <f t="shared" ref="AB9:AB10" si="40">IF(AA9=0,"-",Z9/AA9)</f>
        <v>-</v>
      </c>
      <c r="AC9" s="239">
        <v>0</v>
      </c>
      <c r="AD9" s="230">
        <v>0</v>
      </c>
      <c r="AE9" s="228" t="str">
        <f t="shared" ref="AE9" si="41">IF(AD9=0,"-",AC9/AD9)</f>
        <v>-</v>
      </c>
      <c r="AF9" s="239">
        <v>0</v>
      </c>
      <c r="AG9" s="230">
        <v>0</v>
      </c>
      <c r="AH9" s="228" t="str">
        <f t="shared" si="32"/>
        <v>-</v>
      </c>
      <c r="AI9" s="239">
        <v>0</v>
      </c>
      <c r="AJ9" s="230">
        <v>0</v>
      </c>
      <c r="AK9" s="228" t="str">
        <f t="shared" si="33"/>
        <v>-</v>
      </c>
      <c r="AL9" s="239">
        <v>50</v>
      </c>
      <c r="AM9" s="230">
        <v>10</v>
      </c>
      <c r="AN9" s="227">
        <f t="shared" si="10"/>
        <v>5</v>
      </c>
      <c r="AO9" s="229">
        <v>0</v>
      </c>
      <c r="AP9" s="230">
        <v>0</v>
      </c>
      <c r="AQ9" s="228" t="str">
        <f t="shared" ref="AQ9" si="42">IF(AP9=0,"-",AO9/AP9)</f>
        <v>-</v>
      </c>
      <c r="AR9" s="229">
        <v>0</v>
      </c>
      <c r="AS9" s="230">
        <v>0</v>
      </c>
      <c r="AT9" s="228" t="str">
        <f t="shared" ref="AT9" si="43">IF(AS9=0,"-",AR9/AS9)</f>
        <v>-</v>
      </c>
      <c r="AU9" s="229">
        <v>0</v>
      </c>
      <c r="AV9" s="230">
        <v>0</v>
      </c>
      <c r="AW9" s="228" t="str">
        <f t="shared" ref="AW9" si="44">IF(AV9=0,"-",AU9/AV9)</f>
        <v>-</v>
      </c>
      <c r="AX9" s="229">
        <v>0</v>
      </c>
      <c r="AY9" s="230">
        <v>0</v>
      </c>
      <c r="AZ9" s="228" t="str">
        <f t="shared" ref="AZ9" si="45">IF(AY9=0,"-",AX9/AY9)</f>
        <v>-</v>
      </c>
      <c r="BA9" s="229">
        <v>16</v>
      </c>
      <c r="BB9" s="230">
        <v>3</v>
      </c>
      <c r="BC9" s="227">
        <f t="shared" si="20"/>
        <v>5.333333333333333</v>
      </c>
      <c r="BD9" s="229">
        <v>0</v>
      </c>
      <c r="BE9" s="230">
        <v>0</v>
      </c>
      <c r="BF9" s="228" t="str">
        <f t="shared" ref="BF9" si="46">IF(BE9=0,"-",BD9/BE9)</f>
        <v>-</v>
      </c>
      <c r="BG9" s="229">
        <v>0</v>
      </c>
      <c r="BH9" s="230">
        <v>0</v>
      </c>
      <c r="BI9" s="228" t="str">
        <f t="shared" ref="BI9" si="47">IF(BH9=0,"-",BG9/BH9)</f>
        <v>-</v>
      </c>
      <c r="BJ9" s="229">
        <v>0</v>
      </c>
      <c r="BK9" s="230">
        <v>0</v>
      </c>
      <c r="BL9" s="228" t="str">
        <f t="shared" ref="BL9" si="48">IF(BK9=0,"-",BJ9/BK9)</f>
        <v>-</v>
      </c>
      <c r="BM9" s="236">
        <f t="shared" si="21"/>
        <v>215</v>
      </c>
      <c r="BN9" s="237">
        <f t="shared" si="21"/>
        <v>41</v>
      </c>
      <c r="BO9" s="238">
        <f t="shared" si="22"/>
        <v>5.2439024390243905</v>
      </c>
    </row>
    <row r="10" spans="1:67" ht="20.399999999999999" thickBot="1" x14ac:dyDescent="0.45">
      <c r="A10" s="224">
        <v>45266</v>
      </c>
      <c r="B10" s="229">
        <v>99</v>
      </c>
      <c r="C10" s="230">
        <v>10</v>
      </c>
      <c r="D10" s="227">
        <f>IF(C10=0,"",B10/C10)</f>
        <v>9.9</v>
      </c>
      <c r="E10" s="229">
        <v>8</v>
      </c>
      <c r="F10" s="230">
        <v>1</v>
      </c>
      <c r="G10" s="227">
        <f>IF(F10=0,"",E10/F10)</f>
        <v>8</v>
      </c>
      <c r="H10" s="229">
        <v>0</v>
      </c>
      <c r="I10" s="230">
        <v>0</v>
      </c>
      <c r="J10" s="228" t="str">
        <f>IF(I10=0,"-",H10/I10)</f>
        <v>-</v>
      </c>
      <c r="K10" s="239">
        <v>8</v>
      </c>
      <c r="L10" s="230">
        <v>1</v>
      </c>
      <c r="M10" s="228">
        <f t="shared" ref="M10:M11" si="49">IF(L10=0,"-",K10/L10)</f>
        <v>8</v>
      </c>
      <c r="N10" s="239">
        <v>35</v>
      </c>
      <c r="O10" s="230">
        <v>7</v>
      </c>
      <c r="P10" s="227">
        <f t="shared" si="2"/>
        <v>5</v>
      </c>
      <c r="Q10" s="229">
        <v>76</v>
      </c>
      <c r="R10" s="230">
        <v>19</v>
      </c>
      <c r="S10" s="228">
        <f t="shared" si="38"/>
        <v>4</v>
      </c>
      <c r="T10" s="232">
        <v>0</v>
      </c>
      <c r="U10" s="233">
        <v>0</v>
      </c>
      <c r="V10" s="228" t="str">
        <f t="shared" si="39"/>
        <v>-</v>
      </c>
      <c r="W10" s="229">
        <v>2</v>
      </c>
      <c r="X10" s="230">
        <v>1</v>
      </c>
      <c r="Y10" s="227">
        <f t="shared" si="29"/>
        <v>2</v>
      </c>
      <c r="Z10" s="239">
        <v>0</v>
      </c>
      <c r="AA10" s="230">
        <v>0</v>
      </c>
      <c r="AB10" s="228" t="str">
        <f t="shared" si="40"/>
        <v>-</v>
      </c>
      <c r="AC10" s="229">
        <v>2</v>
      </c>
      <c r="AD10" s="230">
        <v>1</v>
      </c>
      <c r="AE10" s="227">
        <f t="shared" si="31"/>
        <v>2</v>
      </c>
      <c r="AF10" s="239">
        <v>0</v>
      </c>
      <c r="AG10" s="230">
        <v>0</v>
      </c>
      <c r="AH10" s="228" t="str">
        <f t="shared" ref="AH10:AH11" si="50">IF(AG10=0,"-",AF10/AG10)</f>
        <v>-</v>
      </c>
      <c r="AI10" s="239">
        <v>9</v>
      </c>
      <c r="AJ10" s="230">
        <v>2</v>
      </c>
      <c r="AK10" s="227">
        <f t="shared" ref="AK10:AK24" si="51">IF(AJ10=0,"",AI10/AJ10)</f>
        <v>4.5</v>
      </c>
      <c r="AL10" s="239">
        <v>14</v>
      </c>
      <c r="AM10" s="230">
        <v>2</v>
      </c>
      <c r="AN10" s="227">
        <f t="shared" si="10"/>
        <v>7</v>
      </c>
      <c r="AO10" s="229">
        <v>0</v>
      </c>
      <c r="AP10" s="230">
        <v>0</v>
      </c>
      <c r="AQ10" s="228" t="str">
        <f t="shared" ref="AQ10" si="52">IF(AP10=0,"-",AO10/AP10)</f>
        <v>-</v>
      </c>
      <c r="AR10" s="229">
        <v>0</v>
      </c>
      <c r="AS10" s="230">
        <v>0</v>
      </c>
      <c r="AT10" s="228" t="str">
        <f t="shared" ref="AT10" si="53">IF(AS10=0,"-",AR10/AS10)</f>
        <v>-</v>
      </c>
      <c r="AU10" s="239">
        <v>8</v>
      </c>
      <c r="AV10" s="230">
        <v>1</v>
      </c>
      <c r="AW10" s="227">
        <f t="shared" ref="AW10:AW20" si="54">IF(AV10=0,"",AU10/AV10)</f>
        <v>8</v>
      </c>
      <c r="AX10" s="229">
        <v>0</v>
      </c>
      <c r="AY10" s="230">
        <v>0</v>
      </c>
      <c r="AZ10" s="228" t="str">
        <f t="shared" ref="AZ10" si="55">IF(AY10=0,"-",AX10/AY10)</f>
        <v>-</v>
      </c>
      <c r="BA10" s="229">
        <v>25</v>
      </c>
      <c r="BB10" s="230">
        <v>3</v>
      </c>
      <c r="BC10" s="227">
        <f t="shared" si="20"/>
        <v>8.3333333333333339</v>
      </c>
      <c r="BD10" s="229">
        <v>0</v>
      </c>
      <c r="BE10" s="230">
        <v>0</v>
      </c>
      <c r="BF10" s="228" t="str">
        <f t="shared" ref="BF10:BF11" si="56">IF(BE10=0,"-",BD10/BE10)</f>
        <v>-</v>
      </c>
      <c r="BG10" s="229">
        <v>11</v>
      </c>
      <c r="BH10" s="230">
        <v>1</v>
      </c>
      <c r="BI10" s="227">
        <f t="shared" ref="BI10:BI17" si="57">IF(BH10=0,"",BG10/BH10)</f>
        <v>11</v>
      </c>
      <c r="BJ10" s="229">
        <v>0</v>
      </c>
      <c r="BK10" s="230">
        <v>0</v>
      </c>
      <c r="BL10" s="228" t="str">
        <f t="shared" ref="BL10:BL11" si="58">IF(BK10=0,"-",BJ10/BK10)</f>
        <v>-</v>
      </c>
      <c r="BM10" s="236">
        <f t="shared" si="21"/>
        <v>297</v>
      </c>
      <c r="BN10" s="237">
        <f t="shared" si="21"/>
        <v>49</v>
      </c>
      <c r="BO10" s="238">
        <f t="shared" si="22"/>
        <v>6.0612244897959187</v>
      </c>
    </row>
    <row r="11" spans="1:67" ht="20.399999999999999" thickBot="1" x14ac:dyDescent="0.45">
      <c r="A11" s="224">
        <v>45267</v>
      </c>
      <c r="B11" s="229">
        <v>59</v>
      </c>
      <c r="C11" s="230">
        <v>7</v>
      </c>
      <c r="D11" s="227">
        <f t="shared" si="0"/>
        <v>8.4285714285714288</v>
      </c>
      <c r="E11" s="229">
        <v>15</v>
      </c>
      <c r="F11" s="230">
        <v>2</v>
      </c>
      <c r="G11" s="227">
        <f t="shared" si="19"/>
        <v>7.5</v>
      </c>
      <c r="H11" s="229">
        <v>6</v>
      </c>
      <c r="I11" s="230">
        <v>1</v>
      </c>
      <c r="J11" s="227">
        <f t="shared" si="1"/>
        <v>6</v>
      </c>
      <c r="K11" s="239">
        <v>0</v>
      </c>
      <c r="L11" s="230">
        <v>0</v>
      </c>
      <c r="M11" s="228" t="str">
        <f t="shared" si="49"/>
        <v>-</v>
      </c>
      <c r="N11" s="229">
        <v>20</v>
      </c>
      <c r="O11" s="230">
        <v>4</v>
      </c>
      <c r="P11" s="227">
        <f t="shared" si="2"/>
        <v>5</v>
      </c>
      <c r="Q11" s="229">
        <v>23</v>
      </c>
      <c r="R11" s="230">
        <v>6</v>
      </c>
      <c r="S11" s="228">
        <f t="shared" si="38"/>
        <v>3.8333333333333335</v>
      </c>
      <c r="T11" s="232">
        <v>0</v>
      </c>
      <c r="U11" s="233">
        <v>0</v>
      </c>
      <c r="V11" s="228" t="str">
        <f t="shared" ref="V11" si="59">IF(U11=0,"-",T11/U11)</f>
        <v>-</v>
      </c>
      <c r="W11" s="229">
        <v>5</v>
      </c>
      <c r="X11" s="230">
        <v>1</v>
      </c>
      <c r="Y11" s="227">
        <f t="shared" si="29"/>
        <v>5</v>
      </c>
      <c r="Z11" s="239">
        <v>0</v>
      </c>
      <c r="AA11" s="230">
        <v>0</v>
      </c>
      <c r="AB11" s="228" t="str">
        <f t="shared" ref="AB11" si="60">IF(AA11=0,"-",Z11/AA11)</f>
        <v>-</v>
      </c>
      <c r="AC11" s="239">
        <v>0</v>
      </c>
      <c r="AD11" s="230">
        <v>0</v>
      </c>
      <c r="AE11" s="228" t="str">
        <f t="shared" ref="AE11" si="61">IF(AD11=0,"-",AC11/AD11)</f>
        <v>-</v>
      </c>
      <c r="AF11" s="239">
        <v>0</v>
      </c>
      <c r="AG11" s="230">
        <v>0</v>
      </c>
      <c r="AH11" s="228" t="str">
        <f t="shared" si="50"/>
        <v>-</v>
      </c>
      <c r="AI11" s="239">
        <v>0</v>
      </c>
      <c r="AJ11" s="230">
        <v>0</v>
      </c>
      <c r="AK11" s="228" t="str">
        <f t="shared" ref="AK11" si="62">IF(AJ11=0,"-",AI11/AJ11)</f>
        <v>-</v>
      </c>
      <c r="AL11" s="239">
        <v>27</v>
      </c>
      <c r="AM11" s="230">
        <v>4</v>
      </c>
      <c r="AN11" s="227">
        <f t="shared" si="10"/>
        <v>6.75</v>
      </c>
      <c r="AO11" s="229">
        <v>0</v>
      </c>
      <c r="AP11" s="230">
        <v>0</v>
      </c>
      <c r="AQ11" s="228" t="str">
        <f t="shared" ref="AQ11" si="63">IF(AP11=0,"-",AO11/AP11)</f>
        <v>-</v>
      </c>
      <c r="AR11" s="229">
        <v>0</v>
      </c>
      <c r="AS11" s="230">
        <v>0</v>
      </c>
      <c r="AT11" s="228" t="str">
        <f t="shared" ref="AT11" si="64">IF(AS11=0,"-",AR11/AS11)</f>
        <v>-</v>
      </c>
      <c r="AU11" s="239">
        <v>7</v>
      </c>
      <c r="AV11" s="230">
        <v>1</v>
      </c>
      <c r="AW11" s="227">
        <f t="shared" si="54"/>
        <v>7</v>
      </c>
      <c r="AX11" s="229">
        <v>0</v>
      </c>
      <c r="AY11" s="230">
        <v>0</v>
      </c>
      <c r="AZ11" s="228" t="str">
        <f t="shared" ref="AZ11" si="65">IF(AY11=0,"-",AX11/AY11)</f>
        <v>-</v>
      </c>
      <c r="BA11" s="229">
        <v>0</v>
      </c>
      <c r="BB11" s="230">
        <v>0</v>
      </c>
      <c r="BC11" s="228" t="str">
        <f t="shared" ref="BC11" si="66">IF(BB11=0,"-",BA11/BB11)</f>
        <v>-</v>
      </c>
      <c r="BD11" s="229">
        <v>0</v>
      </c>
      <c r="BE11" s="230">
        <v>0</v>
      </c>
      <c r="BF11" s="228" t="str">
        <f t="shared" si="56"/>
        <v>-</v>
      </c>
      <c r="BG11" s="229">
        <v>0</v>
      </c>
      <c r="BH11" s="230">
        <v>0</v>
      </c>
      <c r="BI11" s="228" t="str">
        <f t="shared" ref="BI11" si="67">IF(BH11=0,"-",BG11/BH11)</f>
        <v>-</v>
      </c>
      <c r="BJ11" s="229">
        <v>0</v>
      </c>
      <c r="BK11" s="230">
        <v>0</v>
      </c>
      <c r="BL11" s="228" t="str">
        <f t="shared" si="58"/>
        <v>-</v>
      </c>
      <c r="BM11" s="236">
        <f t="shared" si="21"/>
        <v>162</v>
      </c>
      <c r="BN11" s="237">
        <f t="shared" si="21"/>
        <v>26</v>
      </c>
      <c r="BO11" s="238">
        <f t="shared" si="22"/>
        <v>6.2307692307692308</v>
      </c>
    </row>
    <row r="12" spans="1:67" ht="20.399999999999999" thickBot="1" x14ac:dyDescent="0.45">
      <c r="A12" s="224">
        <v>45268</v>
      </c>
      <c r="B12" s="229">
        <v>63</v>
      </c>
      <c r="C12" s="230">
        <v>9</v>
      </c>
      <c r="D12" s="227">
        <f t="shared" si="0"/>
        <v>7</v>
      </c>
      <c r="E12" s="239">
        <v>0</v>
      </c>
      <c r="F12" s="230">
        <v>0</v>
      </c>
      <c r="G12" s="228" t="str">
        <f t="shared" ref="G12" si="68">IF(F12=0,"-",E12/F12)</f>
        <v>-</v>
      </c>
      <c r="H12" s="239">
        <v>0</v>
      </c>
      <c r="I12" s="230">
        <v>0</v>
      </c>
      <c r="J12" s="228" t="str">
        <f t="shared" ref="J12" si="69">IF(I12=0,"-",H12/I12)</f>
        <v>-</v>
      </c>
      <c r="K12" s="239">
        <v>0</v>
      </c>
      <c r="L12" s="230">
        <v>0</v>
      </c>
      <c r="M12" s="228" t="str">
        <f t="shared" ref="M12:M16" si="70">IF(L12=0,"-",K12/L12)</f>
        <v>-</v>
      </c>
      <c r="N12" s="239">
        <v>23</v>
      </c>
      <c r="O12" s="230">
        <v>4</v>
      </c>
      <c r="P12" s="227">
        <f t="shared" si="2"/>
        <v>5.75</v>
      </c>
      <c r="Q12" s="232">
        <v>161</v>
      </c>
      <c r="R12" s="233">
        <v>34</v>
      </c>
      <c r="S12" s="228">
        <f t="shared" si="38"/>
        <v>4.7352941176470589</v>
      </c>
      <c r="T12" s="232">
        <v>0</v>
      </c>
      <c r="U12" s="233">
        <v>0</v>
      </c>
      <c r="V12" s="228" t="str">
        <f t="shared" ref="V12" si="71">IF(U12=0,"-",T12/U12)</f>
        <v>-</v>
      </c>
      <c r="W12" s="239">
        <v>0</v>
      </c>
      <c r="X12" s="230">
        <v>0</v>
      </c>
      <c r="Y12" s="228" t="str">
        <f t="shared" ref="Y12" si="72">IF(X12=0,"-",W12/X12)</f>
        <v>-</v>
      </c>
      <c r="Z12" s="239">
        <v>0</v>
      </c>
      <c r="AA12" s="230">
        <v>0</v>
      </c>
      <c r="AB12" s="228" t="str">
        <f t="shared" ref="AB12" si="73">IF(AA12=0,"-",Z12/AA12)</f>
        <v>-</v>
      </c>
      <c r="AC12" s="239">
        <v>0</v>
      </c>
      <c r="AD12" s="230">
        <v>0</v>
      </c>
      <c r="AE12" s="228" t="str">
        <f t="shared" ref="AE12" si="74">IF(AD12=0,"-",AC12/AD12)</f>
        <v>-</v>
      </c>
      <c r="AF12" s="239">
        <v>0</v>
      </c>
      <c r="AG12" s="230">
        <v>0</v>
      </c>
      <c r="AH12" s="228" t="str">
        <f t="shared" ref="AH12" si="75">IF(AG12=0,"-",AF12/AG12)</f>
        <v>-</v>
      </c>
      <c r="AI12" s="239">
        <v>0</v>
      </c>
      <c r="AJ12" s="230">
        <v>0</v>
      </c>
      <c r="AK12" s="228" t="str">
        <f t="shared" ref="AK12" si="76">IF(AJ12=0,"-",AI12/AJ12)</f>
        <v>-</v>
      </c>
      <c r="AL12" s="239">
        <v>14</v>
      </c>
      <c r="AM12" s="230">
        <v>2</v>
      </c>
      <c r="AN12" s="227">
        <f t="shared" si="10"/>
        <v>7</v>
      </c>
      <c r="AO12" s="229">
        <v>0</v>
      </c>
      <c r="AP12" s="230">
        <v>0</v>
      </c>
      <c r="AQ12" s="228" t="str">
        <f t="shared" ref="AQ12:AQ14" si="77">IF(AP12=0,"-",AO12/AP12)</f>
        <v>-</v>
      </c>
      <c r="AR12" s="229">
        <v>0</v>
      </c>
      <c r="AS12" s="230">
        <v>0</v>
      </c>
      <c r="AT12" s="228" t="str">
        <f t="shared" ref="AT12:AT14" si="78">IF(AS12=0,"-",AR12/AS12)</f>
        <v>-</v>
      </c>
      <c r="AU12" s="229">
        <v>0</v>
      </c>
      <c r="AV12" s="230">
        <v>0</v>
      </c>
      <c r="AW12" s="228" t="str">
        <f t="shared" ref="AW12" si="79">IF(AV12=0,"-",AU12/AV12)</f>
        <v>-</v>
      </c>
      <c r="AX12" s="229">
        <v>0</v>
      </c>
      <c r="AY12" s="230">
        <v>0</v>
      </c>
      <c r="AZ12" s="228" t="str">
        <f t="shared" ref="AZ12:AZ14" si="80">IF(AY12=0,"-",AX12/AY12)</f>
        <v>-</v>
      </c>
      <c r="BA12" s="229">
        <v>6</v>
      </c>
      <c r="BB12" s="230">
        <v>1</v>
      </c>
      <c r="BC12" s="227">
        <f t="shared" si="20"/>
        <v>6</v>
      </c>
      <c r="BD12" s="229">
        <v>0</v>
      </c>
      <c r="BE12" s="230">
        <v>0</v>
      </c>
      <c r="BF12" s="228" t="str">
        <f t="shared" ref="BF12:BF14" si="81">IF(BE12=0,"-",BD12/BE12)</f>
        <v>-</v>
      </c>
      <c r="BG12" s="229">
        <v>0</v>
      </c>
      <c r="BH12" s="230">
        <v>0</v>
      </c>
      <c r="BI12" s="228" t="str">
        <f t="shared" ref="BI12:BI14" si="82">IF(BH12=0,"-",BG12/BH12)</f>
        <v>-</v>
      </c>
      <c r="BJ12" s="229">
        <v>0</v>
      </c>
      <c r="BK12" s="230">
        <v>0</v>
      </c>
      <c r="BL12" s="228" t="str">
        <f t="shared" ref="BL12:BL14" si="83">IF(BK12=0,"-",BJ12/BK12)</f>
        <v>-</v>
      </c>
      <c r="BM12" s="236">
        <f t="shared" si="21"/>
        <v>267</v>
      </c>
      <c r="BN12" s="237">
        <f t="shared" si="21"/>
        <v>50</v>
      </c>
      <c r="BO12" s="238">
        <f t="shared" si="22"/>
        <v>5.34</v>
      </c>
    </row>
    <row r="13" spans="1:67" ht="20.399999999999999" thickBot="1" x14ac:dyDescent="0.45">
      <c r="A13" s="224">
        <v>45269</v>
      </c>
      <c r="B13" s="229">
        <v>84</v>
      </c>
      <c r="C13" s="230">
        <v>10</v>
      </c>
      <c r="D13" s="227">
        <f t="shared" si="0"/>
        <v>8.4</v>
      </c>
      <c r="E13" s="239">
        <v>0</v>
      </c>
      <c r="F13" s="230">
        <v>0</v>
      </c>
      <c r="G13" s="228" t="str">
        <f t="shared" ref="G13:G14" si="84">IF(F13=0,"-",E13/F13)</f>
        <v>-</v>
      </c>
      <c r="H13" s="239">
        <v>0</v>
      </c>
      <c r="I13" s="230">
        <v>0</v>
      </c>
      <c r="J13" s="228" t="str">
        <f t="shared" ref="J13:J15" si="85">IF(I13=0,"-",H13/I13)</f>
        <v>-</v>
      </c>
      <c r="K13" s="239">
        <v>0</v>
      </c>
      <c r="L13" s="230">
        <v>0</v>
      </c>
      <c r="M13" s="228" t="str">
        <f t="shared" si="70"/>
        <v>-</v>
      </c>
      <c r="N13" s="239">
        <v>94</v>
      </c>
      <c r="O13" s="230">
        <v>16</v>
      </c>
      <c r="P13" s="227">
        <f t="shared" si="2"/>
        <v>5.875</v>
      </c>
      <c r="Q13" s="232">
        <v>56</v>
      </c>
      <c r="R13" s="233">
        <v>10</v>
      </c>
      <c r="S13" s="228">
        <f t="shared" ref="S13:S14" si="86">IF(R13=0,"-",Q13/R13)</f>
        <v>5.6</v>
      </c>
      <c r="T13" s="232">
        <v>0</v>
      </c>
      <c r="U13" s="233">
        <v>0</v>
      </c>
      <c r="V13" s="228" t="str">
        <f t="shared" ref="V13:V16" si="87">IF(U13=0,"-",T13/U13)</f>
        <v>-</v>
      </c>
      <c r="W13" s="239">
        <v>0</v>
      </c>
      <c r="X13" s="230">
        <v>0</v>
      </c>
      <c r="Y13" s="228" t="str">
        <f t="shared" ref="Y13" si="88">IF(X13=0,"-",W13/X13)</f>
        <v>-</v>
      </c>
      <c r="Z13" s="239">
        <v>0</v>
      </c>
      <c r="AA13" s="230">
        <v>0</v>
      </c>
      <c r="AB13" s="228" t="str">
        <f t="shared" ref="AB13" si="89">IF(AA13=0,"-",Z13/AA13)</f>
        <v>-</v>
      </c>
      <c r="AC13" s="239">
        <v>0</v>
      </c>
      <c r="AD13" s="230">
        <v>0</v>
      </c>
      <c r="AE13" s="228" t="str">
        <f t="shared" ref="AE13" si="90">IF(AD13=0,"-",AC13/AD13)</f>
        <v>-</v>
      </c>
      <c r="AF13" s="239">
        <v>0</v>
      </c>
      <c r="AG13" s="230">
        <v>0</v>
      </c>
      <c r="AH13" s="228" t="str">
        <f t="shared" ref="AH13" si="91">IF(AG13=0,"-",AF13/AG13)</f>
        <v>-</v>
      </c>
      <c r="AI13" s="239">
        <v>0</v>
      </c>
      <c r="AJ13" s="230">
        <v>0</v>
      </c>
      <c r="AK13" s="228" t="str">
        <f t="shared" ref="AK13" si="92">IF(AJ13=0,"-",AI13/AJ13)</f>
        <v>-</v>
      </c>
      <c r="AL13" s="239">
        <v>5</v>
      </c>
      <c r="AM13" s="230">
        <v>1</v>
      </c>
      <c r="AN13" s="227">
        <f t="shared" si="10"/>
        <v>5</v>
      </c>
      <c r="AO13" s="229">
        <v>0</v>
      </c>
      <c r="AP13" s="230">
        <v>0</v>
      </c>
      <c r="AQ13" s="228" t="str">
        <f t="shared" si="77"/>
        <v>-</v>
      </c>
      <c r="AR13" s="229">
        <v>0</v>
      </c>
      <c r="AS13" s="230">
        <v>0</v>
      </c>
      <c r="AT13" s="228" t="str">
        <f t="shared" si="78"/>
        <v>-</v>
      </c>
      <c r="AU13" s="229">
        <v>0</v>
      </c>
      <c r="AV13" s="230">
        <v>0</v>
      </c>
      <c r="AW13" s="228" t="str">
        <f t="shared" ref="AW13:AW14" si="93">IF(AV13=0,"-",AU13/AV13)</f>
        <v>-</v>
      </c>
      <c r="AX13" s="229">
        <v>0</v>
      </c>
      <c r="AY13" s="230">
        <v>0</v>
      </c>
      <c r="AZ13" s="228" t="str">
        <f t="shared" si="80"/>
        <v>-</v>
      </c>
      <c r="BA13" s="229">
        <v>0</v>
      </c>
      <c r="BB13" s="230">
        <v>0</v>
      </c>
      <c r="BC13" s="228" t="str">
        <f t="shared" ref="BC13:BC14" si="94">IF(BB13=0,"-",BA13/BB13)</f>
        <v>-</v>
      </c>
      <c r="BD13" s="229">
        <v>0</v>
      </c>
      <c r="BE13" s="230">
        <v>0</v>
      </c>
      <c r="BF13" s="228" t="str">
        <f t="shared" si="81"/>
        <v>-</v>
      </c>
      <c r="BG13" s="229">
        <v>0</v>
      </c>
      <c r="BH13" s="230">
        <v>0</v>
      </c>
      <c r="BI13" s="228" t="str">
        <f t="shared" si="82"/>
        <v>-</v>
      </c>
      <c r="BJ13" s="229">
        <v>0</v>
      </c>
      <c r="BK13" s="230">
        <v>0</v>
      </c>
      <c r="BL13" s="228" t="str">
        <f t="shared" si="83"/>
        <v>-</v>
      </c>
      <c r="BM13" s="236">
        <f t="shared" si="21"/>
        <v>239</v>
      </c>
      <c r="BN13" s="237">
        <f t="shared" si="21"/>
        <v>37</v>
      </c>
      <c r="BO13" s="238">
        <f t="shared" si="22"/>
        <v>6.4594594594594597</v>
      </c>
    </row>
    <row r="14" spans="1:67" ht="20.399999999999999" thickBot="1" x14ac:dyDescent="0.45">
      <c r="A14" s="224">
        <v>45270</v>
      </c>
      <c r="B14" s="229">
        <v>50</v>
      </c>
      <c r="C14" s="230">
        <v>6</v>
      </c>
      <c r="D14" s="227">
        <f t="shared" si="0"/>
        <v>8.3333333333333339</v>
      </c>
      <c r="E14" s="239">
        <v>0</v>
      </c>
      <c r="F14" s="230">
        <v>0</v>
      </c>
      <c r="G14" s="228" t="str">
        <f t="shared" si="84"/>
        <v>-</v>
      </c>
      <c r="H14" s="229">
        <v>6</v>
      </c>
      <c r="I14" s="230">
        <v>1</v>
      </c>
      <c r="J14" s="227">
        <f t="shared" si="1"/>
        <v>6</v>
      </c>
      <c r="K14" s="239">
        <v>0</v>
      </c>
      <c r="L14" s="230">
        <v>0</v>
      </c>
      <c r="M14" s="228" t="str">
        <f t="shared" si="70"/>
        <v>-</v>
      </c>
      <c r="N14" s="232">
        <v>0</v>
      </c>
      <c r="O14" s="233">
        <v>0</v>
      </c>
      <c r="P14" s="228" t="str">
        <f t="shared" ref="P14" si="95">IF(O14=0,"-",N14/O14)</f>
        <v>-</v>
      </c>
      <c r="Q14" s="232">
        <v>0</v>
      </c>
      <c r="R14" s="233">
        <v>0</v>
      </c>
      <c r="S14" s="228" t="str">
        <f t="shared" si="86"/>
        <v>-</v>
      </c>
      <c r="T14" s="232">
        <v>0</v>
      </c>
      <c r="U14" s="233">
        <v>0</v>
      </c>
      <c r="V14" s="228" t="str">
        <f t="shared" si="87"/>
        <v>-</v>
      </c>
      <c r="W14" s="239">
        <v>0</v>
      </c>
      <c r="X14" s="230">
        <v>0</v>
      </c>
      <c r="Y14" s="228" t="str">
        <f t="shared" ref="Y14:Y16" si="96">IF(X14=0,"-",W14/X14)</f>
        <v>-</v>
      </c>
      <c r="Z14" s="239">
        <v>0</v>
      </c>
      <c r="AA14" s="230">
        <v>0</v>
      </c>
      <c r="AB14" s="228" t="str">
        <f t="shared" ref="AB14" si="97">IF(AA14=0,"-",Z14/AA14)</f>
        <v>-</v>
      </c>
      <c r="AC14" s="229">
        <v>1</v>
      </c>
      <c r="AD14" s="230">
        <v>1</v>
      </c>
      <c r="AE14" s="227">
        <f t="shared" si="31"/>
        <v>1</v>
      </c>
      <c r="AF14" s="239">
        <v>0</v>
      </c>
      <c r="AG14" s="230">
        <v>0</v>
      </c>
      <c r="AH14" s="228" t="str">
        <f t="shared" ref="AH14" si="98">IF(AG14=0,"-",AF14/AG14)</f>
        <v>-</v>
      </c>
      <c r="AI14" s="239">
        <v>0</v>
      </c>
      <c r="AJ14" s="230">
        <v>0</v>
      </c>
      <c r="AK14" s="228" t="str">
        <f t="shared" ref="AK14:AK16" si="99">IF(AJ14=0,"-",AI14/AJ14)</f>
        <v>-</v>
      </c>
      <c r="AL14" s="239">
        <v>21</v>
      </c>
      <c r="AM14" s="230">
        <v>3</v>
      </c>
      <c r="AN14" s="227">
        <f t="shared" si="10"/>
        <v>7</v>
      </c>
      <c r="AO14" s="229">
        <v>0</v>
      </c>
      <c r="AP14" s="230">
        <v>0</v>
      </c>
      <c r="AQ14" s="228" t="str">
        <f t="shared" si="77"/>
        <v>-</v>
      </c>
      <c r="AR14" s="229">
        <v>0</v>
      </c>
      <c r="AS14" s="230">
        <v>0</v>
      </c>
      <c r="AT14" s="228" t="str">
        <f t="shared" si="78"/>
        <v>-</v>
      </c>
      <c r="AU14" s="229">
        <v>0</v>
      </c>
      <c r="AV14" s="230">
        <v>0</v>
      </c>
      <c r="AW14" s="228" t="str">
        <f t="shared" si="93"/>
        <v>-</v>
      </c>
      <c r="AX14" s="229">
        <v>0</v>
      </c>
      <c r="AY14" s="230">
        <v>0</v>
      </c>
      <c r="AZ14" s="228" t="str">
        <f t="shared" si="80"/>
        <v>-</v>
      </c>
      <c r="BA14" s="229">
        <v>0</v>
      </c>
      <c r="BB14" s="230">
        <v>0</v>
      </c>
      <c r="BC14" s="228" t="str">
        <f t="shared" si="94"/>
        <v>-</v>
      </c>
      <c r="BD14" s="229">
        <v>0</v>
      </c>
      <c r="BE14" s="230">
        <v>0</v>
      </c>
      <c r="BF14" s="228" t="str">
        <f t="shared" si="81"/>
        <v>-</v>
      </c>
      <c r="BG14" s="229">
        <v>0</v>
      </c>
      <c r="BH14" s="230">
        <v>0</v>
      </c>
      <c r="BI14" s="228" t="str">
        <f t="shared" si="82"/>
        <v>-</v>
      </c>
      <c r="BJ14" s="229">
        <v>0</v>
      </c>
      <c r="BK14" s="230">
        <v>0</v>
      </c>
      <c r="BL14" s="228" t="str">
        <f t="shared" si="83"/>
        <v>-</v>
      </c>
      <c r="BM14" s="236">
        <f t="shared" si="21"/>
        <v>78</v>
      </c>
      <c r="BN14" s="237">
        <f t="shared" si="21"/>
        <v>11</v>
      </c>
      <c r="BO14" s="238">
        <f t="shared" si="22"/>
        <v>7.0909090909090908</v>
      </c>
    </row>
    <row r="15" spans="1:67" ht="20.399999999999999" thickBot="1" x14ac:dyDescent="0.45">
      <c r="A15" s="224">
        <v>45271</v>
      </c>
      <c r="B15" s="229">
        <v>63</v>
      </c>
      <c r="C15" s="230">
        <v>8</v>
      </c>
      <c r="D15" s="227">
        <f t="shared" si="0"/>
        <v>7.875</v>
      </c>
      <c r="E15" s="229">
        <v>8</v>
      </c>
      <c r="F15" s="230">
        <v>1</v>
      </c>
      <c r="G15" s="227">
        <f t="shared" si="19"/>
        <v>8</v>
      </c>
      <c r="H15" s="229">
        <v>0</v>
      </c>
      <c r="I15" s="230">
        <v>0</v>
      </c>
      <c r="J15" s="228" t="str">
        <f t="shared" si="85"/>
        <v>-</v>
      </c>
      <c r="K15" s="239">
        <v>1</v>
      </c>
      <c r="L15" s="230">
        <v>1</v>
      </c>
      <c r="M15" s="227">
        <f t="shared" ref="M15" si="100">IF(L15=0,"",K15/L15)</f>
        <v>1</v>
      </c>
      <c r="N15" s="239">
        <v>85</v>
      </c>
      <c r="O15" s="230">
        <v>16</v>
      </c>
      <c r="P15" s="227">
        <f t="shared" si="2"/>
        <v>5.3125</v>
      </c>
      <c r="Q15" s="229">
        <v>204</v>
      </c>
      <c r="R15" s="230">
        <v>31</v>
      </c>
      <c r="S15" s="228">
        <f t="shared" si="38"/>
        <v>6.580645161290323</v>
      </c>
      <c r="T15" s="232">
        <v>6</v>
      </c>
      <c r="U15" s="233">
        <v>1</v>
      </c>
      <c r="V15" s="227">
        <f t="shared" ref="V15:V20" si="101">IF(U15=0,"",T15/U15)</f>
        <v>6</v>
      </c>
      <c r="W15" s="239">
        <v>0</v>
      </c>
      <c r="X15" s="230">
        <v>0</v>
      </c>
      <c r="Y15" s="228" t="str">
        <f t="shared" ref="Y15" si="102">IF(X15=0,"-",W15/X15)</f>
        <v>-</v>
      </c>
      <c r="Z15" s="239">
        <v>0</v>
      </c>
      <c r="AA15" s="230">
        <v>0</v>
      </c>
      <c r="AB15" s="228" t="str">
        <f t="shared" ref="AB15" si="103">IF(AA15=0,"-",Z15/AA15)</f>
        <v>-</v>
      </c>
      <c r="AC15" s="229">
        <v>1</v>
      </c>
      <c r="AD15" s="230">
        <v>1</v>
      </c>
      <c r="AE15" s="227">
        <v>1</v>
      </c>
      <c r="AF15" s="229">
        <v>20</v>
      </c>
      <c r="AG15" s="230">
        <v>4</v>
      </c>
      <c r="AH15" s="227">
        <f t="shared" ref="AH15" si="104">IF(AG15=0,"",AF15/AG15)</f>
        <v>5</v>
      </c>
      <c r="AI15" s="239">
        <v>19</v>
      </c>
      <c r="AJ15" s="230">
        <v>1</v>
      </c>
      <c r="AK15" s="228">
        <f t="shared" ref="AK15" si="105">IF(AJ15=0,"-",AI15/AJ15)</f>
        <v>19</v>
      </c>
      <c r="AL15" s="239">
        <v>14</v>
      </c>
      <c r="AM15" s="230">
        <v>2</v>
      </c>
      <c r="AN15" s="227">
        <f t="shared" si="10"/>
        <v>7</v>
      </c>
      <c r="AO15" s="229">
        <v>0</v>
      </c>
      <c r="AP15" s="230">
        <v>0</v>
      </c>
      <c r="AQ15" s="228" t="str">
        <f t="shared" ref="AQ15" si="106">IF(AP15=0,"-",AO15/AP15)</f>
        <v>-</v>
      </c>
      <c r="AR15" s="229">
        <v>0</v>
      </c>
      <c r="AS15" s="230">
        <v>0</v>
      </c>
      <c r="AT15" s="228" t="str">
        <f t="shared" ref="AT15" si="107">IF(AS15=0,"-",AR15/AS15)</f>
        <v>-</v>
      </c>
      <c r="AU15" s="239">
        <v>8</v>
      </c>
      <c r="AV15" s="230">
        <v>1</v>
      </c>
      <c r="AW15" s="227">
        <f t="shared" si="54"/>
        <v>8</v>
      </c>
      <c r="AX15" s="229">
        <v>0</v>
      </c>
      <c r="AY15" s="230">
        <v>0</v>
      </c>
      <c r="AZ15" s="228" t="str">
        <f t="shared" ref="AZ15:AZ16" si="108">IF(AY15=0,"-",AX15/AY15)</f>
        <v>-</v>
      </c>
      <c r="BA15" s="229">
        <v>6</v>
      </c>
      <c r="BB15" s="230">
        <v>1</v>
      </c>
      <c r="BC15" s="227">
        <f t="shared" si="20"/>
        <v>6</v>
      </c>
      <c r="BD15" s="229">
        <v>0</v>
      </c>
      <c r="BE15" s="230">
        <v>0</v>
      </c>
      <c r="BF15" s="228" t="str">
        <f t="shared" ref="BF15:BF16" si="109">IF(BE15=0,"-",BD15/BE15)</f>
        <v>-</v>
      </c>
      <c r="BG15" s="229">
        <v>0</v>
      </c>
      <c r="BH15" s="230">
        <v>0</v>
      </c>
      <c r="BI15" s="228" t="str">
        <f t="shared" ref="BI15:BI16" si="110">IF(BH15=0,"-",BG15/BH15)</f>
        <v>-</v>
      </c>
      <c r="BJ15" s="229">
        <v>0</v>
      </c>
      <c r="BK15" s="230">
        <v>0</v>
      </c>
      <c r="BL15" s="228" t="str">
        <f t="shared" ref="BL15:BL16" si="111">IF(BK15=0,"-",BJ15/BK15)</f>
        <v>-</v>
      </c>
      <c r="BM15" s="236">
        <f t="shared" si="21"/>
        <v>429</v>
      </c>
      <c r="BN15" s="237">
        <f t="shared" si="21"/>
        <v>67</v>
      </c>
      <c r="BO15" s="238">
        <f t="shared" si="22"/>
        <v>6.4029850746268657</v>
      </c>
    </row>
    <row r="16" spans="1:67" ht="20.399999999999999" thickBot="1" x14ac:dyDescent="0.45">
      <c r="A16" s="224">
        <v>45272</v>
      </c>
      <c r="B16" s="229">
        <v>52</v>
      </c>
      <c r="C16" s="230">
        <v>7</v>
      </c>
      <c r="D16" s="227">
        <f>IF(C16=0,"",B16/C16)</f>
        <v>7.4285714285714288</v>
      </c>
      <c r="E16" s="229">
        <v>6</v>
      </c>
      <c r="F16" s="230">
        <v>1</v>
      </c>
      <c r="G16" s="227">
        <f t="shared" si="19"/>
        <v>6</v>
      </c>
      <c r="H16" s="229">
        <v>18</v>
      </c>
      <c r="I16" s="230">
        <v>2</v>
      </c>
      <c r="J16" s="227">
        <f t="shared" si="1"/>
        <v>9</v>
      </c>
      <c r="K16" s="239">
        <v>0</v>
      </c>
      <c r="L16" s="230">
        <v>0</v>
      </c>
      <c r="M16" s="228" t="str">
        <f t="shared" si="70"/>
        <v>-</v>
      </c>
      <c r="N16" s="239">
        <v>44</v>
      </c>
      <c r="O16" s="230">
        <v>8</v>
      </c>
      <c r="P16" s="227">
        <f t="shared" si="2"/>
        <v>5.5</v>
      </c>
      <c r="Q16" s="229">
        <v>448</v>
      </c>
      <c r="R16" s="230">
        <v>65</v>
      </c>
      <c r="S16" s="228">
        <f t="shared" si="38"/>
        <v>6.8923076923076927</v>
      </c>
      <c r="T16" s="232">
        <v>0</v>
      </c>
      <c r="U16" s="233">
        <v>0</v>
      </c>
      <c r="V16" s="228" t="str">
        <f t="shared" si="87"/>
        <v>-</v>
      </c>
      <c r="W16" s="229">
        <v>9</v>
      </c>
      <c r="X16" s="230">
        <v>1</v>
      </c>
      <c r="Y16" s="228">
        <f t="shared" si="96"/>
        <v>9</v>
      </c>
      <c r="Z16" s="239">
        <v>0</v>
      </c>
      <c r="AA16" s="230">
        <v>0</v>
      </c>
      <c r="AB16" s="228" t="str">
        <f t="shared" ref="AB16" si="112">IF(AA16=0,"-",Z16/AA16)</f>
        <v>-</v>
      </c>
      <c r="AC16" s="229">
        <v>0</v>
      </c>
      <c r="AD16" s="230">
        <v>0</v>
      </c>
      <c r="AE16" s="228" t="str">
        <f t="shared" ref="AE16" si="113">IF(AD16=0,"-",AC16/AD16)</f>
        <v>-</v>
      </c>
      <c r="AF16" s="229">
        <v>0</v>
      </c>
      <c r="AG16" s="230">
        <v>0</v>
      </c>
      <c r="AH16" s="228" t="s">
        <v>32</v>
      </c>
      <c r="AI16" s="239">
        <v>0</v>
      </c>
      <c r="AJ16" s="230">
        <v>0</v>
      </c>
      <c r="AK16" s="228" t="str">
        <f t="shared" si="99"/>
        <v>-</v>
      </c>
      <c r="AL16" s="239">
        <v>7</v>
      </c>
      <c r="AM16" s="230">
        <v>1</v>
      </c>
      <c r="AN16" s="227">
        <f t="shared" si="10"/>
        <v>7</v>
      </c>
      <c r="AO16" s="229">
        <v>0</v>
      </c>
      <c r="AP16" s="230">
        <v>0</v>
      </c>
      <c r="AQ16" s="228" t="str">
        <f t="shared" ref="AQ16" si="114">IF(AP16=0,"-",AO16/AP16)</f>
        <v>-</v>
      </c>
      <c r="AR16" s="229">
        <v>0</v>
      </c>
      <c r="AS16" s="230">
        <v>0</v>
      </c>
      <c r="AT16" s="228" t="str">
        <f t="shared" ref="AT16" si="115">IF(AS16=0,"-",AR16/AS16)</f>
        <v>-</v>
      </c>
      <c r="AU16" s="229">
        <v>0</v>
      </c>
      <c r="AV16" s="230">
        <v>0</v>
      </c>
      <c r="AW16" s="228" t="str">
        <f t="shared" ref="AW16" si="116">IF(AV16=0,"-",AU16/AV16)</f>
        <v>-</v>
      </c>
      <c r="AX16" s="229">
        <v>0</v>
      </c>
      <c r="AY16" s="230">
        <v>0</v>
      </c>
      <c r="AZ16" s="228" t="str">
        <f t="shared" si="108"/>
        <v>-</v>
      </c>
      <c r="BA16" s="229">
        <v>9</v>
      </c>
      <c r="BB16" s="230">
        <v>1</v>
      </c>
      <c r="BC16" s="228">
        <f t="shared" ref="BC16" si="117">IF(BB16=0,"-",BA16/BB16)</f>
        <v>9</v>
      </c>
      <c r="BD16" s="229">
        <v>0</v>
      </c>
      <c r="BE16" s="230">
        <v>0</v>
      </c>
      <c r="BF16" s="228" t="str">
        <f t="shared" si="109"/>
        <v>-</v>
      </c>
      <c r="BG16" s="229">
        <v>0</v>
      </c>
      <c r="BH16" s="230">
        <v>0</v>
      </c>
      <c r="BI16" s="228" t="str">
        <f t="shared" si="110"/>
        <v>-</v>
      </c>
      <c r="BJ16" s="229">
        <v>0</v>
      </c>
      <c r="BK16" s="230">
        <v>0</v>
      </c>
      <c r="BL16" s="228" t="str">
        <f t="shared" si="111"/>
        <v>-</v>
      </c>
      <c r="BM16" s="236">
        <f t="shared" si="21"/>
        <v>593</v>
      </c>
      <c r="BN16" s="237">
        <f t="shared" si="21"/>
        <v>86</v>
      </c>
      <c r="BO16" s="238">
        <f t="shared" si="22"/>
        <v>6.8953488372093021</v>
      </c>
    </row>
    <row r="17" spans="1:67" ht="20.399999999999999" thickBot="1" x14ac:dyDescent="0.45">
      <c r="A17" s="224">
        <v>45273</v>
      </c>
      <c r="B17" s="229">
        <v>50</v>
      </c>
      <c r="C17" s="230">
        <v>6</v>
      </c>
      <c r="D17" s="227">
        <f t="shared" si="0"/>
        <v>8.3333333333333339</v>
      </c>
      <c r="E17" s="229">
        <v>0</v>
      </c>
      <c r="F17" s="230">
        <v>0</v>
      </c>
      <c r="G17" s="228" t="str">
        <f t="shared" ref="G17:G21" si="118">IF(F17=0,"-",E17/F17)</f>
        <v>-</v>
      </c>
      <c r="H17" s="229">
        <v>9</v>
      </c>
      <c r="I17" s="230">
        <v>1</v>
      </c>
      <c r="J17" s="227">
        <f t="shared" si="1"/>
        <v>9</v>
      </c>
      <c r="K17" s="239">
        <v>0</v>
      </c>
      <c r="L17" s="230">
        <v>0</v>
      </c>
      <c r="M17" s="228" t="str">
        <f t="shared" ref="M17" si="119">IF(L17=0,"-",K17/L17)</f>
        <v>-</v>
      </c>
      <c r="N17" s="239">
        <v>36</v>
      </c>
      <c r="O17" s="230">
        <v>7</v>
      </c>
      <c r="P17" s="227">
        <f t="shared" si="2"/>
        <v>5.1428571428571432</v>
      </c>
      <c r="Q17" s="229">
        <v>350</v>
      </c>
      <c r="R17" s="230">
        <v>54</v>
      </c>
      <c r="S17" s="228">
        <f t="shared" ref="S17" si="120">IF(R17=0,"-",Q17/R17)</f>
        <v>6.4814814814814818</v>
      </c>
      <c r="T17" s="232">
        <v>0</v>
      </c>
      <c r="U17" s="233">
        <v>0</v>
      </c>
      <c r="V17" s="228" t="str">
        <f t="shared" ref="V17" si="121">IF(U17=0,"-",T17/U17)</f>
        <v>-</v>
      </c>
      <c r="W17" s="229">
        <v>0</v>
      </c>
      <c r="X17" s="230">
        <v>0</v>
      </c>
      <c r="Y17" s="228" t="s">
        <v>32</v>
      </c>
      <c r="Z17" s="239">
        <v>0</v>
      </c>
      <c r="AA17" s="230">
        <v>0</v>
      </c>
      <c r="AB17" s="228" t="str">
        <f t="shared" ref="AB17" si="122">IF(AA17=0,"-",Z17/AA17)</f>
        <v>-</v>
      </c>
      <c r="AC17" s="229">
        <v>1</v>
      </c>
      <c r="AD17" s="230">
        <v>1</v>
      </c>
      <c r="AE17" s="227">
        <f t="shared" si="31"/>
        <v>1</v>
      </c>
      <c r="AF17" s="229">
        <v>0</v>
      </c>
      <c r="AG17" s="230">
        <v>0</v>
      </c>
      <c r="AH17" s="228" t="s">
        <v>32</v>
      </c>
      <c r="AI17" s="239">
        <v>8</v>
      </c>
      <c r="AJ17" s="230">
        <v>1</v>
      </c>
      <c r="AK17" s="227">
        <f t="shared" si="51"/>
        <v>8</v>
      </c>
      <c r="AL17" s="239">
        <v>22</v>
      </c>
      <c r="AM17" s="230">
        <v>3</v>
      </c>
      <c r="AN17" s="227">
        <f t="shared" si="10"/>
        <v>7.333333333333333</v>
      </c>
      <c r="AO17" s="229">
        <v>0</v>
      </c>
      <c r="AP17" s="230">
        <v>0</v>
      </c>
      <c r="AQ17" s="228" t="str">
        <f t="shared" ref="AQ17" si="123">IF(AP17=0,"-",AO17/AP17)</f>
        <v>-</v>
      </c>
      <c r="AR17" s="229">
        <v>0</v>
      </c>
      <c r="AS17" s="230">
        <v>0</v>
      </c>
      <c r="AT17" s="228" t="str">
        <f t="shared" ref="AT17" si="124">IF(AS17=0,"-",AR17/AS17)</f>
        <v>-</v>
      </c>
      <c r="AU17" s="239">
        <v>7</v>
      </c>
      <c r="AV17" s="230">
        <v>1</v>
      </c>
      <c r="AW17" s="227">
        <f t="shared" si="54"/>
        <v>7</v>
      </c>
      <c r="AX17" s="229">
        <v>0</v>
      </c>
      <c r="AY17" s="230">
        <v>0</v>
      </c>
      <c r="AZ17" s="228" t="str">
        <f t="shared" ref="AZ17" si="125">IF(AY17=0,"-",AX17/AY17)</f>
        <v>-</v>
      </c>
      <c r="BA17" s="229">
        <v>25</v>
      </c>
      <c r="BB17" s="230">
        <v>3</v>
      </c>
      <c r="BC17" s="227">
        <f t="shared" si="20"/>
        <v>8.3333333333333339</v>
      </c>
      <c r="BD17" s="229">
        <v>0</v>
      </c>
      <c r="BE17" s="230">
        <v>0</v>
      </c>
      <c r="BF17" s="228" t="str">
        <f t="shared" ref="BF17" si="126">IF(BE17=0,"-",BD17/BE17)</f>
        <v>-</v>
      </c>
      <c r="BG17" s="229">
        <v>10</v>
      </c>
      <c r="BH17" s="230">
        <v>1</v>
      </c>
      <c r="BI17" s="227">
        <f t="shared" si="57"/>
        <v>10</v>
      </c>
      <c r="BJ17" s="229">
        <v>0</v>
      </c>
      <c r="BK17" s="230">
        <v>0</v>
      </c>
      <c r="BL17" s="228" t="str">
        <f t="shared" ref="BL17:BL18" si="127">IF(BK17=0,"-",BJ17/BK17)</f>
        <v>-</v>
      </c>
      <c r="BM17" s="236">
        <f t="shared" si="21"/>
        <v>518</v>
      </c>
      <c r="BN17" s="237">
        <f t="shared" si="21"/>
        <v>78</v>
      </c>
      <c r="BO17" s="238">
        <f t="shared" si="22"/>
        <v>6.6410256410256414</v>
      </c>
    </row>
    <row r="18" spans="1:67" ht="20.399999999999999" thickBot="1" x14ac:dyDescent="0.45">
      <c r="A18" s="224">
        <v>45274</v>
      </c>
      <c r="B18" s="229">
        <v>74</v>
      </c>
      <c r="C18" s="230">
        <v>9</v>
      </c>
      <c r="D18" s="227">
        <f>IF(C18=0,"",B18/C18)</f>
        <v>8.2222222222222214</v>
      </c>
      <c r="E18" s="229">
        <v>0</v>
      </c>
      <c r="F18" s="230">
        <v>0</v>
      </c>
      <c r="G18" s="228" t="str">
        <f t="shared" si="118"/>
        <v>-</v>
      </c>
      <c r="H18" s="229">
        <v>0</v>
      </c>
      <c r="I18" s="230">
        <v>0</v>
      </c>
      <c r="J18" s="228" t="str">
        <f t="shared" ref="J18" si="128">IF(I18=0,"-",H18/I18)</f>
        <v>-</v>
      </c>
      <c r="K18" s="239">
        <v>0</v>
      </c>
      <c r="L18" s="230">
        <v>0</v>
      </c>
      <c r="M18" s="228" t="str">
        <f t="shared" ref="M18" si="129">IF(L18=0,"-",K18/L18)</f>
        <v>-</v>
      </c>
      <c r="N18" s="239">
        <v>22</v>
      </c>
      <c r="O18" s="230">
        <v>4</v>
      </c>
      <c r="P18" s="227">
        <f t="shared" si="2"/>
        <v>5.5</v>
      </c>
      <c r="Q18" s="229">
        <v>4</v>
      </c>
      <c r="R18" s="230">
        <v>1</v>
      </c>
      <c r="S18" s="228">
        <f t="shared" ref="S18:S21" si="130">IF(R18=0,"-",Q18/R18)</f>
        <v>4</v>
      </c>
      <c r="T18" s="232">
        <v>0</v>
      </c>
      <c r="U18" s="233">
        <v>0</v>
      </c>
      <c r="V18" s="228" t="str">
        <f t="shared" ref="V18:V19" si="131">IF(U18=0,"-",T18/U18)</f>
        <v>-</v>
      </c>
      <c r="W18" s="229">
        <v>9</v>
      </c>
      <c r="X18" s="230">
        <v>1</v>
      </c>
      <c r="Y18" s="227">
        <f t="shared" si="29"/>
        <v>9</v>
      </c>
      <c r="Z18" s="239">
        <v>0</v>
      </c>
      <c r="AA18" s="230">
        <v>0</v>
      </c>
      <c r="AB18" s="228" t="str">
        <f t="shared" ref="AB18:AB21" si="132">IF(AA18=0,"-",Z18/AA18)</f>
        <v>-</v>
      </c>
      <c r="AC18" s="229">
        <v>6</v>
      </c>
      <c r="AD18" s="230">
        <v>1</v>
      </c>
      <c r="AE18" s="227">
        <f t="shared" si="31"/>
        <v>6</v>
      </c>
      <c r="AF18" s="229">
        <v>0</v>
      </c>
      <c r="AG18" s="230">
        <v>0</v>
      </c>
      <c r="AH18" s="228" t="s">
        <v>32</v>
      </c>
      <c r="AI18" s="239">
        <v>0</v>
      </c>
      <c r="AJ18" s="230">
        <v>0</v>
      </c>
      <c r="AK18" s="228" t="s">
        <v>32</v>
      </c>
      <c r="AL18" s="239">
        <v>36</v>
      </c>
      <c r="AM18" s="230">
        <v>5</v>
      </c>
      <c r="AN18" s="227">
        <f t="shared" si="10"/>
        <v>7.2</v>
      </c>
      <c r="AO18" s="229">
        <v>0</v>
      </c>
      <c r="AP18" s="230">
        <v>0</v>
      </c>
      <c r="AQ18" s="228" t="str">
        <f t="shared" ref="AQ18:AQ21" si="133">IF(AP18=0,"-",AO18/AP18)</f>
        <v>-</v>
      </c>
      <c r="AR18" s="229">
        <v>0</v>
      </c>
      <c r="AS18" s="230">
        <v>0</v>
      </c>
      <c r="AT18" s="228" t="str">
        <f t="shared" ref="AT18:AT21" si="134">IF(AS18=0,"-",AR18/AS18)</f>
        <v>-</v>
      </c>
      <c r="AU18" s="229">
        <v>0</v>
      </c>
      <c r="AV18" s="230">
        <v>0</v>
      </c>
      <c r="AW18" s="228" t="str">
        <f t="shared" ref="AW18:AW19" si="135">IF(AV18=0,"-",AU18/AV18)</f>
        <v>-</v>
      </c>
      <c r="AX18" s="229">
        <v>0</v>
      </c>
      <c r="AY18" s="230">
        <v>0</v>
      </c>
      <c r="AZ18" s="228" t="str">
        <f t="shared" ref="AZ18:AZ21" si="136">IF(AY18=0,"-",AX18/AY18)</f>
        <v>-</v>
      </c>
      <c r="BA18" s="229">
        <v>9</v>
      </c>
      <c r="BB18" s="230">
        <v>1</v>
      </c>
      <c r="BC18" s="227">
        <f t="shared" si="20"/>
        <v>9</v>
      </c>
      <c r="BD18" s="229">
        <v>0</v>
      </c>
      <c r="BE18" s="230">
        <v>0</v>
      </c>
      <c r="BF18" s="228" t="str">
        <f t="shared" ref="BF18:BF21" si="137">IF(BE18=0,"-",BD18/BE18)</f>
        <v>-</v>
      </c>
      <c r="BG18" s="229">
        <v>0</v>
      </c>
      <c r="BH18" s="230">
        <v>0</v>
      </c>
      <c r="BI18" s="228" t="str">
        <f t="shared" ref="BI18" si="138">IF(BH18=0,"-",BG18/BH18)</f>
        <v>-</v>
      </c>
      <c r="BJ18" s="229">
        <v>0</v>
      </c>
      <c r="BK18" s="230">
        <v>0</v>
      </c>
      <c r="BL18" s="228" t="str">
        <f t="shared" si="127"/>
        <v>-</v>
      </c>
      <c r="BM18" s="236">
        <f t="shared" si="21"/>
        <v>160</v>
      </c>
      <c r="BN18" s="237">
        <f t="shared" si="21"/>
        <v>22</v>
      </c>
      <c r="BO18" s="238">
        <f t="shared" si="22"/>
        <v>7.2727272727272725</v>
      </c>
    </row>
    <row r="19" spans="1:67" ht="20.399999999999999" thickBot="1" x14ac:dyDescent="0.45">
      <c r="A19" s="224">
        <v>45275</v>
      </c>
      <c r="B19" s="229">
        <v>8</v>
      </c>
      <c r="C19" s="230">
        <v>1</v>
      </c>
      <c r="D19" s="227">
        <f>IF(C19=0,"",B19/C19)</f>
        <v>8</v>
      </c>
      <c r="E19" s="229">
        <v>0</v>
      </c>
      <c r="F19" s="230">
        <v>0</v>
      </c>
      <c r="G19" s="228" t="str">
        <f t="shared" si="118"/>
        <v>-</v>
      </c>
      <c r="H19" s="229">
        <v>0</v>
      </c>
      <c r="I19" s="230">
        <v>0</v>
      </c>
      <c r="J19" s="228" t="str">
        <f t="shared" ref="J19" si="139">IF(I19=0,"-",H19/I19)</f>
        <v>-</v>
      </c>
      <c r="K19" s="239">
        <v>0</v>
      </c>
      <c r="L19" s="230">
        <v>0</v>
      </c>
      <c r="M19" s="228" t="str">
        <f t="shared" ref="M19" si="140">IF(L19=0,"-",K19/L19)</f>
        <v>-</v>
      </c>
      <c r="N19" s="229">
        <v>0</v>
      </c>
      <c r="O19" s="230">
        <v>0</v>
      </c>
      <c r="P19" s="228" t="str">
        <f t="shared" ref="P19" si="141">IF(O19=0,"-",N19/O19)</f>
        <v>-</v>
      </c>
      <c r="Q19" s="229">
        <v>0</v>
      </c>
      <c r="R19" s="230">
        <v>0</v>
      </c>
      <c r="S19" s="228" t="str">
        <f t="shared" si="130"/>
        <v>-</v>
      </c>
      <c r="T19" s="232">
        <v>0</v>
      </c>
      <c r="U19" s="233">
        <v>0</v>
      </c>
      <c r="V19" s="228" t="str">
        <f t="shared" si="131"/>
        <v>-</v>
      </c>
      <c r="W19" s="229">
        <v>0</v>
      </c>
      <c r="X19" s="230">
        <v>0</v>
      </c>
      <c r="Y19" s="228" t="s">
        <v>32</v>
      </c>
      <c r="Z19" s="239">
        <v>0</v>
      </c>
      <c r="AA19" s="230">
        <v>0</v>
      </c>
      <c r="AB19" s="228" t="str">
        <f t="shared" si="132"/>
        <v>-</v>
      </c>
      <c r="AC19" s="239">
        <v>0</v>
      </c>
      <c r="AD19" s="230">
        <v>0</v>
      </c>
      <c r="AE19" s="228" t="s">
        <v>32</v>
      </c>
      <c r="AF19" s="229">
        <v>0</v>
      </c>
      <c r="AG19" s="230">
        <v>0</v>
      </c>
      <c r="AH19" s="228" t="s">
        <v>32</v>
      </c>
      <c r="AI19" s="239">
        <v>0</v>
      </c>
      <c r="AJ19" s="230">
        <v>0</v>
      </c>
      <c r="AK19" s="228" t="s">
        <v>32</v>
      </c>
      <c r="AL19" s="239">
        <v>22</v>
      </c>
      <c r="AM19" s="230">
        <v>3</v>
      </c>
      <c r="AN19" s="227">
        <f t="shared" si="10"/>
        <v>7.333333333333333</v>
      </c>
      <c r="AO19" s="229">
        <v>0</v>
      </c>
      <c r="AP19" s="230">
        <v>0</v>
      </c>
      <c r="AQ19" s="228" t="str">
        <f t="shared" si="133"/>
        <v>-</v>
      </c>
      <c r="AR19" s="229">
        <v>0</v>
      </c>
      <c r="AS19" s="230">
        <v>0</v>
      </c>
      <c r="AT19" s="228" t="str">
        <f t="shared" si="134"/>
        <v>-</v>
      </c>
      <c r="AU19" s="229">
        <v>0</v>
      </c>
      <c r="AV19" s="230">
        <v>0</v>
      </c>
      <c r="AW19" s="228" t="str">
        <f t="shared" si="135"/>
        <v>-</v>
      </c>
      <c r="AX19" s="229">
        <v>0</v>
      </c>
      <c r="AY19" s="230">
        <v>0</v>
      </c>
      <c r="AZ19" s="228" t="str">
        <f t="shared" si="136"/>
        <v>-</v>
      </c>
      <c r="BA19" s="229">
        <v>0</v>
      </c>
      <c r="BB19" s="230">
        <v>0</v>
      </c>
      <c r="BC19" s="228" t="str">
        <f t="shared" ref="BC19" si="142">IF(BB19=0,"-",BA19/BB19)</f>
        <v>-</v>
      </c>
      <c r="BD19" s="229">
        <v>0</v>
      </c>
      <c r="BE19" s="230">
        <v>0</v>
      </c>
      <c r="BF19" s="228" t="str">
        <f t="shared" si="137"/>
        <v>-</v>
      </c>
      <c r="BG19" s="229">
        <v>0</v>
      </c>
      <c r="BH19" s="230">
        <v>0</v>
      </c>
      <c r="BI19" s="228" t="str">
        <f t="shared" ref="BI19:BI21" si="143">IF(BH19=0,"-",BG19/BH19)</f>
        <v>-</v>
      </c>
      <c r="BJ19" s="229">
        <v>0</v>
      </c>
      <c r="BK19" s="230">
        <v>0</v>
      </c>
      <c r="BL19" s="228" t="str">
        <f t="shared" ref="BL19:BL21" si="144">IF(BK19=0,"-",BJ19/BK19)</f>
        <v>-</v>
      </c>
      <c r="BM19" s="236">
        <f t="shared" si="21"/>
        <v>30</v>
      </c>
      <c r="BN19" s="237">
        <f t="shared" si="21"/>
        <v>4</v>
      </c>
      <c r="BO19" s="238">
        <f t="shared" si="22"/>
        <v>7.5</v>
      </c>
    </row>
    <row r="20" spans="1:67" ht="20.399999999999999" thickBot="1" x14ac:dyDescent="0.45">
      <c r="A20" s="224">
        <v>45276</v>
      </c>
      <c r="B20" s="229">
        <v>44</v>
      </c>
      <c r="C20" s="230">
        <v>5</v>
      </c>
      <c r="D20" s="227">
        <f t="shared" si="0"/>
        <v>8.8000000000000007</v>
      </c>
      <c r="E20" s="229">
        <v>0</v>
      </c>
      <c r="F20" s="230">
        <v>0</v>
      </c>
      <c r="G20" s="228" t="str">
        <f t="shared" si="118"/>
        <v>-</v>
      </c>
      <c r="H20" s="229">
        <v>0</v>
      </c>
      <c r="I20" s="230">
        <v>0</v>
      </c>
      <c r="J20" s="228" t="str">
        <f t="shared" ref="J20" si="145">IF(I20=0,"-",H20/I20)</f>
        <v>-</v>
      </c>
      <c r="K20" s="239">
        <v>0</v>
      </c>
      <c r="L20" s="230">
        <v>0</v>
      </c>
      <c r="M20" s="228" t="str">
        <f t="shared" ref="M20" si="146">IF(L20=0,"-",K20/L20)</f>
        <v>-</v>
      </c>
      <c r="N20" s="229">
        <v>0</v>
      </c>
      <c r="O20" s="230">
        <v>0</v>
      </c>
      <c r="P20" s="228" t="str">
        <f t="shared" ref="P20:P21" si="147">IF(O20=0,"-",N20/O20)</f>
        <v>-</v>
      </c>
      <c r="Q20" s="229">
        <v>0</v>
      </c>
      <c r="R20" s="230">
        <v>0</v>
      </c>
      <c r="S20" s="228" t="str">
        <f t="shared" si="130"/>
        <v>-</v>
      </c>
      <c r="T20" s="229">
        <v>18</v>
      </c>
      <c r="U20" s="230">
        <v>3</v>
      </c>
      <c r="V20" s="227">
        <f t="shared" si="101"/>
        <v>6</v>
      </c>
      <c r="W20" s="229">
        <v>0</v>
      </c>
      <c r="X20" s="230">
        <v>0</v>
      </c>
      <c r="Y20" s="228" t="s">
        <v>32</v>
      </c>
      <c r="Z20" s="239">
        <v>0</v>
      </c>
      <c r="AA20" s="230">
        <v>0</v>
      </c>
      <c r="AB20" s="228" t="str">
        <f t="shared" si="132"/>
        <v>-</v>
      </c>
      <c r="AC20" s="239">
        <v>0</v>
      </c>
      <c r="AD20" s="230">
        <v>0</v>
      </c>
      <c r="AE20" s="228" t="s">
        <v>32</v>
      </c>
      <c r="AF20" s="229">
        <v>0</v>
      </c>
      <c r="AG20" s="230">
        <v>0</v>
      </c>
      <c r="AH20" s="228" t="s">
        <v>32</v>
      </c>
      <c r="AI20" s="239">
        <v>0</v>
      </c>
      <c r="AJ20" s="230">
        <v>0</v>
      </c>
      <c r="AK20" s="228" t="s">
        <v>32</v>
      </c>
      <c r="AL20" s="239">
        <v>29</v>
      </c>
      <c r="AM20" s="230">
        <v>4</v>
      </c>
      <c r="AN20" s="227">
        <f t="shared" si="10"/>
        <v>7.25</v>
      </c>
      <c r="AO20" s="229">
        <v>0</v>
      </c>
      <c r="AP20" s="230">
        <v>0</v>
      </c>
      <c r="AQ20" s="228" t="str">
        <f t="shared" si="133"/>
        <v>-</v>
      </c>
      <c r="AR20" s="229">
        <v>0</v>
      </c>
      <c r="AS20" s="230">
        <v>0</v>
      </c>
      <c r="AT20" s="228" t="str">
        <f t="shared" si="134"/>
        <v>-</v>
      </c>
      <c r="AU20" s="239">
        <v>7</v>
      </c>
      <c r="AV20" s="230">
        <v>1</v>
      </c>
      <c r="AW20" s="227">
        <f t="shared" si="54"/>
        <v>7</v>
      </c>
      <c r="AX20" s="229">
        <v>0</v>
      </c>
      <c r="AY20" s="230">
        <v>0</v>
      </c>
      <c r="AZ20" s="228" t="str">
        <f t="shared" si="136"/>
        <v>-</v>
      </c>
      <c r="BA20" s="229">
        <v>0</v>
      </c>
      <c r="BB20" s="230">
        <v>0</v>
      </c>
      <c r="BC20" s="228" t="str">
        <f t="shared" ref="BC20:BC21" si="148">IF(BB20=0,"-",BA20/BB20)</f>
        <v>-</v>
      </c>
      <c r="BD20" s="229">
        <v>0</v>
      </c>
      <c r="BE20" s="230">
        <v>0</v>
      </c>
      <c r="BF20" s="228" t="str">
        <f t="shared" si="137"/>
        <v>-</v>
      </c>
      <c r="BG20" s="229">
        <v>0</v>
      </c>
      <c r="BH20" s="230">
        <v>0</v>
      </c>
      <c r="BI20" s="228" t="str">
        <f t="shared" si="143"/>
        <v>-</v>
      </c>
      <c r="BJ20" s="229">
        <v>0</v>
      </c>
      <c r="BK20" s="230">
        <v>0</v>
      </c>
      <c r="BL20" s="228" t="str">
        <f t="shared" si="144"/>
        <v>-</v>
      </c>
      <c r="BM20" s="236">
        <f t="shared" si="21"/>
        <v>80</v>
      </c>
      <c r="BN20" s="237">
        <f t="shared" si="21"/>
        <v>10</v>
      </c>
      <c r="BO20" s="238">
        <f t="shared" si="22"/>
        <v>8</v>
      </c>
    </row>
    <row r="21" spans="1:67" ht="20.399999999999999" thickBot="1" x14ac:dyDescent="0.45">
      <c r="A21" s="224">
        <v>45277</v>
      </c>
      <c r="B21" s="229">
        <v>0</v>
      </c>
      <c r="C21" s="230">
        <v>0</v>
      </c>
      <c r="D21" s="228" t="str">
        <f t="shared" ref="D21" si="149">IF(C21=0,"-",B21/C21)</f>
        <v>-</v>
      </c>
      <c r="E21" s="229">
        <v>0</v>
      </c>
      <c r="F21" s="230">
        <v>0</v>
      </c>
      <c r="G21" s="228" t="str">
        <f t="shared" si="118"/>
        <v>-</v>
      </c>
      <c r="H21" s="229">
        <v>0</v>
      </c>
      <c r="I21" s="230">
        <v>0</v>
      </c>
      <c r="J21" s="228" t="str">
        <f t="shared" ref="J21:J22" si="150">IF(I21=0,"-",H21/I21)</f>
        <v>-</v>
      </c>
      <c r="K21" s="239">
        <v>0</v>
      </c>
      <c r="L21" s="230">
        <v>0</v>
      </c>
      <c r="M21" s="228" t="str">
        <f t="shared" ref="M21" si="151">IF(L21=0,"-",K21/L21)</f>
        <v>-</v>
      </c>
      <c r="N21" s="229">
        <v>0</v>
      </c>
      <c r="O21" s="230">
        <v>0</v>
      </c>
      <c r="P21" s="228" t="str">
        <f t="shared" si="147"/>
        <v>-</v>
      </c>
      <c r="Q21" s="229">
        <v>0</v>
      </c>
      <c r="R21" s="230">
        <v>0</v>
      </c>
      <c r="S21" s="228" t="str">
        <f t="shared" si="130"/>
        <v>-</v>
      </c>
      <c r="T21" s="229">
        <v>0</v>
      </c>
      <c r="U21" s="230">
        <v>0</v>
      </c>
      <c r="V21" s="228" t="str">
        <f t="shared" ref="V21" si="152">IF(U21=0,"-",T21/U21)</f>
        <v>-</v>
      </c>
      <c r="W21" s="229">
        <v>0</v>
      </c>
      <c r="X21" s="230">
        <v>0</v>
      </c>
      <c r="Y21" s="228" t="s">
        <v>32</v>
      </c>
      <c r="Z21" s="239">
        <v>0</v>
      </c>
      <c r="AA21" s="230">
        <v>0</v>
      </c>
      <c r="AB21" s="228" t="str">
        <f t="shared" si="132"/>
        <v>-</v>
      </c>
      <c r="AC21" s="239">
        <v>0</v>
      </c>
      <c r="AD21" s="230">
        <v>0</v>
      </c>
      <c r="AE21" s="228" t="s">
        <v>32</v>
      </c>
      <c r="AF21" s="229">
        <v>0</v>
      </c>
      <c r="AG21" s="230">
        <v>0</v>
      </c>
      <c r="AH21" s="228" t="s">
        <v>32</v>
      </c>
      <c r="AI21" s="239">
        <v>0</v>
      </c>
      <c r="AJ21" s="230">
        <v>0</v>
      </c>
      <c r="AK21" s="228" t="s">
        <v>32</v>
      </c>
      <c r="AL21" s="239">
        <v>57</v>
      </c>
      <c r="AM21" s="230">
        <v>8</v>
      </c>
      <c r="AN21" s="227">
        <f t="shared" si="10"/>
        <v>7.125</v>
      </c>
      <c r="AO21" s="229">
        <v>0</v>
      </c>
      <c r="AP21" s="230">
        <v>0</v>
      </c>
      <c r="AQ21" s="228" t="str">
        <f t="shared" si="133"/>
        <v>-</v>
      </c>
      <c r="AR21" s="229">
        <v>0</v>
      </c>
      <c r="AS21" s="230">
        <v>0</v>
      </c>
      <c r="AT21" s="228" t="str">
        <f t="shared" si="134"/>
        <v>-</v>
      </c>
      <c r="AU21" s="229">
        <v>0</v>
      </c>
      <c r="AV21" s="230">
        <v>0</v>
      </c>
      <c r="AW21" s="228" t="str">
        <f t="shared" ref="AW21" si="153">IF(AV21=0,"-",AU21/AV21)</f>
        <v>-</v>
      </c>
      <c r="AX21" s="229">
        <v>0</v>
      </c>
      <c r="AY21" s="230">
        <v>0</v>
      </c>
      <c r="AZ21" s="228" t="str">
        <f t="shared" si="136"/>
        <v>-</v>
      </c>
      <c r="BA21" s="229">
        <v>0</v>
      </c>
      <c r="BB21" s="230">
        <v>0</v>
      </c>
      <c r="BC21" s="228" t="str">
        <f t="shared" si="148"/>
        <v>-</v>
      </c>
      <c r="BD21" s="229">
        <v>0</v>
      </c>
      <c r="BE21" s="230">
        <v>0</v>
      </c>
      <c r="BF21" s="228" t="str">
        <f t="shared" si="137"/>
        <v>-</v>
      </c>
      <c r="BG21" s="229">
        <v>0</v>
      </c>
      <c r="BH21" s="230">
        <v>0</v>
      </c>
      <c r="BI21" s="228" t="str">
        <f t="shared" si="143"/>
        <v>-</v>
      </c>
      <c r="BJ21" s="229">
        <v>0</v>
      </c>
      <c r="BK21" s="230">
        <v>0</v>
      </c>
      <c r="BL21" s="228" t="str">
        <f t="shared" si="144"/>
        <v>-</v>
      </c>
      <c r="BM21" s="236">
        <f t="shared" si="21"/>
        <v>57</v>
      </c>
      <c r="BN21" s="237">
        <f t="shared" si="21"/>
        <v>8</v>
      </c>
      <c r="BO21" s="238">
        <f t="shared" si="22"/>
        <v>7.125</v>
      </c>
    </row>
    <row r="22" spans="1:67" ht="20.399999999999999" thickBot="1" x14ac:dyDescent="0.45">
      <c r="A22" s="224">
        <v>45278</v>
      </c>
      <c r="B22" s="229">
        <v>25</v>
      </c>
      <c r="C22" s="230">
        <v>3</v>
      </c>
      <c r="D22" s="227">
        <f t="shared" si="0"/>
        <v>8.3333333333333339</v>
      </c>
      <c r="E22" s="229">
        <v>8</v>
      </c>
      <c r="F22" s="230">
        <v>1</v>
      </c>
      <c r="G22" s="227">
        <f t="shared" si="19"/>
        <v>8</v>
      </c>
      <c r="H22" s="229">
        <v>32</v>
      </c>
      <c r="I22" s="230">
        <v>4</v>
      </c>
      <c r="J22" s="228">
        <f t="shared" si="150"/>
        <v>8</v>
      </c>
      <c r="K22" s="239">
        <v>0</v>
      </c>
      <c r="L22" s="230">
        <v>0</v>
      </c>
      <c r="M22" s="228" t="str">
        <f t="shared" ref="M22:M23" si="154">IF(L22=0,"-",K22/L22)</f>
        <v>-</v>
      </c>
      <c r="N22" s="239">
        <v>73</v>
      </c>
      <c r="O22" s="230">
        <v>13</v>
      </c>
      <c r="P22" s="227">
        <f t="shared" si="2"/>
        <v>5.615384615384615</v>
      </c>
      <c r="Q22" s="229">
        <v>0</v>
      </c>
      <c r="R22" s="230">
        <v>0</v>
      </c>
      <c r="S22" s="228" t="str">
        <f t="shared" ref="S22" si="155">IF(R22=0,"-",Q22/R22)</f>
        <v>-</v>
      </c>
      <c r="T22" s="229">
        <v>0</v>
      </c>
      <c r="U22" s="230">
        <v>0</v>
      </c>
      <c r="V22" s="228" t="str">
        <f t="shared" ref="V22" si="156">IF(U22=0,"-",T22/U22)</f>
        <v>-</v>
      </c>
      <c r="W22" s="229">
        <v>5</v>
      </c>
      <c r="X22" s="230">
        <v>1</v>
      </c>
      <c r="Y22" s="227">
        <f t="shared" si="29"/>
        <v>5</v>
      </c>
      <c r="Z22" s="239">
        <v>0</v>
      </c>
      <c r="AA22" s="230">
        <v>0</v>
      </c>
      <c r="AB22" s="228" t="str">
        <f t="shared" ref="AB22:AB23" si="157">IF(AA22=0,"-",Z22/AA22)</f>
        <v>-</v>
      </c>
      <c r="AC22" s="229">
        <v>2</v>
      </c>
      <c r="AD22" s="230">
        <v>2</v>
      </c>
      <c r="AE22" s="227">
        <f t="shared" si="31"/>
        <v>1</v>
      </c>
      <c r="AF22" s="229">
        <v>0</v>
      </c>
      <c r="AG22" s="230">
        <v>0</v>
      </c>
      <c r="AH22" s="228" t="s">
        <v>32</v>
      </c>
      <c r="AI22" s="239">
        <v>13</v>
      </c>
      <c r="AJ22" s="230">
        <v>2</v>
      </c>
      <c r="AK22" s="227">
        <f t="shared" si="51"/>
        <v>6.5</v>
      </c>
      <c r="AL22" s="229">
        <v>0</v>
      </c>
      <c r="AM22" s="230">
        <v>0</v>
      </c>
      <c r="AN22" s="228" t="str">
        <f t="shared" ref="AN22:AN23" si="158">IF(AM22=0,"-",AL22/AM22)</f>
        <v>-</v>
      </c>
      <c r="AO22" s="229">
        <v>0</v>
      </c>
      <c r="AP22" s="230">
        <v>0</v>
      </c>
      <c r="AQ22" s="228" t="str">
        <f t="shared" ref="AQ22:AQ23" si="159">IF(AP22=0,"-",AO22/AP22)</f>
        <v>-</v>
      </c>
      <c r="AR22" s="229">
        <v>0</v>
      </c>
      <c r="AS22" s="230">
        <v>0</v>
      </c>
      <c r="AT22" s="228" t="str">
        <f t="shared" ref="AT22:AT23" si="160">IF(AS22=0,"-",AR22/AS22)</f>
        <v>-</v>
      </c>
      <c r="AU22" s="229">
        <v>0</v>
      </c>
      <c r="AV22" s="230">
        <v>0</v>
      </c>
      <c r="AW22" s="228" t="str">
        <f t="shared" ref="AW22:AW23" si="161">IF(AV22=0,"-",AU22/AV22)</f>
        <v>-</v>
      </c>
      <c r="AX22" s="229">
        <v>0</v>
      </c>
      <c r="AY22" s="230">
        <v>0</v>
      </c>
      <c r="AZ22" s="228" t="str">
        <f t="shared" ref="AZ22:AZ23" si="162">IF(AY22=0,"-",AX22/AY22)</f>
        <v>-</v>
      </c>
      <c r="BA22" s="229">
        <v>0</v>
      </c>
      <c r="BB22" s="230">
        <v>0</v>
      </c>
      <c r="BC22" s="228" t="str">
        <f t="shared" ref="BC22" si="163">IF(BB22=0,"-",BA22/BB22)</f>
        <v>-</v>
      </c>
      <c r="BD22" s="229">
        <v>0</v>
      </c>
      <c r="BE22" s="230">
        <v>0</v>
      </c>
      <c r="BF22" s="228" t="str">
        <f t="shared" ref="BF22" si="164">IF(BE22=0,"-",BD22/BE22)</f>
        <v>-</v>
      </c>
      <c r="BG22" s="229">
        <v>0</v>
      </c>
      <c r="BH22" s="230">
        <v>0</v>
      </c>
      <c r="BI22" s="228" t="str">
        <f t="shared" ref="BI22" si="165">IF(BH22=0,"-",BG22/BH22)</f>
        <v>-</v>
      </c>
      <c r="BJ22" s="229">
        <v>0</v>
      </c>
      <c r="BK22" s="230">
        <v>0</v>
      </c>
      <c r="BL22" s="228" t="str">
        <f t="shared" ref="BL22" si="166">IF(BK22=0,"-",BJ22/BK22)</f>
        <v>-</v>
      </c>
      <c r="BM22" s="236">
        <f t="shared" si="21"/>
        <v>158</v>
      </c>
      <c r="BN22" s="237">
        <f t="shared" si="21"/>
        <v>26</v>
      </c>
      <c r="BO22" s="238">
        <f t="shared" si="22"/>
        <v>6.0769230769230766</v>
      </c>
    </row>
    <row r="23" spans="1:67" ht="20.399999999999999" thickBot="1" x14ac:dyDescent="0.45">
      <c r="A23" s="224">
        <v>45279</v>
      </c>
      <c r="B23" s="229">
        <v>25</v>
      </c>
      <c r="C23" s="230">
        <v>3</v>
      </c>
      <c r="D23" s="227">
        <f t="shared" si="0"/>
        <v>8.3333333333333339</v>
      </c>
      <c r="E23" s="229">
        <v>12</v>
      </c>
      <c r="F23" s="230">
        <v>2</v>
      </c>
      <c r="G23" s="227">
        <f t="shared" si="19"/>
        <v>6</v>
      </c>
      <c r="H23" s="229">
        <v>0</v>
      </c>
      <c r="I23" s="230">
        <v>0</v>
      </c>
      <c r="J23" s="228" t="str">
        <f t="shared" ref="J23" si="167">IF(I23=0,"-",H23/I23)</f>
        <v>-</v>
      </c>
      <c r="K23" s="229">
        <v>0</v>
      </c>
      <c r="L23" s="230">
        <v>0</v>
      </c>
      <c r="M23" s="228" t="str">
        <f t="shared" si="154"/>
        <v>-</v>
      </c>
      <c r="N23" s="239">
        <v>12</v>
      </c>
      <c r="O23" s="230">
        <v>3</v>
      </c>
      <c r="P23" s="227">
        <f t="shared" si="2"/>
        <v>4</v>
      </c>
      <c r="Q23" s="229">
        <v>0</v>
      </c>
      <c r="R23" s="230">
        <v>0</v>
      </c>
      <c r="S23" s="228" t="str">
        <f t="shared" ref="S23" si="168">IF(R23=0,"-",Q23/R23)</f>
        <v>-</v>
      </c>
      <c r="T23" s="229">
        <v>0</v>
      </c>
      <c r="U23" s="230">
        <v>0</v>
      </c>
      <c r="V23" s="228" t="str">
        <f t="shared" ref="V23" si="169">IF(U23=0,"-",T23/U23)</f>
        <v>-</v>
      </c>
      <c r="W23" s="229">
        <v>0</v>
      </c>
      <c r="X23" s="230">
        <v>0</v>
      </c>
      <c r="Y23" s="228" t="str">
        <f t="shared" ref="Y23" si="170">IF(X23=0,"-",W23/X23)</f>
        <v>-</v>
      </c>
      <c r="Z23" s="229">
        <v>0</v>
      </c>
      <c r="AA23" s="230">
        <v>0</v>
      </c>
      <c r="AB23" s="228" t="str">
        <f t="shared" si="157"/>
        <v>-</v>
      </c>
      <c r="AC23" s="229">
        <v>0</v>
      </c>
      <c r="AD23" s="230">
        <v>0</v>
      </c>
      <c r="AE23" s="228" t="str">
        <f t="shared" ref="AE23" si="171">IF(AD23=0,"-",AC23/AD23)</f>
        <v>-</v>
      </c>
      <c r="AF23" s="229">
        <v>0</v>
      </c>
      <c r="AG23" s="230">
        <v>0</v>
      </c>
      <c r="AH23" s="228" t="str">
        <f t="shared" ref="AH23" si="172">IF(AG23=0,"-",AF23/AG23)</f>
        <v>-</v>
      </c>
      <c r="AI23" s="229">
        <v>0</v>
      </c>
      <c r="AJ23" s="230">
        <v>0</v>
      </c>
      <c r="AK23" s="228" t="str">
        <f t="shared" ref="AK23" si="173">IF(AJ23=0,"-",AI23/AJ23)</f>
        <v>-</v>
      </c>
      <c r="AL23" s="229">
        <v>0</v>
      </c>
      <c r="AM23" s="230">
        <v>0</v>
      </c>
      <c r="AN23" s="228" t="str">
        <f t="shared" si="158"/>
        <v>-</v>
      </c>
      <c r="AO23" s="229">
        <v>0</v>
      </c>
      <c r="AP23" s="230">
        <v>0</v>
      </c>
      <c r="AQ23" s="228" t="str">
        <f t="shared" si="159"/>
        <v>-</v>
      </c>
      <c r="AR23" s="229">
        <v>0</v>
      </c>
      <c r="AS23" s="230">
        <v>0</v>
      </c>
      <c r="AT23" s="228" t="str">
        <f t="shared" si="160"/>
        <v>-</v>
      </c>
      <c r="AU23" s="229">
        <v>0</v>
      </c>
      <c r="AV23" s="230">
        <v>0</v>
      </c>
      <c r="AW23" s="228" t="str">
        <f t="shared" si="161"/>
        <v>-</v>
      </c>
      <c r="AX23" s="229">
        <v>0</v>
      </c>
      <c r="AY23" s="230">
        <v>0</v>
      </c>
      <c r="AZ23" s="228" t="str">
        <f t="shared" si="162"/>
        <v>-</v>
      </c>
      <c r="BA23" s="229">
        <v>23</v>
      </c>
      <c r="BB23" s="230">
        <v>3</v>
      </c>
      <c r="BC23" s="227">
        <f t="shared" si="20"/>
        <v>7.666666666666667</v>
      </c>
      <c r="BD23" s="229">
        <v>0</v>
      </c>
      <c r="BE23" s="230">
        <v>0</v>
      </c>
      <c r="BF23" s="228" t="str">
        <f t="shared" ref="BF23" si="174">IF(BE23=0,"-",BD23/BE23)</f>
        <v>-</v>
      </c>
      <c r="BG23" s="229">
        <v>0</v>
      </c>
      <c r="BH23" s="230">
        <v>0</v>
      </c>
      <c r="BI23" s="228" t="str">
        <f t="shared" ref="BI23" si="175">IF(BH23=0,"-",BG23/BH23)</f>
        <v>-</v>
      </c>
      <c r="BJ23" s="229">
        <v>0</v>
      </c>
      <c r="BK23" s="230">
        <v>0</v>
      </c>
      <c r="BL23" s="228" t="str">
        <f t="shared" ref="BL23" si="176">IF(BK23=0,"-",BJ23/BK23)</f>
        <v>-</v>
      </c>
      <c r="BM23" s="236">
        <f t="shared" si="21"/>
        <v>72</v>
      </c>
      <c r="BN23" s="237">
        <f t="shared" si="21"/>
        <v>11</v>
      </c>
      <c r="BO23" s="238">
        <f t="shared" si="22"/>
        <v>6.5454545454545459</v>
      </c>
    </row>
    <row r="24" spans="1:67" ht="20.399999999999999" thickBot="1" x14ac:dyDescent="0.45">
      <c r="A24" s="224">
        <v>45280</v>
      </c>
      <c r="B24" s="229">
        <v>0</v>
      </c>
      <c r="C24" s="230">
        <v>0</v>
      </c>
      <c r="D24" s="228" t="s">
        <v>32</v>
      </c>
      <c r="E24" s="229">
        <v>0</v>
      </c>
      <c r="F24" s="230">
        <v>0</v>
      </c>
      <c r="G24" s="228" t="s">
        <v>32</v>
      </c>
      <c r="H24" s="229">
        <v>12</v>
      </c>
      <c r="I24" s="230">
        <v>2</v>
      </c>
      <c r="J24" s="227">
        <f t="shared" si="1"/>
        <v>6</v>
      </c>
      <c r="K24" s="229">
        <v>0</v>
      </c>
      <c r="L24" s="230">
        <v>0</v>
      </c>
      <c r="M24" s="228" t="str">
        <f t="shared" ref="M24" si="177">IF(L24=0,"-",K24/L24)</f>
        <v>-</v>
      </c>
      <c r="N24" s="239">
        <v>12</v>
      </c>
      <c r="O24" s="230">
        <v>3</v>
      </c>
      <c r="P24" s="227">
        <f t="shared" si="2"/>
        <v>4</v>
      </c>
      <c r="Q24" s="229">
        <v>145</v>
      </c>
      <c r="R24" s="230">
        <v>28</v>
      </c>
      <c r="S24" s="228">
        <f t="shared" ref="S24:S30" si="178">IF(R24=0,"-",Q24/R24)</f>
        <v>5.1785714285714288</v>
      </c>
      <c r="T24" s="229">
        <v>0</v>
      </c>
      <c r="U24" s="230">
        <v>0</v>
      </c>
      <c r="V24" s="228" t="str">
        <f t="shared" ref="V24:V34" si="179">IF(U24=0,"-",T24/U24)</f>
        <v>-</v>
      </c>
      <c r="W24" s="229">
        <v>0</v>
      </c>
      <c r="X24" s="230">
        <v>0</v>
      </c>
      <c r="Y24" s="228" t="str">
        <f t="shared" ref="Y24:Y34" si="180">IF(X24=0,"-",W24/X24)</f>
        <v>-</v>
      </c>
      <c r="Z24" s="229">
        <v>0</v>
      </c>
      <c r="AA24" s="230">
        <v>0</v>
      </c>
      <c r="AB24" s="228" t="str">
        <f t="shared" ref="AB24:AB34" si="181">IF(AA24=0,"-",Z24/AA24)</f>
        <v>-</v>
      </c>
      <c r="AC24" s="229">
        <v>0</v>
      </c>
      <c r="AD24" s="230">
        <v>0</v>
      </c>
      <c r="AE24" s="228" t="str">
        <f t="shared" ref="AE24:AE34" si="182">IF(AD24=0,"-",AC24/AD24)</f>
        <v>-</v>
      </c>
      <c r="AF24" s="229">
        <v>0</v>
      </c>
      <c r="AG24" s="230">
        <v>0</v>
      </c>
      <c r="AH24" s="228" t="str">
        <f t="shared" ref="AH24:AH34" si="183">IF(AG24=0,"-",AF24/AG24)</f>
        <v>-</v>
      </c>
      <c r="AI24" s="239">
        <v>4</v>
      </c>
      <c r="AJ24" s="230">
        <v>1</v>
      </c>
      <c r="AK24" s="227">
        <f t="shared" si="51"/>
        <v>4</v>
      </c>
      <c r="AL24" s="229">
        <v>0</v>
      </c>
      <c r="AM24" s="230">
        <v>0</v>
      </c>
      <c r="AN24" s="228" t="str">
        <f t="shared" ref="AN24:AN34" si="184">IF(AM24=0,"-",AL24/AM24)</f>
        <v>-</v>
      </c>
      <c r="AO24" s="229">
        <v>0</v>
      </c>
      <c r="AP24" s="230">
        <v>0</v>
      </c>
      <c r="AQ24" s="228" t="str">
        <f t="shared" ref="AQ24:AQ34" si="185">IF(AP24=0,"-",AO24/AP24)</f>
        <v>-</v>
      </c>
      <c r="AR24" s="229">
        <v>0</v>
      </c>
      <c r="AS24" s="230">
        <v>0</v>
      </c>
      <c r="AT24" s="228" t="str">
        <f t="shared" ref="AT24:AT34" si="186">IF(AS24=0,"-",AR24/AS24)</f>
        <v>-</v>
      </c>
      <c r="AU24" s="229">
        <v>0</v>
      </c>
      <c r="AV24" s="230">
        <v>0</v>
      </c>
      <c r="AW24" s="228" t="str">
        <f t="shared" ref="AW24:AW34" si="187">IF(AV24=0,"-",AU24/AV24)</f>
        <v>-</v>
      </c>
      <c r="AX24" s="229">
        <v>0</v>
      </c>
      <c r="AY24" s="230">
        <v>0</v>
      </c>
      <c r="AZ24" s="228" t="str">
        <f t="shared" ref="AZ24:AZ34" si="188">IF(AY24=0,"-",AX24/AY24)</f>
        <v>-</v>
      </c>
      <c r="BA24" s="229">
        <v>0</v>
      </c>
      <c r="BB24" s="230">
        <v>0</v>
      </c>
      <c r="BC24" s="227" t="s">
        <v>32</v>
      </c>
      <c r="BD24" s="229">
        <v>0</v>
      </c>
      <c r="BE24" s="230">
        <v>0</v>
      </c>
      <c r="BF24" s="228" t="str">
        <f t="shared" ref="BF24:BF34" si="189">IF(BE24=0,"-",BD24/BE24)</f>
        <v>-</v>
      </c>
      <c r="BG24" s="229">
        <v>0</v>
      </c>
      <c r="BH24" s="230">
        <v>0</v>
      </c>
      <c r="BI24" s="228" t="str">
        <f t="shared" ref="BI24:BI34" si="190">IF(BH24=0,"-",BG24/BH24)</f>
        <v>-</v>
      </c>
      <c r="BJ24" s="229">
        <v>0</v>
      </c>
      <c r="BK24" s="230">
        <v>0</v>
      </c>
      <c r="BL24" s="228" t="str">
        <f t="shared" ref="BL24:BL34" si="191">IF(BK24=0,"-",BJ24/BK24)</f>
        <v>-</v>
      </c>
      <c r="BM24" s="236">
        <f t="shared" si="21"/>
        <v>173</v>
      </c>
      <c r="BN24" s="237">
        <f t="shared" si="21"/>
        <v>34</v>
      </c>
      <c r="BO24" s="238">
        <f t="shared" si="22"/>
        <v>5.0882352941176467</v>
      </c>
    </row>
    <row r="25" spans="1:67" ht="20.399999999999999" thickBot="1" x14ac:dyDescent="0.45">
      <c r="A25" s="224">
        <v>45281</v>
      </c>
      <c r="B25" s="229">
        <v>17</v>
      </c>
      <c r="C25" s="230">
        <v>2</v>
      </c>
      <c r="D25" s="227">
        <f>IF(C25=0,"",B25/C25)</f>
        <v>8.5</v>
      </c>
      <c r="E25" s="229">
        <v>6</v>
      </c>
      <c r="F25" s="230">
        <v>1</v>
      </c>
      <c r="G25" s="227">
        <f t="shared" si="19"/>
        <v>6</v>
      </c>
      <c r="H25" s="229">
        <v>0</v>
      </c>
      <c r="I25" s="230">
        <v>0</v>
      </c>
      <c r="J25" s="228" t="s">
        <v>32</v>
      </c>
      <c r="K25" s="229">
        <v>0</v>
      </c>
      <c r="L25" s="230">
        <v>0</v>
      </c>
      <c r="M25" s="228" t="str">
        <f t="shared" ref="M25:M34" si="192">IF(L25=0,"-",K25/L25)</f>
        <v>-</v>
      </c>
      <c r="N25" s="239">
        <v>16</v>
      </c>
      <c r="O25" s="230">
        <v>3</v>
      </c>
      <c r="P25" s="227">
        <f t="shared" si="2"/>
        <v>5.333333333333333</v>
      </c>
      <c r="Q25" s="229">
        <v>146</v>
      </c>
      <c r="R25" s="230">
        <v>31</v>
      </c>
      <c r="S25" s="228">
        <f t="shared" si="178"/>
        <v>4.709677419354839</v>
      </c>
      <c r="T25" s="229">
        <v>0</v>
      </c>
      <c r="U25" s="230">
        <v>0</v>
      </c>
      <c r="V25" s="228" t="str">
        <f t="shared" si="179"/>
        <v>-</v>
      </c>
      <c r="W25" s="229">
        <v>0</v>
      </c>
      <c r="X25" s="230">
        <v>0</v>
      </c>
      <c r="Y25" s="228" t="str">
        <f t="shared" si="180"/>
        <v>-</v>
      </c>
      <c r="Z25" s="229">
        <v>0</v>
      </c>
      <c r="AA25" s="230">
        <v>0</v>
      </c>
      <c r="AB25" s="228" t="str">
        <f t="shared" si="181"/>
        <v>-</v>
      </c>
      <c r="AC25" s="229">
        <v>0</v>
      </c>
      <c r="AD25" s="230">
        <v>0</v>
      </c>
      <c r="AE25" s="228" t="str">
        <f t="shared" si="182"/>
        <v>-</v>
      </c>
      <c r="AF25" s="229">
        <v>0</v>
      </c>
      <c r="AG25" s="230">
        <v>0</v>
      </c>
      <c r="AH25" s="228" t="str">
        <f t="shared" si="183"/>
        <v>-</v>
      </c>
      <c r="AI25" s="239">
        <v>0</v>
      </c>
      <c r="AJ25" s="240">
        <v>0</v>
      </c>
      <c r="AK25" s="228" t="s">
        <v>32</v>
      </c>
      <c r="AL25" s="229">
        <v>0</v>
      </c>
      <c r="AM25" s="230">
        <v>0</v>
      </c>
      <c r="AN25" s="228" t="str">
        <f t="shared" si="184"/>
        <v>-</v>
      </c>
      <c r="AO25" s="229">
        <v>0</v>
      </c>
      <c r="AP25" s="230">
        <v>0</v>
      </c>
      <c r="AQ25" s="228" t="str">
        <f t="shared" si="185"/>
        <v>-</v>
      </c>
      <c r="AR25" s="229">
        <v>0</v>
      </c>
      <c r="AS25" s="230">
        <v>0</v>
      </c>
      <c r="AT25" s="228" t="str">
        <f t="shared" si="186"/>
        <v>-</v>
      </c>
      <c r="AU25" s="229">
        <v>0</v>
      </c>
      <c r="AV25" s="230">
        <v>0</v>
      </c>
      <c r="AW25" s="228" t="str">
        <f t="shared" si="187"/>
        <v>-</v>
      </c>
      <c r="AX25" s="229">
        <v>0</v>
      </c>
      <c r="AY25" s="230">
        <v>0</v>
      </c>
      <c r="AZ25" s="228" t="str">
        <f t="shared" si="188"/>
        <v>-</v>
      </c>
      <c r="BA25" s="229">
        <v>18</v>
      </c>
      <c r="BB25" s="230">
        <v>3</v>
      </c>
      <c r="BC25" s="227">
        <f t="shared" si="20"/>
        <v>6</v>
      </c>
      <c r="BD25" s="229">
        <v>0</v>
      </c>
      <c r="BE25" s="230">
        <v>0</v>
      </c>
      <c r="BF25" s="228" t="str">
        <f t="shared" si="189"/>
        <v>-</v>
      </c>
      <c r="BG25" s="229">
        <v>0</v>
      </c>
      <c r="BH25" s="230">
        <v>0</v>
      </c>
      <c r="BI25" s="228" t="str">
        <f t="shared" si="190"/>
        <v>-</v>
      </c>
      <c r="BJ25" s="229">
        <v>0</v>
      </c>
      <c r="BK25" s="230">
        <v>0</v>
      </c>
      <c r="BL25" s="228" t="str">
        <f t="shared" si="191"/>
        <v>-</v>
      </c>
      <c r="BM25" s="236">
        <f t="shared" si="21"/>
        <v>203</v>
      </c>
      <c r="BN25" s="237">
        <f>BK25+BH25+BE25+BB25+AY25+AV25+AS25+AP25+AM25+L25+R25+O25+I25+F25+AJ26+AG25+AD25+AA25+X25+C25</f>
        <v>40</v>
      </c>
      <c r="BO25" s="238">
        <f t="shared" si="22"/>
        <v>5.0750000000000002</v>
      </c>
    </row>
    <row r="26" spans="1:67" ht="20.399999999999999" thickBot="1" x14ac:dyDescent="0.45">
      <c r="A26" s="224">
        <v>45282</v>
      </c>
      <c r="B26" s="229">
        <v>0</v>
      </c>
      <c r="C26" s="230">
        <v>0</v>
      </c>
      <c r="D26" s="228" t="s">
        <v>32</v>
      </c>
      <c r="E26" s="229">
        <v>0</v>
      </c>
      <c r="F26" s="230">
        <v>0</v>
      </c>
      <c r="G26" s="228" t="s">
        <v>32</v>
      </c>
      <c r="H26" s="229">
        <v>0</v>
      </c>
      <c r="I26" s="230">
        <v>0</v>
      </c>
      <c r="J26" s="228" t="s">
        <v>32</v>
      </c>
      <c r="K26" s="229">
        <v>0</v>
      </c>
      <c r="L26" s="230">
        <v>0</v>
      </c>
      <c r="M26" s="228" t="str">
        <f t="shared" si="192"/>
        <v>-</v>
      </c>
      <c r="N26" s="239">
        <v>0</v>
      </c>
      <c r="O26" s="230">
        <v>0</v>
      </c>
      <c r="P26" s="228" t="s">
        <v>32</v>
      </c>
      <c r="Q26" s="229">
        <v>0</v>
      </c>
      <c r="R26" s="230">
        <v>0</v>
      </c>
      <c r="S26" s="228" t="str">
        <f t="shared" si="178"/>
        <v>-</v>
      </c>
      <c r="T26" s="229">
        <v>0</v>
      </c>
      <c r="U26" s="230">
        <v>0</v>
      </c>
      <c r="V26" s="228" t="str">
        <f t="shared" si="179"/>
        <v>-</v>
      </c>
      <c r="W26" s="229">
        <v>0</v>
      </c>
      <c r="X26" s="230">
        <v>0</v>
      </c>
      <c r="Y26" s="228" t="str">
        <f t="shared" si="180"/>
        <v>-</v>
      </c>
      <c r="Z26" s="229">
        <v>0</v>
      </c>
      <c r="AA26" s="230">
        <v>0</v>
      </c>
      <c r="AB26" s="228" t="str">
        <f t="shared" si="181"/>
        <v>-</v>
      </c>
      <c r="AC26" s="229">
        <v>0</v>
      </c>
      <c r="AD26" s="230">
        <v>0</v>
      </c>
      <c r="AE26" s="228" t="str">
        <f t="shared" si="182"/>
        <v>-</v>
      </c>
      <c r="AF26" s="229">
        <v>0</v>
      </c>
      <c r="AG26" s="230">
        <v>0</v>
      </c>
      <c r="AH26" s="228" t="str">
        <f t="shared" si="183"/>
        <v>-</v>
      </c>
      <c r="AI26" s="239">
        <v>0</v>
      </c>
      <c r="AJ26" s="230">
        <v>0</v>
      </c>
      <c r="AK26" s="228" t="s">
        <v>32</v>
      </c>
      <c r="AL26" s="229">
        <v>0</v>
      </c>
      <c r="AM26" s="230">
        <v>0</v>
      </c>
      <c r="AN26" s="228" t="str">
        <f t="shared" si="184"/>
        <v>-</v>
      </c>
      <c r="AO26" s="229">
        <v>0</v>
      </c>
      <c r="AP26" s="230">
        <v>0</v>
      </c>
      <c r="AQ26" s="228" t="str">
        <f t="shared" si="185"/>
        <v>-</v>
      </c>
      <c r="AR26" s="229">
        <v>0</v>
      </c>
      <c r="AS26" s="230">
        <v>0</v>
      </c>
      <c r="AT26" s="228" t="str">
        <f t="shared" si="186"/>
        <v>-</v>
      </c>
      <c r="AU26" s="229">
        <v>0</v>
      </c>
      <c r="AV26" s="230">
        <v>0</v>
      </c>
      <c r="AW26" s="228" t="str">
        <f t="shared" si="187"/>
        <v>-</v>
      </c>
      <c r="AX26" s="229">
        <v>0</v>
      </c>
      <c r="AY26" s="230">
        <v>0</v>
      </c>
      <c r="AZ26" s="228" t="str">
        <f t="shared" si="188"/>
        <v>-</v>
      </c>
      <c r="BA26" s="229">
        <v>0</v>
      </c>
      <c r="BB26" s="230">
        <v>0</v>
      </c>
      <c r="BC26" s="228" t="s">
        <v>32</v>
      </c>
      <c r="BD26" s="229">
        <v>0</v>
      </c>
      <c r="BE26" s="230">
        <v>0</v>
      </c>
      <c r="BF26" s="228" t="str">
        <f t="shared" si="189"/>
        <v>-</v>
      </c>
      <c r="BG26" s="229">
        <v>0</v>
      </c>
      <c r="BH26" s="230">
        <v>0</v>
      </c>
      <c r="BI26" s="228" t="str">
        <f t="shared" si="190"/>
        <v>-</v>
      </c>
      <c r="BJ26" s="229">
        <v>0</v>
      </c>
      <c r="BK26" s="230">
        <v>0</v>
      </c>
      <c r="BL26" s="228" t="str">
        <f t="shared" si="191"/>
        <v>-</v>
      </c>
      <c r="BM26" s="236">
        <f t="shared" si="21"/>
        <v>0</v>
      </c>
      <c r="BN26" s="237">
        <f t="shared" ref="BN26:BN27" si="193">BK26+BH26+BE26+BB26+AY26+AV26+AS26+AP26+AM26+L26+R26+O26+I26+F26+AJ27+AG26+AD26+AA26+X26+C26</f>
        <v>0</v>
      </c>
      <c r="BO26" s="238" t="str">
        <f t="shared" si="22"/>
        <v/>
      </c>
    </row>
    <row r="27" spans="1:67" ht="20.399999999999999" thickBot="1" x14ac:dyDescent="0.45">
      <c r="A27" s="224">
        <v>45283</v>
      </c>
      <c r="B27" s="229">
        <v>0</v>
      </c>
      <c r="C27" s="230">
        <v>0</v>
      </c>
      <c r="D27" s="228" t="s">
        <v>32</v>
      </c>
      <c r="E27" s="229">
        <v>0</v>
      </c>
      <c r="F27" s="230">
        <v>0</v>
      </c>
      <c r="G27" s="228" t="s">
        <v>32</v>
      </c>
      <c r="H27" s="229">
        <v>0</v>
      </c>
      <c r="I27" s="230">
        <v>0</v>
      </c>
      <c r="J27" s="228" t="s">
        <v>32</v>
      </c>
      <c r="K27" s="229">
        <v>0</v>
      </c>
      <c r="L27" s="230">
        <v>0</v>
      </c>
      <c r="M27" s="228" t="str">
        <f t="shared" si="192"/>
        <v>-</v>
      </c>
      <c r="N27" s="239">
        <v>0</v>
      </c>
      <c r="O27" s="230">
        <v>0</v>
      </c>
      <c r="P27" s="228" t="s">
        <v>32</v>
      </c>
      <c r="Q27" s="229">
        <v>0</v>
      </c>
      <c r="R27" s="230">
        <v>0</v>
      </c>
      <c r="S27" s="228" t="str">
        <f t="shared" si="178"/>
        <v>-</v>
      </c>
      <c r="T27" s="229">
        <v>0</v>
      </c>
      <c r="U27" s="230">
        <v>0</v>
      </c>
      <c r="V27" s="228" t="str">
        <f t="shared" si="179"/>
        <v>-</v>
      </c>
      <c r="W27" s="229">
        <v>0</v>
      </c>
      <c r="X27" s="230">
        <v>0</v>
      </c>
      <c r="Y27" s="228" t="str">
        <f t="shared" si="180"/>
        <v>-</v>
      </c>
      <c r="Z27" s="229">
        <v>0</v>
      </c>
      <c r="AA27" s="230">
        <v>0</v>
      </c>
      <c r="AB27" s="228" t="str">
        <f t="shared" si="181"/>
        <v>-</v>
      </c>
      <c r="AC27" s="229">
        <v>0</v>
      </c>
      <c r="AD27" s="230">
        <v>0</v>
      </c>
      <c r="AE27" s="228" t="str">
        <f t="shared" si="182"/>
        <v>-</v>
      </c>
      <c r="AF27" s="229">
        <v>0</v>
      </c>
      <c r="AG27" s="230">
        <v>0</v>
      </c>
      <c r="AH27" s="228" t="str">
        <f t="shared" si="183"/>
        <v>-</v>
      </c>
      <c r="AI27" s="239">
        <v>0</v>
      </c>
      <c r="AJ27" s="230">
        <v>0</v>
      </c>
      <c r="AK27" s="228" t="s">
        <v>32</v>
      </c>
      <c r="AL27" s="229">
        <v>0</v>
      </c>
      <c r="AM27" s="230">
        <v>0</v>
      </c>
      <c r="AN27" s="228" t="str">
        <f t="shared" si="184"/>
        <v>-</v>
      </c>
      <c r="AO27" s="229">
        <v>0</v>
      </c>
      <c r="AP27" s="230">
        <v>0</v>
      </c>
      <c r="AQ27" s="228" t="str">
        <f t="shared" si="185"/>
        <v>-</v>
      </c>
      <c r="AR27" s="229">
        <v>0</v>
      </c>
      <c r="AS27" s="230">
        <v>0</v>
      </c>
      <c r="AT27" s="228" t="str">
        <f t="shared" si="186"/>
        <v>-</v>
      </c>
      <c r="AU27" s="229">
        <v>0</v>
      </c>
      <c r="AV27" s="230">
        <v>0</v>
      </c>
      <c r="AW27" s="228" t="str">
        <f t="shared" si="187"/>
        <v>-</v>
      </c>
      <c r="AX27" s="229">
        <v>0</v>
      </c>
      <c r="AY27" s="230">
        <v>0</v>
      </c>
      <c r="AZ27" s="228" t="str">
        <f t="shared" si="188"/>
        <v>-</v>
      </c>
      <c r="BA27" s="229">
        <v>0</v>
      </c>
      <c r="BB27" s="230">
        <v>0</v>
      </c>
      <c r="BC27" s="228" t="s">
        <v>32</v>
      </c>
      <c r="BD27" s="229">
        <v>0</v>
      </c>
      <c r="BE27" s="230">
        <v>0</v>
      </c>
      <c r="BF27" s="228" t="str">
        <f t="shared" si="189"/>
        <v>-</v>
      </c>
      <c r="BG27" s="229">
        <v>0</v>
      </c>
      <c r="BH27" s="230">
        <v>0</v>
      </c>
      <c r="BI27" s="228" t="str">
        <f t="shared" si="190"/>
        <v>-</v>
      </c>
      <c r="BJ27" s="229">
        <v>0</v>
      </c>
      <c r="BK27" s="230">
        <v>0</v>
      </c>
      <c r="BL27" s="228" t="str">
        <f t="shared" si="191"/>
        <v>-</v>
      </c>
      <c r="BM27" s="236">
        <f t="shared" si="21"/>
        <v>0</v>
      </c>
      <c r="BN27" s="237">
        <f t="shared" si="193"/>
        <v>0</v>
      </c>
      <c r="BO27" s="238" t="str">
        <f t="shared" si="22"/>
        <v/>
      </c>
    </row>
    <row r="28" spans="1:67" ht="20.399999999999999" thickBot="1" x14ac:dyDescent="0.45">
      <c r="A28" s="224">
        <v>45284</v>
      </c>
      <c r="B28" s="229">
        <v>0</v>
      </c>
      <c r="C28" s="230">
        <v>0</v>
      </c>
      <c r="D28" s="228" t="s">
        <v>32</v>
      </c>
      <c r="E28" s="229">
        <v>0</v>
      </c>
      <c r="F28" s="230">
        <v>0</v>
      </c>
      <c r="G28" s="228" t="s">
        <v>32</v>
      </c>
      <c r="H28" s="229">
        <v>0</v>
      </c>
      <c r="I28" s="230">
        <v>0</v>
      </c>
      <c r="J28" s="228" t="s">
        <v>32</v>
      </c>
      <c r="K28" s="229">
        <v>0</v>
      </c>
      <c r="L28" s="230">
        <v>0</v>
      </c>
      <c r="M28" s="228" t="str">
        <f t="shared" si="192"/>
        <v>-</v>
      </c>
      <c r="N28" s="239">
        <v>0</v>
      </c>
      <c r="O28" s="230">
        <v>0</v>
      </c>
      <c r="P28" s="228" t="s">
        <v>32</v>
      </c>
      <c r="Q28" s="229">
        <v>0</v>
      </c>
      <c r="R28" s="230">
        <v>0</v>
      </c>
      <c r="S28" s="228" t="str">
        <f t="shared" si="178"/>
        <v>-</v>
      </c>
      <c r="T28" s="229">
        <v>0</v>
      </c>
      <c r="U28" s="230">
        <v>0</v>
      </c>
      <c r="V28" s="228" t="str">
        <f t="shared" si="179"/>
        <v>-</v>
      </c>
      <c r="W28" s="229">
        <v>0</v>
      </c>
      <c r="X28" s="230">
        <v>0</v>
      </c>
      <c r="Y28" s="228" t="str">
        <f t="shared" si="180"/>
        <v>-</v>
      </c>
      <c r="Z28" s="229">
        <v>0</v>
      </c>
      <c r="AA28" s="230">
        <v>0</v>
      </c>
      <c r="AB28" s="228" t="str">
        <f t="shared" si="181"/>
        <v>-</v>
      </c>
      <c r="AC28" s="229">
        <v>0</v>
      </c>
      <c r="AD28" s="230">
        <v>0</v>
      </c>
      <c r="AE28" s="228" t="str">
        <f t="shared" si="182"/>
        <v>-</v>
      </c>
      <c r="AF28" s="229">
        <v>0</v>
      </c>
      <c r="AG28" s="230">
        <v>0</v>
      </c>
      <c r="AH28" s="228" t="str">
        <f t="shared" si="183"/>
        <v>-</v>
      </c>
      <c r="AI28" s="239">
        <v>0</v>
      </c>
      <c r="AJ28" s="230">
        <v>0</v>
      </c>
      <c r="AK28" s="228" t="s">
        <v>32</v>
      </c>
      <c r="AL28" s="229">
        <v>0</v>
      </c>
      <c r="AM28" s="230">
        <v>0</v>
      </c>
      <c r="AN28" s="228" t="str">
        <f t="shared" si="184"/>
        <v>-</v>
      </c>
      <c r="AO28" s="229">
        <v>0</v>
      </c>
      <c r="AP28" s="230">
        <v>0</v>
      </c>
      <c r="AQ28" s="228" t="str">
        <f t="shared" si="185"/>
        <v>-</v>
      </c>
      <c r="AR28" s="229">
        <v>0</v>
      </c>
      <c r="AS28" s="230">
        <v>0</v>
      </c>
      <c r="AT28" s="228" t="str">
        <f t="shared" si="186"/>
        <v>-</v>
      </c>
      <c r="AU28" s="229">
        <v>0</v>
      </c>
      <c r="AV28" s="230">
        <v>0</v>
      </c>
      <c r="AW28" s="228" t="str">
        <f t="shared" si="187"/>
        <v>-</v>
      </c>
      <c r="AX28" s="229">
        <v>0</v>
      </c>
      <c r="AY28" s="230">
        <v>0</v>
      </c>
      <c r="AZ28" s="228" t="str">
        <f t="shared" si="188"/>
        <v>-</v>
      </c>
      <c r="BA28" s="229">
        <v>0</v>
      </c>
      <c r="BB28" s="230">
        <v>0</v>
      </c>
      <c r="BC28" s="228" t="s">
        <v>32</v>
      </c>
      <c r="BD28" s="229">
        <v>0</v>
      </c>
      <c r="BE28" s="230">
        <v>0</v>
      </c>
      <c r="BF28" s="228" t="str">
        <f t="shared" si="189"/>
        <v>-</v>
      </c>
      <c r="BG28" s="229">
        <v>0</v>
      </c>
      <c r="BH28" s="230">
        <v>0</v>
      </c>
      <c r="BI28" s="228" t="str">
        <f t="shared" si="190"/>
        <v>-</v>
      </c>
      <c r="BJ28" s="229">
        <v>0</v>
      </c>
      <c r="BK28" s="230">
        <v>0</v>
      </c>
      <c r="BL28" s="228" t="str">
        <f t="shared" si="191"/>
        <v>-</v>
      </c>
      <c r="BM28" s="236">
        <f t="shared" si="21"/>
        <v>0</v>
      </c>
      <c r="BN28" s="237">
        <f t="shared" si="21"/>
        <v>0</v>
      </c>
      <c r="BO28" s="238" t="str">
        <f t="shared" si="22"/>
        <v/>
      </c>
    </row>
    <row r="29" spans="1:67" ht="20.399999999999999" thickBot="1" x14ac:dyDescent="0.45">
      <c r="A29" s="224">
        <v>45285</v>
      </c>
      <c r="B29" s="229">
        <v>0</v>
      </c>
      <c r="C29" s="230">
        <v>0</v>
      </c>
      <c r="D29" s="228" t="s">
        <v>32</v>
      </c>
      <c r="E29" s="229">
        <v>0</v>
      </c>
      <c r="F29" s="230">
        <v>0</v>
      </c>
      <c r="G29" s="228" t="s">
        <v>32</v>
      </c>
      <c r="H29" s="229">
        <v>0</v>
      </c>
      <c r="I29" s="230">
        <v>0</v>
      </c>
      <c r="J29" s="228" t="s">
        <v>32</v>
      </c>
      <c r="K29" s="229">
        <v>0</v>
      </c>
      <c r="L29" s="230">
        <v>0</v>
      </c>
      <c r="M29" s="228" t="str">
        <f t="shared" si="192"/>
        <v>-</v>
      </c>
      <c r="N29" s="239">
        <v>0</v>
      </c>
      <c r="O29" s="230">
        <v>0</v>
      </c>
      <c r="P29" s="228" t="s">
        <v>32</v>
      </c>
      <c r="Q29" s="229">
        <v>0</v>
      </c>
      <c r="R29" s="230">
        <v>0</v>
      </c>
      <c r="S29" s="228" t="str">
        <f t="shared" si="178"/>
        <v>-</v>
      </c>
      <c r="T29" s="229">
        <v>0</v>
      </c>
      <c r="U29" s="230">
        <v>0</v>
      </c>
      <c r="V29" s="228" t="str">
        <f t="shared" si="179"/>
        <v>-</v>
      </c>
      <c r="W29" s="229">
        <v>0</v>
      </c>
      <c r="X29" s="230">
        <v>0</v>
      </c>
      <c r="Y29" s="228" t="str">
        <f t="shared" si="180"/>
        <v>-</v>
      </c>
      <c r="Z29" s="229">
        <v>0</v>
      </c>
      <c r="AA29" s="230">
        <v>0</v>
      </c>
      <c r="AB29" s="228" t="str">
        <f t="shared" si="181"/>
        <v>-</v>
      </c>
      <c r="AC29" s="229">
        <v>0</v>
      </c>
      <c r="AD29" s="230">
        <v>0</v>
      </c>
      <c r="AE29" s="228" t="str">
        <f t="shared" si="182"/>
        <v>-</v>
      </c>
      <c r="AF29" s="229">
        <v>0</v>
      </c>
      <c r="AG29" s="230">
        <v>0</v>
      </c>
      <c r="AH29" s="228" t="str">
        <f t="shared" si="183"/>
        <v>-</v>
      </c>
      <c r="AI29" s="239">
        <v>0</v>
      </c>
      <c r="AJ29" s="230">
        <v>0</v>
      </c>
      <c r="AK29" s="228" t="s">
        <v>32</v>
      </c>
      <c r="AL29" s="229">
        <v>0</v>
      </c>
      <c r="AM29" s="230">
        <v>0</v>
      </c>
      <c r="AN29" s="228" t="str">
        <f t="shared" si="184"/>
        <v>-</v>
      </c>
      <c r="AO29" s="229">
        <v>0</v>
      </c>
      <c r="AP29" s="230">
        <v>0</v>
      </c>
      <c r="AQ29" s="228" t="str">
        <f t="shared" si="185"/>
        <v>-</v>
      </c>
      <c r="AR29" s="229">
        <v>0</v>
      </c>
      <c r="AS29" s="230">
        <v>0</v>
      </c>
      <c r="AT29" s="228" t="str">
        <f t="shared" si="186"/>
        <v>-</v>
      </c>
      <c r="AU29" s="229">
        <v>0</v>
      </c>
      <c r="AV29" s="230">
        <v>0</v>
      </c>
      <c r="AW29" s="228" t="str">
        <f t="shared" si="187"/>
        <v>-</v>
      </c>
      <c r="AX29" s="229">
        <v>0</v>
      </c>
      <c r="AY29" s="230">
        <v>0</v>
      </c>
      <c r="AZ29" s="228" t="str">
        <f t="shared" si="188"/>
        <v>-</v>
      </c>
      <c r="BA29" s="229">
        <v>0</v>
      </c>
      <c r="BB29" s="230">
        <v>0</v>
      </c>
      <c r="BC29" s="228" t="s">
        <v>32</v>
      </c>
      <c r="BD29" s="229">
        <v>0</v>
      </c>
      <c r="BE29" s="230">
        <v>0</v>
      </c>
      <c r="BF29" s="228" t="str">
        <f t="shared" si="189"/>
        <v>-</v>
      </c>
      <c r="BG29" s="229">
        <v>0</v>
      </c>
      <c r="BH29" s="230">
        <v>0</v>
      </c>
      <c r="BI29" s="228" t="str">
        <f t="shared" si="190"/>
        <v>-</v>
      </c>
      <c r="BJ29" s="229">
        <v>0</v>
      </c>
      <c r="BK29" s="230">
        <v>0</v>
      </c>
      <c r="BL29" s="228" t="str">
        <f t="shared" si="191"/>
        <v>-</v>
      </c>
      <c r="BM29" s="236">
        <f t="shared" si="21"/>
        <v>0</v>
      </c>
      <c r="BN29" s="237">
        <f t="shared" si="21"/>
        <v>0</v>
      </c>
      <c r="BO29" s="238" t="str">
        <f t="shared" si="22"/>
        <v/>
      </c>
    </row>
    <row r="30" spans="1:67" ht="20.399999999999999" thickBot="1" x14ac:dyDescent="0.45">
      <c r="A30" s="224">
        <v>45286</v>
      </c>
      <c r="B30" s="229">
        <v>0</v>
      </c>
      <c r="C30" s="230">
        <v>0</v>
      </c>
      <c r="D30" s="228" t="s">
        <v>32</v>
      </c>
      <c r="E30" s="229">
        <v>0</v>
      </c>
      <c r="F30" s="230">
        <v>0</v>
      </c>
      <c r="G30" s="228" t="s">
        <v>32</v>
      </c>
      <c r="H30" s="229">
        <v>0</v>
      </c>
      <c r="I30" s="230">
        <v>0</v>
      </c>
      <c r="J30" s="228" t="s">
        <v>32</v>
      </c>
      <c r="K30" s="229">
        <v>0</v>
      </c>
      <c r="L30" s="230">
        <v>0</v>
      </c>
      <c r="M30" s="228" t="str">
        <f t="shared" si="192"/>
        <v>-</v>
      </c>
      <c r="N30" s="239">
        <v>0</v>
      </c>
      <c r="O30" s="230">
        <v>0</v>
      </c>
      <c r="P30" s="228" t="s">
        <v>32</v>
      </c>
      <c r="Q30" s="229">
        <v>0</v>
      </c>
      <c r="R30" s="230">
        <v>0</v>
      </c>
      <c r="S30" s="228" t="str">
        <f t="shared" si="178"/>
        <v>-</v>
      </c>
      <c r="T30" s="229">
        <v>0</v>
      </c>
      <c r="U30" s="230">
        <v>0</v>
      </c>
      <c r="V30" s="228" t="str">
        <f t="shared" si="179"/>
        <v>-</v>
      </c>
      <c r="W30" s="229">
        <v>0</v>
      </c>
      <c r="X30" s="230">
        <v>0</v>
      </c>
      <c r="Y30" s="228" t="str">
        <f t="shared" si="180"/>
        <v>-</v>
      </c>
      <c r="Z30" s="229">
        <v>0</v>
      </c>
      <c r="AA30" s="230">
        <v>0</v>
      </c>
      <c r="AB30" s="228" t="str">
        <f t="shared" si="181"/>
        <v>-</v>
      </c>
      <c r="AC30" s="229">
        <v>0</v>
      </c>
      <c r="AD30" s="230">
        <v>0</v>
      </c>
      <c r="AE30" s="228" t="str">
        <f t="shared" si="182"/>
        <v>-</v>
      </c>
      <c r="AF30" s="229">
        <v>0</v>
      </c>
      <c r="AG30" s="230">
        <v>0</v>
      </c>
      <c r="AH30" s="228" t="str">
        <f t="shared" si="183"/>
        <v>-</v>
      </c>
      <c r="AI30" s="239">
        <v>0</v>
      </c>
      <c r="AJ30" s="230">
        <v>0</v>
      </c>
      <c r="AK30" s="228" t="s">
        <v>32</v>
      </c>
      <c r="AL30" s="229">
        <v>0</v>
      </c>
      <c r="AM30" s="230">
        <v>0</v>
      </c>
      <c r="AN30" s="228" t="str">
        <f t="shared" si="184"/>
        <v>-</v>
      </c>
      <c r="AO30" s="229">
        <v>0</v>
      </c>
      <c r="AP30" s="230">
        <v>0</v>
      </c>
      <c r="AQ30" s="228" t="str">
        <f t="shared" si="185"/>
        <v>-</v>
      </c>
      <c r="AR30" s="229">
        <v>0</v>
      </c>
      <c r="AS30" s="230">
        <v>0</v>
      </c>
      <c r="AT30" s="228" t="str">
        <f t="shared" si="186"/>
        <v>-</v>
      </c>
      <c r="AU30" s="229">
        <v>0</v>
      </c>
      <c r="AV30" s="230">
        <v>0</v>
      </c>
      <c r="AW30" s="228" t="str">
        <f t="shared" si="187"/>
        <v>-</v>
      </c>
      <c r="AX30" s="229">
        <v>0</v>
      </c>
      <c r="AY30" s="230">
        <v>0</v>
      </c>
      <c r="AZ30" s="228" t="str">
        <f t="shared" si="188"/>
        <v>-</v>
      </c>
      <c r="BA30" s="229">
        <v>0</v>
      </c>
      <c r="BB30" s="230">
        <v>0</v>
      </c>
      <c r="BC30" s="228" t="s">
        <v>32</v>
      </c>
      <c r="BD30" s="229">
        <v>0</v>
      </c>
      <c r="BE30" s="230">
        <v>0</v>
      </c>
      <c r="BF30" s="228" t="str">
        <f t="shared" si="189"/>
        <v>-</v>
      </c>
      <c r="BG30" s="229">
        <v>0</v>
      </c>
      <c r="BH30" s="230">
        <v>0</v>
      </c>
      <c r="BI30" s="228" t="str">
        <f t="shared" si="190"/>
        <v>-</v>
      </c>
      <c r="BJ30" s="229">
        <v>0</v>
      </c>
      <c r="BK30" s="230">
        <v>0</v>
      </c>
      <c r="BL30" s="228" t="str">
        <f t="shared" si="191"/>
        <v>-</v>
      </c>
      <c r="BM30" s="236">
        <f t="shared" si="21"/>
        <v>0</v>
      </c>
      <c r="BN30" s="237">
        <f t="shared" si="21"/>
        <v>0</v>
      </c>
      <c r="BO30" s="238" t="str">
        <f t="shared" si="22"/>
        <v/>
      </c>
    </row>
    <row r="31" spans="1:67" ht="20.399999999999999" thickBot="1" x14ac:dyDescent="0.45">
      <c r="A31" s="224">
        <v>45287</v>
      </c>
      <c r="B31" s="229">
        <v>0</v>
      </c>
      <c r="C31" s="230">
        <v>0</v>
      </c>
      <c r="D31" s="228" t="s">
        <v>32</v>
      </c>
      <c r="E31" s="229">
        <v>0</v>
      </c>
      <c r="F31" s="230">
        <v>0</v>
      </c>
      <c r="G31" s="228" t="s">
        <v>32</v>
      </c>
      <c r="H31" s="229">
        <v>0</v>
      </c>
      <c r="I31" s="230">
        <v>0</v>
      </c>
      <c r="J31" s="228" t="s">
        <v>32</v>
      </c>
      <c r="K31" s="229">
        <v>0</v>
      </c>
      <c r="L31" s="230">
        <v>0</v>
      </c>
      <c r="M31" s="228" t="str">
        <f t="shared" si="192"/>
        <v>-</v>
      </c>
      <c r="N31" s="239">
        <v>8</v>
      </c>
      <c r="O31" s="230">
        <v>2</v>
      </c>
      <c r="P31" s="228" t="s">
        <v>32</v>
      </c>
      <c r="Q31" s="229">
        <v>155</v>
      </c>
      <c r="R31" s="230">
        <v>27</v>
      </c>
      <c r="S31" s="227">
        <f t="shared" si="23"/>
        <v>5.7407407407407405</v>
      </c>
      <c r="T31" s="229">
        <v>0</v>
      </c>
      <c r="U31" s="230">
        <v>0</v>
      </c>
      <c r="V31" s="228" t="str">
        <f t="shared" si="179"/>
        <v>-</v>
      </c>
      <c r="W31" s="229">
        <v>0</v>
      </c>
      <c r="X31" s="230">
        <v>0</v>
      </c>
      <c r="Y31" s="228" t="str">
        <f t="shared" si="180"/>
        <v>-</v>
      </c>
      <c r="Z31" s="229">
        <v>0</v>
      </c>
      <c r="AA31" s="230">
        <v>0</v>
      </c>
      <c r="AB31" s="228" t="str">
        <f t="shared" si="181"/>
        <v>-</v>
      </c>
      <c r="AC31" s="229">
        <v>0</v>
      </c>
      <c r="AD31" s="230">
        <v>0</v>
      </c>
      <c r="AE31" s="228" t="str">
        <f t="shared" si="182"/>
        <v>-</v>
      </c>
      <c r="AF31" s="229">
        <v>0</v>
      </c>
      <c r="AG31" s="230">
        <v>0</v>
      </c>
      <c r="AH31" s="228" t="str">
        <f t="shared" si="183"/>
        <v>-</v>
      </c>
      <c r="AI31" s="239">
        <v>0</v>
      </c>
      <c r="AJ31" s="230">
        <v>0</v>
      </c>
      <c r="AK31" s="228" t="s">
        <v>32</v>
      </c>
      <c r="AL31" s="229">
        <v>0</v>
      </c>
      <c r="AM31" s="230">
        <v>0</v>
      </c>
      <c r="AN31" s="228" t="str">
        <f t="shared" si="184"/>
        <v>-</v>
      </c>
      <c r="AO31" s="229">
        <v>0</v>
      </c>
      <c r="AP31" s="230">
        <v>0</v>
      </c>
      <c r="AQ31" s="228" t="str">
        <f t="shared" si="185"/>
        <v>-</v>
      </c>
      <c r="AR31" s="229">
        <v>0</v>
      </c>
      <c r="AS31" s="230">
        <v>0</v>
      </c>
      <c r="AT31" s="228" t="str">
        <f t="shared" si="186"/>
        <v>-</v>
      </c>
      <c r="AU31" s="229">
        <v>0</v>
      </c>
      <c r="AV31" s="230">
        <v>0</v>
      </c>
      <c r="AW31" s="228" t="str">
        <f t="shared" si="187"/>
        <v>-</v>
      </c>
      <c r="AX31" s="229">
        <v>0</v>
      </c>
      <c r="AY31" s="230">
        <v>0</v>
      </c>
      <c r="AZ31" s="228" t="str">
        <f t="shared" si="188"/>
        <v>-</v>
      </c>
      <c r="BA31" s="229">
        <v>0</v>
      </c>
      <c r="BB31" s="230">
        <v>0</v>
      </c>
      <c r="BC31" s="228" t="s">
        <v>32</v>
      </c>
      <c r="BD31" s="229">
        <v>0</v>
      </c>
      <c r="BE31" s="230">
        <v>0</v>
      </c>
      <c r="BF31" s="228" t="str">
        <f t="shared" si="189"/>
        <v>-</v>
      </c>
      <c r="BG31" s="229">
        <v>0</v>
      </c>
      <c r="BH31" s="230">
        <v>0</v>
      </c>
      <c r="BI31" s="228" t="str">
        <f t="shared" si="190"/>
        <v>-</v>
      </c>
      <c r="BJ31" s="229">
        <v>0</v>
      </c>
      <c r="BK31" s="230">
        <v>0</v>
      </c>
      <c r="BL31" s="228" t="str">
        <f t="shared" si="191"/>
        <v>-</v>
      </c>
      <c r="BM31" s="236">
        <f t="shared" si="21"/>
        <v>163</v>
      </c>
      <c r="BN31" s="237">
        <f t="shared" si="21"/>
        <v>29</v>
      </c>
      <c r="BO31" s="238">
        <f t="shared" si="22"/>
        <v>5.6206896551724137</v>
      </c>
    </row>
    <row r="32" spans="1:67" ht="20.399999999999999" thickBot="1" x14ac:dyDescent="0.45">
      <c r="A32" s="224">
        <v>45288</v>
      </c>
      <c r="B32" s="229">
        <v>0</v>
      </c>
      <c r="C32" s="230">
        <v>0</v>
      </c>
      <c r="D32" s="228" t="s">
        <v>32</v>
      </c>
      <c r="E32" s="229">
        <v>0</v>
      </c>
      <c r="F32" s="230">
        <v>0</v>
      </c>
      <c r="G32" s="228" t="s">
        <v>32</v>
      </c>
      <c r="H32" s="229">
        <v>0</v>
      </c>
      <c r="I32" s="230">
        <v>0</v>
      </c>
      <c r="J32" s="228" t="s">
        <v>32</v>
      </c>
      <c r="K32" s="229">
        <v>0</v>
      </c>
      <c r="L32" s="230">
        <v>0</v>
      </c>
      <c r="M32" s="228" t="str">
        <f t="shared" si="192"/>
        <v>-</v>
      </c>
      <c r="N32" s="239">
        <v>0</v>
      </c>
      <c r="O32" s="230">
        <v>0</v>
      </c>
      <c r="P32" s="228" t="s">
        <v>32</v>
      </c>
      <c r="Q32" s="229">
        <v>0</v>
      </c>
      <c r="R32" s="230">
        <v>0</v>
      </c>
      <c r="S32" s="227" t="s">
        <v>32</v>
      </c>
      <c r="T32" s="229">
        <v>0</v>
      </c>
      <c r="U32" s="230">
        <v>0</v>
      </c>
      <c r="V32" s="228" t="str">
        <f t="shared" si="179"/>
        <v>-</v>
      </c>
      <c r="W32" s="229">
        <v>0</v>
      </c>
      <c r="X32" s="230">
        <v>0</v>
      </c>
      <c r="Y32" s="228" t="str">
        <f t="shared" si="180"/>
        <v>-</v>
      </c>
      <c r="Z32" s="229">
        <v>0</v>
      </c>
      <c r="AA32" s="230">
        <v>0</v>
      </c>
      <c r="AB32" s="228" t="str">
        <f t="shared" si="181"/>
        <v>-</v>
      </c>
      <c r="AC32" s="229">
        <v>0</v>
      </c>
      <c r="AD32" s="230">
        <v>0</v>
      </c>
      <c r="AE32" s="228" t="str">
        <f t="shared" si="182"/>
        <v>-</v>
      </c>
      <c r="AF32" s="229">
        <v>0</v>
      </c>
      <c r="AG32" s="230">
        <v>0</v>
      </c>
      <c r="AH32" s="228" t="str">
        <f t="shared" si="183"/>
        <v>-</v>
      </c>
      <c r="AI32" s="229">
        <v>0</v>
      </c>
      <c r="AJ32" s="230">
        <v>0</v>
      </c>
      <c r="AK32" s="228" t="s">
        <v>32</v>
      </c>
      <c r="AL32" s="229">
        <v>0</v>
      </c>
      <c r="AM32" s="230">
        <v>0</v>
      </c>
      <c r="AN32" s="228" t="str">
        <f t="shared" si="184"/>
        <v>-</v>
      </c>
      <c r="AO32" s="229">
        <v>0</v>
      </c>
      <c r="AP32" s="230">
        <v>0</v>
      </c>
      <c r="AQ32" s="228" t="str">
        <f t="shared" si="185"/>
        <v>-</v>
      </c>
      <c r="AR32" s="229">
        <v>0</v>
      </c>
      <c r="AS32" s="230">
        <v>0</v>
      </c>
      <c r="AT32" s="228" t="str">
        <f t="shared" si="186"/>
        <v>-</v>
      </c>
      <c r="AU32" s="229">
        <v>0</v>
      </c>
      <c r="AV32" s="230">
        <v>0</v>
      </c>
      <c r="AW32" s="228" t="str">
        <f t="shared" si="187"/>
        <v>-</v>
      </c>
      <c r="AX32" s="229">
        <v>0</v>
      </c>
      <c r="AY32" s="230">
        <v>0</v>
      </c>
      <c r="AZ32" s="228" t="str">
        <f t="shared" si="188"/>
        <v>-</v>
      </c>
      <c r="BA32" s="229">
        <v>0</v>
      </c>
      <c r="BB32" s="230">
        <v>0</v>
      </c>
      <c r="BC32" s="228" t="s">
        <v>32</v>
      </c>
      <c r="BD32" s="229">
        <v>0</v>
      </c>
      <c r="BE32" s="230">
        <v>0</v>
      </c>
      <c r="BF32" s="228" t="str">
        <f t="shared" si="189"/>
        <v>-</v>
      </c>
      <c r="BG32" s="229">
        <v>0</v>
      </c>
      <c r="BH32" s="230">
        <v>0</v>
      </c>
      <c r="BI32" s="228" t="str">
        <f t="shared" si="190"/>
        <v>-</v>
      </c>
      <c r="BJ32" s="229">
        <v>0</v>
      </c>
      <c r="BK32" s="230">
        <v>0</v>
      </c>
      <c r="BL32" s="228" t="str">
        <f t="shared" si="191"/>
        <v>-</v>
      </c>
      <c r="BM32" s="236">
        <f t="shared" si="21"/>
        <v>0</v>
      </c>
      <c r="BN32" s="237">
        <f t="shared" si="21"/>
        <v>0</v>
      </c>
      <c r="BO32" s="238" t="str">
        <f t="shared" si="22"/>
        <v/>
      </c>
    </row>
    <row r="33" spans="1:67" ht="20.399999999999999" thickBot="1" x14ac:dyDescent="0.45">
      <c r="A33" s="224">
        <v>45289</v>
      </c>
      <c r="B33" s="229">
        <v>0</v>
      </c>
      <c r="C33" s="230">
        <v>0</v>
      </c>
      <c r="D33" s="228" t="s">
        <v>32</v>
      </c>
      <c r="E33" s="229">
        <v>0</v>
      </c>
      <c r="F33" s="230">
        <v>0</v>
      </c>
      <c r="G33" s="228" t="s">
        <v>32</v>
      </c>
      <c r="H33" s="229">
        <v>0</v>
      </c>
      <c r="I33" s="230">
        <v>0</v>
      </c>
      <c r="J33" s="228" t="s">
        <v>32</v>
      </c>
      <c r="K33" s="229">
        <v>0</v>
      </c>
      <c r="L33" s="230">
        <v>0</v>
      </c>
      <c r="M33" s="228" t="str">
        <f t="shared" si="192"/>
        <v>-</v>
      </c>
      <c r="N33" s="239">
        <v>0</v>
      </c>
      <c r="O33" s="230">
        <v>0</v>
      </c>
      <c r="P33" s="228" t="s">
        <v>32</v>
      </c>
      <c r="Q33" s="229">
        <v>0</v>
      </c>
      <c r="R33" s="230">
        <v>0</v>
      </c>
      <c r="S33" s="227" t="s">
        <v>32</v>
      </c>
      <c r="T33" s="229">
        <v>0</v>
      </c>
      <c r="U33" s="230">
        <v>0</v>
      </c>
      <c r="V33" s="228" t="str">
        <f t="shared" si="179"/>
        <v>-</v>
      </c>
      <c r="W33" s="229">
        <v>0</v>
      </c>
      <c r="X33" s="230">
        <v>0</v>
      </c>
      <c r="Y33" s="228" t="str">
        <f t="shared" si="180"/>
        <v>-</v>
      </c>
      <c r="Z33" s="229">
        <v>0</v>
      </c>
      <c r="AA33" s="230">
        <v>0</v>
      </c>
      <c r="AB33" s="228" t="str">
        <f t="shared" si="181"/>
        <v>-</v>
      </c>
      <c r="AC33" s="229">
        <v>0</v>
      </c>
      <c r="AD33" s="230">
        <v>0</v>
      </c>
      <c r="AE33" s="228" t="str">
        <f t="shared" si="182"/>
        <v>-</v>
      </c>
      <c r="AF33" s="229">
        <v>0</v>
      </c>
      <c r="AG33" s="230">
        <v>0</v>
      </c>
      <c r="AH33" s="228" t="str">
        <f t="shared" si="183"/>
        <v>-</v>
      </c>
      <c r="AI33" s="229">
        <v>0</v>
      </c>
      <c r="AJ33" s="230">
        <v>0</v>
      </c>
      <c r="AK33" s="228" t="s">
        <v>32</v>
      </c>
      <c r="AL33" s="229">
        <v>0</v>
      </c>
      <c r="AM33" s="230">
        <v>0</v>
      </c>
      <c r="AN33" s="228" t="str">
        <f t="shared" si="184"/>
        <v>-</v>
      </c>
      <c r="AO33" s="229">
        <v>0</v>
      </c>
      <c r="AP33" s="230">
        <v>0</v>
      </c>
      <c r="AQ33" s="228" t="str">
        <f t="shared" si="185"/>
        <v>-</v>
      </c>
      <c r="AR33" s="229">
        <v>0</v>
      </c>
      <c r="AS33" s="230">
        <v>0</v>
      </c>
      <c r="AT33" s="228" t="str">
        <f t="shared" si="186"/>
        <v>-</v>
      </c>
      <c r="AU33" s="229">
        <v>0</v>
      </c>
      <c r="AV33" s="230">
        <v>0</v>
      </c>
      <c r="AW33" s="228" t="str">
        <f t="shared" si="187"/>
        <v>-</v>
      </c>
      <c r="AX33" s="229">
        <v>0</v>
      </c>
      <c r="AY33" s="230">
        <v>0</v>
      </c>
      <c r="AZ33" s="228" t="str">
        <f t="shared" si="188"/>
        <v>-</v>
      </c>
      <c r="BA33" s="229">
        <v>0</v>
      </c>
      <c r="BB33" s="230">
        <v>0</v>
      </c>
      <c r="BC33" s="228" t="s">
        <v>32</v>
      </c>
      <c r="BD33" s="229">
        <v>0</v>
      </c>
      <c r="BE33" s="230">
        <v>0</v>
      </c>
      <c r="BF33" s="228" t="str">
        <f t="shared" si="189"/>
        <v>-</v>
      </c>
      <c r="BG33" s="229">
        <v>0</v>
      </c>
      <c r="BH33" s="230">
        <v>0</v>
      </c>
      <c r="BI33" s="228" t="str">
        <f t="shared" si="190"/>
        <v>-</v>
      </c>
      <c r="BJ33" s="229">
        <v>0</v>
      </c>
      <c r="BK33" s="230">
        <v>0</v>
      </c>
      <c r="BL33" s="228" t="str">
        <f t="shared" si="191"/>
        <v>-</v>
      </c>
      <c r="BM33" s="236">
        <f t="shared" si="21"/>
        <v>0</v>
      </c>
      <c r="BN33" s="237">
        <f t="shared" si="21"/>
        <v>0</v>
      </c>
      <c r="BO33" s="238" t="str">
        <f t="shared" si="22"/>
        <v/>
      </c>
    </row>
    <row r="34" spans="1:67" ht="20.399999999999999" thickBot="1" x14ac:dyDescent="0.45">
      <c r="A34" s="224">
        <v>45290</v>
      </c>
      <c r="B34" s="229">
        <v>0</v>
      </c>
      <c r="C34" s="230">
        <v>0</v>
      </c>
      <c r="D34" s="228" t="s">
        <v>32</v>
      </c>
      <c r="E34" s="229">
        <v>0</v>
      </c>
      <c r="F34" s="230">
        <v>0</v>
      </c>
      <c r="G34" s="228" t="s">
        <v>32</v>
      </c>
      <c r="H34" s="229">
        <v>0</v>
      </c>
      <c r="I34" s="230">
        <v>0</v>
      </c>
      <c r="J34" s="228" t="s">
        <v>32</v>
      </c>
      <c r="K34" s="229">
        <v>0</v>
      </c>
      <c r="L34" s="230">
        <v>0</v>
      </c>
      <c r="M34" s="228" t="str">
        <f t="shared" si="192"/>
        <v>-</v>
      </c>
      <c r="N34" s="239">
        <v>0</v>
      </c>
      <c r="O34" s="230">
        <v>0</v>
      </c>
      <c r="P34" s="228" t="s">
        <v>32</v>
      </c>
      <c r="Q34" s="229">
        <v>0</v>
      </c>
      <c r="R34" s="230">
        <v>0</v>
      </c>
      <c r="S34" s="227" t="s">
        <v>32</v>
      </c>
      <c r="T34" s="229">
        <v>0</v>
      </c>
      <c r="U34" s="230">
        <v>0</v>
      </c>
      <c r="V34" s="228" t="str">
        <f t="shared" si="179"/>
        <v>-</v>
      </c>
      <c r="W34" s="229">
        <v>0</v>
      </c>
      <c r="X34" s="230">
        <v>0</v>
      </c>
      <c r="Y34" s="228" t="str">
        <f t="shared" si="180"/>
        <v>-</v>
      </c>
      <c r="Z34" s="229">
        <v>0</v>
      </c>
      <c r="AA34" s="230">
        <v>0</v>
      </c>
      <c r="AB34" s="228" t="str">
        <f t="shared" si="181"/>
        <v>-</v>
      </c>
      <c r="AC34" s="229">
        <v>0</v>
      </c>
      <c r="AD34" s="230">
        <v>0</v>
      </c>
      <c r="AE34" s="228" t="str">
        <f t="shared" si="182"/>
        <v>-</v>
      </c>
      <c r="AF34" s="229">
        <v>0</v>
      </c>
      <c r="AG34" s="230">
        <v>0</v>
      </c>
      <c r="AH34" s="228" t="str">
        <f t="shared" si="183"/>
        <v>-</v>
      </c>
      <c r="AI34" s="229">
        <v>0</v>
      </c>
      <c r="AJ34" s="230">
        <v>0</v>
      </c>
      <c r="AK34" s="228" t="s">
        <v>32</v>
      </c>
      <c r="AL34" s="229">
        <v>0</v>
      </c>
      <c r="AM34" s="230">
        <v>0</v>
      </c>
      <c r="AN34" s="228" t="str">
        <f t="shared" si="184"/>
        <v>-</v>
      </c>
      <c r="AO34" s="229">
        <v>0</v>
      </c>
      <c r="AP34" s="230">
        <v>0</v>
      </c>
      <c r="AQ34" s="228" t="str">
        <f t="shared" si="185"/>
        <v>-</v>
      </c>
      <c r="AR34" s="229">
        <v>0</v>
      </c>
      <c r="AS34" s="230">
        <v>0</v>
      </c>
      <c r="AT34" s="228" t="str">
        <f t="shared" si="186"/>
        <v>-</v>
      </c>
      <c r="AU34" s="229">
        <v>0</v>
      </c>
      <c r="AV34" s="230">
        <v>0</v>
      </c>
      <c r="AW34" s="228" t="str">
        <f t="shared" si="187"/>
        <v>-</v>
      </c>
      <c r="AX34" s="229">
        <v>0</v>
      </c>
      <c r="AY34" s="230">
        <v>0</v>
      </c>
      <c r="AZ34" s="228" t="str">
        <f t="shared" si="188"/>
        <v>-</v>
      </c>
      <c r="BA34" s="229">
        <v>0</v>
      </c>
      <c r="BB34" s="230">
        <v>0</v>
      </c>
      <c r="BC34" s="228" t="s">
        <v>32</v>
      </c>
      <c r="BD34" s="229">
        <v>0</v>
      </c>
      <c r="BE34" s="230">
        <v>0</v>
      </c>
      <c r="BF34" s="228" t="str">
        <f t="shared" si="189"/>
        <v>-</v>
      </c>
      <c r="BG34" s="229">
        <v>0</v>
      </c>
      <c r="BH34" s="230">
        <v>0</v>
      </c>
      <c r="BI34" s="228" t="str">
        <f t="shared" si="190"/>
        <v>-</v>
      </c>
      <c r="BJ34" s="229">
        <v>0</v>
      </c>
      <c r="BK34" s="230">
        <v>0</v>
      </c>
      <c r="BL34" s="228" t="str">
        <f t="shared" si="191"/>
        <v>-</v>
      </c>
      <c r="BM34" s="236">
        <f t="shared" si="21"/>
        <v>0</v>
      </c>
      <c r="BN34" s="237">
        <f t="shared" si="21"/>
        <v>0</v>
      </c>
      <c r="BO34" s="238" t="str">
        <f t="shared" si="22"/>
        <v/>
      </c>
    </row>
    <row r="35" spans="1:67" s="177" customFormat="1" ht="20.399999999999999" thickBot="1" x14ac:dyDescent="0.45">
      <c r="A35" s="241" t="s">
        <v>33</v>
      </c>
      <c r="B35" s="242">
        <f>SUM(B5:B34)</f>
        <v>971</v>
      </c>
      <c r="C35" s="242">
        <f>SUM(C5:C34)</f>
        <v>115</v>
      </c>
      <c r="D35" s="243">
        <f>B35/C35</f>
        <v>8.4434782608695649</v>
      </c>
      <c r="E35" s="242">
        <f>SUM(E5:E34)</f>
        <v>84</v>
      </c>
      <c r="F35" s="242">
        <f>SUM(F5:F34)</f>
        <v>12</v>
      </c>
      <c r="G35" s="243">
        <f>E35/F35</f>
        <v>7</v>
      </c>
      <c r="H35" s="242">
        <f>SUM(H5:H34)</f>
        <v>134</v>
      </c>
      <c r="I35" s="242">
        <f>SUM(I5:I34)</f>
        <v>18</v>
      </c>
      <c r="J35" s="243">
        <f>H35/I35</f>
        <v>7.4444444444444446</v>
      </c>
      <c r="K35" s="242">
        <f>SUM(K5:K34)</f>
        <v>9</v>
      </c>
      <c r="L35" s="242">
        <f>SUM(L5:L34)</f>
        <v>2</v>
      </c>
      <c r="M35" s="243">
        <f>K35/L35</f>
        <v>4.5</v>
      </c>
      <c r="N35" s="242">
        <f>SUM(N5:N34)</f>
        <v>732</v>
      </c>
      <c r="O35" s="242">
        <f>SUM(O5:O34)</f>
        <v>137</v>
      </c>
      <c r="P35" s="243">
        <f>N35/O35</f>
        <v>5.3430656934306571</v>
      </c>
      <c r="Q35" s="242">
        <f>SUM(Q5:Q34)</f>
        <v>2584</v>
      </c>
      <c r="R35" s="242">
        <f>SUM(R5:R34)</f>
        <v>448</v>
      </c>
      <c r="S35" s="243">
        <f>Q35/R35</f>
        <v>5.7678571428571432</v>
      </c>
      <c r="T35" s="242">
        <f>SUM(T5:T34)</f>
        <v>30</v>
      </c>
      <c r="U35" s="242">
        <f>SUM(U5:U34)</f>
        <v>5</v>
      </c>
      <c r="V35" s="243">
        <f>T35/U35</f>
        <v>6</v>
      </c>
      <c r="W35" s="242">
        <f>SUM(W5:W34)</f>
        <v>42</v>
      </c>
      <c r="X35" s="242">
        <f>SUM(X5:X34)</f>
        <v>8</v>
      </c>
      <c r="Y35" s="243">
        <f>W35/X35</f>
        <v>5.25</v>
      </c>
      <c r="Z35" s="242">
        <f>SUM(Z5:Z34)</f>
        <v>0</v>
      </c>
      <c r="AA35" s="242">
        <f>SUM(AA5:AA34)</f>
        <v>0</v>
      </c>
      <c r="AB35" s="243" t="e">
        <f>Z35/AA35</f>
        <v>#DIV/0!</v>
      </c>
      <c r="AC35" s="242">
        <f>SUM(AC5:AC34)</f>
        <v>21</v>
      </c>
      <c r="AD35" s="242">
        <f>SUM(AD5:AD34)</f>
        <v>8</v>
      </c>
      <c r="AE35" s="243">
        <f>AC35/AD35</f>
        <v>2.625</v>
      </c>
      <c r="AF35" s="242">
        <f>SUM(AF5:AF34)</f>
        <v>20</v>
      </c>
      <c r="AG35" s="242">
        <f>SUM(AG5:AG34)</f>
        <v>4</v>
      </c>
      <c r="AH35" s="243">
        <f>AF35/AG35</f>
        <v>5</v>
      </c>
      <c r="AI35" s="242">
        <f>SUM(AI5:AI34)</f>
        <v>53</v>
      </c>
      <c r="AJ35" s="242">
        <f>SUM(AJ5:AJ34)</f>
        <v>7</v>
      </c>
      <c r="AK35" s="243">
        <f>AI35/AJ35</f>
        <v>7.5714285714285712</v>
      </c>
      <c r="AL35" s="242">
        <f>SUM(AL5:AL34)</f>
        <v>437</v>
      </c>
      <c r="AM35" s="242">
        <f>SUM(AM5:AM34)</f>
        <v>65</v>
      </c>
      <c r="AN35" s="243">
        <f>AL35/AM35</f>
        <v>6.7230769230769232</v>
      </c>
      <c r="AO35" s="242">
        <f>SUM(AO5:AO34)</f>
        <v>8</v>
      </c>
      <c r="AP35" s="242">
        <f>SUM(AP5:AP34)</f>
        <v>1</v>
      </c>
      <c r="AQ35" s="243">
        <f>AO35/AP35</f>
        <v>8</v>
      </c>
      <c r="AR35" s="242">
        <f>SUM(AR5:AR34)</f>
        <v>87</v>
      </c>
      <c r="AS35" s="242">
        <f>SUM(AS5:AS34)</f>
        <v>12</v>
      </c>
      <c r="AT35" s="243">
        <f>AR35/AS35</f>
        <v>7.25</v>
      </c>
      <c r="AU35" s="242">
        <f>SUM(AU5:AU34)</f>
        <v>37</v>
      </c>
      <c r="AV35" s="242">
        <f>SUM(AV5:AV34)</f>
        <v>5</v>
      </c>
      <c r="AW35" s="243">
        <f>AU35/AV35</f>
        <v>7.4</v>
      </c>
      <c r="AX35" s="242">
        <f>SUM(AX5:AX34)</f>
        <v>0</v>
      </c>
      <c r="AY35" s="242">
        <f>SUM(AY5:AY34)</f>
        <v>0</v>
      </c>
      <c r="AZ35" s="244" t="str">
        <f>IF(AY35=0,"-",AX35/AY35)</f>
        <v>-</v>
      </c>
      <c r="BA35" s="242">
        <f>SUM(BA5:BA34)</f>
        <v>178</v>
      </c>
      <c r="BB35" s="242">
        <f>SUM(BB5:BB34)</f>
        <v>26</v>
      </c>
      <c r="BC35" s="243">
        <f>BA35/BB35</f>
        <v>6.8461538461538458</v>
      </c>
      <c r="BD35" s="242">
        <f>SUM(BD5:BD34)</f>
        <v>0</v>
      </c>
      <c r="BE35" s="242">
        <f>SUM(BE5:BE34)</f>
        <v>0</v>
      </c>
      <c r="BF35" s="244" t="str">
        <f>IF(BE35=0,"-",BD35/BE35)</f>
        <v>-</v>
      </c>
      <c r="BG35" s="242">
        <f>SUM(BG5:BG34)</f>
        <v>21</v>
      </c>
      <c r="BH35" s="242">
        <f>SUM(BH5:BH34)</f>
        <v>2</v>
      </c>
      <c r="BI35" s="244">
        <f>IF(BH35=0,"-",BG35/BH35)</f>
        <v>10.5</v>
      </c>
      <c r="BJ35" s="242">
        <f>SUM(BJ5:BJ34)</f>
        <v>0</v>
      </c>
      <c r="BK35" s="242">
        <f>SUM(BK5:BK34)</f>
        <v>0</v>
      </c>
      <c r="BL35" s="244" t="str">
        <f>IF(BK35=0,"-",BJ35/BK35)</f>
        <v>-</v>
      </c>
      <c r="BM35" s="245">
        <f>SUM(BM5:BM34)</f>
        <v>5418</v>
      </c>
      <c r="BN35" s="246">
        <f t="shared" ref="BN35" si="194">BK35+BH35+BE35+BB35+AY35+AV35+AS35+AP35+AM35+L35+R35+O35+I35+F35+AJ35+AG35+AD35+AA35+X35+C35</f>
        <v>870</v>
      </c>
      <c r="BO35" s="247">
        <f t="shared" si="22"/>
        <v>6.227586206896552</v>
      </c>
    </row>
    <row r="36" spans="1:67" x14ac:dyDescent="0.4">
      <c r="A36" s="224"/>
      <c r="E36" s="156"/>
      <c r="F36" s="156"/>
      <c r="H36" s="156"/>
      <c r="I36" s="156"/>
      <c r="K36" s="156"/>
      <c r="L36" s="156"/>
      <c r="N36" s="156"/>
      <c r="O36" s="156"/>
      <c r="Q36" s="156"/>
      <c r="R36" s="156"/>
      <c r="T36" s="156"/>
      <c r="U36" s="156"/>
    </row>
    <row r="37" spans="1:67" ht="20.399999999999999" thickBot="1" x14ac:dyDescent="0.45">
      <c r="A37" s="152" t="s">
        <v>47</v>
      </c>
      <c r="B37" s="153"/>
      <c r="C37" s="153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3"/>
      <c r="X37" s="153"/>
      <c r="Y37" s="154"/>
      <c r="Z37" s="153"/>
      <c r="AA37" s="153"/>
      <c r="AB37" s="154"/>
      <c r="AC37" s="153"/>
      <c r="AD37" s="153"/>
      <c r="AE37" s="154"/>
      <c r="AF37" s="153"/>
      <c r="AG37" s="153"/>
      <c r="AH37" s="154"/>
      <c r="AI37" s="153"/>
      <c r="AJ37" s="153"/>
      <c r="AK37" s="154"/>
      <c r="AL37" s="153"/>
      <c r="AM37" s="153"/>
      <c r="AN37" s="154"/>
      <c r="AO37" s="153"/>
      <c r="AP37" s="153"/>
      <c r="AQ37" s="154"/>
      <c r="AR37" s="153"/>
      <c r="AS37" s="153"/>
      <c r="AT37" s="154"/>
      <c r="AU37" s="153"/>
      <c r="AV37" s="153"/>
      <c r="AW37" s="153"/>
      <c r="AX37" s="153"/>
      <c r="AY37" s="153"/>
      <c r="AZ37" s="154"/>
      <c r="BA37" s="153"/>
      <c r="BB37" s="153"/>
      <c r="BC37" s="154"/>
      <c r="BD37" s="153"/>
      <c r="BE37" s="153"/>
      <c r="BF37" s="154"/>
      <c r="BG37" s="153"/>
      <c r="BH37" s="153"/>
      <c r="BI37" s="154"/>
      <c r="BJ37" s="153"/>
      <c r="BK37" s="153"/>
      <c r="BL37" s="154"/>
      <c r="BM37" s="155"/>
      <c r="BN37" s="155"/>
      <c r="BO37" s="154"/>
    </row>
    <row r="38" spans="1:67" ht="20.399999999999999" thickBot="1" x14ac:dyDescent="0.45">
      <c r="A38" s="157"/>
      <c r="B38" s="158"/>
      <c r="C38" s="159" t="s">
        <v>1</v>
      </c>
      <c r="D38" s="160"/>
      <c r="E38" s="161"/>
      <c r="F38" s="159" t="s">
        <v>1</v>
      </c>
      <c r="G38" s="161"/>
      <c r="H38" s="162"/>
      <c r="I38" s="159" t="s">
        <v>1</v>
      </c>
      <c r="J38" s="160"/>
      <c r="K38" s="163"/>
      <c r="L38" s="159" t="s">
        <v>1</v>
      </c>
      <c r="M38" s="164"/>
      <c r="N38" s="163"/>
      <c r="O38" s="163" t="s">
        <v>2</v>
      </c>
      <c r="P38" s="163"/>
      <c r="Q38" s="165"/>
      <c r="R38" s="163" t="s">
        <v>2</v>
      </c>
      <c r="S38" s="164"/>
      <c r="T38" s="165"/>
      <c r="U38" s="163" t="s">
        <v>2</v>
      </c>
      <c r="V38" s="164"/>
      <c r="W38" s="166"/>
      <c r="X38" s="167" t="s">
        <v>3</v>
      </c>
      <c r="Y38" s="163"/>
      <c r="Z38" s="166"/>
      <c r="AA38" s="167" t="s">
        <v>3</v>
      </c>
      <c r="AB38" s="164"/>
      <c r="AC38" s="167"/>
      <c r="AD38" s="167" t="s">
        <v>4</v>
      </c>
      <c r="AE38" s="163"/>
      <c r="AF38" s="166"/>
      <c r="AG38" s="167" t="s">
        <v>4</v>
      </c>
      <c r="AH38" s="164"/>
      <c r="AI38" s="167"/>
      <c r="AJ38" s="167" t="s">
        <v>4</v>
      </c>
      <c r="AK38" s="164"/>
      <c r="AL38" s="168"/>
      <c r="AM38" s="169" t="s">
        <v>5</v>
      </c>
      <c r="AN38" s="170"/>
      <c r="AO38" s="168"/>
      <c r="AP38" s="169" t="s">
        <v>5</v>
      </c>
      <c r="AQ38" s="171"/>
      <c r="AR38" s="169"/>
      <c r="AS38" s="169" t="s">
        <v>5</v>
      </c>
      <c r="AT38" s="170"/>
      <c r="AU38" s="168"/>
      <c r="AV38" s="169" t="s">
        <v>5</v>
      </c>
      <c r="AW38" s="172"/>
      <c r="AX38" s="169"/>
      <c r="AY38" s="169" t="s">
        <v>5</v>
      </c>
      <c r="AZ38" s="171"/>
      <c r="BA38" s="166"/>
      <c r="BB38" s="167" t="s">
        <v>6</v>
      </c>
      <c r="BC38" s="164"/>
      <c r="BD38" s="173"/>
      <c r="BE38" s="173" t="s">
        <v>6</v>
      </c>
      <c r="BF38" s="174"/>
      <c r="BG38" s="166"/>
      <c r="BH38" s="167" t="s">
        <v>6</v>
      </c>
      <c r="BI38" s="164"/>
      <c r="BJ38" s="173"/>
      <c r="BK38" s="173" t="s">
        <v>6</v>
      </c>
      <c r="BL38" s="174"/>
      <c r="BM38" s="175" t="s">
        <v>7</v>
      </c>
      <c r="BN38" s="176"/>
      <c r="BO38" s="164"/>
    </row>
    <row r="39" spans="1:67" x14ac:dyDescent="0.4">
      <c r="A39" s="178"/>
      <c r="B39" s="179" t="s">
        <v>8</v>
      </c>
      <c r="C39" s="180"/>
      <c r="D39" s="181"/>
      <c r="E39" s="182" t="s">
        <v>9</v>
      </c>
      <c r="F39" s="183"/>
      <c r="G39" s="184"/>
      <c r="H39" s="182" t="s">
        <v>10</v>
      </c>
      <c r="I39" s="183"/>
      <c r="J39" s="184"/>
      <c r="K39" s="183" t="s">
        <v>13</v>
      </c>
      <c r="L39" s="183"/>
      <c r="M39" s="184"/>
      <c r="N39" s="183" t="s">
        <v>11</v>
      </c>
      <c r="O39" s="183"/>
      <c r="P39" s="185"/>
      <c r="Q39" s="182" t="s">
        <v>12</v>
      </c>
      <c r="R39" s="183"/>
      <c r="S39" s="184"/>
      <c r="T39" s="182" t="s">
        <v>35</v>
      </c>
      <c r="U39" s="183"/>
      <c r="V39" s="184"/>
      <c r="W39" s="186" t="s">
        <v>14</v>
      </c>
      <c r="X39" s="186"/>
      <c r="Y39" s="187"/>
      <c r="Z39" s="188" t="s">
        <v>15</v>
      </c>
      <c r="AA39" s="186"/>
      <c r="AB39" s="189"/>
      <c r="AC39" s="186" t="s">
        <v>16</v>
      </c>
      <c r="AD39" s="186"/>
      <c r="AE39" s="187"/>
      <c r="AF39" s="188" t="s">
        <v>17</v>
      </c>
      <c r="AG39" s="186"/>
      <c r="AH39" s="189"/>
      <c r="AI39" s="186" t="s">
        <v>18</v>
      </c>
      <c r="AJ39" s="186"/>
      <c r="AK39" s="187"/>
      <c r="AL39" s="190" t="s">
        <v>36</v>
      </c>
      <c r="AM39" s="191"/>
      <c r="AN39" s="192"/>
      <c r="AO39" s="190" t="s">
        <v>37</v>
      </c>
      <c r="AP39" s="191"/>
      <c r="AQ39" s="193"/>
      <c r="AR39" s="191" t="s">
        <v>38</v>
      </c>
      <c r="AS39" s="191"/>
      <c r="AT39" s="192"/>
      <c r="AU39" s="190" t="s">
        <v>39</v>
      </c>
      <c r="AV39" s="191"/>
      <c r="AW39" s="194"/>
      <c r="AX39" s="191" t="s">
        <v>40</v>
      </c>
      <c r="AY39" s="191"/>
      <c r="AZ39" s="193"/>
      <c r="BA39" s="195" t="s">
        <v>24</v>
      </c>
      <c r="BB39" s="196"/>
      <c r="BC39" s="197"/>
      <c r="BD39" s="196" t="s">
        <v>25</v>
      </c>
      <c r="BE39" s="196"/>
      <c r="BF39" s="198"/>
      <c r="BG39" s="195" t="s">
        <v>26</v>
      </c>
      <c r="BH39" s="196"/>
      <c r="BI39" s="197"/>
      <c r="BJ39" s="196" t="s">
        <v>27</v>
      </c>
      <c r="BK39" s="196"/>
      <c r="BL39" s="198"/>
      <c r="BM39" s="199" t="s">
        <v>28</v>
      </c>
      <c r="BN39" s="199"/>
      <c r="BO39" s="200"/>
    </row>
    <row r="40" spans="1:67" ht="60" thickBot="1" x14ac:dyDescent="0.45">
      <c r="A40" s="201" t="s">
        <v>29</v>
      </c>
      <c r="B40" s="202" t="s">
        <v>7</v>
      </c>
      <c r="C40" s="203" t="s">
        <v>30</v>
      </c>
      <c r="D40" s="204" t="s">
        <v>31</v>
      </c>
      <c r="E40" s="205" t="s">
        <v>7</v>
      </c>
      <c r="F40" s="206" t="s">
        <v>30</v>
      </c>
      <c r="G40" s="207" t="s">
        <v>31</v>
      </c>
      <c r="H40" s="205" t="s">
        <v>7</v>
      </c>
      <c r="I40" s="206" t="s">
        <v>30</v>
      </c>
      <c r="J40" s="207" t="s">
        <v>31</v>
      </c>
      <c r="K40" s="206" t="s">
        <v>7</v>
      </c>
      <c r="L40" s="206" t="s">
        <v>30</v>
      </c>
      <c r="M40" s="207" t="s">
        <v>31</v>
      </c>
      <c r="N40" s="206" t="s">
        <v>7</v>
      </c>
      <c r="O40" s="206" t="s">
        <v>30</v>
      </c>
      <c r="P40" s="208" t="s">
        <v>31</v>
      </c>
      <c r="Q40" s="205" t="s">
        <v>7</v>
      </c>
      <c r="R40" s="206" t="s">
        <v>30</v>
      </c>
      <c r="S40" s="207" t="s">
        <v>31</v>
      </c>
      <c r="T40" s="205" t="s">
        <v>7</v>
      </c>
      <c r="U40" s="206" t="s">
        <v>30</v>
      </c>
      <c r="V40" s="207" t="s">
        <v>31</v>
      </c>
      <c r="W40" s="209" t="s">
        <v>7</v>
      </c>
      <c r="X40" s="209" t="s">
        <v>30</v>
      </c>
      <c r="Y40" s="210" t="s">
        <v>31</v>
      </c>
      <c r="Z40" s="211" t="s">
        <v>7</v>
      </c>
      <c r="AA40" s="209" t="s">
        <v>30</v>
      </c>
      <c r="AB40" s="212" t="s">
        <v>31</v>
      </c>
      <c r="AC40" s="209" t="s">
        <v>7</v>
      </c>
      <c r="AD40" s="209" t="s">
        <v>30</v>
      </c>
      <c r="AE40" s="210" t="s">
        <v>31</v>
      </c>
      <c r="AF40" s="211" t="s">
        <v>7</v>
      </c>
      <c r="AG40" s="209" t="s">
        <v>30</v>
      </c>
      <c r="AH40" s="212" t="s">
        <v>31</v>
      </c>
      <c r="AI40" s="209" t="s">
        <v>7</v>
      </c>
      <c r="AJ40" s="209" t="s">
        <v>30</v>
      </c>
      <c r="AK40" s="210" t="s">
        <v>31</v>
      </c>
      <c r="AL40" s="213" t="s">
        <v>7</v>
      </c>
      <c r="AM40" s="214" t="s">
        <v>30</v>
      </c>
      <c r="AN40" s="215" t="s">
        <v>31</v>
      </c>
      <c r="AO40" s="213" t="s">
        <v>7</v>
      </c>
      <c r="AP40" s="214" t="s">
        <v>30</v>
      </c>
      <c r="AQ40" s="216" t="s">
        <v>31</v>
      </c>
      <c r="AR40" s="214" t="s">
        <v>7</v>
      </c>
      <c r="AS40" s="214" t="s">
        <v>30</v>
      </c>
      <c r="AT40" s="215" t="s">
        <v>31</v>
      </c>
      <c r="AU40" s="213" t="s">
        <v>7</v>
      </c>
      <c r="AV40" s="214" t="s">
        <v>30</v>
      </c>
      <c r="AW40" s="217" t="s">
        <v>31</v>
      </c>
      <c r="AX40" s="214" t="s">
        <v>7</v>
      </c>
      <c r="AY40" s="214" t="s">
        <v>30</v>
      </c>
      <c r="AZ40" s="216" t="s">
        <v>31</v>
      </c>
      <c r="BA40" s="218" t="s">
        <v>7</v>
      </c>
      <c r="BB40" s="219" t="s">
        <v>30</v>
      </c>
      <c r="BC40" s="220" t="s">
        <v>31</v>
      </c>
      <c r="BD40" s="219" t="s">
        <v>7</v>
      </c>
      <c r="BE40" s="219" t="s">
        <v>30</v>
      </c>
      <c r="BF40" s="221" t="s">
        <v>31</v>
      </c>
      <c r="BG40" s="218" t="s">
        <v>7</v>
      </c>
      <c r="BH40" s="219" t="s">
        <v>30</v>
      </c>
      <c r="BI40" s="220" t="s">
        <v>31</v>
      </c>
      <c r="BJ40" s="219" t="s">
        <v>7</v>
      </c>
      <c r="BK40" s="219" t="s">
        <v>30</v>
      </c>
      <c r="BL40" s="221" t="s">
        <v>31</v>
      </c>
      <c r="BM40" s="222" t="s">
        <v>7</v>
      </c>
      <c r="BN40" s="222" t="s">
        <v>30</v>
      </c>
      <c r="BO40" s="223" t="s">
        <v>31</v>
      </c>
    </row>
    <row r="41" spans="1:67" ht="20.399999999999999" thickBot="1" x14ac:dyDescent="0.45">
      <c r="A41" s="224">
        <v>45292</v>
      </c>
      <c r="B41" s="225">
        <v>0</v>
      </c>
      <c r="C41" s="226">
        <v>0</v>
      </c>
      <c r="D41" s="228" t="str">
        <f>IF(C41=0,"-",B41/C41)</f>
        <v>-</v>
      </c>
      <c r="E41" s="225">
        <v>0</v>
      </c>
      <c r="F41" s="226">
        <v>0</v>
      </c>
      <c r="G41" s="228" t="str">
        <f t="shared" ref="G41:G42" si="195">IF(F41=0,"-",E41/F41)</f>
        <v>-</v>
      </c>
      <c r="H41" s="225">
        <v>0</v>
      </c>
      <c r="I41" s="226">
        <v>0</v>
      </c>
      <c r="J41" s="228" t="str">
        <f t="shared" ref="J41:J42" si="196">IF(I41=0,"-",H41/I41)</f>
        <v>-</v>
      </c>
      <c r="K41" s="225">
        <v>0</v>
      </c>
      <c r="L41" s="226">
        <v>0</v>
      </c>
      <c r="M41" s="228" t="str">
        <f t="shared" ref="M41:M43" si="197">IF(L41=0,"-",K41/L41)</f>
        <v>-</v>
      </c>
      <c r="N41" s="225">
        <v>0</v>
      </c>
      <c r="O41" s="226">
        <v>0</v>
      </c>
      <c r="P41" s="228" t="str">
        <f t="shared" ref="P41" si="198">IF(O41=0,"-",N41/O41)</f>
        <v>-</v>
      </c>
      <c r="Q41" s="225">
        <v>0</v>
      </c>
      <c r="R41" s="226">
        <v>0</v>
      </c>
      <c r="S41" s="228" t="str">
        <f t="shared" ref="S41" si="199">IF(R41=0,"-",Q41/R41)</f>
        <v>-</v>
      </c>
      <c r="T41" s="225">
        <v>0</v>
      </c>
      <c r="U41" s="226">
        <v>0</v>
      </c>
      <c r="V41" s="228" t="str">
        <f t="shared" ref="V41:V49" si="200">IF(U41=0,"-",T41/U41)</f>
        <v>-</v>
      </c>
      <c r="W41" s="225">
        <v>0</v>
      </c>
      <c r="X41" s="226">
        <v>0</v>
      </c>
      <c r="Y41" s="228" t="str">
        <f t="shared" ref="Y41:Y44" si="201">IF(X41=0,"-",W41/X41)</f>
        <v>-</v>
      </c>
      <c r="Z41" s="225">
        <v>0</v>
      </c>
      <c r="AA41" s="226">
        <v>0</v>
      </c>
      <c r="AB41" s="228" t="str">
        <f t="shared" ref="AB41:AB65" si="202">IF(AA41=0,"-",Z41/AA41)</f>
        <v>-</v>
      </c>
      <c r="AC41" s="225">
        <v>0</v>
      </c>
      <c r="AD41" s="226">
        <v>0</v>
      </c>
      <c r="AE41" s="228" t="str">
        <f t="shared" ref="AE41:AE42" si="203">IF(AD41=0,"-",AC41/AD41)</f>
        <v>-</v>
      </c>
      <c r="AF41" s="225">
        <v>0</v>
      </c>
      <c r="AG41" s="226">
        <v>0</v>
      </c>
      <c r="AH41" s="228" t="str">
        <f t="shared" ref="AH41:AH65" si="204">IF(AG41=0,"-",AF41/AG41)</f>
        <v>-</v>
      </c>
      <c r="AI41" s="225">
        <v>0</v>
      </c>
      <c r="AJ41" s="226">
        <v>0</v>
      </c>
      <c r="AK41" s="228" t="str">
        <f t="shared" ref="AK41:AK44" si="205">IF(AJ41=0,"-",AI41/AJ41)</f>
        <v>-</v>
      </c>
      <c r="AL41" s="225">
        <v>0</v>
      </c>
      <c r="AM41" s="226">
        <v>0</v>
      </c>
      <c r="AN41" s="228" t="str">
        <f t="shared" ref="AN41:AN44" si="206">IF(AM41=0,"-",AL41/AM41)</f>
        <v>-</v>
      </c>
      <c r="AO41" s="225">
        <v>0</v>
      </c>
      <c r="AP41" s="226">
        <v>0</v>
      </c>
      <c r="AQ41" s="228" t="str">
        <f t="shared" ref="AQ41:AQ44" si="207">IF(AP41=0,"-",AO41/AP41)</f>
        <v>-</v>
      </c>
      <c r="AR41" s="225">
        <v>0</v>
      </c>
      <c r="AS41" s="226">
        <v>0</v>
      </c>
      <c r="AT41" s="228" t="str">
        <f t="shared" ref="AT41:AT44" si="208">IF(AS41=0,"-",AR41/AS41)</f>
        <v>-</v>
      </c>
      <c r="AU41" s="225">
        <v>0</v>
      </c>
      <c r="AV41" s="226">
        <v>0</v>
      </c>
      <c r="AW41" s="228" t="str">
        <f t="shared" ref="AW41:AW46" si="209">IF(AV41=0,"-",AU41/AV41)</f>
        <v>-</v>
      </c>
      <c r="AX41" s="225">
        <v>0</v>
      </c>
      <c r="AY41" s="226">
        <v>0</v>
      </c>
      <c r="AZ41" s="228" t="str">
        <f t="shared" ref="AZ41:AZ69" si="210">IF(AY41=0,"-",AX41/AY41)</f>
        <v>-</v>
      </c>
      <c r="BA41" s="225">
        <v>0</v>
      </c>
      <c r="BB41" s="226">
        <v>0</v>
      </c>
      <c r="BC41" s="228" t="str">
        <f t="shared" ref="BC41:BC43" si="211">IF(BB41=0,"-",BA41/BB41)</f>
        <v>-</v>
      </c>
      <c r="BD41" s="225">
        <v>0</v>
      </c>
      <c r="BE41" s="226">
        <v>0</v>
      </c>
      <c r="BF41" s="228" t="str">
        <f t="shared" ref="BF41:BF69" si="212">IF(BE41=0,"-",BD41/BE41)</f>
        <v>-</v>
      </c>
      <c r="BG41" s="225">
        <v>0</v>
      </c>
      <c r="BH41" s="226">
        <v>0</v>
      </c>
      <c r="BI41" s="228" t="str">
        <f t="shared" ref="BI41:BI69" si="213">IF(BH41=0,"-",BG41/BH41)</f>
        <v>-</v>
      </c>
      <c r="BJ41" s="225">
        <v>0</v>
      </c>
      <c r="BK41" s="226">
        <v>0</v>
      </c>
      <c r="BL41" s="228" t="str">
        <f t="shared" ref="BL41:BL69" si="214">IF(BK41=0,"-",BJ41/BK41)</f>
        <v>-</v>
      </c>
      <c r="BM41" s="236">
        <f>BJ41+BG41+BD41+BA41+AX41+AU41+AR41+AO41+AL41+K41+Q41+N41+H41+E41+AI41+AF41+AC41+Z41+W41+B41</f>
        <v>0</v>
      </c>
      <c r="BN41" s="237">
        <f>BK41+BH41+BE41+BB41+AY41+AV41+AS41+AP41+AM41+L41+R41+O41+I41+F41+AJ41+AG41+AD41+AA41+X41+C41</f>
        <v>0</v>
      </c>
      <c r="BO41" s="238" t="str">
        <f>IF(BN41=0,"",BM41/BN41)</f>
        <v/>
      </c>
    </row>
    <row r="42" spans="1:67" ht="20.399999999999999" thickBot="1" x14ac:dyDescent="0.45">
      <c r="A42" s="224">
        <v>45293</v>
      </c>
      <c r="B42" s="229">
        <v>0</v>
      </c>
      <c r="C42" s="230">
        <v>0</v>
      </c>
      <c r="D42" s="228" t="str">
        <f>IF(C42=0,"-",B42/C42)</f>
        <v>-</v>
      </c>
      <c r="E42" s="229">
        <v>0</v>
      </c>
      <c r="F42" s="230">
        <v>0</v>
      </c>
      <c r="G42" s="228" t="str">
        <f t="shared" si="195"/>
        <v>-</v>
      </c>
      <c r="H42" s="229">
        <v>0</v>
      </c>
      <c r="I42" s="230">
        <v>0</v>
      </c>
      <c r="J42" s="228" t="str">
        <f t="shared" si="196"/>
        <v>-</v>
      </c>
      <c r="K42" s="229">
        <v>0</v>
      </c>
      <c r="L42" s="230">
        <v>0</v>
      </c>
      <c r="M42" s="228" t="str">
        <f t="shared" si="197"/>
        <v>-</v>
      </c>
      <c r="N42" s="239">
        <v>38</v>
      </c>
      <c r="O42" s="230">
        <v>7</v>
      </c>
      <c r="P42" s="227">
        <f t="shared" ref="P42:P71" si="215">IF(O42=0,"",N42/O42)</f>
        <v>5.4285714285714288</v>
      </c>
      <c r="Q42" s="229">
        <v>673</v>
      </c>
      <c r="R42" s="230">
        <v>93</v>
      </c>
      <c r="S42" s="227">
        <f t="shared" ref="S42:S71" si="216">IF(R42=0,"",Q42/R42)</f>
        <v>7.236559139784946</v>
      </c>
      <c r="T42" s="229">
        <v>0</v>
      </c>
      <c r="U42" s="230">
        <v>0</v>
      </c>
      <c r="V42" s="228" t="str">
        <f t="shared" si="200"/>
        <v>-</v>
      </c>
      <c r="W42" s="229">
        <v>0</v>
      </c>
      <c r="X42" s="230">
        <v>0</v>
      </c>
      <c r="Y42" s="228" t="str">
        <f t="shared" si="201"/>
        <v>-</v>
      </c>
      <c r="Z42" s="239">
        <v>0</v>
      </c>
      <c r="AA42" s="230">
        <v>0</v>
      </c>
      <c r="AB42" s="228" t="str">
        <f t="shared" si="202"/>
        <v>-</v>
      </c>
      <c r="AC42" s="229">
        <v>0</v>
      </c>
      <c r="AD42" s="230">
        <v>0</v>
      </c>
      <c r="AE42" s="228" t="str">
        <f t="shared" si="203"/>
        <v>-</v>
      </c>
      <c r="AF42" s="229">
        <v>0</v>
      </c>
      <c r="AG42" s="230">
        <v>0</v>
      </c>
      <c r="AH42" s="228" t="str">
        <f t="shared" si="204"/>
        <v>-</v>
      </c>
      <c r="AI42" s="239">
        <v>0</v>
      </c>
      <c r="AJ42" s="230">
        <v>0</v>
      </c>
      <c r="AK42" s="228" t="str">
        <f t="shared" si="205"/>
        <v>-</v>
      </c>
      <c r="AL42" s="239">
        <v>0</v>
      </c>
      <c r="AM42" s="230">
        <v>0</v>
      </c>
      <c r="AN42" s="228" t="str">
        <f t="shared" si="206"/>
        <v>-</v>
      </c>
      <c r="AO42" s="229">
        <v>0</v>
      </c>
      <c r="AP42" s="230">
        <v>0</v>
      </c>
      <c r="AQ42" s="228" t="str">
        <f t="shared" si="207"/>
        <v>-</v>
      </c>
      <c r="AR42" s="229">
        <v>0</v>
      </c>
      <c r="AS42" s="229">
        <v>0</v>
      </c>
      <c r="AT42" s="228" t="str">
        <f t="shared" si="208"/>
        <v>-</v>
      </c>
      <c r="AU42" s="229">
        <v>0</v>
      </c>
      <c r="AV42" s="229">
        <v>0</v>
      </c>
      <c r="AW42" s="228" t="str">
        <f t="shared" si="209"/>
        <v>-</v>
      </c>
      <c r="AX42" s="229">
        <v>0</v>
      </c>
      <c r="AY42" s="230">
        <v>0</v>
      </c>
      <c r="AZ42" s="228" t="str">
        <f t="shared" si="210"/>
        <v>-</v>
      </c>
      <c r="BA42" s="229">
        <v>0</v>
      </c>
      <c r="BB42" s="230">
        <v>0</v>
      </c>
      <c r="BC42" s="228" t="str">
        <f t="shared" si="211"/>
        <v>-</v>
      </c>
      <c r="BD42" s="229">
        <v>0</v>
      </c>
      <c r="BE42" s="230">
        <v>0</v>
      </c>
      <c r="BF42" s="228" t="str">
        <f t="shared" si="212"/>
        <v>-</v>
      </c>
      <c r="BG42" s="229">
        <v>0</v>
      </c>
      <c r="BH42" s="230">
        <v>0</v>
      </c>
      <c r="BI42" s="228" t="str">
        <f t="shared" si="213"/>
        <v>-</v>
      </c>
      <c r="BJ42" s="229">
        <v>0</v>
      </c>
      <c r="BK42" s="230">
        <v>0</v>
      </c>
      <c r="BL42" s="228" t="str">
        <f t="shared" si="214"/>
        <v>-</v>
      </c>
      <c r="BM42" s="236">
        <f t="shared" ref="BM42:BN70" si="217">BJ42+BG42+BD42+BA42+AX42+AU42+AR42+AO42+AL42+K42+Q42+N42+H42+E42+AI42+AF42+AC42+Z42+W42+B42</f>
        <v>711</v>
      </c>
      <c r="BN42" s="237">
        <f t="shared" si="217"/>
        <v>100</v>
      </c>
      <c r="BO42" s="238">
        <f t="shared" ref="BO42:BO72" si="218">IF(BN42=0,"",BM42/BN42)</f>
        <v>7.11</v>
      </c>
    </row>
    <row r="43" spans="1:67" ht="20.399999999999999" thickBot="1" x14ac:dyDescent="0.45">
      <c r="A43" s="224">
        <v>45294</v>
      </c>
      <c r="B43" s="229">
        <v>67</v>
      </c>
      <c r="C43" s="230">
        <v>8</v>
      </c>
      <c r="D43" s="227">
        <f t="shared" ref="D43:D71" si="219">IF(C43=0,"",B43/C43)</f>
        <v>8.375</v>
      </c>
      <c r="E43" s="229">
        <v>9</v>
      </c>
      <c r="F43" s="230">
        <v>1</v>
      </c>
      <c r="G43" s="227">
        <f t="shared" ref="G43:G71" si="220">IF(F43=0,"",E43/F43)</f>
        <v>9</v>
      </c>
      <c r="H43" s="229">
        <v>36</v>
      </c>
      <c r="I43" s="230">
        <v>4</v>
      </c>
      <c r="J43" s="227">
        <f t="shared" ref="J43:J65" si="221">IF(I43=0,"",H43/I43)</f>
        <v>9</v>
      </c>
      <c r="K43" s="229">
        <v>0</v>
      </c>
      <c r="L43" s="230">
        <v>0</v>
      </c>
      <c r="M43" s="228" t="str">
        <f t="shared" si="197"/>
        <v>-</v>
      </c>
      <c r="N43" s="239">
        <v>90</v>
      </c>
      <c r="O43" s="230">
        <v>15</v>
      </c>
      <c r="P43" s="227">
        <f t="shared" si="215"/>
        <v>6</v>
      </c>
      <c r="Q43" s="229">
        <v>475</v>
      </c>
      <c r="R43" s="230">
        <v>71</v>
      </c>
      <c r="S43" s="227">
        <f t="shared" si="216"/>
        <v>6.6901408450704229</v>
      </c>
      <c r="T43" s="229">
        <v>0</v>
      </c>
      <c r="U43" s="230">
        <v>0</v>
      </c>
      <c r="V43" s="228" t="str">
        <f t="shared" si="200"/>
        <v>-</v>
      </c>
      <c r="W43" s="229">
        <v>0</v>
      </c>
      <c r="X43" s="230">
        <v>0</v>
      </c>
      <c r="Y43" s="228" t="str">
        <f t="shared" si="201"/>
        <v>-</v>
      </c>
      <c r="Z43" s="239">
        <v>0</v>
      </c>
      <c r="AA43" s="230">
        <v>0</v>
      </c>
      <c r="AB43" s="228" t="str">
        <f t="shared" si="202"/>
        <v>-</v>
      </c>
      <c r="AC43" s="229">
        <v>1</v>
      </c>
      <c r="AD43" s="230">
        <v>1</v>
      </c>
      <c r="AE43" s="227">
        <f t="shared" ref="AE43:AE45" si="222">IF(AD43=0,"",AC43/AD43)</f>
        <v>1</v>
      </c>
      <c r="AF43" s="229">
        <v>0</v>
      </c>
      <c r="AG43" s="230">
        <v>0</v>
      </c>
      <c r="AH43" s="228" t="str">
        <f t="shared" si="204"/>
        <v>-</v>
      </c>
      <c r="AI43" s="239">
        <v>0</v>
      </c>
      <c r="AJ43" s="230">
        <v>0</v>
      </c>
      <c r="AK43" s="228" t="str">
        <f t="shared" si="205"/>
        <v>-</v>
      </c>
      <c r="AL43" s="239">
        <v>27</v>
      </c>
      <c r="AM43" s="230">
        <v>4</v>
      </c>
      <c r="AN43" s="228">
        <f t="shared" si="206"/>
        <v>6.75</v>
      </c>
      <c r="AO43" s="229">
        <v>15</v>
      </c>
      <c r="AP43" s="230">
        <v>2</v>
      </c>
      <c r="AQ43" s="228">
        <f t="shared" si="207"/>
        <v>7.5</v>
      </c>
      <c r="AR43" s="229">
        <v>14</v>
      </c>
      <c r="AS43" s="229">
        <v>2</v>
      </c>
      <c r="AT43" s="228">
        <f t="shared" si="208"/>
        <v>7</v>
      </c>
      <c r="AU43" s="229">
        <v>7</v>
      </c>
      <c r="AV43" s="229">
        <v>1</v>
      </c>
      <c r="AW43" s="228">
        <f t="shared" si="209"/>
        <v>7</v>
      </c>
      <c r="AX43" s="229">
        <v>0</v>
      </c>
      <c r="AY43" s="230">
        <v>0</v>
      </c>
      <c r="AZ43" s="228" t="str">
        <f t="shared" si="210"/>
        <v>-</v>
      </c>
      <c r="BA43" s="229">
        <v>0</v>
      </c>
      <c r="BB43" s="230">
        <v>0</v>
      </c>
      <c r="BC43" s="228" t="str">
        <f t="shared" si="211"/>
        <v>-</v>
      </c>
      <c r="BD43" s="229">
        <v>0</v>
      </c>
      <c r="BE43" s="230">
        <v>0</v>
      </c>
      <c r="BF43" s="228" t="str">
        <f t="shared" si="212"/>
        <v>-</v>
      </c>
      <c r="BG43" s="229">
        <v>0</v>
      </c>
      <c r="BH43" s="230">
        <v>0</v>
      </c>
      <c r="BI43" s="228" t="str">
        <f t="shared" si="213"/>
        <v>-</v>
      </c>
      <c r="BJ43" s="229">
        <v>0</v>
      </c>
      <c r="BK43" s="230">
        <v>0</v>
      </c>
      <c r="BL43" s="228" t="str">
        <f t="shared" si="214"/>
        <v>-</v>
      </c>
      <c r="BM43" s="236">
        <f t="shared" si="217"/>
        <v>741</v>
      </c>
      <c r="BN43" s="237">
        <f t="shared" si="217"/>
        <v>109</v>
      </c>
      <c r="BO43" s="238">
        <f t="shared" si="218"/>
        <v>6.7981651376146788</v>
      </c>
    </row>
    <row r="44" spans="1:67" ht="20.399999999999999" thickBot="1" x14ac:dyDescent="0.45">
      <c r="A44" s="224">
        <v>45295</v>
      </c>
      <c r="B44" s="229">
        <v>30</v>
      </c>
      <c r="C44" s="230">
        <v>4</v>
      </c>
      <c r="D44" s="227">
        <f t="shared" si="219"/>
        <v>7.5</v>
      </c>
      <c r="E44" s="229">
        <v>0</v>
      </c>
      <c r="F44" s="230">
        <v>0</v>
      </c>
      <c r="G44" s="228" t="s">
        <v>32</v>
      </c>
      <c r="H44" s="229">
        <v>0</v>
      </c>
      <c r="I44" s="230">
        <v>0</v>
      </c>
      <c r="J44" s="228" t="s">
        <v>32</v>
      </c>
      <c r="K44" s="229">
        <v>4</v>
      </c>
      <c r="L44" s="230">
        <v>1</v>
      </c>
      <c r="M44" s="227">
        <f t="shared" ref="M44:M70" si="223">IF(L44=0,"",K44/L44)</f>
        <v>4</v>
      </c>
      <c r="N44" s="239">
        <v>12</v>
      </c>
      <c r="O44" s="230">
        <v>3</v>
      </c>
      <c r="P44" s="227">
        <f t="shared" si="215"/>
        <v>4</v>
      </c>
      <c r="Q44" s="229">
        <v>436</v>
      </c>
      <c r="R44" s="230">
        <v>68</v>
      </c>
      <c r="S44" s="227">
        <f t="shared" si="216"/>
        <v>6.4117647058823533</v>
      </c>
      <c r="T44" s="229">
        <v>0</v>
      </c>
      <c r="U44" s="230">
        <v>0</v>
      </c>
      <c r="V44" s="228" t="str">
        <f t="shared" si="200"/>
        <v>-</v>
      </c>
      <c r="W44" s="229">
        <v>0</v>
      </c>
      <c r="X44" s="230">
        <v>0</v>
      </c>
      <c r="Y44" s="228" t="str">
        <f t="shared" si="201"/>
        <v>-</v>
      </c>
      <c r="Z44" s="239">
        <v>0</v>
      </c>
      <c r="AA44" s="230">
        <v>0</v>
      </c>
      <c r="AB44" s="228" t="str">
        <f t="shared" si="202"/>
        <v>-</v>
      </c>
      <c r="AC44" s="239">
        <v>0</v>
      </c>
      <c r="AD44" s="230">
        <v>0</v>
      </c>
      <c r="AE44" s="228" t="str">
        <f t="shared" ref="AE44" si="224">IF(AD44=0,"-",AC44/AD44)</f>
        <v>-</v>
      </c>
      <c r="AF44" s="229">
        <v>0</v>
      </c>
      <c r="AG44" s="230">
        <v>0</v>
      </c>
      <c r="AH44" s="228" t="str">
        <f t="shared" si="204"/>
        <v>-</v>
      </c>
      <c r="AI44" s="239">
        <v>0</v>
      </c>
      <c r="AJ44" s="230">
        <v>0</v>
      </c>
      <c r="AK44" s="228" t="str">
        <f t="shared" si="205"/>
        <v>-</v>
      </c>
      <c r="AL44" s="239">
        <v>7</v>
      </c>
      <c r="AM44" s="230">
        <v>1</v>
      </c>
      <c r="AN44" s="228">
        <f t="shared" si="206"/>
        <v>7</v>
      </c>
      <c r="AO44" s="229">
        <v>0</v>
      </c>
      <c r="AP44" s="230">
        <v>0</v>
      </c>
      <c r="AQ44" s="228" t="str">
        <f t="shared" si="207"/>
        <v>-</v>
      </c>
      <c r="AR44" s="229">
        <v>0</v>
      </c>
      <c r="AS44" s="229">
        <v>0</v>
      </c>
      <c r="AT44" s="228" t="str">
        <f t="shared" si="208"/>
        <v>-</v>
      </c>
      <c r="AU44" s="229">
        <v>0</v>
      </c>
      <c r="AV44" s="229">
        <v>0</v>
      </c>
      <c r="AW44" s="228" t="str">
        <f t="shared" si="209"/>
        <v>-</v>
      </c>
      <c r="AX44" s="229">
        <v>0</v>
      </c>
      <c r="AY44" s="230">
        <v>0</v>
      </c>
      <c r="AZ44" s="228" t="str">
        <f t="shared" si="210"/>
        <v>-</v>
      </c>
      <c r="BA44" s="229">
        <v>26</v>
      </c>
      <c r="BB44" s="230">
        <v>3</v>
      </c>
      <c r="BC44" s="227">
        <f t="shared" ref="BC44:BC69" si="225">IF(BB44=0,"",BA44/BB44)</f>
        <v>8.6666666666666661</v>
      </c>
      <c r="BD44" s="229">
        <v>0</v>
      </c>
      <c r="BE44" s="230">
        <v>0</v>
      </c>
      <c r="BF44" s="228" t="str">
        <f t="shared" si="212"/>
        <v>-</v>
      </c>
      <c r="BG44" s="229">
        <v>0</v>
      </c>
      <c r="BH44" s="230">
        <v>0</v>
      </c>
      <c r="BI44" s="228" t="str">
        <f t="shared" si="213"/>
        <v>-</v>
      </c>
      <c r="BJ44" s="229">
        <v>0</v>
      </c>
      <c r="BK44" s="230">
        <v>0</v>
      </c>
      <c r="BL44" s="228" t="str">
        <f t="shared" si="214"/>
        <v>-</v>
      </c>
      <c r="BM44" s="236">
        <f t="shared" si="217"/>
        <v>515</v>
      </c>
      <c r="BN44" s="237">
        <f t="shared" si="217"/>
        <v>80</v>
      </c>
      <c r="BO44" s="238">
        <f t="shared" si="218"/>
        <v>6.4375</v>
      </c>
    </row>
    <row r="45" spans="1:67" ht="20.399999999999999" thickBot="1" x14ac:dyDescent="0.45">
      <c r="A45" s="224">
        <v>45296</v>
      </c>
      <c r="B45" s="229">
        <v>68</v>
      </c>
      <c r="C45" s="230">
        <v>7</v>
      </c>
      <c r="D45" s="227">
        <f t="shared" si="219"/>
        <v>9.7142857142857135</v>
      </c>
      <c r="E45" s="229">
        <v>0</v>
      </c>
      <c r="F45" s="230">
        <v>0</v>
      </c>
      <c r="G45" s="228" t="s">
        <v>32</v>
      </c>
      <c r="H45" s="229">
        <v>6</v>
      </c>
      <c r="I45" s="230">
        <v>1</v>
      </c>
      <c r="J45" s="227">
        <f t="shared" si="221"/>
        <v>6</v>
      </c>
      <c r="K45" s="229">
        <v>0</v>
      </c>
      <c r="L45" s="230">
        <v>0</v>
      </c>
      <c r="M45" s="228" t="s">
        <v>32</v>
      </c>
      <c r="N45" s="239">
        <v>21</v>
      </c>
      <c r="O45" s="230">
        <v>4</v>
      </c>
      <c r="P45" s="227">
        <f t="shared" si="215"/>
        <v>5.25</v>
      </c>
      <c r="Q45" s="229">
        <v>461</v>
      </c>
      <c r="R45" s="230">
        <v>70</v>
      </c>
      <c r="S45" s="227">
        <f t="shared" si="216"/>
        <v>6.5857142857142854</v>
      </c>
      <c r="T45" s="229">
        <v>0</v>
      </c>
      <c r="U45" s="230">
        <v>0</v>
      </c>
      <c r="V45" s="228" t="str">
        <f t="shared" si="200"/>
        <v>-</v>
      </c>
      <c r="W45" s="229">
        <v>9</v>
      </c>
      <c r="X45" s="230">
        <v>1</v>
      </c>
      <c r="Y45" s="227">
        <f t="shared" ref="Y45:Y65" si="226">IF(X45=0,"",W45/X45)</f>
        <v>9</v>
      </c>
      <c r="Z45" s="239">
        <v>0</v>
      </c>
      <c r="AA45" s="230">
        <v>0</v>
      </c>
      <c r="AB45" s="228" t="str">
        <f t="shared" si="202"/>
        <v>-</v>
      </c>
      <c r="AC45" s="239">
        <v>2</v>
      </c>
      <c r="AD45" s="230">
        <v>1</v>
      </c>
      <c r="AE45" s="227">
        <f t="shared" si="222"/>
        <v>2</v>
      </c>
      <c r="AF45" s="229">
        <v>0</v>
      </c>
      <c r="AG45" s="230">
        <v>0</v>
      </c>
      <c r="AH45" s="228" t="str">
        <f t="shared" si="204"/>
        <v>-</v>
      </c>
      <c r="AI45" s="239">
        <v>9</v>
      </c>
      <c r="AJ45" s="230">
        <v>2</v>
      </c>
      <c r="AK45" s="227">
        <f t="shared" ref="AK45:AK56" si="227">IF(AJ45=0,"",AI45/AJ45)</f>
        <v>4.5</v>
      </c>
      <c r="AL45" s="239">
        <v>7</v>
      </c>
      <c r="AM45" s="230">
        <v>1</v>
      </c>
      <c r="AN45" s="227">
        <f t="shared" ref="AN45:AN69" si="228">IF(AM45=0,"",AL45/AM45)</f>
        <v>7</v>
      </c>
      <c r="AO45" s="229">
        <v>7</v>
      </c>
      <c r="AP45" s="230">
        <v>1</v>
      </c>
      <c r="AQ45" s="227">
        <f t="shared" ref="AQ45:AQ68" si="229">IF(AP45=0,"",AO45/AP45)</f>
        <v>7</v>
      </c>
      <c r="AR45" s="229">
        <v>7</v>
      </c>
      <c r="AS45" s="230">
        <v>1</v>
      </c>
      <c r="AT45" s="227">
        <f t="shared" ref="AT45:AT69" si="230">IF(AS45=0,"",AR45/AS45)</f>
        <v>7</v>
      </c>
      <c r="AU45" s="229">
        <v>0</v>
      </c>
      <c r="AV45" s="229">
        <v>0</v>
      </c>
      <c r="AW45" s="228" t="str">
        <f t="shared" si="209"/>
        <v>-</v>
      </c>
      <c r="AX45" s="229">
        <v>0</v>
      </c>
      <c r="AY45" s="230">
        <v>0</v>
      </c>
      <c r="AZ45" s="228" t="str">
        <f t="shared" si="210"/>
        <v>-</v>
      </c>
      <c r="BA45" s="229">
        <v>9</v>
      </c>
      <c r="BB45" s="230">
        <v>1</v>
      </c>
      <c r="BC45" s="227">
        <f t="shared" si="225"/>
        <v>9</v>
      </c>
      <c r="BD45" s="229">
        <v>0</v>
      </c>
      <c r="BE45" s="230">
        <v>0</v>
      </c>
      <c r="BF45" s="228" t="str">
        <f t="shared" si="212"/>
        <v>-</v>
      </c>
      <c r="BG45" s="229">
        <v>0</v>
      </c>
      <c r="BH45" s="230">
        <v>0</v>
      </c>
      <c r="BI45" s="228" t="str">
        <f t="shared" si="213"/>
        <v>-</v>
      </c>
      <c r="BJ45" s="229">
        <v>0</v>
      </c>
      <c r="BK45" s="230">
        <v>0</v>
      </c>
      <c r="BL45" s="228" t="str">
        <f t="shared" si="214"/>
        <v>-</v>
      </c>
      <c r="BM45" s="236">
        <f t="shared" si="217"/>
        <v>606</v>
      </c>
      <c r="BN45" s="237">
        <f t="shared" si="217"/>
        <v>90</v>
      </c>
      <c r="BO45" s="238">
        <f t="shared" si="218"/>
        <v>6.7333333333333334</v>
      </c>
    </row>
    <row r="46" spans="1:67" ht="20.399999999999999" thickBot="1" x14ac:dyDescent="0.45">
      <c r="A46" s="224">
        <v>45297</v>
      </c>
      <c r="B46" s="229">
        <v>17</v>
      </c>
      <c r="C46" s="230">
        <v>2</v>
      </c>
      <c r="D46" s="227">
        <f>IF(C46=0,"",B46/C46)</f>
        <v>8.5</v>
      </c>
      <c r="E46" s="229">
        <v>0</v>
      </c>
      <c r="F46" s="230">
        <v>0</v>
      </c>
      <c r="G46" s="228" t="s">
        <v>32</v>
      </c>
      <c r="H46" s="229">
        <v>0</v>
      </c>
      <c r="I46" s="230">
        <v>0</v>
      </c>
      <c r="J46" s="228" t="s">
        <v>32</v>
      </c>
      <c r="K46" s="229">
        <v>0</v>
      </c>
      <c r="L46" s="230">
        <v>0</v>
      </c>
      <c r="M46" s="228" t="s">
        <v>32</v>
      </c>
      <c r="N46" s="239">
        <v>5</v>
      </c>
      <c r="O46" s="230">
        <v>1</v>
      </c>
      <c r="P46" s="227">
        <f t="shared" si="215"/>
        <v>5</v>
      </c>
      <c r="Q46" s="229">
        <v>413</v>
      </c>
      <c r="R46" s="230">
        <v>68</v>
      </c>
      <c r="S46" s="227">
        <f t="shared" si="216"/>
        <v>6.0735294117647056</v>
      </c>
      <c r="T46" s="229">
        <v>0</v>
      </c>
      <c r="U46" s="230">
        <v>0</v>
      </c>
      <c r="V46" s="228" t="str">
        <f t="shared" si="200"/>
        <v>-</v>
      </c>
      <c r="W46" s="229">
        <v>6</v>
      </c>
      <c r="X46" s="230">
        <v>1</v>
      </c>
      <c r="Y46" s="227">
        <f t="shared" si="226"/>
        <v>6</v>
      </c>
      <c r="Z46" s="239">
        <v>0</v>
      </c>
      <c r="AA46" s="230">
        <v>0</v>
      </c>
      <c r="AB46" s="228" t="str">
        <f t="shared" si="202"/>
        <v>-</v>
      </c>
      <c r="AC46" s="229">
        <v>0</v>
      </c>
      <c r="AD46" s="230">
        <v>0</v>
      </c>
      <c r="AE46" s="228" t="str">
        <f t="shared" ref="AE46:AE48" si="231">IF(AD46=0,"-",AC46/AD46)</f>
        <v>-</v>
      </c>
      <c r="AF46" s="229">
        <v>0</v>
      </c>
      <c r="AG46" s="230">
        <v>0</v>
      </c>
      <c r="AH46" s="228" t="str">
        <f t="shared" si="204"/>
        <v>-</v>
      </c>
      <c r="AI46" s="239">
        <v>3</v>
      </c>
      <c r="AJ46" s="230">
        <v>1</v>
      </c>
      <c r="AK46" s="227">
        <f t="shared" si="227"/>
        <v>3</v>
      </c>
      <c r="AL46" s="239">
        <v>28</v>
      </c>
      <c r="AM46" s="230">
        <v>4</v>
      </c>
      <c r="AN46" s="227">
        <f t="shared" si="228"/>
        <v>7</v>
      </c>
      <c r="AO46" s="229">
        <v>8</v>
      </c>
      <c r="AP46" s="230">
        <v>1</v>
      </c>
      <c r="AQ46" s="227">
        <f t="shared" si="229"/>
        <v>8</v>
      </c>
      <c r="AR46" s="229">
        <v>45</v>
      </c>
      <c r="AS46" s="230">
        <v>6</v>
      </c>
      <c r="AT46" s="227">
        <f t="shared" si="230"/>
        <v>7.5</v>
      </c>
      <c r="AU46" s="229">
        <v>0</v>
      </c>
      <c r="AV46" s="229">
        <v>0</v>
      </c>
      <c r="AW46" s="228" t="str">
        <f t="shared" si="209"/>
        <v>-</v>
      </c>
      <c r="AX46" s="229">
        <v>0</v>
      </c>
      <c r="AY46" s="230">
        <v>0</v>
      </c>
      <c r="AZ46" s="228" t="str">
        <f t="shared" si="210"/>
        <v>-</v>
      </c>
      <c r="BA46" s="229">
        <v>5</v>
      </c>
      <c r="BB46" s="230">
        <v>1</v>
      </c>
      <c r="BC46" s="227">
        <f t="shared" si="225"/>
        <v>5</v>
      </c>
      <c r="BD46" s="229">
        <v>0</v>
      </c>
      <c r="BE46" s="230">
        <v>0</v>
      </c>
      <c r="BF46" s="228" t="str">
        <f t="shared" si="212"/>
        <v>-</v>
      </c>
      <c r="BG46" s="229">
        <v>0</v>
      </c>
      <c r="BH46" s="230">
        <v>0</v>
      </c>
      <c r="BI46" s="228" t="str">
        <f t="shared" si="213"/>
        <v>-</v>
      </c>
      <c r="BJ46" s="229">
        <v>0</v>
      </c>
      <c r="BK46" s="230">
        <v>0</v>
      </c>
      <c r="BL46" s="228" t="str">
        <f t="shared" si="214"/>
        <v>-</v>
      </c>
      <c r="BM46" s="236">
        <f t="shared" si="217"/>
        <v>530</v>
      </c>
      <c r="BN46" s="237">
        <f t="shared" si="217"/>
        <v>85</v>
      </c>
      <c r="BO46" s="238">
        <f t="shared" si="218"/>
        <v>6.2352941176470589</v>
      </c>
    </row>
    <row r="47" spans="1:67" ht="20.399999999999999" thickBot="1" x14ac:dyDescent="0.45">
      <c r="A47" s="224">
        <v>45298</v>
      </c>
      <c r="B47" s="229">
        <v>18</v>
      </c>
      <c r="C47" s="230">
        <v>2</v>
      </c>
      <c r="D47" s="227">
        <f t="shared" si="219"/>
        <v>9</v>
      </c>
      <c r="E47" s="229">
        <v>8</v>
      </c>
      <c r="F47" s="230">
        <v>1</v>
      </c>
      <c r="G47" s="227">
        <f t="shared" si="220"/>
        <v>8</v>
      </c>
      <c r="H47" s="229">
        <v>0</v>
      </c>
      <c r="I47" s="230">
        <v>0</v>
      </c>
      <c r="J47" s="228" t="s">
        <v>32</v>
      </c>
      <c r="K47" s="229">
        <v>0</v>
      </c>
      <c r="L47" s="230">
        <v>0</v>
      </c>
      <c r="M47" s="228" t="s">
        <v>32</v>
      </c>
      <c r="N47" s="229">
        <v>4</v>
      </c>
      <c r="O47" s="230">
        <v>1</v>
      </c>
      <c r="P47" s="227">
        <f t="shared" si="215"/>
        <v>4</v>
      </c>
      <c r="Q47" s="229">
        <v>218</v>
      </c>
      <c r="R47" s="230">
        <v>37</v>
      </c>
      <c r="S47" s="227">
        <f t="shared" si="216"/>
        <v>5.8918918918918921</v>
      </c>
      <c r="T47" s="229">
        <v>0</v>
      </c>
      <c r="U47" s="230">
        <v>0</v>
      </c>
      <c r="V47" s="228" t="str">
        <f t="shared" si="200"/>
        <v>-</v>
      </c>
      <c r="W47" s="229">
        <v>0</v>
      </c>
      <c r="X47" s="230">
        <v>0</v>
      </c>
      <c r="Y47" s="228" t="str">
        <f t="shared" ref="Y47:Y48" si="232">IF(X47=0,"-",W47/X47)</f>
        <v>-</v>
      </c>
      <c r="Z47" s="229">
        <v>0</v>
      </c>
      <c r="AA47" s="230">
        <v>0</v>
      </c>
      <c r="AB47" s="228" t="str">
        <f t="shared" si="202"/>
        <v>-</v>
      </c>
      <c r="AC47" s="229">
        <v>0</v>
      </c>
      <c r="AD47" s="230">
        <v>0</v>
      </c>
      <c r="AE47" s="228" t="str">
        <f t="shared" si="231"/>
        <v>-</v>
      </c>
      <c r="AF47" s="229">
        <v>0</v>
      </c>
      <c r="AG47" s="230">
        <v>0</v>
      </c>
      <c r="AH47" s="228" t="str">
        <f t="shared" si="204"/>
        <v>-</v>
      </c>
      <c r="AI47" s="229">
        <v>0</v>
      </c>
      <c r="AJ47" s="230">
        <v>0</v>
      </c>
      <c r="AK47" s="228" t="str">
        <f t="shared" ref="AK47:AK48" si="233">IF(AJ47=0,"-",AI47/AJ47)</f>
        <v>-</v>
      </c>
      <c r="AL47" s="239">
        <v>14</v>
      </c>
      <c r="AM47" s="230">
        <v>2</v>
      </c>
      <c r="AN47" s="227">
        <f t="shared" si="228"/>
        <v>7</v>
      </c>
      <c r="AO47" s="229">
        <v>7</v>
      </c>
      <c r="AP47" s="230">
        <v>1</v>
      </c>
      <c r="AQ47" s="227">
        <f t="shared" si="229"/>
        <v>7</v>
      </c>
      <c r="AR47" s="229">
        <v>0</v>
      </c>
      <c r="AS47" s="230">
        <v>0</v>
      </c>
      <c r="AT47" s="227" t="s">
        <v>32</v>
      </c>
      <c r="AU47" s="239">
        <v>14</v>
      </c>
      <c r="AV47" s="230">
        <v>2</v>
      </c>
      <c r="AW47" s="227">
        <f t="shared" ref="AW47:AW61" si="234">IF(AV47=0,"",AU47/AV47)</f>
        <v>7</v>
      </c>
      <c r="AX47" s="229">
        <v>0</v>
      </c>
      <c r="AY47" s="230">
        <v>0</v>
      </c>
      <c r="AZ47" s="228" t="str">
        <f t="shared" si="210"/>
        <v>-</v>
      </c>
      <c r="BA47" s="229">
        <v>6</v>
      </c>
      <c r="BB47" s="230">
        <v>1</v>
      </c>
      <c r="BC47" s="227">
        <f t="shared" si="225"/>
        <v>6</v>
      </c>
      <c r="BD47" s="229">
        <v>0</v>
      </c>
      <c r="BE47" s="230">
        <v>0</v>
      </c>
      <c r="BF47" s="228" t="str">
        <f t="shared" si="212"/>
        <v>-</v>
      </c>
      <c r="BG47" s="229">
        <v>0</v>
      </c>
      <c r="BH47" s="230">
        <v>0</v>
      </c>
      <c r="BI47" s="228" t="str">
        <f t="shared" si="213"/>
        <v>-</v>
      </c>
      <c r="BJ47" s="229">
        <v>0</v>
      </c>
      <c r="BK47" s="230">
        <v>0</v>
      </c>
      <c r="BL47" s="228" t="str">
        <f t="shared" si="214"/>
        <v>-</v>
      </c>
      <c r="BM47" s="236">
        <f t="shared" si="217"/>
        <v>289</v>
      </c>
      <c r="BN47" s="237">
        <f t="shared" si="217"/>
        <v>47</v>
      </c>
      <c r="BO47" s="238">
        <f t="shared" si="218"/>
        <v>6.1489361702127656</v>
      </c>
    </row>
    <row r="48" spans="1:67" ht="20.399999999999999" thickBot="1" x14ac:dyDescent="0.45">
      <c r="A48" s="224">
        <v>45299</v>
      </c>
      <c r="B48" s="229">
        <v>38</v>
      </c>
      <c r="C48" s="230">
        <v>4</v>
      </c>
      <c r="D48" s="227">
        <f t="shared" si="219"/>
        <v>9.5</v>
      </c>
      <c r="E48" s="229">
        <v>0</v>
      </c>
      <c r="F48" s="230">
        <v>0</v>
      </c>
      <c r="G48" s="228" t="s">
        <v>32</v>
      </c>
      <c r="H48" s="229">
        <v>0</v>
      </c>
      <c r="I48" s="230">
        <v>0</v>
      </c>
      <c r="J48" s="228" t="s">
        <v>32</v>
      </c>
      <c r="K48" s="229">
        <v>0</v>
      </c>
      <c r="L48" s="230">
        <v>0</v>
      </c>
      <c r="M48" s="228" t="s">
        <v>32</v>
      </c>
      <c r="N48" s="239">
        <v>22</v>
      </c>
      <c r="O48" s="230">
        <v>4</v>
      </c>
      <c r="P48" s="227">
        <f t="shared" si="215"/>
        <v>5.5</v>
      </c>
      <c r="Q48" s="232">
        <v>16</v>
      </c>
      <c r="R48" s="233">
        <v>3</v>
      </c>
      <c r="S48" s="227">
        <f t="shared" si="216"/>
        <v>5.333333333333333</v>
      </c>
      <c r="T48" s="229">
        <v>0</v>
      </c>
      <c r="U48" s="230">
        <v>0</v>
      </c>
      <c r="V48" s="228" t="str">
        <f t="shared" si="200"/>
        <v>-</v>
      </c>
      <c r="W48" s="229">
        <v>0</v>
      </c>
      <c r="X48" s="230">
        <v>0</v>
      </c>
      <c r="Y48" s="228" t="str">
        <f t="shared" si="232"/>
        <v>-</v>
      </c>
      <c r="Z48" s="229">
        <v>0</v>
      </c>
      <c r="AA48" s="230">
        <v>0</v>
      </c>
      <c r="AB48" s="228" t="str">
        <f t="shared" si="202"/>
        <v>-</v>
      </c>
      <c r="AC48" s="229">
        <v>0</v>
      </c>
      <c r="AD48" s="230">
        <v>0</v>
      </c>
      <c r="AE48" s="228" t="str">
        <f t="shared" si="231"/>
        <v>-</v>
      </c>
      <c r="AF48" s="229">
        <v>0</v>
      </c>
      <c r="AG48" s="230">
        <v>0</v>
      </c>
      <c r="AH48" s="228" t="str">
        <f t="shared" si="204"/>
        <v>-</v>
      </c>
      <c r="AI48" s="229">
        <v>6</v>
      </c>
      <c r="AJ48" s="230">
        <v>1</v>
      </c>
      <c r="AK48" s="228">
        <f t="shared" si="233"/>
        <v>6</v>
      </c>
      <c r="AL48" s="239">
        <v>56</v>
      </c>
      <c r="AM48" s="230">
        <v>8</v>
      </c>
      <c r="AN48" s="227">
        <f t="shared" si="228"/>
        <v>7</v>
      </c>
      <c r="AO48" s="229">
        <v>0</v>
      </c>
      <c r="AP48" s="230">
        <v>0</v>
      </c>
      <c r="AQ48" s="228" t="str">
        <f t="shared" ref="AQ48:AQ57" si="235">IF(AP48=0,"-",AO48/AP48)</f>
        <v>-</v>
      </c>
      <c r="AR48" s="229">
        <v>0</v>
      </c>
      <c r="AS48" s="230">
        <v>0</v>
      </c>
      <c r="AT48" s="228" t="str">
        <f t="shared" ref="AT48:AT56" si="236">IF(AS48=0,"-",AR48/AS48)</f>
        <v>-</v>
      </c>
      <c r="AU48" s="229">
        <v>0</v>
      </c>
      <c r="AV48" s="230">
        <v>0</v>
      </c>
      <c r="AW48" s="228" t="str">
        <f t="shared" ref="AW48:AW54" si="237">IF(AV48=0,"-",AU48/AV48)</f>
        <v>-</v>
      </c>
      <c r="AX48" s="229">
        <v>0</v>
      </c>
      <c r="AY48" s="230">
        <v>0</v>
      </c>
      <c r="AZ48" s="228" t="str">
        <f t="shared" si="210"/>
        <v>-</v>
      </c>
      <c r="BA48" s="229">
        <v>43</v>
      </c>
      <c r="BB48" s="230">
        <v>6</v>
      </c>
      <c r="BC48" s="227">
        <f t="shared" si="225"/>
        <v>7.166666666666667</v>
      </c>
      <c r="BD48" s="229">
        <v>0</v>
      </c>
      <c r="BE48" s="230">
        <v>0</v>
      </c>
      <c r="BF48" s="228" t="str">
        <f t="shared" si="212"/>
        <v>-</v>
      </c>
      <c r="BG48" s="229">
        <v>0</v>
      </c>
      <c r="BH48" s="230">
        <v>0</v>
      </c>
      <c r="BI48" s="228" t="str">
        <f t="shared" si="213"/>
        <v>-</v>
      </c>
      <c r="BJ48" s="229">
        <v>0</v>
      </c>
      <c r="BK48" s="230">
        <v>0</v>
      </c>
      <c r="BL48" s="228" t="str">
        <f t="shared" si="214"/>
        <v>-</v>
      </c>
      <c r="BM48" s="236">
        <f t="shared" si="217"/>
        <v>181</v>
      </c>
      <c r="BN48" s="237">
        <f t="shared" si="217"/>
        <v>26</v>
      </c>
      <c r="BO48" s="238">
        <f t="shared" si="218"/>
        <v>6.9615384615384617</v>
      </c>
    </row>
    <row r="49" spans="1:67" ht="20.399999999999999" thickBot="1" x14ac:dyDescent="0.45">
      <c r="A49" s="224">
        <v>45300</v>
      </c>
      <c r="B49" s="229">
        <v>120</v>
      </c>
      <c r="C49" s="230">
        <v>13</v>
      </c>
      <c r="D49" s="227">
        <f t="shared" si="219"/>
        <v>9.2307692307692299</v>
      </c>
      <c r="E49" s="239">
        <v>9</v>
      </c>
      <c r="F49" s="230">
        <v>1</v>
      </c>
      <c r="G49" s="227">
        <f t="shared" si="220"/>
        <v>9</v>
      </c>
      <c r="H49" s="229">
        <v>0</v>
      </c>
      <c r="I49" s="230">
        <v>0</v>
      </c>
      <c r="J49" s="228" t="s">
        <v>32</v>
      </c>
      <c r="K49" s="229">
        <v>0</v>
      </c>
      <c r="L49" s="230">
        <v>0</v>
      </c>
      <c r="M49" s="228" t="s">
        <v>32</v>
      </c>
      <c r="N49" s="239">
        <v>49</v>
      </c>
      <c r="O49" s="230">
        <v>8</v>
      </c>
      <c r="P49" s="227">
        <f t="shared" si="215"/>
        <v>6.125</v>
      </c>
      <c r="Q49" s="232">
        <v>4</v>
      </c>
      <c r="R49" s="233">
        <v>1</v>
      </c>
      <c r="S49" s="227">
        <f t="shared" si="216"/>
        <v>4</v>
      </c>
      <c r="T49" s="229">
        <v>0</v>
      </c>
      <c r="U49" s="230">
        <v>0</v>
      </c>
      <c r="V49" s="228" t="str">
        <f t="shared" si="200"/>
        <v>-</v>
      </c>
      <c r="W49" s="239">
        <v>6</v>
      </c>
      <c r="X49" s="230">
        <v>1</v>
      </c>
      <c r="Y49" s="227">
        <f t="shared" si="226"/>
        <v>6</v>
      </c>
      <c r="Z49" s="229">
        <v>0</v>
      </c>
      <c r="AA49" s="230">
        <v>0</v>
      </c>
      <c r="AB49" s="228" t="str">
        <f t="shared" si="202"/>
        <v>-</v>
      </c>
      <c r="AC49" s="239">
        <v>8</v>
      </c>
      <c r="AD49" s="230">
        <v>1</v>
      </c>
      <c r="AE49" s="227">
        <f t="shared" ref="AE49:AE59" si="238">IF(AD49=0,"",AC49/AD49)</f>
        <v>8</v>
      </c>
      <c r="AF49" s="229">
        <v>0</v>
      </c>
      <c r="AG49" s="230">
        <v>0</v>
      </c>
      <c r="AH49" s="228" t="str">
        <f t="shared" si="204"/>
        <v>-</v>
      </c>
      <c r="AI49" s="239">
        <v>2</v>
      </c>
      <c r="AJ49" s="230">
        <v>1</v>
      </c>
      <c r="AK49" s="227">
        <f t="shared" si="227"/>
        <v>2</v>
      </c>
      <c r="AL49" s="239">
        <v>7</v>
      </c>
      <c r="AM49" s="230">
        <v>1</v>
      </c>
      <c r="AN49" s="227">
        <f t="shared" si="228"/>
        <v>7</v>
      </c>
      <c r="AO49" s="229">
        <v>0</v>
      </c>
      <c r="AP49" s="230">
        <v>0</v>
      </c>
      <c r="AQ49" s="228" t="str">
        <f t="shared" si="235"/>
        <v>-</v>
      </c>
      <c r="AR49" s="229">
        <v>0</v>
      </c>
      <c r="AS49" s="230">
        <v>0</v>
      </c>
      <c r="AT49" s="228" t="str">
        <f t="shared" si="236"/>
        <v>-</v>
      </c>
      <c r="AU49" s="229">
        <v>0</v>
      </c>
      <c r="AV49" s="230">
        <v>0</v>
      </c>
      <c r="AW49" s="228" t="str">
        <f t="shared" si="237"/>
        <v>-</v>
      </c>
      <c r="AX49" s="229">
        <v>0</v>
      </c>
      <c r="AY49" s="230">
        <v>0</v>
      </c>
      <c r="AZ49" s="228" t="str">
        <f t="shared" si="210"/>
        <v>-</v>
      </c>
      <c r="BA49" s="229">
        <v>0</v>
      </c>
      <c r="BB49" s="230">
        <v>0</v>
      </c>
      <c r="BC49" s="228" t="str">
        <f t="shared" ref="BC49:BC52" si="239">IF(BB49=0,"-",BA49/BB49)</f>
        <v>-</v>
      </c>
      <c r="BD49" s="229">
        <v>0</v>
      </c>
      <c r="BE49" s="230">
        <v>0</v>
      </c>
      <c r="BF49" s="228" t="str">
        <f t="shared" si="212"/>
        <v>-</v>
      </c>
      <c r="BG49" s="229">
        <v>0</v>
      </c>
      <c r="BH49" s="230">
        <v>0</v>
      </c>
      <c r="BI49" s="228" t="str">
        <f t="shared" si="213"/>
        <v>-</v>
      </c>
      <c r="BJ49" s="229">
        <v>0</v>
      </c>
      <c r="BK49" s="230">
        <v>0</v>
      </c>
      <c r="BL49" s="228" t="str">
        <f t="shared" si="214"/>
        <v>-</v>
      </c>
      <c r="BM49" s="236">
        <f t="shared" si="217"/>
        <v>205</v>
      </c>
      <c r="BN49" s="237">
        <f t="shared" si="217"/>
        <v>27</v>
      </c>
      <c r="BO49" s="238">
        <f t="shared" si="218"/>
        <v>7.5925925925925926</v>
      </c>
    </row>
    <row r="50" spans="1:67" ht="20.399999999999999" thickBot="1" x14ac:dyDescent="0.45">
      <c r="A50" s="224">
        <v>45301</v>
      </c>
      <c r="B50" s="229">
        <v>45</v>
      </c>
      <c r="C50" s="230">
        <v>5</v>
      </c>
      <c r="D50" s="227">
        <f t="shared" si="219"/>
        <v>9</v>
      </c>
      <c r="E50" s="239">
        <v>0</v>
      </c>
      <c r="F50" s="230">
        <v>0</v>
      </c>
      <c r="G50" s="228" t="s">
        <v>32</v>
      </c>
      <c r="H50" s="229">
        <v>4</v>
      </c>
      <c r="I50" s="230">
        <v>1</v>
      </c>
      <c r="J50" s="227">
        <f t="shared" si="221"/>
        <v>4</v>
      </c>
      <c r="K50" s="239">
        <v>2</v>
      </c>
      <c r="L50" s="230">
        <v>1</v>
      </c>
      <c r="M50" s="227">
        <f t="shared" si="223"/>
        <v>2</v>
      </c>
      <c r="N50" s="232">
        <v>35</v>
      </c>
      <c r="O50" s="233">
        <v>6</v>
      </c>
      <c r="P50" s="227">
        <f t="shared" si="215"/>
        <v>5.833333333333333</v>
      </c>
      <c r="Q50" s="232">
        <v>217</v>
      </c>
      <c r="R50" s="233">
        <v>47</v>
      </c>
      <c r="S50" s="227">
        <f t="shared" si="216"/>
        <v>4.6170212765957448</v>
      </c>
      <c r="T50" s="232">
        <v>6</v>
      </c>
      <c r="U50" s="233">
        <v>1</v>
      </c>
      <c r="V50" s="227">
        <f t="shared" ref="V50:V61" si="240">IF(U50=0,"",T50/U50)</f>
        <v>6</v>
      </c>
      <c r="W50" s="229">
        <v>0</v>
      </c>
      <c r="X50" s="230">
        <v>0</v>
      </c>
      <c r="Y50" s="228" t="str">
        <f t="shared" ref="Y50" si="241">IF(X50=0,"-",W50/X50)</f>
        <v>-</v>
      </c>
      <c r="Z50" s="229">
        <v>0</v>
      </c>
      <c r="AA50" s="230">
        <v>0</v>
      </c>
      <c r="AB50" s="228" t="str">
        <f t="shared" si="202"/>
        <v>-</v>
      </c>
      <c r="AC50" s="229">
        <v>3</v>
      </c>
      <c r="AD50" s="230">
        <v>1</v>
      </c>
      <c r="AE50" s="227">
        <f t="shared" si="238"/>
        <v>3</v>
      </c>
      <c r="AF50" s="229">
        <v>0</v>
      </c>
      <c r="AG50" s="230">
        <v>0</v>
      </c>
      <c r="AH50" s="228" t="str">
        <f t="shared" si="204"/>
        <v>-</v>
      </c>
      <c r="AI50" s="229">
        <v>0</v>
      </c>
      <c r="AJ50" s="230">
        <v>0</v>
      </c>
      <c r="AK50" s="228" t="str">
        <f t="shared" ref="AK50:AK54" si="242">IF(AJ50=0,"-",AI50/AJ50)</f>
        <v>-</v>
      </c>
      <c r="AL50" s="239">
        <v>0</v>
      </c>
      <c r="AM50" s="230">
        <v>0</v>
      </c>
      <c r="AN50" s="228" t="str">
        <f t="shared" ref="AN50" si="243">IF(AM50=0,"-",AL50/AM50)</f>
        <v>-</v>
      </c>
      <c r="AO50" s="229">
        <v>0</v>
      </c>
      <c r="AP50" s="230">
        <v>0</v>
      </c>
      <c r="AQ50" s="228" t="str">
        <f t="shared" si="235"/>
        <v>-</v>
      </c>
      <c r="AR50" s="229">
        <v>0</v>
      </c>
      <c r="AS50" s="230">
        <v>0</v>
      </c>
      <c r="AT50" s="228" t="str">
        <f t="shared" si="236"/>
        <v>-</v>
      </c>
      <c r="AU50" s="229">
        <v>0</v>
      </c>
      <c r="AV50" s="230">
        <v>0</v>
      </c>
      <c r="AW50" s="228" t="str">
        <f t="shared" si="237"/>
        <v>-</v>
      </c>
      <c r="AX50" s="229">
        <v>0</v>
      </c>
      <c r="AY50" s="230">
        <v>0</v>
      </c>
      <c r="AZ50" s="228" t="str">
        <f t="shared" si="210"/>
        <v>-</v>
      </c>
      <c r="BA50" s="229">
        <v>0</v>
      </c>
      <c r="BB50" s="230">
        <v>0</v>
      </c>
      <c r="BC50" s="228" t="str">
        <f t="shared" si="239"/>
        <v>-</v>
      </c>
      <c r="BD50" s="229">
        <v>0</v>
      </c>
      <c r="BE50" s="230">
        <v>0</v>
      </c>
      <c r="BF50" s="228" t="str">
        <f t="shared" si="212"/>
        <v>-</v>
      </c>
      <c r="BG50" s="229">
        <v>0</v>
      </c>
      <c r="BH50" s="230">
        <v>0</v>
      </c>
      <c r="BI50" s="228" t="str">
        <f t="shared" si="213"/>
        <v>-</v>
      </c>
      <c r="BJ50" s="229">
        <v>0</v>
      </c>
      <c r="BK50" s="230">
        <v>0</v>
      </c>
      <c r="BL50" s="228" t="str">
        <f t="shared" si="214"/>
        <v>-</v>
      </c>
      <c r="BM50" s="236">
        <f t="shared" si="217"/>
        <v>306</v>
      </c>
      <c r="BN50" s="237">
        <f t="shared" si="217"/>
        <v>61</v>
      </c>
      <c r="BO50" s="238">
        <f t="shared" si="218"/>
        <v>5.0163934426229506</v>
      </c>
    </row>
    <row r="51" spans="1:67" ht="20.399999999999999" thickBot="1" x14ac:dyDescent="0.45">
      <c r="A51" s="224">
        <v>45302</v>
      </c>
      <c r="B51" s="229">
        <v>8</v>
      </c>
      <c r="C51" s="230">
        <v>1</v>
      </c>
      <c r="D51" s="227">
        <f t="shared" si="219"/>
        <v>8</v>
      </c>
      <c r="E51" s="239">
        <v>0</v>
      </c>
      <c r="F51" s="230">
        <v>0</v>
      </c>
      <c r="G51" s="228" t="s">
        <v>32</v>
      </c>
      <c r="H51" s="239">
        <v>0</v>
      </c>
      <c r="I51" s="230">
        <v>0</v>
      </c>
      <c r="J51" s="228" t="s">
        <v>32</v>
      </c>
      <c r="K51" s="239">
        <v>0</v>
      </c>
      <c r="L51" s="230">
        <v>0</v>
      </c>
      <c r="M51" s="228" t="s">
        <v>32</v>
      </c>
      <c r="N51" s="239">
        <v>43</v>
      </c>
      <c r="O51" s="230">
        <v>7</v>
      </c>
      <c r="P51" s="227">
        <f>IF(O51=0,"",N51/O51)</f>
        <v>6.1428571428571432</v>
      </c>
      <c r="Q51" s="229">
        <v>416</v>
      </c>
      <c r="R51" s="230">
        <v>60</v>
      </c>
      <c r="S51" s="227">
        <f t="shared" si="216"/>
        <v>6.9333333333333336</v>
      </c>
      <c r="T51" s="232">
        <v>0</v>
      </c>
      <c r="U51" s="233">
        <v>0</v>
      </c>
      <c r="V51" s="228" t="str">
        <f t="shared" ref="V51:V55" si="244">IF(U51=0,"-",T51/U51)</f>
        <v>-</v>
      </c>
      <c r="W51" s="239">
        <v>4</v>
      </c>
      <c r="X51" s="230">
        <v>1</v>
      </c>
      <c r="Y51" s="227">
        <f t="shared" si="226"/>
        <v>4</v>
      </c>
      <c r="Z51" s="229">
        <v>0</v>
      </c>
      <c r="AA51" s="230">
        <v>0</v>
      </c>
      <c r="AB51" s="228" t="str">
        <f t="shared" si="202"/>
        <v>-</v>
      </c>
      <c r="AC51" s="229">
        <v>0</v>
      </c>
      <c r="AD51" s="230">
        <v>0</v>
      </c>
      <c r="AE51" s="228" t="str">
        <f t="shared" ref="AE51:AE58" si="245">IF(AD51=0,"-",AC51/AD51)</f>
        <v>-</v>
      </c>
      <c r="AF51" s="229">
        <v>0</v>
      </c>
      <c r="AG51" s="230">
        <v>0</v>
      </c>
      <c r="AH51" s="228" t="str">
        <f t="shared" si="204"/>
        <v>-</v>
      </c>
      <c r="AI51" s="229">
        <v>0</v>
      </c>
      <c r="AJ51" s="230">
        <v>0</v>
      </c>
      <c r="AK51" s="228" t="str">
        <f t="shared" si="242"/>
        <v>-</v>
      </c>
      <c r="AL51" s="239">
        <v>7</v>
      </c>
      <c r="AM51" s="230">
        <v>1</v>
      </c>
      <c r="AN51" s="227">
        <f t="shared" si="228"/>
        <v>7</v>
      </c>
      <c r="AO51" s="229">
        <v>0</v>
      </c>
      <c r="AP51" s="230">
        <v>0</v>
      </c>
      <c r="AQ51" s="228" t="str">
        <f t="shared" si="235"/>
        <v>-</v>
      </c>
      <c r="AR51" s="229">
        <v>0</v>
      </c>
      <c r="AS51" s="230">
        <v>0</v>
      </c>
      <c r="AT51" s="228" t="str">
        <f t="shared" si="236"/>
        <v>-</v>
      </c>
      <c r="AU51" s="229">
        <v>0</v>
      </c>
      <c r="AV51" s="230">
        <v>0</v>
      </c>
      <c r="AW51" s="228" t="str">
        <f t="shared" si="237"/>
        <v>-</v>
      </c>
      <c r="AX51" s="229">
        <v>0</v>
      </c>
      <c r="AY51" s="230">
        <v>0</v>
      </c>
      <c r="AZ51" s="228" t="str">
        <f t="shared" si="210"/>
        <v>-</v>
      </c>
      <c r="BA51" s="229">
        <v>0</v>
      </c>
      <c r="BB51" s="230">
        <v>0</v>
      </c>
      <c r="BC51" s="228" t="str">
        <f t="shared" si="239"/>
        <v>-</v>
      </c>
      <c r="BD51" s="229">
        <v>0</v>
      </c>
      <c r="BE51" s="230">
        <v>0</v>
      </c>
      <c r="BF51" s="228" t="str">
        <f t="shared" si="212"/>
        <v>-</v>
      </c>
      <c r="BG51" s="229">
        <v>0</v>
      </c>
      <c r="BH51" s="230">
        <v>0</v>
      </c>
      <c r="BI51" s="228" t="str">
        <f t="shared" si="213"/>
        <v>-</v>
      </c>
      <c r="BJ51" s="229">
        <v>0</v>
      </c>
      <c r="BK51" s="230">
        <v>0</v>
      </c>
      <c r="BL51" s="228" t="str">
        <f t="shared" si="214"/>
        <v>-</v>
      </c>
      <c r="BM51" s="236">
        <f t="shared" si="217"/>
        <v>478</v>
      </c>
      <c r="BN51" s="237">
        <f t="shared" si="217"/>
        <v>70</v>
      </c>
      <c r="BO51" s="238">
        <f t="shared" si="218"/>
        <v>6.8285714285714283</v>
      </c>
    </row>
    <row r="52" spans="1:67" ht="20.399999999999999" thickBot="1" x14ac:dyDescent="0.45">
      <c r="A52" s="224">
        <v>45303</v>
      </c>
      <c r="B52" s="229">
        <v>60</v>
      </c>
      <c r="C52" s="230">
        <v>7</v>
      </c>
      <c r="D52" s="227">
        <f>IF(C52=0,"",B52/C52)</f>
        <v>8.5714285714285712</v>
      </c>
      <c r="E52" s="239">
        <v>0</v>
      </c>
      <c r="F52" s="230">
        <v>0</v>
      </c>
      <c r="G52" s="228" t="s">
        <v>32</v>
      </c>
      <c r="H52" s="239">
        <v>0</v>
      </c>
      <c r="I52" s="230">
        <v>0</v>
      </c>
      <c r="J52" s="228" t="s">
        <v>32</v>
      </c>
      <c r="K52" s="239">
        <v>0</v>
      </c>
      <c r="L52" s="230">
        <v>0</v>
      </c>
      <c r="M52" s="228" t="s">
        <v>32</v>
      </c>
      <c r="N52" s="239">
        <v>35</v>
      </c>
      <c r="O52" s="230">
        <v>6</v>
      </c>
      <c r="P52" s="227">
        <f t="shared" si="215"/>
        <v>5.833333333333333</v>
      </c>
      <c r="Q52" s="229">
        <v>376</v>
      </c>
      <c r="R52" s="230">
        <v>53</v>
      </c>
      <c r="S52" s="227">
        <f t="shared" si="216"/>
        <v>7.0943396226415096</v>
      </c>
      <c r="T52" s="232">
        <v>0</v>
      </c>
      <c r="U52" s="233">
        <v>0</v>
      </c>
      <c r="V52" s="228" t="str">
        <f t="shared" si="244"/>
        <v>-</v>
      </c>
      <c r="W52" s="229">
        <v>10</v>
      </c>
      <c r="X52" s="230">
        <v>2</v>
      </c>
      <c r="Y52" s="227">
        <f t="shared" si="226"/>
        <v>5</v>
      </c>
      <c r="Z52" s="229">
        <v>0</v>
      </c>
      <c r="AA52" s="230">
        <v>0</v>
      </c>
      <c r="AB52" s="228" t="str">
        <f t="shared" si="202"/>
        <v>-</v>
      </c>
      <c r="AC52" s="229">
        <v>0</v>
      </c>
      <c r="AD52" s="230">
        <v>0</v>
      </c>
      <c r="AE52" s="228" t="str">
        <f t="shared" si="245"/>
        <v>-</v>
      </c>
      <c r="AF52" s="229">
        <v>0</v>
      </c>
      <c r="AG52" s="230">
        <v>0</v>
      </c>
      <c r="AH52" s="228" t="str">
        <f t="shared" si="204"/>
        <v>-</v>
      </c>
      <c r="AI52" s="229">
        <v>0</v>
      </c>
      <c r="AJ52" s="230">
        <v>0</v>
      </c>
      <c r="AK52" s="228" t="str">
        <f t="shared" si="242"/>
        <v>-</v>
      </c>
      <c r="AL52" s="239">
        <v>7</v>
      </c>
      <c r="AM52" s="230">
        <v>1</v>
      </c>
      <c r="AN52" s="227">
        <f t="shared" si="228"/>
        <v>7</v>
      </c>
      <c r="AO52" s="229">
        <v>0</v>
      </c>
      <c r="AP52" s="230">
        <v>0</v>
      </c>
      <c r="AQ52" s="228" t="str">
        <f t="shared" si="235"/>
        <v>-</v>
      </c>
      <c r="AR52" s="229">
        <v>0</v>
      </c>
      <c r="AS52" s="230">
        <v>0</v>
      </c>
      <c r="AT52" s="228" t="str">
        <f t="shared" si="236"/>
        <v>-</v>
      </c>
      <c r="AU52" s="229">
        <v>0</v>
      </c>
      <c r="AV52" s="230">
        <v>0</v>
      </c>
      <c r="AW52" s="228" t="str">
        <f t="shared" si="237"/>
        <v>-</v>
      </c>
      <c r="AX52" s="229">
        <v>0</v>
      </c>
      <c r="AY52" s="230">
        <v>0</v>
      </c>
      <c r="AZ52" s="228" t="str">
        <f t="shared" si="210"/>
        <v>-</v>
      </c>
      <c r="BA52" s="229">
        <v>0</v>
      </c>
      <c r="BB52" s="230">
        <v>0</v>
      </c>
      <c r="BC52" s="228" t="str">
        <f t="shared" si="239"/>
        <v>-</v>
      </c>
      <c r="BD52" s="229">
        <v>0</v>
      </c>
      <c r="BE52" s="230">
        <v>0</v>
      </c>
      <c r="BF52" s="228" t="str">
        <f t="shared" si="212"/>
        <v>-</v>
      </c>
      <c r="BG52" s="229">
        <v>0</v>
      </c>
      <c r="BH52" s="230">
        <v>0</v>
      </c>
      <c r="BI52" s="228" t="str">
        <f t="shared" si="213"/>
        <v>-</v>
      </c>
      <c r="BJ52" s="229">
        <v>0</v>
      </c>
      <c r="BK52" s="230">
        <v>0</v>
      </c>
      <c r="BL52" s="228" t="str">
        <f t="shared" si="214"/>
        <v>-</v>
      </c>
      <c r="BM52" s="236">
        <f t="shared" si="217"/>
        <v>488</v>
      </c>
      <c r="BN52" s="237">
        <f t="shared" si="217"/>
        <v>69</v>
      </c>
      <c r="BO52" s="238">
        <f t="shared" si="218"/>
        <v>7.0724637681159424</v>
      </c>
    </row>
    <row r="53" spans="1:67" ht="20.399999999999999" thickBot="1" x14ac:dyDescent="0.45">
      <c r="A53" s="224">
        <v>45304</v>
      </c>
      <c r="B53" s="229">
        <v>86</v>
      </c>
      <c r="C53" s="230">
        <v>10</v>
      </c>
      <c r="D53" s="227">
        <f t="shared" si="219"/>
        <v>8.6</v>
      </c>
      <c r="E53" s="229">
        <v>15</v>
      </c>
      <c r="F53" s="230">
        <v>3</v>
      </c>
      <c r="G53" s="227">
        <f t="shared" si="220"/>
        <v>5</v>
      </c>
      <c r="H53" s="239">
        <v>0</v>
      </c>
      <c r="I53" s="230">
        <v>0</v>
      </c>
      <c r="J53" s="228" t="s">
        <v>32</v>
      </c>
      <c r="K53" s="239">
        <v>0</v>
      </c>
      <c r="L53" s="230">
        <v>0</v>
      </c>
      <c r="M53" s="228" t="s">
        <v>32</v>
      </c>
      <c r="N53" s="239">
        <v>17</v>
      </c>
      <c r="O53" s="230">
        <v>3</v>
      </c>
      <c r="P53" s="227">
        <f t="shared" si="215"/>
        <v>5.666666666666667</v>
      </c>
      <c r="Q53" s="229">
        <v>445</v>
      </c>
      <c r="R53" s="230">
        <v>63</v>
      </c>
      <c r="S53" s="227">
        <f t="shared" si="216"/>
        <v>7.0634920634920633</v>
      </c>
      <c r="T53" s="232">
        <v>0</v>
      </c>
      <c r="U53" s="233">
        <v>0</v>
      </c>
      <c r="V53" s="228" t="str">
        <f t="shared" si="244"/>
        <v>-</v>
      </c>
      <c r="W53" s="229">
        <v>0</v>
      </c>
      <c r="X53" s="230">
        <v>0</v>
      </c>
      <c r="Y53" s="228" t="str">
        <f t="shared" ref="Y53:Y58" si="246">IF(X53=0,"-",W53/X53)</f>
        <v>-</v>
      </c>
      <c r="Z53" s="229">
        <v>0</v>
      </c>
      <c r="AA53" s="230">
        <v>0</v>
      </c>
      <c r="AB53" s="228" t="str">
        <f t="shared" si="202"/>
        <v>-</v>
      </c>
      <c r="AC53" s="229">
        <v>0</v>
      </c>
      <c r="AD53" s="230">
        <v>0</v>
      </c>
      <c r="AE53" s="228" t="str">
        <f t="shared" si="245"/>
        <v>-</v>
      </c>
      <c r="AF53" s="229">
        <v>0</v>
      </c>
      <c r="AG53" s="230">
        <v>0</v>
      </c>
      <c r="AH53" s="228" t="str">
        <f t="shared" si="204"/>
        <v>-</v>
      </c>
      <c r="AI53" s="229">
        <v>0</v>
      </c>
      <c r="AJ53" s="230">
        <v>0</v>
      </c>
      <c r="AK53" s="228" t="str">
        <f t="shared" si="242"/>
        <v>-</v>
      </c>
      <c r="AL53" s="229">
        <v>0</v>
      </c>
      <c r="AM53" s="230">
        <v>0</v>
      </c>
      <c r="AN53" s="228" t="str">
        <f t="shared" ref="AN53:AN54" si="247">IF(AM53=0,"-",AL53/AM53)</f>
        <v>-</v>
      </c>
      <c r="AO53" s="229">
        <v>0</v>
      </c>
      <c r="AP53" s="230">
        <v>0</v>
      </c>
      <c r="AQ53" s="228" t="str">
        <f t="shared" si="235"/>
        <v>-</v>
      </c>
      <c r="AR53" s="229">
        <v>0</v>
      </c>
      <c r="AS53" s="230">
        <v>0</v>
      </c>
      <c r="AT53" s="228" t="str">
        <f t="shared" si="236"/>
        <v>-</v>
      </c>
      <c r="AU53" s="229">
        <v>0</v>
      </c>
      <c r="AV53" s="230">
        <v>0</v>
      </c>
      <c r="AW53" s="228" t="str">
        <f t="shared" si="237"/>
        <v>-</v>
      </c>
      <c r="AX53" s="229">
        <v>0</v>
      </c>
      <c r="AY53" s="230">
        <v>0</v>
      </c>
      <c r="AZ53" s="228" t="str">
        <f t="shared" si="210"/>
        <v>-</v>
      </c>
      <c r="BA53" s="229">
        <v>6</v>
      </c>
      <c r="BB53" s="230">
        <v>1</v>
      </c>
      <c r="BC53" s="227">
        <f t="shared" si="225"/>
        <v>6</v>
      </c>
      <c r="BD53" s="229">
        <v>0</v>
      </c>
      <c r="BE53" s="230">
        <v>0</v>
      </c>
      <c r="BF53" s="228" t="str">
        <f t="shared" si="212"/>
        <v>-</v>
      </c>
      <c r="BG53" s="229">
        <v>0</v>
      </c>
      <c r="BH53" s="230">
        <v>0</v>
      </c>
      <c r="BI53" s="228" t="str">
        <f t="shared" si="213"/>
        <v>-</v>
      </c>
      <c r="BJ53" s="229">
        <v>0</v>
      </c>
      <c r="BK53" s="230">
        <v>0</v>
      </c>
      <c r="BL53" s="228" t="str">
        <f t="shared" si="214"/>
        <v>-</v>
      </c>
      <c r="BM53" s="236">
        <f t="shared" si="217"/>
        <v>569</v>
      </c>
      <c r="BN53" s="237">
        <f t="shared" si="217"/>
        <v>80</v>
      </c>
      <c r="BO53" s="238">
        <f t="shared" si="218"/>
        <v>7.1124999999999998</v>
      </c>
    </row>
    <row r="54" spans="1:67" ht="20.399999999999999" thickBot="1" x14ac:dyDescent="0.45">
      <c r="A54" s="224">
        <v>45305</v>
      </c>
      <c r="B54" s="229">
        <v>26</v>
      </c>
      <c r="C54" s="230">
        <v>3</v>
      </c>
      <c r="D54" s="227">
        <f>IF(C54=0,"",B54/C54)</f>
        <v>8.6666666666666661</v>
      </c>
      <c r="E54" s="239">
        <v>0</v>
      </c>
      <c r="F54" s="230">
        <v>0</v>
      </c>
      <c r="G54" s="228" t="s">
        <v>32</v>
      </c>
      <c r="H54" s="229">
        <v>6</v>
      </c>
      <c r="I54" s="230">
        <v>1</v>
      </c>
      <c r="J54" s="227">
        <f t="shared" si="221"/>
        <v>6</v>
      </c>
      <c r="K54" s="239">
        <v>0</v>
      </c>
      <c r="L54" s="230">
        <v>0</v>
      </c>
      <c r="M54" s="228" t="s">
        <v>32</v>
      </c>
      <c r="N54" s="239">
        <v>11</v>
      </c>
      <c r="O54" s="230">
        <v>2</v>
      </c>
      <c r="P54" s="227">
        <f t="shared" si="215"/>
        <v>5.5</v>
      </c>
      <c r="Q54" s="229">
        <v>21</v>
      </c>
      <c r="R54" s="230">
        <v>5</v>
      </c>
      <c r="S54" s="227">
        <f t="shared" si="216"/>
        <v>4.2</v>
      </c>
      <c r="T54" s="232">
        <v>0</v>
      </c>
      <c r="U54" s="233">
        <v>0</v>
      </c>
      <c r="V54" s="228" t="str">
        <f t="shared" si="244"/>
        <v>-</v>
      </c>
      <c r="W54" s="229">
        <v>0</v>
      </c>
      <c r="X54" s="230">
        <v>0</v>
      </c>
      <c r="Y54" s="228" t="str">
        <f t="shared" si="246"/>
        <v>-</v>
      </c>
      <c r="Z54" s="229">
        <v>0</v>
      </c>
      <c r="AA54" s="230">
        <v>0</v>
      </c>
      <c r="AB54" s="228" t="str">
        <f t="shared" si="202"/>
        <v>-</v>
      </c>
      <c r="AC54" s="229">
        <v>0</v>
      </c>
      <c r="AD54" s="230">
        <v>0</v>
      </c>
      <c r="AE54" s="228" t="str">
        <f t="shared" si="245"/>
        <v>-</v>
      </c>
      <c r="AF54" s="229">
        <v>0</v>
      </c>
      <c r="AG54" s="230">
        <v>0</v>
      </c>
      <c r="AH54" s="228" t="str">
        <f t="shared" si="204"/>
        <v>-</v>
      </c>
      <c r="AI54" s="229">
        <v>0</v>
      </c>
      <c r="AJ54" s="230">
        <v>0</v>
      </c>
      <c r="AK54" s="228" t="str">
        <f t="shared" si="242"/>
        <v>-</v>
      </c>
      <c r="AL54" s="229">
        <v>0</v>
      </c>
      <c r="AM54" s="230">
        <v>0</v>
      </c>
      <c r="AN54" s="228" t="str">
        <f t="shared" si="247"/>
        <v>-</v>
      </c>
      <c r="AO54" s="229">
        <v>0</v>
      </c>
      <c r="AP54" s="230">
        <v>0</v>
      </c>
      <c r="AQ54" s="228" t="str">
        <f t="shared" si="235"/>
        <v>-</v>
      </c>
      <c r="AR54" s="229">
        <v>0</v>
      </c>
      <c r="AS54" s="230">
        <v>0</v>
      </c>
      <c r="AT54" s="228" t="str">
        <f t="shared" si="236"/>
        <v>-</v>
      </c>
      <c r="AU54" s="229">
        <v>0</v>
      </c>
      <c r="AV54" s="230">
        <v>0</v>
      </c>
      <c r="AW54" s="228" t="str">
        <f t="shared" si="237"/>
        <v>-</v>
      </c>
      <c r="AX54" s="229">
        <v>0</v>
      </c>
      <c r="AY54" s="230">
        <v>0</v>
      </c>
      <c r="AZ54" s="228" t="str">
        <f t="shared" si="210"/>
        <v>-</v>
      </c>
      <c r="BA54" s="229">
        <v>0</v>
      </c>
      <c r="BB54" s="230">
        <v>0</v>
      </c>
      <c r="BC54" s="228" t="str">
        <f t="shared" ref="BC54" si="248">IF(BB54=0,"-",BA54/BB54)</f>
        <v>-</v>
      </c>
      <c r="BD54" s="229">
        <v>0</v>
      </c>
      <c r="BE54" s="230">
        <v>0</v>
      </c>
      <c r="BF54" s="228" t="str">
        <f t="shared" si="212"/>
        <v>-</v>
      </c>
      <c r="BG54" s="229">
        <v>0</v>
      </c>
      <c r="BH54" s="230">
        <v>0</v>
      </c>
      <c r="BI54" s="228" t="str">
        <f t="shared" si="213"/>
        <v>-</v>
      </c>
      <c r="BJ54" s="229">
        <v>0</v>
      </c>
      <c r="BK54" s="230">
        <v>0</v>
      </c>
      <c r="BL54" s="228" t="str">
        <f t="shared" si="214"/>
        <v>-</v>
      </c>
      <c r="BM54" s="236">
        <f t="shared" si="217"/>
        <v>64</v>
      </c>
      <c r="BN54" s="237">
        <f t="shared" si="217"/>
        <v>11</v>
      </c>
      <c r="BO54" s="238">
        <f t="shared" si="218"/>
        <v>5.8181818181818183</v>
      </c>
    </row>
    <row r="55" spans="1:67" ht="20.399999999999999" thickBot="1" x14ac:dyDescent="0.45">
      <c r="A55" s="224">
        <v>45306</v>
      </c>
      <c r="B55" s="229">
        <v>54</v>
      </c>
      <c r="C55" s="230">
        <v>6</v>
      </c>
      <c r="D55" s="227">
        <f>IF(C55=0,"",B55/C55)</f>
        <v>9</v>
      </c>
      <c r="E55" s="239">
        <v>0</v>
      </c>
      <c r="F55" s="230">
        <v>0</v>
      </c>
      <c r="G55" s="228" t="s">
        <v>32</v>
      </c>
      <c r="H55" s="229">
        <v>0</v>
      </c>
      <c r="I55" s="230">
        <v>0</v>
      </c>
      <c r="J55" s="228" t="s">
        <v>32</v>
      </c>
      <c r="K55" s="239">
        <v>0</v>
      </c>
      <c r="L55" s="230">
        <v>0</v>
      </c>
      <c r="M55" s="228" t="s">
        <v>32</v>
      </c>
      <c r="N55" s="229">
        <v>37</v>
      </c>
      <c r="O55" s="230">
        <v>7</v>
      </c>
      <c r="P55" s="227">
        <f t="shared" si="215"/>
        <v>5.2857142857142856</v>
      </c>
      <c r="Q55" s="229">
        <v>6</v>
      </c>
      <c r="R55" s="230">
        <v>1</v>
      </c>
      <c r="S55" s="227">
        <f t="shared" si="216"/>
        <v>6</v>
      </c>
      <c r="T55" s="232">
        <v>0</v>
      </c>
      <c r="U55" s="233">
        <v>0</v>
      </c>
      <c r="V55" s="228" t="str">
        <f t="shared" si="244"/>
        <v>-</v>
      </c>
      <c r="W55" s="229">
        <v>0</v>
      </c>
      <c r="X55" s="230">
        <v>0</v>
      </c>
      <c r="Y55" s="228" t="str">
        <f t="shared" si="246"/>
        <v>-</v>
      </c>
      <c r="Z55" s="229">
        <v>0</v>
      </c>
      <c r="AA55" s="230">
        <v>0</v>
      </c>
      <c r="AB55" s="228" t="str">
        <f t="shared" si="202"/>
        <v>-</v>
      </c>
      <c r="AC55" s="229">
        <v>0</v>
      </c>
      <c r="AD55" s="230">
        <v>0</v>
      </c>
      <c r="AE55" s="228" t="str">
        <f t="shared" si="245"/>
        <v>-</v>
      </c>
      <c r="AF55" s="229">
        <v>0</v>
      </c>
      <c r="AG55" s="230">
        <v>0</v>
      </c>
      <c r="AH55" s="228" t="str">
        <f t="shared" si="204"/>
        <v>-</v>
      </c>
      <c r="AI55" s="239">
        <v>20</v>
      </c>
      <c r="AJ55" s="230">
        <v>4</v>
      </c>
      <c r="AK55" s="227">
        <f t="shared" si="227"/>
        <v>5</v>
      </c>
      <c r="AL55" s="239">
        <v>6</v>
      </c>
      <c r="AM55" s="230">
        <v>1</v>
      </c>
      <c r="AN55" s="227">
        <f t="shared" si="228"/>
        <v>6</v>
      </c>
      <c r="AO55" s="229">
        <v>0</v>
      </c>
      <c r="AP55" s="230">
        <v>0</v>
      </c>
      <c r="AQ55" s="228" t="str">
        <f t="shared" si="235"/>
        <v>-</v>
      </c>
      <c r="AR55" s="229">
        <v>0</v>
      </c>
      <c r="AS55" s="230">
        <v>0</v>
      </c>
      <c r="AT55" s="228" t="str">
        <f t="shared" si="236"/>
        <v>-</v>
      </c>
      <c r="AU55" s="229">
        <v>7</v>
      </c>
      <c r="AV55" s="230">
        <v>1</v>
      </c>
      <c r="AW55" s="227">
        <f t="shared" si="234"/>
        <v>7</v>
      </c>
      <c r="AX55" s="229">
        <v>0</v>
      </c>
      <c r="AY55" s="230">
        <v>0</v>
      </c>
      <c r="AZ55" s="228" t="str">
        <f t="shared" si="210"/>
        <v>-</v>
      </c>
      <c r="BA55" s="229">
        <v>6</v>
      </c>
      <c r="BB55" s="230">
        <v>1</v>
      </c>
      <c r="BC55" s="227">
        <f t="shared" si="225"/>
        <v>6</v>
      </c>
      <c r="BD55" s="229">
        <v>0</v>
      </c>
      <c r="BE55" s="230">
        <v>0</v>
      </c>
      <c r="BF55" s="228" t="str">
        <f t="shared" si="212"/>
        <v>-</v>
      </c>
      <c r="BG55" s="229">
        <v>1</v>
      </c>
      <c r="BH55" s="230">
        <v>1</v>
      </c>
      <c r="BI55" s="228">
        <f t="shared" si="213"/>
        <v>1</v>
      </c>
      <c r="BJ55" s="229">
        <v>0</v>
      </c>
      <c r="BK55" s="230">
        <v>0</v>
      </c>
      <c r="BL55" s="228" t="str">
        <f t="shared" si="214"/>
        <v>-</v>
      </c>
      <c r="BM55" s="236">
        <f t="shared" si="217"/>
        <v>137</v>
      </c>
      <c r="BN55" s="237">
        <f t="shared" si="217"/>
        <v>22</v>
      </c>
      <c r="BO55" s="238">
        <f t="shared" si="218"/>
        <v>6.2272727272727275</v>
      </c>
    </row>
    <row r="56" spans="1:67" ht="20.399999999999999" thickBot="1" x14ac:dyDescent="0.45">
      <c r="A56" s="224">
        <v>45307</v>
      </c>
      <c r="B56" s="229">
        <v>41</v>
      </c>
      <c r="C56" s="230">
        <v>6</v>
      </c>
      <c r="D56" s="227">
        <f t="shared" si="219"/>
        <v>6.833333333333333</v>
      </c>
      <c r="E56" s="229">
        <v>8</v>
      </c>
      <c r="F56" s="230">
        <v>1</v>
      </c>
      <c r="G56" s="227">
        <f t="shared" ref="G56" si="249">IF(F56=0,"",E56/F56)</f>
        <v>8</v>
      </c>
      <c r="H56" s="229">
        <v>8</v>
      </c>
      <c r="I56" s="230">
        <v>1</v>
      </c>
      <c r="J56" s="227">
        <f t="shared" ref="J56" si="250">IF(I56=0,"",H56/I56)</f>
        <v>8</v>
      </c>
      <c r="K56" s="239">
        <v>0</v>
      </c>
      <c r="L56" s="230">
        <v>0</v>
      </c>
      <c r="M56" s="228" t="s">
        <v>32</v>
      </c>
      <c r="N56" s="229">
        <v>40</v>
      </c>
      <c r="O56" s="230">
        <v>7</v>
      </c>
      <c r="P56" s="227">
        <f t="shared" si="215"/>
        <v>5.7142857142857144</v>
      </c>
      <c r="Q56" s="229">
        <v>0</v>
      </c>
      <c r="R56" s="230">
        <v>0</v>
      </c>
      <c r="S56" s="228" t="s">
        <v>32</v>
      </c>
      <c r="T56" s="229">
        <v>12</v>
      </c>
      <c r="U56" s="230">
        <v>2</v>
      </c>
      <c r="V56" s="227">
        <f t="shared" si="240"/>
        <v>6</v>
      </c>
      <c r="W56" s="229">
        <v>0</v>
      </c>
      <c r="X56" s="230">
        <v>0</v>
      </c>
      <c r="Y56" s="228" t="str">
        <f t="shared" si="246"/>
        <v>-</v>
      </c>
      <c r="Z56" s="229">
        <v>0</v>
      </c>
      <c r="AA56" s="230">
        <v>0</v>
      </c>
      <c r="AB56" s="228" t="str">
        <f t="shared" si="202"/>
        <v>-</v>
      </c>
      <c r="AC56" s="229">
        <v>0</v>
      </c>
      <c r="AD56" s="230">
        <v>0</v>
      </c>
      <c r="AE56" s="228" t="str">
        <f t="shared" si="245"/>
        <v>-</v>
      </c>
      <c r="AF56" s="229">
        <v>0</v>
      </c>
      <c r="AG56" s="230">
        <v>0</v>
      </c>
      <c r="AH56" s="228" t="str">
        <f t="shared" si="204"/>
        <v>-</v>
      </c>
      <c r="AI56" s="239">
        <v>7</v>
      </c>
      <c r="AJ56" s="230">
        <v>1</v>
      </c>
      <c r="AK56" s="227">
        <f t="shared" si="227"/>
        <v>7</v>
      </c>
      <c r="AL56" s="239">
        <v>20</v>
      </c>
      <c r="AM56" s="230">
        <v>3</v>
      </c>
      <c r="AN56" s="227">
        <f t="shared" si="228"/>
        <v>6.666666666666667</v>
      </c>
      <c r="AO56" s="229">
        <v>0</v>
      </c>
      <c r="AP56" s="230">
        <v>0</v>
      </c>
      <c r="AQ56" s="228" t="str">
        <f t="shared" si="235"/>
        <v>-</v>
      </c>
      <c r="AR56" s="229">
        <v>0</v>
      </c>
      <c r="AS56" s="230">
        <v>0</v>
      </c>
      <c r="AT56" s="228" t="str">
        <f t="shared" si="236"/>
        <v>-</v>
      </c>
      <c r="AU56" s="229">
        <v>0</v>
      </c>
      <c r="AV56" s="230">
        <v>0</v>
      </c>
      <c r="AW56" s="228" t="str">
        <f t="shared" ref="AW56:AW60" si="251">IF(AV56=0,"-",AU56/AV56)</f>
        <v>-</v>
      </c>
      <c r="AX56" s="229">
        <v>0</v>
      </c>
      <c r="AY56" s="230">
        <v>0</v>
      </c>
      <c r="AZ56" s="228" t="str">
        <f t="shared" si="210"/>
        <v>-</v>
      </c>
      <c r="BA56" s="229">
        <v>0</v>
      </c>
      <c r="BB56" s="230">
        <v>0</v>
      </c>
      <c r="BC56" s="228" t="str">
        <f t="shared" ref="BC56" si="252">IF(BB56=0,"-",BA56/BB56)</f>
        <v>-</v>
      </c>
      <c r="BD56" s="229">
        <v>0</v>
      </c>
      <c r="BE56" s="230">
        <v>0</v>
      </c>
      <c r="BF56" s="228" t="str">
        <f t="shared" si="212"/>
        <v>-</v>
      </c>
      <c r="BG56" s="229">
        <v>0</v>
      </c>
      <c r="BH56" s="230">
        <v>0</v>
      </c>
      <c r="BI56" s="228" t="str">
        <f t="shared" si="213"/>
        <v>-</v>
      </c>
      <c r="BJ56" s="229">
        <v>0</v>
      </c>
      <c r="BK56" s="230">
        <v>0</v>
      </c>
      <c r="BL56" s="228" t="str">
        <f t="shared" si="214"/>
        <v>-</v>
      </c>
      <c r="BM56" s="236">
        <f t="shared" si="217"/>
        <v>124</v>
      </c>
      <c r="BN56" s="237">
        <f t="shared" si="217"/>
        <v>19</v>
      </c>
      <c r="BO56" s="238">
        <f t="shared" si="218"/>
        <v>6.5263157894736841</v>
      </c>
    </row>
    <row r="57" spans="1:67" ht="20.399999999999999" thickBot="1" x14ac:dyDescent="0.45">
      <c r="A57" s="224">
        <v>45308</v>
      </c>
      <c r="B57" s="229">
        <v>41</v>
      </c>
      <c r="C57" s="230">
        <v>5</v>
      </c>
      <c r="D57" s="227">
        <f t="shared" si="219"/>
        <v>8.1999999999999993</v>
      </c>
      <c r="E57" s="229">
        <v>0</v>
      </c>
      <c r="F57" s="230">
        <v>0</v>
      </c>
      <c r="G57" s="228" t="s">
        <v>32</v>
      </c>
      <c r="H57" s="229">
        <v>0</v>
      </c>
      <c r="I57" s="230">
        <v>0</v>
      </c>
      <c r="J57" s="228" t="s">
        <v>32</v>
      </c>
      <c r="K57" s="239">
        <v>0</v>
      </c>
      <c r="L57" s="230">
        <v>0</v>
      </c>
      <c r="M57" s="228" t="s">
        <v>32</v>
      </c>
      <c r="N57" s="229">
        <v>33</v>
      </c>
      <c r="O57" s="230">
        <v>6</v>
      </c>
      <c r="P57" s="227">
        <f t="shared" si="215"/>
        <v>5.5</v>
      </c>
      <c r="Q57" s="229">
        <v>0</v>
      </c>
      <c r="R57" s="230">
        <v>0</v>
      </c>
      <c r="S57" s="228" t="s">
        <v>32</v>
      </c>
      <c r="T57" s="232">
        <v>0</v>
      </c>
      <c r="U57" s="233">
        <v>0</v>
      </c>
      <c r="V57" s="228" t="str">
        <f t="shared" ref="V57:V60" si="253">IF(U57=0,"-",T57/U57)</f>
        <v>-</v>
      </c>
      <c r="W57" s="229">
        <v>0</v>
      </c>
      <c r="X57" s="230">
        <v>0</v>
      </c>
      <c r="Y57" s="228" t="str">
        <f t="shared" si="246"/>
        <v>-</v>
      </c>
      <c r="Z57" s="229">
        <v>0</v>
      </c>
      <c r="AA57" s="230">
        <v>0</v>
      </c>
      <c r="AB57" s="228" t="str">
        <f t="shared" si="202"/>
        <v>-</v>
      </c>
      <c r="AC57" s="229">
        <v>0</v>
      </c>
      <c r="AD57" s="230">
        <v>0</v>
      </c>
      <c r="AE57" s="228" t="str">
        <f t="shared" si="245"/>
        <v>-</v>
      </c>
      <c r="AF57" s="229">
        <v>0</v>
      </c>
      <c r="AG57" s="230">
        <v>0</v>
      </c>
      <c r="AH57" s="228" t="str">
        <f t="shared" si="204"/>
        <v>-</v>
      </c>
      <c r="AI57" s="229">
        <v>0</v>
      </c>
      <c r="AJ57" s="230">
        <v>0</v>
      </c>
      <c r="AK57" s="228" t="str">
        <f t="shared" ref="AK57:AK65" si="254">IF(AJ57=0,"-",AI57/AJ57)</f>
        <v>-</v>
      </c>
      <c r="AL57" s="239">
        <v>14</v>
      </c>
      <c r="AM57" s="230">
        <v>2</v>
      </c>
      <c r="AN57" s="227">
        <f t="shared" si="228"/>
        <v>7</v>
      </c>
      <c r="AO57" s="229">
        <v>0</v>
      </c>
      <c r="AP57" s="230">
        <v>0</v>
      </c>
      <c r="AQ57" s="228" t="str">
        <f t="shared" si="235"/>
        <v>-</v>
      </c>
      <c r="AR57" s="229">
        <v>42</v>
      </c>
      <c r="AS57" s="230">
        <v>6</v>
      </c>
      <c r="AT57" s="227">
        <f t="shared" si="230"/>
        <v>7</v>
      </c>
      <c r="AU57" s="229">
        <v>0</v>
      </c>
      <c r="AV57" s="230">
        <v>0</v>
      </c>
      <c r="AW57" s="228" t="str">
        <f t="shared" si="251"/>
        <v>-</v>
      </c>
      <c r="AX57" s="229">
        <v>0</v>
      </c>
      <c r="AY57" s="230">
        <v>0</v>
      </c>
      <c r="AZ57" s="228" t="str">
        <f t="shared" si="210"/>
        <v>-</v>
      </c>
      <c r="BA57" s="229">
        <v>7</v>
      </c>
      <c r="BB57" s="230">
        <v>1</v>
      </c>
      <c r="BC57" s="227">
        <f t="shared" si="225"/>
        <v>7</v>
      </c>
      <c r="BD57" s="229">
        <v>0</v>
      </c>
      <c r="BE57" s="230">
        <v>0</v>
      </c>
      <c r="BF57" s="228" t="str">
        <f t="shared" si="212"/>
        <v>-</v>
      </c>
      <c r="BG57" s="229">
        <v>0</v>
      </c>
      <c r="BH57" s="230">
        <v>0</v>
      </c>
      <c r="BI57" s="228" t="str">
        <f t="shared" si="213"/>
        <v>-</v>
      </c>
      <c r="BJ57" s="229">
        <v>0</v>
      </c>
      <c r="BK57" s="230">
        <v>0</v>
      </c>
      <c r="BL57" s="228" t="str">
        <f t="shared" si="214"/>
        <v>-</v>
      </c>
      <c r="BM57" s="236">
        <f t="shared" si="217"/>
        <v>137</v>
      </c>
      <c r="BN57" s="237">
        <f t="shared" si="217"/>
        <v>20</v>
      </c>
      <c r="BO57" s="238">
        <f t="shared" si="218"/>
        <v>6.85</v>
      </c>
    </row>
    <row r="58" spans="1:67" ht="20.399999999999999" thickBot="1" x14ac:dyDescent="0.45">
      <c r="A58" s="224">
        <v>45309</v>
      </c>
      <c r="B58" s="229">
        <v>25</v>
      </c>
      <c r="C58" s="230">
        <v>3</v>
      </c>
      <c r="D58" s="227">
        <f t="shared" si="219"/>
        <v>8.3333333333333339</v>
      </c>
      <c r="E58" s="229">
        <v>11</v>
      </c>
      <c r="F58" s="230">
        <v>2</v>
      </c>
      <c r="G58" s="227">
        <f>IF(F58=0,"",E58/F58)</f>
        <v>5.5</v>
      </c>
      <c r="H58" s="229">
        <v>6</v>
      </c>
      <c r="I58" s="230">
        <v>1</v>
      </c>
      <c r="J58" s="227">
        <f t="shared" si="221"/>
        <v>6</v>
      </c>
      <c r="K58" s="239">
        <v>0</v>
      </c>
      <c r="L58" s="230">
        <v>0</v>
      </c>
      <c r="M58" s="228" t="s">
        <v>32</v>
      </c>
      <c r="N58" s="239">
        <v>29</v>
      </c>
      <c r="O58" s="230">
        <v>5</v>
      </c>
      <c r="P58" s="227">
        <f t="shared" si="215"/>
        <v>5.8</v>
      </c>
      <c r="Q58" s="229">
        <v>5</v>
      </c>
      <c r="R58" s="230">
        <v>1</v>
      </c>
      <c r="S58" s="227">
        <f t="shared" si="216"/>
        <v>5</v>
      </c>
      <c r="T58" s="232">
        <v>0</v>
      </c>
      <c r="U58" s="233">
        <v>0</v>
      </c>
      <c r="V58" s="228" t="str">
        <f t="shared" si="253"/>
        <v>-</v>
      </c>
      <c r="W58" s="229">
        <v>0</v>
      </c>
      <c r="X58" s="230">
        <v>0</v>
      </c>
      <c r="Y58" s="228" t="str">
        <f t="shared" si="246"/>
        <v>-</v>
      </c>
      <c r="Z58" s="229">
        <v>0</v>
      </c>
      <c r="AA58" s="230">
        <v>0</v>
      </c>
      <c r="AB58" s="228" t="str">
        <f t="shared" si="202"/>
        <v>-</v>
      </c>
      <c r="AC58" s="229">
        <v>0</v>
      </c>
      <c r="AD58" s="230">
        <v>0</v>
      </c>
      <c r="AE58" s="228" t="str">
        <f t="shared" si="245"/>
        <v>-</v>
      </c>
      <c r="AF58" s="229">
        <v>0</v>
      </c>
      <c r="AG58" s="230">
        <v>0</v>
      </c>
      <c r="AH58" s="228" t="str">
        <f t="shared" si="204"/>
        <v>-</v>
      </c>
      <c r="AI58" s="229">
        <v>0</v>
      </c>
      <c r="AJ58" s="230">
        <v>0</v>
      </c>
      <c r="AK58" s="228" t="str">
        <f t="shared" si="254"/>
        <v>-</v>
      </c>
      <c r="AL58" s="229">
        <v>0</v>
      </c>
      <c r="AM58" s="230">
        <v>0</v>
      </c>
      <c r="AN58" s="228" t="str">
        <f t="shared" ref="AN58:AN61" si="255">IF(AM58=0,"-",AL58/AM58)</f>
        <v>-</v>
      </c>
      <c r="AO58" s="229">
        <v>6</v>
      </c>
      <c r="AP58" s="230">
        <v>1</v>
      </c>
      <c r="AQ58" s="227">
        <f t="shared" si="229"/>
        <v>6</v>
      </c>
      <c r="AR58" s="229">
        <v>7</v>
      </c>
      <c r="AS58" s="230">
        <v>1</v>
      </c>
      <c r="AT58" s="227">
        <f t="shared" si="230"/>
        <v>7</v>
      </c>
      <c r="AU58" s="229">
        <v>0</v>
      </c>
      <c r="AV58" s="230">
        <v>0</v>
      </c>
      <c r="AW58" s="228" t="str">
        <f t="shared" si="251"/>
        <v>-</v>
      </c>
      <c r="AX58" s="229">
        <v>0</v>
      </c>
      <c r="AY58" s="230">
        <v>0</v>
      </c>
      <c r="AZ58" s="228" t="str">
        <f t="shared" si="210"/>
        <v>-</v>
      </c>
      <c r="BA58" s="229">
        <v>6</v>
      </c>
      <c r="BB58" s="230">
        <v>2</v>
      </c>
      <c r="BC58" s="227">
        <f t="shared" si="225"/>
        <v>3</v>
      </c>
      <c r="BD58" s="229">
        <v>0</v>
      </c>
      <c r="BE58" s="230">
        <v>0</v>
      </c>
      <c r="BF58" s="228" t="str">
        <f t="shared" si="212"/>
        <v>-</v>
      </c>
      <c r="BG58" s="229">
        <v>0</v>
      </c>
      <c r="BH58" s="230">
        <v>0</v>
      </c>
      <c r="BI58" s="228" t="str">
        <f t="shared" si="213"/>
        <v>-</v>
      </c>
      <c r="BJ58" s="229">
        <v>0</v>
      </c>
      <c r="BK58" s="230">
        <v>0</v>
      </c>
      <c r="BL58" s="228" t="str">
        <f t="shared" si="214"/>
        <v>-</v>
      </c>
      <c r="BM58" s="236">
        <f t="shared" si="217"/>
        <v>95</v>
      </c>
      <c r="BN58" s="237">
        <f t="shared" si="217"/>
        <v>16</v>
      </c>
      <c r="BO58" s="238">
        <f t="shared" si="218"/>
        <v>5.9375</v>
      </c>
    </row>
    <row r="59" spans="1:67" ht="20.399999999999999" thickBot="1" x14ac:dyDescent="0.45">
      <c r="A59" s="224">
        <v>45310</v>
      </c>
      <c r="B59" s="229">
        <v>87</v>
      </c>
      <c r="C59" s="230">
        <v>9</v>
      </c>
      <c r="D59" s="227">
        <f t="shared" si="219"/>
        <v>9.6666666666666661</v>
      </c>
      <c r="E59" s="229">
        <v>5</v>
      </c>
      <c r="F59" s="248">
        <v>1</v>
      </c>
      <c r="G59" s="227">
        <f t="shared" ref="G59:G60" si="256">IF(F59=0,"",E59/F59)</f>
        <v>5</v>
      </c>
      <c r="H59" s="229">
        <v>0</v>
      </c>
      <c r="I59" s="230">
        <v>0</v>
      </c>
      <c r="J59" s="228" t="s">
        <v>32</v>
      </c>
      <c r="K59" s="239">
        <v>0</v>
      </c>
      <c r="L59" s="230">
        <v>0</v>
      </c>
      <c r="M59" s="228" t="s">
        <v>32</v>
      </c>
      <c r="N59" s="239">
        <v>67</v>
      </c>
      <c r="O59" s="230">
        <v>12</v>
      </c>
      <c r="P59" s="227">
        <f t="shared" si="215"/>
        <v>5.583333333333333</v>
      </c>
      <c r="Q59" s="229">
        <v>122</v>
      </c>
      <c r="R59" s="230">
        <v>20</v>
      </c>
      <c r="S59" s="227">
        <f t="shared" si="216"/>
        <v>6.1</v>
      </c>
      <c r="T59" s="232">
        <v>0</v>
      </c>
      <c r="U59" s="233">
        <v>0</v>
      </c>
      <c r="V59" s="228" t="str">
        <f t="shared" si="253"/>
        <v>-</v>
      </c>
      <c r="W59" s="229">
        <v>9</v>
      </c>
      <c r="X59" s="230">
        <v>1</v>
      </c>
      <c r="Y59" s="227">
        <f t="shared" si="226"/>
        <v>9</v>
      </c>
      <c r="Z59" s="229">
        <v>0</v>
      </c>
      <c r="AA59" s="230">
        <v>0</v>
      </c>
      <c r="AB59" s="228" t="str">
        <f t="shared" si="202"/>
        <v>-</v>
      </c>
      <c r="AC59" s="229">
        <v>1</v>
      </c>
      <c r="AD59" s="230">
        <v>1</v>
      </c>
      <c r="AE59" s="227">
        <f t="shared" si="238"/>
        <v>1</v>
      </c>
      <c r="AF59" s="229">
        <v>0</v>
      </c>
      <c r="AG59" s="230">
        <v>0</v>
      </c>
      <c r="AH59" s="228" t="str">
        <f t="shared" si="204"/>
        <v>-</v>
      </c>
      <c r="AI59" s="229">
        <v>0</v>
      </c>
      <c r="AJ59" s="230">
        <v>0</v>
      </c>
      <c r="AK59" s="228" t="str">
        <f t="shared" si="254"/>
        <v>-</v>
      </c>
      <c r="AL59" s="229">
        <v>0</v>
      </c>
      <c r="AM59" s="230">
        <v>0</v>
      </c>
      <c r="AN59" s="228" t="str">
        <f t="shared" si="255"/>
        <v>-</v>
      </c>
      <c r="AO59" s="229">
        <v>0</v>
      </c>
      <c r="AP59" s="230">
        <v>0</v>
      </c>
      <c r="AQ59" s="228" t="str">
        <f t="shared" ref="AQ59:AQ67" si="257">IF(AP59=0,"-",AO59/AP59)</f>
        <v>-</v>
      </c>
      <c r="AR59" s="229">
        <v>0</v>
      </c>
      <c r="AS59" s="230">
        <v>0</v>
      </c>
      <c r="AT59" s="228" t="str">
        <f t="shared" ref="AT59:AT67" si="258">IF(AS59=0,"-",AR59/AS59)</f>
        <v>-</v>
      </c>
      <c r="AU59" s="229">
        <v>0</v>
      </c>
      <c r="AV59" s="230">
        <v>0</v>
      </c>
      <c r="AW59" s="228" t="str">
        <f t="shared" si="251"/>
        <v>-</v>
      </c>
      <c r="AX59" s="229">
        <v>0</v>
      </c>
      <c r="AY59" s="230">
        <v>0</v>
      </c>
      <c r="AZ59" s="228" t="str">
        <f t="shared" si="210"/>
        <v>-</v>
      </c>
      <c r="BA59" s="229">
        <v>45</v>
      </c>
      <c r="BB59" s="230">
        <v>6</v>
      </c>
      <c r="BC59" s="227">
        <f t="shared" si="225"/>
        <v>7.5</v>
      </c>
      <c r="BD59" s="229">
        <v>0</v>
      </c>
      <c r="BE59" s="230">
        <v>0</v>
      </c>
      <c r="BF59" s="228" t="str">
        <f t="shared" si="212"/>
        <v>-</v>
      </c>
      <c r="BG59" s="229">
        <v>0</v>
      </c>
      <c r="BH59" s="230">
        <v>0</v>
      </c>
      <c r="BI59" s="228" t="str">
        <f t="shared" si="213"/>
        <v>-</v>
      </c>
      <c r="BJ59" s="229">
        <v>0</v>
      </c>
      <c r="BK59" s="230">
        <v>0</v>
      </c>
      <c r="BL59" s="228" t="str">
        <f t="shared" si="214"/>
        <v>-</v>
      </c>
      <c r="BM59" s="236">
        <f t="shared" si="217"/>
        <v>336</v>
      </c>
      <c r="BN59" s="237">
        <f>BK59+BH59+BE59+BB59+AY59+AV59+AS59+AP59+AM59+L59+R59+O59+I59+F60+AJ59+AG59+AD59+AA59+X59+C59</f>
        <v>50</v>
      </c>
      <c r="BO59" s="238">
        <f t="shared" si="218"/>
        <v>6.72</v>
      </c>
    </row>
    <row r="60" spans="1:67" ht="20.399999999999999" thickBot="1" x14ac:dyDescent="0.45">
      <c r="A60" s="224">
        <v>45311</v>
      </c>
      <c r="B60" s="229">
        <v>35</v>
      </c>
      <c r="C60" s="230">
        <v>5</v>
      </c>
      <c r="D60" s="227">
        <f t="shared" si="219"/>
        <v>7</v>
      </c>
      <c r="E60" s="229">
        <v>6</v>
      </c>
      <c r="F60" s="230">
        <v>1</v>
      </c>
      <c r="G60" s="227">
        <f t="shared" si="256"/>
        <v>6</v>
      </c>
      <c r="H60" s="229">
        <v>8</v>
      </c>
      <c r="I60" s="230">
        <v>1</v>
      </c>
      <c r="J60" s="227">
        <f t="shared" si="221"/>
        <v>8</v>
      </c>
      <c r="K60" s="239">
        <v>0</v>
      </c>
      <c r="L60" s="230">
        <v>0</v>
      </c>
      <c r="M60" s="228" t="s">
        <v>32</v>
      </c>
      <c r="N60" s="239">
        <v>26</v>
      </c>
      <c r="O60" s="230">
        <v>5</v>
      </c>
      <c r="P60" s="227">
        <f t="shared" si="215"/>
        <v>5.2</v>
      </c>
      <c r="Q60" s="229">
        <v>0</v>
      </c>
      <c r="R60" s="230">
        <v>0</v>
      </c>
      <c r="S60" s="228" t="s">
        <v>32</v>
      </c>
      <c r="T60" s="232">
        <v>0</v>
      </c>
      <c r="U60" s="233">
        <v>0</v>
      </c>
      <c r="V60" s="228" t="str">
        <f t="shared" si="253"/>
        <v>-</v>
      </c>
      <c r="W60" s="229">
        <v>0</v>
      </c>
      <c r="X60" s="230">
        <v>0</v>
      </c>
      <c r="Y60" s="228" t="str">
        <f t="shared" ref="Y60:Y63" si="259">IF(X60=0,"-",W60/X60)</f>
        <v>-</v>
      </c>
      <c r="Z60" s="229">
        <v>0</v>
      </c>
      <c r="AA60" s="230">
        <v>0</v>
      </c>
      <c r="AB60" s="228" t="str">
        <f t="shared" si="202"/>
        <v>-</v>
      </c>
      <c r="AC60" s="229">
        <v>0</v>
      </c>
      <c r="AD60" s="230">
        <v>0</v>
      </c>
      <c r="AE60" s="228" t="str">
        <f t="shared" ref="AE60:AE65" si="260">IF(AD60=0,"-",AC60/AD60)</f>
        <v>-</v>
      </c>
      <c r="AF60" s="229">
        <v>0</v>
      </c>
      <c r="AG60" s="230">
        <v>0</v>
      </c>
      <c r="AH60" s="228" t="str">
        <f t="shared" si="204"/>
        <v>-</v>
      </c>
      <c r="AI60" s="229">
        <v>0</v>
      </c>
      <c r="AJ60" s="230">
        <v>0</v>
      </c>
      <c r="AK60" s="228" t="str">
        <f t="shared" si="254"/>
        <v>-</v>
      </c>
      <c r="AL60" s="229">
        <v>21</v>
      </c>
      <c r="AM60" s="230">
        <v>3</v>
      </c>
      <c r="AN60" s="228">
        <f t="shared" si="255"/>
        <v>7</v>
      </c>
      <c r="AO60" s="229">
        <v>0</v>
      </c>
      <c r="AP60" s="230">
        <v>0</v>
      </c>
      <c r="AQ60" s="228" t="str">
        <f t="shared" si="257"/>
        <v>-</v>
      </c>
      <c r="AR60" s="229">
        <v>0</v>
      </c>
      <c r="AS60" s="230">
        <v>0</v>
      </c>
      <c r="AT60" s="228" t="str">
        <f t="shared" si="258"/>
        <v>-</v>
      </c>
      <c r="AU60" s="229">
        <v>0</v>
      </c>
      <c r="AV60" s="230">
        <v>0</v>
      </c>
      <c r="AW60" s="228" t="str">
        <f t="shared" si="251"/>
        <v>-</v>
      </c>
      <c r="AX60" s="229">
        <v>0</v>
      </c>
      <c r="AY60" s="230">
        <v>0</v>
      </c>
      <c r="AZ60" s="228" t="str">
        <f t="shared" si="210"/>
        <v>-</v>
      </c>
      <c r="BA60" s="229">
        <v>0</v>
      </c>
      <c r="BB60" s="230">
        <v>0</v>
      </c>
      <c r="BC60" s="228" t="str">
        <f t="shared" ref="BC60:BC61" si="261">IF(BB60=0,"-",BA60/BB60)</f>
        <v>-</v>
      </c>
      <c r="BD60" s="229">
        <v>0</v>
      </c>
      <c r="BE60" s="230">
        <v>0</v>
      </c>
      <c r="BF60" s="228" t="str">
        <f t="shared" si="212"/>
        <v>-</v>
      </c>
      <c r="BG60" s="229">
        <v>0</v>
      </c>
      <c r="BH60" s="230">
        <v>0</v>
      </c>
      <c r="BI60" s="228" t="str">
        <f t="shared" si="213"/>
        <v>-</v>
      </c>
      <c r="BJ60" s="229">
        <v>0</v>
      </c>
      <c r="BK60" s="230">
        <v>0</v>
      </c>
      <c r="BL60" s="228" t="str">
        <f t="shared" si="214"/>
        <v>-</v>
      </c>
      <c r="BM60" s="236">
        <f t="shared" si="217"/>
        <v>96</v>
      </c>
      <c r="BN60" s="237">
        <f>BK60+BH60+BE60+BB60+AY60+AV60+AS60+AP60+AM60+L60+R60+O60+I60+F61+AJ60+AG60+AD60+AA60+X60+C60</f>
        <v>14</v>
      </c>
      <c r="BO60" s="238">
        <f t="shared" si="218"/>
        <v>6.8571428571428568</v>
      </c>
    </row>
    <row r="61" spans="1:67" ht="20.399999999999999" thickBot="1" x14ac:dyDescent="0.45">
      <c r="A61" s="224">
        <v>45312</v>
      </c>
      <c r="B61" s="229">
        <v>0</v>
      </c>
      <c r="C61" s="230">
        <v>0</v>
      </c>
      <c r="D61" s="228" t="s">
        <v>32</v>
      </c>
      <c r="E61" s="229">
        <v>0</v>
      </c>
      <c r="F61" s="230">
        <v>0</v>
      </c>
      <c r="G61" s="228" t="s">
        <v>32</v>
      </c>
      <c r="H61" s="229">
        <v>0</v>
      </c>
      <c r="I61" s="230">
        <v>0</v>
      </c>
      <c r="J61" s="228" t="s">
        <v>32</v>
      </c>
      <c r="K61" s="229">
        <v>0</v>
      </c>
      <c r="L61" s="230">
        <v>0</v>
      </c>
      <c r="M61" s="228" t="s">
        <v>32</v>
      </c>
      <c r="N61" s="229">
        <v>0</v>
      </c>
      <c r="O61" s="230">
        <v>0</v>
      </c>
      <c r="P61" s="228" t="s">
        <v>32</v>
      </c>
      <c r="Q61" s="229">
        <v>0</v>
      </c>
      <c r="R61" s="230">
        <v>0</v>
      </c>
      <c r="S61" s="228" t="s">
        <v>32</v>
      </c>
      <c r="T61" s="229">
        <v>12</v>
      </c>
      <c r="U61" s="230">
        <v>2</v>
      </c>
      <c r="V61" s="227">
        <f t="shared" si="240"/>
        <v>6</v>
      </c>
      <c r="W61" s="229">
        <v>0</v>
      </c>
      <c r="X61" s="230">
        <v>0</v>
      </c>
      <c r="Y61" s="228" t="str">
        <f t="shared" si="259"/>
        <v>-</v>
      </c>
      <c r="Z61" s="229">
        <v>0</v>
      </c>
      <c r="AA61" s="230">
        <v>0</v>
      </c>
      <c r="AB61" s="228" t="str">
        <f t="shared" si="202"/>
        <v>-</v>
      </c>
      <c r="AC61" s="229">
        <v>0</v>
      </c>
      <c r="AD61" s="230">
        <v>0</v>
      </c>
      <c r="AE61" s="228" t="str">
        <f t="shared" si="260"/>
        <v>-</v>
      </c>
      <c r="AF61" s="229">
        <v>0</v>
      </c>
      <c r="AG61" s="230">
        <v>0</v>
      </c>
      <c r="AH61" s="228" t="str">
        <f t="shared" si="204"/>
        <v>-</v>
      </c>
      <c r="AI61" s="229">
        <v>0</v>
      </c>
      <c r="AJ61" s="230">
        <v>0</v>
      </c>
      <c r="AK61" s="228" t="str">
        <f t="shared" si="254"/>
        <v>-</v>
      </c>
      <c r="AL61" s="229">
        <v>0</v>
      </c>
      <c r="AM61" s="230">
        <v>0</v>
      </c>
      <c r="AN61" s="228" t="str">
        <f t="shared" si="255"/>
        <v>-</v>
      </c>
      <c r="AO61" s="229">
        <v>0</v>
      </c>
      <c r="AP61" s="230">
        <v>0</v>
      </c>
      <c r="AQ61" s="228" t="str">
        <f t="shared" si="257"/>
        <v>-</v>
      </c>
      <c r="AR61" s="229">
        <v>0</v>
      </c>
      <c r="AS61" s="230">
        <v>0</v>
      </c>
      <c r="AT61" s="228" t="str">
        <f t="shared" si="258"/>
        <v>-</v>
      </c>
      <c r="AU61" s="229">
        <v>7</v>
      </c>
      <c r="AV61" s="230">
        <v>1</v>
      </c>
      <c r="AW61" s="227">
        <f t="shared" si="234"/>
        <v>7</v>
      </c>
      <c r="AX61" s="229">
        <v>0</v>
      </c>
      <c r="AY61" s="230">
        <v>0</v>
      </c>
      <c r="AZ61" s="228" t="str">
        <f t="shared" si="210"/>
        <v>-</v>
      </c>
      <c r="BA61" s="229">
        <v>0</v>
      </c>
      <c r="BB61" s="230">
        <v>0</v>
      </c>
      <c r="BC61" s="228" t="str">
        <f t="shared" si="261"/>
        <v>-</v>
      </c>
      <c r="BD61" s="229">
        <v>0</v>
      </c>
      <c r="BE61" s="230">
        <v>0</v>
      </c>
      <c r="BF61" s="228" t="str">
        <f t="shared" si="212"/>
        <v>-</v>
      </c>
      <c r="BG61" s="229">
        <v>0</v>
      </c>
      <c r="BH61" s="230">
        <v>0</v>
      </c>
      <c r="BI61" s="228" t="str">
        <f t="shared" si="213"/>
        <v>-</v>
      </c>
      <c r="BJ61" s="229">
        <v>0</v>
      </c>
      <c r="BK61" s="230">
        <v>0</v>
      </c>
      <c r="BL61" s="228" t="str">
        <f t="shared" si="214"/>
        <v>-</v>
      </c>
      <c r="BM61" s="236">
        <f t="shared" si="217"/>
        <v>7</v>
      </c>
      <c r="BN61" s="237">
        <f>BK61+BH61+BE61+BB61+AY61+AV61+AS61+AP61+AM61+L61+R61+O61+I61+F61+AJ62+AG61+AD61+AA61+X61+C61</f>
        <v>1</v>
      </c>
      <c r="BO61" s="238">
        <f t="shared" si="218"/>
        <v>7</v>
      </c>
    </row>
    <row r="62" spans="1:67" ht="20.399999999999999" thickBot="1" x14ac:dyDescent="0.45">
      <c r="A62" s="224">
        <v>45313</v>
      </c>
      <c r="B62" s="229">
        <v>32</v>
      </c>
      <c r="C62" s="230">
        <v>4</v>
      </c>
      <c r="D62" s="227">
        <f>IF(C62=0,"",B62/C62)</f>
        <v>8</v>
      </c>
      <c r="E62" s="229">
        <v>0</v>
      </c>
      <c r="F62" s="230">
        <v>0</v>
      </c>
      <c r="G62" s="228" t="s">
        <v>32</v>
      </c>
      <c r="H62" s="229">
        <v>0</v>
      </c>
      <c r="I62" s="230">
        <v>0</v>
      </c>
      <c r="J62" s="228" t="s">
        <v>32</v>
      </c>
      <c r="K62" s="229">
        <v>0</v>
      </c>
      <c r="L62" s="230">
        <v>0</v>
      </c>
      <c r="M62" s="228" t="s">
        <v>32</v>
      </c>
      <c r="N62" s="239">
        <v>85</v>
      </c>
      <c r="O62" s="230">
        <v>14</v>
      </c>
      <c r="P62" s="227">
        <f t="shared" si="215"/>
        <v>6.0714285714285712</v>
      </c>
      <c r="Q62" s="229">
        <v>219</v>
      </c>
      <c r="R62" s="230">
        <v>35</v>
      </c>
      <c r="S62" s="227">
        <f t="shared" si="216"/>
        <v>6.2571428571428571</v>
      </c>
      <c r="T62" s="229">
        <v>0</v>
      </c>
      <c r="U62" s="230">
        <v>0</v>
      </c>
      <c r="V62" s="228" t="s">
        <v>32</v>
      </c>
      <c r="W62" s="229">
        <v>0</v>
      </c>
      <c r="X62" s="230">
        <v>0</v>
      </c>
      <c r="Y62" s="228" t="str">
        <f t="shared" si="259"/>
        <v>-</v>
      </c>
      <c r="Z62" s="229">
        <v>0</v>
      </c>
      <c r="AA62" s="230">
        <v>0</v>
      </c>
      <c r="AB62" s="228" t="str">
        <f t="shared" si="202"/>
        <v>-</v>
      </c>
      <c r="AC62" s="229">
        <v>0</v>
      </c>
      <c r="AD62" s="230">
        <v>0</v>
      </c>
      <c r="AE62" s="228" t="str">
        <f t="shared" si="260"/>
        <v>-</v>
      </c>
      <c r="AF62" s="229">
        <v>0</v>
      </c>
      <c r="AG62" s="230">
        <v>0</v>
      </c>
      <c r="AH62" s="228" t="str">
        <f t="shared" si="204"/>
        <v>-</v>
      </c>
      <c r="AI62" s="229">
        <v>0</v>
      </c>
      <c r="AJ62" s="230">
        <v>0</v>
      </c>
      <c r="AK62" s="228" t="str">
        <f t="shared" si="254"/>
        <v>-</v>
      </c>
      <c r="AL62" s="229">
        <v>35</v>
      </c>
      <c r="AM62" s="230">
        <v>5</v>
      </c>
      <c r="AN62" s="227">
        <f t="shared" si="228"/>
        <v>7</v>
      </c>
      <c r="AO62" s="229">
        <v>0</v>
      </c>
      <c r="AP62" s="230">
        <v>0</v>
      </c>
      <c r="AQ62" s="228" t="str">
        <f t="shared" si="257"/>
        <v>-</v>
      </c>
      <c r="AR62" s="229">
        <v>0</v>
      </c>
      <c r="AS62" s="230">
        <v>0</v>
      </c>
      <c r="AT62" s="228" t="str">
        <f t="shared" si="258"/>
        <v>-</v>
      </c>
      <c r="AU62" s="229">
        <v>0</v>
      </c>
      <c r="AV62" s="230">
        <v>0</v>
      </c>
      <c r="AW62" s="228" t="str">
        <f t="shared" ref="AW62:AW69" si="262">IF(AV62=0,"-",AU62/AV62)</f>
        <v>-</v>
      </c>
      <c r="AX62" s="229">
        <v>0</v>
      </c>
      <c r="AY62" s="230">
        <v>0</v>
      </c>
      <c r="AZ62" s="228" t="str">
        <f t="shared" si="210"/>
        <v>-</v>
      </c>
      <c r="BA62" s="229">
        <v>7</v>
      </c>
      <c r="BB62" s="230">
        <v>1</v>
      </c>
      <c r="BC62" s="227">
        <f t="shared" si="225"/>
        <v>7</v>
      </c>
      <c r="BD62" s="229">
        <v>0</v>
      </c>
      <c r="BE62" s="230">
        <v>0</v>
      </c>
      <c r="BF62" s="228" t="str">
        <f t="shared" si="212"/>
        <v>-</v>
      </c>
      <c r="BG62" s="229">
        <v>0</v>
      </c>
      <c r="BH62" s="230">
        <v>0</v>
      </c>
      <c r="BI62" s="228" t="str">
        <f t="shared" si="213"/>
        <v>-</v>
      </c>
      <c r="BJ62" s="229">
        <v>0</v>
      </c>
      <c r="BK62" s="230">
        <v>0</v>
      </c>
      <c r="BL62" s="228" t="str">
        <f t="shared" si="214"/>
        <v>-</v>
      </c>
      <c r="BM62" s="236">
        <f t="shared" si="217"/>
        <v>378</v>
      </c>
      <c r="BN62" s="237">
        <f t="shared" ref="BN62:BN63" si="263">BK62+BH62+BE62+BB62+AY62+AV62+AS62+AP62+AM62+L62+R62+O62+I62+F62+AJ63+AG62+AD62+AA62+X62+C62</f>
        <v>59</v>
      </c>
      <c r="BO62" s="238">
        <f t="shared" si="218"/>
        <v>6.406779661016949</v>
      </c>
    </row>
    <row r="63" spans="1:67" ht="20.399999999999999" thickBot="1" x14ac:dyDescent="0.45">
      <c r="A63" s="224">
        <v>45314</v>
      </c>
      <c r="B63" s="229">
        <v>35</v>
      </c>
      <c r="C63" s="230">
        <v>5</v>
      </c>
      <c r="D63" s="227">
        <f t="shared" si="219"/>
        <v>7</v>
      </c>
      <c r="E63" s="229">
        <v>7</v>
      </c>
      <c r="F63" s="230">
        <v>1</v>
      </c>
      <c r="G63" s="227">
        <f t="shared" si="220"/>
        <v>7</v>
      </c>
      <c r="H63" s="229">
        <v>6</v>
      </c>
      <c r="I63" s="230">
        <v>1</v>
      </c>
      <c r="J63" s="227">
        <f t="shared" si="221"/>
        <v>6</v>
      </c>
      <c r="K63" s="229">
        <v>0</v>
      </c>
      <c r="L63" s="230">
        <v>0</v>
      </c>
      <c r="M63" s="228" t="s">
        <v>32</v>
      </c>
      <c r="N63" s="239">
        <v>58</v>
      </c>
      <c r="O63" s="230">
        <v>10</v>
      </c>
      <c r="P63" s="227">
        <f t="shared" si="215"/>
        <v>5.8</v>
      </c>
      <c r="Q63" s="229">
        <v>0</v>
      </c>
      <c r="R63" s="230">
        <v>0</v>
      </c>
      <c r="S63" s="228" t="s">
        <v>32</v>
      </c>
      <c r="T63" s="229">
        <v>0</v>
      </c>
      <c r="U63" s="230">
        <v>0</v>
      </c>
      <c r="V63" s="228" t="s">
        <v>32</v>
      </c>
      <c r="W63" s="229">
        <v>0</v>
      </c>
      <c r="X63" s="230">
        <v>0</v>
      </c>
      <c r="Y63" s="228" t="str">
        <f t="shared" si="259"/>
        <v>-</v>
      </c>
      <c r="Z63" s="229">
        <v>0</v>
      </c>
      <c r="AA63" s="230">
        <v>0</v>
      </c>
      <c r="AB63" s="228" t="str">
        <f t="shared" si="202"/>
        <v>-</v>
      </c>
      <c r="AC63" s="229">
        <v>0</v>
      </c>
      <c r="AD63" s="230">
        <v>0</v>
      </c>
      <c r="AE63" s="228" t="str">
        <f t="shared" si="260"/>
        <v>-</v>
      </c>
      <c r="AF63" s="229">
        <v>0</v>
      </c>
      <c r="AG63" s="230">
        <v>0</v>
      </c>
      <c r="AH63" s="228" t="str">
        <f t="shared" si="204"/>
        <v>-</v>
      </c>
      <c r="AI63" s="229">
        <v>0</v>
      </c>
      <c r="AJ63" s="230">
        <v>0</v>
      </c>
      <c r="AK63" s="228" t="str">
        <f t="shared" si="254"/>
        <v>-</v>
      </c>
      <c r="AL63" s="229">
        <v>43</v>
      </c>
      <c r="AM63" s="230">
        <v>6</v>
      </c>
      <c r="AN63" s="227">
        <f t="shared" si="228"/>
        <v>7.166666666666667</v>
      </c>
      <c r="AO63" s="229">
        <v>0</v>
      </c>
      <c r="AP63" s="230">
        <v>0</v>
      </c>
      <c r="AQ63" s="228" t="str">
        <f t="shared" si="257"/>
        <v>-</v>
      </c>
      <c r="AR63" s="229">
        <v>0</v>
      </c>
      <c r="AS63" s="230">
        <v>0</v>
      </c>
      <c r="AT63" s="228" t="str">
        <f t="shared" si="258"/>
        <v>-</v>
      </c>
      <c r="AU63" s="229">
        <v>0</v>
      </c>
      <c r="AV63" s="230">
        <v>0</v>
      </c>
      <c r="AW63" s="228" t="str">
        <f t="shared" si="262"/>
        <v>-</v>
      </c>
      <c r="AX63" s="229">
        <v>0</v>
      </c>
      <c r="AY63" s="230">
        <v>0</v>
      </c>
      <c r="AZ63" s="228" t="str">
        <f t="shared" si="210"/>
        <v>-</v>
      </c>
      <c r="BA63" s="229">
        <v>0</v>
      </c>
      <c r="BB63" s="230">
        <v>0</v>
      </c>
      <c r="BC63" s="228" t="str">
        <f t="shared" ref="BC63:BC64" si="264">IF(BB63=0,"-",BA63/BB63)</f>
        <v>-</v>
      </c>
      <c r="BD63" s="229">
        <v>0</v>
      </c>
      <c r="BE63" s="230">
        <v>0</v>
      </c>
      <c r="BF63" s="228" t="str">
        <f t="shared" si="212"/>
        <v>-</v>
      </c>
      <c r="BG63" s="229">
        <v>0</v>
      </c>
      <c r="BH63" s="230">
        <v>0</v>
      </c>
      <c r="BI63" s="228" t="str">
        <f t="shared" si="213"/>
        <v>-</v>
      </c>
      <c r="BJ63" s="229">
        <v>0</v>
      </c>
      <c r="BK63" s="230">
        <v>0</v>
      </c>
      <c r="BL63" s="228" t="str">
        <f t="shared" si="214"/>
        <v>-</v>
      </c>
      <c r="BM63" s="236">
        <f t="shared" si="217"/>
        <v>149</v>
      </c>
      <c r="BN63" s="237">
        <f t="shared" si="263"/>
        <v>23</v>
      </c>
      <c r="BO63" s="238">
        <f t="shared" si="218"/>
        <v>6.4782608695652177</v>
      </c>
    </row>
    <row r="64" spans="1:67" ht="20.399999999999999" thickBot="1" x14ac:dyDescent="0.45">
      <c r="A64" s="224">
        <v>45315</v>
      </c>
      <c r="B64" s="229">
        <v>44</v>
      </c>
      <c r="C64" s="230">
        <v>7</v>
      </c>
      <c r="D64" s="227">
        <f t="shared" si="219"/>
        <v>6.2857142857142856</v>
      </c>
      <c r="E64" s="229">
        <v>7</v>
      </c>
      <c r="F64" s="230">
        <v>1</v>
      </c>
      <c r="G64" s="227">
        <f t="shared" si="220"/>
        <v>7</v>
      </c>
      <c r="H64" s="229">
        <v>26</v>
      </c>
      <c r="I64" s="230">
        <v>3</v>
      </c>
      <c r="J64" s="227">
        <f t="shared" si="221"/>
        <v>8.6666666666666661</v>
      </c>
      <c r="K64" s="229">
        <v>0</v>
      </c>
      <c r="L64" s="230">
        <v>0</v>
      </c>
      <c r="M64" s="228" t="s">
        <v>32</v>
      </c>
      <c r="N64" s="239">
        <v>51</v>
      </c>
      <c r="O64" s="230">
        <v>9</v>
      </c>
      <c r="P64" s="227">
        <f t="shared" si="215"/>
        <v>5.666666666666667</v>
      </c>
      <c r="Q64" s="229">
        <v>0</v>
      </c>
      <c r="R64" s="230">
        <v>0</v>
      </c>
      <c r="S64" s="228" t="s">
        <v>32</v>
      </c>
      <c r="T64" s="229">
        <v>0</v>
      </c>
      <c r="U64" s="230">
        <v>0</v>
      </c>
      <c r="V64" s="228" t="s">
        <v>32</v>
      </c>
      <c r="W64" s="229">
        <v>7</v>
      </c>
      <c r="X64" s="230">
        <v>1</v>
      </c>
      <c r="Y64" s="227">
        <f t="shared" si="226"/>
        <v>7</v>
      </c>
      <c r="Z64" s="229">
        <v>0</v>
      </c>
      <c r="AA64" s="230">
        <v>0</v>
      </c>
      <c r="AB64" s="228" t="str">
        <f t="shared" si="202"/>
        <v>-</v>
      </c>
      <c r="AC64" s="229">
        <v>0</v>
      </c>
      <c r="AD64" s="230">
        <v>0</v>
      </c>
      <c r="AE64" s="228" t="str">
        <f t="shared" si="260"/>
        <v>-</v>
      </c>
      <c r="AF64" s="229">
        <v>0</v>
      </c>
      <c r="AG64" s="230">
        <v>0</v>
      </c>
      <c r="AH64" s="228" t="str">
        <f t="shared" si="204"/>
        <v>-</v>
      </c>
      <c r="AI64" s="229">
        <v>0</v>
      </c>
      <c r="AJ64" s="230">
        <v>0</v>
      </c>
      <c r="AK64" s="228" t="str">
        <f t="shared" si="254"/>
        <v>-</v>
      </c>
      <c r="AL64" s="229">
        <v>0</v>
      </c>
      <c r="AM64" s="230">
        <v>0</v>
      </c>
      <c r="AN64" s="228" t="str">
        <f t="shared" ref="AN64" si="265">IF(AM64=0,"-",AL64/AM64)</f>
        <v>-</v>
      </c>
      <c r="AO64" s="229">
        <v>0</v>
      </c>
      <c r="AP64" s="230">
        <v>0</v>
      </c>
      <c r="AQ64" s="228" t="str">
        <f t="shared" si="257"/>
        <v>-</v>
      </c>
      <c r="AR64" s="229">
        <v>0</v>
      </c>
      <c r="AS64" s="230">
        <v>0</v>
      </c>
      <c r="AT64" s="228" t="str">
        <f t="shared" si="258"/>
        <v>-</v>
      </c>
      <c r="AU64" s="229">
        <v>0</v>
      </c>
      <c r="AV64" s="230">
        <v>0</v>
      </c>
      <c r="AW64" s="228" t="str">
        <f t="shared" si="262"/>
        <v>-</v>
      </c>
      <c r="AX64" s="229">
        <v>0</v>
      </c>
      <c r="AY64" s="230">
        <v>0</v>
      </c>
      <c r="AZ64" s="228" t="str">
        <f t="shared" si="210"/>
        <v>-</v>
      </c>
      <c r="BA64" s="229">
        <v>0</v>
      </c>
      <c r="BB64" s="230">
        <v>0</v>
      </c>
      <c r="BC64" s="228" t="str">
        <f t="shared" si="264"/>
        <v>-</v>
      </c>
      <c r="BD64" s="229">
        <v>0</v>
      </c>
      <c r="BE64" s="230">
        <v>0</v>
      </c>
      <c r="BF64" s="228" t="str">
        <f t="shared" si="212"/>
        <v>-</v>
      </c>
      <c r="BG64" s="229">
        <v>0</v>
      </c>
      <c r="BH64" s="230">
        <v>0</v>
      </c>
      <c r="BI64" s="228" t="str">
        <f t="shared" si="213"/>
        <v>-</v>
      </c>
      <c r="BJ64" s="229">
        <v>0</v>
      </c>
      <c r="BK64" s="230">
        <v>0</v>
      </c>
      <c r="BL64" s="228" t="str">
        <f t="shared" si="214"/>
        <v>-</v>
      </c>
      <c r="BM64" s="236">
        <f t="shared" si="217"/>
        <v>135</v>
      </c>
      <c r="BN64" s="237">
        <f t="shared" si="217"/>
        <v>21</v>
      </c>
      <c r="BO64" s="238">
        <f t="shared" si="218"/>
        <v>6.4285714285714288</v>
      </c>
    </row>
    <row r="65" spans="1:67" ht="20.399999999999999" thickBot="1" x14ac:dyDescent="0.45">
      <c r="A65" s="224">
        <v>45316</v>
      </c>
      <c r="B65" s="229">
        <v>47</v>
      </c>
      <c r="C65" s="230">
        <v>6</v>
      </c>
      <c r="D65" s="227">
        <f t="shared" si="219"/>
        <v>7.833333333333333</v>
      </c>
      <c r="E65" s="229">
        <v>0</v>
      </c>
      <c r="F65" s="230">
        <v>0</v>
      </c>
      <c r="G65" s="228" t="s">
        <v>32</v>
      </c>
      <c r="H65" s="229">
        <v>9</v>
      </c>
      <c r="I65" s="230">
        <v>1</v>
      </c>
      <c r="J65" s="227">
        <f t="shared" si="221"/>
        <v>9</v>
      </c>
      <c r="K65" s="229">
        <v>0</v>
      </c>
      <c r="L65" s="230">
        <v>0</v>
      </c>
      <c r="M65" s="228" t="s">
        <v>32</v>
      </c>
      <c r="N65" s="239">
        <v>82</v>
      </c>
      <c r="O65" s="230">
        <v>16</v>
      </c>
      <c r="P65" s="227">
        <f t="shared" si="215"/>
        <v>5.125</v>
      </c>
      <c r="Q65" s="229">
        <v>0</v>
      </c>
      <c r="R65" s="230">
        <v>0</v>
      </c>
      <c r="S65" s="228" t="s">
        <v>32</v>
      </c>
      <c r="T65" s="229">
        <v>0</v>
      </c>
      <c r="U65" s="230">
        <v>0</v>
      </c>
      <c r="V65" s="228" t="s">
        <v>32</v>
      </c>
      <c r="W65" s="229">
        <v>6</v>
      </c>
      <c r="X65" s="230">
        <v>1</v>
      </c>
      <c r="Y65" s="227">
        <f t="shared" si="226"/>
        <v>6</v>
      </c>
      <c r="Z65" s="229">
        <v>0</v>
      </c>
      <c r="AA65" s="230">
        <v>0</v>
      </c>
      <c r="AB65" s="228" t="str">
        <f t="shared" si="202"/>
        <v>-</v>
      </c>
      <c r="AC65" s="229">
        <v>0</v>
      </c>
      <c r="AD65" s="230">
        <v>0</v>
      </c>
      <c r="AE65" s="228" t="str">
        <f t="shared" si="260"/>
        <v>-</v>
      </c>
      <c r="AF65" s="229">
        <v>0</v>
      </c>
      <c r="AG65" s="230">
        <v>0</v>
      </c>
      <c r="AH65" s="228" t="str">
        <f t="shared" si="204"/>
        <v>-</v>
      </c>
      <c r="AI65" s="229">
        <v>0</v>
      </c>
      <c r="AJ65" s="230">
        <v>0</v>
      </c>
      <c r="AK65" s="228" t="str">
        <f t="shared" si="254"/>
        <v>-</v>
      </c>
      <c r="AL65" s="229">
        <v>7</v>
      </c>
      <c r="AM65" s="230">
        <v>1</v>
      </c>
      <c r="AN65" s="227">
        <f t="shared" si="228"/>
        <v>7</v>
      </c>
      <c r="AO65" s="229">
        <v>0</v>
      </c>
      <c r="AP65" s="230">
        <v>0</v>
      </c>
      <c r="AQ65" s="228" t="str">
        <f t="shared" si="257"/>
        <v>-</v>
      </c>
      <c r="AR65" s="229">
        <v>0</v>
      </c>
      <c r="AS65" s="230">
        <v>0</v>
      </c>
      <c r="AT65" s="228" t="str">
        <f t="shared" si="258"/>
        <v>-</v>
      </c>
      <c r="AU65" s="229">
        <v>0</v>
      </c>
      <c r="AV65" s="230">
        <v>0</v>
      </c>
      <c r="AW65" s="228" t="str">
        <f t="shared" si="262"/>
        <v>-</v>
      </c>
      <c r="AX65" s="229">
        <v>0</v>
      </c>
      <c r="AY65" s="230">
        <v>0</v>
      </c>
      <c r="AZ65" s="228" t="str">
        <f t="shared" si="210"/>
        <v>-</v>
      </c>
      <c r="BA65" s="229">
        <v>24</v>
      </c>
      <c r="BB65" s="230">
        <v>3</v>
      </c>
      <c r="BC65" s="227">
        <f t="shared" si="225"/>
        <v>8</v>
      </c>
      <c r="BD65" s="229">
        <v>0</v>
      </c>
      <c r="BE65" s="230">
        <v>0</v>
      </c>
      <c r="BF65" s="228" t="str">
        <f t="shared" si="212"/>
        <v>-</v>
      </c>
      <c r="BG65" s="229">
        <v>0</v>
      </c>
      <c r="BH65" s="230">
        <v>0</v>
      </c>
      <c r="BI65" s="228" t="str">
        <f t="shared" si="213"/>
        <v>-</v>
      </c>
      <c r="BJ65" s="229">
        <v>0</v>
      </c>
      <c r="BK65" s="230">
        <v>0</v>
      </c>
      <c r="BL65" s="228" t="str">
        <f t="shared" si="214"/>
        <v>-</v>
      </c>
      <c r="BM65" s="236">
        <f t="shared" si="217"/>
        <v>175</v>
      </c>
      <c r="BN65" s="237">
        <f t="shared" si="217"/>
        <v>28</v>
      </c>
      <c r="BO65" s="238">
        <f t="shared" si="218"/>
        <v>6.25</v>
      </c>
    </row>
    <row r="66" spans="1:67" ht="20.399999999999999" thickBot="1" x14ac:dyDescent="0.45">
      <c r="A66" s="224">
        <v>45317</v>
      </c>
      <c r="B66" s="229">
        <v>24</v>
      </c>
      <c r="C66" s="230">
        <v>3</v>
      </c>
      <c r="D66" s="227">
        <f t="shared" si="219"/>
        <v>8</v>
      </c>
      <c r="E66" s="229">
        <v>0</v>
      </c>
      <c r="F66" s="230">
        <v>0</v>
      </c>
      <c r="G66" s="228" t="s">
        <v>32</v>
      </c>
      <c r="H66" s="229">
        <v>0</v>
      </c>
      <c r="I66" s="230">
        <v>0</v>
      </c>
      <c r="J66" s="228" t="s">
        <v>32</v>
      </c>
      <c r="K66" s="229">
        <v>0</v>
      </c>
      <c r="L66" s="230">
        <v>0</v>
      </c>
      <c r="M66" s="228" t="s">
        <v>32</v>
      </c>
      <c r="N66" s="239">
        <v>11</v>
      </c>
      <c r="O66" s="230">
        <v>2</v>
      </c>
      <c r="P66" s="227">
        <f t="shared" si="215"/>
        <v>5.5</v>
      </c>
      <c r="Q66" s="229">
        <v>0</v>
      </c>
      <c r="R66" s="230">
        <v>0</v>
      </c>
      <c r="S66" s="228" t="s">
        <v>32</v>
      </c>
      <c r="T66" s="229">
        <v>0</v>
      </c>
      <c r="U66" s="230">
        <v>0</v>
      </c>
      <c r="V66" s="228" t="s">
        <v>32</v>
      </c>
      <c r="W66" s="229">
        <v>0</v>
      </c>
      <c r="X66" s="230">
        <v>0</v>
      </c>
      <c r="Y66" s="228" t="s">
        <v>32</v>
      </c>
      <c r="Z66" s="229">
        <v>0</v>
      </c>
      <c r="AA66" s="230">
        <v>0</v>
      </c>
      <c r="AB66" s="228" t="s">
        <v>32</v>
      </c>
      <c r="AC66" s="229">
        <v>4</v>
      </c>
      <c r="AD66" s="230">
        <v>1</v>
      </c>
      <c r="AE66" s="228" t="s">
        <v>32</v>
      </c>
      <c r="AF66" s="229">
        <v>0</v>
      </c>
      <c r="AG66" s="230">
        <v>0</v>
      </c>
      <c r="AH66" s="228" t="s">
        <v>32</v>
      </c>
      <c r="AI66" s="229">
        <v>0</v>
      </c>
      <c r="AJ66" s="230">
        <v>0</v>
      </c>
      <c r="AK66" s="228" t="s">
        <v>32</v>
      </c>
      <c r="AL66" s="229">
        <v>43</v>
      </c>
      <c r="AM66" s="230">
        <v>6</v>
      </c>
      <c r="AN66" s="227">
        <f t="shared" si="228"/>
        <v>7.166666666666667</v>
      </c>
      <c r="AO66" s="229">
        <v>0</v>
      </c>
      <c r="AP66" s="230">
        <v>0</v>
      </c>
      <c r="AQ66" s="228" t="str">
        <f t="shared" si="257"/>
        <v>-</v>
      </c>
      <c r="AR66" s="229">
        <v>0</v>
      </c>
      <c r="AS66" s="230">
        <v>0</v>
      </c>
      <c r="AT66" s="228" t="str">
        <f t="shared" si="258"/>
        <v>-</v>
      </c>
      <c r="AU66" s="229">
        <v>0</v>
      </c>
      <c r="AV66" s="230">
        <v>0</v>
      </c>
      <c r="AW66" s="228" t="str">
        <f t="shared" si="262"/>
        <v>-</v>
      </c>
      <c r="AX66" s="229">
        <v>0</v>
      </c>
      <c r="AY66" s="230">
        <v>0</v>
      </c>
      <c r="AZ66" s="228" t="str">
        <f t="shared" si="210"/>
        <v>-</v>
      </c>
      <c r="BA66" s="229">
        <v>8</v>
      </c>
      <c r="BB66" s="230">
        <v>1</v>
      </c>
      <c r="BC66" s="227">
        <f t="shared" si="225"/>
        <v>8</v>
      </c>
      <c r="BD66" s="229">
        <v>0</v>
      </c>
      <c r="BE66" s="230">
        <v>0</v>
      </c>
      <c r="BF66" s="228" t="str">
        <f t="shared" si="212"/>
        <v>-</v>
      </c>
      <c r="BG66" s="229">
        <v>0</v>
      </c>
      <c r="BH66" s="230">
        <v>0</v>
      </c>
      <c r="BI66" s="228" t="str">
        <f t="shared" si="213"/>
        <v>-</v>
      </c>
      <c r="BJ66" s="229">
        <v>0</v>
      </c>
      <c r="BK66" s="230">
        <v>0</v>
      </c>
      <c r="BL66" s="228" t="str">
        <f t="shared" si="214"/>
        <v>-</v>
      </c>
      <c r="BM66" s="236">
        <f t="shared" si="217"/>
        <v>90</v>
      </c>
      <c r="BN66" s="237">
        <f t="shared" si="217"/>
        <v>13</v>
      </c>
      <c r="BO66" s="238">
        <f t="shared" si="218"/>
        <v>6.9230769230769234</v>
      </c>
    </row>
    <row r="67" spans="1:67" ht="20.399999999999999" thickBot="1" x14ac:dyDescent="0.45">
      <c r="A67" s="224">
        <v>45318</v>
      </c>
      <c r="B67" s="229">
        <v>0</v>
      </c>
      <c r="C67" s="230">
        <v>0</v>
      </c>
      <c r="D67" s="228" t="s">
        <v>32</v>
      </c>
      <c r="E67" s="229">
        <v>0</v>
      </c>
      <c r="F67" s="230">
        <v>0</v>
      </c>
      <c r="G67" s="228" t="s">
        <v>32</v>
      </c>
      <c r="H67" s="229">
        <v>0</v>
      </c>
      <c r="I67" s="230">
        <v>0</v>
      </c>
      <c r="J67" s="228" t="s">
        <v>32</v>
      </c>
      <c r="K67" s="229">
        <v>0</v>
      </c>
      <c r="L67" s="230">
        <v>0</v>
      </c>
      <c r="M67" s="228" t="s">
        <v>32</v>
      </c>
      <c r="N67" s="229">
        <v>0</v>
      </c>
      <c r="O67" s="230">
        <v>0</v>
      </c>
      <c r="P67" s="228" t="s">
        <v>32</v>
      </c>
      <c r="Q67" s="229">
        <v>0</v>
      </c>
      <c r="R67" s="230">
        <v>0</v>
      </c>
      <c r="S67" s="228" t="s">
        <v>32</v>
      </c>
      <c r="T67" s="229">
        <v>0</v>
      </c>
      <c r="U67" s="230">
        <v>0</v>
      </c>
      <c r="V67" s="228" t="s">
        <v>32</v>
      </c>
      <c r="W67" s="229">
        <v>0</v>
      </c>
      <c r="X67" s="230">
        <v>0</v>
      </c>
      <c r="Y67" s="228" t="s">
        <v>32</v>
      </c>
      <c r="Z67" s="229">
        <v>0</v>
      </c>
      <c r="AA67" s="230">
        <v>0</v>
      </c>
      <c r="AB67" s="228" t="s">
        <v>32</v>
      </c>
      <c r="AC67" s="229">
        <v>0</v>
      </c>
      <c r="AD67" s="230">
        <v>0</v>
      </c>
      <c r="AE67" s="228" t="s">
        <v>32</v>
      </c>
      <c r="AF67" s="229">
        <v>0</v>
      </c>
      <c r="AG67" s="230">
        <v>0</v>
      </c>
      <c r="AH67" s="228" t="s">
        <v>32</v>
      </c>
      <c r="AI67" s="229">
        <v>0</v>
      </c>
      <c r="AJ67" s="230">
        <v>0</v>
      </c>
      <c r="AK67" s="228" t="s">
        <v>32</v>
      </c>
      <c r="AL67" s="229">
        <v>42</v>
      </c>
      <c r="AM67" s="230">
        <v>6</v>
      </c>
      <c r="AN67" s="227">
        <f t="shared" si="228"/>
        <v>7</v>
      </c>
      <c r="AO67" s="229">
        <v>0</v>
      </c>
      <c r="AP67" s="230">
        <v>0</v>
      </c>
      <c r="AQ67" s="228" t="str">
        <f t="shared" si="257"/>
        <v>-</v>
      </c>
      <c r="AR67" s="229">
        <v>0</v>
      </c>
      <c r="AS67" s="230">
        <v>0</v>
      </c>
      <c r="AT67" s="228" t="str">
        <f t="shared" si="258"/>
        <v>-</v>
      </c>
      <c r="AU67" s="229">
        <v>0</v>
      </c>
      <c r="AV67" s="230">
        <v>0</v>
      </c>
      <c r="AW67" s="228" t="str">
        <f t="shared" si="262"/>
        <v>-</v>
      </c>
      <c r="AX67" s="229">
        <v>0</v>
      </c>
      <c r="AY67" s="230">
        <v>0</v>
      </c>
      <c r="AZ67" s="228" t="str">
        <f t="shared" si="210"/>
        <v>-</v>
      </c>
      <c r="BA67" s="229">
        <v>6</v>
      </c>
      <c r="BB67" s="230">
        <v>1</v>
      </c>
      <c r="BC67" s="227">
        <f t="shared" si="225"/>
        <v>6</v>
      </c>
      <c r="BD67" s="229">
        <v>0</v>
      </c>
      <c r="BE67" s="230">
        <v>0</v>
      </c>
      <c r="BF67" s="228" t="str">
        <f t="shared" si="212"/>
        <v>-</v>
      </c>
      <c r="BG67" s="229">
        <v>0</v>
      </c>
      <c r="BH67" s="230">
        <v>0</v>
      </c>
      <c r="BI67" s="228" t="str">
        <f t="shared" si="213"/>
        <v>-</v>
      </c>
      <c r="BJ67" s="229">
        <v>0</v>
      </c>
      <c r="BK67" s="230">
        <v>0</v>
      </c>
      <c r="BL67" s="228" t="str">
        <f t="shared" si="214"/>
        <v>-</v>
      </c>
      <c r="BM67" s="236">
        <f t="shared" si="217"/>
        <v>48</v>
      </c>
      <c r="BN67" s="237">
        <f t="shared" si="217"/>
        <v>7</v>
      </c>
      <c r="BO67" s="238">
        <f t="shared" si="218"/>
        <v>6.8571428571428568</v>
      </c>
    </row>
    <row r="68" spans="1:67" ht="20.399999999999999" thickBot="1" x14ac:dyDescent="0.45">
      <c r="A68" s="224">
        <v>45319</v>
      </c>
      <c r="B68" s="229">
        <v>6</v>
      </c>
      <c r="C68" s="230">
        <v>1</v>
      </c>
      <c r="D68" s="228" t="s">
        <v>32</v>
      </c>
      <c r="E68" s="229">
        <v>0</v>
      </c>
      <c r="F68" s="230">
        <v>0</v>
      </c>
      <c r="G68" s="228" t="s">
        <v>32</v>
      </c>
      <c r="H68" s="229">
        <v>0</v>
      </c>
      <c r="I68" s="230">
        <v>0</v>
      </c>
      <c r="J68" s="228" t="s">
        <v>32</v>
      </c>
      <c r="K68" s="229">
        <v>0</v>
      </c>
      <c r="L68" s="230">
        <v>0</v>
      </c>
      <c r="M68" s="228" t="s">
        <v>32</v>
      </c>
      <c r="N68" s="229">
        <v>0</v>
      </c>
      <c r="O68" s="230">
        <v>0</v>
      </c>
      <c r="P68" s="228" t="s">
        <v>32</v>
      </c>
      <c r="Q68" s="229">
        <v>0</v>
      </c>
      <c r="R68" s="230">
        <v>0</v>
      </c>
      <c r="S68" s="228" t="s">
        <v>32</v>
      </c>
      <c r="T68" s="229">
        <v>0</v>
      </c>
      <c r="U68" s="230">
        <v>0</v>
      </c>
      <c r="V68" s="228" t="s">
        <v>32</v>
      </c>
      <c r="W68" s="229">
        <v>0</v>
      </c>
      <c r="X68" s="230">
        <v>0</v>
      </c>
      <c r="Y68" s="228" t="s">
        <v>32</v>
      </c>
      <c r="Z68" s="229">
        <v>0</v>
      </c>
      <c r="AA68" s="230">
        <v>0</v>
      </c>
      <c r="AB68" s="228" t="s">
        <v>32</v>
      </c>
      <c r="AC68" s="229">
        <v>0</v>
      </c>
      <c r="AD68" s="230">
        <v>0</v>
      </c>
      <c r="AE68" s="228" t="s">
        <v>32</v>
      </c>
      <c r="AF68" s="229">
        <v>0</v>
      </c>
      <c r="AG68" s="230">
        <v>0</v>
      </c>
      <c r="AH68" s="228" t="s">
        <v>32</v>
      </c>
      <c r="AI68" s="229">
        <v>0</v>
      </c>
      <c r="AJ68" s="230">
        <v>0</v>
      </c>
      <c r="AK68" s="228" t="s">
        <v>32</v>
      </c>
      <c r="AL68" s="229">
        <v>42</v>
      </c>
      <c r="AM68" s="230">
        <v>6</v>
      </c>
      <c r="AN68" s="227">
        <f t="shared" si="228"/>
        <v>7</v>
      </c>
      <c r="AO68" s="229">
        <v>7</v>
      </c>
      <c r="AP68" s="230">
        <v>1</v>
      </c>
      <c r="AQ68" s="227">
        <f t="shared" si="229"/>
        <v>7</v>
      </c>
      <c r="AR68" s="229">
        <v>14</v>
      </c>
      <c r="AS68" s="230">
        <v>2</v>
      </c>
      <c r="AT68" s="227">
        <f t="shared" si="230"/>
        <v>7</v>
      </c>
      <c r="AU68" s="229">
        <v>0</v>
      </c>
      <c r="AV68" s="230">
        <v>0</v>
      </c>
      <c r="AW68" s="228" t="str">
        <f t="shared" si="262"/>
        <v>-</v>
      </c>
      <c r="AX68" s="229">
        <v>0</v>
      </c>
      <c r="AY68" s="230">
        <v>0</v>
      </c>
      <c r="AZ68" s="228" t="str">
        <f t="shared" si="210"/>
        <v>-</v>
      </c>
      <c r="BA68" s="229">
        <v>0</v>
      </c>
      <c r="BB68" s="230">
        <v>0</v>
      </c>
      <c r="BC68" s="228" t="str">
        <f t="shared" ref="BC68" si="266">IF(BB68=0,"-",BA68/BB68)</f>
        <v>-</v>
      </c>
      <c r="BD68" s="229">
        <v>0</v>
      </c>
      <c r="BE68" s="230">
        <v>0</v>
      </c>
      <c r="BF68" s="228" t="str">
        <f t="shared" si="212"/>
        <v>-</v>
      </c>
      <c r="BG68" s="229">
        <v>0</v>
      </c>
      <c r="BH68" s="230">
        <v>0</v>
      </c>
      <c r="BI68" s="228" t="str">
        <f t="shared" si="213"/>
        <v>-</v>
      </c>
      <c r="BJ68" s="229">
        <v>0</v>
      </c>
      <c r="BK68" s="230">
        <v>0</v>
      </c>
      <c r="BL68" s="228" t="str">
        <f t="shared" si="214"/>
        <v>-</v>
      </c>
      <c r="BM68" s="236">
        <f t="shared" si="217"/>
        <v>69</v>
      </c>
      <c r="BN68" s="237">
        <f t="shared" si="217"/>
        <v>10</v>
      </c>
      <c r="BO68" s="238">
        <f t="shared" si="218"/>
        <v>6.9</v>
      </c>
    </row>
    <row r="69" spans="1:67" ht="20.399999999999999" thickBot="1" x14ac:dyDescent="0.45">
      <c r="A69" s="224">
        <v>45320</v>
      </c>
      <c r="B69" s="229">
        <v>0</v>
      </c>
      <c r="C69" s="230">
        <v>0</v>
      </c>
      <c r="D69" s="228" t="s">
        <v>32</v>
      </c>
      <c r="E69" s="229">
        <v>0</v>
      </c>
      <c r="F69" s="230">
        <v>0</v>
      </c>
      <c r="G69" s="228" t="s">
        <v>32</v>
      </c>
      <c r="H69" s="229">
        <v>0</v>
      </c>
      <c r="I69" s="230">
        <v>0</v>
      </c>
      <c r="J69" s="228" t="s">
        <v>32</v>
      </c>
      <c r="K69" s="229">
        <v>0</v>
      </c>
      <c r="L69" s="230">
        <v>0</v>
      </c>
      <c r="M69" s="228" t="s">
        <v>32</v>
      </c>
      <c r="N69" s="239">
        <v>39</v>
      </c>
      <c r="O69" s="230">
        <v>8</v>
      </c>
      <c r="P69" s="227">
        <f t="shared" si="215"/>
        <v>4.875</v>
      </c>
      <c r="Q69" s="229">
        <v>0</v>
      </c>
      <c r="R69" s="230">
        <v>0</v>
      </c>
      <c r="S69" s="228" t="s">
        <v>32</v>
      </c>
      <c r="T69" s="229">
        <v>0</v>
      </c>
      <c r="U69" s="230">
        <v>0</v>
      </c>
      <c r="V69" s="228" t="s">
        <v>32</v>
      </c>
      <c r="W69" s="229">
        <v>0</v>
      </c>
      <c r="X69" s="230">
        <v>0</v>
      </c>
      <c r="Y69" s="228" t="s">
        <v>32</v>
      </c>
      <c r="Z69" s="229">
        <v>0</v>
      </c>
      <c r="AA69" s="230">
        <v>0</v>
      </c>
      <c r="AB69" s="228" t="s">
        <v>32</v>
      </c>
      <c r="AC69" s="229">
        <v>0</v>
      </c>
      <c r="AD69" s="230">
        <v>0</v>
      </c>
      <c r="AE69" s="228" t="s">
        <v>32</v>
      </c>
      <c r="AF69" s="229">
        <v>0</v>
      </c>
      <c r="AG69" s="230">
        <v>0</v>
      </c>
      <c r="AH69" s="228" t="s">
        <v>32</v>
      </c>
      <c r="AI69" s="229">
        <v>0</v>
      </c>
      <c r="AJ69" s="230">
        <v>0</v>
      </c>
      <c r="AK69" s="228" t="s">
        <v>32</v>
      </c>
      <c r="AL69" s="229">
        <v>15</v>
      </c>
      <c r="AM69" s="230">
        <v>2</v>
      </c>
      <c r="AN69" s="227">
        <f t="shared" si="228"/>
        <v>7.5</v>
      </c>
      <c r="AO69" s="229">
        <v>0</v>
      </c>
      <c r="AP69" s="230">
        <v>0</v>
      </c>
      <c r="AQ69" s="228" t="str">
        <f t="shared" ref="AQ69" si="267">IF(AP69=0,"-",AO69/AP69)</f>
        <v>-</v>
      </c>
      <c r="AR69" s="229">
        <v>7</v>
      </c>
      <c r="AS69" s="230">
        <v>1</v>
      </c>
      <c r="AT69" s="227">
        <f t="shared" si="230"/>
        <v>7</v>
      </c>
      <c r="AU69" s="229">
        <v>0</v>
      </c>
      <c r="AV69" s="230">
        <v>0</v>
      </c>
      <c r="AW69" s="228" t="str">
        <f t="shared" si="262"/>
        <v>-</v>
      </c>
      <c r="AX69" s="229">
        <v>0</v>
      </c>
      <c r="AY69" s="230">
        <v>0</v>
      </c>
      <c r="AZ69" s="228" t="str">
        <f t="shared" si="210"/>
        <v>-</v>
      </c>
      <c r="BA69" s="229">
        <v>5</v>
      </c>
      <c r="BB69" s="230">
        <v>1</v>
      </c>
      <c r="BC69" s="227">
        <f t="shared" si="225"/>
        <v>5</v>
      </c>
      <c r="BD69" s="229">
        <v>0</v>
      </c>
      <c r="BE69" s="230">
        <v>0</v>
      </c>
      <c r="BF69" s="228" t="str">
        <f t="shared" si="212"/>
        <v>-</v>
      </c>
      <c r="BG69" s="229">
        <v>0</v>
      </c>
      <c r="BH69" s="230">
        <v>0</v>
      </c>
      <c r="BI69" s="228" t="str">
        <f t="shared" si="213"/>
        <v>-</v>
      </c>
      <c r="BJ69" s="229">
        <v>0</v>
      </c>
      <c r="BK69" s="230">
        <v>0</v>
      </c>
      <c r="BL69" s="228" t="str">
        <f t="shared" si="214"/>
        <v>-</v>
      </c>
      <c r="BM69" s="236">
        <f t="shared" si="217"/>
        <v>66</v>
      </c>
      <c r="BN69" s="237">
        <f t="shared" si="217"/>
        <v>12</v>
      </c>
      <c r="BO69" s="238">
        <f t="shared" si="218"/>
        <v>5.5</v>
      </c>
    </row>
    <row r="70" spans="1:67" ht="20.399999999999999" thickBot="1" x14ac:dyDescent="0.45">
      <c r="A70" s="224">
        <v>45321</v>
      </c>
      <c r="B70" s="229">
        <v>70</v>
      </c>
      <c r="C70" s="230">
        <v>9</v>
      </c>
      <c r="D70" s="227">
        <f t="shared" si="219"/>
        <v>7.7777777777777777</v>
      </c>
      <c r="E70" s="229">
        <v>16</v>
      </c>
      <c r="F70" s="230">
        <v>2</v>
      </c>
      <c r="G70" s="227">
        <f t="shared" si="220"/>
        <v>8</v>
      </c>
      <c r="H70" s="229">
        <v>0</v>
      </c>
      <c r="I70" s="230">
        <v>0</v>
      </c>
      <c r="J70" s="228" t="s">
        <v>32</v>
      </c>
      <c r="K70" s="229">
        <v>24</v>
      </c>
      <c r="L70" s="230">
        <v>3</v>
      </c>
      <c r="M70" s="227">
        <f t="shared" si="223"/>
        <v>8</v>
      </c>
      <c r="N70" s="239">
        <v>42</v>
      </c>
      <c r="O70" s="230">
        <v>7</v>
      </c>
      <c r="P70" s="227">
        <f t="shared" si="215"/>
        <v>6</v>
      </c>
      <c r="Q70" s="229">
        <v>1</v>
      </c>
      <c r="R70" s="230">
        <v>1</v>
      </c>
      <c r="S70" s="227">
        <f t="shared" si="216"/>
        <v>1</v>
      </c>
      <c r="T70" s="229">
        <v>0</v>
      </c>
      <c r="U70" s="230">
        <v>0</v>
      </c>
      <c r="V70" s="228" t="s">
        <v>32</v>
      </c>
      <c r="W70" s="229">
        <v>0</v>
      </c>
      <c r="X70" s="230">
        <v>0</v>
      </c>
      <c r="Y70" s="228" t="s">
        <v>32</v>
      </c>
      <c r="Z70" s="229">
        <v>0</v>
      </c>
      <c r="AA70" s="230">
        <v>0</v>
      </c>
      <c r="AB70" s="228" t="s">
        <v>32</v>
      </c>
      <c r="AC70" s="229">
        <v>0</v>
      </c>
      <c r="AD70" s="230">
        <v>0</v>
      </c>
      <c r="AE70" s="228" t="s">
        <v>32</v>
      </c>
      <c r="AF70" s="229">
        <v>0</v>
      </c>
      <c r="AG70" s="230">
        <v>0</v>
      </c>
      <c r="AH70" s="228" t="s">
        <v>32</v>
      </c>
      <c r="AI70" s="229">
        <v>0</v>
      </c>
      <c r="AJ70" s="230">
        <v>0</v>
      </c>
      <c r="AK70" s="228" t="s">
        <v>32</v>
      </c>
      <c r="AL70" s="229">
        <v>0</v>
      </c>
      <c r="AM70" s="230">
        <v>0</v>
      </c>
      <c r="AN70" s="228" t="s">
        <v>32</v>
      </c>
      <c r="AO70" s="229">
        <v>0</v>
      </c>
      <c r="AP70" s="230">
        <v>0</v>
      </c>
      <c r="AQ70" s="228" t="s">
        <v>32</v>
      </c>
      <c r="AR70" s="229">
        <v>0</v>
      </c>
      <c r="AS70" s="230">
        <v>0</v>
      </c>
      <c r="AT70" s="228" t="s">
        <v>32</v>
      </c>
      <c r="AU70" s="229">
        <v>0</v>
      </c>
      <c r="AV70" s="230">
        <v>0</v>
      </c>
      <c r="AW70" s="228" t="s">
        <v>32</v>
      </c>
      <c r="AX70" s="229">
        <v>0</v>
      </c>
      <c r="AY70" s="230">
        <v>0</v>
      </c>
      <c r="AZ70" s="228" t="s">
        <v>32</v>
      </c>
      <c r="BA70" s="229">
        <v>0</v>
      </c>
      <c r="BB70" s="230">
        <v>0</v>
      </c>
      <c r="BC70" s="228" t="s">
        <v>32</v>
      </c>
      <c r="BD70" s="229">
        <v>0</v>
      </c>
      <c r="BE70" s="230">
        <v>0</v>
      </c>
      <c r="BF70" s="228" t="s">
        <v>32</v>
      </c>
      <c r="BG70" s="229">
        <v>0</v>
      </c>
      <c r="BH70" s="230">
        <v>0</v>
      </c>
      <c r="BI70" s="228" t="s">
        <v>32</v>
      </c>
      <c r="BJ70" s="229">
        <v>0</v>
      </c>
      <c r="BK70" s="230">
        <v>0</v>
      </c>
      <c r="BL70" s="228" t="s">
        <v>32</v>
      </c>
      <c r="BM70" s="236">
        <f t="shared" si="217"/>
        <v>153</v>
      </c>
      <c r="BN70" s="237">
        <f t="shared" si="217"/>
        <v>22</v>
      </c>
      <c r="BO70" s="238">
        <f t="shared" si="218"/>
        <v>6.9545454545454541</v>
      </c>
    </row>
    <row r="71" spans="1:67" ht="20.399999999999999" thickBot="1" x14ac:dyDescent="0.45">
      <c r="A71" s="224">
        <v>45322</v>
      </c>
      <c r="B71" s="229">
        <v>49</v>
      </c>
      <c r="C71" s="230">
        <v>6</v>
      </c>
      <c r="D71" s="227">
        <f t="shared" si="219"/>
        <v>8.1666666666666661</v>
      </c>
      <c r="E71" s="229">
        <v>15</v>
      </c>
      <c r="F71" s="230">
        <v>2</v>
      </c>
      <c r="G71" s="227">
        <f t="shared" si="220"/>
        <v>7.5</v>
      </c>
      <c r="H71" s="229">
        <v>15</v>
      </c>
      <c r="I71" s="230">
        <v>2</v>
      </c>
      <c r="J71" s="227">
        <f t="shared" ref="J71" si="268">IF(I71=0,"",H71/I71)</f>
        <v>7.5</v>
      </c>
      <c r="K71" s="229">
        <v>0</v>
      </c>
      <c r="L71" s="230">
        <v>0</v>
      </c>
      <c r="M71" s="228" t="s">
        <v>32</v>
      </c>
      <c r="N71" s="239">
        <v>43</v>
      </c>
      <c r="O71" s="230">
        <v>8</v>
      </c>
      <c r="P71" s="227">
        <f t="shared" si="215"/>
        <v>5.375</v>
      </c>
      <c r="Q71" s="229">
        <v>21</v>
      </c>
      <c r="R71" s="230">
        <v>4</v>
      </c>
      <c r="S71" s="227">
        <f t="shared" si="216"/>
        <v>5.25</v>
      </c>
      <c r="T71" s="229">
        <v>6</v>
      </c>
      <c r="U71" s="230">
        <v>1</v>
      </c>
      <c r="V71" s="227">
        <f t="shared" ref="V71" si="269">IF(U71=0,"",T71/U71)</f>
        <v>6</v>
      </c>
      <c r="W71" s="229">
        <v>0</v>
      </c>
      <c r="X71" s="230">
        <v>0</v>
      </c>
      <c r="Y71" s="228" t="s">
        <v>32</v>
      </c>
      <c r="Z71" s="229">
        <v>0</v>
      </c>
      <c r="AA71" s="230">
        <v>0</v>
      </c>
      <c r="AB71" s="228" t="s">
        <v>32</v>
      </c>
      <c r="AC71" s="229">
        <v>8</v>
      </c>
      <c r="AD71" s="230">
        <v>1</v>
      </c>
      <c r="AE71" s="227">
        <f t="shared" ref="AE71" si="270">IF(AD71=0,"",AC71/AD71)</f>
        <v>8</v>
      </c>
      <c r="AF71" s="229">
        <v>0</v>
      </c>
      <c r="AG71" s="230">
        <v>0</v>
      </c>
      <c r="AH71" s="228" t="s">
        <v>32</v>
      </c>
      <c r="AI71" s="229">
        <v>0</v>
      </c>
      <c r="AJ71" s="230">
        <v>0</v>
      </c>
      <c r="AK71" s="228" t="s">
        <v>32</v>
      </c>
      <c r="AL71" s="229">
        <v>38</v>
      </c>
      <c r="AM71" s="230">
        <v>5</v>
      </c>
      <c r="AN71" s="227">
        <f t="shared" ref="AN71" si="271">IF(AM71=0,"",AL71/AM71)</f>
        <v>7.6</v>
      </c>
      <c r="AO71" s="229">
        <v>0</v>
      </c>
      <c r="AP71" s="230">
        <v>0</v>
      </c>
      <c r="AQ71" s="228" t="s">
        <v>32</v>
      </c>
      <c r="AR71" s="229">
        <v>0</v>
      </c>
      <c r="AS71" s="230">
        <v>0</v>
      </c>
      <c r="AT71" s="228" t="s">
        <v>32</v>
      </c>
      <c r="AU71" s="229">
        <v>0</v>
      </c>
      <c r="AV71" s="230">
        <v>0</v>
      </c>
      <c r="AW71" s="228" t="s">
        <v>32</v>
      </c>
      <c r="AX71" s="229">
        <v>0</v>
      </c>
      <c r="AY71" s="230">
        <v>0</v>
      </c>
      <c r="AZ71" s="228" t="s">
        <v>32</v>
      </c>
      <c r="BA71" s="229">
        <v>0</v>
      </c>
      <c r="BB71" s="230">
        <v>0</v>
      </c>
      <c r="BC71" s="228" t="s">
        <v>32</v>
      </c>
      <c r="BD71" s="229">
        <v>0</v>
      </c>
      <c r="BE71" s="230">
        <v>0</v>
      </c>
      <c r="BF71" s="228" t="s">
        <v>32</v>
      </c>
      <c r="BG71" s="229">
        <v>0</v>
      </c>
      <c r="BH71" s="230">
        <v>0</v>
      </c>
      <c r="BI71" s="228" t="s">
        <v>32</v>
      </c>
      <c r="BJ71" s="229">
        <v>0</v>
      </c>
      <c r="BK71" s="230">
        <v>0</v>
      </c>
      <c r="BL71" s="228" t="s">
        <v>32</v>
      </c>
      <c r="BM71" s="236">
        <f t="shared" ref="BM71:BN72" si="272">BJ71+BG71+BD71+BA71+AX71+AU71+AR71+AO71+AL71+K71+Q71+N71+H71+E71+AI71+AF71+AC71+Z71+W71+B71</f>
        <v>189</v>
      </c>
      <c r="BN71" s="237">
        <f t="shared" si="272"/>
        <v>28</v>
      </c>
      <c r="BO71" s="238">
        <f t="shared" si="218"/>
        <v>6.75</v>
      </c>
    </row>
    <row r="72" spans="1:67" ht="20.399999999999999" thickBot="1" x14ac:dyDescent="0.45">
      <c r="A72" s="241" t="s">
        <v>33</v>
      </c>
      <c r="B72" s="242">
        <f>SUM(B41:B71)</f>
        <v>1173</v>
      </c>
      <c r="C72" s="242">
        <f>SUM(C41:C71)</f>
        <v>141</v>
      </c>
      <c r="D72" s="243">
        <f>B72/C72</f>
        <v>8.3191489361702136</v>
      </c>
      <c r="E72" s="242">
        <f>SUM(E41:E71)</f>
        <v>116</v>
      </c>
      <c r="F72" s="242">
        <f>SUM(F41:F71)</f>
        <v>17</v>
      </c>
      <c r="G72" s="243">
        <f>E72/F72</f>
        <v>6.8235294117647056</v>
      </c>
      <c r="H72" s="242">
        <f>SUM(H41:H71)</f>
        <v>130</v>
      </c>
      <c r="I72" s="242">
        <f>SUM(I41:I71)</f>
        <v>17</v>
      </c>
      <c r="J72" s="243">
        <f>H72/I72</f>
        <v>7.6470588235294121</v>
      </c>
      <c r="K72" s="242">
        <f>SUM(K41:K70)</f>
        <v>30</v>
      </c>
      <c r="L72" s="242">
        <f>SUM(L41:L70)</f>
        <v>5</v>
      </c>
      <c r="M72" s="243">
        <f>K72/L72</f>
        <v>6</v>
      </c>
      <c r="N72" s="242">
        <f>SUM(N41:N71)</f>
        <v>1025</v>
      </c>
      <c r="O72" s="242">
        <f>SUM(O41:O71)</f>
        <v>183</v>
      </c>
      <c r="P72" s="243">
        <f>N72/O72</f>
        <v>5.6010928961748636</v>
      </c>
      <c r="Q72" s="242">
        <f>SUM(Q41:Q71)</f>
        <v>4545</v>
      </c>
      <c r="R72" s="242">
        <f>SUM(R41:R71)</f>
        <v>701</v>
      </c>
      <c r="S72" s="243">
        <f>Q72/R72</f>
        <v>6.4835948644793149</v>
      </c>
      <c r="T72" s="242">
        <f>SUM(T41:T71)</f>
        <v>36</v>
      </c>
      <c r="U72" s="242">
        <f>SUM(U41:U71)</f>
        <v>6</v>
      </c>
      <c r="V72" s="243">
        <f>T72/U72</f>
        <v>6</v>
      </c>
      <c r="W72" s="242">
        <f>SUM(W41:W70)</f>
        <v>57</v>
      </c>
      <c r="X72" s="242">
        <f>SUM(X41:X70)</f>
        <v>9</v>
      </c>
      <c r="Y72" s="243">
        <f>W72/X72</f>
        <v>6.333333333333333</v>
      </c>
      <c r="Z72" s="242">
        <f>SUM(Z41:Z70)</f>
        <v>0</v>
      </c>
      <c r="AA72" s="242">
        <f>SUM(AA41:AA70)</f>
        <v>0</v>
      </c>
      <c r="AB72" s="243" t="e">
        <f>Z72/AA72</f>
        <v>#DIV/0!</v>
      </c>
      <c r="AC72" s="242">
        <f>SUM(AC41:AC71)</f>
        <v>27</v>
      </c>
      <c r="AD72" s="242">
        <f>SUM(AD41:AD71)</f>
        <v>7</v>
      </c>
      <c r="AE72" s="243">
        <f>AC72/AD72</f>
        <v>3.8571428571428572</v>
      </c>
      <c r="AF72" s="242">
        <f>SUM(AF41:AF70)</f>
        <v>0</v>
      </c>
      <c r="AG72" s="242">
        <f>SUM(AG41:AG70)</f>
        <v>0</v>
      </c>
      <c r="AH72" s="243" t="e">
        <f>AF72/AG72</f>
        <v>#DIV/0!</v>
      </c>
      <c r="AI72" s="242">
        <f>SUM(AI41:AI70)</f>
        <v>47</v>
      </c>
      <c r="AJ72" s="242">
        <f>SUM(AJ41:AJ70)</f>
        <v>10</v>
      </c>
      <c r="AK72" s="243">
        <f>AI72/AJ72</f>
        <v>4.7</v>
      </c>
      <c r="AL72" s="242">
        <f>SUM(AL41:AL71)</f>
        <v>486</v>
      </c>
      <c r="AM72" s="242">
        <f>SUM(AM41:AM71)</f>
        <v>69</v>
      </c>
      <c r="AN72" s="243">
        <f>AL72/AM72</f>
        <v>7.0434782608695654</v>
      </c>
      <c r="AO72" s="242">
        <f>SUM(AO41:AO70)</f>
        <v>50</v>
      </c>
      <c r="AP72" s="242">
        <f>SUM(AP41:AP70)</f>
        <v>7</v>
      </c>
      <c r="AQ72" s="243">
        <f>AO72/AP72</f>
        <v>7.1428571428571432</v>
      </c>
      <c r="AR72" s="242">
        <f>SUM(AR41:AR70)</f>
        <v>136</v>
      </c>
      <c r="AS72" s="242">
        <f>SUM(AS41:AS70)</f>
        <v>19</v>
      </c>
      <c r="AT72" s="243">
        <f>AR72/AS72</f>
        <v>7.1578947368421053</v>
      </c>
      <c r="AU72" s="242">
        <f>SUM(AU41:AU70)</f>
        <v>35</v>
      </c>
      <c r="AV72" s="242">
        <f>SUM(AV41:AV70)</f>
        <v>5</v>
      </c>
      <c r="AW72" s="243">
        <f>AU72/AV72</f>
        <v>7</v>
      </c>
      <c r="AX72" s="242">
        <f>SUM(AX41:AX70)</f>
        <v>0</v>
      </c>
      <c r="AY72" s="242">
        <f>SUM(AY41:AY70)</f>
        <v>0</v>
      </c>
      <c r="AZ72" s="244" t="str">
        <f>IF(AY72=0,"-",AX72/AY72)</f>
        <v>-</v>
      </c>
      <c r="BA72" s="242">
        <f>SUM(BA41:BA70)</f>
        <v>209</v>
      </c>
      <c r="BB72" s="242">
        <f>SUM(BB41:BB70)</f>
        <v>30</v>
      </c>
      <c r="BC72" s="243">
        <f>BA72/BB72</f>
        <v>6.9666666666666668</v>
      </c>
      <c r="BD72" s="242">
        <f>SUM(BD41:BD70)</f>
        <v>0</v>
      </c>
      <c r="BE72" s="242">
        <f>SUM(BE41:BE70)</f>
        <v>0</v>
      </c>
      <c r="BF72" s="244" t="str">
        <f>IF(BE72=0,"-",BD72/BE72)</f>
        <v>-</v>
      </c>
      <c r="BG72" s="242">
        <f>SUM(BG41:BG70)</f>
        <v>1</v>
      </c>
      <c r="BH72" s="242">
        <f>SUM(BH41:BH70)</f>
        <v>1</v>
      </c>
      <c r="BI72" s="244">
        <f>IF(BH72=0,"-",BG72/BH72)</f>
        <v>1</v>
      </c>
      <c r="BJ72" s="242">
        <f>SUM(BJ41:BJ70)</f>
        <v>0</v>
      </c>
      <c r="BK72" s="242">
        <f>SUM(BK41:BK70)</f>
        <v>0</v>
      </c>
      <c r="BL72" s="244" t="str">
        <f>IF(BK72=0,"-",BJ72/BK72)</f>
        <v>-</v>
      </c>
      <c r="BM72" s="245">
        <f>SUM(BM41:BM70)</f>
        <v>7878</v>
      </c>
      <c r="BN72" s="246">
        <f t="shared" si="272"/>
        <v>1221</v>
      </c>
      <c r="BO72" s="247">
        <f t="shared" si="218"/>
        <v>6.4520884520884518</v>
      </c>
    </row>
    <row r="73" spans="1:67" x14ac:dyDescent="0.4">
      <c r="A73" s="224"/>
    </row>
    <row r="74" spans="1:67" ht="20.399999999999999" thickBot="1" x14ac:dyDescent="0.45">
      <c r="A74" s="152" t="s">
        <v>48</v>
      </c>
      <c r="B74" s="153"/>
      <c r="C74" s="153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3"/>
      <c r="X74" s="153"/>
      <c r="Y74" s="154"/>
      <c r="Z74" s="153"/>
      <c r="AA74" s="153"/>
      <c r="AB74" s="154"/>
      <c r="AC74" s="153"/>
      <c r="AD74" s="153"/>
      <c r="AE74" s="154"/>
      <c r="AF74" s="153"/>
      <c r="AG74" s="153"/>
      <c r="AH74" s="154"/>
      <c r="AI74" s="153"/>
      <c r="AJ74" s="153"/>
      <c r="AK74" s="154"/>
      <c r="AL74" s="153"/>
      <c r="AM74" s="153"/>
      <c r="AN74" s="154"/>
      <c r="AO74" s="153"/>
      <c r="AP74" s="153"/>
      <c r="AQ74" s="154"/>
      <c r="AR74" s="153"/>
      <c r="AS74" s="153"/>
      <c r="AT74" s="154"/>
      <c r="AU74" s="153"/>
      <c r="AV74" s="153"/>
      <c r="AW74" s="153"/>
      <c r="AX74" s="153"/>
      <c r="AY74" s="153"/>
      <c r="AZ74" s="154"/>
      <c r="BA74" s="153"/>
      <c r="BB74" s="153"/>
      <c r="BC74" s="154"/>
      <c r="BD74" s="153"/>
      <c r="BE74" s="153"/>
      <c r="BF74" s="154"/>
      <c r="BG74" s="153"/>
      <c r="BH74" s="153"/>
      <c r="BI74" s="154"/>
      <c r="BJ74" s="153"/>
      <c r="BK74" s="153"/>
      <c r="BL74" s="154"/>
      <c r="BM74" s="155"/>
      <c r="BN74" s="155"/>
      <c r="BO74" s="154"/>
    </row>
    <row r="75" spans="1:67" ht="20.399999999999999" thickBot="1" x14ac:dyDescent="0.45">
      <c r="A75" s="157"/>
      <c r="B75" s="158"/>
      <c r="C75" s="159" t="s">
        <v>1</v>
      </c>
      <c r="D75" s="160"/>
      <c r="E75" s="161"/>
      <c r="F75" s="159" t="s">
        <v>1</v>
      </c>
      <c r="G75" s="161"/>
      <c r="H75" s="162"/>
      <c r="I75" s="159" t="s">
        <v>1</v>
      </c>
      <c r="J75" s="160"/>
      <c r="K75" s="163"/>
      <c r="L75" s="159" t="s">
        <v>1</v>
      </c>
      <c r="M75" s="164"/>
      <c r="N75" s="163"/>
      <c r="O75" s="163" t="s">
        <v>2</v>
      </c>
      <c r="P75" s="163"/>
      <c r="Q75" s="165"/>
      <c r="R75" s="163" t="s">
        <v>2</v>
      </c>
      <c r="S75" s="164"/>
      <c r="T75" s="165"/>
      <c r="U75" s="163" t="s">
        <v>2</v>
      </c>
      <c r="V75" s="164"/>
      <c r="W75" s="166"/>
      <c r="X75" s="167" t="s">
        <v>3</v>
      </c>
      <c r="Y75" s="163"/>
      <c r="Z75" s="166"/>
      <c r="AA75" s="167" t="s">
        <v>3</v>
      </c>
      <c r="AB75" s="164"/>
      <c r="AC75" s="167"/>
      <c r="AD75" s="167" t="s">
        <v>4</v>
      </c>
      <c r="AE75" s="163"/>
      <c r="AF75" s="166"/>
      <c r="AG75" s="167" t="s">
        <v>4</v>
      </c>
      <c r="AH75" s="164"/>
      <c r="AI75" s="167"/>
      <c r="AJ75" s="167" t="s">
        <v>4</v>
      </c>
      <c r="AK75" s="164"/>
      <c r="AL75" s="168"/>
      <c r="AM75" s="169" t="s">
        <v>5</v>
      </c>
      <c r="AN75" s="170"/>
      <c r="AO75" s="168"/>
      <c r="AP75" s="169" t="s">
        <v>5</v>
      </c>
      <c r="AQ75" s="171"/>
      <c r="AR75" s="169"/>
      <c r="AS75" s="169" t="s">
        <v>5</v>
      </c>
      <c r="AT75" s="170"/>
      <c r="AU75" s="168"/>
      <c r="AV75" s="169" t="s">
        <v>5</v>
      </c>
      <c r="AW75" s="172"/>
      <c r="AX75" s="169"/>
      <c r="AY75" s="169" t="s">
        <v>5</v>
      </c>
      <c r="AZ75" s="171"/>
      <c r="BA75" s="166"/>
      <c r="BB75" s="167" t="s">
        <v>6</v>
      </c>
      <c r="BC75" s="164"/>
      <c r="BD75" s="173"/>
      <c r="BE75" s="173" t="s">
        <v>6</v>
      </c>
      <c r="BF75" s="174"/>
      <c r="BG75" s="166"/>
      <c r="BH75" s="167" t="s">
        <v>6</v>
      </c>
      <c r="BI75" s="164"/>
      <c r="BJ75" s="173"/>
      <c r="BK75" s="173" t="s">
        <v>6</v>
      </c>
      <c r="BL75" s="174"/>
      <c r="BM75" s="175" t="s">
        <v>7</v>
      </c>
      <c r="BN75" s="176"/>
      <c r="BO75" s="164"/>
    </row>
    <row r="76" spans="1:67" x14ac:dyDescent="0.4">
      <c r="A76" s="178"/>
      <c r="B76" s="179" t="s">
        <v>8</v>
      </c>
      <c r="C76" s="180"/>
      <c r="D76" s="181"/>
      <c r="E76" s="182" t="s">
        <v>9</v>
      </c>
      <c r="F76" s="183"/>
      <c r="G76" s="184"/>
      <c r="H76" s="182" t="s">
        <v>10</v>
      </c>
      <c r="I76" s="183"/>
      <c r="J76" s="184"/>
      <c r="K76" s="183" t="s">
        <v>13</v>
      </c>
      <c r="L76" s="183"/>
      <c r="M76" s="184"/>
      <c r="N76" s="183" t="s">
        <v>11</v>
      </c>
      <c r="O76" s="183"/>
      <c r="P76" s="185"/>
      <c r="Q76" s="182" t="s">
        <v>12</v>
      </c>
      <c r="R76" s="183"/>
      <c r="S76" s="184"/>
      <c r="T76" s="182" t="s">
        <v>35</v>
      </c>
      <c r="U76" s="183"/>
      <c r="V76" s="184"/>
      <c r="W76" s="186" t="s">
        <v>14</v>
      </c>
      <c r="X76" s="186"/>
      <c r="Y76" s="187"/>
      <c r="Z76" s="188" t="s">
        <v>15</v>
      </c>
      <c r="AA76" s="186"/>
      <c r="AB76" s="189"/>
      <c r="AC76" s="186" t="s">
        <v>16</v>
      </c>
      <c r="AD76" s="186"/>
      <c r="AE76" s="187"/>
      <c r="AF76" s="188" t="s">
        <v>17</v>
      </c>
      <c r="AG76" s="186"/>
      <c r="AH76" s="189"/>
      <c r="AI76" s="186" t="s">
        <v>18</v>
      </c>
      <c r="AJ76" s="186"/>
      <c r="AK76" s="187"/>
      <c r="AL76" s="190" t="s">
        <v>36</v>
      </c>
      <c r="AM76" s="191"/>
      <c r="AN76" s="192"/>
      <c r="AO76" s="190" t="s">
        <v>37</v>
      </c>
      <c r="AP76" s="191"/>
      <c r="AQ76" s="193"/>
      <c r="AR76" s="191" t="s">
        <v>38</v>
      </c>
      <c r="AS76" s="191"/>
      <c r="AT76" s="192"/>
      <c r="AU76" s="190" t="s">
        <v>39</v>
      </c>
      <c r="AV76" s="191"/>
      <c r="AW76" s="194"/>
      <c r="AX76" s="191" t="s">
        <v>40</v>
      </c>
      <c r="AY76" s="191"/>
      <c r="AZ76" s="193"/>
      <c r="BA76" s="195" t="s">
        <v>24</v>
      </c>
      <c r="BB76" s="196"/>
      <c r="BC76" s="197"/>
      <c r="BD76" s="196" t="s">
        <v>25</v>
      </c>
      <c r="BE76" s="196"/>
      <c r="BF76" s="198"/>
      <c r="BG76" s="195" t="s">
        <v>26</v>
      </c>
      <c r="BH76" s="196"/>
      <c r="BI76" s="197"/>
      <c r="BJ76" s="196" t="s">
        <v>27</v>
      </c>
      <c r="BK76" s="196"/>
      <c r="BL76" s="198"/>
      <c r="BM76" s="199" t="s">
        <v>28</v>
      </c>
      <c r="BN76" s="199"/>
      <c r="BO76" s="200"/>
    </row>
    <row r="77" spans="1:67" ht="60" thickBot="1" x14ac:dyDescent="0.45">
      <c r="A77" s="201" t="s">
        <v>29</v>
      </c>
      <c r="B77" s="202" t="s">
        <v>7</v>
      </c>
      <c r="C77" s="203" t="s">
        <v>30</v>
      </c>
      <c r="D77" s="204" t="s">
        <v>31</v>
      </c>
      <c r="E77" s="205" t="s">
        <v>7</v>
      </c>
      <c r="F77" s="206" t="s">
        <v>30</v>
      </c>
      <c r="G77" s="207" t="s">
        <v>31</v>
      </c>
      <c r="H77" s="205" t="s">
        <v>7</v>
      </c>
      <c r="I77" s="206" t="s">
        <v>30</v>
      </c>
      <c r="J77" s="207" t="s">
        <v>31</v>
      </c>
      <c r="K77" s="206" t="s">
        <v>7</v>
      </c>
      <c r="L77" s="206" t="s">
        <v>30</v>
      </c>
      <c r="M77" s="207" t="s">
        <v>31</v>
      </c>
      <c r="N77" s="206" t="s">
        <v>7</v>
      </c>
      <c r="O77" s="206" t="s">
        <v>30</v>
      </c>
      <c r="P77" s="208" t="s">
        <v>31</v>
      </c>
      <c r="Q77" s="205" t="s">
        <v>7</v>
      </c>
      <c r="R77" s="206" t="s">
        <v>30</v>
      </c>
      <c r="S77" s="207" t="s">
        <v>31</v>
      </c>
      <c r="T77" s="205" t="s">
        <v>7</v>
      </c>
      <c r="U77" s="206" t="s">
        <v>30</v>
      </c>
      <c r="V77" s="207" t="s">
        <v>31</v>
      </c>
      <c r="W77" s="209" t="s">
        <v>7</v>
      </c>
      <c r="X77" s="209" t="s">
        <v>30</v>
      </c>
      <c r="Y77" s="210" t="s">
        <v>31</v>
      </c>
      <c r="Z77" s="211" t="s">
        <v>7</v>
      </c>
      <c r="AA77" s="209" t="s">
        <v>30</v>
      </c>
      <c r="AB77" s="212" t="s">
        <v>31</v>
      </c>
      <c r="AC77" s="209" t="s">
        <v>7</v>
      </c>
      <c r="AD77" s="209" t="s">
        <v>30</v>
      </c>
      <c r="AE77" s="210" t="s">
        <v>31</v>
      </c>
      <c r="AF77" s="211" t="s">
        <v>7</v>
      </c>
      <c r="AG77" s="209" t="s">
        <v>30</v>
      </c>
      <c r="AH77" s="212" t="s">
        <v>31</v>
      </c>
      <c r="AI77" s="209" t="s">
        <v>7</v>
      </c>
      <c r="AJ77" s="209" t="s">
        <v>30</v>
      </c>
      <c r="AK77" s="210" t="s">
        <v>31</v>
      </c>
      <c r="AL77" s="213" t="s">
        <v>7</v>
      </c>
      <c r="AM77" s="214" t="s">
        <v>30</v>
      </c>
      <c r="AN77" s="215" t="s">
        <v>31</v>
      </c>
      <c r="AO77" s="213" t="s">
        <v>7</v>
      </c>
      <c r="AP77" s="214" t="s">
        <v>30</v>
      </c>
      <c r="AQ77" s="216" t="s">
        <v>31</v>
      </c>
      <c r="AR77" s="214" t="s">
        <v>7</v>
      </c>
      <c r="AS77" s="214" t="s">
        <v>30</v>
      </c>
      <c r="AT77" s="215" t="s">
        <v>31</v>
      </c>
      <c r="AU77" s="213" t="s">
        <v>7</v>
      </c>
      <c r="AV77" s="214" t="s">
        <v>30</v>
      </c>
      <c r="AW77" s="217" t="s">
        <v>31</v>
      </c>
      <c r="AX77" s="214" t="s">
        <v>7</v>
      </c>
      <c r="AY77" s="214" t="s">
        <v>30</v>
      </c>
      <c r="AZ77" s="216" t="s">
        <v>31</v>
      </c>
      <c r="BA77" s="218" t="s">
        <v>7</v>
      </c>
      <c r="BB77" s="219" t="s">
        <v>30</v>
      </c>
      <c r="BC77" s="220" t="s">
        <v>31</v>
      </c>
      <c r="BD77" s="219" t="s">
        <v>7</v>
      </c>
      <c r="BE77" s="219" t="s">
        <v>30</v>
      </c>
      <c r="BF77" s="221" t="s">
        <v>31</v>
      </c>
      <c r="BG77" s="218" t="s">
        <v>7</v>
      </c>
      <c r="BH77" s="219" t="s">
        <v>30</v>
      </c>
      <c r="BI77" s="220" t="s">
        <v>31</v>
      </c>
      <c r="BJ77" s="219" t="s">
        <v>7</v>
      </c>
      <c r="BK77" s="219" t="s">
        <v>30</v>
      </c>
      <c r="BL77" s="221" t="s">
        <v>31</v>
      </c>
      <c r="BM77" s="222" t="s">
        <v>7</v>
      </c>
      <c r="BN77" s="222" t="s">
        <v>30</v>
      </c>
      <c r="BO77" s="223" t="s">
        <v>31</v>
      </c>
    </row>
    <row r="78" spans="1:67" ht="20.399999999999999" thickBot="1" x14ac:dyDescent="0.45">
      <c r="A78" s="224">
        <v>45323</v>
      </c>
      <c r="B78" s="225">
        <v>68</v>
      </c>
      <c r="C78" s="226">
        <v>8</v>
      </c>
      <c r="D78" s="227">
        <f t="shared" ref="D78:D106" si="273">IF(C78=0,"",B78/C78)</f>
        <v>8.5</v>
      </c>
      <c r="E78" s="225">
        <v>8</v>
      </c>
      <c r="F78" s="226">
        <v>1</v>
      </c>
      <c r="G78" s="227">
        <f t="shared" ref="G78:G90" si="274">IF(F78=0,"",E78/F78)</f>
        <v>8</v>
      </c>
      <c r="H78" s="225">
        <v>18</v>
      </c>
      <c r="I78" s="226">
        <v>2</v>
      </c>
      <c r="J78" s="227">
        <f t="shared" ref="J78:J106" si="275">IF(I78=0,"",H78/I78)</f>
        <v>9</v>
      </c>
      <c r="K78" s="225">
        <v>0</v>
      </c>
      <c r="L78" s="226">
        <v>0</v>
      </c>
      <c r="M78" s="228" t="str">
        <f t="shared" ref="M78:M80" si="276">IF(L78=0,"-",K78/L78)</f>
        <v>-</v>
      </c>
      <c r="N78" s="225">
        <v>15</v>
      </c>
      <c r="O78" s="226">
        <v>3</v>
      </c>
      <c r="P78" s="227">
        <f t="shared" ref="P78:P106" si="277">IF(O78=0,"",N78/O78)</f>
        <v>5</v>
      </c>
      <c r="Q78" s="225">
        <v>386</v>
      </c>
      <c r="R78" s="226">
        <v>61</v>
      </c>
      <c r="S78" s="227">
        <f t="shared" ref="S78:S106" si="278">IF(R78=0,"",Q78/R78)</f>
        <v>6.3278688524590168</v>
      </c>
      <c r="T78" s="225">
        <v>0</v>
      </c>
      <c r="U78" s="226">
        <v>0</v>
      </c>
      <c r="V78" s="228" t="str">
        <f t="shared" ref="V78:V82" si="279">IF(U78=0,"-",T78/U78)</f>
        <v>-</v>
      </c>
      <c r="W78" s="225">
        <v>1</v>
      </c>
      <c r="X78" s="226">
        <v>1</v>
      </c>
      <c r="Y78" s="228">
        <f t="shared" ref="Y78:Y82" si="280">IF(X78=0,"-",W78/X78)</f>
        <v>1</v>
      </c>
      <c r="Z78" s="229">
        <v>0</v>
      </c>
      <c r="AA78" s="230">
        <v>0</v>
      </c>
      <c r="AB78" s="228" t="str">
        <f t="shared" ref="AB78:AB96" si="281">IF(AA78=0,"-",Z78/AA78)</f>
        <v>-</v>
      </c>
      <c r="AC78" s="225">
        <v>0</v>
      </c>
      <c r="AD78" s="226">
        <v>0</v>
      </c>
      <c r="AE78" s="228" t="str">
        <f t="shared" ref="AE78:AE79" si="282">IF(AD78=0,"-",AC78/AD78)</f>
        <v>-</v>
      </c>
      <c r="AF78" s="225">
        <v>0</v>
      </c>
      <c r="AG78" s="226">
        <v>0</v>
      </c>
      <c r="AH78" s="228" t="str">
        <f t="shared" ref="AH78:AH96" si="283">IF(AG78=0,"-",AF78/AG78)</f>
        <v>-</v>
      </c>
      <c r="AI78" s="225">
        <v>0</v>
      </c>
      <c r="AJ78" s="226">
        <v>0</v>
      </c>
      <c r="AK78" s="228" t="str">
        <f t="shared" ref="AK78:AK95" si="284">IF(AJ78=0,"-",AI78/AJ78)</f>
        <v>-</v>
      </c>
      <c r="AL78" s="225">
        <v>0</v>
      </c>
      <c r="AM78" s="226">
        <v>0</v>
      </c>
      <c r="AN78" s="228" t="str">
        <f t="shared" ref="AN78" si="285">IF(AM78=0,"-",AL78/AM78)</f>
        <v>-</v>
      </c>
      <c r="AO78" s="225">
        <v>0</v>
      </c>
      <c r="AP78" s="226">
        <v>0</v>
      </c>
      <c r="AQ78" s="228" t="str">
        <f t="shared" ref="AQ78:AQ92" si="286">IF(AP78=0,"-",AO78/AP78)</f>
        <v>-</v>
      </c>
      <c r="AR78" s="225">
        <v>0</v>
      </c>
      <c r="AS78" s="226">
        <v>0</v>
      </c>
      <c r="AT78" s="228" t="str">
        <f t="shared" ref="AT78:AT91" si="287">IF(AS78=0,"-",AR78/AS78)</f>
        <v>-</v>
      </c>
      <c r="AU78" s="225">
        <v>7</v>
      </c>
      <c r="AV78" s="226">
        <v>1</v>
      </c>
      <c r="AW78" s="227">
        <f t="shared" ref="AW78:AW82" si="288">IF(AV78=0,"",AU78/AV78)</f>
        <v>7</v>
      </c>
      <c r="AX78" s="225">
        <v>0</v>
      </c>
      <c r="AY78" s="226">
        <v>0</v>
      </c>
      <c r="AZ78" s="228" t="str">
        <f t="shared" ref="AZ78:AZ96" si="289">IF(AY78=0,"-",AX78/AY78)</f>
        <v>-</v>
      </c>
      <c r="BA78" s="156">
        <v>8</v>
      </c>
      <c r="BB78" s="225">
        <v>1</v>
      </c>
      <c r="BC78" s="228">
        <f t="shared" ref="BC78" si="290">IF(BB78=0,"-",BA78/BB78)</f>
        <v>8</v>
      </c>
      <c r="BD78" s="225">
        <v>0</v>
      </c>
      <c r="BE78" s="226">
        <v>0</v>
      </c>
      <c r="BF78" s="228" t="str">
        <f t="shared" ref="BF78:BF96" si="291">IF(BE78=0,"-",BD78/BE78)</f>
        <v>-</v>
      </c>
      <c r="BG78" s="225">
        <v>0</v>
      </c>
      <c r="BH78" s="226">
        <v>0</v>
      </c>
      <c r="BI78" s="228" t="str">
        <f t="shared" ref="BI78:BI96" si="292">IF(BH78=0,"-",BG78/BH78)</f>
        <v>-</v>
      </c>
      <c r="BJ78" s="225">
        <v>0</v>
      </c>
      <c r="BK78" s="226">
        <v>0</v>
      </c>
      <c r="BL78" s="228" t="str">
        <f t="shared" ref="BL78:BL95" si="293">IF(BK78=0,"-",BJ78/BK78)</f>
        <v>-</v>
      </c>
      <c r="BM78" s="236">
        <f t="shared" ref="BM78:BN93" si="294">BJ78+BG78+BD78+BA78+AX78+AU78+AR78+AO78+AL78+K78+Q78+N78+H78+E78+AI78+AF78+AC78+Z78+W78+B78</f>
        <v>511</v>
      </c>
      <c r="BN78" s="237">
        <f t="shared" si="294"/>
        <v>78</v>
      </c>
      <c r="BO78" s="238">
        <f t="shared" ref="BO78:BO107" si="295">IF(BN78=0,"",BM78/BN78)</f>
        <v>6.5512820512820511</v>
      </c>
    </row>
    <row r="79" spans="1:67" ht="20.399999999999999" thickBot="1" x14ac:dyDescent="0.45">
      <c r="A79" s="224">
        <v>45324</v>
      </c>
      <c r="B79" s="229">
        <v>40</v>
      </c>
      <c r="C79" s="230">
        <v>4</v>
      </c>
      <c r="D79" s="227">
        <f t="shared" si="273"/>
        <v>10</v>
      </c>
      <c r="E79" s="229">
        <v>0</v>
      </c>
      <c r="F79" s="230">
        <v>0</v>
      </c>
      <c r="G79" s="228" t="str">
        <f>IF(F79=0,"-",E79/F79)</f>
        <v>-</v>
      </c>
      <c r="H79" s="229">
        <v>0</v>
      </c>
      <c r="I79" s="230">
        <v>0</v>
      </c>
      <c r="J79" s="228" t="str">
        <f t="shared" ref="J79:J89" si="296">IF(I79=0,"-",H79/I79)</f>
        <v>-</v>
      </c>
      <c r="K79" s="229">
        <v>0</v>
      </c>
      <c r="L79" s="230">
        <v>0</v>
      </c>
      <c r="M79" s="228" t="str">
        <f t="shared" si="276"/>
        <v>-</v>
      </c>
      <c r="N79" s="239">
        <v>53</v>
      </c>
      <c r="O79" s="230">
        <v>10</v>
      </c>
      <c r="P79" s="227">
        <f t="shared" si="277"/>
        <v>5.3</v>
      </c>
      <c r="Q79" s="229">
        <v>391</v>
      </c>
      <c r="R79" s="230">
        <v>64</v>
      </c>
      <c r="S79" s="228">
        <f t="shared" ref="S79:S81" si="297">IF(R79=0,"-",Q79/R79)</f>
        <v>6.109375</v>
      </c>
      <c r="T79" s="229">
        <v>0</v>
      </c>
      <c r="U79" s="230">
        <v>0</v>
      </c>
      <c r="V79" s="228" t="str">
        <f t="shared" si="279"/>
        <v>-</v>
      </c>
      <c r="W79" s="229">
        <v>0</v>
      </c>
      <c r="X79" s="230">
        <v>0</v>
      </c>
      <c r="Y79" s="228" t="str">
        <f t="shared" si="280"/>
        <v>-</v>
      </c>
      <c r="Z79" s="229">
        <v>0</v>
      </c>
      <c r="AA79" s="230">
        <v>0</v>
      </c>
      <c r="AB79" s="228" t="str">
        <f t="shared" si="281"/>
        <v>-</v>
      </c>
      <c r="AC79" s="229">
        <v>0</v>
      </c>
      <c r="AD79" s="230">
        <v>0</v>
      </c>
      <c r="AE79" s="228" t="str">
        <f t="shared" si="282"/>
        <v>-</v>
      </c>
      <c r="AF79" s="229">
        <v>0</v>
      </c>
      <c r="AG79" s="230">
        <v>0</v>
      </c>
      <c r="AH79" s="228" t="str">
        <f t="shared" si="283"/>
        <v>-</v>
      </c>
      <c r="AI79" s="229">
        <v>0</v>
      </c>
      <c r="AJ79" s="230">
        <v>0</v>
      </c>
      <c r="AK79" s="228" t="str">
        <f t="shared" si="284"/>
        <v>-</v>
      </c>
      <c r="AL79" s="239">
        <v>44</v>
      </c>
      <c r="AM79" s="230">
        <v>6</v>
      </c>
      <c r="AN79" s="227">
        <f t="shared" ref="AN79:AN106" si="298">IF(AM79=0,"",AL79/AM79)</f>
        <v>7.333333333333333</v>
      </c>
      <c r="AO79" s="229">
        <v>0</v>
      </c>
      <c r="AP79" s="230">
        <v>0</v>
      </c>
      <c r="AQ79" s="228" t="str">
        <f t="shared" si="286"/>
        <v>-</v>
      </c>
      <c r="AR79" s="229">
        <v>0</v>
      </c>
      <c r="AS79" s="230">
        <v>0</v>
      </c>
      <c r="AT79" s="228" t="str">
        <f t="shared" si="287"/>
        <v>-</v>
      </c>
      <c r="AU79" s="229">
        <v>0</v>
      </c>
      <c r="AV79" s="230">
        <v>0</v>
      </c>
      <c r="AW79" s="228" t="str">
        <f t="shared" ref="AW79:AW81" si="299">IF(AV79=0,"-",AU79/AV79)</f>
        <v>-</v>
      </c>
      <c r="AX79" s="229">
        <v>0</v>
      </c>
      <c r="AY79" s="230">
        <v>0</v>
      </c>
      <c r="AZ79" s="228" t="str">
        <f t="shared" si="289"/>
        <v>-</v>
      </c>
      <c r="BA79" s="229">
        <v>7</v>
      </c>
      <c r="BB79" s="230">
        <v>1</v>
      </c>
      <c r="BC79" s="227">
        <f t="shared" ref="BC79:BC106" si="300">IF(BB79=0,"",BA79/BB79)</f>
        <v>7</v>
      </c>
      <c r="BD79" s="229">
        <v>0</v>
      </c>
      <c r="BE79" s="230">
        <v>0</v>
      </c>
      <c r="BF79" s="228" t="str">
        <f t="shared" si="291"/>
        <v>-</v>
      </c>
      <c r="BG79" s="229">
        <v>0</v>
      </c>
      <c r="BH79" s="230">
        <v>0</v>
      </c>
      <c r="BI79" s="228" t="str">
        <f t="shared" si="292"/>
        <v>-</v>
      </c>
      <c r="BJ79" s="229">
        <v>0</v>
      </c>
      <c r="BK79" s="230">
        <v>0</v>
      </c>
      <c r="BL79" s="228" t="str">
        <f t="shared" si="293"/>
        <v>-</v>
      </c>
      <c r="BM79" s="236">
        <f t="shared" si="294"/>
        <v>535</v>
      </c>
      <c r="BN79" s="237">
        <f t="shared" si="294"/>
        <v>85</v>
      </c>
      <c r="BO79" s="238">
        <f t="shared" si="295"/>
        <v>6.2941176470588234</v>
      </c>
    </row>
    <row r="80" spans="1:67" ht="20.399999999999999" thickBot="1" x14ac:dyDescent="0.45">
      <c r="A80" s="224">
        <v>45325</v>
      </c>
      <c r="B80" s="229">
        <v>117</v>
      </c>
      <c r="C80" s="230">
        <v>12</v>
      </c>
      <c r="D80" s="227">
        <f t="shared" si="273"/>
        <v>9.75</v>
      </c>
      <c r="E80" s="229">
        <v>0</v>
      </c>
      <c r="F80" s="230">
        <v>0</v>
      </c>
      <c r="G80" s="228" t="str">
        <f>IF(F80=0,"-",E80/F80)</f>
        <v>-</v>
      </c>
      <c r="H80" s="229">
        <v>0</v>
      </c>
      <c r="I80" s="230">
        <v>0</v>
      </c>
      <c r="J80" s="228" t="str">
        <f t="shared" si="296"/>
        <v>-</v>
      </c>
      <c r="K80" s="229">
        <v>0</v>
      </c>
      <c r="L80" s="230">
        <v>0</v>
      </c>
      <c r="M80" s="228" t="str">
        <f t="shared" si="276"/>
        <v>-</v>
      </c>
      <c r="N80" s="239">
        <v>50</v>
      </c>
      <c r="O80" s="230">
        <v>9</v>
      </c>
      <c r="P80" s="227">
        <f t="shared" si="277"/>
        <v>5.5555555555555554</v>
      </c>
      <c r="Q80" s="229">
        <v>243</v>
      </c>
      <c r="R80" s="230">
        <v>40</v>
      </c>
      <c r="S80" s="228">
        <f t="shared" si="297"/>
        <v>6.0750000000000002</v>
      </c>
      <c r="T80" s="229">
        <v>0</v>
      </c>
      <c r="U80" s="230">
        <v>0</v>
      </c>
      <c r="V80" s="228" t="str">
        <f t="shared" si="279"/>
        <v>-</v>
      </c>
      <c r="W80" s="229">
        <v>0</v>
      </c>
      <c r="X80" s="230">
        <v>0</v>
      </c>
      <c r="Y80" s="228" t="str">
        <f t="shared" si="280"/>
        <v>-</v>
      </c>
      <c r="Z80" s="229">
        <v>0</v>
      </c>
      <c r="AA80" s="230">
        <v>0</v>
      </c>
      <c r="AB80" s="228" t="str">
        <f t="shared" si="281"/>
        <v>-</v>
      </c>
      <c r="AC80" s="229">
        <v>2</v>
      </c>
      <c r="AD80" s="230">
        <v>1</v>
      </c>
      <c r="AE80" s="227">
        <f>IF(AD80=0,"",AC80/AD80)</f>
        <v>2</v>
      </c>
      <c r="AF80" s="229">
        <v>0</v>
      </c>
      <c r="AG80" s="230">
        <v>0</v>
      </c>
      <c r="AH80" s="228" t="str">
        <f t="shared" si="283"/>
        <v>-</v>
      </c>
      <c r="AI80" s="229">
        <v>0</v>
      </c>
      <c r="AJ80" s="230">
        <v>0</v>
      </c>
      <c r="AK80" s="228" t="str">
        <f t="shared" si="284"/>
        <v>-</v>
      </c>
      <c r="AL80" s="239">
        <v>37</v>
      </c>
      <c r="AM80" s="230">
        <v>5</v>
      </c>
      <c r="AN80" s="227">
        <f t="shared" si="298"/>
        <v>7.4</v>
      </c>
      <c r="AO80" s="229">
        <v>0</v>
      </c>
      <c r="AP80" s="230">
        <v>0</v>
      </c>
      <c r="AQ80" s="228" t="str">
        <f t="shared" si="286"/>
        <v>-</v>
      </c>
      <c r="AR80" s="229">
        <v>0</v>
      </c>
      <c r="AS80" s="230">
        <v>0</v>
      </c>
      <c r="AT80" s="228" t="str">
        <f t="shared" si="287"/>
        <v>-</v>
      </c>
      <c r="AU80" s="229">
        <v>0</v>
      </c>
      <c r="AV80" s="230">
        <v>0</v>
      </c>
      <c r="AW80" s="228" t="str">
        <f t="shared" si="299"/>
        <v>-</v>
      </c>
      <c r="AX80" s="229">
        <v>0</v>
      </c>
      <c r="AY80" s="230">
        <v>0</v>
      </c>
      <c r="AZ80" s="228" t="str">
        <f t="shared" si="289"/>
        <v>-</v>
      </c>
      <c r="BA80" s="229">
        <v>6</v>
      </c>
      <c r="BB80" s="230">
        <v>1</v>
      </c>
      <c r="BC80" s="227">
        <f t="shared" si="300"/>
        <v>6</v>
      </c>
      <c r="BD80" s="229">
        <v>0</v>
      </c>
      <c r="BE80" s="230">
        <v>0</v>
      </c>
      <c r="BF80" s="228" t="str">
        <f t="shared" si="291"/>
        <v>-</v>
      </c>
      <c r="BG80" s="229">
        <v>0</v>
      </c>
      <c r="BH80" s="230">
        <v>0</v>
      </c>
      <c r="BI80" s="228" t="str">
        <f t="shared" si="292"/>
        <v>-</v>
      </c>
      <c r="BJ80" s="229">
        <v>0</v>
      </c>
      <c r="BK80" s="230">
        <v>0</v>
      </c>
      <c r="BL80" s="228" t="str">
        <f t="shared" si="293"/>
        <v>-</v>
      </c>
      <c r="BM80" s="236">
        <f t="shared" si="294"/>
        <v>455</v>
      </c>
      <c r="BN80" s="237">
        <f t="shared" si="294"/>
        <v>68</v>
      </c>
      <c r="BO80" s="238">
        <f t="shared" si="295"/>
        <v>6.6911764705882355</v>
      </c>
    </row>
    <row r="81" spans="1:67" ht="20.399999999999999" thickBot="1" x14ac:dyDescent="0.45">
      <c r="A81" s="224">
        <v>45326</v>
      </c>
      <c r="B81" s="229">
        <v>27</v>
      </c>
      <c r="C81" s="230">
        <v>3</v>
      </c>
      <c r="D81" s="227">
        <f t="shared" si="273"/>
        <v>9</v>
      </c>
      <c r="E81" s="229">
        <v>0</v>
      </c>
      <c r="F81" s="230">
        <v>0</v>
      </c>
      <c r="G81" s="228" t="str">
        <f>IF(F81=0,"-",E81/F81)</f>
        <v>-</v>
      </c>
      <c r="H81" s="229">
        <v>0</v>
      </c>
      <c r="I81" s="230">
        <v>0</v>
      </c>
      <c r="J81" s="228" t="str">
        <f t="shared" si="296"/>
        <v>-</v>
      </c>
      <c r="K81" s="229">
        <v>6</v>
      </c>
      <c r="L81" s="230">
        <v>1</v>
      </c>
      <c r="M81" s="227">
        <f t="shared" ref="M81" si="301">IF(L81=0,"",K81/L81)</f>
        <v>6</v>
      </c>
      <c r="N81" s="229">
        <v>0</v>
      </c>
      <c r="O81" s="230">
        <v>0</v>
      </c>
      <c r="P81" s="228" t="str">
        <f t="shared" ref="P81" si="302">IF(O81=0,"-",N81/O81)</f>
        <v>-</v>
      </c>
      <c r="Q81" s="229">
        <v>8</v>
      </c>
      <c r="R81" s="230">
        <v>1</v>
      </c>
      <c r="S81" s="228">
        <f t="shared" si="297"/>
        <v>8</v>
      </c>
      <c r="T81" s="229">
        <v>0</v>
      </c>
      <c r="U81" s="230">
        <v>0</v>
      </c>
      <c r="V81" s="228" t="str">
        <f t="shared" si="279"/>
        <v>-</v>
      </c>
      <c r="W81" s="229">
        <v>0</v>
      </c>
      <c r="X81" s="230">
        <v>0</v>
      </c>
      <c r="Y81" s="228" t="str">
        <f t="shared" si="280"/>
        <v>-</v>
      </c>
      <c r="Z81" s="229">
        <v>0</v>
      </c>
      <c r="AA81" s="230">
        <v>0</v>
      </c>
      <c r="AB81" s="228" t="str">
        <f t="shared" si="281"/>
        <v>-</v>
      </c>
      <c r="AC81" s="229">
        <v>0</v>
      </c>
      <c r="AD81" s="230">
        <v>0</v>
      </c>
      <c r="AE81" s="228" t="str">
        <f t="shared" ref="AE81:AE83" si="303">IF(AD81=0,"-",AC81/AD81)</f>
        <v>-</v>
      </c>
      <c r="AF81" s="229">
        <v>0</v>
      </c>
      <c r="AG81" s="230">
        <v>0</v>
      </c>
      <c r="AH81" s="228" t="str">
        <f t="shared" si="283"/>
        <v>-</v>
      </c>
      <c r="AI81" s="229">
        <v>0</v>
      </c>
      <c r="AJ81" s="230">
        <v>0</v>
      </c>
      <c r="AK81" s="228" t="str">
        <f t="shared" si="284"/>
        <v>-</v>
      </c>
      <c r="AL81" s="239">
        <v>36</v>
      </c>
      <c r="AM81" s="230">
        <v>5</v>
      </c>
      <c r="AN81" s="227">
        <f t="shared" si="298"/>
        <v>7.2</v>
      </c>
      <c r="AO81" s="229">
        <v>0</v>
      </c>
      <c r="AP81" s="230">
        <v>0</v>
      </c>
      <c r="AQ81" s="228" t="str">
        <f t="shared" si="286"/>
        <v>-</v>
      </c>
      <c r="AR81" s="229">
        <v>0</v>
      </c>
      <c r="AS81" s="230">
        <v>0</v>
      </c>
      <c r="AT81" s="228" t="str">
        <f t="shared" si="287"/>
        <v>-</v>
      </c>
      <c r="AU81" s="229">
        <v>7</v>
      </c>
      <c r="AV81" s="230">
        <v>1</v>
      </c>
      <c r="AW81" s="228">
        <f t="shared" si="299"/>
        <v>7</v>
      </c>
      <c r="AX81" s="229">
        <v>0</v>
      </c>
      <c r="AY81" s="230">
        <v>0</v>
      </c>
      <c r="AZ81" s="228" t="str">
        <f t="shared" si="289"/>
        <v>-</v>
      </c>
      <c r="BA81" s="229">
        <v>0</v>
      </c>
      <c r="BB81" s="230">
        <v>0</v>
      </c>
      <c r="BC81" s="228" t="str">
        <f t="shared" ref="BC81" si="304">IF(BB81=0,"-",BA81/BB81)</f>
        <v>-</v>
      </c>
      <c r="BD81" s="229">
        <v>0</v>
      </c>
      <c r="BE81" s="230">
        <v>0</v>
      </c>
      <c r="BF81" s="228" t="str">
        <f t="shared" si="291"/>
        <v>-</v>
      </c>
      <c r="BG81" s="229">
        <v>0</v>
      </c>
      <c r="BH81" s="230">
        <v>0</v>
      </c>
      <c r="BI81" s="228" t="str">
        <f t="shared" si="292"/>
        <v>-</v>
      </c>
      <c r="BJ81" s="229">
        <v>0</v>
      </c>
      <c r="BK81" s="230">
        <v>0</v>
      </c>
      <c r="BL81" s="228" t="str">
        <f t="shared" si="293"/>
        <v>-</v>
      </c>
      <c r="BM81" s="236">
        <f t="shared" si="294"/>
        <v>84</v>
      </c>
      <c r="BN81" s="237">
        <f t="shared" si="294"/>
        <v>11</v>
      </c>
      <c r="BO81" s="238">
        <f t="shared" si="295"/>
        <v>7.6363636363636367</v>
      </c>
    </row>
    <row r="82" spans="1:67" ht="20.399999999999999" thickBot="1" x14ac:dyDescent="0.45">
      <c r="A82" s="224">
        <v>45327</v>
      </c>
      <c r="B82" s="229">
        <v>110</v>
      </c>
      <c r="C82" s="230">
        <v>12</v>
      </c>
      <c r="D82" s="227">
        <f t="shared" si="273"/>
        <v>9.1666666666666661</v>
      </c>
      <c r="E82" s="229">
        <v>0</v>
      </c>
      <c r="F82" s="230">
        <v>0</v>
      </c>
      <c r="G82" s="228" t="str">
        <f>IF(F82=0,"-",E82/F82)</f>
        <v>-</v>
      </c>
      <c r="H82" s="229">
        <v>0</v>
      </c>
      <c r="I82" s="230">
        <v>0</v>
      </c>
      <c r="J82" s="228" t="str">
        <f t="shared" si="296"/>
        <v>-</v>
      </c>
      <c r="K82" s="229">
        <v>0</v>
      </c>
      <c r="L82" s="230">
        <v>0</v>
      </c>
      <c r="M82" s="228" t="str">
        <f t="shared" ref="M82:M96" si="305">IF(L82=0,"-",K82/L82)</f>
        <v>-</v>
      </c>
      <c r="N82" s="239">
        <v>66</v>
      </c>
      <c r="O82" s="230">
        <v>11</v>
      </c>
      <c r="P82" s="227">
        <f t="shared" si="277"/>
        <v>6</v>
      </c>
      <c r="Q82" s="229">
        <v>24</v>
      </c>
      <c r="R82" s="230">
        <v>4</v>
      </c>
      <c r="S82" s="227">
        <f t="shared" si="278"/>
        <v>6</v>
      </c>
      <c r="T82" s="229">
        <v>0</v>
      </c>
      <c r="U82" s="230">
        <v>0</v>
      </c>
      <c r="V82" s="228" t="str">
        <f t="shared" si="279"/>
        <v>-</v>
      </c>
      <c r="W82" s="229">
        <v>0</v>
      </c>
      <c r="X82" s="230">
        <v>0</v>
      </c>
      <c r="Y82" s="228" t="str">
        <f t="shared" si="280"/>
        <v>-</v>
      </c>
      <c r="Z82" s="229">
        <v>0</v>
      </c>
      <c r="AA82" s="230">
        <v>0</v>
      </c>
      <c r="AB82" s="228" t="str">
        <f t="shared" si="281"/>
        <v>-</v>
      </c>
      <c r="AC82" s="229">
        <v>0</v>
      </c>
      <c r="AD82" s="230">
        <v>0</v>
      </c>
      <c r="AE82" s="228" t="str">
        <f t="shared" si="303"/>
        <v>-</v>
      </c>
      <c r="AF82" s="229">
        <v>0</v>
      </c>
      <c r="AG82" s="230">
        <v>0</v>
      </c>
      <c r="AH82" s="228" t="str">
        <f t="shared" si="283"/>
        <v>-</v>
      </c>
      <c r="AI82" s="229">
        <v>0</v>
      </c>
      <c r="AJ82" s="230">
        <v>0</v>
      </c>
      <c r="AK82" s="228" t="str">
        <f t="shared" si="284"/>
        <v>-</v>
      </c>
      <c r="AL82" s="239">
        <v>6</v>
      </c>
      <c r="AM82" s="230">
        <v>1</v>
      </c>
      <c r="AN82" s="227">
        <f t="shared" si="298"/>
        <v>6</v>
      </c>
      <c r="AO82" s="229">
        <v>0</v>
      </c>
      <c r="AP82" s="230">
        <v>0</v>
      </c>
      <c r="AQ82" s="228" t="str">
        <f t="shared" si="286"/>
        <v>-</v>
      </c>
      <c r="AR82" s="229">
        <v>0</v>
      </c>
      <c r="AS82" s="230">
        <v>0</v>
      </c>
      <c r="AT82" s="228" t="str">
        <f t="shared" si="287"/>
        <v>-</v>
      </c>
      <c r="AU82" s="229">
        <v>7</v>
      </c>
      <c r="AV82" s="229">
        <v>1</v>
      </c>
      <c r="AW82" s="227">
        <f t="shared" si="288"/>
        <v>7</v>
      </c>
      <c r="AX82" s="229">
        <v>0</v>
      </c>
      <c r="AY82" s="230">
        <v>0</v>
      </c>
      <c r="AZ82" s="228" t="str">
        <f t="shared" si="289"/>
        <v>-</v>
      </c>
      <c r="BA82" s="229">
        <v>6</v>
      </c>
      <c r="BB82" s="230">
        <v>1</v>
      </c>
      <c r="BC82" s="227">
        <f t="shared" si="300"/>
        <v>6</v>
      </c>
      <c r="BD82" s="229">
        <v>0</v>
      </c>
      <c r="BE82" s="230">
        <v>0</v>
      </c>
      <c r="BF82" s="228" t="str">
        <f t="shared" si="291"/>
        <v>-</v>
      </c>
      <c r="BG82" s="229">
        <v>0</v>
      </c>
      <c r="BH82" s="230">
        <v>0</v>
      </c>
      <c r="BI82" s="228" t="str">
        <f t="shared" si="292"/>
        <v>-</v>
      </c>
      <c r="BJ82" s="229">
        <v>0</v>
      </c>
      <c r="BK82" s="230">
        <v>0</v>
      </c>
      <c r="BL82" s="228" t="str">
        <f t="shared" si="293"/>
        <v>-</v>
      </c>
      <c r="BM82" s="236">
        <f t="shared" si="294"/>
        <v>219</v>
      </c>
      <c r="BN82" s="237">
        <f t="shared" si="294"/>
        <v>30</v>
      </c>
      <c r="BO82" s="238">
        <f t="shared" si="295"/>
        <v>7.3</v>
      </c>
    </row>
    <row r="83" spans="1:67" ht="20.399999999999999" thickBot="1" x14ac:dyDescent="0.45">
      <c r="A83" s="224">
        <v>45328</v>
      </c>
      <c r="B83" s="229">
        <v>79</v>
      </c>
      <c r="C83" s="230">
        <v>9</v>
      </c>
      <c r="D83" s="227">
        <f>IF(C83=0,"",B83/C83)</f>
        <v>8.7777777777777786</v>
      </c>
      <c r="E83" s="229">
        <v>17</v>
      </c>
      <c r="F83" s="230">
        <v>2</v>
      </c>
      <c r="G83" s="227">
        <f t="shared" si="274"/>
        <v>8.5</v>
      </c>
      <c r="H83" s="229">
        <v>0</v>
      </c>
      <c r="I83" s="230">
        <v>0</v>
      </c>
      <c r="J83" s="228" t="str">
        <f t="shared" si="296"/>
        <v>-</v>
      </c>
      <c r="K83" s="229">
        <v>0</v>
      </c>
      <c r="L83" s="230">
        <v>0</v>
      </c>
      <c r="M83" s="228" t="str">
        <f t="shared" si="305"/>
        <v>-</v>
      </c>
      <c r="N83" s="239">
        <v>48</v>
      </c>
      <c r="O83" s="230">
        <v>8</v>
      </c>
      <c r="P83" s="227">
        <f t="shared" si="277"/>
        <v>6</v>
      </c>
      <c r="Q83" s="229">
        <v>432</v>
      </c>
      <c r="R83" s="230">
        <v>67</v>
      </c>
      <c r="S83" s="227">
        <f t="shared" si="278"/>
        <v>6.4477611940298507</v>
      </c>
      <c r="T83" s="229">
        <v>20</v>
      </c>
      <c r="U83" s="230">
        <v>4</v>
      </c>
      <c r="V83" s="227">
        <f t="shared" ref="V83:V106" si="306">IF(U83=0,"",T83/U83)</f>
        <v>5</v>
      </c>
      <c r="W83" s="229">
        <v>6</v>
      </c>
      <c r="X83" s="230">
        <v>1</v>
      </c>
      <c r="Y83" s="227">
        <f t="shared" ref="Y83:Y106" si="307">IF(X83=0,"",W83/X83)</f>
        <v>6</v>
      </c>
      <c r="Z83" s="229">
        <v>0</v>
      </c>
      <c r="AA83" s="230">
        <v>0</v>
      </c>
      <c r="AB83" s="228" t="str">
        <f t="shared" si="281"/>
        <v>-</v>
      </c>
      <c r="AC83" s="229">
        <v>0</v>
      </c>
      <c r="AD83" s="230">
        <v>0</v>
      </c>
      <c r="AE83" s="228" t="str">
        <f t="shared" si="303"/>
        <v>-</v>
      </c>
      <c r="AF83" s="229">
        <v>0</v>
      </c>
      <c r="AG83" s="230">
        <v>0</v>
      </c>
      <c r="AH83" s="228" t="str">
        <f t="shared" si="283"/>
        <v>-</v>
      </c>
      <c r="AI83" s="229">
        <v>0</v>
      </c>
      <c r="AJ83" s="230">
        <v>0</v>
      </c>
      <c r="AK83" s="228" t="str">
        <f t="shared" si="284"/>
        <v>-</v>
      </c>
      <c r="AL83" s="239">
        <v>71</v>
      </c>
      <c r="AM83" s="230">
        <v>10</v>
      </c>
      <c r="AN83" s="227">
        <f t="shared" si="298"/>
        <v>7.1</v>
      </c>
      <c r="AO83" s="229">
        <v>0</v>
      </c>
      <c r="AP83" s="230">
        <v>0</v>
      </c>
      <c r="AQ83" s="228" t="str">
        <f t="shared" si="286"/>
        <v>-</v>
      </c>
      <c r="AR83" s="229">
        <v>0</v>
      </c>
      <c r="AS83" s="230">
        <v>0</v>
      </c>
      <c r="AT83" s="228" t="str">
        <f t="shared" si="287"/>
        <v>-</v>
      </c>
      <c r="AU83" s="229">
        <v>0</v>
      </c>
      <c r="AV83" s="230">
        <v>0</v>
      </c>
      <c r="AW83" s="228" t="str">
        <f t="shared" ref="AW83" si="308">IF(AV83=0,"-",AU83/AV83)</f>
        <v>-</v>
      </c>
      <c r="AX83" s="229">
        <v>0</v>
      </c>
      <c r="AY83" s="230">
        <v>0</v>
      </c>
      <c r="AZ83" s="228" t="str">
        <f t="shared" si="289"/>
        <v>-</v>
      </c>
      <c r="BA83" s="229">
        <v>7</v>
      </c>
      <c r="BB83" s="230">
        <v>1</v>
      </c>
      <c r="BC83" s="227">
        <f t="shared" si="300"/>
        <v>7</v>
      </c>
      <c r="BD83" s="229">
        <v>0</v>
      </c>
      <c r="BE83" s="230">
        <v>0</v>
      </c>
      <c r="BF83" s="228" t="str">
        <f t="shared" si="291"/>
        <v>-</v>
      </c>
      <c r="BG83" s="229">
        <v>0</v>
      </c>
      <c r="BH83" s="230">
        <v>0</v>
      </c>
      <c r="BI83" s="228" t="str">
        <f t="shared" si="292"/>
        <v>-</v>
      </c>
      <c r="BJ83" s="229">
        <v>0</v>
      </c>
      <c r="BK83" s="230">
        <v>0</v>
      </c>
      <c r="BL83" s="228" t="str">
        <f t="shared" si="293"/>
        <v>-</v>
      </c>
      <c r="BM83" s="236">
        <f t="shared" si="294"/>
        <v>660</v>
      </c>
      <c r="BN83" s="237">
        <f t="shared" si="294"/>
        <v>98</v>
      </c>
      <c r="BO83" s="238">
        <f t="shared" si="295"/>
        <v>6.7346938775510203</v>
      </c>
    </row>
    <row r="84" spans="1:67" ht="20.399999999999999" thickBot="1" x14ac:dyDescent="0.45">
      <c r="A84" s="224">
        <v>45329</v>
      </c>
      <c r="B84" s="229">
        <v>63</v>
      </c>
      <c r="C84" s="230">
        <v>7</v>
      </c>
      <c r="D84" s="227">
        <f t="shared" si="273"/>
        <v>9</v>
      </c>
      <c r="E84" s="229">
        <v>29</v>
      </c>
      <c r="F84" s="230">
        <v>6</v>
      </c>
      <c r="G84" s="227">
        <f t="shared" si="274"/>
        <v>4.833333333333333</v>
      </c>
      <c r="H84" s="229">
        <v>0</v>
      </c>
      <c r="I84" s="230">
        <v>0</v>
      </c>
      <c r="J84" s="228" t="str">
        <f t="shared" si="296"/>
        <v>-</v>
      </c>
      <c r="K84" s="229">
        <v>0</v>
      </c>
      <c r="L84" s="230">
        <v>0</v>
      </c>
      <c r="M84" s="228" t="str">
        <f t="shared" si="305"/>
        <v>-</v>
      </c>
      <c r="N84" s="229">
        <v>61</v>
      </c>
      <c r="O84" s="230">
        <v>11</v>
      </c>
      <c r="P84" s="227">
        <f t="shared" si="277"/>
        <v>5.5454545454545459</v>
      </c>
      <c r="Q84" s="229">
        <v>126</v>
      </c>
      <c r="R84" s="230">
        <v>18</v>
      </c>
      <c r="S84" s="227">
        <f t="shared" si="278"/>
        <v>7</v>
      </c>
      <c r="T84" s="229">
        <v>0</v>
      </c>
      <c r="U84" s="230">
        <v>0</v>
      </c>
      <c r="V84" s="227">
        <v>0</v>
      </c>
      <c r="W84" s="229">
        <v>3</v>
      </c>
      <c r="X84" s="230">
        <v>1</v>
      </c>
      <c r="Y84" s="227">
        <f t="shared" si="307"/>
        <v>3</v>
      </c>
      <c r="Z84" s="229">
        <v>0</v>
      </c>
      <c r="AA84" s="230">
        <v>0</v>
      </c>
      <c r="AB84" s="228" t="str">
        <f t="shared" si="281"/>
        <v>-</v>
      </c>
      <c r="AC84" s="229">
        <v>1</v>
      </c>
      <c r="AD84" s="230">
        <v>1</v>
      </c>
      <c r="AE84" s="227">
        <f t="shared" ref="AE84:AE106" si="309">IF(AD84=0,"",AC84/AD84)</f>
        <v>1</v>
      </c>
      <c r="AF84" s="229">
        <v>0</v>
      </c>
      <c r="AG84" s="230">
        <v>0</v>
      </c>
      <c r="AH84" s="228" t="str">
        <f t="shared" si="283"/>
        <v>-</v>
      </c>
      <c r="AI84" s="229">
        <v>0</v>
      </c>
      <c r="AJ84" s="230">
        <v>0</v>
      </c>
      <c r="AK84" s="228" t="str">
        <f t="shared" si="284"/>
        <v>-</v>
      </c>
      <c r="AL84" s="239">
        <v>14</v>
      </c>
      <c r="AM84" s="230">
        <v>2</v>
      </c>
      <c r="AN84" s="227">
        <f t="shared" si="298"/>
        <v>7</v>
      </c>
      <c r="AO84" s="229">
        <v>0</v>
      </c>
      <c r="AP84" s="230">
        <v>0</v>
      </c>
      <c r="AQ84" s="228" t="str">
        <f t="shared" si="286"/>
        <v>-</v>
      </c>
      <c r="AR84" s="229">
        <v>0</v>
      </c>
      <c r="AS84" s="230">
        <v>0</v>
      </c>
      <c r="AT84" s="228" t="str">
        <f t="shared" si="287"/>
        <v>-</v>
      </c>
      <c r="AU84" s="239">
        <v>7</v>
      </c>
      <c r="AV84" s="230">
        <v>1</v>
      </c>
      <c r="AW84" s="227">
        <f t="shared" ref="AW84:AW106" si="310">IF(AV84=0,"",AU84/AV84)</f>
        <v>7</v>
      </c>
      <c r="AX84" s="229">
        <v>0</v>
      </c>
      <c r="AY84" s="230">
        <v>0</v>
      </c>
      <c r="AZ84" s="228" t="str">
        <f t="shared" si="289"/>
        <v>-</v>
      </c>
      <c r="BA84" s="229">
        <v>0</v>
      </c>
      <c r="BB84" s="230">
        <v>0</v>
      </c>
      <c r="BC84" s="228" t="str">
        <f t="shared" ref="BC84:BC85" si="311">IF(BB84=0,"-",BA84/BB84)</f>
        <v>-</v>
      </c>
      <c r="BD84" s="229">
        <v>0</v>
      </c>
      <c r="BE84" s="230">
        <v>0</v>
      </c>
      <c r="BF84" s="228" t="str">
        <f t="shared" si="291"/>
        <v>-</v>
      </c>
      <c r="BG84" s="229">
        <v>0</v>
      </c>
      <c r="BH84" s="230">
        <v>0</v>
      </c>
      <c r="BI84" s="228" t="str">
        <f t="shared" si="292"/>
        <v>-</v>
      </c>
      <c r="BJ84" s="229">
        <v>0</v>
      </c>
      <c r="BK84" s="230">
        <v>0</v>
      </c>
      <c r="BL84" s="228" t="str">
        <f t="shared" si="293"/>
        <v>-</v>
      </c>
      <c r="BM84" s="236">
        <f t="shared" si="294"/>
        <v>304</v>
      </c>
      <c r="BN84" s="237">
        <f t="shared" si="294"/>
        <v>47</v>
      </c>
      <c r="BO84" s="238">
        <f t="shared" si="295"/>
        <v>6.4680851063829783</v>
      </c>
    </row>
    <row r="85" spans="1:67" ht="20.399999999999999" thickBot="1" x14ac:dyDescent="0.45">
      <c r="A85" s="224">
        <v>45330</v>
      </c>
      <c r="B85" s="229">
        <v>109</v>
      </c>
      <c r="C85" s="230">
        <v>13</v>
      </c>
      <c r="D85" s="227">
        <f t="shared" si="273"/>
        <v>8.384615384615385</v>
      </c>
      <c r="E85" s="229">
        <v>6</v>
      </c>
      <c r="F85" s="230">
        <v>1</v>
      </c>
      <c r="G85" s="227">
        <f t="shared" si="274"/>
        <v>6</v>
      </c>
      <c r="H85" s="229">
        <v>0</v>
      </c>
      <c r="I85" s="230">
        <v>0</v>
      </c>
      <c r="J85" s="228" t="str">
        <f t="shared" si="296"/>
        <v>-</v>
      </c>
      <c r="K85" s="229">
        <v>0</v>
      </c>
      <c r="L85" s="230">
        <v>0</v>
      </c>
      <c r="M85" s="228" t="str">
        <f t="shared" si="305"/>
        <v>-</v>
      </c>
      <c r="N85" s="239">
        <v>43</v>
      </c>
      <c r="O85" s="230">
        <v>8</v>
      </c>
      <c r="P85" s="227">
        <f>IF(O85=0,"",N85/O85)</f>
        <v>5.375</v>
      </c>
      <c r="Q85" s="229">
        <v>0</v>
      </c>
      <c r="R85" s="230">
        <v>0</v>
      </c>
      <c r="S85" s="228" t="str">
        <f t="shared" ref="S85" si="312">IF(R85=0,"-",Q85/R85)</f>
        <v>-</v>
      </c>
      <c r="T85" s="229">
        <v>48</v>
      </c>
      <c r="U85" s="230">
        <v>8</v>
      </c>
      <c r="V85" s="227">
        <f t="shared" si="306"/>
        <v>6</v>
      </c>
      <c r="W85" s="229">
        <v>3</v>
      </c>
      <c r="X85" s="230">
        <v>1</v>
      </c>
      <c r="Y85" s="227">
        <f t="shared" si="307"/>
        <v>3</v>
      </c>
      <c r="Z85" s="229">
        <v>0</v>
      </c>
      <c r="AA85" s="230">
        <v>0</v>
      </c>
      <c r="AB85" s="228" t="str">
        <f t="shared" si="281"/>
        <v>-</v>
      </c>
      <c r="AC85" s="229">
        <v>1</v>
      </c>
      <c r="AD85" s="230">
        <v>1</v>
      </c>
      <c r="AE85" s="227">
        <f t="shared" si="309"/>
        <v>1</v>
      </c>
      <c r="AF85" s="229">
        <v>0</v>
      </c>
      <c r="AG85" s="230">
        <v>0</v>
      </c>
      <c r="AH85" s="228" t="str">
        <f t="shared" si="283"/>
        <v>-</v>
      </c>
      <c r="AI85" s="229">
        <v>0</v>
      </c>
      <c r="AJ85" s="230">
        <v>0</v>
      </c>
      <c r="AK85" s="228" t="str">
        <f t="shared" si="284"/>
        <v>-</v>
      </c>
      <c r="AL85" s="229">
        <v>0</v>
      </c>
      <c r="AM85" s="230">
        <v>0</v>
      </c>
      <c r="AN85" s="228" t="str">
        <f t="shared" ref="AN85" si="313">IF(AM85=0,"-",AL85/AM85)</f>
        <v>-</v>
      </c>
      <c r="AO85" s="229">
        <v>0</v>
      </c>
      <c r="AP85" s="230">
        <v>0</v>
      </c>
      <c r="AQ85" s="228" t="str">
        <f t="shared" si="286"/>
        <v>-</v>
      </c>
      <c r="AR85" s="229">
        <v>0</v>
      </c>
      <c r="AS85" s="230">
        <v>0</v>
      </c>
      <c r="AT85" s="228" t="str">
        <f t="shared" si="287"/>
        <v>-</v>
      </c>
      <c r="AU85" s="229">
        <v>0</v>
      </c>
      <c r="AV85" s="230">
        <v>0</v>
      </c>
      <c r="AW85" s="228" t="str">
        <f t="shared" ref="AW85:AW87" si="314">IF(AV85=0,"-",AU85/AV85)</f>
        <v>-</v>
      </c>
      <c r="AX85" s="229">
        <v>0</v>
      </c>
      <c r="AY85" s="230">
        <v>0</v>
      </c>
      <c r="AZ85" s="228" t="str">
        <f t="shared" si="289"/>
        <v>-</v>
      </c>
      <c r="BA85" s="229">
        <v>0</v>
      </c>
      <c r="BB85" s="230">
        <v>0</v>
      </c>
      <c r="BC85" s="228" t="str">
        <f t="shared" si="311"/>
        <v>-</v>
      </c>
      <c r="BD85" s="229">
        <v>0</v>
      </c>
      <c r="BE85" s="230">
        <v>0</v>
      </c>
      <c r="BF85" s="228" t="str">
        <f t="shared" si="291"/>
        <v>-</v>
      </c>
      <c r="BG85" s="229">
        <v>0</v>
      </c>
      <c r="BH85" s="230">
        <v>0</v>
      </c>
      <c r="BI85" s="228" t="str">
        <f t="shared" si="292"/>
        <v>-</v>
      </c>
      <c r="BJ85" s="229">
        <v>0</v>
      </c>
      <c r="BK85" s="230">
        <v>0</v>
      </c>
      <c r="BL85" s="228" t="str">
        <f t="shared" si="293"/>
        <v>-</v>
      </c>
      <c r="BM85" s="236">
        <f t="shared" si="294"/>
        <v>162</v>
      </c>
      <c r="BN85" s="237">
        <f t="shared" si="294"/>
        <v>24</v>
      </c>
      <c r="BO85" s="238">
        <f t="shared" si="295"/>
        <v>6.75</v>
      </c>
    </row>
    <row r="86" spans="1:67" ht="20.399999999999999" thickBot="1" x14ac:dyDescent="0.45">
      <c r="A86" s="224">
        <v>45331</v>
      </c>
      <c r="B86" s="229">
        <v>65</v>
      </c>
      <c r="C86" s="230">
        <v>11</v>
      </c>
      <c r="D86" s="227">
        <f t="shared" si="273"/>
        <v>5.9090909090909092</v>
      </c>
      <c r="E86" s="239">
        <v>7</v>
      </c>
      <c r="F86" s="230">
        <v>1</v>
      </c>
      <c r="G86" s="227">
        <f t="shared" si="274"/>
        <v>7</v>
      </c>
      <c r="H86" s="229">
        <v>0</v>
      </c>
      <c r="I86" s="230">
        <v>0</v>
      </c>
      <c r="J86" s="228" t="str">
        <f t="shared" si="296"/>
        <v>-</v>
      </c>
      <c r="K86" s="229">
        <v>0</v>
      </c>
      <c r="L86" s="230">
        <v>0</v>
      </c>
      <c r="M86" s="228" t="str">
        <f t="shared" si="305"/>
        <v>-</v>
      </c>
      <c r="N86" s="239">
        <v>36</v>
      </c>
      <c r="O86" s="230">
        <v>7</v>
      </c>
      <c r="P86" s="227">
        <f t="shared" si="277"/>
        <v>5.1428571428571432</v>
      </c>
      <c r="Q86" s="232">
        <v>48</v>
      </c>
      <c r="R86" s="233">
        <v>9</v>
      </c>
      <c r="S86" s="227">
        <f t="shared" si="278"/>
        <v>5.333333333333333</v>
      </c>
      <c r="T86" s="229">
        <v>0</v>
      </c>
      <c r="U86" s="230">
        <v>0</v>
      </c>
      <c r="V86" s="227">
        <v>0</v>
      </c>
      <c r="W86" s="229">
        <v>0</v>
      </c>
      <c r="X86" s="230">
        <v>0</v>
      </c>
      <c r="Y86" s="228" t="str">
        <f t="shared" ref="Y86:Y88" si="315">IF(X86=0,"-",W86/X86)</f>
        <v>-</v>
      </c>
      <c r="Z86" s="229">
        <v>0</v>
      </c>
      <c r="AA86" s="230">
        <v>0</v>
      </c>
      <c r="AB86" s="228" t="str">
        <f t="shared" si="281"/>
        <v>-</v>
      </c>
      <c r="AC86" s="239">
        <v>7</v>
      </c>
      <c r="AD86" s="230">
        <v>1</v>
      </c>
      <c r="AE86" s="227">
        <f t="shared" si="309"/>
        <v>7</v>
      </c>
      <c r="AF86" s="229">
        <v>0</v>
      </c>
      <c r="AG86" s="230">
        <v>0</v>
      </c>
      <c r="AH86" s="228" t="str">
        <f t="shared" si="283"/>
        <v>-</v>
      </c>
      <c r="AI86" s="229">
        <v>0</v>
      </c>
      <c r="AJ86" s="230">
        <v>0</v>
      </c>
      <c r="AK86" s="228" t="str">
        <f t="shared" si="284"/>
        <v>-</v>
      </c>
      <c r="AL86" s="239">
        <v>7</v>
      </c>
      <c r="AM86" s="230">
        <v>1</v>
      </c>
      <c r="AN86" s="227">
        <f t="shared" si="298"/>
        <v>7</v>
      </c>
      <c r="AO86" s="229">
        <v>0</v>
      </c>
      <c r="AP86" s="230">
        <v>0</v>
      </c>
      <c r="AQ86" s="228" t="str">
        <f t="shared" si="286"/>
        <v>-</v>
      </c>
      <c r="AR86" s="229">
        <v>0</v>
      </c>
      <c r="AS86" s="230">
        <v>0</v>
      </c>
      <c r="AT86" s="228" t="str">
        <f t="shared" si="287"/>
        <v>-</v>
      </c>
      <c r="AU86" s="229">
        <v>0</v>
      </c>
      <c r="AV86" s="230">
        <v>0</v>
      </c>
      <c r="AW86" s="228" t="str">
        <f t="shared" si="314"/>
        <v>-</v>
      </c>
      <c r="AX86" s="229">
        <v>0</v>
      </c>
      <c r="AY86" s="230">
        <v>0</v>
      </c>
      <c r="AZ86" s="228" t="str">
        <f t="shared" si="289"/>
        <v>-</v>
      </c>
      <c r="BA86" s="229">
        <v>5</v>
      </c>
      <c r="BB86" s="230">
        <v>1</v>
      </c>
      <c r="BC86" s="227">
        <f t="shared" si="300"/>
        <v>5</v>
      </c>
      <c r="BD86" s="229">
        <v>0</v>
      </c>
      <c r="BE86" s="230">
        <v>0</v>
      </c>
      <c r="BF86" s="228" t="str">
        <f t="shared" si="291"/>
        <v>-</v>
      </c>
      <c r="BG86" s="229">
        <v>0</v>
      </c>
      <c r="BH86" s="230">
        <v>0</v>
      </c>
      <c r="BI86" s="228" t="str">
        <f t="shared" si="292"/>
        <v>-</v>
      </c>
      <c r="BJ86" s="229">
        <v>0</v>
      </c>
      <c r="BK86" s="230">
        <v>0</v>
      </c>
      <c r="BL86" s="228" t="str">
        <f t="shared" si="293"/>
        <v>-</v>
      </c>
      <c r="BM86" s="236">
        <f t="shared" si="294"/>
        <v>175</v>
      </c>
      <c r="BN86" s="237">
        <f t="shared" si="294"/>
        <v>31</v>
      </c>
      <c r="BO86" s="238">
        <f t="shared" si="295"/>
        <v>5.645161290322581</v>
      </c>
    </row>
    <row r="87" spans="1:67" ht="20.399999999999999" thickBot="1" x14ac:dyDescent="0.45">
      <c r="A87" s="224">
        <v>45332</v>
      </c>
      <c r="B87" s="229">
        <v>26</v>
      </c>
      <c r="C87" s="230">
        <v>6</v>
      </c>
      <c r="D87" s="227">
        <f t="shared" si="273"/>
        <v>4.333333333333333</v>
      </c>
      <c r="E87" s="229">
        <v>0</v>
      </c>
      <c r="F87" s="230">
        <v>0</v>
      </c>
      <c r="G87" s="228" t="str">
        <f t="shared" ref="G87" si="316">IF(F87=0,"-",E87/F87)</f>
        <v>-</v>
      </c>
      <c r="H87" s="229">
        <v>0</v>
      </c>
      <c r="I87" s="230">
        <v>0</v>
      </c>
      <c r="J87" s="228" t="str">
        <f t="shared" si="296"/>
        <v>-</v>
      </c>
      <c r="K87" s="229">
        <v>0</v>
      </c>
      <c r="L87" s="230">
        <v>0</v>
      </c>
      <c r="M87" s="228" t="str">
        <f t="shared" si="305"/>
        <v>-</v>
      </c>
      <c r="N87" s="232">
        <v>5</v>
      </c>
      <c r="O87" s="233">
        <v>1</v>
      </c>
      <c r="P87" s="227">
        <f t="shared" si="277"/>
        <v>5</v>
      </c>
      <c r="Q87" s="229">
        <v>0</v>
      </c>
      <c r="R87" s="230">
        <v>0</v>
      </c>
      <c r="S87" s="228" t="str">
        <f t="shared" ref="S87:S90" si="317">IF(R87=0,"-",Q87/R87)</f>
        <v>-</v>
      </c>
      <c r="T87" s="229">
        <v>0</v>
      </c>
      <c r="U87" s="230">
        <v>0</v>
      </c>
      <c r="V87" s="228" t="str">
        <f t="shared" ref="V87" si="318">IF(U87=0,"-",T87/U87)</f>
        <v>-</v>
      </c>
      <c r="W87" s="229">
        <v>0</v>
      </c>
      <c r="X87" s="230">
        <v>0</v>
      </c>
      <c r="Y87" s="228" t="str">
        <f t="shared" si="315"/>
        <v>-</v>
      </c>
      <c r="Z87" s="229">
        <v>0</v>
      </c>
      <c r="AA87" s="230">
        <v>0</v>
      </c>
      <c r="AB87" s="228" t="str">
        <f t="shared" si="281"/>
        <v>-</v>
      </c>
      <c r="AC87" s="229">
        <v>0</v>
      </c>
      <c r="AD87" s="230">
        <v>0</v>
      </c>
      <c r="AE87" s="228" t="str">
        <f t="shared" ref="AE87:AE90" si="319">IF(AD87=0,"-",AC87/AD87)</f>
        <v>-</v>
      </c>
      <c r="AF87" s="229">
        <v>0</v>
      </c>
      <c r="AG87" s="230">
        <v>0</v>
      </c>
      <c r="AH87" s="228" t="str">
        <f t="shared" si="283"/>
        <v>-</v>
      </c>
      <c r="AI87" s="229">
        <v>0</v>
      </c>
      <c r="AJ87" s="230">
        <v>0</v>
      </c>
      <c r="AK87" s="228" t="str">
        <f t="shared" si="284"/>
        <v>-</v>
      </c>
      <c r="AL87" s="239">
        <v>7</v>
      </c>
      <c r="AM87" s="230">
        <v>1</v>
      </c>
      <c r="AN87" s="227">
        <f t="shared" si="298"/>
        <v>7</v>
      </c>
      <c r="AO87" s="229">
        <v>0</v>
      </c>
      <c r="AP87" s="230">
        <v>0</v>
      </c>
      <c r="AQ87" s="228" t="str">
        <f t="shared" si="286"/>
        <v>-</v>
      </c>
      <c r="AR87" s="229">
        <v>0</v>
      </c>
      <c r="AS87" s="230">
        <v>0</v>
      </c>
      <c r="AT87" s="228" t="str">
        <f t="shared" si="287"/>
        <v>-</v>
      </c>
      <c r="AU87" s="229">
        <v>0</v>
      </c>
      <c r="AV87" s="230">
        <v>0</v>
      </c>
      <c r="AW87" s="228" t="str">
        <f t="shared" si="314"/>
        <v>-</v>
      </c>
      <c r="AX87" s="229">
        <v>0</v>
      </c>
      <c r="AY87" s="230">
        <v>0</v>
      </c>
      <c r="AZ87" s="228" t="str">
        <f t="shared" si="289"/>
        <v>-</v>
      </c>
      <c r="BA87" s="229">
        <v>0</v>
      </c>
      <c r="BB87" s="230">
        <v>0</v>
      </c>
      <c r="BC87" s="228" t="str">
        <f t="shared" ref="BC87:BC92" si="320">IF(BB87=0,"-",BA87/BB87)</f>
        <v>-</v>
      </c>
      <c r="BD87" s="229">
        <v>0</v>
      </c>
      <c r="BE87" s="230">
        <v>0</v>
      </c>
      <c r="BF87" s="228" t="str">
        <f t="shared" si="291"/>
        <v>-</v>
      </c>
      <c r="BG87" s="229">
        <v>0</v>
      </c>
      <c r="BH87" s="230">
        <v>0</v>
      </c>
      <c r="BI87" s="228" t="str">
        <f t="shared" si="292"/>
        <v>-</v>
      </c>
      <c r="BJ87" s="229">
        <v>0</v>
      </c>
      <c r="BK87" s="230">
        <v>0</v>
      </c>
      <c r="BL87" s="228" t="str">
        <f t="shared" si="293"/>
        <v>-</v>
      </c>
      <c r="BM87" s="236">
        <f t="shared" si="294"/>
        <v>38</v>
      </c>
      <c r="BN87" s="237">
        <f t="shared" si="294"/>
        <v>8</v>
      </c>
      <c r="BO87" s="238">
        <f t="shared" si="295"/>
        <v>4.75</v>
      </c>
    </row>
    <row r="88" spans="1:67" ht="20.399999999999999" thickBot="1" x14ac:dyDescent="0.45">
      <c r="A88" s="224">
        <v>45333</v>
      </c>
      <c r="B88" s="229">
        <v>37</v>
      </c>
      <c r="C88" s="230">
        <v>6</v>
      </c>
      <c r="D88" s="227">
        <f t="shared" si="273"/>
        <v>6.166666666666667</v>
      </c>
      <c r="E88" s="239">
        <v>8</v>
      </c>
      <c r="F88" s="230">
        <v>1</v>
      </c>
      <c r="G88" s="227">
        <f t="shared" si="274"/>
        <v>8</v>
      </c>
      <c r="H88" s="229">
        <v>0</v>
      </c>
      <c r="I88" s="230">
        <v>0</v>
      </c>
      <c r="J88" s="228" t="str">
        <f t="shared" si="296"/>
        <v>-</v>
      </c>
      <c r="K88" s="229">
        <v>0</v>
      </c>
      <c r="L88" s="230">
        <v>0</v>
      </c>
      <c r="M88" s="228" t="str">
        <f t="shared" si="305"/>
        <v>-</v>
      </c>
      <c r="N88" s="229">
        <v>0</v>
      </c>
      <c r="O88" s="230">
        <v>0</v>
      </c>
      <c r="P88" s="228" t="str">
        <f t="shared" ref="P88" si="321">IF(O88=0,"-",N88/O88)</f>
        <v>-</v>
      </c>
      <c r="Q88" s="229">
        <v>0</v>
      </c>
      <c r="R88" s="230">
        <v>0</v>
      </c>
      <c r="S88" s="228" t="str">
        <f t="shared" si="317"/>
        <v>-</v>
      </c>
      <c r="T88" s="232">
        <v>6</v>
      </c>
      <c r="U88" s="233">
        <v>1</v>
      </c>
      <c r="V88" s="227">
        <f t="shared" si="306"/>
        <v>6</v>
      </c>
      <c r="W88" s="229">
        <v>0</v>
      </c>
      <c r="X88" s="230">
        <v>0</v>
      </c>
      <c r="Y88" s="228" t="str">
        <f t="shared" si="315"/>
        <v>-</v>
      </c>
      <c r="Z88" s="229">
        <v>0</v>
      </c>
      <c r="AA88" s="230">
        <v>0</v>
      </c>
      <c r="AB88" s="228" t="str">
        <f t="shared" si="281"/>
        <v>-</v>
      </c>
      <c r="AC88" s="229">
        <v>0</v>
      </c>
      <c r="AD88" s="230">
        <v>0</v>
      </c>
      <c r="AE88" s="228" t="str">
        <f t="shared" si="319"/>
        <v>-</v>
      </c>
      <c r="AF88" s="229">
        <v>0</v>
      </c>
      <c r="AG88" s="230">
        <v>0</v>
      </c>
      <c r="AH88" s="228" t="str">
        <f t="shared" si="283"/>
        <v>-</v>
      </c>
      <c r="AI88" s="229">
        <v>0</v>
      </c>
      <c r="AJ88" s="230">
        <v>0</v>
      </c>
      <c r="AK88" s="228" t="str">
        <f t="shared" si="284"/>
        <v>-</v>
      </c>
      <c r="AL88" s="239">
        <v>29</v>
      </c>
      <c r="AM88" s="230">
        <v>4</v>
      </c>
      <c r="AN88" s="227">
        <f t="shared" si="298"/>
        <v>7.25</v>
      </c>
      <c r="AO88" s="229">
        <v>0</v>
      </c>
      <c r="AP88" s="230">
        <v>0</v>
      </c>
      <c r="AQ88" s="228" t="str">
        <f t="shared" si="286"/>
        <v>-</v>
      </c>
      <c r="AR88" s="229">
        <v>0</v>
      </c>
      <c r="AS88" s="230">
        <v>0</v>
      </c>
      <c r="AT88" s="228" t="str">
        <f t="shared" si="287"/>
        <v>-</v>
      </c>
      <c r="AU88" s="229">
        <v>7</v>
      </c>
      <c r="AV88" s="230">
        <v>1</v>
      </c>
      <c r="AW88" s="227">
        <f t="shared" si="310"/>
        <v>7</v>
      </c>
      <c r="AX88" s="229">
        <v>0</v>
      </c>
      <c r="AY88" s="230">
        <v>0</v>
      </c>
      <c r="AZ88" s="228" t="str">
        <f t="shared" si="289"/>
        <v>-</v>
      </c>
      <c r="BA88" s="229">
        <v>0</v>
      </c>
      <c r="BB88" s="230">
        <v>0</v>
      </c>
      <c r="BC88" s="228" t="str">
        <f t="shared" si="320"/>
        <v>-</v>
      </c>
      <c r="BD88" s="229">
        <v>0</v>
      </c>
      <c r="BE88" s="230">
        <v>0</v>
      </c>
      <c r="BF88" s="228" t="str">
        <f t="shared" si="291"/>
        <v>-</v>
      </c>
      <c r="BG88" s="229">
        <v>0</v>
      </c>
      <c r="BH88" s="230">
        <v>0</v>
      </c>
      <c r="BI88" s="228" t="str">
        <f t="shared" si="292"/>
        <v>-</v>
      </c>
      <c r="BJ88" s="229">
        <v>0</v>
      </c>
      <c r="BK88" s="230">
        <v>0</v>
      </c>
      <c r="BL88" s="228" t="str">
        <f t="shared" si="293"/>
        <v>-</v>
      </c>
      <c r="BM88" s="236">
        <f t="shared" si="294"/>
        <v>81</v>
      </c>
      <c r="BN88" s="237">
        <f t="shared" si="294"/>
        <v>12</v>
      </c>
      <c r="BO88" s="238">
        <f t="shared" si="295"/>
        <v>6.75</v>
      </c>
    </row>
    <row r="89" spans="1:67" ht="20.399999999999999" thickBot="1" x14ac:dyDescent="0.45">
      <c r="A89" s="224">
        <v>45334</v>
      </c>
      <c r="B89" s="229">
        <v>8</v>
      </c>
      <c r="C89" s="230">
        <v>1</v>
      </c>
      <c r="D89" s="227">
        <f>IF(C89=0,"",B89/C89)</f>
        <v>8</v>
      </c>
      <c r="E89" s="229">
        <v>0</v>
      </c>
      <c r="F89" s="230">
        <v>0</v>
      </c>
      <c r="G89" s="228" t="str">
        <f t="shared" ref="G89" si="322">IF(F89=0,"-",E89/F89)</f>
        <v>-</v>
      </c>
      <c r="H89" s="229">
        <v>0</v>
      </c>
      <c r="I89" s="230">
        <v>0</v>
      </c>
      <c r="J89" s="228" t="str">
        <f t="shared" si="296"/>
        <v>-</v>
      </c>
      <c r="K89" s="229">
        <v>0</v>
      </c>
      <c r="L89" s="230">
        <v>0</v>
      </c>
      <c r="M89" s="228" t="str">
        <f t="shared" si="305"/>
        <v>-</v>
      </c>
      <c r="N89" s="239">
        <v>26</v>
      </c>
      <c r="O89" s="230">
        <v>6</v>
      </c>
      <c r="P89" s="227">
        <f t="shared" si="277"/>
        <v>4.333333333333333</v>
      </c>
      <c r="Q89" s="229">
        <v>0</v>
      </c>
      <c r="R89" s="230">
        <v>0</v>
      </c>
      <c r="S89" s="228" t="str">
        <f t="shared" si="317"/>
        <v>-</v>
      </c>
      <c r="T89" s="229">
        <v>0</v>
      </c>
      <c r="U89" s="230">
        <v>0</v>
      </c>
      <c r="V89" s="228" t="str">
        <f t="shared" ref="V89" si="323">IF(U89=0,"-",T89/U89)</f>
        <v>-</v>
      </c>
      <c r="W89" s="229">
        <v>7</v>
      </c>
      <c r="X89" s="230">
        <v>1</v>
      </c>
      <c r="Y89" s="227">
        <f t="shared" si="307"/>
        <v>7</v>
      </c>
      <c r="Z89" s="229">
        <v>0</v>
      </c>
      <c r="AA89" s="230">
        <v>0</v>
      </c>
      <c r="AB89" s="228" t="str">
        <f t="shared" si="281"/>
        <v>-</v>
      </c>
      <c r="AC89" s="229">
        <v>0</v>
      </c>
      <c r="AD89" s="230">
        <v>0</v>
      </c>
      <c r="AE89" s="228" t="str">
        <f t="shared" si="319"/>
        <v>-</v>
      </c>
      <c r="AF89" s="229">
        <v>0</v>
      </c>
      <c r="AG89" s="230">
        <v>0</v>
      </c>
      <c r="AH89" s="228" t="str">
        <f t="shared" si="283"/>
        <v>-</v>
      </c>
      <c r="AI89" s="229">
        <v>0</v>
      </c>
      <c r="AJ89" s="230">
        <v>0</v>
      </c>
      <c r="AK89" s="228" t="str">
        <f t="shared" si="284"/>
        <v>-</v>
      </c>
      <c r="AL89" s="239">
        <v>13</v>
      </c>
      <c r="AM89" s="230">
        <v>2</v>
      </c>
      <c r="AN89" s="227">
        <f t="shared" si="298"/>
        <v>6.5</v>
      </c>
      <c r="AO89" s="229">
        <v>0</v>
      </c>
      <c r="AP89" s="230">
        <v>0</v>
      </c>
      <c r="AQ89" s="228" t="str">
        <f t="shared" si="286"/>
        <v>-</v>
      </c>
      <c r="AR89" s="229">
        <v>0</v>
      </c>
      <c r="AS89" s="230">
        <v>0</v>
      </c>
      <c r="AT89" s="228" t="str">
        <f t="shared" si="287"/>
        <v>-</v>
      </c>
      <c r="AU89" s="229">
        <v>0</v>
      </c>
      <c r="AV89" s="230">
        <v>0</v>
      </c>
      <c r="AW89" s="228" t="str">
        <f t="shared" ref="AW89" si="324">IF(AV89=0,"-",AU89/AV89)</f>
        <v>-</v>
      </c>
      <c r="AX89" s="229">
        <v>0</v>
      </c>
      <c r="AY89" s="230">
        <v>0</v>
      </c>
      <c r="AZ89" s="228" t="str">
        <f t="shared" si="289"/>
        <v>-</v>
      </c>
      <c r="BA89" s="229">
        <v>0</v>
      </c>
      <c r="BB89" s="230">
        <v>0</v>
      </c>
      <c r="BC89" s="228" t="str">
        <f t="shared" si="320"/>
        <v>-</v>
      </c>
      <c r="BD89" s="229">
        <v>0</v>
      </c>
      <c r="BE89" s="230">
        <v>0</v>
      </c>
      <c r="BF89" s="228" t="str">
        <f t="shared" si="291"/>
        <v>-</v>
      </c>
      <c r="BG89" s="229">
        <v>0</v>
      </c>
      <c r="BH89" s="230">
        <v>0</v>
      </c>
      <c r="BI89" s="228" t="str">
        <f t="shared" si="292"/>
        <v>-</v>
      </c>
      <c r="BJ89" s="229">
        <v>0</v>
      </c>
      <c r="BK89" s="230">
        <v>0</v>
      </c>
      <c r="BL89" s="228" t="str">
        <f t="shared" si="293"/>
        <v>-</v>
      </c>
      <c r="BM89" s="236">
        <f t="shared" si="294"/>
        <v>54</v>
      </c>
      <c r="BN89" s="237">
        <f t="shared" si="294"/>
        <v>10</v>
      </c>
      <c r="BO89" s="238">
        <f t="shared" si="295"/>
        <v>5.4</v>
      </c>
    </row>
    <row r="90" spans="1:67" ht="20.399999999999999" thickBot="1" x14ac:dyDescent="0.45">
      <c r="A90" s="224">
        <v>45335</v>
      </c>
      <c r="B90" s="229">
        <v>44</v>
      </c>
      <c r="C90" s="230">
        <v>6</v>
      </c>
      <c r="D90" s="227">
        <f t="shared" si="273"/>
        <v>7.333333333333333</v>
      </c>
      <c r="E90" s="229">
        <v>27</v>
      </c>
      <c r="F90" s="230">
        <v>4</v>
      </c>
      <c r="G90" s="227">
        <f t="shared" si="274"/>
        <v>6.75</v>
      </c>
      <c r="H90" s="239">
        <v>6</v>
      </c>
      <c r="I90" s="230">
        <v>1</v>
      </c>
      <c r="J90" s="227">
        <f t="shared" si="275"/>
        <v>6</v>
      </c>
      <c r="K90" s="229">
        <v>0</v>
      </c>
      <c r="L90" s="230">
        <v>0</v>
      </c>
      <c r="M90" s="228" t="str">
        <f t="shared" si="305"/>
        <v>-</v>
      </c>
      <c r="N90" s="239">
        <v>35</v>
      </c>
      <c r="O90" s="230">
        <v>6</v>
      </c>
      <c r="P90" s="227">
        <f t="shared" si="277"/>
        <v>5.833333333333333</v>
      </c>
      <c r="Q90" s="229">
        <v>0</v>
      </c>
      <c r="R90" s="230">
        <v>0</v>
      </c>
      <c r="S90" s="228" t="str">
        <f t="shared" si="317"/>
        <v>-</v>
      </c>
      <c r="T90" s="232">
        <v>12</v>
      </c>
      <c r="U90" s="233">
        <v>2</v>
      </c>
      <c r="V90" s="227">
        <f t="shared" si="306"/>
        <v>6</v>
      </c>
      <c r="W90" s="229">
        <v>4</v>
      </c>
      <c r="X90" s="230">
        <v>1</v>
      </c>
      <c r="Y90" s="227">
        <f t="shared" si="307"/>
        <v>4</v>
      </c>
      <c r="Z90" s="229">
        <v>0</v>
      </c>
      <c r="AA90" s="230">
        <v>0</v>
      </c>
      <c r="AB90" s="228" t="str">
        <f t="shared" si="281"/>
        <v>-</v>
      </c>
      <c r="AC90" s="229">
        <v>0</v>
      </c>
      <c r="AD90" s="230">
        <v>0</v>
      </c>
      <c r="AE90" s="228" t="str">
        <f t="shared" si="319"/>
        <v>-</v>
      </c>
      <c r="AF90" s="229">
        <v>0</v>
      </c>
      <c r="AG90" s="230">
        <v>0</v>
      </c>
      <c r="AH90" s="228" t="str">
        <f t="shared" si="283"/>
        <v>-</v>
      </c>
      <c r="AI90" s="229">
        <v>0</v>
      </c>
      <c r="AJ90" s="230">
        <v>0</v>
      </c>
      <c r="AK90" s="228" t="str">
        <f t="shared" si="284"/>
        <v>-</v>
      </c>
      <c r="AL90" s="229">
        <v>23</v>
      </c>
      <c r="AM90" s="230">
        <v>3</v>
      </c>
      <c r="AN90" s="227">
        <f t="shared" si="298"/>
        <v>7.666666666666667</v>
      </c>
      <c r="AO90" s="229">
        <v>0</v>
      </c>
      <c r="AP90" s="230">
        <v>0</v>
      </c>
      <c r="AQ90" s="228" t="str">
        <f t="shared" si="286"/>
        <v>-</v>
      </c>
      <c r="AR90" s="229">
        <v>0</v>
      </c>
      <c r="AS90" s="230">
        <v>0</v>
      </c>
      <c r="AT90" s="228" t="str">
        <f t="shared" si="287"/>
        <v>-</v>
      </c>
      <c r="AU90" s="229">
        <v>7</v>
      </c>
      <c r="AV90" s="230">
        <v>1</v>
      </c>
      <c r="AW90" s="227">
        <f t="shared" si="310"/>
        <v>7</v>
      </c>
      <c r="AX90" s="229">
        <v>0</v>
      </c>
      <c r="AY90" s="230">
        <v>0</v>
      </c>
      <c r="AZ90" s="228" t="str">
        <f t="shared" si="289"/>
        <v>-</v>
      </c>
      <c r="BA90" s="229">
        <v>0</v>
      </c>
      <c r="BB90" s="230">
        <v>0</v>
      </c>
      <c r="BC90" s="228" t="str">
        <f t="shared" si="320"/>
        <v>-</v>
      </c>
      <c r="BD90" s="229">
        <v>0</v>
      </c>
      <c r="BE90" s="230">
        <v>0</v>
      </c>
      <c r="BF90" s="228" t="str">
        <f t="shared" si="291"/>
        <v>-</v>
      </c>
      <c r="BG90" s="229">
        <v>0</v>
      </c>
      <c r="BH90" s="230">
        <v>0</v>
      </c>
      <c r="BI90" s="228" t="str">
        <f t="shared" si="292"/>
        <v>-</v>
      </c>
      <c r="BJ90" s="229">
        <v>0</v>
      </c>
      <c r="BK90" s="230">
        <v>0</v>
      </c>
      <c r="BL90" s="228" t="str">
        <f t="shared" si="293"/>
        <v>-</v>
      </c>
      <c r="BM90" s="236">
        <f t="shared" si="294"/>
        <v>146</v>
      </c>
      <c r="BN90" s="237">
        <f t="shared" si="294"/>
        <v>22</v>
      </c>
      <c r="BO90" s="238">
        <f t="shared" si="295"/>
        <v>6.6363636363636367</v>
      </c>
    </row>
    <row r="91" spans="1:67" ht="20.399999999999999" thickBot="1" x14ac:dyDescent="0.45">
      <c r="A91" s="224">
        <v>45336</v>
      </c>
      <c r="B91" s="229">
        <v>26</v>
      </c>
      <c r="C91" s="230">
        <v>4</v>
      </c>
      <c r="D91" s="227">
        <f>IF(C91=0,"",B91/C91)</f>
        <v>6.5</v>
      </c>
      <c r="E91" s="229">
        <v>0</v>
      </c>
      <c r="F91" s="230">
        <v>0</v>
      </c>
      <c r="G91" s="228" t="str">
        <f t="shared" ref="G91:G92" si="325">IF(F91=0,"-",E91/F91)</f>
        <v>-</v>
      </c>
      <c r="H91" s="229">
        <v>0</v>
      </c>
      <c r="I91" s="230">
        <v>0</v>
      </c>
      <c r="J91" s="228" t="str">
        <f t="shared" ref="J91" si="326">IF(I91=0,"-",H91/I91)</f>
        <v>-</v>
      </c>
      <c r="K91" s="229">
        <v>0</v>
      </c>
      <c r="L91" s="230">
        <v>0</v>
      </c>
      <c r="M91" s="228" t="str">
        <f t="shared" si="305"/>
        <v>-</v>
      </c>
      <c r="N91" s="239">
        <v>39</v>
      </c>
      <c r="O91" s="230">
        <v>7</v>
      </c>
      <c r="P91" s="227">
        <f t="shared" si="277"/>
        <v>5.5714285714285712</v>
      </c>
      <c r="Q91" s="229">
        <v>192</v>
      </c>
      <c r="R91" s="230">
        <v>42</v>
      </c>
      <c r="S91" s="227">
        <f t="shared" si="278"/>
        <v>4.5714285714285712</v>
      </c>
      <c r="T91" s="229">
        <v>0</v>
      </c>
      <c r="U91" s="230">
        <v>0</v>
      </c>
      <c r="V91" s="228" t="str">
        <f t="shared" ref="V91:V92" si="327">IF(U91=0,"-",T91/U91)</f>
        <v>-</v>
      </c>
      <c r="W91" s="229">
        <v>0</v>
      </c>
      <c r="X91" s="230">
        <v>0</v>
      </c>
      <c r="Y91" s="228" t="str">
        <f t="shared" ref="Y91" si="328">IF(X91=0,"-",W91/X91)</f>
        <v>-</v>
      </c>
      <c r="Z91" s="229">
        <v>0</v>
      </c>
      <c r="AA91" s="230">
        <v>0</v>
      </c>
      <c r="AB91" s="228" t="str">
        <f t="shared" si="281"/>
        <v>-</v>
      </c>
      <c r="AC91" s="229">
        <v>1</v>
      </c>
      <c r="AD91" s="230">
        <v>1</v>
      </c>
      <c r="AE91" s="227">
        <f t="shared" si="309"/>
        <v>1</v>
      </c>
      <c r="AF91" s="229">
        <v>0</v>
      </c>
      <c r="AG91" s="230">
        <v>0</v>
      </c>
      <c r="AH91" s="228" t="str">
        <f t="shared" si="283"/>
        <v>-</v>
      </c>
      <c r="AI91" s="229">
        <v>0</v>
      </c>
      <c r="AJ91" s="230">
        <v>0</v>
      </c>
      <c r="AK91" s="228" t="str">
        <f t="shared" si="284"/>
        <v>-</v>
      </c>
      <c r="AL91" s="229">
        <v>0</v>
      </c>
      <c r="AM91" s="230">
        <v>0</v>
      </c>
      <c r="AN91" s="228" t="str">
        <f t="shared" ref="AN91:AN93" si="329">IF(AM91=0,"-",AL91/AM91)</f>
        <v>-</v>
      </c>
      <c r="AO91" s="229">
        <v>0</v>
      </c>
      <c r="AP91" s="230">
        <v>0</v>
      </c>
      <c r="AQ91" s="228" t="str">
        <f t="shared" si="286"/>
        <v>-</v>
      </c>
      <c r="AR91" s="229">
        <v>0</v>
      </c>
      <c r="AS91" s="230">
        <v>0</v>
      </c>
      <c r="AT91" s="228" t="str">
        <f t="shared" si="287"/>
        <v>-</v>
      </c>
      <c r="AU91" s="229">
        <v>0</v>
      </c>
      <c r="AV91" s="230">
        <v>0</v>
      </c>
      <c r="AW91" s="228" t="str">
        <f t="shared" ref="AW91:AW96" si="330">IF(AV91=0,"-",AU91/AV91)</f>
        <v>-</v>
      </c>
      <c r="AX91" s="229">
        <v>0</v>
      </c>
      <c r="AY91" s="230">
        <v>0</v>
      </c>
      <c r="AZ91" s="228" t="str">
        <f t="shared" si="289"/>
        <v>-</v>
      </c>
      <c r="BA91" s="229">
        <v>0</v>
      </c>
      <c r="BB91" s="230">
        <v>0</v>
      </c>
      <c r="BC91" s="228" t="str">
        <f t="shared" si="320"/>
        <v>-</v>
      </c>
      <c r="BD91" s="229">
        <v>0</v>
      </c>
      <c r="BE91" s="230">
        <v>0</v>
      </c>
      <c r="BF91" s="228" t="str">
        <f t="shared" si="291"/>
        <v>-</v>
      </c>
      <c r="BG91" s="229">
        <v>0</v>
      </c>
      <c r="BH91" s="230">
        <v>0</v>
      </c>
      <c r="BI91" s="228" t="str">
        <f t="shared" si="292"/>
        <v>-</v>
      </c>
      <c r="BJ91" s="229">
        <v>0</v>
      </c>
      <c r="BK91" s="230">
        <v>0</v>
      </c>
      <c r="BL91" s="228" t="str">
        <f t="shared" si="293"/>
        <v>-</v>
      </c>
      <c r="BM91" s="236">
        <f t="shared" si="294"/>
        <v>258</v>
      </c>
      <c r="BN91" s="237">
        <f t="shared" si="294"/>
        <v>54</v>
      </c>
      <c r="BO91" s="238">
        <f t="shared" si="295"/>
        <v>4.7777777777777777</v>
      </c>
    </row>
    <row r="92" spans="1:67" ht="20.399999999999999" thickBot="1" x14ac:dyDescent="0.45">
      <c r="A92" s="224">
        <v>45337</v>
      </c>
      <c r="B92" s="229">
        <v>26</v>
      </c>
      <c r="C92" s="230">
        <v>4</v>
      </c>
      <c r="D92" s="227">
        <f>IF(C92=0,"",B92/C92)</f>
        <v>6.5</v>
      </c>
      <c r="E92" s="239">
        <v>13</v>
      </c>
      <c r="F92" s="230">
        <v>3</v>
      </c>
      <c r="G92" s="228">
        <f t="shared" si="325"/>
        <v>4.333333333333333</v>
      </c>
      <c r="H92" s="229">
        <v>6</v>
      </c>
      <c r="I92" s="230">
        <v>1</v>
      </c>
      <c r="J92" s="227">
        <f t="shared" si="275"/>
        <v>6</v>
      </c>
      <c r="K92" s="229">
        <v>0</v>
      </c>
      <c r="L92" s="230">
        <v>0</v>
      </c>
      <c r="M92" s="228" t="str">
        <f t="shared" si="305"/>
        <v>-</v>
      </c>
      <c r="N92" s="229">
        <v>26</v>
      </c>
      <c r="O92" s="230">
        <v>5</v>
      </c>
      <c r="P92" s="227">
        <f t="shared" si="277"/>
        <v>5.2</v>
      </c>
      <c r="Q92" s="229">
        <v>1</v>
      </c>
      <c r="R92" s="230">
        <v>1</v>
      </c>
      <c r="S92" s="227">
        <f t="shared" si="278"/>
        <v>1</v>
      </c>
      <c r="T92" s="229">
        <v>0</v>
      </c>
      <c r="U92" s="230">
        <v>0</v>
      </c>
      <c r="V92" s="228" t="str">
        <f t="shared" si="327"/>
        <v>-</v>
      </c>
      <c r="W92" s="229">
        <v>2</v>
      </c>
      <c r="X92" s="230">
        <v>1</v>
      </c>
      <c r="Y92" s="227">
        <f t="shared" ref="Y92:Y102" si="331">IF(X92=0,"",W92/X92)</f>
        <v>2</v>
      </c>
      <c r="Z92" s="229">
        <v>0</v>
      </c>
      <c r="AA92" s="230">
        <v>0</v>
      </c>
      <c r="AB92" s="228" t="str">
        <f t="shared" si="281"/>
        <v>-</v>
      </c>
      <c r="AC92" s="229">
        <v>0</v>
      </c>
      <c r="AD92" s="230">
        <v>0</v>
      </c>
      <c r="AE92" s="228" t="str">
        <f t="shared" ref="AE92" si="332">IF(AD92=0,"-",AC92/AD92)</f>
        <v>-</v>
      </c>
      <c r="AF92" s="229">
        <v>0</v>
      </c>
      <c r="AG92" s="230">
        <v>0</v>
      </c>
      <c r="AH92" s="228" t="str">
        <f t="shared" si="283"/>
        <v>-</v>
      </c>
      <c r="AI92" s="229">
        <v>2</v>
      </c>
      <c r="AJ92" s="230">
        <v>1</v>
      </c>
      <c r="AK92" s="228">
        <f t="shared" si="284"/>
        <v>2</v>
      </c>
      <c r="AL92" s="239">
        <v>28</v>
      </c>
      <c r="AM92" s="230">
        <v>4</v>
      </c>
      <c r="AN92" s="227">
        <f t="shared" si="298"/>
        <v>7</v>
      </c>
      <c r="AO92" s="229">
        <v>0</v>
      </c>
      <c r="AP92" s="230">
        <v>0</v>
      </c>
      <c r="AQ92" s="228" t="str">
        <f t="shared" si="286"/>
        <v>-</v>
      </c>
      <c r="AR92" s="229">
        <v>14</v>
      </c>
      <c r="AS92" s="230">
        <v>2</v>
      </c>
      <c r="AT92" s="227">
        <f t="shared" ref="AT92:AT102" si="333">IF(AS92=0,"",AR92/AS92)</f>
        <v>7</v>
      </c>
      <c r="AU92" s="229">
        <v>0</v>
      </c>
      <c r="AV92" s="230">
        <v>0</v>
      </c>
      <c r="AW92" s="228" t="str">
        <f t="shared" si="330"/>
        <v>-</v>
      </c>
      <c r="AX92" s="229">
        <v>0</v>
      </c>
      <c r="AY92" s="230">
        <v>0</v>
      </c>
      <c r="AZ92" s="228" t="str">
        <f t="shared" si="289"/>
        <v>-</v>
      </c>
      <c r="BA92" s="229">
        <v>0</v>
      </c>
      <c r="BB92" s="230">
        <v>0</v>
      </c>
      <c r="BC92" s="228" t="str">
        <f t="shared" si="320"/>
        <v>-</v>
      </c>
      <c r="BD92" s="229">
        <v>0</v>
      </c>
      <c r="BE92" s="230">
        <v>0</v>
      </c>
      <c r="BF92" s="228" t="str">
        <f t="shared" si="291"/>
        <v>-</v>
      </c>
      <c r="BG92" s="229">
        <v>0</v>
      </c>
      <c r="BH92" s="230">
        <v>0</v>
      </c>
      <c r="BI92" s="228" t="str">
        <f t="shared" si="292"/>
        <v>-</v>
      </c>
      <c r="BJ92" s="229">
        <v>0</v>
      </c>
      <c r="BK92" s="230">
        <v>0</v>
      </c>
      <c r="BL92" s="228" t="str">
        <f t="shared" si="293"/>
        <v>-</v>
      </c>
      <c r="BM92" s="236">
        <f t="shared" si="294"/>
        <v>118</v>
      </c>
      <c r="BN92" s="237">
        <f t="shared" si="294"/>
        <v>22</v>
      </c>
      <c r="BO92" s="238">
        <f t="shared" si="295"/>
        <v>5.3636363636363633</v>
      </c>
    </row>
    <row r="93" spans="1:67" ht="20.399999999999999" thickBot="1" x14ac:dyDescent="0.45">
      <c r="A93" s="224">
        <v>45338</v>
      </c>
      <c r="B93" s="229">
        <v>51</v>
      </c>
      <c r="C93" s="230">
        <v>6</v>
      </c>
      <c r="D93" s="227">
        <f t="shared" si="273"/>
        <v>8.5</v>
      </c>
      <c r="E93" s="229">
        <v>6</v>
      </c>
      <c r="F93" s="230">
        <v>1</v>
      </c>
      <c r="G93" s="227">
        <f t="shared" ref="G93:G106" si="334">IF(F93=0,"",E93/F93)</f>
        <v>6</v>
      </c>
      <c r="H93" s="229">
        <v>0</v>
      </c>
      <c r="I93" s="230">
        <v>0</v>
      </c>
      <c r="J93" s="228" t="str">
        <f t="shared" ref="J93:J95" si="335">IF(I93=0,"-",H93/I93)</f>
        <v>-</v>
      </c>
      <c r="K93" s="229">
        <v>0</v>
      </c>
      <c r="L93" s="230">
        <v>0</v>
      </c>
      <c r="M93" s="228" t="str">
        <f t="shared" si="305"/>
        <v>-</v>
      </c>
      <c r="N93" s="229">
        <v>6</v>
      </c>
      <c r="O93" s="230">
        <v>1</v>
      </c>
      <c r="P93" s="227">
        <f t="shared" si="277"/>
        <v>6</v>
      </c>
      <c r="Q93" s="229"/>
      <c r="R93" s="230"/>
      <c r="S93" s="227" t="str">
        <f t="shared" si="278"/>
        <v/>
      </c>
      <c r="T93" s="229">
        <v>12</v>
      </c>
      <c r="U93" s="230">
        <v>2</v>
      </c>
      <c r="V93" s="227">
        <f t="shared" si="306"/>
        <v>6</v>
      </c>
      <c r="W93" s="229">
        <v>2</v>
      </c>
      <c r="X93" s="230">
        <v>1</v>
      </c>
      <c r="Y93" s="227">
        <f t="shared" si="307"/>
        <v>2</v>
      </c>
      <c r="Z93" s="229">
        <v>0</v>
      </c>
      <c r="AA93" s="230">
        <v>0</v>
      </c>
      <c r="AB93" s="228" t="str">
        <f t="shared" si="281"/>
        <v>-</v>
      </c>
      <c r="AC93" s="229">
        <v>2</v>
      </c>
      <c r="AD93" s="230">
        <v>1</v>
      </c>
      <c r="AE93" s="227">
        <f t="shared" si="309"/>
        <v>2</v>
      </c>
      <c r="AF93" s="229">
        <v>0</v>
      </c>
      <c r="AG93" s="230">
        <v>0</v>
      </c>
      <c r="AH93" s="228" t="str">
        <f t="shared" si="283"/>
        <v>-</v>
      </c>
      <c r="AI93" s="229">
        <v>0</v>
      </c>
      <c r="AJ93" s="230">
        <v>0</v>
      </c>
      <c r="AK93" s="228" t="str">
        <f t="shared" si="284"/>
        <v>-</v>
      </c>
      <c r="AL93" s="239">
        <v>0</v>
      </c>
      <c r="AM93" s="230">
        <v>0</v>
      </c>
      <c r="AN93" s="228" t="str">
        <f t="shared" si="329"/>
        <v>-</v>
      </c>
      <c r="AO93" s="229">
        <v>5</v>
      </c>
      <c r="AP93" s="230">
        <v>1</v>
      </c>
      <c r="AQ93" s="227">
        <f t="shared" ref="AQ93:AQ106" si="336">IF(AP93=0,"",AO93/AP93)</f>
        <v>5</v>
      </c>
      <c r="AR93" s="229">
        <v>0</v>
      </c>
      <c r="AS93" s="230">
        <v>0</v>
      </c>
      <c r="AT93" s="228" t="str">
        <f t="shared" ref="AT93:AT94" si="337">IF(AS93=0,"-",AR93/AS93)</f>
        <v>-</v>
      </c>
      <c r="AU93" s="229">
        <v>0</v>
      </c>
      <c r="AV93" s="230">
        <v>0</v>
      </c>
      <c r="AW93" s="228" t="str">
        <f t="shared" si="330"/>
        <v>-</v>
      </c>
      <c r="AX93" s="229">
        <v>0</v>
      </c>
      <c r="AY93" s="230">
        <v>0</v>
      </c>
      <c r="AZ93" s="228" t="str">
        <f t="shared" si="289"/>
        <v>-</v>
      </c>
      <c r="BA93" s="229">
        <v>5</v>
      </c>
      <c r="BB93" s="230">
        <v>1</v>
      </c>
      <c r="BC93" s="227">
        <f t="shared" ref="BC93:BC105" si="338">IF(BB93=0,"",BA93/BB93)</f>
        <v>5</v>
      </c>
      <c r="BD93" s="229">
        <v>0</v>
      </c>
      <c r="BE93" s="230">
        <v>0</v>
      </c>
      <c r="BF93" s="228" t="str">
        <f t="shared" si="291"/>
        <v>-</v>
      </c>
      <c r="BG93" s="229">
        <v>0</v>
      </c>
      <c r="BH93" s="230">
        <v>0</v>
      </c>
      <c r="BI93" s="228" t="str">
        <f t="shared" si="292"/>
        <v>-</v>
      </c>
      <c r="BJ93" s="229">
        <v>0</v>
      </c>
      <c r="BK93" s="230">
        <v>0</v>
      </c>
      <c r="BL93" s="228" t="str">
        <f t="shared" si="293"/>
        <v>-</v>
      </c>
      <c r="BM93" s="236">
        <f t="shared" si="294"/>
        <v>77</v>
      </c>
      <c r="BN93" s="237">
        <f t="shared" si="294"/>
        <v>12</v>
      </c>
      <c r="BO93" s="238">
        <f t="shared" si="295"/>
        <v>6.416666666666667</v>
      </c>
    </row>
    <row r="94" spans="1:67" ht="20.399999999999999" thickBot="1" x14ac:dyDescent="0.45">
      <c r="A94" s="224">
        <v>45339</v>
      </c>
      <c r="B94" s="229">
        <v>10</v>
      </c>
      <c r="C94" s="230">
        <v>2</v>
      </c>
      <c r="D94" s="227">
        <f t="shared" si="273"/>
        <v>5</v>
      </c>
      <c r="E94" s="229">
        <v>0</v>
      </c>
      <c r="F94" s="230">
        <v>0</v>
      </c>
      <c r="G94" s="228" t="str">
        <f t="shared" ref="G94:G96" si="339">IF(F94=0,"-",E94/F94)</f>
        <v>-</v>
      </c>
      <c r="H94" s="229">
        <v>0</v>
      </c>
      <c r="I94" s="230">
        <v>0</v>
      </c>
      <c r="J94" s="228" t="str">
        <f t="shared" si="335"/>
        <v>-</v>
      </c>
      <c r="K94" s="229">
        <v>0</v>
      </c>
      <c r="L94" s="230">
        <v>0</v>
      </c>
      <c r="M94" s="228" t="str">
        <f t="shared" si="305"/>
        <v>-</v>
      </c>
      <c r="N94" s="229">
        <v>5</v>
      </c>
      <c r="O94" s="230">
        <v>1</v>
      </c>
      <c r="P94" s="227">
        <f t="shared" si="277"/>
        <v>5</v>
      </c>
      <c r="Q94" s="229">
        <v>0</v>
      </c>
      <c r="R94" s="230">
        <v>0</v>
      </c>
      <c r="S94" s="228" t="str">
        <f t="shared" ref="S94:S96" si="340">IF(R94=0,"-",Q94/R94)</f>
        <v>-</v>
      </c>
      <c r="T94" s="229">
        <v>0</v>
      </c>
      <c r="U94" s="230">
        <v>0</v>
      </c>
      <c r="V94" s="228" t="str">
        <f t="shared" ref="V94:V96" si="341">IF(U94=0,"-",T94/U94)</f>
        <v>-</v>
      </c>
      <c r="W94" s="229">
        <v>0</v>
      </c>
      <c r="X94" s="230">
        <v>0</v>
      </c>
      <c r="Y94" s="228" t="str">
        <f t="shared" ref="Y94:Y95" si="342">IF(X94=0,"-",W94/X94)</f>
        <v>-</v>
      </c>
      <c r="Z94" s="229">
        <v>0</v>
      </c>
      <c r="AA94" s="230">
        <v>0</v>
      </c>
      <c r="AB94" s="228" t="str">
        <f t="shared" si="281"/>
        <v>-</v>
      </c>
      <c r="AC94" s="229">
        <v>0</v>
      </c>
      <c r="AD94" s="230">
        <v>0</v>
      </c>
      <c r="AE94" s="228" t="str">
        <f t="shared" ref="AE94:AE96" si="343">IF(AD94=0,"-",AC94/AD94)</f>
        <v>-</v>
      </c>
      <c r="AF94" s="229">
        <v>0</v>
      </c>
      <c r="AG94" s="230">
        <v>0</v>
      </c>
      <c r="AH94" s="228" t="str">
        <f t="shared" si="283"/>
        <v>-</v>
      </c>
      <c r="AI94" s="229">
        <v>0</v>
      </c>
      <c r="AJ94" s="230">
        <v>0</v>
      </c>
      <c r="AK94" s="228" t="str">
        <f t="shared" si="284"/>
        <v>-</v>
      </c>
      <c r="AL94" s="239">
        <v>7</v>
      </c>
      <c r="AM94" s="230">
        <v>1</v>
      </c>
      <c r="AN94" s="227">
        <f t="shared" si="298"/>
        <v>7</v>
      </c>
      <c r="AO94" s="229">
        <v>0</v>
      </c>
      <c r="AP94" s="230">
        <v>0</v>
      </c>
      <c r="AQ94" s="228" t="str">
        <f t="shared" ref="AQ94:AQ96" si="344">IF(AP94=0,"-",AO94/AP94)</f>
        <v>-</v>
      </c>
      <c r="AR94" s="229">
        <v>0</v>
      </c>
      <c r="AS94" s="230">
        <v>0</v>
      </c>
      <c r="AT94" s="228" t="str">
        <f t="shared" si="337"/>
        <v>-</v>
      </c>
      <c r="AU94" s="229">
        <v>0</v>
      </c>
      <c r="AV94" s="230">
        <v>0</v>
      </c>
      <c r="AW94" s="228" t="str">
        <f t="shared" si="330"/>
        <v>-</v>
      </c>
      <c r="AX94" s="229">
        <v>0</v>
      </c>
      <c r="AY94" s="230">
        <v>0</v>
      </c>
      <c r="AZ94" s="228" t="str">
        <f t="shared" si="289"/>
        <v>-</v>
      </c>
      <c r="BA94" s="229">
        <v>21</v>
      </c>
      <c r="BB94" s="230">
        <v>3</v>
      </c>
      <c r="BC94" s="227">
        <f t="shared" si="300"/>
        <v>7</v>
      </c>
      <c r="BD94" s="229">
        <v>0</v>
      </c>
      <c r="BE94" s="230">
        <v>0</v>
      </c>
      <c r="BF94" s="228" t="str">
        <f t="shared" si="291"/>
        <v>-</v>
      </c>
      <c r="BG94" s="229">
        <v>0</v>
      </c>
      <c r="BH94" s="230">
        <v>0</v>
      </c>
      <c r="BI94" s="228" t="str">
        <f t="shared" si="292"/>
        <v>-</v>
      </c>
      <c r="BJ94" s="229">
        <v>0</v>
      </c>
      <c r="BK94" s="230">
        <v>0</v>
      </c>
      <c r="BL94" s="228" t="str">
        <f t="shared" si="293"/>
        <v>-</v>
      </c>
      <c r="BM94" s="236">
        <f t="shared" ref="BM94:BN107" si="345">BJ94+BG94+BD94+BA94+AX94+AU94+AR94+AO94+AL94+K94+Q94+N94+H94+E94+AI94+AF94+AC94+Z94+W94+B94</f>
        <v>43</v>
      </c>
      <c r="BN94" s="237">
        <f t="shared" si="345"/>
        <v>7</v>
      </c>
      <c r="BO94" s="238">
        <f t="shared" si="295"/>
        <v>6.1428571428571432</v>
      </c>
    </row>
    <row r="95" spans="1:67" ht="20.399999999999999" thickBot="1" x14ac:dyDescent="0.45">
      <c r="A95" s="224">
        <v>45340</v>
      </c>
      <c r="B95" s="229">
        <v>0</v>
      </c>
      <c r="C95" s="230">
        <v>0</v>
      </c>
      <c r="D95" s="228" t="str">
        <f t="shared" ref="D95" si="346">IF(C95=0,"-",B95/C95)</f>
        <v>-</v>
      </c>
      <c r="E95" s="229">
        <v>0</v>
      </c>
      <c r="F95" s="230">
        <v>0</v>
      </c>
      <c r="G95" s="228" t="str">
        <f t="shared" si="339"/>
        <v>-</v>
      </c>
      <c r="H95" s="229">
        <v>0</v>
      </c>
      <c r="I95" s="230">
        <v>0</v>
      </c>
      <c r="J95" s="228" t="str">
        <f t="shared" si="335"/>
        <v>-</v>
      </c>
      <c r="K95" s="229">
        <v>0</v>
      </c>
      <c r="L95" s="230">
        <v>0</v>
      </c>
      <c r="M95" s="228" t="str">
        <f t="shared" si="305"/>
        <v>-</v>
      </c>
      <c r="N95" s="229">
        <v>0</v>
      </c>
      <c r="O95" s="230">
        <v>0</v>
      </c>
      <c r="P95" s="228" t="str">
        <f t="shared" ref="P95" si="347">IF(O95=0,"-",N95/O95)</f>
        <v>-</v>
      </c>
      <c r="Q95" s="229">
        <v>0</v>
      </c>
      <c r="R95" s="230">
        <v>0</v>
      </c>
      <c r="S95" s="228" t="str">
        <f t="shared" si="340"/>
        <v>-</v>
      </c>
      <c r="T95" s="229">
        <v>0</v>
      </c>
      <c r="U95" s="230">
        <v>0</v>
      </c>
      <c r="V95" s="228" t="str">
        <f t="shared" si="341"/>
        <v>-</v>
      </c>
      <c r="W95" s="229">
        <v>0</v>
      </c>
      <c r="X95" s="230">
        <v>0</v>
      </c>
      <c r="Y95" s="228" t="str">
        <f t="shared" si="342"/>
        <v>-</v>
      </c>
      <c r="Z95" s="229">
        <v>0</v>
      </c>
      <c r="AA95" s="230">
        <v>0</v>
      </c>
      <c r="AB95" s="228" t="str">
        <f t="shared" si="281"/>
        <v>-</v>
      </c>
      <c r="AC95" s="229">
        <v>0</v>
      </c>
      <c r="AD95" s="230">
        <v>0</v>
      </c>
      <c r="AE95" s="228" t="str">
        <f t="shared" si="343"/>
        <v>-</v>
      </c>
      <c r="AF95" s="229">
        <v>0</v>
      </c>
      <c r="AG95" s="230">
        <v>0</v>
      </c>
      <c r="AH95" s="228" t="str">
        <f t="shared" si="283"/>
        <v>-</v>
      </c>
      <c r="AI95" s="229">
        <v>0</v>
      </c>
      <c r="AJ95" s="230">
        <v>0</v>
      </c>
      <c r="AK95" s="228" t="str">
        <f t="shared" si="284"/>
        <v>-</v>
      </c>
      <c r="AL95" s="229">
        <v>27</v>
      </c>
      <c r="AM95" s="230">
        <v>4</v>
      </c>
      <c r="AN95" s="227">
        <f t="shared" si="298"/>
        <v>6.75</v>
      </c>
      <c r="AO95" s="229">
        <v>0</v>
      </c>
      <c r="AP95" s="230">
        <v>0</v>
      </c>
      <c r="AQ95" s="228" t="str">
        <f t="shared" si="344"/>
        <v>-</v>
      </c>
      <c r="AR95" s="229">
        <v>7</v>
      </c>
      <c r="AS95" s="230">
        <v>1</v>
      </c>
      <c r="AT95" s="227">
        <f t="shared" ref="AT95:AT106" si="348">IF(AS95=0,"",AR95/AS95)</f>
        <v>7</v>
      </c>
      <c r="AU95" s="229">
        <v>0</v>
      </c>
      <c r="AV95" s="230">
        <v>0</v>
      </c>
      <c r="AW95" s="228" t="str">
        <f t="shared" si="330"/>
        <v>-</v>
      </c>
      <c r="AX95" s="229">
        <v>0</v>
      </c>
      <c r="AY95" s="230">
        <v>0</v>
      </c>
      <c r="AZ95" s="228" t="str">
        <f t="shared" si="289"/>
        <v>-</v>
      </c>
      <c r="BA95" s="229">
        <v>7</v>
      </c>
      <c r="BB95" s="230">
        <v>1</v>
      </c>
      <c r="BC95" s="227">
        <f t="shared" si="300"/>
        <v>7</v>
      </c>
      <c r="BD95" s="229">
        <v>0</v>
      </c>
      <c r="BE95" s="230">
        <v>0</v>
      </c>
      <c r="BF95" s="228" t="str">
        <f t="shared" si="291"/>
        <v>-</v>
      </c>
      <c r="BG95" s="229">
        <v>0</v>
      </c>
      <c r="BH95" s="230">
        <v>0</v>
      </c>
      <c r="BI95" s="228" t="str">
        <f t="shared" si="292"/>
        <v>-</v>
      </c>
      <c r="BJ95" s="229">
        <v>0</v>
      </c>
      <c r="BK95" s="230">
        <v>0</v>
      </c>
      <c r="BL95" s="228" t="str">
        <f t="shared" si="293"/>
        <v>-</v>
      </c>
      <c r="BM95" s="236">
        <f t="shared" si="345"/>
        <v>41</v>
      </c>
      <c r="BN95" s="237">
        <f t="shared" si="345"/>
        <v>6</v>
      </c>
      <c r="BO95" s="238">
        <f t="shared" si="295"/>
        <v>6.833333333333333</v>
      </c>
    </row>
    <row r="96" spans="1:67" ht="20.399999999999999" thickBot="1" x14ac:dyDescent="0.45">
      <c r="A96" s="224">
        <v>45341</v>
      </c>
      <c r="B96" s="229">
        <v>31</v>
      </c>
      <c r="C96" s="230">
        <v>4</v>
      </c>
      <c r="D96" s="227">
        <f t="shared" si="273"/>
        <v>7.75</v>
      </c>
      <c r="E96" s="229">
        <v>0</v>
      </c>
      <c r="F96" s="230">
        <v>0</v>
      </c>
      <c r="G96" s="228" t="str">
        <f t="shared" si="339"/>
        <v>-</v>
      </c>
      <c r="H96" s="229">
        <v>8</v>
      </c>
      <c r="I96" s="230">
        <v>1</v>
      </c>
      <c r="J96" s="227">
        <f t="shared" si="275"/>
        <v>8</v>
      </c>
      <c r="K96" s="229">
        <v>0</v>
      </c>
      <c r="L96" s="230">
        <v>0</v>
      </c>
      <c r="M96" s="228" t="str">
        <f t="shared" si="305"/>
        <v>-</v>
      </c>
      <c r="N96" s="239">
        <v>18</v>
      </c>
      <c r="O96" s="230">
        <v>3</v>
      </c>
      <c r="P96" s="227">
        <f t="shared" si="277"/>
        <v>6</v>
      </c>
      <c r="Q96" s="229">
        <v>18</v>
      </c>
      <c r="R96" s="230">
        <v>4</v>
      </c>
      <c r="S96" s="228">
        <f t="shared" si="340"/>
        <v>4.5</v>
      </c>
      <c r="T96" s="229">
        <v>0</v>
      </c>
      <c r="U96" s="230">
        <v>0</v>
      </c>
      <c r="V96" s="228" t="str">
        <f t="shared" si="341"/>
        <v>-</v>
      </c>
      <c r="W96" s="229">
        <v>2</v>
      </c>
      <c r="X96" s="230">
        <v>1</v>
      </c>
      <c r="Y96" s="227">
        <f t="shared" si="307"/>
        <v>2</v>
      </c>
      <c r="Z96" s="229">
        <v>0</v>
      </c>
      <c r="AA96" s="230">
        <v>0</v>
      </c>
      <c r="AB96" s="228" t="str">
        <f t="shared" si="281"/>
        <v>-</v>
      </c>
      <c r="AC96" s="229">
        <v>0</v>
      </c>
      <c r="AD96" s="230">
        <v>0</v>
      </c>
      <c r="AE96" s="228" t="str">
        <f t="shared" si="343"/>
        <v>-</v>
      </c>
      <c r="AF96" s="229">
        <v>0</v>
      </c>
      <c r="AG96" s="230">
        <v>0</v>
      </c>
      <c r="AH96" s="228" t="str">
        <f t="shared" si="283"/>
        <v>-</v>
      </c>
      <c r="AI96" s="229">
        <v>5</v>
      </c>
      <c r="AJ96" s="230">
        <v>1</v>
      </c>
      <c r="AK96" s="227">
        <f t="shared" ref="AK96:AK106" si="349">IF(AJ96=0,"",AI96/AJ96)</f>
        <v>5</v>
      </c>
      <c r="AL96" s="229">
        <v>29</v>
      </c>
      <c r="AM96" s="230">
        <v>4</v>
      </c>
      <c r="AN96" s="227">
        <f t="shared" si="298"/>
        <v>7.25</v>
      </c>
      <c r="AO96" s="229">
        <v>0</v>
      </c>
      <c r="AP96" s="230">
        <v>0</v>
      </c>
      <c r="AQ96" s="228" t="str">
        <f t="shared" si="344"/>
        <v>-</v>
      </c>
      <c r="AR96" s="229">
        <v>0</v>
      </c>
      <c r="AS96" s="230">
        <v>0</v>
      </c>
      <c r="AT96" s="228" t="str">
        <f t="shared" ref="AT96" si="350">IF(AS96=0,"-",AR96/AS96)</f>
        <v>-</v>
      </c>
      <c r="AU96" s="229">
        <v>0</v>
      </c>
      <c r="AV96" s="230">
        <v>0</v>
      </c>
      <c r="AW96" s="228" t="str">
        <f t="shared" si="330"/>
        <v>-</v>
      </c>
      <c r="AX96" s="229">
        <v>0</v>
      </c>
      <c r="AY96" s="230">
        <v>0</v>
      </c>
      <c r="AZ96" s="228" t="str">
        <f t="shared" si="289"/>
        <v>-</v>
      </c>
      <c r="BA96" s="229">
        <v>0</v>
      </c>
      <c r="BB96" s="230">
        <v>0</v>
      </c>
      <c r="BC96" s="228" t="str">
        <f t="shared" ref="BC96" si="351">IF(BB96=0,"-",BA96/BB96)</f>
        <v>-</v>
      </c>
      <c r="BD96" s="229">
        <v>0</v>
      </c>
      <c r="BE96" s="230">
        <v>0</v>
      </c>
      <c r="BF96" s="228" t="str">
        <f t="shared" si="291"/>
        <v>-</v>
      </c>
      <c r="BG96" s="229">
        <v>0</v>
      </c>
      <c r="BH96" s="230">
        <v>0</v>
      </c>
      <c r="BI96" s="228" t="str">
        <f t="shared" si="292"/>
        <v>-</v>
      </c>
      <c r="BJ96" s="229">
        <v>8</v>
      </c>
      <c r="BK96" s="230">
        <v>1</v>
      </c>
      <c r="BL96" s="227">
        <f t="shared" ref="BL96:BL106" si="352">IF(BK96=0,"",BJ96/BK96)</f>
        <v>8</v>
      </c>
      <c r="BM96" s="236">
        <f t="shared" si="345"/>
        <v>119</v>
      </c>
      <c r="BN96" s="237">
        <f>BK96+BH96+BE96+BB96+AY96+AV96+AS96+AP96+AM96+L96+R96+O96+I96+F97+AJ96+AG96+AD96+AA96+X96+C96</f>
        <v>19</v>
      </c>
      <c r="BO96" s="238">
        <f t="shared" si="295"/>
        <v>6.2631578947368425</v>
      </c>
    </row>
    <row r="97" spans="1:67" ht="20.399999999999999" thickBot="1" x14ac:dyDescent="0.45">
      <c r="A97" s="224">
        <v>45342</v>
      </c>
      <c r="B97" s="229"/>
      <c r="C97" s="230"/>
      <c r="D97" s="227" t="str">
        <f t="shared" si="273"/>
        <v/>
      </c>
      <c r="E97" s="229"/>
      <c r="F97" s="230"/>
      <c r="G97" s="227" t="str">
        <f t="shared" si="334"/>
        <v/>
      </c>
      <c r="H97" s="229"/>
      <c r="I97" s="230"/>
      <c r="J97" s="227" t="str">
        <f t="shared" si="275"/>
        <v/>
      </c>
      <c r="K97" s="239"/>
      <c r="L97" s="230"/>
      <c r="M97" s="227" t="str">
        <f t="shared" ref="M97:M106" si="353">IF(L97=0,"",K97/L97)</f>
        <v/>
      </c>
      <c r="N97" s="239"/>
      <c r="O97" s="230"/>
      <c r="P97" s="227" t="str">
        <f t="shared" si="277"/>
        <v/>
      </c>
      <c r="Q97" s="229"/>
      <c r="R97" s="230"/>
      <c r="S97" s="227" t="str">
        <f t="shared" si="278"/>
        <v/>
      </c>
      <c r="T97" s="232"/>
      <c r="U97" s="233"/>
      <c r="V97" s="227" t="str">
        <f t="shared" si="306"/>
        <v/>
      </c>
      <c r="W97" s="229"/>
      <c r="X97" s="230"/>
      <c r="Y97" s="227" t="str">
        <f t="shared" si="331"/>
        <v/>
      </c>
      <c r="Z97" s="229"/>
      <c r="AA97" s="230"/>
      <c r="AB97" s="227" t="str">
        <f t="shared" ref="AB97:AB106" si="354">IF(AA97=0,"",Z97/AA97)</f>
        <v/>
      </c>
      <c r="AC97" s="229"/>
      <c r="AD97" s="230"/>
      <c r="AE97" s="227" t="str">
        <f t="shared" si="309"/>
        <v/>
      </c>
      <c r="AF97" s="229"/>
      <c r="AG97" s="230"/>
      <c r="AH97" s="227" t="str">
        <f t="shared" ref="AH97:AH106" si="355">IF(AG97=0,"",AF97/AG97)</f>
        <v/>
      </c>
      <c r="AI97" s="229"/>
      <c r="AJ97" s="230"/>
      <c r="AK97" s="227" t="str">
        <f t="shared" si="349"/>
        <v/>
      </c>
      <c r="AL97" s="229"/>
      <c r="AM97" s="230"/>
      <c r="AN97" s="227" t="str">
        <f t="shared" si="298"/>
        <v/>
      </c>
      <c r="AO97" s="229"/>
      <c r="AP97" s="230"/>
      <c r="AQ97" s="227" t="str">
        <f t="shared" si="336"/>
        <v/>
      </c>
      <c r="AR97" s="229"/>
      <c r="AS97" s="230"/>
      <c r="AT97" s="227" t="str">
        <f t="shared" si="333"/>
        <v/>
      </c>
      <c r="AU97" s="229"/>
      <c r="AV97" s="230"/>
      <c r="AW97" s="227" t="str">
        <f t="shared" si="310"/>
        <v/>
      </c>
      <c r="AX97" s="229"/>
      <c r="AY97" s="230"/>
      <c r="AZ97" s="227" t="str">
        <f t="shared" ref="AZ97:AZ106" si="356">IF(AY97=0,"",AX97/AY97)</f>
        <v/>
      </c>
      <c r="BA97" s="229"/>
      <c r="BB97" s="230"/>
      <c r="BC97" s="227" t="str">
        <f t="shared" si="338"/>
        <v/>
      </c>
      <c r="BD97" s="229"/>
      <c r="BE97" s="230"/>
      <c r="BF97" s="227" t="str">
        <f t="shared" ref="BF97:BF106" si="357">IF(BE97=0,"",BD97/BE97)</f>
        <v/>
      </c>
      <c r="BG97" s="229"/>
      <c r="BH97" s="230"/>
      <c r="BI97" s="227" t="str">
        <f t="shared" ref="BI97:BI106" si="358">IF(BH97=0,"",BG97/BH97)</f>
        <v/>
      </c>
      <c r="BJ97" s="229"/>
      <c r="BK97" s="230"/>
      <c r="BL97" s="227" t="str">
        <f t="shared" si="352"/>
        <v/>
      </c>
      <c r="BM97" s="236">
        <f t="shared" si="345"/>
        <v>0</v>
      </c>
      <c r="BN97" s="237">
        <f>BK97+BH97+BE97+BB97+AY97+AV97+AS97+AP97+AM97+L97+R97+O97+I97+F98+AJ97+AG97+AD97+AA97+X97+C97</f>
        <v>0</v>
      </c>
      <c r="BO97" s="238" t="str">
        <f t="shared" si="295"/>
        <v/>
      </c>
    </row>
    <row r="98" spans="1:67" ht="20.399999999999999" thickBot="1" x14ac:dyDescent="0.45">
      <c r="A98" s="224">
        <v>45343</v>
      </c>
      <c r="B98" s="229"/>
      <c r="C98" s="230"/>
      <c r="D98" s="227" t="str">
        <f t="shared" si="273"/>
        <v/>
      </c>
      <c r="E98" s="229"/>
      <c r="F98" s="230"/>
      <c r="G98" s="227" t="str">
        <f t="shared" si="334"/>
        <v/>
      </c>
      <c r="H98" s="229"/>
      <c r="I98" s="230"/>
      <c r="J98" s="227" t="str">
        <f t="shared" si="275"/>
        <v/>
      </c>
      <c r="K98" s="229"/>
      <c r="L98" s="230"/>
      <c r="M98" s="227" t="str">
        <f t="shared" si="353"/>
        <v/>
      </c>
      <c r="N98" s="229"/>
      <c r="O98" s="230"/>
      <c r="P98" s="227" t="str">
        <f t="shared" si="277"/>
        <v/>
      </c>
      <c r="Q98" s="229"/>
      <c r="R98" s="230"/>
      <c r="S98" s="227" t="str">
        <f t="shared" si="278"/>
        <v/>
      </c>
      <c r="T98" s="229"/>
      <c r="U98" s="230"/>
      <c r="V98" s="227" t="str">
        <f t="shared" si="306"/>
        <v/>
      </c>
      <c r="W98" s="229"/>
      <c r="X98" s="230"/>
      <c r="Y98" s="227" t="str">
        <f t="shared" si="307"/>
        <v/>
      </c>
      <c r="Z98" s="229"/>
      <c r="AA98" s="230"/>
      <c r="AB98" s="227" t="str">
        <f t="shared" si="354"/>
        <v/>
      </c>
      <c r="AC98" s="229"/>
      <c r="AD98" s="230"/>
      <c r="AE98" s="227" t="str">
        <f t="shared" si="309"/>
        <v/>
      </c>
      <c r="AF98" s="229"/>
      <c r="AG98" s="230"/>
      <c r="AH98" s="227" t="str">
        <f t="shared" si="355"/>
        <v/>
      </c>
      <c r="AI98" s="229"/>
      <c r="AJ98" s="230"/>
      <c r="AK98" s="227" t="str">
        <f t="shared" si="349"/>
        <v/>
      </c>
      <c r="AL98" s="229"/>
      <c r="AM98" s="230"/>
      <c r="AN98" s="227" t="str">
        <f t="shared" si="298"/>
        <v/>
      </c>
      <c r="AO98" s="229"/>
      <c r="AP98" s="230"/>
      <c r="AQ98" s="227" t="str">
        <f t="shared" si="336"/>
        <v/>
      </c>
      <c r="AR98" s="229"/>
      <c r="AS98" s="230"/>
      <c r="AT98" s="227" t="str">
        <f t="shared" si="348"/>
        <v/>
      </c>
      <c r="AU98" s="229"/>
      <c r="AV98" s="230"/>
      <c r="AW98" s="227" t="str">
        <f t="shared" si="310"/>
        <v/>
      </c>
      <c r="AX98" s="229"/>
      <c r="AY98" s="230"/>
      <c r="AZ98" s="227" t="str">
        <f t="shared" si="356"/>
        <v/>
      </c>
      <c r="BA98" s="229"/>
      <c r="BB98" s="230"/>
      <c r="BC98" s="227" t="str">
        <f t="shared" si="300"/>
        <v/>
      </c>
      <c r="BD98" s="229"/>
      <c r="BE98" s="230"/>
      <c r="BF98" s="227" t="str">
        <f t="shared" si="357"/>
        <v/>
      </c>
      <c r="BG98" s="229"/>
      <c r="BH98" s="230"/>
      <c r="BI98" s="227" t="str">
        <f t="shared" si="358"/>
        <v/>
      </c>
      <c r="BJ98" s="229"/>
      <c r="BK98" s="230"/>
      <c r="BL98" s="227" t="str">
        <f t="shared" si="352"/>
        <v/>
      </c>
      <c r="BM98" s="236">
        <f t="shared" si="345"/>
        <v>0</v>
      </c>
      <c r="BN98" s="237">
        <f>BK98+BH98+BE98+BB98+AY98+AV98+AS98+AP98+AM98+L98+R98+O98+I98+F98+AJ99+AG98+AD98+AA98+X98+C98</f>
        <v>0</v>
      </c>
      <c r="BO98" s="238" t="str">
        <f t="shared" si="295"/>
        <v/>
      </c>
    </row>
    <row r="99" spans="1:67" ht="20.399999999999999" thickBot="1" x14ac:dyDescent="0.45">
      <c r="A99" s="224">
        <v>45344</v>
      </c>
      <c r="B99" s="229"/>
      <c r="C99" s="230"/>
      <c r="D99" s="227" t="str">
        <f>IF(C99=0,"",B99/C99)</f>
        <v/>
      </c>
      <c r="E99" s="229"/>
      <c r="F99" s="230"/>
      <c r="G99" s="227" t="str">
        <f t="shared" si="334"/>
        <v/>
      </c>
      <c r="H99" s="229"/>
      <c r="I99" s="230"/>
      <c r="J99" s="227" t="str">
        <f t="shared" si="275"/>
        <v/>
      </c>
      <c r="K99" s="229"/>
      <c r="L99" s="230"/>
      <c r="M99" s="227" t="str">
        <f t="shared" si="353"/>
        <v/>
      </c>
      <c r="N99" s="239"/>
      <c r="O99" s="230"/>
      <c r="P99" s="227" t="str">
        <f t="shared" si="277"/>
        <v/>
      </c>
      <c r="Q99" s="229"/>
      <c r="R99" s="230"/>
      <c r="S99" s="227" t="str">
        <f t="shared" si="278"/>
        <v/>
      </c>
      <c r="T99" s="229"/>
      <c r="U99" s="230"/>
      <c r="V99" s="227" t="str">
        <f t="shared" si="306"/>
        <v/>
      </c>
      <c r="W99" s="229"/>
      <c r="X99" s="230"/>
      <c r="Y99" s="227" t="str">
        <f t="shared" si="307"/>
        <v/>
      </c>
      <c r="Z99" s="229"/>
      <c r="AA99" s="230"/>
      <c r="AB99" s="227" t="str">
        <f t="shared" si="354"/>
        <v/>
      </c>
      <c r="AC99" s="229"/>
      <c r="AD99" s="230"/>
      <c r="AE99" s="227" t="str">
        <f t="shared" si="309"/>
        <v/>
      </c>
      <c r="AF99" s="229"/>
      <c r="AG99" s="230"/>
      <c r="AH99" s="227" t="str">
        <f t="shared" si="355"/>
        <v/>
      </c>
      <c r="AI99" s="229"/>
      <c r="AJ99" s="230"/>
      <c r="AK99" s="227" t="str">
        <f t="shared" si="349"/>
        <v/>
      </c>
      <c r="AL99" s="229"/>
      <c r="AM99" s="230"/>
      <c r="AN99" s="227" t="str">
        <f t="shared" si="298"/>
        <v/>
      </c>
      <c r="AO99" s="229"/>
      <c r="AP99" s="230"/>
      <c r="AQ99" s="227" t="str">
        <f t="shared" si="336"/>
        <v/>
      </c>
      <c r="AR99" s="229"/>
      <c r="AS99" s="230"/>
      <c r="AT99" s="227" t="str">
        <f t="shared" si="348"/>
        <v/>
      </c>
      <c r="AU99" s="229"/>
      <c r="AV99" s="230"/>
      <c r="AW99" s="227" t="str">
        <f t="shared" si="310"/>
        <v/>
      </c>
      <c r="AX99" s="229"/>
      <c r="AY99" s="230"/>
      <c r="AZ99" s="227" t="str">
        <f t="shared" si="356"/>
        <v/>
      </c>
      <c r="BA99" s="229"/>
      <c r="BB99" s="230"/>
      <c r="BC99" s="227" t="str">
        <f t="shared" si="300"/>
        <v/>
      </c>
      <c r="BD99" s="229"/>
      <c r="BE99" s="230"/>
      <c r="BF99" s="227" t="str">
        <f t="shared" si="357"/>
        <v/>
      </c>
      <c r="BG99" s="229"/>
      <c r="BH99" s="230"/>
      <c r="BI99" s="227" t="str">
        <f t="shared" si="358"/>
        <v/>
      </c>
      <c r="BJ99" s="229"/>
      <c r="BK99" s="230"/>
      <c r="BL99" s="227" t="str">
        <f t="shared" si="352"/>
        <v/>
      </c>
      <c r="BM99" s="236">
        <f t="shared" si="345"/>
        <v>0</v>
      </c>
      <c r="BN99" s="237">
        <f>BK99+BH99+BE99+BB99+AY99+AV99+AS99+AP99+AM99+L99+R99+O99+I99+F99+AJ100+AG99+AD99+AA99+X99+C99</f>
        <v>0</v>
      </c>
      <c r="BO99" s="238" t="str">
        <f t="shared" si="295"/>
        <v/>
      </c>
    </row>
    <row r="100" spans="1:67" ht="20.399999999999999" thickBot="1" x14ac:dyDescent="0.45">
      <c r="A100" s="224">
        <v>45345</v>
      </c>
      <c r="B100" s="229"/>
      <c r="C100" s="230"/>
      <c r="D100" s="227" t="str">
        <f t="shared" si="273"/>
        <v/>
      </c>
      <c r="E100" s="229"/>
      <c r="F100" s="230"/>
      <c r="G100" s="227" t="str">
        <f t="shared" si="334"/>
        <v/>
      </c>
      <c r="H100" s="229"/>
      <c r="I100" s="230"/>
      <c r="J100" s="227" t="str">
        <f t="shared" si="275"/>
        <v/>
      </c>
      <c r="K100" s="229"/>
      <c r="L100" s="230"/>
      <c r="M100" s="227" t="str">
        <f t="shared" si="353"/>
        <v/>
      </c>
      <c r="N100" s="239"/>
      <c r="O100" s="230"/>
      <c r="P100" s="227" t="str">
        <f t="shared" si="277"/>
        <v/>
      </c>
      <c r="Q100" s="229"/>
      <c r="R100" s="230"/>
      <c r="S100" s="227" t="str">
        <f t="shared" si="278"/>
        <v/>
      </c>
      <c r="T100" s="229"/>
      <c r="U100" s="230"/>
      <c r="V100" s="227" t="str">
        <f t="shared" si="306"/>
        <v/>
      </c>
      <c r="W100" s="229"/>
      <c r="X100" s="230"/>
      <c r="Y100" s="227" t="str">
        <f t="shared" si="307"/>
        <v/>
      </c>
      <c r="Z100" s="229"/>
      <c r="AA100" s="230"/>
      <c r="AB100" s="227" t="str">
        <f t="shared" si="354"/>
        <v/>
      </c>
      <c r="AC100" s="229"/>
      <c r="AD100" s="230"/>
      <c r="AE100" s="227" t="str">
        <f t="shared" si="309"/>
        <v/>
      </c>
      <c r="AF100" s="229"/>
      <c r="AG100" s="230"/>
      <c r="AH100" s="227" t="str">
        <f t="shared" si="355"/>
        <v/>
      </c>
      <c r="AI100" s="229"/>
      <c r="AJ100" s="230"/>
      <c r="AK100" s="227" t="str">
        <f t="shared" si="349"/>
        <v/>
      </c>
      <c r="AL100" s="229"/>
      <c r="AM100" s="230"/>
      <c r="AN100" s="227" t="str">
        <f t="shared" si="298"/>
        <v/>
      </c>
      <c r="AO100" s="229"/>
      <c r="AP100" s="230"/>
      <c r="AQ100" s="227" t="str">
        <f t="shared" si="336"/>
        <v/>
      </c>
      <c r="AR100" s="229"/>
      <c r="AS100" s="230"/>
      <c r="AT100" s="227" t="str">
        <f t="shared" si="348"/>
        <v/>
      </c>
      <c r="AU100" s="229"/>
      <c r="AV100" s="230"/>
      <c r="AW100" s="227" t="str">
        <f t="shared" si="310"/>
        <v/>
      </c>
      <c r="AX100" s="229"/>
      <c r="AY100" s="230"/>
      <c r="AZ100" s="227" t="str">
        <f t="shared" si="356"/>
        <v/>
      </c>
      <c r="BA100" s="229"/>
      <c r="BB100" s="230"/>
      <c r="BC100" s="227" t="str">
        <f t="shared" si="300"/>
        <v/>
      </c>
      <c r="BD100" s="229"/>
      <c r="BE100" s="230"/>
      <c r="BF100" s="227" t="str">
        <f t="shared" si="357"/>
        <v/>
      </c>
      <c r="BG100" s="229"/>
      <c r="BH100" s="230"/>
      <c r="BI100" s="227" t="str">
        <f t="shared" si="358"/>
        <v/>
      </c>
      <c r="BJ100" s="229"/>
      <c r="BK100" s="230"/>
      <c r="BL100" s="227" t="str">
        <f t="shared" si="352"/>
        <v/>
      </c>
      <c r="BM100" s="236">
        <f t="shared" si="345"/>
        <v>0</v>
      </c>
      <c r="BN100" s="237">
        <f>BK100+BH100+BE100+BB100+AY100+AV100+AS100+AP100+AM100+L100+R100+O100+I100+F100+AJ101+AG100+AD100+AA100+X100+C100</f>
        <v>0</v>
      </c>
      <c r="BO100" s="238" t="str">
        <f t="shared" si="295"/>
        <v/>
      </c>
    </row>
    <row r="101" spans="1:67" ht="20.399999999999999" thickBot="1" x14ac:dyDescent="0.45">
      <c r="A101" s="224">
        <v>45346</v>
      </c>
      <c r="B101" s="229"/>
      <c r="C101" s="230"/>
      <c r="D101" s="227" t="str">
        <f t="shared" si="273"/>
        <v/>
      </c>
      <c r="E101" s="229"/>
      <c r="F101" s="230"/>
      <c r="G101" s="227" t="str">
        <f t="shared" si="334"/>
        <v/>
      </c>
      <c r="H101" s="229"/>
      <c r="I101" s="230"/>
      <c r="J101" s="227" t="str">
        <f t="shared" si="275"/>
        <v/>
      </c>
      <c r="K101" s="229"/>
      <c r="L101" s="230"/>
      <c r="M101" s="227" t="str">
        <f t="shared" si="353"/>
        <v/>
      </c>
      <c r="N101" s="239"/>
      <c r="O101" s="230"/>
      <c r="P101" s="227" t="str">
        <f t="shared" si="277"/>
        <v/>
      </c>
      <c r="Q101" s="229"/>
      <c r="R101" s="230"/>
      <c r="S101" s="227" t="str">
        <f t="shared" si="278"/>
        <v/>
      </c>
      <c r="T101" s="229"/>
      <c r="U101" s="230"/>
      <c r="V101" s="227" t="str">
        <f t="shared" si="306"/>
        <v/>
      </c>
      <c r="W101" s="229"/>
      <c r="X101" s="230"/>
      <c r="Y101" s="227" t="str">
        <f t="shared" si="307"/>
        <v/>
      </c>
      <c r="Z101" s="229"/>
      <c r="AA101" s="230"/>
      <c r="AB101" s="227" t="str">
        <f t="shared" si="354"/>
        <v/>
      </c>
      <c r="AC101" s="229"/>
      <c r="AD101" s="230"/>
      <c r="AE101" s="227" t="str">
        <f t="shared" si="309"/>
        <v/>
      </c>
      <c r="AF101" s="229"/>
      <c r="AG101" s="230"/>
      <c r="AH101" s="227" t="str">
        <f t="shared" si="355"/>
        <v/>
      </c>
      <c r="AI101" s="229"/>
      <c r="AJ101" s="230"/>
      <c r="AK101" s="227" t="str">
        <f t="shared" si="349"/>
        <v/>
      </c>
      <c r="AL101" s="229"/>
      <c r="AM101" s="230"/>
      <c r="AN101" s="227" t="str">
        <f t="shared" si="298"/>
        <v/>
      </c>
      <c r="AO101" s="229"/>
      <c r="AP101" s="230"/>
      <c r="AQ101" s="227" t="str">
        <f t="shared" si="336"/>
        <v/>
      </c>
      <c r="AR101" s="229"/>
      <c r="AS101" s="230"/>
      <c r="AT101" s="227" t="str">
        <f t="shared" si="348"/>
        <v/>
      </c>
      <c r="AU101" s="229"/>
      <c r="AV101" s="230"/>
      <c r="AW101" s="227" t="str">
        <f t="shared" si="310"/>
        <v/>
      </c>
      <c r="AX101" s="229"/>
      <c r="AY101" s="230"/>
      <c r="AZ101" s="227" t="str">
        <f t="shared" si="356"/>
        <v/>
      </c>
      <c r="BA101" s="229"/>
      <c r="BB101" s="230"/>
      <c r="BC101" s="227" t="str">
        <f t="shared" si="338"/>
        <v/>
      </c>
      <c r="BD101" s="229"/>
      <c r="BE101" s="230"/>
      <c r="BF101" s="227" t="str">
        <f t="shared" si="357"/>
        <v/>
      </c>
      <c r="BG101" s="229"/>
      <c r="BH101" s="230"/>
      <c r="BI101" s="227" t="str">
        <f t="shared" si="358"/>
        <v/>
      </c>
      <c r="BJ101" s="229"/>
      <c r="BK101" s="230"/>
      <c r="BL101" s="227" t="str">
        <f t="shared" si="352"/>
        <v/>
      </c>
      <c r="BM101" s="236">
        <f t="shared" si="345"/>
        <v>0</v>
      </c>
      <c r="BN101" s="237">
        <f t="shared" si="345"/>
        <v>0</v>
      </c>
      <c r="BO101" s="238" t="str">
        <f t="shared" si="295"/>
        <v/>
      </c>
    </row>
    <row r="102" spans="1:67" ht="20.399999999999999" thickBot="1" x14ac:dyDescent="0.45">
      <c r="A102" s="224">
        <v>45347</v>
      </c>
      <c r="B102" s="229"/>
      <c r="C102" s="230"/>
      <c r="D102" s="227" t="str">
        <f t="shared" si="273"/>
        <v/>
      </c>
      <c r="E102" s="229"/>
      <c r="F102" s="230"/>
      <c r="G102" s="227" t="str">
        <f t="shared" si="334"/>
        <v/>
      </c>
      <c r="H102" s="229"/>
      <c r="I102" s="230"/>
      <c r="J102" s="227" t="str">
        <f t="shared" si="275"/>
        <v/>
      </c>
      <c r="K102" s="229"/>
      <c r="L102" s="230"/>
      <c r="M102" s="227" t="str">
        <f t="shared" si="353"/>
        <v/>
      </c>
      <c r="N102" s="239"/>
      <c r="O102" s="230"/>
      <c r="P102" s="227" t="str">
        <f t="shared" si="277"/>
        <v/>
      </c>
      <c r="Q102" s="229"/>
      <c r="R102" s="230"/>
      <c r="S102" s="227" t="str">
        <f t="shared" si="278"/>
        <v/>
      </c>
      <c r="T102" s="229"/>
      <c r="U102" s="230"/>
      <c r="V102" s="227" t="str">
        <f t="shared" si="306"/>
        <v/>
      </c>
      <c r="W102" s="229"/>
      <c r="X102" s="230"/>
      <c r="Y102" s="227" t="str">
        <f t="shared" si="331"/>
        <v/>
      </c>
      <c r="Z102" s="229"/>
      <c r="AA102" s="230"/>
      <c r="AB102" s="227" t="str">
        <f t="shared" si="354"/>
        <v/>
      </c>
      <c r="AC102" s="229"/>
      <c r="AD102" s="230"/>
      <c r="AE102" s="227" t="str">
        <f t="shared" si="309"/>
        <v/>
      </c>
      <c r="AF102" s="229"/>
      <c r="AG102" s="230"/>
      <c r="AH102" s="227" t="str">
        <f t="shared" si="355"/>
        <v/>
      </c>
      <c r="AI102" s="229"/>
      <c r="AJ102" s="230"/>
      <c r="AK102" s="227" t="str">
        <f t="shared" si="349"/>
        <v/>
      </c>
      <c r="AL102" s="229"/>
      <c r="AM102" s="230"/>
      <c r="AN102" s="227" t="str">
        <f t="shared" si="298"/>
        <v/>
      </c>
      <c r="AO102" s="229"/>
      <c r="AP102" s="230"/>
      <c r="AQ102" s="227" t="str">
        <f t="shared" si="336"/>
        <v/>
      </c>
      <c r="AR102" s="229"/>
      <c r="AS102" s="230"/>
      <c r="AT102" s="227" t="str">
        <f t="shared" si="333"/>
        <v/>
      </c>
      <c r="AU102" s="229"/>
      <c r="AV102" s="230"/>
      <c r="AW102" s="227" t="str">
        <f t="shared" si="310"/>
        <v/>
      </c>
      <c r="AX102" s="229"/>
      <c r="AY102" s="230"/>
      <c r="AZ102" s="227" t="str">
        <f t="shared" si="356"/>
        <v/>
      </c>
      <c r="BA102" s="229"/>
      <c r="BB102" s="230"/>
      <c r="BC102" s="227" t="str">
        <f t="shared" si="300"/>
        <v/>
      </c>
      <c r="BD102" s="229"/>
      <c r="BE102" s="230"/>
      <c r="BF102" s="227" t="str">
        <f t="shared" si="357"/>
        <v/>
      </c>
      <c r="BG102" s="229"/>
      <c r="BH102" s="230"/>
      <c r="BI102" s="227" t="str">
        <f t="shared" si="358"/>
        <v/>
      </c>
      <c r="BJ102" s="229"/>
      <c r="BK102" s="230"/>
      <c r="BL102" s="227" t="str">
        <f t="shared" si="352"/>
        <v/>
      </c>
      <c r="BM102" s="236">
        <f t="shared" si="345"/>
        <v>0</v>
      </c>
      <c r="BN102" s="237">
        <f t="shared" si="345"/>
        <v>0</v>
      </c>
      <c r="BO102" s="238" t="str">
        <f t="shared" si="295"/>
        <v/>
      </c>
    </row>
    <row r="103" spans="1:67" ht="20.399999999999999" thickBot="1" x14ac:dyDescent="0.45">
      <c r="A103" s="224">
        <v>45348</v>
      </c>
      <c r="B103" s="229"/>
      <c r="C103" s="230"/>
      <c r="D103" s="227" t="str">
        <f t="shared" si="273"/>
        <v/>
      </c>
      <c r="E103" s="229"/>
      <c r="F103" s="230"/>
      <c r="G103" s="227" t="str">
        <f t="shared" si="334"/>
        <v/>
      </c>
      <c r="H103" s="229"/>
      <c r="I103" s="230"/>
      <c r="J103" s="227" t="str">
        <f t="shared" si="275"/>
        <v/>
      </c>
      <c r="K103" s="229"/>
      <c r="L103" s="230"/>
      <c r="M103" s="227" t="str">
        <f t="shared" si="353"/>
        <v/>
      </c>
      <c r="N103" s="239"/>
      <c r="O103" s="230"/>
      <c r="P103" s="227" t="str">
        <f t="shared" si="277"/>
        <v/>
      </c>
      <c r="Q103" s="229"/>
      <c r="R103" s="230"/>
      <c r="S103" s="227" t="str">
        <f t="shared" si="278"/>
        <v/>
      </c>
      <c r="T103" s="229"/>
      <c r="U103" s="230"/>
      <c r="V103" s="227" t="str">
        <f t="shared" si="306"/>
        <v/>
      </c>
      <c r="W103" s="229"/>
      <c r="X103" s="230"/>
      <c r="Y103" s="227" t="str">
        <f t="shared" si="307"/>
        <v/>
      </c>
      <c r="Z103" s="229"/>
      <c r="AA103" s="230"/>
      <c r="AB103" s="227" t="str">
        <f t="shared" si="354"/>
        <v/>
      </c>
      <c r="AC103" s="229"/>
      <c r="AD103" s="230"/>
      <c r="AE103" s="227" t="str">
        <f t="shared" si="309"/>
        <v/>
      </c>
      <c r="AF103" s="229"/>
      <c r="AG103" s="230"/>
      <c r="AH103" s="227" t="str">
        <f t="shared" si="355"/>
        <v/>
      </c>
      <c r="AI103" s="229"/>
      <c r="AJ103" s="230"/>
      <c r="AK103" s="227" t="str">
        <f t="shared" si="349"/>
        <v/>
      </c>
      <c r="AL103" s="229"/>
      <c r="AM103" s="230"/>
      <c r="AN103" s="227" t="str">
        <f t="shared" si="298"/>
        <v/>
      </c>
      <c r="AO103" s="229"/>
      <c r="AP103" s="230"/>
      <c r="AQ103" s="227" t="str">
        <f t="shared" si="336"/>
        <v/>
      </c>
      <c r="AR103" s="229"/>
      <c r="AS103" s="230"/>
      <c r="AT103" s="227" t="str">
        <f t="shared" si="348"/>
        <v/>
      </c>
      <c r="AU103" s="229"/>
      <c r="AV103" s="230"/>
      <c r="AW103" s="227" t="str">
        <f t="shared" si="310"/>
        <v/>
      </c>
      <c r="AX103" s="229"/>
      <c r="AY103" s="230"/>
      <c r="AZ103" s="227" t="str">
        <f t="shared" si="356"/>
        <v/>
      </c>
      <c r="BA103" s="229"/>
      <c r="BB103" s="230"/>
      <c r="BC103" s="227" t="str">
        <f t="shared" si="300"/>
        <v/>
      </c>
      <c r="BD103" s="229"/>
      <c r="BE103" s="230"/>
      <c r="BF103" s="227" t="str">
        <f t="shared" si="357"/>
        <v/>
      </c>
      <c r="BG103" s="229"/>
      <c r="BH103" s="230"/>
      <c r="BI103" s="227" t="str">
        <f t="shared" si="358"/>
        <v/>
      </c>
      <c r="BJ103" s="229"/>
      <c r="BK103" s="230"/>
      <c r="BL103" s="227" t="str">
        <f t="shared" si="352"/>
        <v/>
      </c>
      <c r="BM103" s="236">
        <f t="shared" si="345"/>
        <v>0</v>
      </c>
      <c r="BN103" s="237">
        <f t="shared" si="345"/>
        <v>0</v>
      </c>
      <c r="BO103" s="238" t="str">
        <f t="shared" si="295"/>
        <v/>
      </c>
    </row>
    <row r="104" spans="1:67" ht="20.399999999999999" thickBot="1" x14ac:dyDescent="0.45">
      <c r="A104" s="224">
        <v>45349</v>
      </c>
      <c r="B104" s="229"/>
      <c r="C104" s="230"/>
      <c r="D104" s="227" t="str">
        <f t="shared" si="273"/>
        <v/>
      </c>
      <c r="E104" s="229"/>
      <c r="F104" s="230"/>
      <c r="G104" s="227" t="str">
        <f t="shared" si="334"/>
        <v/>
      </c>
      <c r="H104" s="229"/>
      <c r="I104" s="230"/>
      <c r="J104" s="227" t="str">
        <f t="shared" si="275"/>
        <v/>
      </c>
      <c r="K104" s="229"/>
      <c r="L104" s="230"/>
      <c r="M104" s="227" t="str">
        <f t="shared" si="353"/>
        <v/>
      </c>
      <c r="N104" s="229"/>
      <c r="O104" s="230"/>
      <c r="P104" s="227" t="str">
        <f t="shared" si="277"/>
        <v/>
      </c>
      <c r="Q104" s="229"/>
      <c r="R104" s="230"/>
      <c r="S104" s="227" t="str">
        <f t="shared" si="278"/>
        <v/>
      </c>
      <c r="T104" s="229"/>
      <c r="U104" s="230"/>
      <c r="V104" s="227" t="str">
        <f t="shared" si="306"/>
        <v/>
      </c>
      <c r="W104" s="229"/>
      <c r="X104" s="230"/>
      <c r="Y104" s="227" t="str">
        <f t="shared" si="307"/>
        <v/>
      </c>
      <c r="Z104" s="229"/>
      <c r="AA104" s="230"/>
      <c r="AB104" s="227" t="str">
        <f t="shared" si="354"/>
        <v/>
      </c>
      <c r="AC104" s="229"/>
      <c r="AD104" s="230"/>
      <c r="AE104" s="227" t="str">
        <f t="shared" si="309"/>
        <v/>
      </c>
      <c r="AF104" s="229"/>
      <c r="AG104" s="230"/>
      <c r="AH104" s="227" t="str">
        <f t="shared" si="355"/>
        <v/>
      </c>
      <c r="AI104" s="229"/>
      <c r="AJ104" s="230"/>
      <c r="AK104" s="227" t="str">
        <f t="shared" si="349"/>
        <v/>
      </c>
      <c r="AL104" s="229"/>
      <c r="AM104" s="230"/>
      <c r="AN104" s="227" t="str">
        <f t="shared" si="298"/>
        <v/>
      </c>
      <c r="AO104" s="229"/>
      <c r="AP104" s="230"/>
      <c r="AQ104" s="227" t="str">
        <f t="shared" si="336"/>
        <v/>
      </c>
      <c r="AR104" s="229"/>
      <c r="AS104" s="230"/>
      <c r="AT104" s="227" t="str">
        <f t="shared" si="348"/>
        <v/>
      </c>
      <c r="AU104" s="229"/>
      <c r="AV104" s="230"/>
      <c r="AW104" s="227" t="str">
        <f t="shared" si="310"/>
        <v/>
      </c>
      <c r="AX104" s="229"/>
      <c r="AY104" s="230"/>
      <c r="AZ104" s="227" t="str">
        <f t="shared" si="356"/>
        <v/>
      </c>
      <c r="BA104" s="229"/>
      <c r="BB104" s="230"/>
      <c r="BC104" s="227" t="str">
        <f t="shared" si="300"/>
        <v/>
      </c>
      <c r="BD104" s="229"/>
      <c r="BE104" s="230"/>
      <c r="BF104" s="227" t="str">
        <f t="shared" si="357"/>
        <v/>
      </c>
      <c r="BG104" s="229"/>
      <c r="BH104" s="230"/>
      <c r="BI104" s="227" t="str">
        <f t="shared" si="358"/>
        <v/>
      </c>
      <c r="BJ104" s="229"/>
      <c r="BK104" s="230"/>
      <c r="BL104" s="227" t="str">
        <f t="shared" si="352"/>
        <v/>
      </c>
      <c r="BM104" s="236">
        <f t="shared" si="345"/>
        <v>0</v>
      </c>
      <c r="BN104" s="237">
        <f t="shared" si="345"/>
        <v>0</v>
      </c>
      <c r="BO104" s="238" t="str">
        <f t="shared" si="295"/>
        <v/>
      </c>
    </row>
    <row r="105" spans="1:67" ht="20.399999999999999" thickBot="1" x14ac:dyDescent="0.45">
      <c r="A105" s="224">
        <v>45350</v>
      </c>
      <c r="B105" s="229"/>
      <c r="C105" s="230"/>
      <c r="D105" s="227" t="str">
        <f t="shared" si="273"/>
        <v/>
      </c>
      <c r="E105" s="229"/>
      <c r="F105" s="230"/>
      <c r="G105" s="227" t="str">
        <f t="shared" si="334"/>
        <v/>
      </c>
      <c r="H105" s="229"/>
      <c r="I105" s="230"/>
      <c r="J105" s="227" t="str">
        <f t="shared" si="275"/>
        <v/>
      </c>
      <c r="K105" s="229"/>
      <c r="L105" s="230"/>
      <c r="M105" s="227" t="str">
        <f t="shared" si="353"/>
        <v/>
      </c>
      <c r="N105" s="229"/>
      <c r="O105" s="230"/>
      <c r="P105" s="227" t="str">
        <f t="shared" si="277"/>
        <v/>
      </c>
      <c r="Q105" s="229"/>
      <c r="R105" s="230"/>
      <c r="S105" s="227" t="str">
        <f t="shared" si="278"/>
        <v/>
      </c>
      <c r="T105" s="229"/>
      <c r="U105" s="230"/>
      <c r="V105" s="227" t="str">
        <f t="shared" si="306"/>
        <v/>
      </c>
      <c r="W105" s="229"/>
      <c r="X105" s="230"/>
      <c r="Y105" s="227" t="str">
        <f t="shared" si="307"/>
        <v/>
      </c>
      <c r="Z105" s="229"/>
      <c r="AA105" s="230"/>
      <c r="AB105" s="227" t="str">
        <f t="shared" si="354"/>
        <v/>
      </c>
      <c r="AC105" s="229"/>
      <c r="AD105" s="230"/>
      <c r="AE105" s="227" t="str">
        <f t="shared" si="309"/>
        <v/>
      </c>
      <c r="AF105" s="229"/>
      <c r="AG105" s="230"/>
      <c r="AH105" s="227" t="str">
        <f t="shared" si="355"/>
        <v/>
      </c>
      <c r="AI105" s="229"/>
      <c r="AJ105" s="230"/>
      <c r="AK105" s="227" t="str">
        <f t="shared" si="349"/>
        <v/>
      </c>
      <c r="AL105" s="229"/>
      <c r="AM105" s="230"/>
      <c r="AN105" s="227" t="str">
        <f t="shared" si="298"/>
        <v/>
      </c>
      <c r="AO105" s="229"/>
      <c r="AP105" s="230"/>
      <c r="AQ105" s="227" t="str">
        <f t="shared" si="336"/>
        <v/>
      </c>
      <c r="AR105" s="229"/>
      <c r="AS105" s="230"/>
      <c r="AT105" s="227" t="str">
        <f t="shared" si="348"/>
        <v/>
      </c>
      <c r="AU105" s="229"/>
      <c r="AV105" s="230"/>
      <c r="AW105" s="227" t="str">
        <f t="shared" si="310"/>
        <v/>
      </c>
      <c r="AX105" s="229"/>
      <c r="AY105" s="230"/>
      <c r="AZ105" s="227" t="str">
        <f t="shared" si="356"/>
        <v/>
      </c>
      <c r="BA105" s="229"/>
      <c r="BB105" s="230"/>
      <c r="BC105" s="227" t="str">
        <f t="shared" si="338"/>
        <v/>
      </c>
      <c r="BD105" s="229"/>
      <c r="BE105" s="230"/>
      <c r="BF105" s="227" t="str">
        <f t="shared" si="357"/>
        <v/>
      </c>
      <c r="BG105" s="229"/>
      <c r="BH105" s="230"/>
      <c r="BI105" s="227" t="str">
        <f t="shared" si="358"/>
        <v/>
      </c>
      <c r="BJ105" s="229"/>
      <c r="BK105" s="230"/>
      <c r="BL105" s="227" t="str">
        <f t="shared" si="352"/>
        <v/>
      </c>
      <c r="BM105" s="236">
        <f t="shared" si="345"/>
        <v>0</v>
      </c>
      <c r="BN105" s="237">
        <f t="shared" si="345"/>
        <v>0</v>
      </c>
      <c r="BO105" s="238" t="str">
        <f t="shared" si="295"/>
        <v/>
      </c>
    </row>
    <row r="106" spans="1:67" ht="20.399999999999999" thickBot="1" x14ac:dyDescent="0.45">
      <c r="A106" s="224">
        <v>45351</v>
      </c>
      <c r="B106" s="229"/>
      <c r="C106" s="230"/>
      <c r="D106" s="227" t="str">
        <f t="shared" si="273"/>
        <v/>
      </c>
      <c r="E106" s="229"/>
      <c r="F106" s="230"/>
      <c r="G106" s="227" t="str">
        <f t="shared" si="334"/>
        <v/>
      </c>
      <c r="H106" s="229"/>
      <c r="I106" s="230"/>
      <c r="J106" s="227" t="str">
        <f t="shared" si="275"/>
        <v/>
      </c>
      <c r="K106" s="229"/>
      <c r="L106" s="230"/>
      <c r="M106" s="227" t="str">
        <f t="shared" si="353"/>
        <v/>
      </c>
      <c r="N106" s="239"/>
      <c r="O106" s="230"/>
      <c r="P106" s="227" t="str">
        <f t="shared" si="277"/>
        <v/>
      </c>
      <c r="Q106" s="229"/>
      <c r="R106" s="230"/>
      <c r="S106" s="227" t="str">
        <f t="shared" si="278"/>
        <v/>
      </c>
      <c r="T106" s="229"/>
      <c r="U106" s="230"/>
      <c r="V106" s="227" t="str">
        <f t="shared" si="306"/>
        <v/>
      </c>
      <c r="W106" s="229"/>
      <c r="X106" s="230"/>
      <c r="Y106" s="227" t="str">
        <f t="shared" si="307"/>
        <v/>
      </c>
      <c r="Z106" s="229"/>
      <c r="AA106" s="230"/>
      <c r="AB106" s="227" t="str">
        <f t="shared" si="354"/>
        <v/>
      </c>
      <c r="AC106" s="229"/>
      <c r="AD106" s="230"/>
      <c r="AE106" s="227" t="str">
        <f t="shared" si="309"/>
        <v/>
      </c>
      <c r="AF106" s="229"/>
      <c r="AG106" s="230"/>
      <c r="AH106" s="227" t="str">
        <f t="shared" si="355"/>
        <v/>
      </c>
      <c r="AI106" s="229"/>
      <c r="AJ106" s="230"/>
      <c r="AK106" s="227" t="str">
        <f t="shared" si="349"/>
        <v/>
      </c>
      <c r="AL106" s="229"/>
      <c r="AM106" s="230"/>
      <c r="AN106" s="227" t="str">
        <f t="shared" si="298"/>
        <v/>
      </c>
      <c r="AO106" s="229"/>
      <c r="AP106" s="230"/>
      <c r="AQ106" s="227" t="str">
        <f t="shared" si="336"/>
        <v/>
      </c>
      <c r="AR106" s="229"/>
      <c r="AS106" s="230"/>
      <c r="AT106" s="227" t="str">
        <f t="shared" si="348"/>
        <v/>
      </c>
      <c r="AU106" s="229"/>
      <c r="AV106" s="230"/>
      <c r="AW106" s="227" t="str">
        <f t="shared" si="310"/>
        <v/>
      </c>
      <c r="AX106" s="229"/>
      <c r="AY106" s="230"/>
      <c r="AZ106" s="227" t="str">
        <f t="shared" si="356"/>
        <v/>
      </c>
      <c r="BA106" s="229"/>
      <c r="BB106" s="230"/>
      <c r="BC106" s="227" t="str">
        <f t="shared" si="300"/>
        <v/>
      </c>
      <c r="BD106" s="229"/>
      <c r="BE106" s="230"/>
      <c r="BF106" s="227" t="str">
        <f t="shared" si="357"/>
        <v/>
      </c>
      <c r="BG106" s="229"/>
      <c r="BH106" s="230"/>
      <c r="BI106" s="227" t="str">
        <f t="shared" si="358"/>
        <v/>
      </c>
      <c r="BJ106" s="229"/>
      <c r="BK106" s="230"/>
      <c r="BL106" s="227" t="str">
        <f t="shared" si="352"/>
        <v/>
      </c>
      <c r="BM106" s="236">
        <f t="shared" si="345"/>
        <v>0</v>
      </c>
      <c r="BN106" s="237">
        <f t="shared" si="345"/>
        <v>0</v>
      </c>
      <c r="BO106" s="238" t="str">
        <f t="shared" si="295"/>
        <v/>
      </c>
    </row>
    <row r="107" spans="1:67" ht="20.399999999999999" thickBot="1" x14ac:dyDescent="0.45">
      <c r="A107" s="241" t="s">
        <v>33</v>
      </c>
      <c r="B107" s="242">
        <f>SUM(B78:B106)</f>
        <v>937</v>
      </c>
      <c r="C107" s="242">
        <f>SUM(C78:C106)</f>
        <v>118</v>
      </c>
      <c r="D107" s="243">
        <f>B107/C107</f>
        <v>7.9406779661016946</v>
      </c>
      <c r="E107" s="242">
        <f>SUM(E78:E106)</f>
        <v>121</v>
      </c>
      <c r="F107" s="242">
        <f>SUM(F78:F106)</f>
        <v>20</v>
      </c>
      <c r="G107" s="243">
        <f>E107/F107</f>
        <v>6.05</v>
      </c>
      <c r="H107" s="242">
        <f>SUM(H78:H106)</f>
        <v>38</v>
      </c>
      <c r="I107" s="242">
        <f>SUM(I78:I106)</f>
        <v>5</v>
      </c>
      <c r="J107" s="243">
        <f>H107/I107</f>
        <v>7.6</v>
      </c>
      <c r="K107" s="242">
        <f>SUM(K78:K106)</f>
        <v>6</v>
      </c>
      <c r="L107" s="242">
        <f>SUM(L78:L106)</f>
        <v>1</v>
      </c>
      <c r="M107" s="243">
        <f>K107/L107</f>
        <v>6</v>
      </c>
      <c r="N107" s="242">
        <f>SUM(N78:N106)</f>
        <v>532</v>
      </c>
      <c r="O107" s="242">
        <f>SUM(O78:O106)</f>
        <v>97</v>
      </c>
      <c r="P107" s="243">
        <f>N107/O107</f>
        <v>5.4845360824742269</v>
      </c>
      <c r="Q107" s="242">
        <f>SUM(Q78:Q106)</f>
        <v>1869</v>
      </c>
      <c r="R107" s="242">
        <f>SUM(R78:R106)</f>
        <v>311</v>
      </c>
      <c r="S107" s="243">
        <f>Q107/R107</f>
        <v>6.009646302250804</v>
      </c>
      <c r="T107" s="242">
        <f>SUM(T78:T106)</f>
        <v>98</v>
      </c>
      <c r="U107" s="242">
        <f>SUM(U78:U106)</f>
        <v>17</v>
      </c>
      <c r="V107" s="243">
        <f>T107/U107</f>
        <v>5.7647058823529411</v>
      </c>
      <c r="W107" s="242">
        <f>SUM(W78:W106)</f>
        <v>30</v>
      </c>
      <c r="X107" s="242">
        <f>SUM(X78:X106)</f>
        <v>9</v>
      </c>
      <c r="Y107" s="243">
        <f>W107/X107</f>
        <v>3.3333333333333335</v>
      </c>
      <c r="Z107" s="242">
        <f>SUM(Z78:Z106)</f>
        <v>0</v>
      </c>
      <c r="AA107" s="242">
        <f>SUM(AA78:AA106)</f>
        <v>0</v>
      </c>
      <c r="AB107" s="243" t="e">
        <f>Z107/AA107</f>
        <v>#DIV/0!</v>
      </c>
      <c r="AC107" s="242">
        <f>SUM(AC78:AC106)</f>
        <v>14</v>
      </c>
      <c r="AD107" s="242">
        <f>SUM(AD78:AD106)</f>
        <v>6</v>
      </c>
      <c r="AE107" s="243">
        <f>AC107/AD107</f>
        <v>2.3333333333333335</v>
      </c>
      <c r="AF107" s="242">
        <f>SUM(AF78:AF106)</f>
        <v>0</v>
      </c>
      <c r="AG107" s="242">
        <f>SUM(AG78:AG106)</f>
        <v>0</v>
      </c>
      <c r="AH107" s="243" t="e">
        <f>AF107/AG107</f>
        <v>#DIV/0!</v>
      </c>
      <c r="AI107" s="242">
        <f>SUM(AI78:AI106)</f>
        <v>7</v>
      </c>
      <c r="AJ107" s="242">
        <f>SUM(AJ78:AJ106)</f>
        <v>2</v>
      </c>
      <c r="AK107" s="243">
        <f>AI107/AJ107</f>
        <v>3.5</v>
      </c>
      <c r="AL107" s="242">
        <f>SUM(AL78:AL106)</f>
        <v>378</v>
      </c>
      <c r="AM107" s="242">
        <f>SUM(AM78:AM106)</f>
        <v>53</v>
      </c>
      <c r="AN107" s="243">
        <f>AL107/AM107</f>
        <v>7.132075471698113</v>
      </c>
      <c r="AO107" s="242">
        <f>SUM(AO78:AO106)</f>
        <v>5</v>
      </c>
      <c r="AP107" s="242">
        <f>SUM(AP78:AP106)</f>
        <v>1</v>
      </c>
      <c r="AQ107" s="243">
        <f>AO107/AP107</f>
        <v>5</v>
      </c>
      <c r="AR107" s="242">
        <f>SUM(AR78:AR106)</f>
        <v>21</v>
      </c>
      <c r="AS107" s="242">
        <f>SUM(AS78:AS106)</f>
        <v>3</v>
      </c>
      <c r="AT107" s="243">
        <f>AR107/AS107</f>
        <v>7</v>
      </c>
      <c r="AU107" s="242">
        <f>SUM(AU78:AU106)</f>
        <v>42</v>
      </c>
      <c r="AV107" s="242">
        <f>SUM(AV78:AV106)</f>
        <v>6</v>
      </c>
      <c r="AW107" s="243">
        <f>AU107/AV107</f>
        <v>7</v>
      </c>
      <c r="AX107" s="242">
        <f>SUM(AX78:AX106)</f>
        <v>0</v>
      </c>
      <c r="AY107" s="242">
        <f>SUM(AY78:AY106)</f>
        <v>0</v>
      </c>
      <c r="AZ107" s="244" t="str">
        <f>IF(AY107=0,"-",AX107/AY107)</f>
        <v>-</v>
      </c>
      <c r="BA107" s="242">
        <f>SUM(BA78:BA106)</f>
        <v>72</v>
      </c>
      <c r="BB107" s="242">
        <f>SUM(BB78:BB106)</f>
        <v>11</v>
      </c>
      <c r="BC107" s="243">
        <f>BA107/BB107</f>
        <v>6.5454545454545459</v>
      </c>
      <c r="BD107" s="242">
        <f>SUM(BD78:BD106)</f>
        <v>0</v>
      </c>
      <c r="BE107" s="242">
        <f>SUM(BE78:BE106)</f>
        <v>0</v>
      </c>
      <c r="BF107" s="244" t="str">
        <f>IF(BE107=0,"-",BD107/BE107)</f>
        <v>-</v>
      </c>
      <c r="BG107" s="242">
        <f>SUM(BG78:BG106)</f>
        <v>0</v>
      </c>
      <c r="BH107" s="242">
        <f>SUM(BH78:BH106)</f>
        <v>0</v>
      </c>
      <c r="BI107" s="244" t="str">
        <f>IF(BH107=0,"-",BG107/BH107)</f>
        <v>-</v>
      </c>
      <c r="BJ107" s="242">
        <f>SUM(BJ78:BJ106)</f>
        <v>8</v>
      </c>
      <c r="BK107" s="242">
        <f>SUM(BK78:BK106)</f>
        <v>1</v>
      </c>
      <c r="BL107" s="244">
        <f>IF(BK107=0,"-",BJ107/BK107)</f>
        <v>8</v>
      </c>
      <c r="BM107" s="245">
        <f>SUM(BM78:BM106)</f>
        <v>4080</v>
      </c>
      <c r="BN107" s="246">
        <f t="shared" si="345"/>
        <v>644</v>
      </c>
      <c r="BO107" s="247">
        <f t="shared" si="295"/>
        <v>6.3354037267080745</v>
      </c>
    </row>
    <row r="108" spans="1:67" x14ac:dyDescent="0.4">
      <c r="A108" s="224"/>
    </row>
    <row r="109" spans="1:67" x14ac:dyDescent="0.4">
      <c r="A109" s="224"/>
    </row>
    <row r="110" spans="1:67" x14ac:dyDescent="0.4">
      <c r="A110" s="224"/>
    </row>
    <row r="111" spans="1:67" x14ac:dyDescent="0.4">
      <c r="A111" s="224"/>
    </row>
    <row r="112" spans="1:67" x14ac:dyDescent="0.4">
      <c r="A112" s="224"/>
    </row>
    <row r="113" spans="1:1" x14ac:dyDescent="0.4">
      <c r="A113" s="224"/>
    </row>
    <row r="114" spans="1:1" x14ac:dyDescent="0.4">
      <c r="A114" s="224"/>
    </row>
    <row r="115" spans="1:1" x14ac:dyDescent="0.4">
      <c r="A115" s="224"/>
    </row>
    <row r="116" spans="1:1" x14ac:dyDescent="0.4">
      <c r="A116" s="224"/>
    </row>
    <row r="117" spans="1:1" x14ac:dyDescent="0.4">
      <c r="A117" s="224"/>
    </row>
    <row r="118" spans="1:1" x14ac:dyDescent="0.4">
      <c r="A118" s="224"/>
    </row>
    <row r="119" spans="1:1" x14ac:dyDescent="0.4">
      <c r="A119" s="224"/>
    </row>
    <row r="120" spans="1:1" x14ac:dyDescent="0.4">
      <c r="A120" s="224"/>
    </row>
    <row r="121" spans="1:1" x14ac:dyDescent="0.4">
      <c r="A121" s="224"/>
    </row>
    <row r="122" spans="1:1" x14ac:dyDescent="0.4">
      <c r="A122" s="224"/>
    </row>
    <row r="123" spans="1:1" x14ac:dyDescent="0.4">
      <c r="A123" s="224"/>
    </row>
    <row r="124" spans="1:1" x14ac:dyDescent="0.4">
      <c r="A124" s="224"/>
    </row>
    <row r="125" spans="1:1" x14ac:dyDescent="0.4">
      <c r="A125" s="224"/>
    </row>
  </sheetData>
  <pageMargins left="0.23622047244094491" right="0.23622047244094491" top="0.74803149606299213" bottom="0.74803149606299213" header="0.31496062992125984" footer="0.31496062992125984"/>
  <pageSetup paperSize="8" scale="31" fitToHeight="0" orientation="landscape" r:id="rId1"/>
  <ignoredErrors>
    <ignoredError sqref="G6:G7 BC6:BC7 BC11:BC12 BI10 J10:J11 P14 BC15 AW15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3794-8296-4579-B2B3-49CA77DC828B}">
  <sheetPr codeName="Sheet5">
    <tabColor rgb="FFFF0000"/>
  </sheetPr>
  <dimension ref="A1:CL40"/>
  <sheetViews>
    <sheetView workbookViewId="0">
      <selection activeCell="A4" sqref="A4:B18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49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'Dec 2023'!B35</f>
        <v>971</v>
      </c>
      <c r="C4" s="68"/>
      <c r="D4" s="95" t="s">
        <v>19</v>
      </c>
      <c r="E4" s="93">
        <f>'Dec 2023'!AL35</f>
        <v>437</v>
      </c>
      <c r="F4" s="68"/>
      <c r="G4" s="87" t="s">
        <v>24</v>
      </c>
      <c r="H4" s="81">
        <f>'Dec 2023'!BA35</f>
        <v>178</v>
      </c>
    </row>
    <row r="5" spans="1:90" x14ac:dyDescent="0.3">
      <c r="A5" s="80"/>
      <c r="B5" s="81">
        <f>'Dec 2023'!C35</f>
        <v>115</v>
      </c>
      <c r="C5" s="68"/>
      <c r="D5" s="85"/>
      <c r="E5" s="81">
        <f>'Dec 2023'!AM35</f>
        <v>65</v>
      </c>
      <c r="F5" s="68"/>
      <c r="G5" s="87"/>
      <c r="H5" s="81">
        <f>'Dec 2023'!BB35</f>
        <v>26</v>
      </c>
    </row>
    <row r="6" spans="1:90" x14ac:dyDescent="0.3">
      <c r="A6" s="82"/>
      <c r="B6" s="26">
        <f>'Dec 2023'!D35</f>
        <v>8.4434782608695649</v>
      </c>
      <c r="C6" s="68"/>
      <c r="D6" s="86"/>
      <c r="E6" s="26">
        <f>'Dec 2023'!AN35</f>
        <v>6.7230769230769232</v>
      </c>
      <c r="F6" s="68"/>
      <c r="G6" s="88"/>
      <c r="H6" s="26">
        <f>'Dec 2023'!BC35</f>
        <v>6.8461538461538458</v>
      </c>
    </row>
    <row r="7" spans="1:90" x14ac:dyDescent="0.3">
      <c r="A7" s="80" t="s">
        <v>9</v>
      </c>
      <c r="B7" s="81">
        <f>'Dec 2023'!E35</f>
        <v>84</v>
      </c>
      <c r="C7" s="68"/>
      <c r="D7" s="85" t="s">
        <v>20</v>
      </c>
      <c r="E7" s="81">
        <f>'Dec 2023'!AO35</f>
        <v>8</v>
      </c>
      <c r="F7" s="68"/>
      <c r="G7" s="87" t="s">
        <v>25</v>
      </c>
      <c r="H7" s="81">
        <f>'Dec 2023'!BD35</f>
        <v>0</v>
      </c>
    </row>
    <row r="8" spans="1:90" x14ac:dyDescent="0.3">
      <c r="A8" s="80"/>
      <c r="B8" s="81">
        <f>'Dec 2023'!F35</f>
        <v>12</v>
      </c>
      <c r="C8" s="68"/>
      <c r="D8" s="85"/>
      <c r="E8" s="81">
        <f>'Dec 2023'!AP35</f>
        <v>1</v>
      </c>
      <c r="F8" s="68"/>
      <c r="G8" s="87"/>
      <c r="H8" s="81">
        <f>'Dec 2023'!BE35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'Dec 2023'!G35</f>
        <v>7</v>
      </c>
      <c r="C9" s="68"/>
      <c r="D9" s="86"/>
      <c r="E9" s="26">
        <f>'Dec 2023'!AQ35</f>
        <v>8</v>
      </c>
      <c r="F9" s="68"/>
      <c r="G9" s="88"/>
      <c r="H9" s="26" t="str">
        <f>'Dec 2023'!BF35</f>
        <v>-</v>
      </c>
    </row>
    <row r="10" spans="1:90" x14ac:dyDescent="0.3">
      <c r="A10" s="80" t="s">
        <v>10</v>
      </c>
      <c r="B10" s="81">
        <f>'Dec 2023'!H35</f>
        <v>134</v>
      </c>
      <c r="C10" s="68"/>
      <c r="D10" s="85" t="s">
        <v>21</v>
      </c>
      <c r="E10" s="81">
        <f>'Dec 2023'!AR35</f>
        <v>87</v>
      </c>
      <c r="F10" s="68"/>
      <c r="G10" s="87" t="s">
        <v>26</v>
      </c>
      <c r="H10" s="81">
        <f>'Dec 2023'!BG35</f>
        <v>21</v>
      </c>
    </row>
    <row r="11" spans="1:90" x14ac:dyDescent="0.3">
      <c r="A11" s="80"/>
      <c r="B11" s="81">
        <f>'Dec 2023'!I35</f>
        <v>18</v>
      </c>
      <c r="C11" s="68"/>
      <c r="D11" s="85"/>
      <c r="E11" s="81">
        <f>'Dec 2023'!AS35</f>
        <v>12</v>
      </c>
      <c r="F11" s="68"/>
      <c r="G11" s="87"/>
      <c r="H11" s="81">
        <f>'Dec 2023'!BH35</f>
        <v>2</v>
      </c>
    </row>
    <row r="12" spans="1:90" x14ac:dyDescent="0.3">
      <c r="A12" s="82"/>
      <c r="B12" s="26">
        <f>'Dec 2023'!J35</f>
        <v>7.4444444444444446</v>
      </c>
      <c r="C12" s="68"/>
      <c r="D12" s="86"/>
      <c r="E12" s="26">
        <f>'Dec 2023'!AT35</f>
        <v>7.25</v>
      </c>
      <c r="F12" s="68"/>
      <c r="G12" s="88"/>
      <c r="H12" s="26">
        <f>'Dec 2023'!BI35</f>
        <v>10.5</v>
      </c>
    </row>
    <row r="13" spans="1:90" x14ac:dyDescent="0.3">
      <c r="A13" s="80" t="s">
        <v>11</v>
      </c>
      <c r="B13" s="81">
        <f>'Dec 2023'!N35</f>
        <v>732</v>
      </c>
      <c r="C13" s="68"/>
      <c r="D13" s="85" t="s">
        <v>22</v>
      </c>
      <c r="E13" s="81">
        <f>'Dec 2023'!AU35</f>
        <v>37</v>
      </c>
      <c r="F13" s="68"/>
      <c r="G13" s="87" t="s">
        <v>27</v>
      </c>
      <c r="H13" s="81">
        <f>'Dec 2023'!BJ35</f>
        <v>0</v>
      </c>
    </row>
    <row r="14" spans="1:90" x14ac:dyDescent="0.3">
      <c r="A14" s="80"/>
      <c r="B14" s="81">
        <f>'Dec 2023'!O35</f>
        <v>137</v>
      </c>
      <c r="C14" s="68"/>
      <c r="D14" s="85"/>
      <c r="E14" s="81">
        <f>'Dec 2023'!AV35</f>
        <v>5</v>
      </c>
      <c r="F14" s="68"/>
      <c r="G14" s="87"/>
      <c r="H14" s="81">
        <f>'Dec 2023'!BK35</f>
        <v>0</v>
      </c>
    </row>
    <row r="15" spans="1:90" x14ac:dyDescent="0.3">
      <c r="A15" s="82"/>
      <c r="B15" s="26">
        <f>'Dec 2023'!P35</f>
        <v>5.3430656934306571</v>
      </c>
      <c r="C15" s="68"/>
      <c r="D15" s="85"/>
      <c r="E15" s="26">
        <f>'Dec 2023'!AW35</f>
        <v>7.4</v>
      </c>
      <c r="F15" s="68"/>
      <c r="G15" s="88"/>
      <c r="H15" s="26" t="str">
        <f>'Dec 2023'!BL35</f>
        <v>-</v>
      </c>
    </row>
    <row r="16" spans="1:90" x14ac:dyDescent="0.3">
      <c r="A16" s="80" t="s">
        <v>44</v>
      </c>
      <c r="B16" s="81">
        <f>'Dec 2023'!Q35</f>
        <v>2584</v>
      </c>
      <c r="C16" s="68"/>
      <c r="D16" s="85" t="s">
        <v>45</v>
      </c>
      <c r="E16" s="81">
        <f>'Dec 2023'!AX35</f>
        <v>0</v>
      </c>
      <c r="F16" s="68"/>
      <c r="G16" s="96" t="s">
        <v>28</v>
      </c>
      <c r="H16" s="97">
        <f>'Dec 2023'!BM35</f>
        <v>5418</v>
      </c>
    </row>
    <row r="17" spans="1:8" x14ac:dyDescent="0.3">
      <c r="A17" s="80"/>
      <c r="B17" s="81">
        <f>'Dec 2023'!R35</f>
        <v>448</v>
      </c>
      <c r="C17" s="68"/>
      <c r="D17" s="85"/>
      <c r="E17" s="81">
        <f>'Dec 2023'!AY35</f>
        <v>0</v>
      </c>
      <c r="F17" s="68"/>
      <c r="G17" s="96"/>
      <c r="H17" s="97">
        <f>'Dec 2023'!BN35</f>
        <v>870</v>
      </c>
    </row>
    <row r="18" spans="1:8" ht="15" thickBot="1" x14ac:dyDescent="0.35">
      <c r="A18" s="82"/>
      <c r="B18" s="26">
        <f>'Dec 2023'!S35</f>
        <v>5.7678571428571432</v>
      </c>
      <c r="C18" s="68"/>
      <c r="D18" s="102"/>
      <c r="E18" s="149" t="str">
        <f>'Dec 2023'!AZ35</f>
        <v>-</v>
      </c>
      <c r="F18" s="68"/>
      <c r="G18" s="98"/>
      <c r="H18" s="99">
        <f>H16/H17</f>
        <v>6.227586206896552</v>
      </c>
    </row>
    <row r="19" spans="1:8" x14ac:dyDescent="0.3">
      <c r="A19" s="80" t="s">
        <v>13</v>
      </c>
      <c r="B19" s="81">
        <f>'Dec 2023'!K35</f>
        <v>9</v>
      </c>
      <c r="C19" s="68"/>
    </row>
    <row r="20" spans="1:8" x14ac:dyDescent="0.3">
      <c r="A20" s="80"/>
      <c r="B20" s="81">
        <f>'Dec 2023'!L35</f>
        <v>2</v>
      </c>
      <c r="C20" s="68"/>
    </row>
    <row r="21" spans="1:8" x14ac:dyDescent="0.3">
      <c r="A21" s="100"/>
      <c r="B21" s="81">
        <f>'Dec 2023'!M35</f>
        <v>4.5</v>
      </c>
      <c r="C21" s="68"/>
    </row>
    <row r="22" spans="1:8" x14ac:dyDescent="0.3">
      <c r="A22" s="80" t="s">
        <v>46</v>
      </c>
      <c r="B22" s="142">
        <f>'Dec 2023'!T35</f>
        <v>30</v>
      </c>
      <c r="C22" s="68"/>
      <c r="D22" s="68"/>
      <c r="E22" s="68"/>
    </row>
    <row r="23" spans="1:8" x14ac:dyDescent="0.3">
      <c r="A23" s="80"/>
      <c r="B23" s="142">
        <f>'Dec 2023'!U35</f>
        <v>5</v>
      </c>
      <c r="C23" s="68"/>
      <c r="D23" s="68"/>
      <c r="E23" s="68"/>
    </row>
    <row r="24" spans="1:8" ht="15" thickBot="1" x14ac:dyDescent="0.35">
      <c r="A24" s="141"/>
      <c r="B24" s="143">
        <f>'Dec 2023'!V35</f>
        <v>6</v>
      </c>
      <c r="C24" s="68"/>
      <c r="D24" s="68"/>
      <c r="E24" s="68"/>
    </row>
    <row r="25" spans="1:8" x14ac:dyDescent="0.3">
      <c r="A25" s="101" t="s">
        <v>14</v>
      </c>
      <c r="B25" s="93">
        <f>'Dec 2023'!W35</f>
        <v>42</v>
      </c>
      <c r="C25" s="68"/>
      <c r="D25" s="68"/>
      <c r="E25" s="68"/>
    </row>
    <row r="26" spans="1:8" x14ac:dyDescent="0.3">
      <c r="A26" s="83"/>
      <c r="B26" s="81">
        <f>'Dec 2023'!X35</f>
        <v>8</v>
      </c>
      <c r="C26" s="68"/>
      <c r="D26" s="68"/>
      <c r="E26" s="68"/>
    </row>
    <row r="27" spans="1:8" x14ac:dyDescent="0.3">
      <c r="A27" s="84"/>
      <c r="B27" s="26">
        <f>'Dec 2023'!Y35</f>
        <v>5.25</v>
      </c>
      <c r="C27" s="68"/>
      <c r="D27" s="68"/>
      <c r="E27" s="68"/>
    </row>
    <row r="28" spans="1:8" x14ac:dyDescent="0.3">
      <c r="A28" s="83" t="s">
        <v>15</v>
      </c>
      <c r="B28" s="81">
        <f>'Dec 2023'!Z35</f>
        <v>0</v>
      </c>
      <c r="C28" s="68"/>
      <c r="F28" s="68"/>
      <c r="G28" s="68"/>
    </row>
    <row r="29" spans="1:8" x14ac:dyDescent="0.3">
      <c r="A29" s="83"/>
      <c r="B29" s="81">
        <f>'Dec 2023'!AA35</f>
        <v>0</v>
      </c>
      <c r="C29" s="68"/>
      <c r="F29" s="68"/>
      <c r="G29" s="68"/>
    </row>
    <row r="30" spans="1:8" x14ac:dyDescent="0.3">
      <c r="A30" s="84"/>
      <c r="B30" s="26" t="e">
        <f>'Dec 2023'!AB35</f>
        <v>#DIV/0!</v>
      </c>
      <c r="C30" s="68"/>
      <c r="F30" s="68"/>
      <c r="G30" s="68"/>
    </row>
    <row r="31" spans="1:8" x14ac:dyDescent="0.3">
      <c r="A31" s="83" t="s">
        <v>16</v>
      </c>
      <c r="B31" s="81">
        <f>'Dec 2023'!AC35</f>
        <v>21</v>
      </c>
      <c r="C31" s="68"/>
      <c r="F31" s="68"/>
      <c r="G31" s="68"/>
    </row>
    <row r="32" spans="1:8" x14ac:dyDescent="0.3">
      <c r="A32" s="83"/>
      <c r="B32" s="81">
        <f>'Dec 2023'!AD35</f>
        <v>8</v>
      </c>
      <c r="C32" s="68"/>
      <c r="F32" s="68"/>
      <c r="G32" s="68"/>
    </row>
    <row r="33" spans="1:7" x14ac:dyDescent="0.3">
      <c r="A33" s="84"/>
      <c r="B33" s="26">
        <f>'Dec 2023'!AE35</f>
        <v>2.625</v>
      </c>
      <c r="C33" s="68"/>
      <c r="F33" s="68"/>
      <c r="G33" s="68"/>
    </row>
    <row r="34" spans="1:7" x14ac:dyDescent="0.3">
      <c r="A34" s="83" t="s">
        <v>17</v>
      </c>
      <c r="B34" s="81">
        <f>'Dec 2023'!AF35</f>
        <v>20</v>
      </c>
      <c r="C34" s="68"/>
      <c r="F34" s="68"/>
      <c r="G34" s="68"/>
    </row>
    <row r="35" spans="1:7" x14ac:dyDescent="0.3">
      <c r="A35" s="83"/>
      <c r="B35" s="81">
        <f>'Dec 2023'!AG35</f>
        <v>4</v>
      </c>
      <c r="C35" s="68"/>
      <c r="F35" s="68"/>
      <c r="G35" s="68"/>
    </row>
    <row r="36" spans="1:7" x14ac:dyDescent="0.3">
      <c r="A36" s="84"/>
      <c r="B36" s="26">
        <f>'Dec 2023'!AH35</f>
        <v>5</v>
      </c>
      <c r="C36" s="68"/>
      <c r="F36" s="68"/>
      <c r="G36" s="68"/>
    </row>
    <row r="37" spans="1:7" x14ac:dyDescent="0.3">
      <c r="A37" s="83" t="s">
        <v>18</v>
      </c>
      <c r="B37" s="81">
        <f>'Dec 2023'!AI35</f>
        <v>53</v>
      </c>
      <c r="C37" s="68"/>
      <c r="F37" s="68"/>
      <c r="G37" s="68"/>
    </row>
    <row r="38" spans="1:7" x14ac:dyDescent="0.3">
      <c r="A38" s="83"/>
      <c r="B38" s="81">
        <f>'Dec 2023'!AJ35</f>
        <v>7</v>
      </c>
      <c r="C38" s="68"/>
      <c r="F38" s="68"/>
      <c r="G38" s="68"/>
    </row>
    <row r="39" spans="1:7" ht="15" thickBot="1" x14ac:dyDescent="0.35">
      <c r="A39" s="94"/>
      <c r="B39" s="89">
        <f>'Dec 2023'!AK35</f>
        <v>7.5714285714285712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  <ignoredErrors>
    <ignoredError sqref="B21 B24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50BB-51FF-4D22-8D85-C9F8FBDB1C3B}">
  <sheetPr codeName="Sheet6"/>
  <dimension ref="A1:BO126"/>
  <sheetViews>
    <sheetView topLeftCell="AR20" workbookViewId="0">
      <selection activeCell="AC50" sqref="AC50"/>
    </sheetView>
  </sheetViews>
  <sheetFormatPr defaultRowHeight="14.4" x14ac:dyDescent="0.3"/>
  <cols>
    <col min="1" max="1" width="15.6640625" customWidth="1"/>
    <col min="2" max="3" width="8.88671875" hidden="1" customWidth="1"/>
    <col min="4" max="9" width="8.88671875" style="2" hidden="1" customWidth="1"/>
    <col min="10" max="10" width="10" style="2" hidden="1" customWidth="1"/>
    <col min="11" max="18" width="8.88671875" style="2" hidden="1" customWidth="1"/>
    <col min="19" max="19" width="9.6640625" style="2" hidden="1" customWidth="1"/>
    <col min="20" max="21" width="8.88671875" style="2" hidden="1" customWidth="1"/>
    <col min="22" max="22" width="9.6640625" style="2" hidden="1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8.88671875" style="2" customWidth="1"/>
    <col min="32" max="33" width="8.88671875" customWidth="1"/>
    <col min="34" max="34" width="7.33203125" style="2" customWidth="1"/>
    <col min="35" max="35" width="7.33203125" customWidth="1"/>
    <col min="36" max="36" width="9.6640625" customWidth="1"/>
    <col min="37" max="37" width="10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51" width="8.88671875" customWidth="1"/>
    <col min="52" max="52" width="8.88671875" style="2" customWidth="1"/>
    <col min="55" max="55" width="8.88671875" style="2"/>
    <col min="58" max="58" width="8.88671875" style="2"/>
    <col min="61" max="61" width="9.33203125" style="2" customWidth="1"/>
    <col min="64" max="64" width="8.88671875" style="2"/>
    <col min="65" max="65" width="9.109375" style="79" bestFit="1" customWidth="1"/>
    <col min="66" max="66" width="8.88671875" style="79"/>
    <col min="67" max="67" width="8.88671875" style="2"/>
  </cols>
  <sheetData>
    <row r="1" spans="1:67" ht="18.600000000000001" thickBot="1" x14ac:dyDescent="0.4">
      <c r="A1" s="67" t="s">
        <v>47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8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113"/>
      <c r="BN1" s="113"/>
      <c r="BO1" s="69"/>
    </row>
    <row r="2" spans="1:67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73" t="s">
        <v>2</v>
      </c>
      <c r="P2" s="73"/>
      <c r="Q2" s="77"/>
      <c r="R2" s="73" t="s">
        <v>2</v>
      </c>
      <c r="S2" s="74"/>
      <c r="T2" s="77"/>
      <c r="U2" s="73" t="s">
        <v>2</v>
      </c>
      <c r="V2" s="74"/>
      <c r="W2" s="71"/>
      <c r="X2" s="72" t="s">
        <v>3</v>
      </c>
      <c r="Y2" s="73"/>
      <c r="Z2" s="71"/>
      <c r="AA2" s="72" t="s">
        <v>3</v>
      </c>
      <c r="AB2" s="74"/>
      <c r="AC2" s="72"/>
      <c r="AD2" s="72" t="s">
        <v>4</v>
      </c>
      <c r="AE2" s="73"/>
      <c r="AF2" s="71"/>
      <c r="AG2" s="72" t="s">
        <v>4</v>
      </c>
      <c r="AH2" s="74"/>
      <c r="AI2" s="72"/>
      <c r="AJ2" s="72" t="s">
        <v>4</v>
      </c>
      <c r="AK2" s="74"/>
      <c r="AL2" s="108"/>
      <c r="AM2" s="109" t="s">
        <v>5</v>
      </c>
      <c r="AN2" s="110"/>
      <c r="AO2" s="108"/>
      <c r="AP2" s="109" t="s">
        <v>5</v>
      </c>
      <c r="AQ2" s="111"/>
      <c r="AR2" s="109"/>
      <c r="AS2" s="109" t="s">
        <v>5</v>
      </c>
      <c r="AT2" s="110"/>
      <c r="AU2" s="108"/>
      <c r="AV2" s="109" t="s">
        <v>5</v>
      </c>
      <c r="AW2" s="112"/>
      <c r="AX2" s="109"/>
      <c r="AY2" s="109" t="s">
        <v>5</v>
      </c>
      <c r="AZ2" s="111"/>
      <c r="BA2" s="71"/>
      <c r="BB2" s="72" t="s">
        <v>6</v>
      </c>
      <c r="BC2" s="74"/>
      <c r="BD2" s="75"/>
      <c r="BE2" s="75" t="s">
        <v>6</v>
      </c>
      <c r="BF2" s="76"/>
      <c r="BG2" s="71"/>
      <c r="BH2" s="72" t="s">
        <v>6</v>
      </c>
      <c r="BI2" s="74"/>
      <c r="BJ2" s="75"/>
      <c r="BK2" s="75" t="s">
        <v>6</v>
      </c>
      <c r="BL2" s="76"/>
      <c r="BM2" s="114" t="s">
        <v>7</v>
      </c>
      <c r="BN2" s="119"/>
      <c r="BO2" s="74"/>
    </row>
    <row r="3" spans="1:67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13</v>
      </c>
      <c r="L3" s="4"/>
      <c r="M3" s="33"/>
      <c r="N3" s="4" t="s">
        <v>11</v>
      </c>
      <c r="O3" s="4"/>
      <c r="P3" s="35"/>
      <c r="Q3" s="3" t="s">
        <v>12</v>
      </c>
      <c r="R3" s="4"/>
      <c r="S3" s="33"/>
      <c r="T3" s="3" t="s">
        <v>35</v>
      </c>
      <c r="U3" s="4"/>
      <c r="V3" s="33"/>
      <c r="W3" s="47" t="s">
        <v>14</v>
      </c>
      <c r="X3" s="47"/>
      <c r="Y3" s="49"/>
      <c r="Z3" s="46" t="s">
        <v>15</v>
      </c>
      <c r="AA3" s="47"/>
      <c r="AB3" s="48"/>
      <c r="AC3" s="47" t="s">
        <v>16</v>
      </c>
      <c r="AD3" s="47"/>
      <c r="AE3" s="49"/>
      <c r="AF3" s="46" t="s">
        <v>17</v>
      </c>
      <c r="AG3" s="47"/>
      <c r="AH3" s="48"/>
      <c r="AI3" s="47" t="s">
        <v>18</v>
      </c>
      <c r="AJ3" s="47"/>
      <c r="AK3" s="49"/>
      <c r="AL3" s="9" t="s">
        <v>36</v>
      </c>
      <c r="AM3" s="7"/>
      <c r="AN3" s="29"/>
      <c r="AO3" s="9" t="s">
        <v>37</v>
      </c>
      <c r="AP3" s="7"/>
      <c r="AQ3" s="31"/>
      <c r="AR3" s="7" t="s">
        <v>38</v>
      </c>
      <c r="AS3" s="7"/>
      <c r="AT3" s="29"/>
      <c r="AU3" s="9" t="s">
        <v>39</v>
      </c>
      <c r="AV3" s="7"/>
      <c r="AW3" s="8"/>
      <c r="AX3" s="7" t="s">
        <v>40</v>
      </c>
      <c r="AY3" s="7"/>
      <c r="AZ3" s="31"/>
      <c r="BA3" s="13" t="s">
        <v>24</v>
      </c>
      <c r="BB3" s="14"/>
      <c r="BC3" s="27"/>
      <c r="BD3" s="14" t="s">
        <v>25</v>
      </c>
      <c r="BE3" s="14"/>
      <c r="BF3" s="55"/>
      <c r="BG3" s="13" t="s">
        <v>26</v>
      </c>
      <c r="BH3" s="14"/>
      <c r="BI3" s="27"/>
      <c r="BJ3" s="14" t="s">
        <v>27</v>
      </c>
      <c r="BK3" s="14"/>
      <c r="BL3" s="55"/>
      <c r="BM3" s="115" t="s">
        <v>28</v>
      </c>
      <c r="BN3" s="115"/>
      <c r="BO3" s="24"/>
    </row>
    <row r="4" spans="1:67" ht="43.8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36" t="s">
        <v>31</v>
      </c>
      <c r="Q4" s="5" t="s">
        <v>7</v>
      </c>
      <c r="R4" s="6" t="s">
        <v>30</v>
      </c>
      <c r="S4" s="34" t="s">
        <v>31</v>
      </c>
      <c r="T4" s="5" t="s">
        <v>7</v>
      </c>
      <c r="U4" s="6" t="s">
        <v>30</v>
      </c>
      <c r="V4" s="34" t="s">
        <v>31</v>
      </c>
      <c r="W4" s="51" t="s">
        <v>7</v>
      </c>
      <c r="X4" s="51" t="s">
        <v>30</v>
      </c>
      <c r="Y4" s="53" t="s">
        <v>31</v>
      </c>
      <c r="Z4" s="50" t="s">
        <v>7</v>
      </c>
      <c r="AA4" s="51" t="s">
        <v>30</v>
      </c>
      <c r="AB4" s="52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12" t="s">
        <v>7</v>
      </c>
      <c r="AM4" s="10" t="s">
        <v>30</v>
      </c>
      <c r="AN4" s="30" t="s">
        <v>31</v>
      </c>
      <c r="AO4" s="12" t="s">
        <v>7</v>
      </c>
      <c r="AP4" s="10" t="s">
        <v>30</v>
      </c>
      <c r="AQ4" s="32" t="s">
        <v>31</v>
      </c>
      <c r="AR4" s="10" t="s">
        <v>7</v>
      </c>
      <c r="AS4" s="10" t="s">
        <v>30</v>
      </c>
      <c r="AT4" s="30" t="s">
        <v>31</v>
      </c>
      <c r="AU4" s="12" t="s">
        <v>7</v>
      </c>
      <c r="AV4" s="10" t="s">
        <v>30</v>
      </c>
      <c r="AW4" s="11" t="s">
        <v>31</v>
      </c>
      <c r="AX4" s="10" t="s">
        <v>7</v>
      </c>
      <c r="AY4" s="10" t="s">
        <v>30</v>
      </c>
      <c r="AZ4" s="32" t="s">
        <v>31</v>
      </c>
      <c r="BA4" s="15" t="s">
        <v>7</v>
      </c>
      <c r="BB4" s="16" t="s">
        <v>30</v>
      </c>
      <c r="BC4" s="28" t="s">
        <v>31</v>
      </c>
      <c r="BD4" s="16" t="s">
        <v>7</v>
      </c>
      <c r="BE4" s="16" t="s">
        <v>30</v>
      </c>
      <c r="BF4" s="57" t="s">
        <v>31</v>
      </c>
      <c r="BG4" s="15" t="s">
        <v>7</v>
      </c>
      <c r="BH4" s="16" t="s">
        <v>30</v>
      </c>
      <c r="BI4" s="28" t="s">
        <v>31</v>
      </c>
      <c r="BJ4" s="16" t="s">
        <v>7</v>
      </c>
      <c r="BK4" s="16" t="s">
        <v>30</v>
      </c>
      <c r="BL4" s="57" t="s">
        <v>31</v>
      </c>
      <c r="BM4" s="116" t="s">
        <v>7</v>
      </c>
      <c r="BN4" s="116" t="s">
        <v>30</v>
      </c>
      <c r="BO4" s="146" t="s">
        <v>31</v>
      </c>
    </row>
    <row r="5" spans="1:67" ht="15" thickBot="1" x14ac:dyDescent="0.35">
      <c r="A5" s="1">
        <v>45292</v>
      </c>
      <c r="B5" s="17">
        <v>0</v>
      </c>
      <c r="C5" s="18">
        <v>0</v>
      </c>
      <c r="D5" s="139" t="str">
        <f>IF(C5=0,"-",B5/C5)</f>
        <v>-</v>
      </c>
      <c r="E5" s="17">
        <v>0</v>
      </c>
      <c r="F5" s="18">
        <v>0</v>
      </c>
      <c r="G5" s="139" t="str">
        <f t="shared" ref="G5:G6" si="0">IF(F5=0,"-",E5/F5)</f>
        <v>-</v>
      </c>
      <c r="H5" s="17">
        <v>0</v>
      </c>
      <c r="I5" s="18">
        <v>0</v>
      </c>
      <c r="J5" s="139" t="str">
        <f t="shared" ref="J5:J6" si="1">IF(I5=0,"-",H5/I5)</f>
        <v>-</v>
      </c>
      <c r="K5" s="17">
        <v>0</v>
      </c>
      <c r="L5" s="18">
        <v>0</v>
      </c>
      <c r="M5" s="139" t="str">
        <f t="shared" ref="M5:M6" si="2">IF(L5=0,"-",K5/L5)</f>
        <v>-</v>
      </c>
      <c r="N5" s="17">
        <v>0</v>
      </c>
      <c r="O5" s="18">
        <v>0</v>
      </c>
      <c r="P5" s="139" t="str">
        <f t="shared" ref="P5" si="3">IF(O5=0,"-",N5/O5)</f>
        <v>-</v>
      </c>
      <c r="Q5" s="17">
        <v>0</v>
      </c>
      <c r="R5" s="18">
        <v>0</v>
      </c>
      <c r="S5" s="139" t="str">
        <f t="shared" ref="S5" si="4">IF(R5=0,"-",Q5/R5)</f>
        <v>-</v>
      </c>
      <c r="T5" s="17">
        <v>0</v>
      </c>
      <c r="U5" s="18">
        <v>0</v>
      </c>
      <c r="V5" s="139" t="str">
        <f t="shared" ref="V5:V6" si="5">IF(U5=0,"-",T5/U5)</f>
        <v>-</v>
      </c>
      <c r="W5" s="17">
        <v>0</v>
      </c>
      <c r="X5" s="18">
        <v>0</v>
      </c>
      <c r="Y5" s="139" t="str">
        <f t="shared" ref="Y5:Y6" si="6">IF(X5=0,"-",W5/X5)</f>
        <v>-</v>
      </c>
      <c r="Z5" s="17">
        <v>0</v>
      </c>
      <c r="AA5" s="18">
        <v>0</v>
      </c>
      <c r="AB5" s="139" t="str">
        <f t="shared" ref="AB5:AB6" si="7">IF(AA5=0,"-",Z5/AA5)</f>
        <v>-</v>
      </c>
      <c r="AC5" s="17">
        <v>0</v>
      </c>
      <c r="AD5" s="18">
        <v>0</v>
      </c>
      <c r="AE5" s="139" t="str">
        <f t="shared" ref="AE5:AE6" si="8">IF(AD5=0,"-",AC5/AD5)</f>
        <v>-</v>
      </c>
      <c r="AF5" s="17">
        <v>0</v>
      </c>
      <c r="AG5" s="18">
        <v>0</v>
      </c>
      <c r="AH5" s="139" t="str">
        <f t="shared" ref="AH5:AH6" si="9">IF(AG5=0,"-",AF5/AG5)</f>
        <v>-</v>
      </c>
      <c r="AI5" s="17">
        <v>0</v>
      </c>
      <c r="AJ5" s="18">
        <v>0</v>
      </c>
      <c r="AK5" s="139" t="str">
        <f t="shared" ref="AK5:AK6" si="10">IF(AJ5=0,"-",AI5/AJ5)</f>
        <v>-</v>
      </c>
      <c r="AL5" s="17">
        <v>0</v>
      </c>
      <c r="AM5" s="18">
        <v>0</v>
      </c>
      <c r="AN5" s="139" t="str">
        <f t="shared" ref="AN5:AN6" si="11">IF(AM5=0,"-",AL5/AM5)</f>
        <v>-</v>
      </c>
      <c r="AO5" s="17">
        <v>0</v>
      </c>
      <c r="AP5" s="18">
        <v>0</v>
      </c>
      <c r="AQ5" s="139" t="str">
        <f t="shared" ref="AQ5:AQ6" si="12">IF(AP5=0,"-",AO5/AP5)</f>
        <v>-</v>
      </c>
      <c r="AR5" s="17">
        <v>0</v>
      </c>
      <c r="AS5" s="18">
        <v>0</v>
      </c>
      <c r="AT5" s="139" t="str">
        <f t="shared" ref="AT5:AT6" si="13">IF(AS5=0,"-",AR5/AS5)</f>
        <v>-</v>
      </c>
      <c r="AU5" s="17">
        <v>0</v>
      </c>
      <c r="AV5" s="18">
        <v>0</v>
      </c>
      <c r="AW5" s="139" t="str">
        <f t="shared" ref="AW5:AW6" si="14">IF(AV5=0,"-",AU5/AV5)</f>
        <v>-</v>
      </c>
      <c r="AX5" s="17">
        <v>0</v>
      </c>
      <c r="AY5" s="18">
        <v>0</v>
      </c>
      <c r="AZ5" s="139" t="str">
        <f t="shared" ref="AZ5:AZ6" si="15">IF(AY5=0,"-",AX5/AY5)</f>
        <v>-</v>
      </c>
      <c r="BA5" s="17">
        <v>0</v>
      </c>
      <c r="BB5" s="18">
        <v>0</v>
      </c>
      <c r="BC5" s="139" t="str">
        <f t="shared" ref="BC5:BC6" si="16">IF(BB5=0,"-",BA5/BB5)</f>
        <v>-</v>
      </c>
      <c r="BD5" s="17">
        <v>0</v>
      </c>
      <c r="BE5" s="18">
        <v>0</v>
      </c>
      <c r="BF5" s="139" t="str">
        <f t="shared" ref="BF5:BF6" si="17">IF(BE5=0,"-",BD5/BE5)</f>
        <v>-</v>
      </c>
      <c r="BG5" s="17">
        <v>0</v>
      </c>
      <c r="BH5" s="18">
        <v>0</v>
      </c>
      <c r="BI5" s="139" t="str">
        <f t="shared" ref="BI5:BI6" si="18">IF(BH5=0,"-",BG5/BH5)</f>
        <v>-</v>
      </c>
      <c r="BJ5" s="17">
        <v>0</v>
      </c>
      <c r="BK5" s="18">
        <v>0</v>
      </c>
      <c r="BL5" s="139" t="str">
        <f t="shared" ref="BL5:BL6" si="19">IF(BK5=0,"-",BJ5/BK5)</f>
        <v>-</v>
      </c>
      <c r="BM5" s="117">
        <f>BJ5+BG5+BD5+BA5+AX5+AU5+AR5+AO5+AL5+K5+Q5+N5+H5+E5+AI5+AF5+AC5+Z5+W5+B5</f>
        <v>0</v>
      </c>
      <c r="BN5" s="120">
        <f>BK5+BH5+BE5+BB5+AY5+AV5+AS5+AP5+AM5+L5+R5+O5+I5+F5+AJ5+AG5+AD5+AA5+X5+C5</f>
        <v>0</v>
      </c>
      <c r="BO5" s="147" t="str">
        <f>IF(BN5=0,"",BM5/BN5)</f>
        <v/>
      </c>
    </row>
    <row r="6" spans="1:67" ht="15" thickBot="1" x14ac:dyDescent="0.35">
      <c r="A6" s="1">
        <v>45293</v>
      </c>
      <c r="B6" s="20">
        <v>0</v>
      </c>
      <c r="C6" s="21">
        <v>0</v>
      </c>
      <c r="D6" s="139" t="str">
        <f>IF(C6=0,"-",B6/C6)</f>
        <v>-</v>
      </c>
      <c r="E6" s="20">
        <v>0</v>
      </c>
      <c r="F6" s="21">
        <v>0</v>
      </c>
      <c r="G6" s="139" t="str">
        <f t="shared" si="0"/>
        <v>-</v>
      </c>
      <c r="H6" s="20">
        <v>0</v>
      </c>
      <c r="I6" s="21">
        <v>0</v>
      </c>
      <c r="J6" s="139" t="str">
        <f t="shared" si="1"/>
        <v>-</v>
      </c>
      <c r="K6" s="20">
        <v>0</v>
      </c>
      <c r="L6" s="21">
        <v>0</v>
      </c>
      <c r="M6" s="139" t="str">
        <f t="shared" si="2"/>
        <v>-</v>
      </c>
      <c r="N6" s="23">
        <v>38</v>
      </c>
      <c r="O6" s="21">
        <v>7</v>
      </c>
      <c r="P6" s="122">
        <f t="shared" ref="P6:P34" si="20">IF(O6=0,"",N6/O6)</f>
        <v>5.4285714285714288</v>
      </c>
      <c r="Q6" s="20">
        <v>673</v>
      </c>
      <c r="R6" s="21">
        <v>93</v>
      </c>
      <c r="S6" s="122">
        <f t="shared" ref="S6:S34" si="21">IF(R6=0,"",Q6/R6)</f>
        <v>7.236559139784946</v>
      </c>
      <c r="T6" s="20">
        <v>0</v>
      </c>
      <c r="U6" s="21">
        <v>0</v>
      </c>
      <c r="V6" s="139" t="str">
        <f t="shared" si="5"/>
        <v>-</v>
      </c>
      <c r="W6" s="20">
        <v>0</v>
      </c>
      <c r="X6" s="21">
        <v>0</v>
      </c>
      <c r="Y6" s="139" t="str">
        <f t="shared" si="6"/>
        <v>-</v>
      </c>
      <c r="Z6" s="23">
        <v>0</v>
      </c>
      <c r="AA6" s="21">
        <v>0</v>
      </c>
      <c r="AB6" s="139" t="str">
        <f t="shared" si="7"/>
        <v>-</v>
      </c>
      <c r="AC6" s="20">
        <v>0</v>
      </c>
      <c r="AD6" s="21">
        <v>0</v>
      </c>
      <c r="AE6" s="139" t="str">
        <f t="shared" si="8"/>
        <v>-</v>
      </c>
      <c r="AF6" s="20">
        <v>0</v>
      </c>
      <c r="AG6" s="21">
        <v>0</v>
      </c>
      <c r="AH6" s="139" t="str">
        <f t="shared" si="9"/>
        <v>-</v>
      </c>
      <c r="AI6" s="23">
        <v>0</v>
      </c>
      <c r="AJ6" s="21">
        <v>0</v>
      </c>
      <c r="AK6" s="139" t="str">
        <f t="shared" si="10"/>
        <v>-</v>
      </c>
      <c r="AL6" s="23">
        <v>0</v>
      </c>
      <c r="AM6" s="21">
        <v>0</v>
      </c>
      <c r="AN6" s="139" t="str">
        <f t="shared" si="11"/>
        <v>-</v>
      </c>
      <c r="AO6" s="20">
        <v>0</v>
      </c>
      <c r="AP6" s="21">
        <v>0</v>
      </c>
      <c r="AQ6" s="139" t="str">
        <f t="shared" si="12"/>
        <v>-</v>
      </c>
      <c r="AR6" s="20">
        <v>0</v>
      </c>
      <c r="AS6" s="20">
        <v>0</v>
      </c>
      <c r="AT6" s="139" t="str">
        <f t="shared" si="13"/>
        <v>-</v>
      </c>
      <c r="AU6" s="20">
        <v>0</v>
      </c>
      <c r="AV6" s="20">
        <v>0</v>
      </c>
      <c r="AW6" s="139" t="str">
        <f t="shared" si="14"/>
        <v>-</v>
      </c>
      <c r="AX6" s="20">
        <v>0</v>
      </c>
      <c r="AY6" s="21">
        <v>0</v>
      </c>
      <c r="AZ6" s="139" t="str">
        <f t="shared" si="15"/>
        <v>-</v>
      </c>
      <c r="BA6" s="20">
        <v>0</v>
      </c>
      <c r="BB6" s="21">
        <v>0</v>
      </c>
      <c r="BC6" s="139" t="str">
        <f t="shared" si="16"/>
        <v>-</v>
      </c>
      <c r="BD6" s="20">
        <v>0</v>
      </c>
      <c r="BE6" s="21">
        <v>0</v>
      </c>
      <c r="BF6" s="139" t="str">
        <f t="shared" si="17"/>
        <v>-</v>
      </c>
      <c r="BG6" s="20">
        <v>0</v>
      </c>
      <c r="BH6" s="21">
        <v>0</v>
      </c>
      <c r="BI6" s="139" t="str">
        <f t="shared" si="18"/>
        <v>-</v>
      </c>
      <c r="BJ6" s="20">
        <v>0</v>
      </c>
      <c r="BK6" s="21">
        <v>0</v>
      </c>
      <c r="BL6" s="139" t="str">
        <f t="shared" si="19"/>
        <v>-</v>
      </c>
      <c r="BM6" s="117">
        <f t="shared" ref="BM6:BN34" si="22">BJ6+BG6+BD6+BA6+AX6+AU6+AR6+AO6+AL6+K6+Q6+N6+H6+E6+AI6+AF6+AC6+Z6+W6+B6</f>
        <v>711</v>
      </c>
      <c r="BN6" s="120">
        <f t="shared" si="22"/>
        <v>100</v>
      </c>
      <c r="BO6" s="147">
        <f t="shared" ref="BO6:BO36" si="23">IF(BN6=0,"",BM6/BN6)</f>
        <v>7.11</v>
      </c>
    </row>
    <row r="7" spans="1:67" ht="15" thickBot="1" x14ac:dyDescent="0.35">
      <c r="A7" s="1">
        <v>45294</v>
      </c>
      <c r="B7" s="20">
        <v>67</v>
      </c>
      <c r="C7" s="21">
        <v>8</v>
      </c>
      <c r="D7" s="122">
        <f t="shared" ref="D7:D34" si="24">IF(C7=0,"",B7/C7)</f>
        <v>8.375</v>
      </c>
      <c r="E7" s="20">
        <v>9</v>
      </c>
      <c r="F7" s="21">
        <v>1</v>
      </c>
      <c r="G7" s="122">
        <f t="shared" ref="G7:G34" si="25">IF(F7=0,"",E7/F7)</f>
        <v>9</v>
      </c>
      <c r="H7" s="20">
        <v>36</v>
      </c>
      <c r="I7" s="21">
        <v>4</v>
      </c>
      <c r="J7" s="122">
        <f t="shared" ref="J7:J29" si="26">IF(I7=0,"",H7/I7)</f>
        <v>9</v>
      </c>
      <c r="K7" s="20">
        <v>0</v>
      </c>
      <c r="L7" s="21">
        <v>0</v>
      </c>
      <c r="M7" s="139" t="str">
        <f t="shared" ref="M7" si="27">IF(L7=0,"-",K7/L7)</f>
        <v>-</v>
      </c>
      <c r="N7" s="23">
        <v>90</v>
      </c>
      <c r="O7" s="21">
        <v>15</v>
      </c>
      <c r="P7" s="122">
        <f t="shared" si="20"/>
        <v>6</v>
      </c>
      <c r="Q7" s="20">
        <v>475</v>
      </c>
      <c r="R7" s="21">
        <v>71</v>
      </c>
      <c r="S7" s="122">
        <f t="shared" si="21"/>
        <v>6.6901408450704229</v>
      </c>
      <c r="T7" s="20">
        <v>0</v>
      </c>
      <c r="U7" s="21">
        <v>0</v>
      </c>
      <c r="V7" s="139" t="str">
        <f t="shared" ref="V7:V8" si="28">IF(U7=0,"-",T7/U7)</f>
        <v>-</v>
      </c>
      <c r="W7" s="20">
        <v>0</v>
      </c>
      <c r="X7" s="21">
        <v>0</v>
      </c>
      <c r="Y7" s="139" t="str">
        <f t="shared" ref="Y7" si="29">IF(X7=0,"-",W7/X7)</f>
        <v>-</v>
      </c>
      <c r="Z7" s="23">
        <v>0</v>
      </c>
      <c r="AA7" s="21">
        <v>0</v>
      </c>
      <c r="AB7" s="139" t="str">
        <f t="shared" ref="AB7" si="30">IF(AA7=0,"-",Z7/AA7)</f>
        <v>-</v>
      </c>
      <c r="AC7" s="20">
        <v>1</v>
      </c>
      <c r="AD7" s="21">
        <v>1</v>
      </c>
      <c r="AE7" s="122">
        <f t="shared" ref="AE7:AE9" si="31">IF(AD7=0,"",AC7/AD7)</f>
        <v>1</v>
      </c>
      <c r="AF7" s="20">
        <v>0</v>
      </c>
      <c r="AG7" s="21">
        <v>0</v>
      </c>
      <c r="AH7" s="139" t="str">
        <f t="shared" ref="AH7" si="32">IF(AG7=0,"-",AF7/AG7)</f>
        <v>-</v>
      </c>
      <c r="AI7" s="23">
        <v>0</v>
      </c>
      <c r="AJ7" s="21">
        <v>0</v>
      </c>
      <c r="AK7" s="139" t="str">
        <f t="shared" ref="AK7" si="33">IF(AJ7=0,"-",AI7/AJ7)</f>
        <v>-</v>
      </c>
      <c r="AL7" s="23">
        <v>27</v>
      </c>
      <c r="AM7" s="21">
        <v>4</v>
      </c>
      <c r="AN7" s="139">
        <f t="shared" ref="AN7:AN8" si="34">IF(AM7=0,"-",AL7/AM7)</f>
        <v>6.75</v>
      </c>
      <c r="AO7" s="20">
        <v>15</v>
      </c>
      <c r="AP7" s="21">
        <v>2</v>
      </c>
      <c r="AQ7" s="139">
        <f t="shared" ref="AQ7:AQ8" si="35">IF(AP7=0,"-",AO7/AP7)</f>
        <v>7.5</v>
      </c>
      <c r="AR7" s="20">
        <v>14</v>
      </c>
      <c r="AS7" s="20">
        <v>2</v>
      </c>
      <c r="AT7" s="139">
        <f t="shared" ref="AT7:AT8" si="36">IF(AS7=0,"-",AR7/AS7)</f>
        <v>7</v>
      </c>
      <c r="AU7" s="20">
        <v>7</v>
      </c>
      <c r="AV7" s="20">
        <v>1</v>
      </c>
      <c r="AW7" s="139">
        <f t="shared" ref="AW7:AW8" si="37">IF(AV7=0,"-",AU7/AV7)</f>
        <v>7</v>
      </c>
      <c r="AX7" s="20">
        <v>0</v>
      </c>
      <c r="AY7" s="21">
        <v>0</v>
      </c>
      <c r="AZ7" s="139" t="str">
        <f t="shared" ref="AZ7:AZ8" si="38">IF(AY7=0,"-",AX7/AY7)</f>
        <v>-</v>
      </c>
      <c r="BA7" s="20">
        <v>0</v>
      </c>
      <c r="BB7" s="21">
        <v>0</v>
      </c>
      <c r="BC7" s="139" t="str">
        <f t="shared" ref="BC7" si="39">IF(BB7=0,"-",BA7/BB7)</f>
        <v>-</v>
      </c>
      <c r="BD7" s="20">
        <v>0</v>
      </c>
      <c r="BE7" s="21">
        <v>0</v>
      </c>
      <c r="BF7" s="139" t="str">
        <f t="shared" ref="BF7:BF8" si="40">IF(BE7=0,"-",BD7/BE7)</f>
        <v>-</v>
      </c>
      <c r="BG7" s="20">
        <v>0</v>
      </c>
      <c r="BH7" s="21">
        <v>0</v>
      </c>
      <c r="BI7" s="139" t="str">
        <f t="shared" ref="BI7:BI8" si="41">IF(BH7=0,"-",BG7/BH7)</f>
        <v>-</v>
      </c>
      <c r="BJ7" s="20">
        <v>0</v>
      </c>
      <c r="BK7" s="21">
        <v>0</v>
      </c>
      <c r="BL7" s="139" t="str">
        <f t="shared" ref="BL7:BL8" si="42">IF(BK7=0,"-",BJ7/BK7)</f>
        <v>-</v>
      </c>
      <c r="BM7" s="117">
        <f t="shared" si="22"/>
        <v>741</v>
      </c>
      <c r="BN7" s="120">
        <f t="shared" si="22"/>
        <v>109</v>
      </c>
      <c r="BO7" s="147">
        <f t="shared" si="23"/>
        <v>6.7981651376146788</v>
      </c>
    </row>
    <row r="8" spans="1:67" ht="15" thickBot="1" x14ac:dyDescent="0.35">
      <c r="A8" s="1">
        <v>45295</v>
      </c>
      <c r="B8" s="20">
        <v>30</v>
      </c>
      <c r="C8" s="21">
        <v>4</v>
      </c>
      <c r="D8" s="122">
        <f t="shared" si="24"/>
        <v>7.5</v>
      </c>
      <c r="E8" s="20">
        <v>0</v>
      </c>
      <c r="F8" s="21">
        <v>0</v>
      </c>
      <c r="G8" s="139" t="s">
        <v>32</v>
      </c>
      <c r="H8" s="20">
        <v>0</v>
      </c>
      <c r="I8" s="21">
        <v>0</v>
      </c>
      <c r="J8" s="139" t="s">
        <v>32</v>
      </c>
      <c r="K8" s="20">
        <v>4</v>
      </c>
      <c r="L8" s="21">
        <v>1</v>
      </c>
      <c r="M8" s="122">
        <f t="shared" ref="M8:M34" si="43">IF(L8=0,"",K8/L8)</f>
        <v>4</v>
      </c>
      <c r="N8" s="23">
        <v>12</v>
      </c>
      <c r="O8" s="21">
        <v>3</v>
      </c>
      <c r="P8" s="122">
        <f t="shared" si="20"/>
        <v>4</v>
      </c>
      <c r="Q8" s="20">
        <v>436</v>
      </c>
      <c r="R8" s="21">
        <v>68</v>
      </c>
      <c r="S8" s="122">
        <f t="shared" si="21"/>
        <v>6.4117647058823533</v>
      </c>
      <c r="T8" s="20">
        <v>0</v>
      </c>
      <c r="U8" s="21">
        <v>0</v>
      </c>
      <c r="V8" s="139" t="str">
        <f t="shared" si="28"/>
        <v>-</v>
      </c>
      <c r="W8" s="20">
        <v>0</v>
      </c>
      <c r="X8" s="21">
        <v>0</v>
      </c>
      <c r="Y8" s="139" t="str">
        <f t="shared" ref="Y8" si="44">IF(X8=0,"-",W8/X8)</f>
        <v>-</v>
      </c>
      <c r="Z8" s="23">
        <v>0</v>
      </c>
      <c r="AA8" s="21">
        <v>0</v>
      </c>
      <c r="AB8" s="139" t="str">
        <f t="shared" ref="AB8" si="45">IF(AA8=0,"-",Z8/AA8)</f>
        <v>-</v>
      </c>
      <c r="AC8" s="23">
        <v>0</v>
      </c>
      <c r="AD8" s="21">
        <v>0</v>
      </c>
      <c r="AE8" s="139" t="str">
        <f t="shared" ref="AE8" si="46">IF(AD8=0,"-",AC8/AD8)</f>
        <v>-</v>
      </c>
      <c r="AF8" s="20">
        <v>0</v>
      </c>
      <c r="AG8" s="21">
        <v>0</v>
      </c>
      <c r="AH8" s="139" t="str">
        <f t="shared" ref="AH8" si="47">IF(AG8=0,"-",AF8/AG8)</f>
        <v>-</v>
      </c>
      <c r="AI8" s="23">
        <v>0</v>
      </c>
      <c r="AJ8" s="21">
        <v>0</v>
      </c>
      <c r="AK8" s="139" t="str">
        <f t="shared" ref="AK8" si="48">IF(AJ8=0,"-",AI8/AJ8)</f>
        <v>-</v>
      </c>
      <c r="AL8" s="23">
        <v>7</v>
      </c>
      <c r="AM8" s="21">
        <v>1</v>
      </c>
      <c r="AN8" s="139">
        <f t="shared" si="34"/>
        <v>7</v>
      </c>
      <c r="AO8" s="20">
        <v>0</v>
      </c>
      <c r="AP8" s="21">
        <v>0</v>
      </c>
      <c r="AQ8" s="139" t="str">
        <f t="shared" si="35"/>
        <v>-</v>
      </c>
      <c r="AR8" s="20">
        <v>0</v>
      </c>
      <c r="AS8" s="20">
        <v>0</v>
      </c>
      <c r="AT8" s="139" t="str">
        <f t="shared" si="36"/>
        <v>-</v>
      </c>
      <c r="AU8" s="20">
        <v>0</v>
      </c>
      <c r="AV8" s="20">
        <v>0</v>
      </c>
      <c r="AW8" s="139" t="str">
        <f t="shared" si="37"/>
        <v>-</v>
      </c>
      <c r="AX8" s="20">
        <v>0</v>
      </c>
      <c r="AY8" s="21">
        <v>0</v>
      </c>
      <c r="AZ8" s="139" t="str">
        <f t="shared" si="38"/>
        <v>-</v>
      </c>
      <c r="BA8" s="20">
        <v>26</v>
      </c>
      <c r="BB8" s="21">
        <v>3</v>
      </c>
      <c r="BC8" s="122">
        <f t="shared" ref="BC8:BC33" si="49">IF(BB8=0,"",BA8/BB8)</f>
        <v>8.6666666666666661</v>
      </c>
      <c r="BD8" s="20">
        <v>0</v>
      </c>
      <c r="BE8" s="21">
        <v>0</v>
      </c>
      <c r="BF8" s="139" t="str">
        <f t="shared" si="40"/>
        <v>-</v>
      </c>
      <c r="BG8" s="20">
        <v>0</v>
      </c>
      <c r="BH8" s="21">
        <v>0</v>
      </c>
      <c r="BI8" s="139" t="str">
        <f t="shared" si="41"/>
        <v>-</v>
      </c>
      <c r="BJ8" s="20">
        <v>0</v>
      </c>
      <c r="BK8" s="21">
        <v>0</v>
      </c>
      <c r="BL8" s="139" t="str">
        <f t="shared" si="42"/>
        <v>-</v>
      </c>
      <c r="BM8" s="117">
        <f t="shared" si="22"/>
        <v>515</v>
      </c>
      <c r="BN8" s="120">
        <f t="shared" si="22"/>
        <v>80</v>
      </c>
      <c r="BO8" s="147">
        <f t="shared" si="23"/>
        <v>6.4375</v>
      </c>
    </row>
    <row r="9" spans="1:67" ht="15" thickBot="1" x14ac:dyDescent="0.35">
      <c r="A9" s="1">
        <v>45296</v>
      </c>
      <c r="B9" s="20">
        <v>68</v>
      </c>
      <c r="C9" s="21">
        <v>7</v>
      </c>
      <c r="D9" s="122">
        <f t="shared" si="24"/>
        <v>9.7142857142857135</v>
      </c>
      <c r="E9" s="20">
        <v>0</v>
      </c>
      <c r="F9" s="21">
        <v>0</v>
      </c>
      <c r="G9" s="139" t="s">
        <v>32</v>
      </c>
      <c r="H9" s="20">
        <v>6</v>
      </c>
      <c r="I9" s="21">
        <v>1</v>
      </c>
      <c r="J9" s="122">
        <f t="shared" si="26"/>
        <v>6</v>
      </c>
      <c r="K9" s="20">
        <v>0</v>
      </c>
      <c r="L9" s="21">
        <v>0</v>
      </c>
      <c r="M9" s="139" t="s">
        <v>32</v>
      </c>
      <c r="N9" s="23">
        <v>21</v>
      </c>
      <c r="O9" s="21">
        <v>4</v>
      </c>
      <c r="P9" s="122">
        <f t="shared" si="20"/>
        <v>5.25</v>
      </c>
      <c r="Q9" s="20">
        <v>461</v>
      </c>
      <c r="R9" s="21">
        <v>70</v>
      </c>
      <c r="S9" s="122">
        <f t="shared" si="21"/>
        <v>6.5857142857142854</v>
      </c>
      <c r="T9" s="20">
        <v>0</v>
      </c>
      <c r="U9" s="21">
        <v>0</v>
      </c>
      <c r="V9" s="139" t="str">
        <f t="shared" ref="V9:V11" si="50">IF(U9=0,"-",T9/U9)</f>
        <v>-</v>
      </c>
      <c r="W9" s="20">
        <v>9</v>
      </c>
      <c r="X9" s="21">
        <v>1</v>
      </c>
      <c r="Y9" s="122">
        <f t="shared" ref="Y9:Y29" si="51">IF(X9=0,"",W9/X9)</f>
        <v>9</v>
      </c>
      <c r="Z9" s="23">
        <v>0</v>
      </c>
      <c r="AA9" s="21">
        <v>0</v>
      </c>
      <c r="AB9" s="139" t="str">
        <f t="shared" ref="AB9" si="52">IF(AA9=0,"-",Z9/AA9)</f>
        <v>-</v>
      </c>
      <c r="AC9" s="23">
        <v>2</v>
      </c>
      <c r="AD9" s="21">
        <v>1</v>
      </c>
      <c r="AE9" s="122">
        <f t="shared" si="31"/>
        <v>2</v>
      </c>
      <c r="AF9" s="20">
        <v>0</v>
      </c>
      <c r="AG9" s="21">
        <v>0</v>
      </c>
      <c r="AH9" s="139" t="str">
        <f t="shared" ref="AH9" si="53">IF(AG9=0,"-",AF9/AG9)</f>
        <v>-</v>
      </c>
      <c r="AI9" s="23">
        <v>9</v>
      </c>
      <c r="AJ9" s="21">
        <v>2</v>
      </c>
      <c r="AK9" s="122">
        <f t="shared" ref="AK9:AK20" si="54">IF(AJ9=0,"",AI9/AJ9)</f>
        <v>4.5</v>
      </c>
      <c r="AL9" s="23">
        <v>7</v>
      </c>
      <c r="AM9" s="21">
        <v>1</v>
      </c>
      <c r="AN9" s="122">
        <f t="shared" ref="AN9:AN33" si="55">IF(AM9=0,"",AL9/AM9)</f>
        <v>7</v>
      </c>
      <c r="AO9" s="20">
        <v>7</v>
      </c>
      <c r="AP9" s="21">
        <v>1</v>
      </c>
      <c r="AQ9" s="122">
        <f t="shared" ref="AQ9:AQ32" si="56">IF(AP9=0,"",AO9/AP9)</f>
        <v>7</v>
      </c>
      <c r="AR9" s="20">
        <v>7</v>
      </c>
      <c r="AS9" s="21">
        <v>1</v>
      </c>
      <c r="AT9" s="122">
        <f t="shared" ref="AT9:AT33" si="57">IF(AS9=0,"",AR9/AS9)</f>
        <v>7</v>
      </c>
      <c r="AU9" s="20">
        <v>0</v>
      </c>
      <c r="AV9" s="20">
        <v>0</v>
      </c>
      <c r="AW9" s="139" t="str">
        <f t="shared" ref="AW9:AW10" si="58">IF(AV9=0,"-",AU9/AV9)</f>
        <v>-</v>
      </c>
      <c r="AX9" s="20">
        <v>0</v>
      </c>
      <c r="AY9" s="21">
        <v>0</v>
      </c>
      <c r="AZ9" s="139" t="str">
        <f t="shared" ref="AZ9:AZ12" si="59">IF(AY9=0,"-",AX9/AY9)</f>
        <v>-</v>
      </c>
      <c r="BA9" s="20">
        <v>9</v>
      </c>
      <c r="BB9" s="21">
        <v>1</v>
      </c>
      <c r="BC9" s="122">
        <f t="shared" si="49"/>
        <v>9</v>
      </c>
      <c r="BD9" s="20">
        <v>0</v>
      </c>
      <c r="BE9" s="21">
        <v>0</v>
      </c>
      <c r="BF9" s="139" t="str">
        <f t="shared" ref="BF9:BF11" si="60">IF(BE9=0,"-",BD9/BE9)</f>
        <v>-</v>
      </c>
      <c r="BG9" s="20">
        <v>0</v>
      </c>
      <c r="BH9" s="21">
        <v>0</v>
      </c>
      <c r="BI9" s="139" t="str">
        <f t="shared" ref="BI9:BI11" si="61">IF(BH9=0,"-",BG9/BH9)</f>
        <v>-</v>
      </c>
      <c r="BJ9" s="20">
        <v>0</v>
      </c>
      <c r="BK9" s="21">
        <v>0</v>
      </c>
      <c r="BL9" s="139" t="str">
        <f t="shared" ref="BL9:BL11" si="62">IF(BK9=0,"-",BJ9/BK9)</f>
        <v>-</v>
      </c>
      <c r="BM9" s="117">
        <f t="shared" si="22"/>
        <v>606</v>
      </c>
      <c r="BN9" s="120">
        <f t="shared" si="22"/>
        <v>90</v>
      </c>
      <c r="BO9" s="147">
        <f t="shared" si="23"/>
        <v>6.7333333333333334</v>
      </c>
    </row>
    <row r="10" spans="1:67" ht="15" thickBot="1" x14ac:dyDescent="0.35">
      <c r="A10" s="1">
        <v>45297</v>
      </c>
      <c r="B10" s="20">
        <v>17</v>
      </c>
      <c r="C10" s="21">
        <v>2</v>
      </c>
      <c r="D10" s="122">
        <f>IF(C10=0,"",B10/C10)</f>
        <v>8.5</v>
      </c>
      <c r="E10" s="20">
        <v>0</v>
      </c>
      <c r="F10" s="21">
        <v>0</v>
      </c>
      <c r="G10" s="139" t="s">
        <v>32</v>
      </c>
      <c r="H10" s="20">
        <v>0</v>
      </c>
      <c r="I10" s="21">
        <v>0</v>
      </c>
      <c r="J10" s="139" t="s">
        <v>32</v>
      </c>
      <c r="K10" s="20">
        <v>0</v>
      </c>
      <c r="L10" s="21">
        <v>0</v>
      </c>
      <c r="M10" s="139" t="s">
        <v>32</v>
      </c>
      <c r="N10" s="23">
        <v>5</v>
      </c>
      <c r="O10" s="21">
        <v>1</v>
      </c>
      <c r="P10" s="122">
        <f t="shared" si="20"/>
        <v>5</v>
      </c>
      <c r="Q10" s="20">
        <v>413</v>
      </c>
      <c r="R10" s="21">
        <v>68</v>
      </c>
      <c r="S10" s="122">
        <f t="shared" si="21"/>
        <v>6.0735294117647056</v>
      </c>
      <c r="T10" s="20">
        <v>0</v>
      </c>
      <c r="U10" s="21">
        <v>0</v>
      </c>
      <c r="V10" s="139" t="str">
        <f t="shared" si="50"/>
        <v>-</v>
      </c>
      <c r="W10" s="20">
        <v>6</v>
      </c>
      <c r="X10" s="21">
        <v>1</v>
      </c>
      <c r="Y10" s="122">
        <f t="shared" si="51"/>
        <v>6</v>
      </c>
      <c r="Z10" s="23">
        <v>0</v>
      </c>
      <c r="AA10" s="21">
        <v>0</v>
      </c>
      <c r="AB10" s="139" t="str">
        <f t="shared" ref="AB10" si="63">IF(AA10=0,"-",Z10/AA10)</f>
        <v>-</v>
      </c>
      <c r="AC10" s="20">
        <v>0</v>
      </c>
      <c r="AD10" s="21">
        <v>0</v>
      </c>
      <c r="AE10" s="139" t="str">
        <f t="shared" ref="AE10" si="64">IF(AD10=0,"-",AC10/AD10)</f>
        <v>-</v>
      </c>
      <c r="AF10" s="20">
        <v>0</v>
      </c>
      <c r="AG10" s="21">
        <v>0</v>
      </c>
      <c r="AH10" s="139" t="str">
        <f t="shared" ref="AH10" si="65">IF(AG10=0,"-",AF10/AG10)</f>
        <v>-</v>
      </c>
      <c r="AI10" s="23">
        <v>3</v>
      </c>
      <c r="AJ10" s="21">
        <v>1</v>
      </c>
      <c r="AK10" s="122">
        <f t="shared" ref="AK10" si="66">IF(AJ10=0,"",AI10/AJ10)</f>
        <v>3</v>
      </c>
      <c r="AL10" s="23">
        <v>28</v>
      </c>
      <c r="AM10" s="21">
        <v>4</v>
      </c>
      <c r="AN10" s="122">
        <f t="shared" si="55"/>
        <v>7</v>
      </c>
      <c r="AO10" s="20">
        <v>8</v>
      </c>
      <c r="AP10" s="21">
        <v>1</v>
      </c>
      <c r="AQ10" s="122">
        <f t="shared" si="56"/>
        <v>8</v>
      </c>
      <c r="AR10" s="20">
        <v>45</v>
      </c>
      <c r="AS10" s="21">
        <v>6</v>
      </c>
      <c r="AT10" s="122">
        <f t="shared" si="57"/>
        <v>7.5</v>
      </c>
      <c r="AU10" s="20">
        <v>0</v>
      </c>
      <c r="AV10" s="20">
        <v>0</v>
      </c>
      <c r="AW10" s="139" t="str">
        <f t="shared" si="58"/>
        <v>-</v>
      </c>
      <c r="AX10" s="20">
        <v>0</v>
      </c>
      <c r="AY10" s="21">
        <v>0</v>
      </c>
      <c r="AZ10" s="139" t="str">
        <f t="shared" si="59"/>
        <v>-</v>
      </c>
      <c r="BA10" s="20">
        <v>5</v>
      </c>
      <c r="BB10" s="21">
        <v>1</v>
      </c>
      <c r="BC10" s="122">
        <f t="shared" si="49"/>
        <v>5</v>
      </c>
      <c r="BD10" s="20">
        <v>0</v>
      </c>
      <c r="BE10" s="21">
        <v>0</v>
      </c>
      <c r="BF10" s="139" t="str">
        <f t="shared" si="60"/>
        <v>-</v>
      </c>
      <c r="BG10" s="20">
        <v>0</v>
      </c>
      <c r="BH10" s="21">
        <v>0</v>
      </c>
      <c r="BI10" s="139" t="str">
        <f t="shared" si="61"/>
        <v>-</v>
      </c>
      <c r="BJ10" s="20">
        <v>0</v>
      </c>
      <c r="BK10" s="21">
        <v>0</v>
      </c>
      <c r="BL10" s="139" t="str">
        <f t="shared" si="62"/>
        <v>-</v>
      </c>
      <c r="BM10" s="117">
        <f t="shared" si="22"/>
        <v>530</v>
      </c>
      <c r="BN10" s="120">
        <f t="shared" si="22"/>
        <v>85</v>
      </c>
      <c r="BO10" s="147">
        <f t="shared" si="23"/>
        <v>6.2352941176470589</v>
      </c>
    </row>
    <row r="11" spans="1:67" ht="15" thickBot="1" x14ac:dyDescent="0.35">
      <c r="A11" s="1">
        <v>45298</v>
      </c>
      <c r="B11" s="20">
        <v>18</v>
      </c>
      <c r="C11" s="21">
        <v>2</v>
      </c>
      <c r="D11" s="122">
        <f t="shared" si="24"/>
        <v>9</v>
      </c>
      <c r="E11" s="20">
        <v>8</v>
      </c>
      <c r="F11" s="21">
        <v>1</v>
      </c>
      <c r="G11" s="122">
        <f t="shared" si="25"/>
        <v>8</v>
      </c>
      <c r="H11" s="20">
        <v>0</v>
      </c>
      <c r="I11" s="21">
        <v>0</v>
      </c>
      <c r="J11" s="139" t="s">
        <v>32</v>
      </c>
      <c r="K11" s="20">
        <v>0</v>
      </c>
      <c r="L11" s="21">
        <v>0</v>
      </c>
      <c r="M11" s="139" t="s">
        <v>32</v>
      </c>
      <c r="N11" s="20">
        <v>4</v>
      </c>
      <c r="O11" s="21">
        <v>1</v>
      </c>
      <c r="P11" s="122">
        <f t="shared" si="20"/>
        <v>4</v>
      </c>
      <c r="Q11" s="20">
        <v>218</v>
      </c>
      <c r="R11" s="21">
        <v>37</v>
      </c>
      <c r="S11" s="122">
        <f t="shared" si="21"/>
        <v>5.8918918918918921</v>
      </c>
      <c r="T11" s="20">
        <v>0</v>
      </c>
      <c r="U11" s="21">
        <v>0</v>
      </c>
      <c r="V11" s="139" t="str">
        <f t="shared" si="50"/>
        <v>-</v>
      </c>
      <c r="W11" s="20">
        <v>0</v>
      </c>
      <c r="X11" s="21">
        <v>0</v>
      </c>
      <c r="Y11" s="139" t="str">
        <f t="shared" ref="Y11" si="67">IF(X11=0,"-",W11/X11)</f>
        <v>-</v>
      </c>
      <c r="Z11" s="20">
        <v>0</v>
      </c>
      <c r="AA11" s="21">
        <v>0</v>
      </c>
      <c r="AB11" s="139" t="str">
        <f t="shared" ref="AB11" si="68">IF(AA11=0,"-",Z11/AA11)</f>
        <v>-</v>
      </c>
      <c r="AC11" s="20">
        <v>0</v>
      </c>
      <c r="AD11" s="21">
        <v>0</v>
      </c>
      <c r="AE11" s="139" t="str">
        <f t="shared" ref="AE11" si="69">IF(AD11=0,"-",AC11/AD11)</f>
        <v>-</v>
      </c>
      <c r="AF11" s="20">
        <v>0</v>
      </c>
      <c r="AG11" s="21">
        <v>0</v>
      </c>
      <c r="AH11" s="139" t="str">
        <f t="shared" ref="AH11" si="70">IF(AG11=0,"-",AF11/AG11)</f>
        <v>-</v>
      </c>
      <c r="AI11" s="20">
        <v>0</v>
      </c>
      <c r="AJ11" s="21">
        <v>0</v>
      </c>
      <c r="AK11" s="139" t="str">
        <f t="shared" ref="AK11" si="71">IF(AJ11=0,"-",AI11/AJ11)</f>
        <v>-</v>
      </c>
      <c r="AL11" s="23">
        <v>14</v>
      </c>
      <c r="AM11" s="21">
        <v>2</v>
      </c>
      <c r="AN11" s="122">
        <f t="shared" si="55"/>
        <v>7</v>
      </c>
      <c r="AO11" s="20">
        <v>7</v>
      </c>
      <c r="AP11" s="21">
        <v>1</v>
      </c>
      <c r="AQ11" s="122">
        <f t="shared" si="56"/>
        <v>7</v>
      </c>
      <c r="AR11" s="20">
        <v>0</v>
      </c>
      <c r="AS11" s="21">
        <v>0</v>
      </c>
      <c r="AT11" s="122" t="s">
        <v>32</v>
      </c>
      <c r="AU11" s="23">
        <v>14</v>
      </c>
      <c r="AV11" s="21">
        <v>2</v>
      </c>
      <c r="AW11" s="122">
        <f t="shared" ref="AW11:AW25" si="72">IF(AV11=0,"",AU11/AV11)</f>
        <v>7</v>
      </c>
      <c r="AX11" s="20">
        <v>0</v>
      </c>
      <c r="AY11" s="21">
        <v>0</v>
      </c>
      <c r="AZ11" s="139" t="str">
        <f t="shared" si="59"/>
        <v>-</v>
      </c>
      <c r="BA11" s="20">
        <v>6</v>
      </c>
      <c r="BB11" s="21">
        <v>1</v>
      </c>
      <c r="BC11" s="122">
        <f t="shared" si="49"/>
        <v>6</v>
      </c>
      <c r="BD11" s="20">
        <v>0</v>
      </c>
      <c r="BE11" s="21">
        <v>0</v>
      </c>
      <c r="BF11" s="139" t="str">
        <f t="shared" si="60"/>
        <v>-</v>
      </c>
      <c r="BG11" s="20">
        <v>0</v>
      </c>
      <c r="BH11" s="21">
        <v>0</v>
      </c>
      <c r="BI11" s="139" t="str">
        <f t="shared" si="61"/>
        <v>-</v>
      </c>
      <c r="BJ11" s="20">
        <v>0</v>
      </c>
      <c r="BK11" s="21">
        <v>0</v>
      </c>
      <c r="BL11" s="139" t="str">
        <f t="shared" si="62"/>
        <v>-</v>
      </c>
      <c r="BM11" s="117">
        <f t="shared" si="22"/>
        <v>289</v>
      </c>
      <c r="BN11" s="120">
        <f t="shared" si="22"/>
        <v>47</v>
      </c>
      <c r="BO11" s="147">
        <f t="shared" si="23"/>
        <v>6.1489361702127656</v>
      </c>
    </row>
    <row r="12" spans="1:67" ht="15" thickBot="1" x14ac:dyDescent="0.35">
      <c r="A12" s="1">
        <v>45299</v>
      </c>
      <c r="B12" s="20">
        <v>38</v>
      </c>
      <c r="C12" s="21">
        <v>4</v>
      </c>
      <c r="D12" s="122">
        <f t="shared" si="24"/>
        <v>9.5</v>
      </c>
      <c r="E12" s="20">
        <v>0</v>
      </c>
      <c r="F12" s="21">
        <v>0</v>
      </c>
      <c r="G12" s="139" t="s">
        <v>32</v>
      </c>
      <c r="H12" s="20">
        <v>0</v>
      </c>
      <c r="I12" s="21">
        <v>0</v>
      </c>
      <c r="J12" s="139" t="s">
        <v>32</v>
      </c>
      <c r="K12" s="20">
        <v>0</v>
      </c>
      <c r="L12" s="21">
        <v>0</v>
      </c>
      <c r="M12" s="139" t="s">
        <v>32</v>
      </c>
      <c r="N12" s="23">
        <v>22</v>
      </c>
      <c r="O12" s="21">
        <v>4</v>
      </c>
      <c r="P12" s="122">
        <f t="shared" si="20"/>
        <v>5.5</v>
      </c>
      <c r="Q12" s="125">
        <v>16</v>
      </c>
      <c r="R12" s="126">
        <v>3</v>
      </c>
      <c r="S12" s="122">
        <f t="shared" si="21"/>
        <v>5.333333333333333</v>
      </c>
      <c r="T12" s="20">
        <v>0</v>
      </c>
      <c r="U12" s="21">
        <v>0</v>
      </c>
      <c r="V12" s="139" t="str">
        <f t="shared" ref="V12" si="73">IF(U12=0,"-",T12/U12)</f>
        <v>-</v>
      </c>
      <c r="W12" s="20">
        <v>0</v>
      </c>
      <c r="X12" s="21">
        <v>0</v>
      </c>
      <c r="Y12" s="139" t="str">
        <f t="shared" ref="Y12" si="74">IF(X12=0,"-",W12/X12)</f>
        <v>-</v>
      </c>
      <c r="Z12" s="20">
        <v>0</v>
      </c>
      <c r="AA12" s="21">
        <v>0</v>
      </c>
      <c r="AB12" s="139" t="str">
        <f t="shared" ref="AB12" si="75">IF(AA12=0,"-",Z12/AA12)</f>
        <v>-</v>
      </c>
      <c r="AC12" s="20">
        <v>0</v>
      </c>
      <c r="AD12" s="21">
        <v>0</v>
      </c>
      <c r="AE12" s="139" t="str">
        <f t="shared" ref="AE12" si="76">IF(AD12=0,"-",AC12/AD12)</f>
        <v>-</v>
      </c>
      <c r="AF12" s="20">
        <v>0</v>
      </c>
      <c r="AG12" s="21">
        <v>0</v>
      </c>
      <c r="AH12" s="139" t="str">
        <f t="shared" ref="AH12" si="77">IF(AG12=0,"-",AF12/AG12)</f>
        <v>-</v>
      </c>
      <c r="AI12" s="20">
        <v>6</v>
      </c>
      <c r="AJ12" s="21">
        <v>1</v>
      </c>
      <c r="AK12" s="139">
        <f t="shared" ref="AK12" si="78">IF(AJ12=0,"-",AI12/AJ12)</f>
        <v>6</v>
      </c>
      <c r="AL12" s="23">
        <v>56</v>
      </c>
      <c r="AM12" s="21">
        <v>8</v>
      </c>
      <c r="AN12" s="122">
        <f t="shared" si="55"/>
        <v>7</v>
      </c>
      <c r="AO12" s="20">
        <v>0</v>
      </c>
      <c r="AP12" s="21">
        <v>0</v>
      </c>
      <c r="AQ12" s="139" t="str">
        <f t="shared" ref="AQ12" si="79">IF(AP12=0,"-",AO12/AP12)</f>
        <v>-</v>
      </c>
      <c r="AR12" s="20">
        <v>0</v>
      </c>
      <c r="AS12" s="21">
        <v>0</v>
      </c>
      <c r="AT12" s="139" t="str">
        <f t="shared" ref="AT12" si="80">IF(AS12=0,"-",AR12/AS12)</f>
        <v>-</v>
      </c>
      <c r="AU12" s="20">
        <v>0</v>
      </c>
      <c r="AV12" s="21">
        <v>0</v>
      </c>
      <c r="AW12" s="139" t="str">
        <f t="shared" ref="AW12" si="81">IF(AV12=0,"-",AU12/AV12)</f>
        <v>-</v>
      </c>
      <c r="AX12" s="20">
        <v>0</v>
      </c>
      <c r="AY12" s="21">
        <v>0</v>
      </c>
      <c r="AZ12" s="139" t="str">
        <f t="shared" si="59"/>
        <v>-</v>
      </c>
      <c r="BA12" s="20">
        <v>43</v>
      </c>
      <c r="BB12" s="21">
        <v>6</v>
      </c>
      <c r="BC12" s="122">
        <f t="shared" si="49"/>
        <v>7.166666666666667</v>
      </c>
      <c r="BD12" s="20">
        <v>0</v>
      </c>
      <c r="BE12" s="21">
        <v>0</v>
      </c>
      <c r="BF12" s="139" t="str">
        <f t="shared" ref="BF12" si="82">IF(BE12=0,"-",BD12/BE12)</f>
        <v>-</v>
      </c>
      <c r="BG12" s="20">
        <v>0</v>
      </c>
      <c r="BH12" s="21">
        <v>0</v>
      </c>
      <c r="BI12" s="139" t="str">
        <f t="shared" ref="BI12" si="83">IF(BH12=0,"-",BG12/BH12)</f>
        <v>-</v>
      </c>
      <c r="BJ12" s="20">
        <v>0</v>
      </c>
      <c r="BK12" s="21">
        <v>0</v>
      </c>
      <c r="BL12" s="139" t="str">
        <f t="shared" ref="BL12" si="84">IF(BK12=0,"-",BJ12/BK12)</f>
        <v>-</v>
      </c>
      <c r="BM12" s="117">
        <f t="shared" si="22"/>
        <v>181</v>
      </c>
      <c r="BN12" s="120">
        <f t="shared" si="22"/>
        <v>26</v>
      </c>
      <c r="BO12" s="147">
        <f t="shared" si="23"/>
        <v>6.9615384615384617</v>
      </c>
    </row>
    <row r="13" spans="1:67" ht="15" thickBot="1" x14ac:dyDescent="0.35">
      <c r="A13" s="1">
        <v>45300</v>
      </c>
      <c r="B13" s="20">
        <v>120</v>
      </c>
      <c r="C13" s="21">
        <v>13</v>
      </c>
      <c r="D13" s="122">
        <f t="shared" si="24"/>
        <v>9.2307692307692299</v>
      </c>
      <c r="E13" s="23">
        <v>9</v>
      </c>
      <c r="F13" s="21">
        <v>1</v>
      </c>
      <c r="G13" s="122">
        <f t="shared" si="25"/>
        <v>9</v>
      </c>
      <c r="H13" s="20">
        <v>0</v>
      </c>
      <c r="I13" s="21">
        <v>0</v>
      </c>
      <c r="J13" s="139" t="s">
        <v>32</v>
      </c>
      <c r="K13" s="20">
        <v>0</v>
      </c>
      <c r="L13" s="21">
        <v>0</v>
      </c>
      <c r="M13" s="139" t="s">
        <v>32</v>
      </c>
      <c r="N13" s="23">
        <v>49</v>
      </c>
      <c r="O13" s="21">
        <v>8</v>
      </c>
      <c r="P13" s="122">
        <f t="shared" si="20"/>
        <v>6.125</v>
      </c>
      <c r="Q13" s="125">
        <v>4</v>
      </c>
      <c r="R13" s="126">
        <v>1</v>
      </c>
      <c r="S13" s="122">
        <f t="shared" si="21"/>
        <v>4</v>
      </c>
      <c r="T13" s="20">
        <v>0</v>
      </c>
      <c r="U13" s="21">
        <v>0</v>
      </c>
      <c r="V13" s="139" t="str">
        <f t="shared" ref="V13" si="85">IF(U13=0,"-",T13/U13)</f>
        <v>-</v>
      </c>
      <c r="W13" s="23">
        <v>6</v>
      </c>
      <c r="X13" s="21">
        <v>1</v>
      </c>
      <c r="Y13" s="122">
        <f t="shared" si="51"/>
        <v>6</v>
      </c>
      <c r="Z13" s="20">
        <v>0</v>
      </c>
      <c r="AA13" s="21">
        <v>0</v>
      </c>
      <c r="AB13" s="139" t="str">
        <f t="shared" ref="AB13" si="86">IF(AA13=0,"-",Z13/AA13)</f>
        <v>-</v>
      </c>
      <c r="AC13" s="23">
        <v>8</v>
      </c>
      <c r="AD13" s="21">
        <v>1</v>
      </c>
      <c r="AE13" s="122">
        <f t="shared" ref="AE13:AE23" si="87">IF(AD13=0,"",AC13/AD13)</f>
        <v>8</v>
      </c>
      <c r="AF13" s="20">
        <v>0</v>
      </c>
      <c r="AG13" s="21">
        <v>0</v>
      </c>
      <c r="AH13" s="139" t="str">
        <f t="shared" ref="AH13" si="88">IF(AG13=0,"-",AF13/AG13)</f>
        <v>-</v>
      </c>
      <c r="AI13" s="23">
        <v>2</v>
      </c>
      <c r="AJ13" s="21">
        <v>1</v>
      </c>
      <c r="AK13" s="122">
        <f t="shared" si="54"/>
        <v>2</v>
      </c>
      <c r="AL13" s="23">
        <v>7</v>
      </c>
      <c r="AM13" s="21">
        <v>1</v>
      </c>
      <c r="AN13" s="122">
        <f t="shared" si="55"/>
        <v>7</v>
      </c>
      <c r="AO13" s="20">
        <v>0</v>
      </c>
      <c r="AP13" s="21">
        <v>0</v>
      </c>
      <c r="AQ13" s="139" t="str">
        <f t="shared" ref="AQ13" si="89">IF(AP13=0,"-",AO13/AP13)</f>
        <v>-</v>
      </c>
      <c r="AR13" s="20">
        <v>0</v>
      </c>
      <c r="AS13" s="21">
        <v>0</v>
      </c>
      <c r="AT13" s="139" t="str">
        <f t="shared" ref="AT13" si="90">IF(AS13=0,"-",AR13/AS13)</f>
        <v>-</v>
      </c>
      <c r="AU13" s="20">
        <v>0</v>
      </c>
      <c r="AV13" s="21">
        <v>0</v>
      </c>
      <c r="AW13" s="139" t="str">
        <f t="shared" ref="AW13" si="91">IF(AV13=0,"-",AU13/AV13)</f>
        <v>-</v>
      </c>
      <c r="AX13" s="20">
        <v>0</v>
      </c>
      <c r="AY13" s="21">
        <v>0</v>
      </c>
      <c r="AZ13" s="139" t="str">
        <f t="shared" ref="AZ13" si="92">IF(AY13=0,"-",AX13/AY13)</f>
        <v>-</v>
      </c>
      <c r="BA13" s="20">
        <v>0</v>
      </c>
      <c r="BB13" s="21">
        <v>0</v>
      </c>
      <c r="BC13" s="139" t="str">
        <f t="shared" ref="BC13" si="93">IF(BB13=0,"-",BA13/BB13)</f>
        <v>-</v>
      </c>
      <c r="BD13" s="20">
        <v>0</v>
      </c>
      <c r="BE13" s="21">
        <v>0</v>
      </c>
      <c r="BF13" s="139" t="str">
        <f t="shared" ref="BF13" si="94">IF(BE13=0,"-",BD13/BE13)</f>
        <v>-</v>
      </c>
      <c r="BG13" s="20">
        <v>0</v>
      </c>
      <c r="BH13" s="21">
        <v>0</v>
      </c>
      <c r="BI13" s="139" t="str">
        <f t="shared" ref="BI13" si="95">IF(BH13=0,"-",BG13/BH13)</f>
        <v>-</v>
      </c>
      <c r="BJ13" s="20">
        <v>0</v>
      </c>
      <c r="BK13" s="21">
        <v>0</v>
      </c>
      <c r="BL13" s="139" t="str">
        <f t="shared" ref="BL13" si="96">IF(BK13=0,"-",BJ13/BK13)</f>
        <v>-</v>
      </c>
      <c r="BM13" s="117">
        <f t="shared" si="22"/>
        <v>205</v>
      </c>
      <c r="BN13" s="120">
        <f t="shared" si="22"/>
        <v>27</v>
      </c>
      <c r="BO13" s="147">
        <f t="shared" si="23"/>
        <v>7.5925925925925926</v>
      </c>
    </row>
    <row r="14" spans="1:67" ht="15" thickBot="1" x14ac:dyDescent="0.35">
      <c r="A14" s="1">
        <v>45301</v>
      </c>
      <c r="B14" s="20">
        <v>45</v>
      </c>
      <c r="C14" s="21">
        <v>5</v>
      </c>
      <c r="D14" s="122">
        <f t="shared" si="24"/>
        <v>9</v>
      </c>
      <c r="E14" s="23">
        <v>0</v>
      </c>
      <c r="F14" s="21">
        <v>0</v>
      </c>
      <c r="G14" s="139" t="s">
        <v>32</v>
      </c>
      <c r="H14" s="20">
        <v>4</v>
      </c>
      <c r="I14" s="21">
        <v>1</v>
      </c>
      <c r="J14" s="122">
        <f t="shared" si="26"/>
        <v>4</v>
      </c>
      <c r="K14" s="23">
        <v>2</v>
      </c>
      <c r="L14" s="21">
        <v>1</v>
      </c>
      <c r="M14" s="122">
        <f t="shared" si="43"/>
        <v>2</v>
      </c>
      <c r="N14" s="125">
        <v>35</v>
      </c>
      <c r="O14" s="126">
        <v>6</v>
      </c>
      <c r="P14" s="122">
        <f t="shared" si="20"/>
        <v>5.833333333333333</v>
      </c>
      <c r="Q14" s="125">
        <v>217</v>
      </c>
      <c r="R14" s="126">
        <v>47</v>
      </c>
      <c r="S14" s="122">
        <f t="shared" si="21"/>
        <v>4.6170212765957448</v>
      </c>
      <c r="T14" s="125">
        <v>6</v>
      </c>
      <c r="U14" s="126">
        <v>1</v>
      </c>
      <c r="V14" s="122">
        <f t="shared" ref="V14:V25" si="97">IF(U14=0,"",T14/U14)</f>
        <v>6</v>
      </c>
      <c r="W14" s="20">
        <v>0</v>
      </c>
      <c r="X14" s="21">
        <v>0</v>
      </c>
      <c r="Y14" s="139" t="str">
        <f t="shared" ref="Y14" si="98">IF(X14=0,"-",W14/X14)</f>
        <v>-</v>
      </c>
      <c r="Z14" s="20">
        <v>0</v>
      </c>
      <c r="AA14" s="21">
        <v>0</v>
      </c>
      <c r="AB14" s="139" t="str">
        <f t="shared" ref="AB14" si="99">IF(AA14=0,"-",Z14/AA14)</f>
        <v>-</v>
      </c>
      <c r="AC14" s="20">
        <v>3</v>
      </c>
      <c r="AD14" s="21">
        <v>1</v>
      </c>
      <c r="AE14" s="122">
        <f t="shared" si="87"/>
        <v>3</v>
      </c>
      <c r="AF14" s="20">
        <v>0</v>
      </c>
      <c r="AG14" s="21">
        <v>0</v>
      </c>
      <c r="AH14" s="139" t="str">
        <f t="shared" ref="AH14:AH15" si="100">IF(AG14=0,"-",AF14/AG14)</f>
        <v>-</v>
      </c>
      <c r="AI14" s="20">
        <v>0</v>
      </c>
      <c r="AJ14" s="21">
        <v>0</v>
      </c>
      <c r="AK14" s="139" t="str">
        <f t="shared" ref="AK14:AK15" si="101">IF(AJ14=0,"-",AI14/AJ14)</f>
        <v>-</v>
      </c>
      <c r="AL14" s="23">
        <v>0</v>
      </c>
      <c r="AM14" s="21">
        <v>0</v>
      </c>
      <c r="AN14" s="139" t="str">
        <f t="shared" ref="AN14" si="102">IF(AM14=0,"-",AL14/AM14)</f>
        <v>-</v>
      </c>
      <c r="AO14" s="20">
        <v>0</v>
      </c>
      <c r="AP14" s="21">
        <v>0</v>
      </c>
      <c r="AQ14" s="139" t="str">
        <f t="shared" ref="AQ14" si="103">IF(AP14=0,"-",AO14/AP14)</f>
        <v>-</v>
      </c>
      <c r="AR14" s="20">
        <v>0</v>
      </c>
      <c r="AS14" s="21">
        <v>0</v>
      </c>
      <c r="AT14" s="139" t="str">
        <f t="shared" ref="AT14" si="104">IF(AS14=0,"-",AR14/AS14)</f>
        <v>-</v>
      </c>
      <c r="AU14" s="20">
        <v>0</v>
      </c>
      <c r="AV14" s="21">
        <v>0</v>
      </c>
      <c r="AW14" s="139" t="str">
        <f t="shared" ref="AW14" si="105">IF(AV14=0,"-",AU14/AV14)</f>
        <v>-</v>
      </c>
      <c r="AX14" s="20">
        <v>0</v>
      </c>
      <c r="AY14" s="21">
        <v>0</v>
      </c>
      <c r="AZ14" s="139" t="str">
        <f t="shared" ref="AZ14" si="106">IF(AY14=0,"-",AX14/AY14)</f>
        <v>-</v>
      </c>
      <c r="BA14" s="20">
        <v>0</v>
      </c>
      <c r="BB14" s="21">
        <v>0</v>
      </c>
      <c r="BC14" s="139" t="str">
        <f t="shared" ref="BC14" si="107">IF(BB14=0,"-",BA14/BB14)</f>
        <v>-</v>
      </c>
      <c r="BD14" s="20">
        <v>0</v>
      </c>
      <c r="BE14" s="21">
        <v>0</v>
      </c>
      <c r="BF14" s="139" t="str">
        <f t="shared" ref="BF14" si="108">IF(BE14=0,"-",BD14/BE14)</f>
        <v>-</v>
      </c>
      <c r="BG14" s="20">
        <v>0</v>
      </c>
      <c r="BH14" s="21">
        <v>0</v>
      </c>
      <c r="BI14" s="139" t="str">
        <f t="shared" ref="BI14" si="109">IF(BH14=0,"-",BG14/BH14)</f>
        <v>-</v>
      </c>
      <c r="BJ14" s="20">
        <v>0</v>
      </c>
      <c r="BK14" s="21">
        <v>0</v>
      </c>
      <c r="BL14" s="139" t="str">
        <f t="shared" ref="BL14" si="110">IF(BK14=0,"-",BJ14/BK14)</f>
        <v>-</v>
      </c>
      <c r="BM14" s="117">
        <f t="shared" si="22"/>
        <v>306</v>
      </c>
      <c r="BN14" s="120">
        <f t="shared" si="22"/>
        <v>61</v>
      </c>
      <c r="BO14" s="147">
        <f t="shared" si="23"/>
        <v>5.0163934426229506</v>
      </c>
    </row>
    <row r="15" spans="1:67" ht="15" thickBot="1" x14ac:dyDescent="0.35">
      <c r="A15" s="1">
        <v>45302</v>
      </c>
      <c r="B15" s="20">
        <v>8</v>
      </c>
      <c r="C15" s="21">
        <v>1</v>
      </c>
      <c r="D15" s="122">
        <f t="shared" si="24"/>
        <v>8</v>
      </c>
      <c r="E15" s="23">
        <v>0</v>
      </c>
      <c r="F15" s="21">
        <v>0</v>
      </c>
      <c r="G15" s="139" t="s">
        <v>32</v>
      </c>
      <c r="H15" s="23">
        <v>0</v>
      </c>
      <c r="I15" s="21">
        <v>0</v>
      </c>
      <c r="J15" s="139" t="s">
        <v>32</v>
      </c>
      <c r="K15" s="23">
        <v>0</v>
      </c>
      <c r="L15" s="21">
        <v>0</v>
      </c>
      <c r="M15" s="139" t="s">
        <v>32</v>
      </c>
      <c r="N15" s="23">
        <v>43</v>
      </c>
      <c r="O15" s="21">
        <v>7</v>
      </c>
      <c r="P15" s="122">
        <f>IF(O15=0,"",N15/O15)</f>
        <v>6.1428571428571432</v>
      </c>
      <c r="Q15" s="20">
        <v>416</v>
      </c>
      <c r="R15" s="21">
        <v>60</v>
      </c>
      <c r="S15" s="122">
        <f t="shared" si="21"/>
        <v>6.9333333333333336</v>
      </c>
      <c r="T15" s="125">
        <v>0</v>
      </c>
      <c r="U15" s="126">
        <v>0</v>
      </c>
      <c r="V15" s="139" t="str">
        <f t="shared" ref="V15" si="111">IF(U15=0,"-",T15/U15)</f>
        <v>-</v>
      </c>
      <c r="W15" s="23">
        <v>4</v>
      </c>
      <c r="X15" s="21">
        <v>1</v>
      </c>
      <c r="Y15" s="122">
        <f t="shared" si="51"/>
        <v>4</v>
      </c>
      <c r="Z15" s="20">
        <v>0</v>
      </c>
      <c r="AA15" s="21">
        <v>0</v>
      </c>
      <c r="AB15" s="139" t="str">
        <f t="shared" ref="AB15" si="112">IF(AA15=0,"-",Z15/AA15)</f>
        <v>-</v>
      </c>
      <c r="AC15" s="20">
        <v>0</v>
      </c>
      <c r="AD15" s="21">
        <v>0</v>
      </c>
      <c r="AE15" s="139" t="str">
        <f t="shared" ref="AE15" si="113">IF(AD15=0,"-",AC15/AD15)</f>
        <v>-</v>
      </c>
      <c r="AF15" s="20">
        <v>0</v>
      </c>
      <c r="AG15" s="21">
        <v>0</v>
      </c>
      <c r="AH15" s="139" t="str">
        <f t="shared" si="100"/>
        <v>-</v>
      </c>
      <c r="AI15" s="20">
        <v>0</v>
      </c>
      <c r="AJ15" s="21">
        <v>0</v>
      </c>
      <c r="AK15" s="139" t="str">
        <f t="shared" si="101"/>
        <v>-</v>
      </c>
      <c r="AL15" s="23">
        <v>7</v>
      </c>
      <c r="AM15" s="21">
        <v>1</v>
      </c>
      <c r="AN15" s="122">
        <f t="shared" si="55"/>
        <v>7</v>
      </c>
      <c r="AO15" s="20">
        <v>0</v>
      </c>
      <c r="AP15" s="21">
        <v>0</v>
      </c>
      <c r="AQ15" s="139" t="str">
        <f t="shared" ref="AQ15" si="114">IF(AP15=0,"-",AO15/AP15)</f>
        <v>-</v>
      </c>
      <c r="AR15" s="20">
        <v>0</v>
      </c>
      <c r="AS15" s="21">
        <v>0</v>
      </c>
      <c r="AT15" s="139" t="str">
        <f t="shared" ref="AT15" si="115">IF(AS15=0,"-",AR15/AS15)</f>
        <v>-</v>
      </c>
      <c r="AU15" s="20">
        <v>0</v>
      </c>
      <c r="AV15" s="21">
        <v>0</v>
      </c>
      <c r="AW15" s="139" t="str">
        <f t="shared" ref="AW15" si="116">IF(AV15=0,"-",AU15/AV15)</f>
        <v>-</v>
      </c>
      <c r="AX15" s="20">
        <v>0</v>
      </c>
      <c r="AY15" s="21">
        <v>0</v>
      </c>
      <c r="AZ15" s="139" t="str">
        <f t="shared" ref="AZ15" si="117">IF(AY15=0,"-",AX15/AY15)</f>
        <v>-</v>
      </c>
      <c r="BA15" s="20">
        <v>0</v>
      </c>
      <c r="BB15" s="21">
        <v>0</v>
      </c>
      <c r="BC15" s="139" t="str">
        <f t="shared" ref="BC15" si="118">IF(BB15=0,"-",BA15/BB15)</f>
        <v>-</v>
      </c>
      <c r="BD15" s="20">
        <v>0</v>
      </c>
      <c r="BE15" s="21">
        <v>0</v>
      </c>
      <c r="BF15" s="139" t="str">
        <f t="shared" ref="BF15" si="119">IF(BE15=0,"-",BD15/BE15)</f>
        <v>-</v>
      </c>
      <c r="BG15" s="20">
        <v>0</v>
      </c>
      <c r="BH15" s="21">
        <v>0</v>
      </c>
      <c r="BI15" s="139" t="str">
        <f t="shared" ref="BI15" si="120">IF(BH15=0,"-",BG15/BH15)</f>
        <v>-</v>
      </c>
      <c r="BJ15" s="20">
        <v>0</v>
      </c>
      <c r="BK15" s="21">
        <v>0</v>
      </c>
      <c r="BL15" s="139" t="str">
        <f t="shared" ref="BL15" si="121">IF(BK15=0,"-",BJ15/BK15)</f>
        <v>-</v>
      </c>
      <c r="BM15" s="117">
        <f t="shared" si="22"/>
        <v>478</v>
      </c>
      <c r="BN15" s="120">
        <f t="shared" si="22"/>
        <v>70</v>
      </c>
      <c r="BO15" s="147">
        <f t="shared" si="23"/>
        <v>6.8285714285714283</v>
      </c>
    </row>
    <row r="16" spans="1:67" ht="15" thickBot="1" x14ac:dyDescent="0.35">
      <c r="A16" s="1">
        <v>45303</v>
      </c>
      <c r="B16" s="20">
        <v>60</v>
      </c>
      <c r="C16" s="21">
        <v>7</v>
      </c>
      <c r="D16" s="122">
        <f>IF(C16=0,"",B16/C16)</f>
        <v>8.5714285714285712</v>
      </c>
      <c r="E16" s="23">
        <v>0</v>
      </c>
      <c r="F16" s="21">
        <v>0</v>
      </c>
      <c r="G16" s="139" t="s">
        <v>32</v>
      </c>
      <c r="H16" s="23">
        <v>0</v>
      </c>
      <c r="I16" s="21">
        <v>0</v>
      </c>
      <c r="J16" s="139" t="s">
        <v>32</v>
      </c>
      <c r="K16" s="23">
        <v>0</v>
      </c>
      <c r="L16" s="21">
        <v>0</v>
      </c>
      <c r="M16" s="139" t="s">
        <v>32</v>
      </c>
      <c r="N16" s="23">
        <v>35</v>
      </c>
      <c r="O16" s="21">
        <v>6</v>
      </c>
      <c r="P16" s="122">
        <f t="shared" si="20"/>
        <v>5.833333333333333</v>
      </c>
      <c r="Q16" s="20">
        <v>376</v>
      </c>
      <c r="R16" s="21">
        <v>53</v>
      </c>
      <c r="S16" s="122">
        <f t="shared" si="21"/>
        <v>7.0943396226415096</v>
      </c>
      <c r="T16" s="125">
        <v>0</v>
      </c>
      <c r="U16" s="126">
        <v>0</v>
      </c>
      <c r="V16" s="139" t="str">
        <f t="shared" ref="V16:V18" si="122">IF(U16=0,"-",T16/U16)</f>
        <v>-</v>
      </c>
      <c r="W16" s="20">
        <v>10</v>
      </c>
      <c r="X16" s="21">
        <v>2</v>
      </c>
      <c r="Y16" s="122">
        <f t="shared" si="51"/>
        <v>5</v>
      </c>
      <c r="Z16" s="20">
        <v>0</v>
      </c>
      <c r="AA16" s="21">
        <v>0</v>
      </c>
      <c r="AB16" s="139" t="str">
        <f t="shared" ref="AB16:AB18" si="123">IF(AA16=0,"-",Z16/AA16)</f>
        <v>-</v>
      </c>
      <c r="AC16" s="20">
        <v>0</v>
      </c>
      <c r="AD16" s="21">
        <v>0</v>
      </c>
      <c r="AE16" s="139" t="str">
        <f t="shared" ref="AE16:AE18" si="124">IF(AD16=0,"-",AC16/AD16)</f>
        <v>-</v>
      </c>
      <c r="AF16" s="20">
        <v>0</v>
      </c>
      <c r="AG16" s="21">
        <v>0</v>
      </c>
      <c r="AH16" s="139" t="str">
        <f t="shared" ref="AH16:AH18" si="125">IF(AG16=0,"-",AF16/AG16)</f>
        <v>-</v>
      </c>
      <c r="AI16" s="20">
        <v>0</v>
      </c>
      <c r="AJ16" s="21">
        <v>0</v>
      </c>
      <c r="AK16" s="139" t="str">
        <f t="shared" ref="AK16:AK18" si="126">IF(AJ16=0,"-",AI16/AJ16)</f>
        <v>-</v>
      </c>
      <c r="AL16" s="23">
        <v>7</v>
      </c>
      <c r="AM16" s="21">
        <v>1</v>
      </c>
      <c r="AN16" s="122">
        <f t="shared" si="55"/>
        <v>7</v>
      </c>
      <c r="AO16" s="20">
        <v>0</v>
      </c>
      <c r="AP16" s="21">
        <v>0</v>
      </c>
      <c r="AQ16" s="139" t="str">
        <f t="shared" ref="AQ16:AQ18" si="127">IF(AP16=0,"-",AO16/AP16)</f>
        <v>-</v>
      </c>
      <c r="AR16" s="20">
        <v>0</v>
      </c>
      <c r="AS16" s="21">
        <v>0</v>
      </c>
      <c r="AT16" s="139" t="str">
        <f t="shared" ref="AT16:AT18" si="128">IF(AS16=0,"-",AR16/AS16)</f>
        <v>-</v>
      </c>
      <c r="AU16" s="20">
        <v>0</v>
      </c>
      <c r="AV16" s="21">
        <v>0</v>
      </c>
      <c r="AW16" s="139" t="str">
        <f t="shared" ref="AW16:AW18" si="129">IF(AV16=0,"-",AU16/AV16)</f>
        <v>-</v>
      </c>
      <c r="AX16" s="20">
        <v>0</v>
      </c>
      <c r="AY16" s="21">
        <v>0</v>
      </c>
      <c r="AZ16" s="139" t="str">
        <f t="shared" ref="AZ16:AZ18" si="130">IF(AY16=0,"-",AX16/AY16)</f>
        <v>-</v>
      </c>
      <c r="BA16" s="20">
        <v>0</v>
      </c>
      <c r="BB16" s="21">
        <v>0</v>
      </c>
      <c r="BC16" s="139" t="str">
        <f t="shared" ref="BC16" si="131">IF(BB16=0,"-",BA16/BB16)</f>
        <v>-</v>
      </c>
      <c r="BD16" s="20">
        <v>0</v>
      </c>
      <c r="BE16" s="21">
        <v>0</v>
      </c>
      <c r="BF16" s="139" t="str">
        <f t="shared" ref="BF16" si="132">IF(BE16=0,"-",BD16/BE16)</f>
        <v>-</v>
      </c>
      <c r="BG16" s="20">
        <v>0</v>
      </c>
      <c r="BH16" s="21">
        <v>0</v>
      </c>
      <c r="BI16" s="139" t="str">
        <f t="shared" ref="BI16" si="133">IF(BH16=0,"-",BG16/BH16)</f>
        <v>-</v>
      </c>
      <c r="BJ16" s="20">
        <v>0</v>
      </c>
      <c r="BK16" s="21">
        <v>0</v>
      </c>
      <c r="BL16" s="139" t="str">
        <f t="shared" ref="BL16" si="134">IF(BK16=0,"-",BJ16/BK16)</f>
        <v>-</v>
      </c>
      <c r="BM16" s="117">
        <f t="shared" si="22"/>
        <v>488</v>
      </c>
      <c r="BN16" s="120">
        <f t="shared" si="22"/>
        <v>69</v>
      </c>
      <c r="BO16" s="147">
        <f t="shared" si="23"/>
        <v>7.0724637681159424</v>
      </c>
    </row>
    <row r="17" spans="1:67" ht="15" thickBot="1" x14ac:dyDescent="0.35">
      <c r="A17" s="1">
        <v>45304</v>
      </c>
      <c r="B17" s="20">
        <v>86</v>
      </c>
      <c r="C17" s="21">
        <v>10</v>
      </c>
      <c r="D17" s="122">
        <f t="shared" si="24"/>
        <v>8.6</v>
      </c>
      <c r="E17" s="20">
        <v>15</v>
      </c>
      <c r="F17" s="21">
        <v>3</v>
      </c>
      <c r="G17" s="122">
        <f t="shared" si="25"/>
        <v>5</v>
      </c>
      <c r="H17" s="23">
        <v>0</v>
      </c>
      <c r="I17" s="21">
        <v>0</v>
      </c>
      <c r="J17" s="139" t="s">
        <v>32</v>
      </c>
      <c r="K17" s="23">
        <v>0</v>
      </c>
      <c r="L17" s="21">
        <v>0</v>
      </c>
      <c r="M17" s="139" t="s">
        <v>32</v>
      </c>
      <c r="N17" s="23">
        <v>17</v>
      </c>
      <c r="O17" s="21">
        <v>3</v>
      </c>
      <c r="P17" s="122">
        <f t="shared" si="20"/>
        <v>5.666666666666667</v>
      </c>
      <c r="Q17" s="20">
        <v>445</v>
      </c>
      <c r="R17" s="21">
        <v>63</v>
      </c>
      <c r="S17" s="122">
        <f t="shared" si="21"/>
        <v>7.0634920634920633</v>
      </c>
      <c r="T17" s="125">
        <v>0</v>
      </c>
      <c r="U17" s="126">
        <v>0</v>
      </c>
      <c r="V17" s="139" t="str">
        <f t="shared" si="122"/>
        <v>-</v>
      </c>
      <c r="W17" s="20">
        <v>0</v>
      </c>
      <c r="X17" s="21">
        <v>0</v>
      </c>
      <c r="Y17" s="139" t="str">
        <f t="shared" ref="Y17:Y18" si="135">IF(X17=0,"-",W17/X17)</f>
        <v>-</v>
      </c>
      <c r="Z17" s="20">
        <v>0</v>
      </c>
      <c r="AA17" s="21">
        <v>0</v>
      </c>
      <c r="AB17" s="139" t="str">
        <f t="shared" si="123"/>
        <v>-</v>
      </c>
      <c r="AC17" s="20">
        <v>0</v>
      </c>
      <c r="AD17" s="21">
        <v>0</v>
      </c>
      <c r="AE17" s="139" t="str">
        <f t="shared" si="124"/>
        <v>-</v>
      </c>
      <c r="AF17" s="20">
        <v>0</v>
      </c>
      <c r="AG17" s="21">
        <v>0</v>
      </c>
      <c r="AH17" s="139" t="str">
        <f t="shared" si="125"/>
        <v>-</v>
      </c>
      <c r="AI17" s="20">
        <v>0</v>
      </c>
      <c r="AJ17" s="21">
        <v>0</v>
      </c>
      <c r="AK17" s="139" t="str">
        <f t="shared" si="126"/>
        <v>-</v>
      </c>
      <c r="AL17" s="20">
        <v>0</v>
      </c>
      <c r="AM17" s="21">
        <v>0</v>
      </c>
      <c r="AN17" s="139" t="str">
        <f t="shared" ref="AN17:AN18" si="136">IF(AM17=0,"-",AL17/AM17)</f>
        <v>-</v>
      </c>
      <c r="AO17" s="20">
        <v>0</v>
      </c>
      <c r="AP17" s="21">
        <v>0</v>
      </c>
      <c r="AQ17" s="139" t="str">
        <f t="shared" si="127"/>
        <v>-</v>
      </c>
      <c r="AR17" s="20">
        <v>0</v>
      </c>
      <c r="AS17" s="21">
        <v>0</v>
      </c>
      <c r="AT17" s="139" t="str">
        <f t="shared" si="128"/>
        <v>-</v>
      </c>
      <c r="AU17" s="20">
        <v>0</v>
      </c>
      <c r="AV17" s="21">
        <v>0</v>
      </c>
      <c r="AW17" s="139" t="str">
        <f t="shared" si="129"/>
        <v>-</v>
      </c>
      <c r="AX17" s="20">
        <v>0</v>
      </c>
      <c r="AY17" s="21">
        <v>0</v>
      </c>
      <c r="AZ17" s="139" t="str">
        <f t="shared" si="130"/>
        <v>-</v>
      </c>
      <c r="BA17" s="20">
        <v>6</v>
      </c>
      <c r="BB17" s="21">
        <v>1</v>
      </c>
      <c r="BC17" s="122">
        <f t="shared" si="49"/>
        <v>6</v>
      </c>
      <c r="BD17" s="20">
        <v>0</v>
      </c>
      <c r="BE17" s="21">
        <v>0</v>
      </c>
      <c r="BF17" s="139" t="str">
        <f t="shared" ref="BF17:BF18" si="137">IF(BE17=0,"-",BD17/BE17)</f>
        <v>-</v>
      </c>
      <c r="BG17" s="20">
        <v>0</v>
      </c>
      <c r="BH17" s="21">
        <v>0</v>
      </c>
      <c r="BI17" s="139" t="str">
        <f t="shared" ref="BI17:BI20" si="138">IF(BH17=0,"-",BG17/BH17)</f>
        <v>-</v>
      </c>
      <c r="BJ17" s="20">
        <v>0</v>
      </c>
      <c r="BK17" s="21">
        <v>0</v>
      </c>
      <c r="BL17" s="139" t="str">
        <f t="shared" ref="BL17:BL18" si="139">IF(BK17=0,"-",BJ17/BK17)</f>
        <v>-</v>
      </c>
      <c r="BM17" s="117">
        <f t="shared" si="22"/>
        <v>569</v>
      </c>
      <c r="BN17" s="120">
        <f t="shared" si="22"/>
        <v>80</v>
      </c>
      <c r="BO17" s="147">
        <f t="shared" si="23"/>
        <v>7.1124999999999998</v>
      </c>
    </row>
    <row r="18" spans="1:67" ht="15" thickBot="1" x14ac:dyDescent="0.35">
      <c r="A18" s="1">
        <v>45305</v>
      </c>
      <c r="B18" s="20">
        <v>26</v>
      </c>
      <c r="C18" s="21">
        <v>3</v>
      </c>
      <c r="D18" s="122">
        <f>IF(C18=0,"",B18/C18)</f>
        <v>8.6666666666666661</v>
      </c>
      <c r="E18" s="23">
        <v>0</v>
      </c>
      <c r="F18" s="21">
        <v>0</v>
      </c>
      <c r="G18" s="139" t="s">
        <v>32</v>
      </c>
      <c r="H18" s="20">
        <v>6</v>
      </c>
      <c r="I18" s="21">
        <v>1</v>
      </c>
      <c r="J18" s="122">
        <f t="shared" si="26"/>
        <v>6</v>
      </c>
      <c r="K18" s="23">
        <v>0</v>
      </c>
      <c r="L18" s="21">
        <v>0</v>
      </c>
      <c r="M18" s="139" t="s">
        <v>32</v>
      </c>
      <c r="N18" s="23">
        <v>11</v>
      </c>
      <c r="O18" s="21">
        <v>2</v>
      </c>
      <c r="P18" s="122">
        <f t="shared" si="20"/>
        <v>5.5</v>
      </c>
      <c r="Q18" s="20">
        <v>21</v>
      </c>
      <c r="R18" s="21">
        <v>5</v>
      </c>
      <c r="S18" s="122">
        <f t="shared" si="21"/>
        <v>4.2</v>
      </c>
      <c r="T18" s="125">
        <v>0</v>
      </c>
      <c r="U18" s="126">
        <v>0</v>
      </c>
      <c r="V18" s="139" t="str">
        <f t="shared" si="122"/>
        <v>-</v>
      </c>
      <c r="W18" s="20">
        <v>0</v>
      </c>
      <c r="X18" s="21">
        <v>0</v>
      </c>
      <c r="Y18" s="139" t="str">
        <f t="shared" si="135"/>
        <v>-</v>
      </c>
      <c r="Z18" s="20">
        <v>0</v>
      </c>
      <c r="AA18" s="21">
        <v>0</v>
      </c>
      <c r="AB18" s="139" t="str">
        <f t="shared" si="123"/>
        <v>-</v>
      </c>
      <c r="AC18" s="20">
        <v>0</v>
      </c>
      <c r="AD18" s="21">
        <v>0</v>
      </c>
      <c r="AE18" s="139" t="str">
        <f t="shared" si="124"/>
        <v>-</v>
      </c>
      <c r="AF18" s="20">
        <v>0</v>
      </c>
      <c r="AG18" s="21">
        <v>0</v>
      </c>
      <c r="AH18" s="139" t="str">
        <f t="shared" si="125"/>
        <v>-</v>
      </c>
      <c r="AI18" s="20">
        <v>0</v>
      </c>
      <c r="AJ18" s="21">
        <v>0</v>
      </c>
      <c r="AK18" s="139" t="str">
        <f t="shared" si="126"/>
        <v>-</v>
      </c>
      <c r="AL18" s="20">
        <v>0</v>
      </c>
      <c r="AM18" s="21">
        <v>0</v>
      </c>
      <c r="AN18" s="139" t="str">
        <f t="shared" si="136"/>
        <v>-</v>
      </c>
      <c r="AO18" s="20">
        <v>0</v>
      </c>
      <c r="AP18" s="21">
        <v>0</v>
      </c>
      <c r="AQ18" s="139" t="str">
        <f t="shared" si="127"/>
        <v>-</v>
      </c>
      <c r="AR18" s="20">
        <v>0</v>
      </c>
      <c r="AS18" s="21">
        <v>0</v>
      </c>
      <c r="AT18" s="139" t="str">
        <f t="shared" si="128"/>
        <v>-</v>
      </c>
      <c r="AU18" s="20">
        <v>0</v>
      </c>
      <c r="AV18" s="21">
        <v>0</v>
      </c>
      <c r="AW18" s="139" t="str">
        <f t="shared" si="129"/>
        <v>-</v>
      </c>
      <c r="AX18" s="20">
        <v>0</v>
      </c>
      <c r="AY18" s="21">
        <v>0</v>
      </c>
      <c r="AZ18" s="139" t="str">
        <f t="shared" si="130"/>
        <v>-</v>
      </c>
      <c r="BA18" s="20">
        <v>0</v>
      </c>
      <c r="BB18" s="21">
        <v>0</v>
      </c>
      <c r="BC18" s="139" t="str">
        <f t="shared" ref="BC18" si="140">IF(BB18=0,"-",BA18/BB18)</f>
        <v>-</v>
      </c>
      <c r="BD18" s="20">
        <v>0</v>
      </c>
      <c r="BE18" s="21">
        <v>0</v>
      </c>
      <c r="BF18" s="139" t="str">
        <f t="shared" si="137"/>
        <v>-</v>
      </c>
      <c r="BG18" s="20">
        <v>0</v>
      </c>
      <c r="BH18" s="21">
        <v>0</v>
      </c>
      <c r="BI18" s="139" t="str">
        <f t="shared" si="138"/>
        <v>-</v>
      </c>
      <c r="BJ18" s="20">
        <v>0</v>
      </c>
      <c r="BK18" s="21">
        <v>0</v>
      </c>
      <c r="BL18" s="139" t="str">
        <f t="shared" si="139"/>
        <v>-</v>
      </c>
      <c r="BM18" s="117">
        <f t="shared" si="22"/>
        <v>64</v>
      </c>
      <c r="BN18" s="120">
        <f t="shared" si="22"/>
        <v>11</v>
      </c>
      <c r="BO18" s="147">
        <f t="shared" si="23"/>
        <v>5.8181818181818183</v>
      </c>
    </row>
    <row r="19" spans="1:67" ht="15" thickBot="1" x14ac:dyDescent="0.35">
      <c r="A19" s="1">
        <v>45306</v>
      </c>
      <c r="B19" s="20">
        <v>54</v>
      </c>
      <c r="C19" s="21">
        <v>6</v>
      </c>
      <c r="D19" s="122">
        <f>IF(C19=0,"",B19/C19)</f>
        <v>9</v>
      </c>
      <c r="E19" s="23">
        <v>0</v>
      </c>
      <c r="F19" s="21">
        <v>0</v>
      </c>
      <c r="G19" s="139" t="s">
        <v>32</v>
      </c>
      <c r="H19" s="20">
        <v>0</v>
      </c>
      <c r="I19" s="21">
        <v>0</v>
      </c>
      <c r="J19" s="139" t="s">
        <v>32</v>
      </c>
      <c r="K19" s="23">
        <v>0</v>
      </c>
      <c r="L19" s="21">
        <v>0</v>
      </c>
      <c r="M19" s="139" t="s">
        <v>32</v>
      </c>
      <c r="N19" s="20">
        <v>37</v>
      </c>
      <c r="O19" s="21">
        <v>7</v>
      </c>
      <c r="P19" s="122">
        <f t="shared" si="20"/>
        <v>5.2857142857142856</v>
      </c>
      <c r="Q19" s="20">
        <v>6</v>
      </c>
      <c r="R19" s="21">
        <v>1</v>
      </c>
      <c r="S19" s="122">
        <f t="shared" si="21"/>
        <v>6</v>
      </c>
      <c r="T19" s="125">
        <v>0</v>
      </c>
      <c r="U19" s="126">
        <v>0</v>
      </c>
      <c r="V19" s="139" t="str">
        <f t="shared" ref="V19" si="141">IF(U19=0,"-",T19/U19)</f>
        <v>-</v>
      </c>
      <c r="W19" s="20">
        <v>0</v>
      </c>
      <c r="X19" s="21">
        <v>0</v>
      </c>
      <c r="Y19" s="139" t="str">
        <f t="shared" ref="Y19" si="142">IF(X19=0,"-",W19/X19)</f>
        <v>-</v>
      </c>
      <c r="Z19" s="20">
        <v>0</v>
      </c>
      <c r="AA19" s="21">
        <v>0</v>
      </c>
      <c r="AB19" s="139" t="str">
        <f t="shared" ref="AB19" si="143">IF(AA19=0,"-",Z19/AA19)</f>
        <v>-</v>
      </c>
      <c r="AC19" s="20">
        <v>0</v>
      </c>
      <c r="AD19" s="21">
        <v>0</v>
      </c>
      <c r="AE19" s="139" t="str">
        <f t="shared" ref="AE19" si="144">IF(AD19=0,"-",AC19/AD19)</f>
        <v>-</v>
      </c>
      <c r="AF19" s="20">
        <v>0</v>
      </c>
      <c r="AG19" s="21">
        <v>0</v>
      </c>
      <c r="AH19" s="139" t="str">
        <f t="shared" ref="AH19" si="145">IF(AG19=0,"-",AF19/AG19)</f>
        <v>-</v>
      </c>
      <c r="AI19" s="23">
        <v>20</v>
      </c>
      <c r="AJ19" s="21">
        <v>4</v>
      </c>
      <c r="AK19" s="122">
        <f t="shared" si="54"/>
        <v>5</v>
      </c>
      <c r="AL19" s="23">
        <v>6</v>
      </c>
      <c r="AM19" s="21">
        <v>1</v>
      </c>
      <c r="AN19" s="122">
        <f t="shared" si="55"/>
        <v>6</v>
      </c>
      <c r="AO19" s="20">
        <v>0</v>
      </c>
      <c r="AP19" s="21">
        <v>0</v>
      </c>
      <c r="AQ19" s="139" t="str">
        <f t="shared" ref="AQ19" si="146">IF(AP19=0,"-",AO19/AP19)</f>
        <v>-</v>
      </c>
      <c r="AR19" s="20">
        <v>0</v>
      </c>
      <c r="AS19" s="21">
        <v>0</v>
      </c>
      <c r="AT19" s="139" t="str">
        <f t="shared" ref="AT19" si="147">IF(AS19=0,"-",AR19/AS19)</f>
        <v>-</v>
      </c>
      <c r="AU19" s="20">
        <v>7</v>
      </c>
      <c r="AV19" s="21">
        <v>1</v>
      </c>
      <c r="AW19" s="122">
        <f t="shared" si="72"/>
        <v>7</v>
      </c>
      <c r="AX19" s="20">
        <v>0</v>
      </c>
      <c r="AY19" s="21">
        <v>0</v>
      </c>
      <c r="AZ19" s="139" t="str">
        <f t="shared" ref="AZ19:AZ20" si="148">IF(AY19=0,"-",AX19/AY19)</f>
        <v>-</v>
      </c>
      <c r="BA19" s="20">
        <v>6</v>
      </c>
      <c r="BB19" s="21">
        <v>1</v>
      </c>
      <c r="BC19" s="122">
        <f t="shared" si="49"/>
        <v>6</v>
      </c>
      <c r="BD19" s="20">
        <v>0</v>
      </c>
      <c r="BE19" s="21">
        <v>0</v>
      </c>
      <c r="BF19" s="139" t="str">
        <f t="shared" ref="BF19" si="149">IF(BE19=0,"-",BD19/BE19)</f>
        <v>-</v>
      </c>
      <c r="BG19" s="20">
        <v>1</v>
      </c>
      <c r="BH19" s="21">
        <v>1</v>
      </c>
      <c r="BI19" s="139">
        <f t="shared" si="138"/>
        <v>1</v>
      </c>
      <c r="BJ19" s="20">
        <v>0</v>
      </c>
      <c r="BK19" s="21">
        <v>0</v>
      </c>
      <c r="BL19" s="139" t="str">
        <f t="shared" ref="BL19:BL20" si="150">IF(BK19=0,"-",BJ19/BK19)</f>
        <v>-</v>
      </c>
      <c r="BM19" s="117">
        <f t="shared" ref="BM19" si="151">BJ19+BG19+BD19+BA19+AX19+AU19+AR19+AO19+AL19+K19+Q19+N19+H19+E19+AI19+AF19+AC19+Z19+W19+B19</f>
        <v>137</v>
      </c>
      <c r="BN19" s="120">
        <f t="shared" ref="BN19" si="152">BK19+BH19+BE19+BB19+AY19+AV19+AS19+AP19+AM19+L19+R19+O19+I19+F19+AJ19+AG19+AD19+AA19+X19+C19</f>
        <v>22</v>
      </c>
      <c r="BO19" s="147">
        <f t="shared" ref="BO19" si="153">IF(BN19=0,"",BM19/BN19)</f>
        <v>6.2272727272727275</v>
      </c>
    </row>
    <row r="20" spans="1:67" ht="15" thickBot="1" x14ac:dyDescent="0.35">
      <c r="A20" s="1">
        <v>45307</v>
      </c>
      <c r="B20" s="20">
        <v>41</v>
      </c>
      <c r="C20" s="21">
        <v>6</v>
      </c>
      <c r="D20" s="122">
        <f t="shared" si="24"/>
        <v>6.833333333333333</v>
      </c>
      <c r="E20" s="20">
        <v>8</v>
      </c>
      <c r="F20" s="21">
        <v>1</v>
      </c>
      <c r="G20" s="122">
        <f t="shared" ref="G20" si="154">IF(F20=0,"",E20/F20)</f>
        <v>8</v>
      </c>
      <c r="H20" s="20">
        <v>8</v>
      </c>
      <c r="I20" s="21">
        <v>1</v>
      </c>
      <c r="J20" s="122">
        <f t="shared" ref="J20" si="155">IF(I20=0,"",H20/I20)</f>
        <v>8</v>
      </c>
      <c r="K20" s="23">
        <v>0</v>
      </c>
      <c r="L20" s="21">
        <v>0</v>
      </c>
      <c r="M20" s="139" t="s">
        <v>32</v>
      </c>
      <c r="N20" s="20">
        <v>40</v>
      </c>
      <c r="O20" s="21">
        <v>7</v>
      </c>
      <c r="P20" s="122">
        <f t="shared" si="20"/>
        <v>5.7142857142857144</v>
      </c>
      <c r="Q20" s="20">
        <v>0</v>
      </c>
      <c r="R20" s="21">
        <v>0</v>
      </c>
      <c r="S20" s="139" t="s">
        <v>32</v>
      </c>
      <c r="T20" s="20">
        <v>12</v>
      </c>
      <c r="U20" s="21">
        <v>2</v>
      </c>
      <c r="V20" s="122">
        <f t="shared" si="97"/>
        <v>6</v>
      </c>
      <c r="W20" s="20">
        <v>0</v>
      </c>
      <c r="X20" s="21">
        <v>0</v>
      </c>
      <c r="Y20" s="139" t="str">
        <f t="shared" ref="Y20:Y21" si="156">IF(X20=0,"-",W20/X20)</f>
        <v>-</v>
      </c>
      <c r="Z20" s="20">
        <v>0</v>
      </c>
      <c r="AA20" s="21">
        <v>0</v>
      </c>
      <c r="AB20" s="139" t="str">
        <f t="shared" ref="AB20:AB21" si="157">IF(AA20=0,"-",Z20/AA20)</f>
        <v>-</v>
      </c>
      <c r="AC20" s="20">
        <v>0</v>
      </c>
      <c r="AD20" s="21">
        <v>0</v>
      </c>
      <c r="AE20" s="139" t="str">
        <f t="shared" ref="AE20:AE21" si="158">IF(AD20=0,"-",AC20/AD20)</f>
        <v>-</v>
      </c>
      <c r="AF20" s="20">
        <v>0</v>
      </c>
      <c r="AG20" s="21">
        <v>0</v>
      </c>
      <c r="AH20" s="139" t="str">
        <f t="shared" ref="AH20:AH21" si="159">IF(AG20=0,"-",AF20/AG20)</f>
        <v>-</v>
      </c>
      <c r="AI20" s="23">
        <v>7</v>
      </c>
      <c r="AJ20" s="21">
        <v>1</v>
      </c>
      <c r="AK20" s="122">
        <f t="shared" si="54"/>
        <v>7</v>
      </c>
      <c r="AL20" s="23">
        <v>20</v>
      </c>
      <c r="AM20" s="21">
        <v>3</v>
      </c>
      <c r="AN20" s="122">
        <f t="shared" si="55"/>
        <v>6.666666666666667</v>
      </c>
      <c r="AO20" s="20">
        <v>0</v>
      </c>
      <c r="AP20" s="21">
        <v>0</v>
      </c>
      <c r="AQ20" s="139" t="str">
        <f t="shared" ref="AQ20" si="160">IF(AP20=0,"-",AO20/AP20)</f>
        <v>-</v>
      </c>
      <c r="AR20" s="20">
        <v>0</v>
      </c>
      <c r="AS20" s="21">
        <v>0</v>
      </c>
      <c r="AT20" s="139" t="str">
        <f t="shared" ref="AT20" si="161">IF(AS20=0,"-",AR20/AS20)</f>
        <v>-</v>
      </c>
      <c r="AU20" s="20">
        <v>0</v>
      </c>
      <c r="AV20" s="21">
        <v>0</v>
      </c>
      <c r="AW20" s="139" t="str">
        <f t="shared" ref="AW20" si="162">IF(AV20=0,"-",AU20/AV20)</f>
        <v>-</v>
      </c>
      <c r="AX20" s="20">
        <v>0</v>
      </c>
      <c r="AY20" s="21">
        <v>0</v>
      </c>
      <c r="AZ20" s="139" t="str">
        <f t="shared" si="148"/>
        <v>-</v>
      </c>
      <c r="BA20" s="20">
        <v>0</v>
      </c>
      <c r="BB20" s="21">
        <v>0</v>
      </c>
      <c r="BC20" s="139" t="str">
        <f t="shared" ref="BC20" si="163">IF(BB20=0,"-",BA20/BB20)</f>
        <v>-</v>
      </c>
      <c r="BD20" s="20">
        <v>0</v>
      </c>
      <c r="BE20" s="21">
        <v>0</v>
      </c>
      <c r="BF20" s="139" t="str">
        <f t="shared" ref="BF20:BF21" si="164">IF(BE20=0,"-",BD20/BE20)</f>
        <v>-</v>
      </c>
      <c r="BG20" s="20">
        <v>0</v>
      </c>
      <c r="BH20" s="21">
        <v>0</v>
      </c>
      <c r="BI20" s="139" t="str">
        <f t="shared" si="138"/>
        <v>-</v>
      </c>
      <c r="BJ20" s="20">
        <v>0</v>
      </c>
      <c r="BK20" s="21">
        <v>0</v>
      </c>
      <c r="BL20" s="139" t="str">
        <f t="shared" si="150"/>
        <v>-</v>
      </c>
      <c r="BM20" s="117">
        <f t="shared" si="22"/>
        <v>124</v>
      </c>
      <c r="BN20" s="120">
        <f t="shared" si="22"/>
        <v>19</v>
      </c>
      <c r="BO20" s="147">
        <f t="shared" si="23"/>
        <v>6.5263157894736841</v>
      </c>
    </row>
    <row r="21" spans="1:67" ht="15" thickBot="1" x14ac:dyDescent="0.35">
      <c r="A21" s="1">
        <v>45308</v>
      </c>
      <c r="B21" s="20">
        <v>41</v>
      </c>
      <c r="C21" s="21">
        <v>5</v>
      </c>
      <c r="D21" s="122">
        <f t="shared" si="24"/>
        <v>8.1999999999999993</v>
      </c>
      <c r="E21" s="20">
        <v>0</v>
      </c>
      <c r="F21" s="21">
        <v>0</v>
      </c>
      <c r="G21" s="139" t="s">
        <v>32</v>
      </c>
      <c r="H21" s="20">
        <v>0</v>
      </c>
      <c r="I21" s="21">
        <v>0</v>
      </c>
      <c r="J21" s="139" t="s">
        <v>32</v>
      </c>
      <c r="K21" s="23">
        <v>0</v>
      </c>
      <c r="L21" s="21">
        <v>0</v>
      </c>
      <c r="M21" s="139" t="s">
        <v>32</v>
      </c>
      <c r="N21" s="20">
        <v>33</v>
      </c>
      <c r="O21" s="21">
        <v>6</v>
      </c>
      <c r="P21" s="122">
        <f t="shared" si="20"/>
        <v>5.5</v>
      </c>
      <c r="Q21" s="20">
        <v>0</v>
      </c>
      <c r="R21" s="21">
        <v>0</v>
      </c>
      <c r="S21" s="139" t="s">
        <v>32</v>
      </c>
      <c r="T21" s="125">
        <v>0</v>
      </c>
      <c r="U21" s="126">
        <v>0</v>
      </c>
      <c r="V21" s="139" t="str">
        <f t="shared" ref="V21" si="165">IF(U21=0,"-",T21/U21)</f>
        <v>-</v>
      </c>
      <c r="W21" s="20">
        <v>0</v>
      </c>
      <c r="X21" s="21">
        <v>0</v>
      </c>
      <c r="Y21" s="139" t="str">
        <f t="shared" si="156"/>
        <v>-</v>
      </c>
      <c r="Z21" s="20">
        <v>0</v>
      </c>
      <c r="AA21" s="21">
        <v>0</v>
      </c>
      <c r="AB21" s="139" t="str">
        <f t="shared" si="157"/>
        <v>-</v>
      </c>
      <c r="AC21" s="20">
        <v>0</v>
      </c>
      <c r="AD21" s="21">
        <v>0</v>
      </c>
      <c r="AE21" s="139" t="str">
        <f t="shared" si="158"/>
        <v>-</v>
      </c>
      <c r="AF21" s="20">
        <v>0</v>
      </c>
      <c r="AG21" s="21">
        <v>0</v>
      </c>
      <c r="AH21" s="139" t="str">
        <f t="shared" si="159"/>
        <v>-</v>
      </c>
      <c r="AI21" s="20">
        <v>0</v>
      </c>
      <c r="AJ21" s="21">
        <v>0</v>
      </c>
      <c r="AK21" s="139" t="str">
        <f t="shared" ref="AK21" si="166">IF(AJ21=0,"-",AI21/AJ21)</f>
        <v>-</v>
      </c>
      <c r="AL21" s="23">
        <v>14</v>
      </c>
      <c r="AM21" s="21">
        <v>2</v>
      </c>
      <c r="AN21" s="122">
        <f t="shared" si="55"/>
        <v>7</v>
      </c>
      <c r="AO21" s="20">
        <v>0</v>
      </c>
      <c r="AP21" s="21">
        <v>0</v>
      </c>
      <c r="AQ21" s="139" t="str">
        <f t="shared" ref="AQ21" si="167">IF(AP21=0,"-",AO21/AP21)</f>
        <v>-</v>
      </c>
      <c r="AR21" s="20">
        <v>42</v>
      </c>
      <c r="AS21" s="21">
        <v>6</v>
      </c>
      <c r="AT21" s="122">
        <f t="shared" si="57"/>
        <v>7</v>
      </c>
      <c r="AU21" s="20">
        <v>0</v>
      </c>
      <c r="AV21" s="21">
        <v>0</v>
      </c>
      <c r="AW21" s="139" t="str">
        <f t="shared" ref="AW21" si="168">IF(AV21=0,"-",AU21/AV21)</f>
        <v>-</v>
      </c>
      <c r="AX21" s="20">
        <v>0</v>
      </c>
      <c r="AY21" s="21">
        <v>0</v>
      </c>
      <c r="AZ21" s="139" t="str">
        <f t="shared" ref="AZ21" si="169">IF(AY21=0,"-",AX21/AY21)</f>
        <v>-</v>
      </c>
      <c r="BA21" s="20">
        <v>7</v>
      </c>
      <c r="BB21" s="21">
        <v>1</v>
      </c>
      <c r="BC21" s="122">
        <f t="shared" si="49"/>
        <v>7</v>
      </c>
      <c r="BD21" s="20">
        <v>0</v>
      </c>
      <c r="BE21" s="21">
        <v>0</v>
      </c>
      <c r="BF21" s="139" t="str">
        <f t="shared" si="164"/>
        <v>-</v>
      </c>
      <c r="BG21" s="20">
        <v>0</v>
      </c>
      <c r="BH21" s="21">
        <v>0</v>
      </c>
      <c r="BI21" s="139" t="str">
        <f t="shared" ref="BI21" si="170">IF(BH21=0,"-",BG21/BH21)</f>
        <v>-</v>
      </c>
      <c r="BJ21" s="20">
        <v>0</v>
      </c>
      <c r="BK21" s="21">
        <v>0</v>
      </c>
      <c r="BL21" s="139" t="str">
        <f t="shared" ref="BL21" si="171">IF(BK21=0,"-",BJ21/BK21)</f>
        <v>-</v>
      </c>
      <c r="BM21" s="117">
        <f t="shared" ref="BM21" si="172">BJ21+BG21+BD21+BA21+AX21+AU21+AR21+AO21+AL21+K21+Q21+N21+H21+E21+AI21+AF21+AC21+Z21+W21+B21</f>
        <v>137</v>
      </c>
      <c r="BN21" s="120">
        <f t="shared" ref="BN21" si="173">BK21+BH21+BE21+BB21+AY21+AV21+AS21+AP21+AM21+L21+R21+O21+I21+F21+AJ21+AG21+AD21+AA21+X21+C21</f>
        <v>20</v>
      </c>
      <c r="BO21" s="147">
        <f t="shared" ref="BO21" si="174">IF(BN21=0,"",BM21/BN21)</f>
        <v>6.85</v>
      </c>
    </row>
    <row r="22" spans="1:67" ht="15" thickBot="1" x14ac:dyDescent="0.35">
      <c r="A22" s="1">
        <v>45309</v>
      </c>
      <c r="B22" s="20">
        <v>25</v>
      </c>
      <c r="C22" s="21">
        <v>3</v>
      </c>
      <c r="D22" s="122">
        <f t="shared" si="24"/>
        <v>8.3333333333333339</v>
      </c>
      <c r="E22" s="20">
        <v>11</v>
      </c>
      <c r="F22" s="21">
        <v>2</v>
      </c>
      <c r="G22" s="122">
        <f>IF(F22=0,"",E22/F22)</f>
        <v>5.5</v>
      </c>
      <c r="H22" s="20">
        <v>6</v>
      </c>
      <c r="I22" s="21">
        <v>1</v>
      </c>
      <c r="J22" s="122">
        <f t="shared" si="26"/>
        <v>6</v>
      </c>
      <c r="K22" s="23">
        <v>0</v>
      </c>
      <c r="L22" s="21">
        <v>0</v>
      </c>
      <c r="M22" s="139" t="s">
        <v>32</v>
      </c>
      <c r="N22" s="23">
        <v>29</v>
      </c>
      <c r="O22" s="21">
        <v>5</v>
      </c>
      <c r="P22" s="122">
        <f t="shared" si="20"/>
        <v>5.8</v>
      </c>
      <c r="Q22" s="20">
        <v>5</v>
      </c>
      <c r="R22" s="21">
        <v>1</v>
      </c>
      <c r="S22" s="122">
        <f t="shared" si="21"/>
        <v>5</v>
      </c>
      <c r="T22" s="125">
        <v>0</v>
      </c>
      <c r="U22" s="126">
        <v>0</v>
      </c>
      <c r="V22" s="139" t="str">
        <f t="shared" ref="V22" si="175">IF(U22=0,"-",T22/U22)</f>
        <v>-</v>
      </c>
      <c r="W22" s="20">
        <v>0</v>
      </c>
      <c r="X22" s="21">
        <v>0</v>
      </c>
      <c r="Y22" s="139" t="str">
        <f t="shared" ref="Y22" si="176">IF(X22=0,"-",W22/X22)</f>
        <v>-</v>
      </c>
      <c r="Z22" s="20">
        <v>0</v>
      </c>
      <c r="AA22" s="21">
        <v>0</v>
      </c>
      <c r="AB22" s="139" t="str">
        <f t="shared" ref="AB22:AB25" si="177">IF(AA22=0,"-",Z22/AA22)</f>
        <v>-</v>
      </c>
      <c r="AC22" s="20">
        <v>0</v>
      </c>
      <c r="AD22" s="21">
        <v>0</v>
      </c>
      <c r="AE22" s="139" t="str">
        <f t="shared" ref="AE22" si="178">IF(AD22=0,"-",AC22/AD22)</f>
        <v>-</v>
      </c>
      <c r="AF22" s="20">
        <v>0</v>
      </c>
      <c r="AG22" s="21">
        <v>0</v>
      </c>
      <c r="AH22" s="139" t="str">
        <f t="shared" ref="AH22:AH25" si="179">IF(AG22=0,"-",AF22/AG22)</f>
        <v>-</v>
      </c>
      <c r="AI22" s="20">
        <v>0</v>
      </c>
      <c r="AJ22" s="21">
        <v>0</v>
      </c>
      <c r="AK22" s="139" t="str">
        <f t="shared" ref="AK22:AK25" si="180">IF(AJ22=0,"-",AI22/AJ22)</f>
        <v>-</v>
      </c>
      <c r="AL22" s="20">
        <v>0</v>
      </c>
      <c r="AM22" s="21">
        <v>0</v>
      </c>
      <c r="AN22" s="139" t="str">
        <f t="shared" ref="AN22:AN25" si="181">IF(AM22=0,"-",AL22/AM22)</f>
        <v>-</v>
      </c>
      <c r="AO22" s="20">
        <v>6</v>
      </c>
      <c r="AP22" s="21">
        <v>1</v>
      </c>
      <c r="AQ22" s="122">
        <f t="shared" si="56"/>
        <v>6</v>
      </c>
      <c r="AR22" s="20">
        <v>7</v>
      </c>
      <c r="AS22" s="21">
        <v>1</v>
      </c>
      <c r="AT22" s="122">
        <f t="shared" si="57"/>
        <v>7</v>
      </c>
      <c r="AU22" s="20">
        <v>0</v>
      </c>
      <c r="AV22" s="21">
        <v>0</v>
      </c>
      <c r="AW22" s="139" t="str">
        <f t="shared" ref="AW22:AW23" si="182">IF(AV22=0,"-",AU22/AV22)</f>
        <v>-</v>
      </c>
      <c r="AX22" s="20">
        <v>0</v>
      </c>
      <c r="AY22" s="21">
        <v>0</v>
      </c>
      <c r="AZ22" s="139" t="str">
        <f t="shared" ref="AZ22:AZ23" si="183">IF(AY22=0,"-",AX22/AY22)</f>
        <v>-</v>
      </c>
      <c r="BA22" s="20">
        <v>6</v>
      </c>
      <c r="BB22" s="21">
        <v>2</v>
      </c>
      <c r="BC22" s="122">
        <f t="shared" si="49"/>
        <v>3</v>
      </c>
      <c r="BD22" s="20">
        <v>0</v>
      </c>
      <c r="BE22" s="21">
        <v>0</v>
      </c>
      <c r="BF22" s="139" t="str">
        <f t="shared" ref="BF22" si="184">IF(BE22=0,"-",BD22/BE22)</f>
        <v>-</v>
      </c>
      <c r="BG22" s="20">
        <v>0</v>
      </c>
      <c r="BH22" s="21">
        <v>0</v>
      </c>
      <c r="BI22" s="139" t="str">
        <f t="shared" ref="BI22" si="185">IF(BH22=0,"-",BG22/BH22)</f>
        <v>-</v>
      </c>
      <c r="BJ22" s="20">
        <v>0</v>
      </c>
      <c r="BK22" s="21">
        <v>0</v>
      </c>
      <c r="BL22" s="139" t="str">
        <f t="shared" ref="BL22" si="186">IF(BK22=0,"-",BJ22/BK22)</f>
        <v>-</v>
      </c>
      <c r="BM22" s="117">
        <f t="shared" si="22"/>
        <v>95</v>
      </c>
      <c r="BN22" s="120">
        <f t="shared" si="22"/>
        <v>16</v>
      </c>
      <c r="BO22" s="147">
        <f t="shared" si="23"/>
        <v>5.9375</v>
      </c>
    </row>
    <row r="23" spans="1:67" ht="15" thickBot="1" x14ac:dyDescent="0.35">
      <c r="A23" s="1">
        <v>45310</v>
      </c>
      <c r="B23" s="20">
        <v>87</v>
      </c>
      <c r="C23" s="21">
        <v>9</v>
      </c>
      <c r="D23" s="122">
        <f t="shared" si="24"/>
        <v>9.6666666666666661</v>
      </c>
      <c r="E23" s="20">
        <v>5</v>
      </c>
      <c r="F23" s="2">
        <v>1</v>
      </c>
      <c r="G23" s="122">
        <f t="shared" ref="G23:G24" si="187">IF(F23=0,"",E23/F23)</f>
        <v>5</v>
      </c>
      <c r="H23" s="20">
        <v>0</v>
      </c>
      <c r="I23" s="21">
        <v>0</v>
      </c>
      <c r="J23" s="139" t="s">
        <v>32</v>
      </c>
      <c r="K23" s="23">
        <v>0</v>
      </c>
      <c r="L23" s="21">
        <v>0</v>
      </c>
      <c r="M23" s="139" t="s">
        <v>32</v>
      </c>
      <c r="N23" s="23">
        <v>67</v>
      </c>
      <c r="O23" s="21">
        <v>12</v>
      </c>
      <c r="P23" s="122">
        <f t="shared" si="20"/>
        <v>5.583333333333333</v>
      </c>
      <c r="Q23" s="20">
        <v>122</v>
      </c>
      <c r="R23" s="21">
        <v>20</v>
      </c>
      <c r="S23" s="122">
        <f t="shared" si="21"/>
        <v>6.1</v>
      </c>
      <c r="T23" s="125">
        <v>0</v>
      </c>
      <c r="U23" s="126">
        <v>0</v>
      </c>
      <c r="V23" s="139" t="str">
        <f t="shared" ref="V23:V24" si="188">IF(U23=0,"-",T23/U23)</f>
        <v>-</v>
      </c>
      <c r="W23" s="20">
        <v>9</v>
      </c>
      <c r="X23" s="21">
        <v>1</v>
      </c>
      <c r="Y23" s="122">
        <f t="shared" si="51"/>
        <v>9</v>
      </c>
      <c r="Z23" s="20">
        <v>0</v>
      </c>
      <c r="AA23" s="21">
        <v>0</v>
      </c>
      <c r="AB23" s="139" t="str">
        <f t="shared" si="177"/>
        <v>-</v>
      </c>
      <c r="AC23" s="20">
        <v>1</v>
      </c>
      <c r="AD23" s="21">
        <v>1</v>
      </c>
      <c r="AE23" s="122">
        <f t="shared" si="87"/>
        <v>1</v>
      </c>
      <c r="AF23" s="20">
        <v>0</v>
      </c>
      <c r="AG23" s="21">
        <v>0</v>
      </c>
      <c r="AH23" s="139" t="str">
        <f t="shared" si="179"/>
        <v>-</v>
      </c>
      <c r="AI23" s="20">
        <v>0</v>
      </c>
      <c r="AJ23" s="21">
        <v>0</v>
      </c>
      <c r="AK23" s="139" t="str">
        <f t="shared" si="180"/>
        <v>-</v>
      </c>
      <c r="AL23" s="20">
        <v>0</v>
      </c>
      <c r="AM23" s="21">
        <v>0</v>
      </c>
      <c r="AN23" s="139" t="str">
        <f t="shared" si="181"/>
        <v>-</v>
      </c>
      <c r="AO23" s="20">
        <v>0</v>
      </c>
      <c r="AP23" s="21">
        <v>0</v>
      </c>
      <c r="AQ23" s="139" t="str">
        <f t="shared" ref="AQ23" si="189">IF(AP23=0,"-",AO23/AP23)</f>
        <v>-</v>
      </c>
      <c r="AR23" s="20">
        <v>0</v>
      </c>
      <c r="AS23" s="21">
        <v>0</v>
      </c>
      <c r="AT23" s="139" t="str">
        <f t="shared" ref="AT23" si="190">IF(AS23=0,"-",AR23/AS23)</f>
        <v>-</v>
      </c>
      <c r="AU23" s="20">
        <v>0</v>
      </c>
      <c r="AV23" s="21">
        <v>0</v>
      </c>
      <c r="AW23" s="139" t="str">
        <f t="shared" si="182"/>
        <v>-</v>
      </c>
      <c r="AX23" s="20">
        <v>0</v>
      </c>
      <c r="AY23" s="21">
        <v>0</v>
      </c>
      <c r="AZ23" s="139" t="str">
        <f t="shared" si="183"/>
        <v>-</v>
      </c>
      <c r="BA23" s="20">
        <v>45</v>
      </c>
      <c r="BB23" s="21">
        <v>6</v>
      </c>
      <c r="BC23" s="122">
        <f t="shared" si="49"/>
        <v>7.5</v>
      </c>
      <c r="BD23" s="20">
        <v>0</v>
      </c>
      <c r="BE23" s="21">
        <v>0</v>
      </c>
      <c r="BF23" s="139" t="str">
        <f t="shared" ref="BF23:BF25" si="191">IF(BE23=0,"-",BD23/BE23)</f>
        <v>-</v>
      </c>
      <c r="BG23" s="20">
        <v>0</v>
      </c>
      <c r="BH23" s="21">
        <v>0</v>
      </c>
      <c r="BI23" s="139" t="str">
        <f t="shared" ref="BI23:BI25" si="192">IF(BH23=0,"-",BG23/BH23)</f>
        <v>-</v>
      </c>
      <c r="BJ23" s="20">
        <v>0</v>
      </c>
      <c r="BK23" s="21">
        <v>0</v>
      </c>
      <c r="BL23" s="139" t="str">
        <f t="shared" ref="BL23:BL25" si="193">IF(BK23=0,"-",BJ23/BK23)</f>
        <v>-</v>
      </c>
      <c r="BM23" s="117">
        <f t="shared" si="22"/>
        <v>336</v>
      </c>
      <c r="BN23" s="120">
        <f>BK23+BH23+BE23+BB23+AY23+AV23+AS23+AP23+AM23+L23+R23+O23+I23+F24+AJ23+AG23+AD23+AA23+X23+C23</f>
        <v>50</v>
      </c>
      <c r="BO23" s="147">
        <f t="shared" si="23"/>
        <v>6.72</v>
      </c>
    </row>
    <row r="24" spans="1:67" ht="15" thickBot="1" x14ac:dyDescent="0.35">
      <c r="A24" s="1">
        <v>45311</v>
      </c>
      <c r="B24" s="20">
        <v>35</v>
      </c>
      <c r="C24" s="21">
        <v>5</v>
      </c>
      <c r="D24" s="122">
        <f t="shared" si="24"/>
        <v>7</v>
      </c>
      <c r="E24" s="20">
        <v>6</v>
      </c>
      <c r="F24" s="21">
        <v>1</v>
      </c>
      <c r="G24" s="122">
        <f t="shared" si="187"/>
        <v>6</v>
      </c>
      <c r="H24" s="20">
        <v>8</v>
      </c>
      <c r="I24" s="21">
        <v>1</v>
      </c>
      <c r="J24" s="122">
        <f t="shared" si="26"/>
        <v>8</v>
      </c>
      <c r="K24" s="23">
        <v>0</v>
      </c>
      <c r="L24" s="21">
        <v>0</v>
      </c>
      <c r="M24" s="139" t="s">
        <v>32</v>
      </c>
      <c r="N24" s="23">
        <v>26</v>
      </c>
      <c r="O24" s="21">
        <v>5</v>
      </c>
      <c r="P24" s="122">
        <f t="shared" si="20"/>
        <v>5.2</v>
      </c>
      <c r="Q24" s="20">
        <v>0</v>
      </c>
      <c r="R24" s="21">
        <v>0</v>
      </c>
      <c r="S24" s="139" t="s">
        <v>32</v>
      </c>
      <c r="T24" s="125">
        <v>0</v>
      </c>
      <c r="U24" s="126">
        <v>0</v>
      </c>
      <c r="V24" s="139" t="str">
        <f t="shared" si="188"/>
        <v>-</v>
      </c>
      <c r="W24" s="20">
        <v>0</v>
      </c>
      <c r="X24" s="21">
        <v>0</v>
      </c>
      <c r="Y24" s="139" t="str">
        <f t="shared" ref="Y24:Y25" si="194">IF(X24=0,"-",W24/X24)</f>
        <v>-</v>
      </c>
      <c r="Z24" s="20">
        <v>0</v>
      </c>
      <c r="AA24" s="21">
        <v>0</v>
      </c>
      <c r="AB24" s="139" t="str">
        <f t="shared" si="177"/>
        <v>-</v>
      </c>
      <c r="AC24" s="20">
        <v>0</v>
      </c>
      <c r="AD24" s="21">
        <v>0</v>
      </c>
      <c r="AE24" s="139" t="str">
        <f t="shared" ref="AE24:AE25" si="195">IF(AD24=0,"-",AC24/AD24)</f>
        <v>-</v>
      </c>
      <c r="AF24" s="20">
        <v>0</v>
      </c>
      <c r="AG24" s="21">
        <v>0</v>
      </c>
      <c r="AH24" s="139" t="str">
        <f t="shared" si="179"/>
        <v>-</v>
      </c>
      <c r="AI24" s="20">
        <v>0</v>
      </c>
      <c r="AJ24" s="21">
        <v>0</v>
      </c>
      <c r="AK24" s="139" t="str">
        <f t="shared" si="180"/>
        <v>-</v>
      </c>
      <c r="AL24" s="20">
        <v>21</v>
      </c>
      <c r="AM24" s="21">
        <v>3</v>
      </c>
      <c r="AN24" s="139">
        <f t="shared" si="181"/>
        <v>7</v>
      </c>
      <c r="AO24" s="20">
        <v>0</v>
      </c>
      <c r="AP24" s="21">
        <v>0</v>
      </c>
      <c r="AQ24" s="139" t="str">
        <f t="shared" ref="AQ24:AQ25" si="196">IF(AP24=0,"-",AO24/AP24)</f>
        <v>-</v>
      </c>
      <c r="AR24" s="20">
        <v>0</v>
      </c>
      <c r="AS24" s="21">
        <v>0</v>
      </c>
      <c r="AT24" s="139" t="str">
        <f t="shared" ref="AT24:AT25" si="197">IF(AS24=0,"-",AR24/AS24)</f>
        <v>-</v>
      </c>
      <c r="AU24" s="20">
        <v>0</v>
      </c>
      <c r="AV24" s="21">
        <v>0</v>
      </c>
      <c r="AW24" s="139" t="str">
        <f t="shared" ref="AW24" si="198">IF(AV24=0,"-",AU24/AV24)</f>
        <v>-</v>
      </c>
      <c r="AX24" s="20">
        <v>0</v>
      </c>
      <c r="AY24" s="21">
        <v>0</v>
      </c>
      <c r="AZ24" s="139" t="str">
        <f t="shared" ref="AZ24:AZ26" si="199">IF(AY24=0,"-",AX24/AY24)</f>
        <v>-</v>
      </c>
      <c r="BA24" s="20">
        <v>0</v>
      </c>
      <c r="BB24" s="21">
        <v>0</v>
      </c>
      <c r="BC24" s="139" t="str">
        <f t="shared" ref="BC24" si="200">IF(BB24=0,"-",BA24/BB24)</f>
        <v>-</v>
      </c>
      <c r="BD24" s="20">
        <v>0</v>
      </c>
      <c r="BE24" s="21">
        <v>0</v>
      </c>
      <c r="BF24" s="139" t="str">
        <f t="shared" si="191"/>
        <v>-</v>
      </c>
      <c r="BG24" s="20">
        <v>0</v>
      </c>
      <c r="BH24" s="21">
        <v>0</v>
      </c>
      <c r="BI24" s="139" t="str">
        <f t="shared" si="192"/>
        <v>-</v>
      </c>
      <c r="BJ24" s="20">
        <v>0</v>
      </c>
      <c r="BK24" s="21">
        <v>0</v>
      </c>
      <c r="BL24" s="139" t="str">
        <f t="shared" si="193"/>
        <v>-</v>
      </c>
      <c r="BM24" s="117">
        <f t="shared" si="22"/>
        <v>96</v>
      </c>
      <c r="BN24" s="120">
        <f>BK24+BH24+BE24+BB24+AY24+AV24+AS24+AP24+AM24+L24+R24+O24+I24+F25+AJ24+AG24+AD24+AA24+X24+C24</f>
        <v>14</v>
      </c>
      <c r="BO24" s="147">
        <f t="shared" si="23"/>
        <v>6.8571428571428568</v>
      </c>
    </row>
    <row r="25" spans="1:67" ht="15" thickBot="1" x14ac:dyDescent="0.35">
      <c r="A25" s="1">
        <v>45312</v>
      </c>
      <c r="B25" s="20">
        <v>0</v>
      </c>
      <c r="C25" s="21">
        <v>0</v>
      </c>
      <c r="D25" s="139" t="s">
        <v>32</v>
      </c>
      <c r="E25" s="20">
        <v>0</v>
      </c>
      <c r="F25" s="21">
        <v>0</v>
      </c>
      <c r="G25" s="139" t="s">
        <v>32</v>
      </c>
      <c r="H25" s="20">
        <v>0</v>
      </c>
      <c r="I25" s="21">
        <v>0</v>
      </c>
      <c r="J25" s="139" t="s">
        <v>32</v>
      </c>
      <c r="K25" s="20">
        <v>0</v>
      </c>
      <c r="L25" s="21">
        <v>0</v>
      </c>
      <c r="M25" s="139" t="s">
        <v>32</v>
      </c>
      <c r="N25" s="20">
        <v>0</v>
      </c>
      <c r="O25" s="21">
        <v>0</v>
      </c>
      <c r="P25" s="139" t="s">
        <v>32</v>
      </c>
      <c r="Q25" s="20">
        <v>0</v>
      </c>
      <c r="R25" s="21">
        <v>0</v>
      </c>
      <c r="S25" s="139" t="s">
        <v>32</v>
      </c>
      <c r="T25" s="20">
        <v>12</v>
      </c>
      <c r="U25" s="21">
        <v>2</v>
      </c>
      <c r="V25" s="122">
        <f t="shared" si="97"/>
        <v>6</v>
      </c>
      <c r="W25" s="20">
        <v>0</v>
      </c>
      <c r="X25" s="21">
        <v>0</v>
      </c>
      <c r="Y25" s="139" t="str">
        <f t="shared" si="194"/>
        <v>-</v>
      </c>
      <c r="Z25" s="20">
        <v>0</v>
      </c>
      <c r="AA25" s="21">
        <v>0</v>
      </c>
      <c r="AB25" s="139" t="str">
        <f t="shared" si="177"/>
        <v>-</v>
      </c>
      <c r="AC25" s="20">
        <v>0</v>
      </c>
      <c r="AD25" s="21">
        <v>0</v>
      </c>
      <c r="AE25" s="139" t="str">
        <f t="shared" si="195"/>
        <v>-</v>
      </c>
      <c r="AF25" s="20">
        <v>0</v>
      </c>
      <c r="AG25" s="21">
        <v>0</v>
      </c>
      <c r="AH25" s="139" t="str">
        <f t="shared" si="179"/>
        <v>-</v>
      </c>
      <c r="AI25" s="20">
        <v>0</v>
      </c>
      <c r="AJ25" s="21">
        <v>0</v>
      </c>
      <c r="AK25" s="139" t="str">
        <f t="shared" si="180"/>
        <v>-</v>
      </c>
      <c r="AL25" s="20">
        <v>0</v>
      </c>
      <c r="AM25" s="21">
        <v>0</v>
      </c>
      <c r="AN25" s="139" t="str">
        <f t="shared" si="181"/>
        <v>-</v>
      </c>
      <c r="AO25" s="20">
        <v>0</v>
      </c>
      <c r="AP25" s="21">
        <v>0</v>
      </c>
      <c r="AQ25" s="139" t="str">
        <f t="shared" si="196"/>
        <v>-</v>
      </c>
      <c r="AR25" s="20">
        <v>0</v>
      </c>
      <c r="AS25" s="21">
        <v>0</v>
      </c>
      <c r="AT25" s="139" t="str">
        <f t="shared" si="197"/>
        <v>-</v>
      </c>
      <c r="AU25" s="20">
        <v>7</v>
      </c>
      <c r="AV25" s="21">
        <v>1</v>
      </c>
      <c r="AW25" s="122">
        <f t="shared" si="72"/>
        <v>7</v>
      </c>
      <c r="AX25" s="20">
        <v>0</v>
      </c>
      <c r="AY25" s="21">
        <v>0</v>
      </c>
      <c r="AZ25" s="139" t="str">
        <f t="shared" si="199"/>
        <v>-</v>
      </c>
      <c r="BA25" s="20">
        <v>0</v>
      </c>
      <c r="BB25" s="21">
        <v>0</v>
      </c>
      <c r="BC25" s="139" t="str">
        <f t="shared" ref="BC25" si="201">IF(BB25=0,"-",BA25/BB25)</f>
        <v>-</v>
      </c>
      <c r="BD25" s="20">
        <v>0</v>
      </c>
      <c r="BE25" s="21">
        <v>0</v>
      </c>
      <c r="BF25" s="139" t="str">
        <f t="shared" si="191"/>
        <v>-</v>
      </c>
      <c r="BG25" s="20">
        <v>0</v>
      </c>
      <c r="BH25" s="21">
        <v>0</v>
      </c>
      <c r="BI25" s="139" t="str">
        <f t="shared" si="192"/>
        <v>-</v>
      </c>
      <c r="BJ25" s="20">
        <v>0</v>
      </c>
      <c r="BK25" s="21">
        <v>0</v>
      </c>
      <c r="BL25" s="139" t="str">
        <f t="shared" si="193"/>
        <v>-</v>
      </c>
      <c r="BM25" s="117">
        <f t="shared" si="22"/>
        <v>7</v>
      </c>
      <c r="BN25" s="120">
        <f>BK25+BH25+BE25+BB25+AY25+AV25+AS25+AP25+AM25+L25+R25+O25+I25+F25+AJ26+AG25+AD25+AA25+X25+C25</f>
        <v>1</v>
      </c>
      <c r="BO25" s="147">
        <f t="shared" si="23"/>
        <v>7</v>
      </c>
    </row>
    <row r="26" spans="1:67" ht="15" thickBot="1" x14ac:dyDescent="0.35">
      <c r="A26" s="1">
        <v>45313</v>
      </c>
      <c r="B26" s="20">
        <v>32</v>
      </c>
      <c r="C26" s="21">
        <v>4</v>
      </c>
      <c r="D26" s="122">
        <f>IF(C26=0,"",B26/C26)</f>
        <v>8</v>
      </c>
      <c r="E26" s="20">
        <v>0</v>
      </c>
      <c r="F26" s="21">
        <v>0</v>
      </c>
      <c r="G26" s="139" t="s">
        <v>32</v>
      </c>
      <c r="H26" s="20">
        <v>0</v>
      </c>
      <c r="I26" s="21">
        <v>0</v>
      </c>
      <c r="J26" s="139" t="s">
        <v>32</v>
      </c>
      <c r="K26" s="20">
        <v>0</v>
      </c>
      <c r="L26" s="21">
        <v>0</v>
      </c>
      <c r="M26" s="139" t="s">
        <v>32</v>
      </c>
      <c r="N26" s="23">
        <v>85</v>
      </c>
      <c r="O26" s="21">
        <v>14</v>
      </c>
      <c r="P26" s="122">
        <f t="shared" si="20"/>
        <v>6.0714285714285712</v>
      </c>
      <c r="Q26" s="20">
        <v>219</v>
      </c>
      <c r="R26" s="21">
        <v>35</v>
      </c>
      <c r="S26" s="122">
        <f t="shared" si="21"/>
        <v>6.2571428571428571</v>
      </c>
      <c r="T26" s="20">
        <v>0</v>
      </c>
      <c r="U26" s="21">
        <v>0</v>
      </c>
      <c r="V26" s="139" t="s">
        <v>32</v>
      </c>
      <c r="W26" s="20">
        <v>0</v>
      </c>
      <c r="X26" s="21">
        <v>0</v>
      </c>
      <c r="Y26" s="139" t="str">
        <f t="shared" ref="Y26" si="202">IF(X26=0,"-",W26/X26)</f>
        <v>-</v>
      </c>
      <c r="Z26" s="20">
        <v>0</v>
      </c>
      <c r="AA26" s="21">
        <v>0</v>
      </c>
      <c r="AB26" s="139" t="str">
        <f t="shared" ref="AB26" si="203">IF(AA26=0,"-",Z26/AA26)</f>
        <v>-</v>
      </c>
      <c r="AC26" s="20">
        <v>0</v>
      </c>
      <c r="AD26" s="21">
        <v>0</v>
      </c>
      <c r="AE26" s="139" t="str">
        <f t="shared" ref="AE26" si="204">IF(AD26=0,"-",AC26/AD26)</f>
        <v>-</v>
      </c>
      <c r="AF26" s="20">
        <v>0</v>
      </c>
      <c r="AG26" s="21">
        <v>0</v>
      </c>
      <c r="AH26" s="139" t="str">
        <f t="shared" ref="AH26" si="205">IF(AG26=0,"-",AF26/AG26)</f>
        <v>-</v>
      </c>
      <c r="AI26" s="20">
        <v>0</v>
      </c>
      <c r="AJ26" s="21">
        <v>0</v>
      </c>
      <c r="AK26" s="139" t="str">
        <f t="shared" ref="AK26" si="206">IF(AJ26=0,"-",AI26/AJ26)</f>
        <v>-</v>
      </c>
      <c r="AL26" s="20">
        <v>35</v>
      </c>
      <c r="AM26" s="21">
        <v>5</v>
      </c>
      <c r="AN26" s="122">
        <f t="shared" si="55"/>
        <v>7</v>
      </c>
      <c r="AO26" s="20">
        <v>0</v>
      </c>
      <c r="AP26" s="21">
        <v>0</v>
      </c>
      <c r="AQ26" s="139" t="str">
        <f t="shared" ref="AQ26" si="207">IF(AP26=0,"-",AO26/AP26)</f>
        <v>-</v>
      </c>
      <c r="AR26" s="20">
        <v>0</v>
      </c>
      <c r="AS26" s="21">
        <v>0</v>
      </c>
      <c r="AT26" s="139" t="str">
        <f t="shared" ref="AT26" si="208">IF(AS26=0,"-",AR26/AS26)</f>
        <v>-</v>
      </c>
      <c r="AU26" s="20">
        <v>0</v>
      </c>
      <c r="AV26" s="21">
        <v>0</v>
      </c>
      <c r="AW26" s="139" t="str">
        <f t="shared" ref="AW26" si="209">IF(AV26=0,"-",AU26/AV26)</f>
        <v>-</v>
      </c>
      <c r="AX26" s="20">
        <v>0</v>
      </c>
      <c r="AY26" s="21">
        <v>0</v>
      </c>
      <c r="AZ26" s="139" t="str">
        <f t="shared" si="199"/>
        <v>-</v>
      </c>
      <c r="BA26" s="20">
        <v>7</v>
      </c>
      <c r="BB26" s="21">
        <v>1</v>
      </c>
      <c r="BC26" s="122">
        <f t="shared" si="49"/>
        <v>7</v>
      </c>
      <c r="BD26" s="20">
        <v>0</v>
      </c>
      <c r="BE26" s="21">
        <v>0</v>
      </c>
      <c r="BF26" s="139" t="str">
        <f t="shared" ref="BF26:BF27" si="210">IF(BE26=0,"-",BD26/BE26)</f>
        <v>-</v>
      </c>
      <c r="BG26" s="20">
        <v>0</v>
      </c>
      <c r="BH26" s="21">
        <v>0</v>
      </c>
      <c r="BI26" s="139" t="str">
        <f t="shared" ref="BI26:BI27" si="211">IF(BH26=0,"-",BG26/BH26)</f>
        <v>-</v>
      </c>
      <c r="BJ26" s="20">
        <v>0</v>
      </c>
      <c r="BK26" s="21">
        <v>0</v>
      </c>
      <c r="BL26" s="139" t="str">
        <f t="shared" ref="BL26:BL27" si="212">IF(BK26=0,"-",BJ26/BK26)</f>
        <v>-</v>
      </c>
      <c r="BM26" s="117">
        <f t="shared" si="22"/>
        <v>378</v>
      </c>
      <c r="BN26" s="120">
        <f t="shared" ref="BN26:BN27" si="213">BK26+BH26+BE26+BB26+AY26+AV26+AS26+AP26+AM26+L26+R26+O26+I26+F26+AJ27+AG26+AD26+AA26+X26+C26</f>
        <v>59</v>
      </c>
      <c r="BO26" s="147">
        <f t="shared" si="23"/>
        <v>6.406779661016949</v>
      </c>
    </row>
    <row r="27" spans="1:67" ht="15" thickBot="1" x14ac:dyDescent="0.35">
      <c r="A27" s="1">
        <v>45314</v>
      </c>
      <c r="B27" s="20">
        <v>35</v>
      </c>
      <c r="C27" s="21">
        <v>5</v>
      </c>
      <c r="D27" s="122">
        <f t="shared" si="24"/>
        <v>7</v>
      </c>
      <c r="E27" s="20">
        <v>7</v>
      </c>
      <c r="F27" s="21">
        <v>1</v>
      </c>
      <c r="G27" s="122">
        <f t="shared" si="25"/>
        <v>7</v>
      </c>
      <c r="H27" s="20">
        <v>6</v>
      </c>
      <c r="I27" s="21">
        <v>1</v>
      </c>
      <c r="J27" s="122">
        <f t="shared" si="26"/>
        <v>6</v>
      </c>
      <c r="K27" s="20">
        <v>0</v>
      </c>
      <c r="L27" s="21">
        <v>0</v>
      </c>
      <c r="M27" s="139" t="s">
        <v>32</v>
      </c>
      <c r="N27" s="23">
        <v>58</v>
      </c>
      <c r="O27" s="21">
        <v>10</v>
      </c>
      <c r="P27" s="122">
        <f t="shared" si="20"/>
        <v>5.8</v>
      </c>
      <c r="Q27" s="20">
        <v>0</v>
      </c>
      <c r="R27" s="21">
        <v>0</v>
      </c>
      <c r="S27" s="139" t="s">
        <v>32</v>
      </c>
      <c r="T27" s="20">
        <v>0</v>
      </c>
      <c r="U27" s="21">
        <v>0</v>
      </c>
      <c r="V27" s="139" t="s">
        <v>32</v>
      </c>
      <c r="W27" s="20">
        <v>0</v>
      </c>
      <c r="X27" s="21">
        <v>0</v>
      </c>
      <c r="Y27" s="139" t="str">
        <f t="shared" ref="Y27" si="214">IF(X27=0,"-",W27/X27)</f>
        <v>-</v>
      </c>
      <c r="Z27" s="20">
        <v>0</v>
      </c>
      <c r="AA27" s="21">
        <v>0</v>
      </c>
      <c r="AB27" s="139" t="str">
        <f t="shared" ref="AB27" si="215">IF(AA27=0,"-",Z27/AA27)</f>
        <v>-</v>
      </c>
      <c r="AC27" s="20">
        <v>0</v>
      </c>
      <c r="AD27" s="21">
        <v>0</v>
      </c>
      <c r="AE27" s="139" t="str">
        <f t="shared" ref="AE27" si="216">IF(AD27=0,"-",AC27/AD27)</f>
        <v>-</v>
      </c>
      <c r="AF27" s="20">
        <v>0</v>
      </c>
      <c r="AG27" s="21">
        <v>0</v>
      </c>
      <c r="AH27" s="139" t="str">
        <f t="shared" ref="AH27" si="217">IF(AG27=0,"-",AF27/AG27)</f>
        <v>-</v>
      </c>
      <c r="AI27" s="20">
        <v>0</v>
      </c>
      <c r="AJ27" s="21">
        <v>0</v>
      </c>
      <c r="AK27" s="139" t="str">
        <f t="shared" ref="AK27" si="218">IF(AJ27=0,"-",AI27/AJ27)</f>
        <v>-</v>
      </c>
      <c r="AL27" s="20">
        <v>43</v>
      </c>
      <c r="AM27" s="21">
        <v>6</v>
      </c>
      <c r="AN27" s="122">
        <f t="shared" si="55"/>
        <v>7.166666666666667</v>
      </c>
      <c r="AO27" s="20">
        <v>0</v>
      </c>
      <c r="AP27" s="21">
        <v>0</v>
      </c>
      <c r="AQ27" s="139" t="str">
        <f t="shared" ref="AQ27:AQ28" si="219">IF(AP27=0,"-",AO27/AP27)</f>
        <v>-</v>
      </c>
      <c r="AR27" s="20">
        <v>0</v>
      </c>
      <c r="AS27" s="21">
        <v>0</v>
      </c>
      <c r="AT27" s="139" t="str">
        <f t="shared" ref="AT27:AT28" si="220">IF(AS27=0,"-",AR27/AS27)</f>
        <v>-</v>
      </c>
      <c r="AU27" s="20">
        <v>0</v>
      </c>
      <c r="AV27" s="21">
        <v>0</v>
      </c>
      <c r="AW27" s="139" t="str">
        <f t="shared" ref="AW27:AW28" si="221">IF(AV27=0,"-",AU27/AV27)</f>
        <v>-</v>
      </c>
      <c r="AX27" s="20">
        <v>0</v>
      </c>
      <c r="AY27" s="21">
        <v>0</v>
      </c>
      <c r="AZ27" s="139" t="str">
        <f t="shared" ref="AZ27:AZ28" si="222">IF(AY27=0,"-",AX27/AY27)</f>
        <v>-</v>
      </c>
      <c r="BA27" s="20">
        <v>0</v>
      </c>
      <c r="BB27" s="21">
        <v>0</v>
      </c>
      <c r="BC27" s="139" t="str">
        <f t="shared" ref="BC27" si="223">IF(BB27=0,"-",BA27/BB27)</f>
        <v>-</v>
      </c>
      <c r="BD27" s="20">
        <v>0</v>
      </c>
      <c r="BE27" s="21">
        <v>0</v>
      </c>
      <c r="BF27" s="139" t="str">
        <f t="shared" si="210"/>
        <v>-</v>
      </c>
      <c r="BG27" s="20">
        <v>0</v>
      </c>
      <c r="BH27" s="21">
        <v>0</v>
      </c>
      <c r="BI27" s="139" t="str">
        <f t="shared" si="211"/>
        <v>-</v>
      </c>
      <c r="BJ27" s="20">
        <v>0</v>
      </c>
      <c r="BK27" s="21">
        <v>0</v>
      </c>
      <c r="BL27" s="139" t="str">
        <f t="shared" si="212"/>
        <v>-</v>
      </c>
      <c r="BM27" s="117">
        <f t="shared" si="22"/>
        <v>149</v>
      </c>
      <c r="BN27" s="120">
        <f t="shared" si="213"/>
        <v>23</v>
      </c>
      <c r="BO27" s="147">
        <f t="shared" si="23"/>
        <v>6.4782608695652177</v>
      </c>
    </row>
    <row r="28" spans="1:67" ht="15" thickBot="1" x14ac:dyDescent="0.35">
      <c r="A28" s="1">
        <v>45315</v>
      </c>
      <c r="B28" s="20">
        <v>44</v>
      </c>
      <c r="C28" s="21">
        <v>7</v>
      </c>
      <c r="D28" s="122">
        <f t="shared" si="24"/>
        <v>6.2857142857142856</v>
      </c>
      <c r="E28" s="20">
        <v>7</v>
      </c>
      <c r="F28" s="21">
        <v>1</v>
      </c>
      <c r="G28" s="122">
        <f t="shared" si="25"/>
        <v>7</v>
      </c>
      <c r="H28" s="20">
        <v>26</v>
      </c>
      <c r="I28" s="21">
        <v>3</v>
      </c>
      <c r="J28" s="122">
        <f t="shared" si="26"/>
        <v>8.6666666666666661</v>
      </c>
      <c r="K28" s="20">
        <v>0</v>
      </c>
      <c r="L28" s="21">
        <v>0</v>
      </c>
      <c r="M28" s="139" t="s">
        <v>32</v>
      </c>
      <c r="N28" s="23">
        <v>51</v>
      </c>
      <c r="O28" s="21">
        <v>9</v>
      </c>
      <c r="P28" s="122">
        <f t="shared" si="20"/>
        <v>5.666666666666667</v>
      </c>
      <c r="Q28" s="20">
        <v>0</v>
      </c>
      <c r="R28" s="21">
        <v>0</v>
      </c>
      <c r="S28" s="139" t="s">
        <v>32</v>
      </c>
      <c r="T28" s="20">
        <v>0</v>
      </c>
      <c r="U28" s="21">
        <v>0</v>
      </c>
      <c r="V28" s="139" t="s">
        <v>32</v>
      </c>
      <c r="W28" s="20">
        <v>7</v>
      </c>
      <c r="X28" s="21">
        <v>1</v>
      </c>
      <c r="Y28" s="122">
        <f t="shared" si="51"/>
        <v>7</v>
      </c>
      <c r="Z28" s="20">
        <v>0</v>
      </c>
      <c r="AA28" s="21">
        <v>0</v>
      </c>
      <c r="AB28" s="139" t="str">
        <f t="shared" ref="AB28" si="224">IF(AA28=0,"-",Z28/AA28)</f>
        <v>-</v>
      </c>
      <c r="AC28" s="20">
        <v>0</v>
      </c>
      <c r="AD28" s="21">
        <v>0</v>
      </c>
      <c r="AE28" s="139" t="str">
        <f t="shared" ref="AE28" si="225">IF(AD28=0,"-",AC28/AD28)</f>
        <v>-</v>
      </c>
      <c r="AF28" s="20">
        <v>0</v>
      </c>
      <c r="AG28" s="21">
        <v>0</v>
      </c>
      <c r="AH28" s="139" t="str">
        <f t="shared" ref="AH28" si="226">IF(AG28=0,"-",AF28/AG28)</f>
        <v>-</v>
      </c>
      <c r="AI28" s="20">
        <v>0</v>
      </c>
      <c r="AJ28" s="21">
        <v>0</v>
      </c>
      <c r="AK28" s="139" t="str">
        <f t="shared" ref="AK28" si="227">IF(AJ28=0,"-",AI28/AJ28)</f>
        <v>-</v>
      </c>
      <c r="AL28" s="20">
        <v>0</v>
      </c>
      <c r="AM28" s="21">
        <v>0</v>
      </c>
      <c r="AN28" s="139" t="str">
        <f t="shared" ref="AN28" si="228">IF(AM28=0,"-",AL28/AM28)</f>
        <v>-</v>
      </c>
      <c r="AO28" s="20">
        <v>0</v>
      </c>
      <c r="AP28" s="21">
        <v>0</v>
      </c>
      <c r="AQ28" s="139" t="str">
        <f t="shared" si="219"/>
        <v>-</v>
      </c>
      <c r="AR28" s="20">
        <v>0</v>
      </c>
      <c r="AS28" s="21">
        <v>0</v>
      </c>
      <c r="AT28" s="139" t="str">
        <f t="shared" si="220"/>
        <v>-</v>
      </c>
      <c r="AU28" s="20">
        <v>0</v>
      </c>
      <c r="AV28" s="21">
        <v>0</v>
      </c>
      <c r="AW28" s="139" t="str">
        <f t="shared" si="221"/>
        <v>-</v>
      </c>
      <c r="AX28" s="20">
        <v>0</v>
      </c>
      <c r="AY28" s="21">
        <v>0</v>
      </c>
      <c r="AZ28" s="139" t="str">
        <f t="shared" si="222"/>
        <v>-</v>
      </c>
      <c r="BA28" s="20">
        <v>0</v>
      </c>
      <c r="BB28" s="21">
        <v>0</v>
      </c>
      <c r="BC28" s="139" t="str">
        <f t="shared" ref="BC28" si="229">IF(BB28=0,"-",BA28/BB28)</f>
        <v>-</v>
      </c>
      <c r="BD28" s="20">
        <v>0</v>
      </c>
      <c r="BE28" s="21">
        <v>0</v>
      </c>
      <c r="BF28" s="139" t="str">
        <f t="shared" ref="BF28" si="230">IF(BE28=0,"-",BD28/BE28)</f>
        <v>-</v>
      </c>
      <c r="BG28" s="20">
        <v>0</v>
      </c>
      <c r="BH28" s="21">
        <v>0</v>
      </c>
      <c r="BI28" s="139" t="str">
        <f t="shared" ref="BI28" si="231">IF(BH28=0,"-",BG28/BH28)</f>
        <v>-</v>
      </c>
      <c r="BJ28" s="20">
        <v>0</v>
      </c>
      <c r="BK28" s="21">
        <v>0</v>
      </c>
      <c r="BL28" s="139" t="str">
        <f t="shared" ref="BL28" si="232">IF(BK28=0,"-",BJ28/BK28)</f>
        <v>-</v>
      </c>
      <c r="BM28" s="117">
        <f t="shared" si="22"/>
        <v>135</v>
      </c>
      <c r="BN28" s="120">
        <f t="shared" si="22"/>
        <v>21</v>
      </c>
      <c r="BO28" s="147">
        <f t="shared" si="23"/>
        <v>6.4285714285714288</v>
      </c>
    </row>
    <row r="29" spans="1:67" ht="15" thickBot="1" x14ac:dyDescent="0.35">
      <c r="A29" s="1">
        <v>45316</v>
      </c>
      <c r="B29" s="20">
        <v>47</v>
      </c>
      <c r="C29" s="21">
        <v>6</v>
      </c>
      <c r="D29" s="122">
        <f t="shared" si="24"/>
        <v>7.833333333333333</v>
      </c>
      <c r="E29" s="20">
        <v>0</v>
      </c>
      <c r="F29" s="21">
        <v>0</v>
      </c>
      <c r="G29" s="139" t="s">
        <v>32</v>
      </c>
      <c r="H29" s="20">
        <v>9</v>
      </c>
      <c r="I29" s="21">
        <v>1</v>
      </c>
      <c r="J29" s="122">
        <f t="shared" si="26"/>
        <v>9</v>
      </c>
      <c r="K29" s="20">
        <v>0</v>
      </c>
      <c r="L29" s="21">
        <v>0</v>
      </c>
      <c r="M29" s="139" t="s">
        <v>32</v>
      </c>
      <c r="N29" s="23">
        <v>82</v>
      </c>
      <c r="O29" s="21">
        <v>16</v>
      </c>
      <c r="P29" s="122">
        <f t="shared" si="20"/>
        <v>5.125</v>
      </c>
      <c r="Q29" s="20">
        <v>0</v>
      </c>
      <c r="R29" s="21">
        <v>0</v>
      </c>
      <c r="S29" s="139" t="s">
        <v>32</v>
      </c>
      <c r="T29" s="20">
        <v>0</v>
      </c>
      <c r="U29" s="21">
        <v>0</v>
      </c>
      <c r="V29" s="139" t="s">
        <v>32</v>
      </c>
      <c r="W29" s="20">
        <v>6</v>
      </c>
      <c r="X29" s="21">
        <v>1</v>
      </c>
      <c r="Y29" s="122">
        <f t="shared" si="51"/>
        <v>6</v>
      </c>
      <c r="Z29" s="20">
        <v>0</v>
      </c>
      <c r="AA29" s="21">
        <v>0</v>
      </c>
      <c r="AB29" s="139" t="str">
        <f t="shared" ref="AB29" si="233">IF(AA29=0,"-",Z29/AA29)</f>
        <v>-</v>
      </c>
      <c r="AC29" s="20">
        <v>0</v>
      </c>
      <c r="AD29" s="21">
        <v>0</v>
      </c>
      <c r="AE29" s="139" t="str">
        <f t="shared" ref="AE29" si="234">IF(AD29=0,"-",AC29/AD29)</f>
        <v>-</v>
      </c>
      <c r="AF29" s="20">
        <v>0</v>
      </c>
      <c r="AG29" s="21">
        <v>0</v>
      </c>
      <c r="AH29" s="139" t="str">
        <f t="shared" ref="AH29" si="235">IF(AG29=0,"-",AF29/AG29)</f>
        <v>-</v>
      </c>
      <c r="AI29" s="20">
        <v>0</v>
      </c>
      <c r="AJ29" s="21">
        <v>0</v>
      </c>
      <c r="AK29" s="139" t="str">
        <f t="shared" ref="AK29" si="236">IF(AJ29=0,"-",AI29/AJ29)</f>
        <v>-</v>
      </c>
      <c r="AL29" s="20">
        <v>7</v>
      </c>
      <c r="AM29" s="21">
        <v>1</v>
      </c>
      <c r="AN29" s="122">
        <f t="shared" si="55"/>
        <v>7</v>
      </c>
      <c r="AO29" s="20">
        <v>0</v>
      </c>
      <c r="AP29" s="21">
        <v>0</v>
      </c>
      <c r="AQ29" s="139" t="str">
        <f t="shared" ref="AQ29" si="237">IF(AP29=0,"-",AO29/AP29)</f>
        <v>-</v>
      </c>
      <c r="AR29" s="20">
        <v>0</v>
      </c>
      <c r="AS29" s="21">
        <v>0</v>
      </c>
      <c r="AT29" s="139" t="str">
        <f t="shared" ref="AT29" si="238">IF(AS29=0,"-",AR29/AS29)</f>
        <v>-</v>
      </c>
      <c r="AU29" s="20">
        <v>0</v>
      </c>
      <c r="AV29" s="21">
        <v>0</v>
      </c>
      <c r="AW29" s="139" t="str">
        <f t="shared" ref="AW29" si="239">IF(AV29=0,"-",AU29/AV29)</f>
        <v>-</v>
      </c>
      <c r="AX29" s="20">
        <v>0</v>
      </c>
      <c r="AY29" s="21">
        <v>0</v>
      </c>
      <c r="AZ29" s="139" t="str">
        <f t="shared" ref="AZ29" si="240">IF(AY29=0,"-",AX29/AY29)</f>
        <v>-</v>
      </c>
      <c r="BA29" s="20">
        <v>24</v>
      </c>
      <c r="BB29" s="21">
        <v>3</v>
      </c>
      <c r="BC29" s="122">
        <f t="shared" si="49"/>
        <v>8</v>
      </c>
      <c r="BD29" s="20">
        <v>0</v>
      </c>
      <c r="BE29" s="21">
        <v>0</v>
      </c>
      <c r="BF29" s="139" t="str">
        <f t="shared" ref="BF29" si="241">IF(BE29=0,"-",BD29/BE29)</f>
        <v>-</v>
      </c>
      <c r="BG29" s="20">
        <v>0</v>
      </c>
      <c r="BH29" s="21">
        <v>0</v>
      </c>
      <c r="BI29" s="139" t="str">
        <f t="shared" ref="BI29" si="242">IF(BH29=0,"-",BG29/BH29)</f>
        <v>-</v>
      </c>
      <c r="BJ29" s="20">
        <v>0</v>
      </c>
      <c r="BK29" s="21">
        <v>0</v>
      </c>
      <c r="BL29" s="139" t="str">
        <f t="shared" ref="BL29" si="243">IF(BK29=0,"-",BJ29/BK29)</f>
        <v>-</v>
      </c>
      <c r="BM29" s="117">
        <f t="shared" si="22"/>
        <v>175</v>
      </c>
      <c r="BN29" s="120">
        <f t="shared" si="22"/>
        <v>28</v>
      </c>
      <c r="BO29" s="147">
        <f t="shared" si="23"/>
        <v>6.25</v>
      </c>
    </row>
    <row r="30" spans="1:67" ht="15" thickBot="1" x14ac:dyDescent="0.35">
      <c r="A30" s="1">
        <v>45317</v>
      </c>
      <c r="B30" s="20">
        <v>24</v>
      </c>
      <c r="C30" s="21">
        <v>3</v>
      </c>
      <c r="D30" s="122">
        <f t="shared" si="24"/>
        <v>8</v>
      </c>
      <c r="E30" s="20">
        <v>0</v>
      </c>
      <c r="F30" s="21">
        <v>0</v>
      </c>
      <c r="G30" s="139" t="s">
        <v>32</v>
      </c>
      <c r="H30" s="20">
        <v>0</v>
      </c>
      <c r="I30" s="21">
        <v>0</v>
      </c>
      <c r="J30" s="139" t="s">
        <v>32</v>
      </c>
      <c r="K30" s="20">
        <v>0</v>
      </c>
      <c r="L30" s="21">
        <v>0</v>
      </c>
      <c r="M30" s="139" t="s">
        <v>32</v>
      </c>
      <c r="N30" s="23">
        <v>11</v>
      </c>
      <c r="O30" s="21">
        <v>2</v>
      </c>
      <c r="P30" s="122">
        <f t="shared" si="20"/>
        <v>5.5</v>
      </c>
      <c r="Q30" s="20">
        <v>0</v>
      </c>
      <c r="R30" s="21">
        <v>0</v>
      </c>
      <c r="S30" s="139" t="s">
        <v>32</v>
      </c>
      <c r="T30" s="20">
        <v>0</v>
      </c>
      <c r="U30" s="21">
        <v>0</v>
      </c>
      <c r="V30" s="139" t="s">
        <v>32</v>
      </c>
      <c r="W30" s="20">
        <v>0</v>
      </c>
      <c r="X30" s="21">
        <v>0</v>
      </c>
      <c r="Y30" s="139" t="s">
        <v>32</v>
      </c>
      <c r="Z30" s="20">
        <v>0</v>
      </c>
      <c r="AA30" s="21">
        <v>0</v>
      </c>
      <c r="AB30" s="139" t="s">
        <v>32</v>
      </c>
      <c r="AC30" s="20">
        <v>4</v>
      </c>
      <c r="AD30" s="21">
        <v>1</v>
      </c>
      <c r="AE30" s="139" t="s">
        <v>32</v>
      </c>
      <c r="AF30" s="20">
        <v>0</v>
      </c>
      <c r="AG30" s="21">
        <v>0</v>
      </c>
      <c r="AH30" s="139" t="s">
        <v>32</v>
      </c>
      <c r="AI30" s="20">
        <v>0</v>
      </c>
      <c r="AJ30" s="21">
        <v>0</v>
      </c>
      <c r="AK30" s="139" t="s">
        <v>32</v>
      </c>
      <c r="AL30" s="20">
        <v>43</v>
      </c>
      <c r="AM30" s="21">
        <v>6</v>
      </c>
      <c r="AN30" s="122">
        <f t="shared" si="55"/>
        <v>7.166666666666667</v>
      </c>
      <c r="AO30" s="20">
        <v>0</v>
      </c>
      <c r="AP30" s="21">
        <v>0</v>
      </c>
      <c r="AQ30" s="139" t="str">
        <f t="shared" ref="AQ30:AQ31" si="244">IF(AP30=0,"-",AO30/AP30)</f>
        <v>-</v>
      </c>
      <c r="AR30" s="20">
        <v>0</v>
      </c>
      <c r="AS30" s="21">
        <v>0</v>
      </c>
      <c r="AT30" s="139" t="str">
        <f t="shared" ref="AT30:AT31" si="245">IF(AS30=0,"-",AR30/AS30)</f>
        <v>-</v>
      </c>
      <c r="AU30" s="20">
        <v>0</v>
      </c>
      <c r="AV30" s="21">
        <v>0</v>
      </c>
      <c r="AW30" s="139" t="str">
        <f t="shared" ref="AW30:AW31" si="246">IF(AV30=0,"-",AU30/AV30)</f>
        <v>-</v>
      </c>
      <c r="AX30" s="20">
        <v>0</v>
      </c>
      <c r="AY30" s="21">
        <v>0</v>
      </c>
      <c r="AZ30" s="139" t="str">
        <f t="shared" ref="AZ30:AZ31" si="247">IF(AY30=0,"-",AX30/AY30)</f>
        <v>-</v>
      </c>
      <c r="BA30" s="20">
        <v>8</v>
      </c>
      <c r="BB30" s="21">
        <v>1</v>
      </c>
      <c r="BC30" s="122">
        <f t="shared" si="49"/>
        <v>8</v>
      </c>
      <c r="BD30" s="20">
        <v>0</v>
      </c>
      <c r="BE30" s="21">
        <v>0</v>
      </c>
      <c r="BF30" s="139" t="str">
        <f t="shared" ref="BF30:BF31" si="248">IF(BE30=0,"-",BD30/BE30)</f>
        <v>-</v>
      </c>
      <c r="BG30" s="20">
        <v>0</v>
      </c>
      <c r="BH30" s="21">
        <v>0</v>
      </c>
      <c r="BI30" s="139" t="str">
        <f t="shared" ref="BI30:BI31" si="249">IF(BH30=0,"-",BG30/BH30)</f>
        <v>-</v>
      </c>
      <c r="BJ30" s="20">
        <v>0</v>
      </c>
      <c r="BK30" s="21">
        <v>0</v>
      </c>
      <c r="BL30" s="139" t="str">
        <f t="shared" ref="BL30:BL31" si="250">IF(BK30=0,"-",BJ30/BK30)</f>
        <v>-</v>
      </c>
      <c r="BM30" s="117">
        <f t="shared" si="22"/>
        <v>90</v>
      </c>
      <c r="BN30" s="120">
        <f t="shared" si="22"/>
        <v>13</v>
      </c>
      <c r="BO30" s="147">
        <f t="shared" si="23"/>
        <v>6.9230769230769234</v>
      </c>
    </row>
    <row r="31" spans="1:67" ht="15" thickBot="1" x14ac:dyDescent="0.35">
      <c r="A31" s="1">
        <v>45318</v>
      </c>
      <c r="B31" s="20">
        <v>0</v>
      </c>
      <c r="C31" s="21">
        <v>0</v>
      </c>
      <c r="D31" s="139" t="s">
        <v>32</v>
      </c>
      <c r="E31" s="20">
        <v>0</v>
      </c>
      <c r="F31" s="21">
        <v>0</v>
      </c>
      <c r="G31" s="139" t="s">
        <v>32</v>
      </c>
      <c r="H31" s="20">
        <v>0</v>
      </c>
      <c r="I31" s="21">
        <v>0</v>
      </c>
      <c r="J31" s="139" t="s">
        <v>32</v>
      </c>
      <c r="K31" s="20">
        <v>0</v>
      </c>
      <c r="L31" s="21">
        <v>0</v>
      </c>
      <c r="M31" s="139" t="s">
        <v>32</v>
      </c>
      <c r="N31" s="20">
        <v>0</v>
      </c>
      <c r="O31" s="21">
        <v>0</v>
      </c>
      <c r="P31" s="139" t="s">
        <v>32</v>
      </c>
      <c r="Q31" s="20">
        <v>0</v>
      </c>
      <c r="R31" s="21">
        <v>0</v>
      </c>
      <c r="S31" s="139" t="s">
        <v>32</v>
      </c>
      <c r="T31" s="20">
        <v>0</v>
      </c>
      <c r="U31" s="21">
        <v>0</v>
      </c>
      <c r="V31" s="139" t="s">
        <v>32</v>
      </c>
      <c r="W31" s="20">
        <v>0</v>
      </c>
      <c r="X31" s="21">
        <v>0</v>
      </c>
      <c r="Y31" s="139" t="s">
        <v>32</v>
      </c>
      <c r="Z31" s="20">
        <v>0</v>
      </c>
      <c r="AA31" s="21">
        <v>0</v>
      </c>
      <c r="AB31" s="139" t="s">
        <v>32</v>
      </c>
      <c r="AC31" s="20">
        <v>0</v>
      </c>
      <c r="AD31" s="21">
        <v>0</v>
      </c>
      <c r="AE31" s="139" t="s">
        <v>32</v>
      </c>
      <c r="AF31" s="20">
        <v>0</v>
      </c>
      <c r="AG31" s="21">
        <v>0</v>
      </c>
      <c r="AH31" s="139" t="s">
        <v>32</v>
      </c>
      <c r="AI31" s="20">
        <v>0</v>
      </c>
      <c r="AJ31" s="21">
        <v>0</v>
      </c>
      <c r="AK31" s="139" t="s">
        <v>32</v>
      </c>
      <c r="AL31" s="20">
        <v>42</v>
      </c>
      <c r="AM31" s="21">
        <v>6</v>
      </c>
      <c r="AN31" s="122">
        <f t="shared" si="55"/>
        <v>7</v>
      </c>
      <c r="AO31" s="20">
        <v>0</v>
      </c>
      <c r="AP31" s="21">
        <v>0</v>
      </c>
      <c r="AQ31" s="139" t="str">
        <f t="shared" si="244"/>
        <v>-</v>
      </c>
      <c r="AR31" s="20">
        <v>0</v>
      </c>
      <c r="AS31" s="21">
        <v>0</v>
      </c>
      <c r="AT31" s="139" t="str">
        <f t="shared" si="245"/>
        <v>-</v>
      </c>
      <c r="AU31" s="20">
        <v>0</v>
      </c>
      <c r="AV31" s="21">
        <v>0</v>
      </c>
      <c r="AW31" s="139" t="str">
        <f t="shared" si="246"/>
        <v>-</v>
      </c>
      <c r="AX31" s="20">
        <v>0</v>
      </c>
      <c r="AY31" s="21">
        <v>0</v>
      </c>
      <c r="AZ31" s="139" t="str">
        <f t="shared" si="247"/>
        <v>-</v>
      </c>
      <c r="BA31" s="20">
        <v>6</v>
      </c>
      <c r="BB31" s="21">
        <v>1</v>
      </c>
      <c r="BC31" s="122">
        <f t="shared" si="49"/>
        <v>6</v>
      </c>
      <c r="BD31" s="20">
        <v>0</v>
      </c>
      <c r="BE31" s="21">
        <v>0</v>
      </c>
      <c r="BF31" s="139" t="str">
        <f t="shared" si="248"/>
        <v>-</v>
      </c>
      <c r="BG31" s="20">
        <v>0</v>
      </c>
      <c r="BH31" s="21">
        <v>0</v>
      </c>
      <c r="BI31" s="139" t="str">
        <f t="shared" si="249"/>
        <v>-</v>
      </c>
      <c r="BJ31" s="20">
        <v>0</v>
      </c>
      <c r="BK31" s="21">
        <v>0</v>
      </c>
      <c r="BL31" s="139" t="str">
        <f t="shared" si="250"/>
        <v>-</v>
      </c>
      <c r="BM31" s="117">
        <f t="shared" si="22"/>
        <v>48</v>
      </c>
      <c r="BN31" s="120">
        <f t="shared" si="22"/>
        <v>7</v>
      </c>
      <c r="BO31" s="147">
        <f t="shared" si="23"/>
        <v>6.8571428571428568</v>
      </c>
    </row>
    <row r="32" spans="1:67" ht="15" thickBot="1" x14ac:dyDescent="0.35">
      <c r="A32" s="1">
        <v>45319</v>
      </c>
      <c r="B32" s="20">
        <v>6</v>
      </c>
      <c r="C32" s="21">
        <v>1</v>
      </c>
      <c r="D32" s="139" t="s">
        <v>32</v>
      </c>
      <c r="E32" s="20">
        <v>0</v>
      </c>
      <c r="F32" s="21">
        <v>0</v>
      </c>
      <c r="G32" s="139" t="s">
        <v>32</v>
      </c>
      <c r="H32" s="20">
        <v>0</v>
      </c>
      <c r="I32" s="21">
        <v>0</v>
      </c>
      <c r="J32" s="139" t="s">
        <v>32</v>
      </c>
      <c r="K32" s="20">
        <v>0</v>
      </c>
      <c r="L32" s="21">
        <v>0</v>
      </c>
      <c r="M32" s="139" t="s">
        <v>32</v>
      </c>
      <c r="N32" s="20">
        <v>0</v>
      </c>
      <c r="O32" s="21">
        <v>0</v>
      </c>
      <c r="P32" s="139" t="s">
        <v>32</v>
      </c>
      <c r="Q32" s="20">
        <v>0</v>
      </c>
      <c r="R32" s="21">
        <v>0</v>
      </c>
      <c r="S32" s="139" t="s">
        <v>32</v>
      </c>
      <c r="T32" s="20">
        <v>0</v>
      </c>
      <c r="U32" s="21">
        <v>0</v>
      </c>
      <c r="V32" s="139" t="s">
        <v>32</v>
      </c>
      <c r="W32" s="20">
        <v>0</v>
      </c>
      <c r="X32" s="21">
        <v>0</v>
      </c>
      <c r="Y32" s="139" t="s">
        <v>32</v>
      </c>
      <c r="Z32" s="20">
        <v>0</v>
      </c>
      <c r="AA32" s="21">
        <v>0</v>
      </c>
      <c r="AB32" s="139" t="s">
        <v>32</v>
      </c>
      <c r="AC32" s="20">
        <v>0</v>
      </c>
      <c r="AD32" s="21">
        <v>0</v>
      </c>
      <c r="AE32" s="139" t="s">
        <v>32</v>
      </c>
      <c r="AF32" s="20">
        <v>0</v>
      </c>
      <c r="AG32" s="21">
        <v>0</v>
      </c>
      <c r="AH32" s="139" t="s">
        <v>32</v>
      </c>
      <c r="AI32" s="20">
        <v>0</v>
      </c>
      <c r="AJ32" s="21">
        <v>0</v>
      </c>
      <c r="AK32" s="139" t="s">
        <v>32</v>
      </c>
      <c r="AL32" s="20">
        <v>42</v>
      </c>
      <c r="AM32" s="21">
        <v>6</v>
      </c>
      <c r="AN32" s="122">
        <f t="shared" si="55"/>
        <v>7</v>
      </c>
      <c r="AO32" s="20">
        <v>7</v>
      </c>
      <c r="AP32" s="21">
        <v>1</v>
      </c>
      <c r="AQ32" s="122">
        <f t="shared" si="56"/>
        <v>7</v>
      </c>
      <c r="AR32" s="20">
        <v>14</v>
      </c>
      <c r="AS32" s="21">
        <v>2</v>
      </c>
      <c r="AT32" s="122">
        <f t="shared" si="57"/>
        <v>7</v>
      </c>
      <c r="AU32" s="20">
        <v>0</v>
      </c>
      <c r="AV32" s="21">
        <v>0</v>
      </c>
      <c r="AW32" s="139" t="str">
        <f t="shared" ref="AW32:AW33" si="251">IF(AV32=0,"-",AU32/AV32)</f>
        <v>-</v>
      </c>
      <c r="AX32" s="20">
        <v>0</v>
      </c>
      <c r="AY32" s="21">
        <v>0</v>
      </c>
      <c r="AZ32" s="139" t="str">
        <f t="shared" ref="AZ32:AZ33" si="252">IF(AY32=0,"-",AX32/AY32)</f>
        <v>-</v>
      </c>
      <c r="BA32" s="20">
        <v>0</v>
      </c>
      <c r="BB32" s="21">
        <v>0</v>
      </c>
      <c r="BC32" s="139" t="str">
        <f t="shared" ref="BC32" si="253">IF(BB32=0,"-",BA32/BB32)</f>
        <v>-</v>
      </c>
      <c r="BD32" s="20">
        <v>0</v>
      </c>
      <c r="BE32" s="21">
        <v>0</v>
      </c>
      <c r="BF32" s="139" t="str">
        <f t="shared" ref="BF32" si="254">IF(BE32=0,"-",BD32/BE32)</f>
        <v>-</v>
      </c>
      <c r="BG32" s="20">
        <v>0</v>
      </c>
      <c r="BH32" s="21">
        <v>0</v>
      </c>
      <c r="BI32" s="139" t="str">
        <f t="shared" ref="BI32" si="255">IF(BH32=0,"-",BG32/BH32)</f>
        <v>-</v>
      </c>
      <c r="BJ32" s="20">
        <v>0</v>
      </c>
      <c r="BK32" s="21">
        <v>0</v>
      </c>
      <c r="BL32" s="139" t="str">
        <f t="shared" ref="BL32" si="256">IF(BK32=0,"-",BJ32/BK32)</f>
        <v>-</v>
      </c>
      <c r="BM32" s="117">
        <f t="shared" si="22"/>
        <v>69</v>
      </c>
      <c r="BN32" s="120">
        <f t="shared" si="22"/>
        <v>10</v>
      </c>
      <c r="BO32" s="147">
        <f t="shared" si="23"/>
        <v>6.9</v>
      </c>
    </row>
    <row r="33" spans="1:67" ht="15" thickBot="1" x14ac:dyDescent="0.35">
      <c r="A33" s="1">
        <v>45320</v>
      </c>
      <c r="B33" s="20">
        <v>0</v>
      </c>
      <c r="C33" s="21">
        <v>0</v>
      </c>
      <c r="D33" s="139" t="s">
        <v>32</v>
      </c>
      <c r="E33" s="20">
        <v>0</v>
      </c>
      <c r="F33" s="21">
        <v>0</v>
      </c>
      <c r="G33" s="139" t="s">
        <v>32</v>
      </c>
      <c r="H33" s="20">
        <v>0</v>
      </c>
      <c r="I33" s="21">
        <v>0</v>
      </c>
      <c r="J33" s="139" t="s">
        <v>32</v>
      </c>
      <c r="K33" s="20">
        <v>0</v>
      </c>
      <c r="L33" s="21">
        <v>0</v>
      </c>
      <c r="M33" s="139" t="s">
        <v>32</v>
      </c>
      <c r="N33" s="23">
        <v>39</v>
      </c>
      <c r="O33" s="21">
        <v>8</v>
      </c>
      <c r="P33" s="122">
        <f t="shared" si="20"/>
        <v>4.875</v>
      </c>
      <c r="Q33" s="20">
        <v>0</v>
      </c>
      <c r="R33" s="21">
        <v>0</v>
      </c>
      <c r="S33" s="139" t="s">
        <v>32</v>
      </c>
      <c r="T33" s="20">
        <v>0</v>
      </c>
      <c r="U33" s="21">
        <v>0</v>
      </c>
      <c r="V33" s="139" t="s">
        <v>32</v>
      </c>
      <c r="W33" s="20">
        <v>0</v>
      </c>
      <c r="X33" s="21">
        <v>0</v>
      </c>
      <c r="Y33" s="139" t="s">
        <v>32</v>
      </c>
      <c r="Z33" s="20">
        <v>0</v>
      </c>
      <c r="AA33" s="21">
        <v>0</v>
      </c>
      <c r="AB33" s="139" t="s">
        <v>32</v>
      </c>
      <c r="AC33" s="20">
        <v>0</v>
      </c>
      <c r="AD33" s="21">
        <v>0</v>
      </c>
      <c r="AE33" s="139" t="s">
        <v>32</v>
      </c>
      <c r="AF33" s="20">
        <v>0</v>
      </c>
      <c r="AG33" s="21">
        <v>0</v>
      </c>
      <c r="AH33" s="139" t="s">
        <v>32</v>
      </c>
      <c r="AI33" s="20">
        <v>0</v>
      </c>
      <c r="AJ33" s="21">
        <v>0</v>
      </c>
      <c r="AK33" s="139" t="s">
        <v>32</v>
      </c>
      <c r="AL33" s="20">
        <v>15</v>
      </c>
      <c r="AM33" s="21">
        <v>2</v>
      </c>
      <c r="AN33" s="122">
        <f t="shared" si="55"/>
        <v>7.5</v>
      </c>
      <c r="AO33" s="20">
        <v>0</v>
      </c>
      <c r="AP33" s="21">
        <v>0</v>
      </c>
      <c r="AQ33" s="139" t="str">
        <f t="shared" ref="AQ33" si="257">IF(AP33=0,"-",AO33/AP33)</f>
        <v>-</v>
      </c>
      <c r="AR33" s="20">
        <v>7</v>
      </c>
      <c r="AS33" s="21">
        <v>1</v>
      </c>
      <c r="AT33" s="122">
        <f t="shared" si="57"/>
        <v>7</v>
      </c>
      <c r="AU33" s="20">
        <v>0</v>
      </c>
      <c r="AV33" s="21">
        <v>0</v>
      </c>
      <c r="AW33" s="139" t="str">
        <f t="shared" si="251"/>
        <v>-</v>
      </c>
      <c r="AX33" s="20">
        <v>0</v>
      </c>
      <c r="AY33" s="21">
        <v>0</v>
      </c>
      <c r="AZ33" s="139" t="str">
        <f t="shared" si="252"/>
        <v>-</v>
      </c>
      <c r="BA33" s="20">
        <v>5</v>
      </c>
      <c r="BB33" s="21">
        <v>1</v>
      </c>
      <c r="BC33" s="122">
        <f t="shared" si="49"/>
        <v>5</v>
      </c>
      <c r="BD33" s="20">
        <v>0</v>
      </c>
      <c r="BE33" s="21">
        <v>0</v>
      </c>
      <c r="BF33" s="139" t="str">
        <f t="shared" ref="BF33" si="258">IF(BE33=0,"-",BD33/BE33)</f>
        <v>-</v>
      </c>
      <c r="BG33" s="20">
        <v>0</v>
      </c>
      <c r="BH33" s="21">
        <v>0</v>
      </c>
      <c r="BI33" s="139" t="str">
        <f t="shared" ref="BI33" si="259">IF(BH33=0,"-",BG33/BH33)</f>
        <v>-</v>
      </c>
      <c r="BJ33" s="20">
        <v>0</v>
      </c>
      <c r="BK33" s="21">
        <v>0</v>
      </c>
      <c r="BL33" s="139" t="str">
        <f t="shared" ref="BL33" si="260">IF(BK33=0,"-",BJ33/BK33)</f>
        <v>-</v>
      </c>
      <c r="BM33" s="117">
        <f t="shared" si="22"/>
        <v>66</v>
      </c>
      <c r="BN33" s="120">
        <f t="shared" si="22"/>
        <v>12</v>
      </c>
      <c r="BO33" s="147">
        <f t="shared" si="23"/>
        <v>5.5</v>
      </c>
    </row>
    <row r="34" spans="1:67" ht="15" thickBot="1" x14ac:dyDescent="0.35">
      <c r="A34" s="1">
        <v>45321</v>
      </c>
      <c r="B34" s="20">
        <v>70</v>
      </c>
      <c r="C34" s="21">
        <v>9</v>
      </c>
      <c r="D34" s="122">
        <f t="shared" si="24"/>
        <v>7.7777777777777777</v>
      </c>
      <c r="E34" s="20">
        <v>16</v>
      </c>
      <c r="F34" s="21">
        <v>2</v>
      </c>
      <c r="G34" s="122">
        <f t="shared" si="25"/>
        <v>8</v>
      </c>
      <c r="H34" s="20">
        <v>0</v>
      </c>
      <c r="I34" s="21">
        <v>0</v>
      </c>
      <c r="J34" s="139" t="s">
        <v>32</v>
      </c>
      <c r="K34" s="20">
        <v>24</v>
      </c>
      <c r="L34" s="21">
        <v>3</v>
      </c>
      <c r="M34" s="122">
        <f t="shared" si="43"/>
        <v>8</v>
      </c>
      <c r="N34" s="23">
        <v>42</v>
      </c>
      <c r="O34" s="21">
        <v>7</v>
      </c>
      <c r="P34" s="122">
        <f t="shared" si="20"/>
        <v>6</v>
      </c>
      <c r="Q34" s="20">
        <v>1</v>
      </c>
      <c r="R34" s="21">
        <v>1</v>
      </c>
      <c r="S34" s="122">
        <f t="shared" si="21"/>
        <v>1</v>
      </c>
      <c r="T34" s="20">
        <v>0</v>
      </c>
      <c r="U34" s="21">
        <v>0</v>
      </c>
      <c r="V34" s="139" t="s">
        <v>32</v>
      </c>
      <c r="W34" s="20">
        <v>0</v>
      </c>
      <c r="X34" s="21">
        <v>0</v>
      </c>
      <c r="Y34" s="139" t="s">
        <v>32</v>
      </c>
      <c r="Z34" s="20">
        <v>0</v>
      </c>
      <c r="AA34" s="21">
        <v>0</v>
      </c>
      <c r="AB34" s="139" t="s">
        <v>32</v>
      </c>
      <c r="AC34" s="20">
        <v>0</v>
      </c>
      <c r="AD34" s="21">
        <v>0</v>
      </c>
      <c r="AE34" s="139" t="s">
        <v>32</v>
      </c>
      <c r="AF34" s="20">
        <v>0</v>
      </c>
      <c r="AG34" s="21">
        <v>0</v>
      </c>
      <c r="AH34" s="139" t="s">
        <v>32</v>
      </c>
      <c r="AI34" s="20">
        <v>0</v>
      </c>
      <c r="AJ34" s="21">
        <v>0</v>
      </c>
      <c r="AK34" s="139" t="s">
        <v>32</v>
      </c>
      <c r="AL34" s="20">
        <v>0</v>
      </c>
      <c r="AM34" s="21">
        <v>0</v>
      </c>
      <c r="AN34" s="139" t="s">
        <v>32</v>
      </c>
      <c r="AO34" s="20">
        <v>0</v>
      </c>
      <c r="AP34" s="21">
        <v>0</v>
      </c>
      <c r="AQ34" s="139" t="s">
        <v>32</v>
      </c>
      <c r="AR34" s="20">
        <v>0</v>
      </c>
      <c r="AS34" s="21">
        <v>0</v>
      </c>
      <c r="AT34" s="139" t="s">
        <v>32</v>
      </c>
      <c r="AU34" s="20">
        <v>0</v>
      </c>
      <c r="AV34" s="21">
        <v>0</v>
      </c>
      <c r="AW34" s="139" t="s">
        <v>32</v>
      </c>
      <c r="AX34" s="20">
        <v>0</v>
      </c>
      <c r="AY34" s="21">
        <v>0</v>
      </c>
      <c r="AZ34" s="139" t="s">
        <v>32</v>
      </c>
      <c r="BA34" s="20">
        <v>0</v>
      </c>
      <c r="BB34" s="21">
        <v>0</v>
      </c>
      <c r="BC34" s="139" t="s">
        <v>32</v>
      </c>
      <c r="BD34" s="20">
        <v>0</v>
      </c>
      <c r="BE34" s="21">
        <v>0</v>
      </c>
      <c r="BF34" s="139" t="s">
        <v>32</v>
      </c>
      <c r="BG34" s="20">
        <v>0</v>
      </c>
      <c r="BH34" s="21">
        <v>0</v>
      </c>
      <c r="BI34" s="139" t="s">
        <v>32</v>
      </c>
      <c r="BJ34" s="20">
        <v>0</v>
      </c>
      <c r="BK34" s="21">
        <v>0</v>
      </c>
      <c r="BL34" s="139" t="s">
        <v>32</v>
      </c>
      <c r="BM34" s="117">
        <f t="shared" si="22"/>
        <v>153</v>
      </c>
      <c r="BN34" s="120">
        <f t="shared" si="22"/>
        <v>22</v>
      </c>
      <c r="BO34" s="147">
        <f t="shared" si="23"/>
        <v>6.9545454545454541</v>
      </c>
    </row>
    <row r="35" spans="1:67" ht="15" thickBot="1" x14ac:dyDescent="0.35">
      <c r="A35" s="1">
        <v>45322</v>
      </c>
      <c r="B35" s="20">
        <v>49</v>
      </c>
      <c r="C35" s="21">
        <v>6</v>
      </c>
      <c r="D35" s="122">
        <f t="shared" ref="D35" si="261">IF(C35=0,"",B35/C35)</f>
        <v>8.1666666666666661</v>
      </c>
      <c r="E35" s="20">
        <v>15</v>
      </c>
      <c r="F35" s="21">
        <v>2</v>
      </c>
      <c r="G35" s="122">
        <f t="shared" ref="G35" si="262">IF(F35=0,"",E35/F35)</f>
        <v>7.5</v>
      </c>
      <c r="H35" s="20">
        <v>15</v>
      </c>
      <c r="I35" s="21">
        <v>2</v>
      </c>
      <c r="J35" s="122">
        <f t="shared" ref="J35" si="263">IF(I35=0,"",H35/I35)</f>
        <v>7.5</v>
      </c>
      <c r="K35" s="20">
        <v>0</v>
      </c>
      <c r="L35" s="21">
        <v>0</v>
      </c>
      <c r="M35" s="139" t="s">
        <v>32</v>
      </c>
      <c r="N35" s="23">
        <v>43</v>
      </c>
      <c r="O35" s="21">
        <v>8</v>
      </c>
      <c r="P35" s="122">
        <f t="shared" ref="P35" si="264">IF(O35=0,"",N35/O35)</f>
        <v>5.375</v>
      </c>
      <c r="Q35" s="20">
        <v>21</v>
      </c>
      <c r="R35" s="21">
        <v>4</v>
      </c>
      <c r="S35" s="122">
        <f t="shared" ref="S35" si="265">IF(R35=0,"",Q35/R35)</f>
        <v>5.25</v>
      </c>
      <c r="T35" s="20">
        <v>6</v>
      </c>
      <c r="U35" s="21">
        <v>1</v>
      </c>
      <c r="V35" s="122">
        <f t="shared" ref="V35" si="266">IF(U35=0,"",T35/U35)</f>
        <v>6</v>
      </c>
      <c r="W35" s="20">
        <v>0</v>
      </c>
      <c r="X35" s="21">
        <v>0</v>
      </c>
      <c r="Y35" s="139" t="s">
        <v>32</v>
      </c>
      <c r="Z35" s="20">
        <v>0</v>
      </c>
      <c r="AA35" s="21">
        <v>0</v>
      </c>
      <c r="AB35" s="139" t="s">
        <v>32</v>
      </c>
      <c r="AC35" s="20">
        <v>8</v>
      </c>
      <c r="AD35" s="21">
        <v>1</v>
      </c>
      <c r="AE35" s="122">
        <f t="shared" ref="AE35" si="267">IF(AD35=0,"",AC35/AD35)</f>
        <v>8</v>
      </c>
      <c r="AF35" s="20">
        <v>0</v>
      </c>
      <c r="AG35" s="21">
        <v>0</v>
      </c>
      <c r="AH35" s="139" t="s">
        <v>32</v>
      </c>
      <c r="AI35" s="20">
        <v>0</v>
      </c>
      <c r="AJ35" s="21">
        <v>0</v>
      </c>
      <c r="AK35" s="139" t="s">
        <v>32</v>
      </c>
      <c r="AL35" s="20">
        <v>38</v>
      </c>
      <c r="AM35" s="21">
        <v>5</v>
      </c>
      <c r="AN35" s="122">
        <f t="shared" ref="AN35" si="268">IF(AM35=0,"",AL35/AM35)</f>
        <v>7.6</v>
      </c>
      <c r="AO35" s="20">
        <v>0</v>
      </c>
      <c r="AP35" s="21">
        <v>0</v>
      </c>
      <c r="AQ35" s="139" t="s">
        <v>32</v>
      </c>
      <c r="AR35" s="20">
        <v>0</v>
      </c>
      <c r="AS35" s="21">
        <v>0</v>
      </c>
      <c r="AT35" s="139" t="s">
        <v>32</v>
      </c>
      <c r="AU35" s="20">
        <v>0</v>
      </c>
      <c r="AV35" s="21">
        <v>0</v>
      </c>
      <c r="AW35" s="139" t="s">
        <v>32</v>
      </c>
      <c r="AX35" s="20">
        <v>0</v>
      </c>
      <c r="AY35" s="21">
        <v>0</v>
      </c>
      <c r="AZ35" s="139" t="s">
        <v>32</v>
      </c>
      <c r="BA35" s="20">
        <v>0</v>
      </c>
      <c r="BB35" s="21">
        <v>0</v>
      </c>
      <c r="BC35" s="139" t="s">
        <v>32</v>
      </c>
      <c r="BD35" s="20">
        <v>0</v>
      </c>
      <c r="BE35" s="21">
        <v>0</v>
      </c>
      <c r="BF35" s="139" t="s">
        <v>32</v>
      </c>
      <c r="BG35" s="20">
        <v>0</v>
      </c>
      <c r="BH35" s="21">
        <v>0</v>
      </c>
      <c r="BI35" s="139" t="s">
        <v>32</v>
      </c>
      <c r="BJ35" s="20">
        <v>0</v>
      </c>
      <c r="BK35" s="21">
        <v>0</v>
      </c>
      <c r="BL35" s="139" t="s">
        <v>32</v>
      </c>
      <c r="BM35" s="117">
        <f t="shared" ref="BM35" si="269">BJ35+BG35+BD35+BA35+AX35+AU35+AR35+AO35+AL35+K35+Q35+N35+H35+E35+AI35+AF35+AC35+Z35+W35+B35</f>
        <v>189</v>
      </c>
      <c r="BN35" s="120">
        <f t="shared" ref="BN35" si="270">BK35+BH35+BE35+BB35+AY35+AV35+AS35+AP35+AM35+L35+R35+O35+I35+F35+AJ35+AG35+AD35+AA35+X35+C35</f>
        <v>28</v>
      </c>
      <c r="BO35" s="147">
        <f t="shared" ref="BO35" si="271">IF(BN35=0,"",BM35/BN35)</f>
        <v>6.75</v>
      </c>
    </row>
    <row r="36" spans="1:67" s="41" customFormat="1" ht="15" thickBot="1" x14ac:dyDescent="0.35">
      <c r="A36" s="42" t="s">
        <v>33</v>
      </c>
      <c r="B36" s="43">
        <f>SUM(B5:B35)</f>
        <v>1173</v>
      </c>
      <c r="C36" s="43">
        <f>SUM(C5:C35)</f>
        <v>141</v>
      </c>
      <c r="D36" s="44">
        <f>B36/C36</f>
        <v>8.3191489361702136</v>
      </c>
      <c r="E36" s="43">
        <f>SUM(E5:E35)</f>
        <v>116</v>
      </c>
      <c r="F36" s="43">
        <f>SUM(F5:F35)</f>
        <v>17</v>
      </c>
      <c r="G36" s="44">
        <f>E36/F36</f>
        <v>6.8235294117647056</v>
      </c>
      <c r="H36" s="43">
        <f>SUM(H5:H35)</f>
        <v>130</v>
      </c>
      <c r="I36" s="43">
        <f>SUM(I5:I35)</f>
        <v>17</v>
      </c>
      <c r="J36" s="44">
        <f>H36/I36</f>
        <v>7.6470588235294121</v>
      </c>
      <c r="K36" s="43">
        <f>SUM(K5:K34)</f>
        <v>30</v>
      </c>
      <c r="L36" s="43">
        <f>SUM(L5:L34)</f>
        <v>5</v>
      </c>
      <c r="M36" s="44">
        <f>K36/L36</f>
        <v>6</v>
      </c>
      <c r="N36" s="43">
        <f>SUM(N5:N35)</f>
        <v>1025</v>
      </c>
      <c r="O36" s="43">
        <f>SUM(O5:O35)</f>
        <v>183</v>
      </c>
      <c r="P36" s="44">
        <f>N36/O36</f>
        <v>5.6010928961748636</v>
      </c>
      <c r="Q36" s="43">
        <f>SUM(Q5:Q35)</f>
        <v>4545</v>
      </c>
      <c r="R36" s="43">
        <f>SUM(R5:R35)</f>
        <v>701</v>
      </c>
      <c r="S36" s="44">
        <f>Q36/R36</f>
        <v>6.4835948644793149</v>
      </c>
      <c r="T36" s="43">
        <f>SUM(T5:T35)</f>
        <v>36</v>
      </c>
      <c r="U36" s="43">
        <f>SUM(U5:U35)</f>
        <v>6</v>
      </c>
      <c r="V36" s="44">
        <f>T36/U36</f>
        <v>6</v>
      </c>
      <c r="W36" s="43">
        <f>SUM(W5:W34)</f>
        <v>57</v>
      </c>
      <c r="X36" s="43">
        <f>SUM(X5:X34)</f>
        <v>9</v>
      </c>
      <c r="Y36" s="44">
        <f>W36/X36</f>
        <v>6.333333333333333</v>
      </c>
      <c r="Z36" s="43">
        <f>SUM(Z5:Z34)</f>
        <v>0</v>
      </c>
      <c r="AA36" s="43">
        <f>SUM(AA5:AA34)</f>
        <v>0</v>
      </c>
      <c r="AB36" s="44" t="e">
        <f>Z36/AA36</f>
        <v>#DIV/0!</v>
      </c>
      <c r="AC36" s="43">
        <f>SUM(AC5:AC35)</f>
        <v>27</v>
      </c>
      <c r="AD36" s="43">
        <f>SUM(AD5:AD35)</f>
        <v>7</v>
      </c>
      <c r="AE36" s="44">
        <f>AC36/AD36</f>
        <v>3.8571428571428572</v>
      </c>
      <c r="AF36" s="43">
        <f>SUM(AF5:AF34)</f>
        <v>0</v>
      </c>
      <c r="AG36" s="43">
        <f>SUM(AG5:AG34)</f>
        <v>0</v>
      </c>
      <c r="AH36" s="44" t="e">
        <f>AF36/AG36</f>
        <v>#DIV/0!</v>
      </c>
      <c r="AI36" s="43">
        <f>SUM(AI5:AI34)</f>
        <v>47</v>
      </c>
      <c r="AJ36" s="43">
        <f>SUM(AJ5:AJ34)</f>
        <v>10</v>
      </c>
      <c r="AK36" s="44">
        <f>AI36/AJ36</f>
        <v>4.7</v>
      </c>
      <c r="AL36" s="43">
        <f>SUM(AL5:AL35)</f>
        <v>486</v>
      </c>
      <c r="AM36" s="43">
        <f>SUM(AM5:AM35)</f>
        <v>69</v>
      </c>
      <c r="AN36" s="44">
        <f>AL36/AM36</f>
        <v>7.0434782608695654</v>
      </c>
      <c r="AO36" s="43">
        <f>SUM(AO5:AO34)</f>
        <v>50</v>
      </c>
      <c r="AP36" s="43">
        <f>SUM(AP5:AP34)</f>
        <v>7</v>
      </c>
      <c r="AQ36" s="44">
        <f>AO36/AP36</f>
        <v>7.1428571428571432</v>
      </c>
      <c r="AR36" s="43">
        <f>SUM(AR5:AR34)</f>
        <v>136</v>
      </c>
      <c r="AS36" s="43">
        <f>SUM(AS5:AS34)</f>
        <v>19</v>
      </c>
      <c r="AT36" s="44">
        <f>AR36/AS36</f>
        <v>7.1578947368421053</v>
      </c>
      <c r="AU36" s="43">
        <f>SUM(AU5:AU34)</f>
        <v>35</v>
      </c>
      <c r="AV36" s="43">
        <f>SUM(AV5:AV34)</f>
        <v>5</v>
      </c>
      <c r="AW36" s="44">
        <f>AU36/AV36</f>
        <v>7</v>
      </c>
      <c r="AX36" s="43">
        <f>SUM(AX5:AX34)</f>
        <v>0</v>
      </c>
      <c r="AY36" s="43">
        <f>SUM(AY5:AY34)</f>
        <v>0</v>
      </c>
      <c r="AZ36" s="140" t="str">
        <f>IF(AY36=0,"-",AX36/AY36)</f>
        <v>-</v>
      </c>
      <c r="BA36" s="43">
        <f>SUM(BA5:BA34)</f>
        <v>209</v>
      </c>
      <c r="BB36" s="43">
        <f>SUM(BB5:BB34)</f>
        <v>30</v>
      </c>
      <c r="BC36" s="44">
        <f>BA36/BB36</f>
        <v>6.9666666666666668</v>
      </c>
      <c r="BD36" s="43">
        <f>SUM(BD5:BD34)</f>
        <v>0</v>
      </c>
      <c r="BE36" s="43">
        <f>SUM(BE5:BE34)</f>
        <v>0</v>
      </c>
      <c r="BF36" s="140" t="str">
        <f>IF(BE36=0,"-",BD36/BE36)</f>
        <v>-</v>
      </c>
      <c r="BG36" s="43">
        <f>SUM(BG5:BG34)</f>
        <v>1</v>
      </c>
      <c r="BH36" s="43">
        <f>SUM(BH5:BH34)</f>
        <v>1</v>
      </c>
      <c r="BI36" s="140">
        <f>IF(BH36=0,"-",BG36/BH36)</f>
        <v>1</v>
      </c>
      <c r="BJ36" s="43">
        <f>SUM(BJ5:BJ34)</f>
        <v>0</v>
      </c>
      <c r="BK36" s="43">
        <f>SUM(BK5:BK34)</f>
        <v>0</v>
      </c>
      <c r="BL36" s="140" t="str">
        <f>IF(BK36=0,"-",BJ36/BK36)</f>
        <v>-</v>
      </c>
      <c r="BM36" s="118">
        <f>SUM(BM5:BM34)</f>
        <v>7878</v>
      </c>
      <c r="BN36" s="145">
        <f t="shared" ref="BN36" si="272">BK36+BH36+BE36+BB36+AY36+AV36+AS36+AP36+AM36+L36+R36+O36+I36+F36+AJ36+AG36+AD36+AA36+X36+C36</f>
        <v>1221</v>
      </c>
      <c r="BO36" s="144">
        <f t="shared" si="23"/>
        <v>6.4520884520884518</v>
      </c>
    </row>
    <row r="37" spans="1:67" x14ac:dyDescent="0.3">
      <c r="A37" s="1"/>
      <c r="E37"/>
      <c r="F37"/>
      <c r="H37"/>
      <c r="I37"/>
      <c r="K37"/>
      <c r="L37"/>
      <c r="N37"/>
      <c r="O37"/>
      <c r="Q37"/>
      <c r="R37"/>
      <c r="T37"/>
      <c r="U37"/>
    </row>
    <row r="38" spans="1:67" x14ac:dyDescent="0.3">
      <c r="A38" s="1"/>
      <c r="E38"/>
      <c r="F38"/>
      <c r="H38"/>
      <c r="I38"/>
      <c r="K38"/>
      <c r="L38"/>
      <c r="N38"/>
      <c r="O38"/>
      <c r="Q38"/>
      <c r="R38"/>
      <c r="T38"/>
      <c r="U38"/>
    </row>
    <row r="39" spans="1:67" x14ac:dyDescent="0.3">
      <c r="A39" s="1"/>
    </row>
    <row r="40" spans="1:67" x14ac:dyDescent="0.3">
      <c r="A40" s="1"/>
    </row>
    <row r="41" spans="1:67" x14ac:dyDescent="0.3">
      <c r="A41" s="1"/>
    </row>
    <row r="42" spans="1:67" x14ac:dyDescent="0.3">
      <c r="A42" s="1"/>
    </row>
    <row r="43" spans="1:67" x14ac:dyDescent="0.3">
      <c r="A43" s="1"/>
    </row>
    <row r="44" spans="1:67" x14ac:dyDescent="0.3">
      <c r="A44" s="1"/>
    </row>
    <row r="45" spans="1:67" x14ac:dyDescent="0.3">
      <c r="A45" s="1"/>
    </row>
    <row r="46" spans="1:67" x14ac:dyDescent="0.3">
      <c r="A46" s="1"/>
    </row>
    <row r="47" spans="1:67" x14ac:dyDescent="0.3">
      <c r="A47" s="1"/>
    </row>
    <row r="48" spans="1:6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</sheetData>
  <pageMargins left="0.7" right="0.7" top="0.75" bottom="0.75" header="0.3" footer="0.3"/>
  <ignoredErrors>
    <ignoredError sqref="AE7:AE8 Y11 AE11 AK1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B96A-0AE9-4E0D-AF56-B20E70B8BEAF}">
  <sheetPr codeName="Sheet7">
    <tabColor rgb="FFFF0000"/>
  </sheetPr>
  <dimension ref="A1:CL40"/>
  <sheetViews>
    <sheetView workbookViewId="0">
      <selection activeCell="B6" sqref="B6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49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'Jan 2024'!B36</f>
        <v>1173</v>
      </c>
      <c r="C4" s="68"/>
      <c r="D4" s="95" t="s">
        <v>19</v>
      </c>
      <c r="E4" s="93">
        <f>'Jan 2024'!AL36</f>
        <v>486</v>
      </c>
      <c r="F4" s="68"/>
      <c r="G4" s="87" t="s">
        <v>24</v>
      </c>
      <c r="H4" s="81">
        <f>'Jan 2024'!BA36</f>
        <v>209</v>
      </c>
    </row>
    <row r="5" spans="1:90" x14ac:dyDescent="0.3">
      <c r="A5" s="80"/>
      <c r="B5" s="81">
        <f>'Jan 2024'!C36</f>
        <v>141</v>
      </c>
      <c r="C5" s="68"/>
      <c r="D5" s="85"/>
      <c r="E5" s="81">
        <f>'Jan 2024'!AM36</f>
        <v>69</v>
      </c>
      <c r="F5" s="68"/>
      <c r="G5" s="87"/>
      <c r="H5" s="81">
        <f>'Jan 2024'!BB36</f>
        <v>30</v>
      </c>
    </row>
    <row r="6" spans="1:90" x14ac:dyDescent="0.3">
      <c r="A6" s="82"/>
      <c r="B6" s="26">
        <f>'Jan 2024'!D36</f>
        <v>8.3191489361702136</v>
      </c>
      <c r="C6" s="68"/>
      <c r="D6" s="86"/>
      <c r="E6" s="26">
        <f>'Jan 2024'!AN36</f>
        <v>7.0434782608695654</v>
      </c>
      <c r="F6" s="68"/>
      <c r="G6" s="88"/>
      <c r="H6" s="26">
        <f>'Jan 2024'!BC36</f>
        <v>6.9666666666666668</v>
      </c>
    </row>
    <row r="7" spans="1:90" x14ac:dyDescent="0.3">
      <c r="A7" s="80" t="s">
        <v>9</v>
      </c>
      <c r="B7" s="81">
        <f>'Jan 2024'!E36</f>
        <v>116</v>
      </c>
      <c r="C7" s="68"/>
      <c r="D7" s="85" t="s">
        <v>20</v>
      </c>
      <c r="E7" s="81">
        <f>'Jan 2024'!AO36</f>
        <v>50</v>
      </c>
      <c r="F7" s="68"/>
      <c r="G7" s="87" t="s">
        <v>25</v>
      </c>
      <c r="H7" s="151">
        <f>'Jan 2024'!BD36</f>
        <v>0</v>
      </c>
    </row>
    <row r="8" spans="1:90" x14ac:dyDescent="0.3">
      <c r="A8" s="80"/>
      <c r="B8" s="81">
        <f>'Jan 2024'!F36</f>
        <v>17</v>
      </c>
      <c r="C8" s="68"/>
      <c r="D8" s="85"/>
      <c r="E8" s="81">
        <f>'Jan 2024'!AP36</f>
        <v>7</v>
      </c>
      <c r="F8" s="68"/>
      <c r="G8" s="87"/>
      <c r="H8" s="151">
        <f>'Jan 2024'!BE36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'Jan 2024'!G36</f>
        <v>6.8235294117647056</v>
      </c>
      <c r="C9" s="68"/>
      <c r="D9" s="86"/>
      <c r="E9" s="26">
        <f>'Jan 2024'!AQ36</f>
        <v>7.1428571428571432</v>
      </c>
      <c r="F9" s="68"/>
      <c r="G9" s="88"/>
      <c r="H9" s="150" t="str">
        <f>'Jan 2024'!BF36</f>
        <v>-</v>
      </c>
    </row>
    <row r="10" spans="1:90" x14ac:dyDescent="0.3">
      <c r="A10" s="80" t="s">
        <v>10</v>
      </c>
      <c r="B10" s="81">
        <f>'Jan 2024'!H36</f>
        <v>130</v>
      </c>
      <c r="C10" s="68"/>
      <c r="D10" s="85" t="s">
        <v>21</v>
      </c>
      <c r="E10" s="81">
        <f>'Jan 2024'!AR36</f>
        <v>136</v>
      </c>
      <c r="F10" s="68"/>
      <c r="G10" s="87" t="s">
        <v>26</v>
      </c>
      <c r="H10" s="151">
        <f>'Jan 2024'!BG36</f>
        <v>1</v>
      </c>
    </row>
    <row r="11" spans="1:90" x14ac:dyDescent="0.3">
      <c r="A11" s="80"/>
      <c r="B11" s="81">
        <f>'Jan 2024'!I36</f>
        <v>17</v>
      </c>
      <c r="C11" s="68"/>
      <c r="D11" s="85"/>
      <c r="E11" s="81">
        <f>'Jan 2024'!AS36</f>
        <v>19</v>
      </c>
      <c r="F11" s="68"/>
      <c r="G11" s="87"/>
      <c r="H11" s="81">
        <f>'Jan 2024'!BH36</f>
        <v>1</v>
      </c>
    </row>
    <row r="12" spans="1:90" x14ac:dyDescent="0.3">
      <c r="A12" s="82"/>
      <c r="B12" s="26">
        <f>'Jan 2024'!J36</f>
        <v>7.6470588235294121</v>
      </c>
      <c r="C12" s="68"/>
      <c r="D12" s="86"/>
      <c r="E12" s="26">
        <f>'Jan 2024'!AT36</f>
        <v>7.1578947368421053</v>
      </c>
      <c r="F12" s="68"/>
      <c r="G12" s="88"/>
      <c r="H12" s="26">
        <f>'Jan 2024'!BI36</f>
        <v>1</v>
      </c>
    </row>
    <row r="13" spans="1:90" x14ac:dyDescent="0.3">
      <c r="A13" s="80" t="s">
        <v>11</v>
      </c>
      <c r="B13" s="81">
        <f>'Jan 2024'!N36</f>
        <v>1025</v>
      </c>
      <c r="C13" s="68"/>
      <c r="D13" s="85" t="s">
        <v>22</v>
      </c>
      <c r="E13" s="81">
        <f>'Jan 2024'!AU36</f>
        <v>35</v>
      </c>
      <c r="F13" s="68"/>
      <c r="G13" s="87" t="s">
        <v>27</v>
      </c>
      <c r="H13" s="81">
        <f>'Jan 2024'!BJ36</f>
        <v>0</v>
      </c>
    </row>
    <row r="14" spans="1:90" x14ac:dyDescent="0.3">
      <c r="A14" s="80"/>
      <c r="B14" s="81">
        <f>'Jan 2024'!O36</f>
        <v>183</v>
      </c>
      <c r="C14" s="68"/>
      <c r="D14" s="85"/>
      <c r="E14" s="81">
        <f>'Jan 2024'!AV36</f>
        <v>5</v>
      </c>
      <c r="F14" s="68"/>
      <c r="G14" s="87"/>
      <c r="H14" s="81">
        <f>'Jan 2024'!BK36</f>
        <v>0</v>
      </c>
    </row>
    <row r="15" spans="1:90" x14ac:dyDescent="0.3">
      <c r="A15" s="82"/>
      <c r="B15" s="26">
        <f>'Jan 2024'!P36</f>
        <v>5.6010928961748636</v>
      </c>
      <c r="C15" s="68"/>
      <c r="D15" s="85"/>
      <c r="E15" s="26">
        <f>'Jan 2024'!AW36</f>
        <v>7</v>
      </c>
      <c r="F15" s="68"/>
      <c r="G15" s="88"/>
      <c r="H15" s="26" t="str">
        <f>'Jan 2024'!BL36</f>
        <v>-</v>
      </c>
    </row>
    <row r="16" spans="1:90" x14ac:dyDescent="0.3">
      <c r="A16" s="80" t="s">
        <v>44</v>
      </c>
      <c r="B16" s="81">
        <f>'Jan 2024'!Q36</f>
        <v>4545</v>
      </c>
      <c r="C16" s="68"/>
      <c r="D16" s="85" t="s">
        <v>45</v>
      </c>
      <c r="E16" s="81">
        <f>'Jan 2024'!AX36</f>
        <v>0</v>
      </c>
      <c r="F16" s="68"/>
      <c r="G16" s="96" t="s">
        <v>28</v>
      </c>
      <c r="H16" s="97">
        <f>'Jan 2024'!BM36</f>
        <v>7878</v>
      </c>
    </row>
    <row r="17" spans="1:8" x14ac:dyDescent="0.3">
      <c r="A17" s="80"/>
      <c r="B17" s="81">
        <f>'Jan 2024'!R36</f>
        <v>701</v>
      </c>
      <c r="C17" s="68"/>
      <c r="D17" s="85"/>
      <c r="E17" s="81">
        <f>'Jan 2024'!AY36</f>
        <v>0</v>
      </c>
      <c r="F17" s="68"/>
      <c r="G17" s="96"/>
      <c r="H17" s="97">
        <f>'Jan 2024'!BN36</f>
        <v>1221</v>
      </c>
    </row>
    <row r="18" spans="1:8" ht="15" thickBot="1" x14ac:dyDescent="0.35">
      <c r="A18" s="82"/>
      <c r="B18" s="26">
        <f>'Jan 2024'!S36</f>
        <v>6.4835948644793149</v>
      </c>
      <c r="C18" s="68"/>
      <c r="D18" s="102"/>
      <c r="E18" s="149" t="str">
        <f>'Jan 2024'!AZ36</f>
        <v>-</v>
      </c>
      <c r="F18" s="68"/>
      <c r="G18" s="98"/>
      <c r="H18" s="99">
        <f>H16/H17</f>
        <v>6.4520884520884518</v>
      </c>
    </row>
    <row r="19" spans="1:8" x14ac:dyDescent="0.3">
      <c r="A19" s="80" t="s">
        <v>13</v>
      </c>
      <c r="B19" s="81">
        <f>'Jan 2024'!K36</f>
        <v>30</v>
      </c>
      <c r="C19" s="68"/>
    </row>
    <row r="20" spans="1:8" x14ac:dyDescent="0.3">
      <c r="A20" s="80"/>
      <c r="B20" s="81">
        <f>'Jan 2024'!L36</f>
        <v>5</v>
      </c>
      <c r="C20" s="68"/>
    </row>
    <row r="21" spans="1:8" x14ac:dyDescent="0.3">
      <c r="A21" s="100"/>
      <c r="B21" s="81">
        <f>'Jan 2024'!M36</f>
        <v>6</v>
      </c>
      <c r="C21" s="68"/>
    </row>
    <row r="22" spans="1:8" x14ac:dyDescent="0.3">
      <c r="A22" s="80" t="s">
        <v>46</v>
      </c>
      <c r="B22" s="142">
        <f>'Jan 2024'!T36</f>
        <v>36</v>
      </c>
      <c r="C22" s="68"/>
      <c r="D22" s="68"/>
      <c r="E22" s="68"/>
    </row>
    <row r="23" spans="1:8" x14ac:dyDescent="0.3">
      <c r="A23" s="80"/>
      <c r="B23" s="142">
        <f>'Jan 2024'!U36</f>
        <v>6</v>
      </c>
      <c r="C23" s="68"/>
      <c r="D23" s="68"/>
      <c r="E23" s="68"/>
    </row>
    <row r="24" spans="1:8" ht="15" thickBot="1" x14ac:dyDescent="0.35">
      <c r="A24" s="141"/>
      <c r="B24" s="143">
        <f>'Jan 2024'!V36</f>
        <v>6</v>
      </c>
      <c r="C24" s="68"/>
      <c r="D24" s="68"/>
      <c r="E24" s="68"/>
    </row>
    <row r="25" spans="1:8" x14ac:dyDescent="0.3">
      <c r="A25" s="101" t="s">
        <v>14</v>
      </c>
      <c r="B25" s="93">
        <f>'Jan 2024'!W36</f>
        <v>57</v>
      </c>
      <c r="C25" s="68"/>
      <c r="D25" s="68"/>
      <c r="E25" s="68"/>
    </row>
    <row r="26" spans="1:8" x14ac:dyDescent="0.3">
      <c r="A26" s="83"/>
      <c r="B26" s="81">
        <f>'Jan 2024'!X36</f>
        <v>9</v>
      </c>
      <c r="C26" s="68"/>
      <c r="D26" s="68"/>
      <c r="E26" s="68"/>
    </row>
    <row r="27" spans="1:8" x14ac:dyDescent="0.3">
      <c r="A27" s="84"/>
      <c r="B27" s="26">
        <f>'Jan 2024'!Y36</f>
        <v>6.333333333333333</v>
      </c>
      <c r="C27" s="68"/>
      <c r="D27" s="68"/>
      <c r="E27" s="68"/>
    </row>
    <row r="28" spans="1:8" x14ac:dyDescent="0.3">
      <c r="A28" s="83" t="s">
        <v>15</v>
      </c>
      <c r="B28" s="81">
        <f>'Jan 2024'!Z36</f>
        <v>0</v>
      </c>
      <c r="C28" s="68"/>
      <c r="F28" s="68"/>
      <c r="G28" s="68"/>
    </row>
    <row r="29" spans="1:8" x14ac:dyDescent="0.3">
      <c r="A29" s="83"/>
      <c r="B29" s="81">
        <f>'Jan 2024'!AA36</f>
        <v>0</v>
      </c>
      <c r="C29" s="68"/>
      <c r="F29" s="68"/>
      <c r="G29" s="68"/>
    </row>
    <row r="30" spans="1:8" x14ac:dyDescent="0.3">
      <c r="A30" s="84"/>
      <c r="B30" s="26" t="e">
        <f>'Jan 2024'!AB36</f>
        <v>#DIV/0!</v>
      </c>
      <c r="C30" s="68"/>
      <c r="F30" s="68"/>
      <c r="G30" s="68"/>
    </row>
    <row r="31" spans="1:8" x14ac:dyDescent="0.3">
      <c r="A31" s="83" t="s">
        <v>16</v>
      </c>
      <c r="B31" s="81">
        <f>'Jan 2024'!AC36</f>
        <v>27</v>
      </c>
      <c r="C31" s="68"/>
      <c r="F31" s="68"/>
      <c r="G31" s="68"/>
    </row>
    <row r="32" spans="1:8" x14ac:dyDescent="0.3">
      <c r="A32" s="83"/>
      <c r="B32" s="81">
        <f>'Jan 2024'!AD36</f>
        <v>7</v>
      </c>
      <c r="C32" s="68"/>
      <c r="F32" s="68"/>
      <c r="G32" s="68"/>
    </row>
    <row r="33" spans="1:7" x14ac:dyDescent="0.3">
      <c r="A33" s="84"/>
      <c r="B33" s="26">
        <f>'Jan 2024'!AE36</f>
        <v>3.8571428571428572</v>
      </c>
      <c r="C33" s="68"/>
      <c r="F33" s="68"/>
      <c r="G33" s="68"/>
    </row>
    <row r="34" spans="1:7" x14ac:dyDescent="0.3">
      <c r="A34" s="83" t="s">
        <v>17</v>
      </c>
      <c r="B34" s="81">
        <f>'Jan 2024'!AF36</f>
        <v>0</v>
      </c>
      <c r="C34" s="68"/>
      <c r="F34" s="68"/>
      <c r="G34" s="68"/>
    </row>
    <row r="35" spans="1:7" x14ac:dyDescent="0.3">
      <c r="A35" s="83"/>
      <c r="B35" s="81">
        <f>'Jan 2024'!AG36</f>
        <v>0</v>
      </c>
      <c r="C35" s="68"/>
      <c r="F35" s="68"/>
      <c r="G35" s="68"/>
    </row>
    <row r="36" spans="1:7" x14ac:dyDescent="0.3">
      <c r="A36" s="84"/>
      <c r="B36" s="26" t="e">
        <f>'Jan 2024'!AH36</f>
        <v>#DIV/0!</v>
      </c>
      <c r="C36" s="68"/>
      <c r="F36" s="68"/>
      <c r="G36" s="68"/>
    </row>
    <row r="37" spans="1:7" x14ac:dyDescent="0.3">
      <c r="A37" s="83" t="s">
        <v>18</v>
      </c>
      <c r="B37" s="81">
        <f>'Jan 2024'!AI36</f>
        <v>47</v>
      </c>
      <c r="C37" s="68"/>
      <c r="F37" s="68"/>
      <c r="G37" s="68"/>
    </row>
    <row r="38" spans="1:7" x14ac:dyDescent="0.3">
      <c r="A38" s="83"/>
      <c r="B38" s="81">
        <f>'Jan 2024'!AJ36</f>
        <v>10</v>
      </c>
      <c r="C38" s="68"/>
      <c r="F38" s="68"/>
      <c r="G38" s="68"/>
    </row>
    <row r="39" spans="1:7" ht="15" thickBot="1" x14ac:dyDescent="0.35">
      <c r="A39" s="94"/>
      <c r="B39" s="89">
        <f>'Jan 2024'!AK36</f>
        <v>4.7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1F50-F20C-4986-B39D-7EF544340F54}">
  <sheetPr codeName="Sheet8"/>
  <dimension ref="A1:BO124"/>
  <sheetViews>
    <sheetView workbookViewId="0">
      <pane xSplit="9" ySplit="11" topLeftCell="BB24" activePane="bottomRight" state="frozen"/>
      <selection pane="topRight" activeCell="J1" sqref="J1"/>
      <selection pane="bottomLeft" activeCell="A12" sqref="A12"/>
      <selection pane="bottomRight" activeCell="BM5" sqref="BM5:BM33"/>
    </sheetView>
  </sheetViews>
  <sheetFormatPr defaultRowHeight="14.4" x14ac:dyDescent="0.3"/>
  <cols>
    <col min="1" max="1" width="16.44140625" customWidth="1"/>
    <col min="2" max="3" width="8.88671875" customWidth="1"/>
    <col min="4" max="9" width="8.88671875" style="2" customWidth="1"/>
    <col min="10" max="10" width="10" style="2" customWidth="1"/>
    <col min="11" max="18" width="8.88671875" style="2" customWidth="1"/>
    <col min="19" max="19" width="9.6640625" style="2" customWidth="1"/>
    <col min="20" max="21" width="8.88671875" style="2" customWidth="1"/>
    <col min="22" max="22" width="9.6640625" style="2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8.88671875" style="2" customWidth="1"/>
    <col min="32" max="33" width="8.88671875" customWidth="1"/>
    <col min="34" max="34" width="7.33203125" style="2" customWidth="1"/>
    <col min="35" max="35" width="7.33203125" customWidth="1"/>
    <col min="36" max="36" width="9.6640625" customWidth="1"/>
    <col min="37" max="37" width="10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51" width="8.88671875" customWidth="1"/>
    <col min="52" max="52" width="8.88671875" style="2" customWidth="1"/>
    <col min="55" max="55" width="8.88671875" style="2"/>
    <col min="58" max="58" width="8.88671875" style="2"/>
    <col min="61" max="61" width="9.33203125" style="2" customWidth="1"/>
    <col min="64" max="64" width="8.88671875" style="2"/>
    <col min="65" max="65" width="9.109375" style="79" bestFit="1" customWidth="1"/>
    <col min="66" max="66" width="8.88671875" style="79"/>
    <col min="67" max="67" width="8.88671875" style="2"/>
  </cols>
  <sheetData>
    <row r="1" spans="1:67" ht="18.600000000000001" thickBot="1" x14ac:dyDescent="0.4">
      <c r="A1" s="67" t="s">
        <v>48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8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113"/>
      <c r="BN1" s="113"/>
      <c r="BO1" s="69"/>
    </row>
    <row r="2" spans="1:67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73" t="s">
        <v>2</v>
      </c>
      <c r="P2" s="73"/>
      <c r="Q2" s="77"/>
      <c r="R2" s="73" t="s">
        <v>2</v>
      </c>
      <c r="S2" s="74"/>
      <c r="T2" s="77"/>
      <c r="U2" s="73" t="s">
        <v>2</v>
      </c>
      <c r="V2" s="74"/>
      <c r="W2" s="71"/>
      <c r="X2" s="72" t="s">
        <v>3</v>
      </c>
      <c r="Y2" s="73"/>
      <c r="Z2" s="71"/>
      <c r="AA2" s="72" t="s">
        <v>3</v>
      </c>
      <c r="AB2" s="74"/>
      <c r="AC2" s="72"/>
      <c r="AD2" s="72" t="s">
        <v>4</v>
      </c>
      <c r="AE2" s="73"/>
      <c r="AF2" s="71"/>
      <c r="AG2" s="72" t="s">
        <v>4</v>
      </c>
      <c r="AH2" s="74"/>
      <c r="AI2" s="72"/>
      <c r="AJ2" s="72" t="s">
        <v>4</v>
      </c>
      <c r="AK2" s="74"/>
      <c r="AL2" s="108"/>
      <c r="AM2" s="109" t="s">
        <v>5</v>
      </c>
      <c r="AN2" s="110"/>
      <c r="AO2" s="108"/>
      <c r="AP2" s="109" t="s">
        <v>5</v>
      </c>
      <c r="AQ2" s="111"/>
      <c r="AR2" s="109"/>
      <c r="AS2" s="109" t="s">
        <v>5</v>
      </c>
      <c r="AT2" s="110"/>
      <c r="AU2" s="108"/>
      <c r="AV2" s="109" t="s">
        <v>5</v>
      </c>
      <c r="AW2" s="112"/>
      <c r="AX2" s="109"/>
      <c r="AY2" s="109" t="s">
        <v>5</v>
      </c>
      <c r="AZ2" s="111"/>
      <c r="BA2" s="71"/>
      <c r="BB2" s="72" t="s">
        <v>6</v>
      </c>
      <c r="BC2" s="74"/>
      <c r="BD2" s="75"/>
      <c r="BE2" s="75" t="s">
        <v>6</v>
      </c>
      <c r="BF2" s="76"/>
      <c r="BG2" s="71"/>
      <c r="BH2" s="72" t="s">
        <v>6</v>
      </c>
      <c r="BI2" s="74"/>
      <c r="BJ2" s="75"/>
      <c r="BK2" s="75" t="s">
        <v>6</v>
      </c>
      <c r="BL2" s="76"/>
      <c r="BM2" s="114" t="s">
        <v>7</v>
      </c>
      <c r="BN2" s="119"/>
      <c r="BO2" s="74"/>
    </row>
    <row r="3" spans="1:67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13</v>
      </c>
      <c r="L3" s="4"/>
      <c r="M3" s="33"/>
      <c r="N3" s="4" t="s">
        <v>11</v>
      </c>
      <c r="O3" s="4"/>
      <c r="P3" s="35"/>
      <c r="Q3" s="3" t="s">
        <v>12</v>
      </c>
      <c r="R3" s="4"/>
      <c r="S3" s="33"/>
      <c r="T3" s="3" t="s">
        <v>35</v>
      </c>
      <c r="U3" s="4"/>
      <c r="V3" s="33"/>
      <c r="W3" s="47" t="s">
        <v>14</v>
      </c>
      <c r="X3" s="47"/>
      <c r="Y3" s="49"/>
      <c r="Z3" s="46" t="s">
        <v>15</v>
      </c>
      <c r="AA3" s="47"/>
      <c r="AB3" s="48"/>
      <c r="AC3" s="47" t="s">
        <v>16</v>
      </c>
      <c r="AD3" s="47"/>
      <c r="AE3" s="49"/>
      <c r="AF3" s="46" t="s">
        <v>17</v>
      </c>
      <c r="AG3" s="47"/>
      <c r="AH3" s="48"/>
      <c r="AI3" s="47" t="s">
        <v>18</v>
      </c>
      <c r="AJ3" s="47"/>
      <c r="AK3" s="49"/>
      <c r="AL3" s="9" t="s">
        <v>36</v>
      </c>
      <c r="AM3" s="7"/>
      <c r="AN3" s="29"/>
      <c r="AO3" s="9" t="s">
        <v>37</v>
      </c>
      <c r="AP3" s="7"/>
      <c r="AQ3" s="31"/>
      <c r="AR3" s="7" t="s">
        <v>38</v>
      </c>
      <c r="AS3" s="7"/>
      <c r="AT3" s="29"/>
      <c r="AU3" s="9" t="s">
        <v>39</v>
      </c>
      <c r="AV3" s="7"/>
      <c r="AW3" s="8"/>
      <c r="AX3" s="7" t="s">
        <v>40</v>
      </c>
      <c r="AY3" s="7"/>
      <c r="AZ3" s="31"/>
      <c r="BA3" s="13" t="s">
        <v>24</v>
      </c>
      <c r="BB3" s="14"/>
      <c r="BC3" s="27"/>
      <c r="BD3" s="14" t="s">
        <v>25</v>
      </c>
      <c r="BE3" s="14"/>
      <c r="BF3" s="55"/>
      <c r="BG3" s="13" t="s">
        <v>26</v>
      </c>
      <c r="BH3" s="14"/>
      <c r="BI3" s="27"/>
      <c r="BJ3" s="14" t="s">
        <v>27</v>
      </c>
      <c r="BK3" s="14"/>
      <c r="BL3" s="55"/>
      <c r="BM3" s="115" t="s">
        <v>28</v>
      </c>
      <c r="BN3" s="115"/>
      <c r="BO3" s="24"/>
    </row>
    <row r="4" spans="1:67" ht="43.8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36" t="s">
        <v>31</v>
      </c>
      <c r="Q4" s="5" t="s">
        <v>7</v>
      </c>
      <c r="R4" s="6" t="s">
        <v>30</v>
      </c>
      <c r="S4" s="34" t="s">
        <v>31</v>
      </c>
      <c r="T4" s="5" t="s">
        <v>7</v>
      </c>
      <c r="U4" s="6" t="s">
        <v>30</v>
      </c>
      <c r="V4" s="34" t="s">
        <v>31</v>
      </c>
      <c r="W4" s="51" t="s">
        <v>7</v>
      </c>
      <c r="X4" s="51" t="s">
        <v>30</v>
      </c>
      <c r="Y4" s="53" t="s">
        <v>31</v>
      </c>
      <c r="Z4" s="50" t="s">
        <v>7</v>
      </c>
      <c r="AA4" s="51" t="s">
        <v>30</v>
      </c>
      <c r="AB4" s="52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12" t="s">
        <v>7</v>
      </c>
      <c r="AM4" s="10" t="s">
        <v>30</v>
      </c>
      <c r="AN4" s="30" t="s">
        <v>31</v>
      </c>
      <c r="AO4" s="12" t="s">
        <v>7</v>
      </c>
      <c r="AP4" s="10" t="s">
        <v>30</v>
      </c>
      <c r="AQ4" s="32" t="s">
        <v>31</v>
      </c>
      <c r="AR4" s="10" t="s">
        <v>7</v>
      </c>
      <c r="AS4" s="10" t="s">
        <v>30</v>
      </c>
      <c r="AT4" s="30" t="s">
        <v>31</v>
      </c>
      <c r="AU4" s="12" t="s">
        <v>7</v>
      </c>
      <c r="AV4" s="10" t="s">
        <v>30</v>
      </c>
      <c r="AW4" s="11" t="s">
        <v>31</v>
      </c>
      <c r="AX4" s="10" t="s">
        <v>7</v>
      </c>
      <c r="AY4" s="10" t="s">
        <v>30</v>
      </c>
      <c r="AZ4" s="32" t="s">
        <v>31</v>
      </c>
      <c r="BA4" s="15" t="s">
        <v>7</v>
      </c>
      <c r="BB4" s="16" t="s">
        <v>30</v>
      </c>
      <c r="BC4" s="28" t="s">
        <v>31</v>
      </c>
      <c r="BD4" s="16" t="s">
        <v>7</v>
      </c>
      <c r="BE4" s="16" t="s">
        <v>30</v>
      </c>
      <c r="BF4" s="57" t="s">
        <v>31</v>
      </c>
      <c r="BG4" s="15" t="s">
        <v>7</v>
      </c>
      <c r="BH4" s="16" t="s">
        <v>30</v>
      </c>
      <c r="BI4" s="28" t="s">
        <v>31</v>
      </c>
      <c r="BJ4" s="16" t="s">
        <v>7</v>
      </c>
      <c r="BK4" s="16" t="s">
        <v>30</v>
      </c>
      <c r="BL4" s="57" t="s">
        <v>31</v>
      </c>
      <c r="BM4" s="116" t="s">
        <v>7</v>
      </c>
      <c r="BN4" s="116" t="s">
        <v>30</v>
      </c>
      <c r="BO4" s="146" t="s">
        <v>31</v>
      </c>
    </row>
    <row r="5" spans="1:67" ht="15" thickBot="1" x14ac:dyDescent="0.35">
      <c r="A5" s="1">
        <v>45323</v>
      </c>
      <c r="B5" s="17">
        <v>68</v>
      </c>
      <c r="C5" s="18">
        <v>8</v>
      </c>
      <c r="D5" s="122">
        <f t="shared" ref="D5:D33" si="0">IF(C5=0,"",B5/C5)</f>
        <v>8.5</v>
      </c>
      <c r="E5" s="17">
        <v>8</v>
      </c>
      <c r="F5" s="18">
        <v>1</v>
      </c>
      <c r="G5" s="122">
        <f t="shared" ref="G5:G17" si="1">IF(F5=0,"",E5/F5)</f>
        <v>8</v>
      </c>
      <c r="H5" s="17">
        <v>18</v>
      </c>
      <c r="I5" s="18">
        <v>2</v>
      </c>
      <c r="J5" s="122">
        <f t="shared" ref="J5:J33" si="2">IF(I5=0,"",H5/I5)</f>
        <v>9</v>
      </c>
      <c r="K5" s="17">
        <v>0</v>
      </c>
      <c r="L5" s="18">
        <v>0</v>
      </c>
      <c r="M5" s="139" t="str">
        <f t="shared" ref="M5:M6" si="3">IF(L5=0,"-",K5/L5)</f>
        <v>-</v>
      </c>
      <c r="N5" s="17">
        <v>15</v>
      </c>
      <c r="O5" s="18">
        <v>3</v>
      </c>
      <c r="P5" s="122">
        <f t="shared" ref="P5:P33" si="4">IF(O5=0,"",N5/O5)</f>
        <v>5</v>
      </c>
      <c r="Q5" s="17">
        <v>386</v>
      </c>
      <c r="R5" s="18">
        <v>61</v>
      </c>
      <c r="S5" s="122">
        <f t="shared" ref="S5:S33" si="5">IF(R5=0,"",Q5/R5)</f>
        <v>6.3278688524590168</v>
      </c>
      <c r="T5" s="17">
        <v>0</v>
      </c>
      <c r="U5" s="18">
        <v>0</v>
      </c>
      <c r="V5" s="139" t="str">
        <f t="shared" ref="V5:V6" si="6">IF(U5=0,"-",T5/U5)</f>
        <v>-</v>
      </c>
      <c r="W5" s="17">
        <v>1</v>
      </c>
      <c r="X5" s="18">
        <v>1</v>
      </c>
      <c r="Y5" s="139">
        <f t="shared" ref="Y5:Y6" si="7">IF(X5=0,"-",W5/X5)</f>
        <v>1</v>
      </c>
      <c r="Z5" s="20">
        <v>0</v>
      </c>
      <c r="AA5" s="21">
        <v>0</v>
      </c>
      <c r="AB5" s="139" t="str">
        <f t="shared" ref="AB5" si="8">IF(AA5=0,"-",Z5/AA5)</f>
        <v>-</v>
      </c>
      <c r="AC5" s="17">
        <v>0</v>
      </c>
      <c r="AD5" s="18">
        <v>0</v>
      </c>
      <c r="AE5" s="139" t="str">
        <f t="shared" ref="AE5:AE6" si="9">IF(AD5=0,"-",AC5/AD5)</f>
        <v>-</v>
      </c>
      <c r="AF5" s="17">
        <v>0</v>
      </c>
      <c r="AG5" s="18">
        <v>0</v>
      </c>
      <c r="AH5" s="139" t="str">
        <f t="shared" ref="AH5:AH6" si="10">IF(AG5=0,"-",AF5/AG5)</f>
        <v>-</v>
      </c>
      <c r="AI5" s="17">
        <v>0</v>
      </c>
      <c r="AJ5" s="18">
        <v>0</v>
      </c>
      <c r="AK5" s="139" t="str">
        <f t="shared" ref="AK5:AK6" si="11">IF(AJ5=0,"-",AI5/AJ5)</f>
        <v>-</v>
      </c>
      <c r="AL5" s="17">
        <v>0</v>
      </c>
      <c r="AM5" s="18">
        <v>0</v>
      </c>
      <c r="AN5" s="139" t="str">
        <f t="shared" ref="AN5" si="12">IF(AM5=0,"-",AL5/AM5)</f>
        <v>-</v>
      </c>
      <c r="AO5" s="17">
        <v>0</v>
      </c>
      <c r="AP5" s="18">
        <v>0</v>
      </c>
      <c r="AQ5" s="139" t="str">
        <f t="shared" ref="AQ5:AQ6" si="13">IF(AP5=0,"-",AO5/AP5)</f>
        <v>-</v>
      </c>
      <c r="AR5" s="17">
        <v>0</v>
      </c>
      <c r="AS5" s="18">
        <v>0</v>
      </c>
      <c r="AT5" s="139" t="str">
        <f t="shared" ref="AT5:AT6" si="14">IF(AS5=0,"-",AR5/AS5)</f>
        <v>-</v>
      </c>
      <c r="AU5" s="17">
        <v>7</v>
      </c>
      <c r="AV5" s="18">
        <v>1</v>
      </c>
      <c r="AW5" s="122">
        <f t="shared" ref="AW5:AW9" si="15">IF(AV5=0,"",AU5/AV5)</f>
        <v>7</v>
      </c>
      <c r="AX5" s="17">
        <v>0</v>
      </c>
      <c r="AY5" s="18">
        <v>0</v>
      </c>
      <c r="AZ5" s="139" t="str">
        <f t="shared" ref="AZ5:AZ6" si="16">IF(AY5=0,"-",AX5/AY5)</f>
        <v>-</v>
      </c>
      <c r="BA5">
        <v>8</v>
      </c>
      <c r="BB5" s="17">
        <v>1</v>
      </c>
      <c r="BC5" s="139">
        <f t="shared" ref="BC5" si="17">IF(BB5=0,"-",BA5/BB5)</f>
        <v>8</v>
      </c>
      <c r="BD5" s="17">
        <v>0</v>
      </c>
      <c r="BE5" s="18">
        <v>0</v>
      </c>
      <c r="BF5" s="139" t="str">
        <f t="shared" ref="BF5:BF6" si="18">IF(BE5=0,"-",BD5/BE5)</f>
        <v>-</v>
      </c>
      <c r="BG5" s="17">
        <v>0</v>
      </c>
      <c r="BH5" s="18">
        <v>0</v>
      </c>
      <c r="BI5" s="139" t="str">
        <f t="shared" ref="BI5:BI6" si="19">IF(BH5=0,"-",BG5/BH5)</f>
        <v>-</v>
      </c>
      <c r="BJ5" s="17">
        <v>0</v>
      </c>
      <c r="BK5" s="18">
        <v>0</v>
      </c>
      <c r="BL5" s="139" t="str">
        <f t="shared" ref="BL5:BL6" si="20">IF(BK5=0,"-",BJ5/BK5)</f>
        <v>-</v>
      </c>
      <c r="BM5" s="117">
        <f>B5+E5+H5+K5+N5+Q5+T5+W5+Z5+AC5+AF5+AI5+AL5+AO5+AR5+AU5+AX5+BA5+BD5+BG5+BJ5</f>
        <v>511</v>
      </c>
      <c r="BN5" s="120">
        <f t="shared" ref="BN5" si="21">BK5+BH5+BE5+BB5+AY5+AV5+AS5+AP5+AM5+L5+R5+O5+I5+F5+AJ5+AG5+AD5+AA5+X5+C5</f>
        <v>78</v>
      </c>
      <c r="BO5" s="147">
        <f t="shared" ref="BO5" si="22">IF(BN5=0,"",BM5/BN5)</f>
        <v>6.5512820512820511</v>
      </c>
    </row>
    <row r="6" spans="1:67" ht="15" thickBot="1" x14ac:dyDescent="0.35">
      <c r="A6" s="1">
        <v>45324</v>
      </c>
      <c r="B6" s="20">
        <v>40</v>
      </c>
      <c r="C6" s="21">
        <v>4</v>
      </c>
      <c r="D6" s="122">
        <f t="shared" si="0"/>
        <v>10</v>
      </c>
      <c r="E6" s="20">
        <v>0</v>
      </c>
      <c r="F6" s="21">
        <v>0</v>
      </c>
      <c r="G6" s="139" t="str">
        <f>IF(F6=0,"-",E6/F6)</f>
        <v>-</v>
      </c>
      <c r="H6" s="20">
        <v>0</v>
      </c>
      <c r="I6" s="21">
        <v>0</v>
      </c>
      <c r="J6" s="139" t="str">
        <f t="shared" ref="J6" si="23">IF(I6=0,"-",H6/I6)</f>
        <v>-</v>
      </c>
      <c r="K6" s="20">
        <v>0</v>
      </c>
      <c r="L6" s="21">
        <v>0</v>
      </c>
      <c r="M6" s="139" t="str">
        <f t="shared" si="3"/>
        <v>-</v>
      </c>
      <c r="N6" s="23">
        <v>53</v>
      </c>
      <c r="O6" s="21">
        <v>10</v>
      </c>
      <c r="P6" s="122">
        <f t="shared" si="4"/>
        <v>5.3</v>
      </c>
      <c r="Q6" s="20">
        <v>391</v>
      </c>
      <c r="R6" s="21">
        <v>64</v>
      </c>
      <c r="S6" s="139">
        <f t="shared" ref="S6" si="24">IF(R6=0,"-",Q6/R6)</f>
        <v>6.109375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ref="AB6" si="25">IF(AA6=0,"-",Z6/AA6)</f>
        <v>-</v>
      </c>
      <c r="AC6" s="20">
        <v>0</v>
      </c>
      <c r="AD6" s="21">
        <v>0</v>
      </c>
      <c r="AE6" s="139" t="str">
        <f t="shared" si="9"/>
        <v>-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3">
        <v>44</v>
      </c>
      <c r="AM6" s="21">
        <v>6</v>
      </c>
      <c r="AN6" s="122">
        <f t="shared" ref="AN6:AN33" si="26">IF(AM6=0,"",AL6/AM6)</f>
        <v>7.333333333333333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ref="AW6" si="27">IF(AV6=0,"-",AU6/AV6)</f>
        <v>-</v>
      </c>
      <c r="AX6" s="20">
        <v>0</v>
      </c>
      <c r="AY6" s="21">
        <v>0</v>
      </c>
      <c r="AZ6" s="139" t="str">
        <f t="shared" si="16"/>
        <v>-</v>
      </c>
      <c r="BA6" s="20">
        <v>7</v>
      </c>
      <c r="BB6" s="21">
        <v>1</v>
      </c>
      <c r="BC6" s="122">
        <f t="shared" ref="BC6:BC27" si="28">IF(BB6=0,"",BA6/BB6)</f>
        <v>7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117">
        <f t="shared" ref="BM6:BM33" si="29">B6+E6+H6+K6+N6+Q6+T6+W6+Z6+AC6+AF6+AI6+AL6+AO6+AR6+AU6+AX6+BA6+BD6+BG6+BJ6</f>
        <v>535</v>
      </c>
      <c r="BN6" s="120">
        <f t="shared" ref="BN6:BN22" si="30">BK6+BH6+BE6+BB6+AY6+AV6+AS6+AP6+AM6+L6+R6+O6+I6+F6+AJ6+AG6+AD6+AA6+X6+C6</f>
        <v>85</v>
      </c>
      <c r="BO6" s="147">
        <f t="shared" ref="BO6:BO34" si="31">IF(BN6=0,"",BM6/BN6)</f>
        <v>6.2941176470588234</v>
      </c>
    </row>
    <row r="7" spans="1:67" ht="15" thickBot="1" x14ac:dyDescent="0.35">
      <c r="A7" s="1">
        <v>45325</v>
      </c>
      <c r="B7" s="20">
        <v>117</v>
      </c>
      <c r="C7" s="21">
        <v>12</v>
      </c>
      <c r="D7" s="122">
        <f t="shared" si="0"/>
        <v>9.75</v>
      </c>
      <c r="E7" s="20">
        <v>0</v>
      </c>
      <c r="F7" s="21">
        <v>0</v>
      </c>
      <c r="G7" s="139" t="str">
        <f>IF(F7=0,"-",E7/F7)</f>
        <v>-</v>
      </c>
      <c r="H7" s="20">
        <v>0</v>
      </c>
      <c r="I7" s="21">
        <v>0</v>
      </c>
      <c r="J7" s="139" t="str">
        <f t="shared" ref="J7" si="32">IF(I7=0,"-",H7/I7)</f>
        <v>-</v>
      </c>
      <c r="K7" s="20">
        <v>0</v>
      </c>
      <c r="L7" s="21">
        <v>0</v>
      </c>
      <c r="M7" s="139" t="str">
        <f t="shared" ref="M7" si="33">IF(L7=0,"-",K7/L7)</f>
        <v>-</v>
      </c>
      <c r="N7" s="23">
        <v>50</v>
      </c>
      <c r="O7" s="21">
        <v>9</v>
      </c>
      <c r="P7" s="122">
        <f t="shared" si="4"/>
        <v>5.5555555555555554</v>
      </c>
      <c r="Q7" s="20">
        <v>243</v>
      </c>
      <c r="R7" s="21">
        <v>40</v>
      </c>
      <c r="S7" s="139">
        <f t="shared" ref="S7:S8" si="34">IF(R7=0,"-",Q7/R7)</f>
        <v>6.0750000000000002</v>
      </c>
      <c r="T7" s="20">
        <v>0</v>
      </c>
      <c r="U7" s="21">
        <v>0</v>
      </c>
      <c r="V7" s="139" t="str">
        <f t="shared" ref="V7:V8" si="35">IF(U7=0,"-",T7/U7)</f>
        <v>-</v>
      </c>
      <c r="W7" s="20">
        <v>0</v>
      </c>
      <c r="X7" s="21">
        <v>0</v>
      </c>
      <c r="Y7" s="139" t="str">
        <f t="shared" ref="Y7" si="36">IF(X7=0,"-",W7/X7)</f>
        <v>-</v>
      </c>
      <c r="Z7" s="20">
        <v>0</v>
      </c>
      <c r="AA7" s="21">
        <v>0</v>
      </c>
      <c r="AB7" s="139" t="str">
        <f t="shared" ref="AB7" si="37">IF(AA7=0,"-",Z7/AA7)</f>
        <v>-</v>
      </c>
      <c r="AC7" s="20">
        <v>2</v>
      </c>
      <c r="AD7" s="21">
        <v>1</v>
      </c>
      <c r="AE7" s="122">
        <f>IF(AD7=0,"",AC7/AD7)</f>
        <v>2</v>
      </c>
      <c r="AF7" s="20">
        <v>0</v>
      </c>
      <c r="AG7" s="21">
        <v>0</v>
      </c>
      <c r="AH7" s="139" t="str">
        <f t="shared" ref="AH7:AH9" si="38">IF(AG7=0,"-",AF7/AG7)</f>
        <v>-</v>
      </c>
      <c r="AI7" s="20">
        <v>0</v>
      </c>
      <c r="AJ7" s="21">
        <v>0</v>
      </c>
      <c r="AK7" s="139" t="str">
        <f t="shared" ref="AK7:AK9" si="39">IF(AJ7=0,"-",AI7/AJ7)</f>
        <v>-</v>
      </c>
      <c r="AL7" s="23">
        <v>37</v>
      </c>
      <c r="AM7" s="21">
        <v>5</v>
      </c>
      <c r="AN7" s="122">
        <f t="shared" si="26"/>
        <v>7.4</v>
      </c>
      <c r="AO7" s="20">
        <v>0</v>
      </c>
      <c r="AP7" s="21">
        <v>0</v>
      </c>
      <c r="AQ7" s="139" t="str">
        <f t="shared" ref="AQ7" si="40">IF(AP7=0,"-",AO7/AP7)</f>
        <v>-</v>
      </c>
      <c r="AR7" s="20">
        <v>0</v>
      </c>
      <c r="AS7" s="21">
        <v>0</v>
      </c>
      <c r="AT7" s="139" t="str">
        <f t="shared" ref="AT7" si="41">IF(AS7=0,"-",AR7/AS7)</f>
        <v>-</v>
      </c>
      <c r="AU7" s="20">
        <v>0</v>
      </c>
      <c r="AV7" s="21">
        <v>0</v>
      </c>
      <c r="AW7" s="139" t="str">
        <f t="shared" ref="AW7" si="42">IF(AV7=0,"-",AU7/AV7)</f>
        <v>-</v>
      </c>
      <c r="AX7" s="20">
        <v>0</v>
      </c>
      <c r="AY7" s="21">
        <v>0</v>
      </c>
      <c r="AZ7" s="139" t="str">
        <f t="shared" ref="AZ7" si="43">IF(AY7=0,"-",AX7/AY7)</f>
        <v>-</v>
      </c>
      <c r="BA7" s="20">
        <v>6</v>
      </c>
      <c r="BB7" s="21">
        <v>1</v>
      </c>
      <c r="BC7" s="122">
        <f t="shared" si="28"/>
        <v>6</v>
      </c>
      <c r="BD7" s="20">
        <v>0</v>
      </c>
      <c r="BE7" s="21">
        <v>0</v>
      </c>
      <c r="BF7" s="139" t="str">
        <f t="shared" ref="BF7:BF8" si="44">IF(BE7=0,"-",BD7/BE7)</f>
        <v>-</v>
      </c>
      <c r="BG7" s="20">
        <v>0</v>
      </c>
      <c r="BH7" s="21">
        <v>0</v>
      </c>
      <c r="BI7" s="139" t="str">
        <f t="shared" ref="BI7:BI8" si="45">IF(BH7=0,"-",BG7/BH7)</f>
        <v>-</v>
      </c>
      <c r="BJ7" s="20">
        <v>0</v>
      </c>
      <c r="BK7" s="21">
        <v>0</v>
      </c>
      <c r="BL7" s="139" t="str">
        <f t="shared" ref="BL7:BL8" si="46">IF(BK7=0,"-",BJ7/BK7)</f>
        <v>-</v>
      </c>
      <c r="BM7" s="117">
        <f t="shared" si="29"/>
        <v>455</v>
      </c>
      <c r="BN7" s="120">
        <f t="shared" si="30"/>
        <v>68</v>
      </c>
      <c r="BO7" s="147">
        <f t="shared" si="31"/>
        <v>6.6911764705882355</v>
      </c>
    </row>
    <row r="8" spans="1:67" ht="15" thickBot="1" x14ac:dyDescent="0.35">
      <c r="A8" s="1">
        <v>45326</v>
      </c>
      <c r="B8" s="20">
        <v>27</v>
      </c>
      <c r="C8" s="21">
        <v>3</v>
      </c>
      <c r="D8" s="122">
        <f t="shared" si="0"/>
        <v>9</v>
      </c>
      <c r="E8" s="20">
        <v>0</v>
      </c>
      <c r="F8" s="21">
        <v>0</v>
      </c>
      <c r="G8" s="139" t="str">
        <f>IF(F8=0,"-",E8/F8)</f>
        <v>-</v>
      </c>
      <c r="H8" s="20">
        <v>0</v>
      </c>
      <c r="I8" s="21">
        <v>0</v>
      </c>
      <c r="J8" s="139" t="str">
        <f t="shared" ref="J8" si="47">IF(I8=0,"-",H8/I8)</f>
        <v>-</v>
      </c>
      <c r="K8" s="20">
        <v>6</v>
      </c>
      <c r="L8" s="21">
        <v>1</v>
      </c>
      <c r="M8" s="122">
        <f t="shared" ref="M8" si="48">IF(L8=0,"",K8/L8)</f>
        <v>6</v>
      </c>
      <c r="N8" s="20">
        <v>0</v>
      </c>
      <c r="O8" s="21">
        <v>0</v>
      </c>
      <c r="P8" s="139" t="str">
        <f t="shared" ref="P8" si="49">IF(O8=0,"-",N8/O8)</f>
        <v>-</v>
      </c>
      <c r="Q8" s="20">
        <v>8</v>
      </c>
      <c r="R8" s="21">
        <v>1</v>
      </c>
      <c r="S8" s="139">
        <f t="shared" si="34"/>
        <v>8</v>
      </c>
      <c r="T8" s="20">
        <v>0</v>
      </c>
      <c r="U8" s="21">
        <v>0</v>
      </c>
      <c r="V8" s="139" t="str">
        <f t="shared" si="35"/>
        <v>-</v>
      </c>
      <c r="W8" s="20">
        <v>0</v>
      </c>
      <c r="X8" s="21">
        <v>0</v>
      </c>
      <c r="Y8" s="139" t="str">
        <f t="shared" ref="Y8:Y9" si="50">IF(X8=0,"-",W8/X8)</f>
        <v>-</v>
      </c>
      <c r="Z8" s="20">
        <v>0</v>
      </c>
      <c r="AA8" s="21">
        <v>0</v>
      </c>
      <c r="AB8" s="139" t="str">
        <f t="shared" ref="AB8:AB9" si="51">IF(AA8=0,"-",Z8/AA8)</f>
        <v>-</v>
      </c>
      <c r="AC8" s="20">
        <v>0</v>
      </c>
      <c r="AD8" s="21">
        <v>0</v>
      </c>
      <c r="AE8" s="139" t="str">
        <f t="shared" ref="AE8:AE9" si="52">IF(AD8=0,"-",AC8/AD8)</f>
        <v>-</v>
      </c>
      <c r="AF8" s="20">
        <v>0</v>
      </c>
      <c r="AG8" s="21">
        <v>0</v>
      </c>
      <c r="AH8" s="139" t="str">
        <f t="shared" si="38"/>
        <v>-</v>
      </c>
      <c r="AI8" s="20">
        <v>0</v>
      </c>
      <c r="AJ8" s="21">
        <v>0</v>
      </c>
      <c r="AK8" s="139" t="str">
        <f t="shared" si="39"/>
        <v>-</v>
      </c>
      <c r="AL8" s="23">
        <v>36</v>
      </c>
      <c r="AM8" s="21">
        <v>5</v>
      </c>
      <c r="AN8" s="122">
        <f t="shared" si="26"/>
        <v>7.2</v>
      </c>
      <c r="AO8" s="20">
        <v>0</v>
      </c>
      <c r="AP8" s="21">
        <v>0</v>
      </c>
      <c r="AQ8" s="139" t="str">
        <f t="shared" ref="AQ8" si="53">IF(AP8=0,"-",AO8/AP8)</f>
        <v>-</v>
      </c>
      <c r="AR8" s="20">
        <v>0</v>
      </c>
      <c r="AS8" s="21">
        <v>0</v>
      </c>
      <c r="AT8" s="139" t="str">
        <f t="shared" ref="AT8" si="54">IF(AS8=0,"-",AR8/AS8)</f>
        <v>-</v>
      </c>
      <c r="AU8" s="20">
        <v>7</v>
      </c>
      <c r="AV8" s="21">
        <v>1</v>
      </c>
      <c r="AW8" s="139">
        <f t="shared" ref="AW8" si="55">IF(AV8=0,"-",AU8/AV8)</f>
        <v>7</v>
      </c>
      <c r="AX8" s="20">
        <v>0</v>
      </c>
      <c r="AY8" s="21">
        <v>0</v>
      </c>
      <c r="AZ8" s="139" t="str">
        <f t="shared" ref="AZ8" si="56">IF(AY8=0,"-",AX8/AY8)</f>
        <v>-</v>
      </c>
      <c r="BA8" s="20">
        <v>0</v>
      </c>
      <c r="BB8" s="21">
        <v>0</v>
      </c>
      <c r="BC8" s="139" t="str">
        <f t="shared" ref="BC8" si="57">IF(BB8=0,"-",BA8/BB8)</f>
        <v>-</v>
      </c>
      <c r="BD8" s="20">
        <v>0</v>
      </c>
      <c r="BE8" s="21">
        <v>0</v>
      </c>
      <c r="BF8" s="139" t="str">
        <f t="shared" si="44"/>
        <v>-</v>
      </c>
      <c r="BG8" s="20">
        <v>0</v>
      </c>
      <c r="BH8" s="21">
        <v>0</v>
      </c>
      <c r="BI8" s="139" t="str">
        <f t="shared" si="45"/>
        <v>-</v>
      </c>
      <c r="BJ8" s="20">
        <v>0</v>
      </c>
      <c r="BK8" s="21">
        <v>0</v>
      </c>
      <c r="BL8" s="139" t="str">
        <f t="shared" si="46"/>
        <v>-</v>
      </c>
      <c r="BM8" s="117">
        <f t="shared" si="29"/>
        <v>84</v>
      </c>
      <c r="BN8" s="120">
        <f t="shared" si="30"/>
        <v>11</v>
      </c>
      <c r="BO8" s="147">
        <f t="shared" si="31"/>
        <v>7.6363636363636367</v>
      </c>
    </row>
    <row r="9" spans="1:67" ht="15" thickBot="1" x14ac:dyDescent="0.35">
      <c r="A9" s="1">
        <v>45327</v>
      </c>
      <c r="B9" s="20">
        <v>110</v>
      </c>
      <c r="C9" s="21">
        <v>12</v>
      </c>
      <c r="D9" s="122">
        <f t="shared" si="0"/>
        <v>9.1666666666666661</v>
      </c>
      <c r="E9" s="20">
        <v>0</v>
      </c>
      <c r="F9" s="21">
        <v>0</v>
      </c>
      <c r="G9" s="139" t="str">
        <f>IF(F9=0,"-",E9/F9)</f>
        <v>-</v>
      </c>
      <c r="H9" s="20">
        <v>0</v>
      </c>
      <c r="I9" s="21">
        <v>0</v>
      </c>
      <c r="J9" s="139" t="str">
        <f t="shared" ref="J9" si="58">IF(I9=0,"-",H9/I9)</f>
        <v>-</v>
      </c>
      <c r="K9" s="20">
        <v>0</v>
      </c>
      <c r="L9" s="21">
        <v>0</v>
      </c>
      <c r="M9" s="139" t="str">
        <f t="shared" ref="M9" si="59">IF(L9=0,"-",K9/L9)</f>
        <v>-</v>
      </c>
      <c r="N9" s="23">
        <v>66</v>
      </c>
      <c r="O9" s="21">
        <v>11</v>
      </c>
      <c r="P9" s="122">
        <f t="shared" si="4"/>
        <v>6</v>
      </c>
      <c r="Q9" s="20">
        <v>24</v>
      </c>
      <c r="R9" s="21">
        <v>4</v>
      </c>
      <c r="S9" s="122">
        <f t="shared" si="5"/>
        <v>6</v>
      </c>
      <c r="T9" s="20">
        <v>0</v>
      </c>
      <c r="U9" s="21">
        <v>0</v>
      </c>
      <c r="V9" s="139" t="str">
        <f t="shared" ref="V9" si="60">IF(U9=0,"-",T9/U9)</f>
        <v>-</v>
      </c>
      <c r="W9" s="20">
        <v>0</v>
      </c>
      <c r="X9" s="21">
        <v>0</v>
      </c>
      <c r="Y9" s="139" t="str">
        <f t="shared" si="50"/>
        <v>-</v>
      </c>
      <c r="Z9" s="20">
        <v>0</v>
      </c>
      <c r="AA9" s="21">
        <v>0</v>
      </c>
      <c r="AB9" s="139" t="str">
        <f t="shared" si="51"/>
        <v>-</v>
      </c>
      <c r="AC9" s="20">
        <v>0</v>
      </c>
      <c r="AD9" s="21">
        <v>0</v>
      </c>
      <c r="AE9" s="139" t="str">
        <f t="shared" si="52"/>
        <v>-</v>
      </c>
      <c r="AF9" s="20">
        <v>0</v>
      </c>
      <c r="AG9" s="21">
        <v>0</v>
      </c>
      <c r="AH9" s="139" t="str">
        <f t="shared" si="38"/>
        <v>-</v>
      </c>
      <c r="AI9" s="20">
        <v>0</v>
      </c>
      <c r="AJ9" s="21">
        <v>0</v>
      </c>
      <c r="AK9" s="139" t="str">
        <f t="shared" si="39"/>
        <v>-</v>
      </c>
      <c r="AL9" s="23">
        <v>6</v>
      </c>
      <c r="AM9" s="21">
        <v>1</v>
      </c>
      <c r="AN9" s="122">
        <f t="shared" ref="AN9:AN24" si="61">IF(AM9=0,"",AL9/AM9)</f>
        <v>6</v>
      </c>
      <c r="AO9" s="20">
        <v>0</v>
      </c>
      <c r="AP9" s="21">
        <v>0</v>
      </c>
      <c r="AQ9" s="139" t="str">
        <f t="shared" ref="AQ9" si="62">IF(AP9=0,"-",AO9/AP9)</f>
        <v>-</v>
      </c>
      <c r="AR9" s="20">
        <v>0</v>
      </c>
      <c r="AS9" s="21">
        <v>0</v>
      </c>
      <c r="AT9" s="139" t="str">
        <f t="shared" ref="AT9" si="63">IF(AS9=0,"-",AR9/AS9)</f>
        <v>-</v>
      </c>
      <c r="AU9" s="20">
        <v>7</v>
      </c>
      <c r="AV9" s="20">
        <v>1</v>
      </c>
      <c r="AW9" s="122">
        <f t="shared" si="15"/>
        <v>7</v>
      </c>
      <c r="AX9" s="20">
        <v>0</v>
      </c>
      <c r="AY9" s="21">
        <v>0</v>
      </c>
      <c r="AZ9" s="139" t="str">
        <f t="shared" ref="AZ9:AZ10" si="64">IF(AY9=0,"-",AX9/AY9)</f>
        <v>-</v>
      </c>
      <c r="BA9" s="20">
        <v>6</v>
      </c>
      <c r="BB9" s="21">
        <v>1</v>
      </c>
      <c r="BC9" s="122">
        <f t="shared" si="28"/>
        <v>6</v>
      </c>
      <c r="BD9" s="20">
        <v>0</v>
      </c>
      <c r="BE9" s="21">
        <v>0</v>
      </c>
      <c r="BF9" s="139" t="str">
        <f t="shared" ref="BF9" si="65">IF(BE9=0,"-",BD9/BE9)</f>
        <v>-</v>
      </c>
      <c r="BG9" s="20">
        <v>0</v>
      </c>
      <c r="BH9" s="21">
        <v>0</v>
      </c>
      <c r="BI9" s="139" t="str">
        <f t="shared" ref="BI9" si="66">IF(BH9=0,"-",BG9/BH9)</f>
        <v>-</v>
      </c>
      <c r="BJ9" s="20">
        <v>0</v>
      </c>
      <c r="BK9" s="21">
        <v>0</v>
      </c>
      <c r="BL9" s="139" t="str">
        <f t="shared" ref="BL9" si="67">IF(BK9=0,"-",BJ9/BK9)</f>
        <v>-</v>
      </c>
      <c r="BM9" s="117">
        <f t="shared" si="29"/>
        <v>219</v>
      </c>
      <c r="BN9" s="120">
        <f t="shared" si="30"/>
        <v>30</v>
      </c>
      <c r="BO9" s="147">
        <f t="shared" si="31"/>
        <v>7.3</v>
      </c>
    </row>
    <row r="10" spans="1:67" ht="15" thickBot="1" x14ac:dyDescent="0.35">
      <c r="A10" s="1">
        <v>45328</v>
      </c>
      <c r="B10" s="20">
        <v>79</v>
      </c>
      <c r="C10" s="21">
        <v>9</v>
      </c>
      <c r="D10" s="122">
        <f>IF(C10=0,"",B10/C10)</f>
        <v>8.7777777777777786</v>
      </c>
      <c r="E10" s="20">
        <v>17</v>
      </c>
      <c r="F10" s="21">
        <v>2</v>
      </c>
      <c r="G10" s="122">
        <f t="shared" si="1"/>
        <v>8.5</v>
      </c>
      <c r="H10" s="20">
        <v>0</v>
      </c>
      <c r="I10" s="21">
        <v>0</v>
      </c>
      <c r="J10" s="139" t="str">
        <f t="shared" ref="J10" si="68">IF(I10=0,"-",H10/I10)</f>
        <v>-</v>
      </c>
      <c r="K10" s="20">
        <v>0</v>
      </c>
      <c r="L10" s="21">
        <v>0</v>
      </c>
      <c r="M10" s="139" t="str">
        <f t="shared" ref="M10" si="69">IF(L10=0,"-",K10/L10)</f>
        <v>-</v>
      </c>
      <c r="N10" s="23">
        <v>48</v>
      </c>
      <c r="O10" s="21">
        <v>8</v>
      </c>
      <c r="P10" s="122">
        <f t="shared" si="4"/>
        <v>6</v>
      </c>
      <c r="Q10" s="20">
        <v>432</v>
      </c>
      <c r="R10" s="21">
        <v>67</v>
      </c>
      <c r="S10" s="122">
        <f t="shared" si="5"/>
        <v>6.4477611940298507</v>
      </c>
      <c r="T10" s="20">
        <v>20</v>
      </c>
      <c r="U10" s="21">
        <v>4</v>
      </c>
      <c r="V10" s="122">
        <f t="shared" ref="V10:V32" si="70">IF(U10=0,"",T10/U10)</f>
        <v>5</v>
      </c>
      <c r="W10" s="20">
        <v>6</v>
      </c>
      <c r="X10" s="21">
        <v>1</v>
      </c>
      <c r="Y10" s="122">
        <f t="shared" ref="Y10:Y33" si="71">IF(X10=0,"",W10/X10)</f>
        <v>6</v>
      </c>
      <c r="Z10" s="20">
        <v>0</v>
      </c>
      <c r="AA10" s="21">
        <v>0</v>
      </c>
      <c r="AB10" s="139" t="str">
        <f t="shared" ref="AB10" si="72">IF(AA10=0,"-",Z10/AA10)</f>
        <v>-</v>
      </c>
      <c r="AC10" s="20">
        <v>0</v>
      </c>
      <c r="AD10" s="21">
        <v>0</v>
      </c>
      <c r="AE10" s="139" t="str">
        <f t="shared" ref="AE10" si="73">IF(AD10=0,"-",AC10/AD10)</f>
        <v>-</v>
      </c>
      <c r="AF10" s="20">
        <v>0</v>
      </c>
      <c r="AG10" s="21">
        <v>0</v>
      </c>
      <c r="AH10" s="139" t="str">
        <f t="shared" ref="AH10" si="74">IF(AG10=0,"-",AF10/AG10)</f>
        <v>-</v>
      </c>
      <c r="AI10" s="20">
        <v>0</v>
      </c>
      <c r="AJ10" s="21">
        <v>0</v>
      </c>
      <c r="AK10" s="139" t="str">
        <f t="shared" ref="AK10" si="75">IF(AJ10=0,"-",AI10/AJ10)</f>
        <v>-</v>
      </c>
      <c r="AL10" s="23">
        <v>71</v>
      </c>
      <c r="AM10" s="21">
        <v>10</v>
      </c>
      <c r="AN10" s="122">
        <f t="shared" si="26"/>
        <v>7.1</v>
      </c>
      <c r="AO10" s="20">
        <v>0</v>
      </c>
      <c r="AP10" s="21">
        <v>0</v>
      </c>
      <c r="AQ10" s="139" t="str">
        <f t="shared" ref="AQ10" si="76">IF(AP10=0,"-",AO10/AP10)</f>
        <v>-</v>
      </c>
      <c r="AR10" s="20">
        <v>0</v>
      </c>
      <c r="AS10" s="21">
        <v>0</v>
      </c>
      <c r="AT10" s="139" t="str">
        <f t="shared" ref="AT10" si="77">IF(AS10=0,"-",AR10/AS10)</f>
        <v>-</v>
      </c>
      <c r="AU10" s="20">
        <v>0</v>
      </c>
      <c r="AV10" s="21">
        <v>0</v>
      </c>
      <c r="AW10" s="139" t="str">
        <f t="shared" ref="AW10" si="78">IF(AV10=0,"-",AU10/AV10)</f>
        <v>-</v>
      </c>
      <c r="AX10" s="20">
        <v>0</v>
      </c>
      <c r="AY10" s="21">
        <v>0</v>
      </c>
      <c r="AZ10" s="139" t="str">
        <f t="shared" si="64"/>
        <v>-</v>
      </c>
      <c r="BA10" s="20">
        <v>7</v>
      </c>
      <c r="BB10" s="21">
        <v>1</v>
      </c>
      <c r="BC10" s="122">
        <f t="shared" si="28"/>
        <v>7</v>
      </c>
      <c r="BD10" s="20">
        <v>0</v>
      </c>
      <c r="BE10" s="21">
        <v>0</v>
      </c>
      <c r="BF10" s="139" t="str">
        <f t="shared" ref="BF10" si="79">IF(BE10=0,"-",BD10/BE10)</f>
        <v>-</v>
      </c>
      <c r="BG10" s="20">
        <v>0</v>
      </c>
      <c r="BH10" s="21">
        <v>0</v>
      </c>
      <c r="BI10" s="139" t="str">
        <f t="shared" ref="BI10" si="80">IF(BH10=0,"-",BG10/BH10)</f>
        <v>-</v>
      </c>
      <c r="BJ10" s="20">
        <v>0</v>
      </c>
      <c r="BK10" s="21">
        <v>0</v>
      </c>
      <c r="BL10" s="139" t="str">
        <f t="shared" ref="BL10" si="81">IF(BK10=0,"-",BJ10/BK10)</f>
        <v>-</v>
      </c>
      <c r="BM10" s="117">
        <f t="shared" si="29"/>
        <v>680</v>
      </c>
      <c r="BN10" s="120">
        <f t="shared" si="30"/>
        <v>98</v>
      </c>
      <c r="BO10" s="147">
        <f t="shared" si="31"/>
        <v>6.9387755102040813</v>
      </c>
    </row>
    <row r="11" spans="1:67" ht="15" thickBot="1" x14ac:dyDescent="0.35">
      <c r="A11" s="1">
        <v>45329</v>
      </c>
      <c r="B11" s="20">
        <v>63</v>
      </c>
      <c r="C11" s="21">
        <v>7</v>
      </c>
      <c r="D11" s="122">
        <f t="shared" si="0"/>
        <v>9</v>
      </c>
      <c r="E11" s="20">
        <v>29</v>
      </c>
      <c r="F11" s="21">
        <v>6</v>
      </c>
      <c r="G11" s="122">
        <f t="shared" si="1"/>
        <v>4.833333333333333</v>
      </c>
      <c r="H11" s="20">
        <v>0</v>
      </c>
      <c r="I11" s="21">
        <v>0</v>
      </c>
      <c r="J11" s="139" t="str">
        <f t="shared" ref="J11" si="82">IF(I11=0,"-",H11/I11)</f>
        <v>-</v>
      </c>
      <c r="K11" s="20">
        <v>0</v>
      </c>
      <c r="L11" s="21">
        <v>0</v>
      </c>
      <c r="M11" s="139" t="str">
        <f t="shared" ref="M11" si="83">IF(L11=0,"-",K11/L11)</f>
        <v>-</v>
      </c>
      <c r="N11" s="20">
        <v>61</v>
      </c>
      <c r="O11" s="21">
        <v>11</v>
      </c>
      <c r="P11" s="122">
        <f t="shared" si="4"/>
        <v>5.5454545454545459</v>
      </c>
      <c r="Q11" s="20">
        <v>126</v>
      </c>
      <c r="R11" s="21">
        <v>18</v>
      </c>
      <c r="S11" s="122">
        <f t="shared" si="5"/>
        <v>7</v>
      </c>
      <c r="T11" s="20">
        <v>0</v>
      </c>
      <c r="U11" s="21">
        <v>0</v>
      </c>
      <c r="V11" s="122">
        <v>0</v>
      </c>
      <c r="W11" s="20">
        <v>3</v>
      </c>
      <c r="X11" s="21">
        <v>1</v>
      </c>
      <c r="Y11" s="122">
        <f t="shared" si="71"/>
        <v>3</v>
      </c>
      <c r="Z11" s="20">
        <v>0</v>
      </c>
      <c r="AA11" s="21">
        <v>0</v>
      </c>
      <c r="AB11" s="139" t="str">
        <f t="shared" ref="AB11" si="84">IF(AA11=0,"-",Z11/AA11)</f>
        <v>-</v>
      </c>
      <c r="AC11" s="20">
        <v>1</v>
      </c>
      <c r="AD11" s="21">
        <v>1</v>
      </c>
      <c r="AE11" s="122">
        <f t="shared" ref="AE11:AE33" si="85">IF(AD11=0,"",AC11/AD11)</f>
        <v>1</v>
      </c>
      <c r="AF11" s="20">
        <v>0</v>
      </c>
      <c r="AG11" s="21">
        <v>0</v>
      </c>
      <c r="AH11" s="139" t="str">
        <f t="shared" ref="AH11" si="86">IF(AG11=0,"-",AF11/AG11)</f>
        <v>-</v>
      </c>
      <c r="AI11" s="20">
        <v>0</v>
      </c>
      <c r="AJ11" s="21">
        <v>0</v>
      </c>
      <c r="AK11" s="139" t="str">
        <f t="shared" ref="AK11" si="87">IF(AJ11=0,"-",AI11/AJ11)</f>
        <v>-</v>
      </c>
      <c r="AL11" s="23">
        <v>14</v>
      </c>
      <c r="AM11" s="21">
        <v>2</v>
      </c>
      <c r="AN11" s="122">
        <f t="shared" si="26"/>
        <v>7</v>
      </c>
      <c r="AO11" s="20">
        <v>0</v>
      </c>
      <c r="AP11" s="21">
        <v>0</v>
      </c>
      <c r="AQ11" s="139" t="str">
        <f t="shared" ref="AQ11" si="88">IF(AP11=0,"-",AO11/AP11)</f>
        <v>-</v>
      </c>
      <c r="AR11" s="20">
        <v>0</v>
      </c>
      <c r="AS11" s="21">
        <v>0</v>
      </c>
      <c r="AT11" s="139" t="str">
        <f t="shared" ref="AT11" si="89">IF(AS11=0,"-",AR11/AS11)</f>
        <v>-</v>
      </c>
      <c r="AU11" s="23">
        <v>7</v>
      </c>
      <c r="AV11" s="21">
        <v>1</v>
      </c>
      <c r="AW11" s="122">
        <f t="shared" ref="AW11:AW26" si="90">IF(AV11=0,"",AU11/AV11)</f>
        <v>7</v>
      </c>
      <c r="AX11" s="20">
        <v>0</v>
      </c>
      <c r="AY11" s="21">
        <v>0</v>
      </c>
      <c r="AZ11" s="139" t="str">
        <f t="shared" ref="AZ11:AZ12" si="91">IF(AY11=0,"-",AX11/AY11)</f>
        <v>-</v>
      </c>
      <c r="BA11" s="20">
        <v>0</v>
      </c>
      <c r="BB11" s="21">
        <v>0</v>
      </c>
      <c r="BC11" s="139" t="str">
        <f t="shared" ref="BC11" si="92">IF(BB11=0,"-",BA11/BB11)</f>
        <v>-</v>
      </c>
      <c r="BD11" s="20">
        <v>0</v>
      </c>
      <c r="BE11" s="21">
        <v>0</v>
      </c>
      <c r="BF11" s="139" t="str">
        <f t="shared" ref="BF11" si="93">IF(BE11=0,"-",BD11/BE11)</f>
        <v>-</v>
      </c>
      <c r="BG11" s="20">
        <v>0</v>
      </c>
      <c r="BH11" s="21">
        <v>0</v>
      </c>
      <c r="BI11" s="139" t="str">
        <f t="shared" ref="BI11" si="94">IF(BH11=0,"-",BG11/BH11)</f>
        <v>-</v>
      </c>
      <c r="BJ11" s="20">
        <v>0</v>
      </c>
      <c r="BK11" s="21">
        <v>0</v>
      </c>
      <c r="BL11" s="139" t="str">
        <f t="shared" ref="BL11" si="95">IF(BK11=0,"-",BJ11/BK11)</f>
        <v>-</v>
      </c>
      <c r="BM11" s="117">
        <f t="shared" si="29"/>
        <v>304</v>
      </c>
      <c r="BN11" s="120">
        <f t="shared" si="30"/>
        <v>47</v>
      </c>
      <c r="BO11" s="147">
        <f t="shared" si="31"/>
        <v>6.4680851063829783</v>
      </c>
    </row>
    <row r="12" spans="1:67" ht="15" thickBot="1" x14ac:dyDescent="0.35">
      <c r="A12" s="1">
        <v>45330</v>
      </c>
      <c r="B12" s="20">
        <v>109</v>
      </c>
      <c r="C12" s="21">
        <v>13</v>
      </c>
      <c r="D12" s="122">
        <f t="shared" si="0"/>
        <v>8.384615384615385</v>
      </c>
      <c r="E12" s="20">
        <v>6</v>
      </c>
      <c r="F12" s="21">
        <v>1</v>
      </c>
      <c r="G12" s="122">
        <f t="shared" si="1"/>
        <v>6</v>
      </c>
      <c r="H12" s="20">
        <v>0</v>
      </c>
      <c r="I12" s="21">
        <v>0</v>
      </c>
      <c r="J12" s="139" t="str">
        <f t="shared" ref="J12" si="96">IF(I12=0,"-",H12/I12)</f>
        <v>-</v>
      </c>
      <c r="K12" s="20">
        <v>0</v>
      </c>
      <c r="L12" s="21">
        <v>0</v>
      </c>
      <c r="M12" s="139" t="str">
        <f t="shared" ref="M12" si="97">IF(L12=0,"-",K12/L12)</f>
        <v>-</v>
      </c>
      <c r="N12" s="23">
        <v>43</v>
      </c>
      <c r="O12" s="21">
        <v>8</v>
      </c>
      <c r="P12" s="122">
        <f>IF(O12=0,"",N12/O12)</f>
        <v>5.375</v>
      </c>
      <c r="Q12" s="20">
        <v>0</v>
      </c>
      <c r="R12" s="21">
        <v>0</v>
      </c>
      <c r="S12" s="139" t="str">
        <f t="shared" ref="S12" si="98">IF(R12=0,"-",Q12/R12)</f>
        <v>-</v>
      </c>
      <c r="T12" s="20">
        <v>48</v>
      </c>
      <c r="U12" s="21">
        <v>8</v>
      </c>
      <c r="V12" s="122">
        <f t="shared" si="70"/>
        <v>6</v>
      </c>
      <c r="W12" s="20">
        <v>3</v>
      </c>
      <c r="X12" s="21">
        <v>1</v>
      </c>
      <c r="Y12" s="122">
        <f t="shared" si="71"/>
        <v>3</v>
      </c>
      <c r="Z12" s="20">
        <v>0</v>
      </c>
      <c r="AA12" s="21">
        <v>0</v>
      </c>
      <c r="AB12" s="139" t="str">
        <f t="shared" ref="AB12" si="99">IF(AA12=0,"-",Z12/AA12)</f>
        <v>-</v>
      </c>
      <c r="AC12" s="20">
        <v>1</v>
      </c>
      <c r="AD12" s="21">
        <v>1</v>
      </c>
      <c r="AE12" s="122">
        <f t="shared" si="85"/>
        <v>1</v>
      </c>
      <c r="AF12" s="20">
        <v>0</v>
      </c>
      <c r="AG12" s="21">
        <v>0</v>
      </c>
      <c r="AH12" s="139" t="str">
        <f t="shared" ref="AH12" si="100">IF(AG12=0,"-",AF12/AG12)</f>
        <v>-</v>
      </c>
      <c r="AI12" s="20">
        <v>0</v>
      </c>
      <c r="AJ12" s="21">
        <v>0</v>
      </c>
      <c r="AK12" s="139" t="str">
        <f t="shared" ref="AK12" si="101">IF(AJ12=0,"-",AI12/AJ12)</f>
        <v>-</v>
      </c>
      <c r="AL12" s="20">
        <v>0</v>
      </c>
      <c r="AM12" s="21">
        <v>0</v>
      </c>
      <c r="AN12" s="139" t="str">
        <f t="shared" ref="AN12" si="102">IF(AM12=0,"-",AL12/AM12)</f>
        <v>-</v>
      </c>
      <c r="AO12" s="20">
        <v>0</v>
      </c>
      <c r="AP12" s="21">
        <v>0</v>
      </c>
      <c r="AQ12" s="139" t="str">
        <f t="shared" ref="AQ12" si="103">IF(AP12=0,"-",AO12/AP12)</f>
        <v>-</v>
      </c>
      <c r="AR12" s="20">
        <v>0</v>
      </c>
      <c r="AS12" s="21">
        <v>0</v>
      </c>
      <c r="AT12" s="139" t="str">
        <f t="shared" ref="AT12" si="104">IF(AS12=0,"-",AR12/AS12)</f>
        <v>-</v>
      </c>
      <c r="AU12" s="20">
        <v>0</v>
      </c>
      <c r="AV12" s="21">
        <v>0</v>
      </c>
      <c r="AW12" s="139" t="str">
        <f t="shared" ref="AW12" si="105">IF(AV12=0,"-",AU12/AV12)</f>
        <v>-</v>
      </c>
      <c r="AX12" s="20">
        <v>0</v>
      </c>
      <c r="AY12" s="21">
        <v>0</v>
      </c>
      <c r="AZ12" s="139" t="str">
        <f t="shared" si="91"/>
        <v>-</v>
      </c>
      <c r="BA12" s="20">
        <v>0</v>
      </c>
      <c r="BB12" s="21">
        <v>0</v>
      </c>
      <c r="BC12" s="139" t="str">
        <f t="shared" ref="BC12" si="106">IF(BB12=0,"-",BA12/BB12)</f>
        <v>-</v>
      </c>
      <c r="BD12" s="20">
        <v>0</v>
      </c>
      <c r="BE12" s="21">
        <v>0</v>
      </c>
      <c r="BF12" s="139" t="str">
        <f t="shared" ref="BF12" si="107">IF(BE12=0,"-",BD12/BE12)</f>
        <v>-</v>
      </c>
      <c r="BG12" s="20">
        <v>0</v>
      </c>
      <c r="BH12" s="21">
        <v>0</v>
      </c>
      <c r="BI12" s="139" t="str">
        <f t="shared" ref="BI12" si="108">IF(BH12=0,"-",BG12/BH12)</f>
        <v>-</v>
      </c>
      <c r="BJ12" s="20">
        <v>0</v>
      </c>
      <c r="BK12" s="21">
        <v>0</v>
      </c>
      <c r="BL12" s="139" t="str">
        <f t="shared" ref="BL12" si="109">IF(BK12=0,"-",BJ12/BK12)</f>
        <v>-</v>
      </c>
      <c r="BM12" s="117">
        <f t="shared" si="29"/>
        <v>210</v>
      </c>
      <c r="BN12" s="120">
        <f t="shared" si="30"/>
        <v>24</v>
      </c>
      <c r="BO12" s="147">
        <f t="shared" si="31"/>
        <v>8.75</v>
      </c>
    </row>
    <row r="13" spans="1:67" ht="15" thickBot="1" x14ac:dyDescent="0.35">
      <c r="A13" s="1">
        <v>45331</v>
      </c>
      <c r="B13" s="20">
        <v>65</v>
      </c>
      <c r="C13" s="21">
        <v>11</v>
      </c>
      <c r="D13" s="122">
        <f t="shared" si="0"/>
        <v>5.9090909090909092</v>
      </c>
      <c r="E13" s="23">
        <v>7</v>
      </c>
      <c r="F13" s="21">
        <v>1</v>
      </c>
      <c r="G13" s="122">
        <f t="shared" si="1"/>
        <v>7</v>
      </c>
      <c r="H13" s="20">
        <v>0</v>
      </c>
      <c r="I13" s="21">
        <v>0</v>
      </c>
      <c r="J13" s="139" t="str">
        <f t="shared" ref="J13:J14" si="110">IF(I13=0,"-",H13/I13)</f>
        <v>-</v>
      </c>
      <c r="K13" s="20">
        <v>0</v>
      </c>
      <c r="L13" s="21">
        <v>0</v>
      </c>
      <c r="M13" s="139" t="str">
        <f t="shared" ref="M13:M14" si="111">IF(L13=0,"-",K13/L13)</f>
        <v>-</v>
      </c>
      <c r="N13" s="23">
        <v>36</v>
      </c>
      <c r="O13" s="21">
        <v>7</v>
      </c>
      <c r="P13" s="122">
        <f t="shared" si="4"/>
        <v>5.1428571428571432</v>
      </c>
      <c r="Q13" s="125">
        <v>48</v>
      </c>
      <c r="R13" s="126">
        <v>9</v>
      </c>
      <c r="S13" s="122">
        <f t="shared" si="5"/>
        <v>5.333333333333333</v>
      </c>
      <c r="T13" s="20">
        <v>0</v>
      </c>
      <c r="U13" s="21">
        <v>0</v>
      </c>
      <c r="V13" s="122">
        <v>0</v>
      </c>
      <c r="W13" s="20">
        <v>0</v>
      </c>
      <c r="X13" s="21">
        <v>0</v>
      </c>
      <c r="Y13" s="139" t="str">
        <f t="shared" ref="Y13" si="112">IF(X13=0,"-",W13/X13)</f>
        <v>-</v>
      </c>
      <c r="Z13" s="20">
        <v>0</v>
      </c>
      <c r="AA13" s="21">
        <v>0</v>
      </c>
      <c r="AB13" s="139" t="str">
        <f t="shared" ref="AB13" si="113">IF(AA13=0,"-",Z13/AA13)</f>
        <v>-</v>
      </c>
      <c r="AC13" s="23">
        <v>7</v>
      </c>
      <c r="AD13" s="21">
        <v>1</v>
      </c>
      <c r="AE13" s="122">
        <f t="shared" si="85"/>
        <v>7</v>
      </c>
      <c r="AF13" s="20">
        <v>0</v>
      </c>
      <c r="AG13" s="21">
        <v>0</v>
      </c>
      <c r="AH13" s="139" t="str">
        <f t="shared" ref="AH13:AH15" si="114">IF(AG13=0,"-",AF13/AG13)</f>
        <v>-</v>
      </c>
      <c r="AI13" s="20">
        <v>0</v>
      </c>
      <c r="AJ13" s="21">
        <v>0</v>
      </c>
      <c r="AK13" s="139" t="str">
        <f t="shared" ref="AK13:AK15" si="115">IF(AJ13=0,"-",AI13/AJ13)</f>
        <v>-</v>
      </c>
      <c r="AL13" s="23">
        <v>7</v>
      </c>
      <c r="AM13" s="21">
        <v>1</v>
      </c>
      <c r="AN13" s="122">
        <f t="shared" si="26"/>
        <v>7</v>
      </c>
      <c r="AO13" s="20">
        <v>0</v>
      </c>
      <c r="AP13" s="21">
        <v>0</v>
      </c>
      <c r="AQ13" s="139" t="str">
        <f t="shared" ref="AQ13:AQ15" si="116">IF(AP13=0,"-",AO13/AP13)</f>
        <v>-</v>
      </c>
      <c r="AR13" s="20">
        <v>0</v>
      </c>
      <c r="AS13" s="21">
        <v>0</v>
      </c>
      <c r="AT13" s="139" t="str">
        <f t="shared" ref="AT13:AT15" si="117">IF(AS13=0,"-",AR13/AS13)</f>
        <v>-</v>
      </c>
      <c r="AU13" s="20">
        <v>0</v>
      </c>
      <c r="AV13" s="21">
        <v>0</v>
      </c>
      <c r="AW13" s="139" t="str">
        <f t="shared" ref="AW13:AW14" si="118">IF(AV13=0,"-",AU13/AV13)</f>
        <v>-</v>
      </c>
      <c r="AX13" s="20">
        <v>0</v>
      </c>
      <c r="AY13" s="21">
        <v>0</v>
      </c>
      <c r="AZ13" s="139" t="str">
        <f t="shared" ref="AZ13:AZ15" si="119">IF(AY13=0,"-",AX13/AY13)</f>
        <v>-</v>
      </c>
      <c r="BA13" s="20">
        <v>5</v>
      </c>
      <c r="BB13" s="21">
        <v>1</v>
      </c>
      <c r="BC13" s="122">
        <f t="shared" si="28"/>
        <v>5</v>
      </c>
      <c r="BD13" s="20">
        <v>0</v>
      </c>
      <c r="BE13" s="21">
        <v>0</v>
      </c>
      <c r="BF13" s="139" t="str">
        <f t="shared" ref="BF13:BF15" si="120">IF(BE13=0,"-",BD13/BE13)</f>
        <v>-</v>
      </c>
      <c r="BG13" s="20">
        <v>0</v>
      </c>
      <c r="BH13" s="21">
        <v>0</v>
      </c>
      <c r="BI13" s="139" t="str">
        <f t="shared" ref="BI13:BI15" si="121">IF(BH13=0,"-",BG13/BH13)</f>
        <v>-</v>
      </c>
      <c r="BJ13" s="20">
        <v>0</v>
      </c>
      <c r="BK13" s="21">
        <v>0</v>
      </c>
      <c r="BL13" s="139" t="str">
        <f t="shared" ref="BL13:BL15" si="122">IF(BK13=0,"-",BJ13/BK13)</f>
        <v>-</v>
      </c>
      <c r="BM13" s="117">
        <f t="shared" si="29"/>
        <v>175</v>
      </c>
      <c r="BN13" s="120">
        <f t="shared" si="30"/>
        <v>31</v>
      </c>
      <c r="BO13" s="147">
        <f t="shared" si="31"/>
        <v>5.645161290322581</v>
      </c>
    </row>
    <row r="14" spans="1:67" ht="15" thickBot="1" x14ac:dyDescent="0.35">
      <c r="A14" s="1">
        <v>45332</v>
      </c>
      <c r="B14" s="20">
        <v>26</v>
      </c>
      <c r="C14" s="21">
        <v>6</v>
      </c>
      <c r="D14" s="122">
        <f t="shared" si="0"/>
        <v>4.333333333333333</v>
      </c>
      <c r="E14" s="20">
        <v>0</v>
      </c>
      <c r="F14" s="21">
        <v>0</v>
      </c>
      <c r="G14" s="139" t="str">
        <f t="shared" ref="G14" si="123">IF(F14=0,"-",E14/F14)</f>
        <v>-</v>
      </c>
      <c r="H14" s="20">
        <v>0</v>
      </c>
      <c r="I14" s="21">
        <v>0</v>
      </c>
      <c r="J14" s="139" t="str">
        <f t="shared" si="110"/>
        <v>-</v>
      </c>
      <c r="K14" s="20">
        <v>0</v>
      </c>
      <c r="L14" s="21">
        <v>0</v>
      </c>
      <c r="M14" s="139" t="str">
        <f t="shared" si="111"/>
        <v>-</v>
      </c>
      <c r="N14" s="125">
        <v>5</v>
      </c>
      <c r="O14" s="126">
        <v>1</v>
      </c>
      <c r="P14" s="122">
        <f t="shared" si="4"/>
        <v>5</v>
      </c>
      <c r="Q14" s="20">
        <v>0</v>
      </c>
      <c r="R14" s="21">
        <v>0</v>
      </c>
      <c r="S14" s="139" t="str">
        <f t="shared" ref="S14" si="124">IF(R14=0,"-",Q14/R14)</f>
        <v>-</v>
      </c>
      <c r="T14" s="20">
        <v>0</v>
      </c>
      <c r="U14" s="21">
        <v>0</v>
      </c>
      <c r="V14" s="139" t="str">
        <f t="shared" ref="V14" si="125">IF(U14=0,"-",T14/U14)</f>
        <v>-</v>
      </c>
      <c r="W14" s="20">
        <v>0</v>
      </c>
      <c r="X14" s="21">
        <v>0</v>
      </c>
      <c r="Y14" s="139" t="str">
        <f t="shared" ref="Y14:Y15" si="126">IF(X14=0,"-",W14/X14)</f>
        <v>-</v>
      </c>
      <c r="Z14" s="20">
        <v>0</v>
      </c>
      <c r="AA14" s="21">
        <v>0</v>
      </c>
      <c r="AB14" s="139" t="str">
        <f t="shared" ref="AB14:AB15" si="127">IF(AA14=0,"-",Z14/AA14)</f>
        <v>-</v>
      </c>
      <c r="AC14" s="20">
        <v>0</v>
      </c>
      <c r="AD14" s="21">
        <v>0</v>
      </c>
      <c r="AE14" s="139" t="str">
        <f t="shared" ref="AE14:AE15" si="128">IF(AD14=0,"-",AC14/AD14)</f>
        <v>-</v>
      </c>
      <c r="AF14" s="20">
        <v>0</v>
      </c>
      <c r="AG14" s="21">
        <v>0</v>
      </c>
      <c r="AH14" s="139" t="str">
        <f t="shared" si="114"/>
        <v>-</v>
      </c>
      <c r="AI14" s="20">
        <v>0</v>
      </c>
      <c r="AJ14" s="21">
        <v>0</v>
      </c>
      <c r="AK14" s="139" t="str">
        <f t="shared" si="115"/>
        <v>-</v>
      </c>
      <c r="AL14" s="23">
        <v>7</v>
      </c>
      <c r="AM14" s="21">
        <v>1</v>
      </c>
      <c r="AN14" s="122">
        <f t="shared" si="61"/>
        <v>7</v>
      </c>
      <c r="AO14" s="20">
        <v>0</v>
      </c>
      <c r="AP14" s="21">
        <v>0</v>
      </c>
      <c r="AQ14" s="139" t="str">
        <f t="shared" si="116"/>
        <v>-</v>
      </c>
      <c r="AR14" s="20">
        <v>0</v>
      </c>
      <c r="AS14" s="21">
        <v>0</v>
      </c>
      <c r="AT14" s="139" t="str">
        <f t="shared" si="117"/>
        <v>-</v>
      </c>
      <c r="AU14" s="20">
        <v>0</v>
      </c>
      <c r="AV14" s="21">
        <v>0</v>
      </c>
      <c r="AW14" s="139" t="str">
        <f t="shared" si="118"/>
        <v>-</v>
      </c>
      <c r="AX14" s="20">
        <v>0</v>
      </c>
      <c r="AY14" s="21">
        <v>0</v>
      </c>
      <c r="AZ14" s="139" t="str">
        <f t="shared" si="119"/>
        <v>-</v>
      </c>
      <c r="BA14" s="20">
        <v>0</v>
      </c>
      <c r="BB14" s="21">
        <v>0</v>
      </c>
      <c r="BC14" s="139" t="str">
        <f t="shared" ref="BC14:BC15" si="129">IF(BB14=0,"-",BA14/BB14)</f>
        <v>-</v>
      </c>
      <c r="BD14" s="20">
        <v>0</v>
      </c>
      <c r="BE14" s="21">
        <v>0</v>
      </c>
      <c r="BF14" s="139" t="str">
        <f t="shared" si="120"/>
        <v>-</v>
      </c>
      <c r="BG14" s="20">
        <v>0</v>
      </c>
      <c r="BH14" s="21">
        <v>0</v>
      </c>
      <c r="BI14" s="139" t="str">
        <f t="shared" si="121"/>
        <v>-</v>
      </c>
      <c r="BJ14" s="20">
        <v>0</v>
      </c>
      <c r="BK14" s="21">
        <v>0</v>
      </c>
      <c r="BL14" s="139" t="str">
        <f t="shared" si="122"/>
        <v>-</v>
      </c>
      <c r="BM14" s="117">
        <f t="shared" si="29"/>
        <v>38</v>
      </c>
      <c r="BN14" s="120">
        <f t="shared" si="30"/>
        <v>8</v>
      </c>
      <c r="BO14" s="147">
        <f t="shared" si="31"/>
        <v>4.75</v>
      </c>
    </row>
    <row r="15" spans="1:67" ht="15" thickBot="1" x14ac:dyDescent="0.35">
      <c r="A15" s="1">
        <v>45333</v>
      </c>
      <c r="B15" s="20">
        <v>37</v>
      </c>
      <c r="C15" s="21">
        <v>6</v>
      </c>
      <c r="D15" s="122">
        <f t="shared" si="0"/>
        <v>6.166666666666667</v>
      </c>
      <c r="E15" s="23">
        <v>8</v>
      </c>
      <c r="F15" s="21">
        <v>1</v>
      </c>
      <c r="G15" s="122">
        <f t="shared" si="1"/>
        <v>8</v>
      </c>
      <c r="H15" s="20">
        <v>0</v>
      </c>
      <c r="I15" s="21">
        <v>0</v>
      </c>
      <c r="J15" s="139" t="str">
        <f t="shared" ref="J15" si="130">IF(I15=0,"-",H15/I15)</f>
        <v>-</v>
      </c>
      <c r="K15" s="20">
        <v>0</v>
      </c>
      <c r="L15" s="21">
        <v>0</v>
      </c>
      <c r="M15" s="139" t="str">
        <f t="shared" ref="M15" si="131">IF(L15=0,"-",K15/L15)</f>
        <v>-</v>
      </c>
      <c r="N15" s="20">
        <v>0</v>
      </c>
      <c r="O15" s="21">
        <v>0</v>
      </c>
      <c r="P15" s="139" t="str">
        <f t="shared" ref="P15" si="132">IF(O15=0,"-",N15/O15)</f>
        <v>-</v>
      </c>
      <c r="Q15" s="20">
        <v>0</v>
      </c>
      <c r="R15" s="21">
        <v>0</v>
      </c>
      <c r="S15" s="139" t="str">
        <f t="shared" ref="S15" si="133">IF(R15=0,"-",Q15/R15)</f>
        <v>-</v>
      </c>
      <c r="T15" s="125">
        <v>6</v>
      </c>
      <c r="U15" s="126">
        <v>1</v>
      </c>
      <c r="V15" s="122">
        <f t="shared" si="70"/>
        <v>6</v>
      </c>
      <c r="W15" s="20">
        <v>0</v>
      </c>
      <c r="X15" s="21">
        <v>0</v>
      </c>
      <c r="Y15" s="139" t="str">
        <f t="shared" si="126"/>
        <v>-</v>
      </c>
      <c r="Z15" s="20">
        <v>0</v>
      </c>
      <c r="AA15" s="21">
        <v>0</v>
      </c>
      <c r="AB15" s="139" t="str">
        <f t="shared" si="127"/>
        <v>-</v>
      </c>
      <c r="AC15" s="20">
        <v>0</v>
      </c>
      <c r="AD15" s="21">
        <v>0</v>
      </c>
      <c r="AE15" s="139" t="str">
        <f t="shared" si="128"/>
        <v>-</v>
      </c>
      <c r="AF15" s="20">
        <v>0</v>
      </c>
      <c r="AG15" s="21">
        <v>0</v>
      </c>
      <c r="AH15" s="139" t="str">
        <f t="shared" si="114"/>
        <v>-</v>
      </c>
      <c r="AI15" s="20">
        <v>0</v>
      </c>
      <c r="AJ15" s="21">
        <v>0</v>
      </c>
      <c r="AK15" s="139" t="str">
        <f t="shared" si="115"/>
        <v>-</v>
      </c>
      <c r="AL15" s="23">
        <v>29</v>
      </c>
      <c r="AM15" s="21">
        <v>4</v>
      </c>
      <c r="AN15" s="122">
        <f t="shared" si="26"/>
        <v>7.25</v>
      </c>
      <c r="AO15" s="20">
        <v>0</v>
      </c>
      <c r="AP15" s="21">
        <v>0</v>
      </c>
      <c r="AQ15" s="139" t="str">
        <f t="shared" si="116"/>
        <v>-</v>
      </c>
      <c r="AR15" s="20">
        <v>0</v>
      </c>
      <c r="AS15" s="21">
        <v>0</v>
      </c>
      <c r="AT15" s="139" t="str">
        <f t="shared" si="117"/>
        <v>-</v>
      </c>
      <c r="AU15" s="20">
        <v>7</v>
      </c>
      <c r="AV15" s="21">
        <v>1</v>
      </c>
      <c r="AW15" s="122">
        <f t="shared" si="90"/>
        <v>7</v>
      </c>
      <c r="AX15" s="20">
        <v>0</v>
      </c>
      <c r="AY15" s="21">
        <v>0</v>
      </c>
      <c r="AZ15" s="139" t="str">
        <f t="shared" si="119"/>
        <v>-</v>
      </c>
      <c r="BA15" s="20">
        <v>0</v>
      </c>
      <c r="BB15" s="21">
        <v>0</v>
      </c>
      <c r="BC15" s="139" t="str">
        <f t="shared" si="129"/>
        <v>-</v>
      </c>
      <c r="BD15" s="20">
        <v>0</v>
      </c>
      <c r="BE15" s="21">
        <v>0</v>
      </c>
      <c r="BF15" s="139" t="str">
        <f t="shared" si="120"/>
        <v>-</v>
      </c>
      <c r="BG15" s="20">
        <v>0</v>
      </c>
      <c r="BH15" s="21">
        <v>0</v>
      </c>
      <c r="BI15" s="139" t="str">
        <f t="shared" si="121"/>
        <v>-</v>
      </c>
      <c r="BJ15" s="20">
        <v>0</v>
      </c>
      <c r="BK15" s="21">
        <v>0</v>
      </c>
      <c r="BL15" s="139" t="str">
        <f t="shared" si="122"/>
        <v>-</v>
      </c>
      <c r="BM15" s="117">
        <f t="shared" si="29"/>
        <v>87</v>
      </c>
      <c r="BN15" s="120">
        <f t="shared" si="30"/>
        <v>12</v>
      </c>
      <c r="BO15" s="147">
        <f t="shared" si="31"/>
        <v>7.25</v>
      </c>
    </row>
    <row r="16" spans="1:67" ht="15" thickBot="1" x14ac:dyDescent="0.35">
      <c r="A16" s="1">
        <v>45334</v>
      </c>
      <c r="B16" s="20">
        <v>8</v>
      </c>
      <c r="C16" s="21">
        <v>1</v>
      </c>
      <c r="D16" s="122">
        <f>IF(C16=0,"",B16/C16)</f>
        <v>8</v>
      </c>
      <c r="E16" s="20">
        <v>0</v>
      </c>
      <c r="F16" s="21">
        <v>0</v>
      </c>
      <c r="G16" s="139" t="str">
        <f t="shared" ref="G16" si="134">IF(F16=0,"-",E16/F16)</f>
        <v>-</v>
      </c>
      <c r="H16" s="20">
        <v>0</v>
      </c>
      <c r="I16" s="21">
        <v>0</v>
      </c>
      <c r="J16" s="139" t="str">
        <f t="shared" ref="J16" si="135">IF(I16=0,"-",H16/I16)</f>
        <v>-</v>
      </c>
      <c r="K16" s="20">
        <v>0</v>
      </c>
      <c r="L16" s="21">
        <v>0</v>
      </c>
      <c r="M16" s="139" t="str">
        <f t="shared" ref="M16" si="136">IF(L16=0,"-",K16/L16)</f>
        <v>-</v>
      </c>
      <c r="N16" s="23">
        <v>26</v>
      </c>
      <c r="O16" s="21">
        <v>6</v>
      </c>
      <c r="P16" s="122">
        <f t="shared" si="4"/>
        <v>4.333333333333333</v>
      </c>
      <c r="Q16" s="20">
        <v>0</v>
      </c>
      <c r="R16" s="21">
        <v>0</v>
      </c>
      <c r="S16" s="139" t="str">
        <f t="shared" ref="S16" si="137">IF(R16=0,"-",Q16/R16)</f>
        <v>-</v>
      </c>
      <c r="T16" s="20">
        <v>0</v>
      </c>
      <c r="U16" s="21">
        <v>0</v>
      </c>
      <c r="V16" s="139" t="str">
        <f t="shared" ref="V16" si="138">IF(U16=0,"-",T16/U16)</f>
        <v>-</v>
      </c>
      <c r="W16" s="20">
        <v>7</v>
      </c>
      <c r="X16" s="21">
        <v>1</v>
      </c>
      <c r="Y16" s="122">
        <f t="shared" si="71"/>
        <v>7</v>
      </c>
      <c r="Z16" s="20">
        <v>0</v>
      </c>
      <c r="AA16" s="21">
        <v>0</v>
      </c>
      <c r="AB16" s="139" t="str">
        <f t="shared" ref="AB16" si="139">IF(AA16=0,"-",Z16/AA16)</f>
        <v>-</v>
      </c>
      <c r="AC16" s="20">
        <v>0</v>
      </c>
      <c r="AD16" s="21">
        <v>0</v>
      </c>
      <c r="AE16" s="139" t="str">
        <f t="shared" ref="AE16" si="140">IF(AD16=0,"-",AC16/AD16)</f>
        <v>-</v>
      </c>
      <c r="AF16" s="20">
        <v>0</v>
      </c>
      <c r="AG16" s="21">
        <v>0</v>
      </c>
      <c r="AH16" s="139" t="str">
        <f t="shared" ref="AH16" si="141">IF(AG16=0,"-",AF16/AG16)</f>
        <v>-</v>
      </c>
      <c r="AI16" s="20">
        <v>0</v>
      </c>
      <c r="AJ16" s="21">
        <v>0</v>
      </c>
      <c r="AK16" s="139" t="str">
        <f t="shared" ref="AK16" si="142">IF(AJ16=0,"-",AI16/AJ16)</f>
        <v>-</v>
      </c>
      <c r="AL16" s="23">
        <v>13</v>
      </c>
      <c r="AM16" s="21">
        <v>2</v>
      </c>
      <c r="AN16" s="122">
        <f t="shared" si="26"/>
        <v>6.5</v>
      </c>
      <c r="AO16" s="20">
        <v>0</v>
      </c>
      <c r="AP16" s="21">
        <v>0</v>
      </c>
      <c r="AQ16" s="139" t="str">
        <f t="shared" ref="AQ16" si="143">IF(AP16=0,"-",AO16/AP16)</f>
        <v>-</v>
      </c>
      <c r="AR16" s="20">
        <v>0</v>
      </c>
      <c r="AS16" s="21">
        <v>0</v>
      </c>
      <c r="AT16" s="139" t="str">
        <f t="shared" ref="AT16" si="144">IF(AS16=0,"-",AR16/AS16)</f>
        <v>-</v>
      </c>
      <c r="AU16" s="20">
        <v>0</v>
      </c>
      <c r="AV16" s="21">
        <v>0</v>
      </c>
      <c r="AW16" s="139" t="str">
        <f t="shared" ref="AW16" si="145">IF(AV16=0,"-",AU16/AV16)</f>
        <v>-</v>
      </c>
      <c r="AX16" s="20">
        <v>0</v>
      </c>
      <c r="AY16" s="21">
        <v>0</v>
      </c>
      <c r="AZ16" s="139" t="str">
        <f t="shared" ref="AZ16" si="146">IF(AY16=0,"-",AX16/AY16)</f>
        <v>-</v>
      </c>
      <c r="BA16" s="20">
        <v>0</v>
      </c>
      <c r="BB16" s="21">
        <v>0</v>
      </c>
      <c r="BC16" s="139" t="str">
        <f t="shared" ref="BC16" si="147">IF(BB16=0,"-",BA16/BB16)</f>
        <v>-</v>
      </c>
      <c r="BD16" s="20">
        <v>0</v>
      </c>
      <c r="BE16" s="21">
        <v>0</v>
      </c>
      <c r="BF16" s="139" t="str">
        <f t="shared" ref="BF16" si="148">IF(BE16=0,"-",BD16/BE16)</f>
        <v>-</v>
      </c>
      <c r="BG16" s="20">
        <v>0</v>
      </c>
      <c r="BH16" s="21">
        <v>0</v>
      </c>
      <c r="BI16" s="139" t="str">
        <f t="shared" ref="BI16" si="149">IF(BH16=0,"-",BG16/BH16)</f>
        <v>-</v>
      </c>
      <c r="BJ16" s="20">
        <v>0</v>
      </c>
      <c r="BK16" s="21">
        <v>0</v>
      </c>
      <c r="BL16" s="139" t="str">
        <f t="shared" ref="BL16" si="150">IF(BK16=0,"-",BJ16/BK16)</f>
        <v>-</v>
      </c>
      <c r="BM16" s="117">
        <f t="shared" si="29"/>
        <v>54</v>
      </c>
      <c r="BN16" s="120">
        <f t="shared" si="30"/>
        <v>10</v>
      </c>
      <c r="BO16" s="147">
        <f t="shared" si="31"/>
        <v>5.4</v>
      </c>
    </row>
    <row r="17" spans="1:67" ht="15" thickBot="1" x14ac:dyDescent="0.35">
      <c r="A17" s="1">
        <v>45335</v>
      </c>
      <c r="B17" s="20">
        <v>44</v>
      </c>
      <c r="C17" s="21">
        <v>6</v>
      </c>
      <c r="D17" s="122">
        <f t="shared" si="0"/>
        <v>7.333333333333333</v>
      </c>
      <c r="E17" s="20">
        <v>27</v>
      </c>
      <c r="F17" s="21">
        <v>4</v>
      </c>
      <c r="G17" s="122">
        <f t="shared" si="1"/>
        <v>6.75</v>
      </c>
      <c r="H17" s="23">
        <v>6</v>
      </c>
      <c r="I17" s="21">
        <v>1</v>
      </c>
      <c r="J17" s="122">
        <f t="shared" si="2"/>
        <v>6</v>
      </c>
      <c r="K17" s="20">
        <v>0</v>
      </c>
      <c r="L17" s="21">
        <v>0</v>
      </c>
      <c r="M17" s="139" t="str">
        <f t="shared" ref="M17" si="151">IF(L17=0,"-",K17/L17)</f>
        <v>-</v>
      </c>
      <c r="N17" s="23">
        <v>35</v>
      </c>
      <c r="O17" s="21">
        <v>6</v>
      </c>
      <c r="P17" s="122">
        <f t="shared" si="4"/>
        <v>5.833333333333333</v>
      </c>
      <c r="Q17" s="20">
        <v>0</v>
      </c>
      <c r="R17" s="21">
        <v>0</v>
      </c>
      <c r="S17" s="139" t="str">
        <f t="shared" ref="S17" si="152">IF(R17=0,"-",Q17/R17)</f>
        <v>-</v>
      </c>
      <c r="T17" s="125">
        <v>12</v>
      </c>
      <c r="U17" s="126">
        <v>2</v>
      </c>
      <c r="V17" s="122">
        <f t="shared" si="70"/>
        <v>6</v>
      </c>
      <c r="W17" s="20">
        <v>4</v>
      </c>
      <c r="X17" s="21">
        <v>1</v>
      </c>
      <c r="Y17" s="122">
        <f t="shared" si="71"/>
        <v>4</v>
      </c>
      <c r="Z17" s="20">
        <v>0</v>
      </c>
      <c r="AA17" s="21">
        <v>0</v>
      </c>
      <c r="AB17" s="139" t="str">
        <f t="shared" ref="AB17" si="153">IF(AA17=0,"-",Z17/AA17)</f>
        <v>-</v>
      </c>
      <c r="AC17" s="20">
        <v>0</v>
      </c>
      <c r="AD17" s="21">
        <v>0</v>
      </c>
      <c r="AE17" s="139" t="str">
        <f t="shared" ref="AE17" si="154">IF(AD17=0,"-",AC17/AD17)</f>
        <v>-</v>
      </c>
      <c r="AF17" s="20">
        <v>0</v>
      </c>
      <c r="AG17" s="21">
        <v>0</v>
      </c>
      <c r="AH17" s="139" t="str">
        <f t="shared" ref="AH17" si="155">IF(AG17=0,"-",AF17/AG17)</f>
        <v>-</v>
      </c>
      <c r="AI17" s="20">
        <v>0</v>
      </c>
      <c r="AJ17" s="21">
        <v>0</v>
      </c>
      <c r="AK17" s="139" t="str">
        <f t="shared" ref="AK17" si="156">IF(AJ17=0,"-",AI17/AJ17)</f>
        <v>-</v>
      </c>
      <c r="AL17" s="20">
        <v>23</v>
      </c>
      <c r="AM17" s="21">
        <v>3</v>
      </c>
      <c r="AN17" s="122">
        <f t="shared" si="26"/>
        <v>7.666666666666667</v>
      </c>
      <c r="AO17" s="20">
        <v>0</v>
      </c>
      <c r="AP17" s="21">
        <v>0</v>
      </c>
      <c r="AQ17" s="139" t="str">
        <f t="shared" ref="AQ17" si="157">IF(AP17=0,"-",AO17/AP17)</f>
        <v>-</v>
      </c>
      <c r="AR17" s="20">
        <v>0</v>
      </c>
      <c r="AS17" s="21">
        <v>0</v>
      </c>
      <c r="AT17" s="139" t="str">
        <f t="shared" ref="AT17" si="158">IF(AS17=0,"-",AR17/AS17)</f>
        <v>-</v>
      </c>
      <c r="AU17" s="20">
        <v>7</v>
      </c>
      <c r="AV17" s="21">
        <v>1</v>
      </c>
      <c r="AW17" s="122">
        <f t="shared" si="90"/>
        <v>7</v>
      </c>
      <c r="AX17" s="20">
        <v>0</v>
      </c>
      <c r="AY17" s="21">
        <v>0</v>
      </c>
      <c r="AZ17" s="139" t="str">
        <f t="shared" ref="AZ17:AZ18" si="159">IF(AY17=0,"-",AX17/AY17)</f>
        <v>-</v>
      </c>
      <c r="BA17" s="20">
        <v>0</v>
      </c>
      <c r="BB17" s="21">
        <v>0</v>
      </c>
      <c r="BC17" s="139" t="str">
        <f t="shared" ref="BC17" si="160">IF(BB17=0,"-",BA17/BB17)</f>
        <v>-</v>
      </c>
      <c r="BD17" s="20">
        <v>0</v>
      </c>
      <c r="BE17" s="21">
        <v>0</v>
      </c>
      <c r="BF17" s="139" t="str">
        <f t="shared" ref="BF17" si="161">IF(BE17=0,"-",BD17/BE17)</f>
        <v>-</v>
      </c>
      <c r="BG17" s="20">
        <v>0</v>
      </c>
      <c r="BH17" s="21">
        <v>0</v>
      </c>
      <c r="BI17" s="139" t="str">
        <f t="shared" ref="BI17" si="162">IF(BH17=0,"-",BG17/BH17)</f>
        <v>-</v>
      </c>
      <c r="BJ17" s="20">
        <v>0</v>
      </c>
      <c r="BK17" s="21">
        <v>0</v>
      </c>
      <c r="BL17" s="139" t="str">
        <f t="shared" ref="BL17" si="163">IF(BK17=0,"-",BJ17/BK17)</f>
        <v>-</v>
      </c>
      <c r="BM17" s="117">
        <f t="shared" si="29"/>
        <v>158</v>
      </c>
      <c r="BN17" s="120">
        <f t="shared" si="30"/>
        <v>22</v>
      </c>
      <c r="BO17" s="147">
        <f t="shared" si="31"/>
        <v>7.1818181818181817</v>
      </c>
    </row>
    <row r="18" spans="1:67" ht="15" thickBot="1" x14ac:dyDescent="0.35">
      <c r="A18" s="1">
        <v>45336</v>
      </c>
      <c r="B18" s="20">
        <v>26</v>
      </c>
      <c r="C18" s="21">
        <v>4</v>
      </c>
      <c r="D18" s="122">
        <f>IF(C18=0,"",B18/C18)</f>
        <v>6.5</v>
      </c>
      <c r="E18" s="20">
        <v>0</v>
      </c>
      <c r="F18" s="21">
        <v>0</v>
      </c>
      <c r="G18" s="139" t="str">
        <f t="shared" ref="G18:G19" si="164">IF(F18=0,"-",E18/F18)</f>
        <v>-</v>
      </c>
      <c r="H18" s="20">
        <v>0</v>
      </c>
      <c r="I18" s="21">
        <v>0</v>
      </c>
      <c r="J18" s="139" t="str">
        <f t="shared" ref="J18" si="165">IF(I18=0,"-",H18/I18)</f>
        <v>-</v>
      </c>
      <c r="K18" s="20">
        <v>0</v>
      </c>
      <c r="L18" s="21">
        <v>0</v>
      </c>
      <c r="M18" s="139" t="str">
        <f t="shared" ref="M18" si="166">IF(L18=0,"-",K18/L18)</f>
        <v>-</v>
      </c>
      <c r="N18" s="23">
        <v>39</v>
      </c>
      <c r="O18" s="21">
        <v>7</v>
      </c>
      <c r="P18" s="122">
        <f t="shared" si="4"/>
        <v>5.5714285714285712</v>
      </c>
      <c r="Q18" s="20">
        <v>192</v>
      </c>
      <c r="R18" s="21">
        <v>42</v>
      </c>
      <c r="S18" s="122">
        <f t="shared" si="5"/>
        <v>4.5714285714285712</v>
      </c>
      <c r="T18" s="20">
        <v>0</v>
      </c>
      <c r="U18" s="21">
        <v>0</v>
      </c>
      <c r="V18" s="139" t="str">
        <f t="shared" ref="V18" si="167">IF(U18=0,"-",T18/U18)</f>
        <v>-</v>
      </c>
      <c r="W18" s="20">
        <v>0</v>
      </c>
      <c r="X18" s="21">
        <v>0</v>
      </c>
      <c r="Y18" s="139" t="str">
        <f t="shared" ref="Y18" si="168">IF(X18=0,"-",W18/X18)</f>
        <v>-</v>
      </c>
      <c r="Z18" s="20">
        <v>0</v>
      </c>
      <c r="AA18" s="21">
        <v>0</v>
      </c>
      <c r="AB18" s="139" t="str">
        <f t="shared" ref="AB18" si="169">IF(AA18=0,"-",Z18/AA18)</f>
        <v>-</v>
      </c>
      <c r="AC18" s="20">
        <v>1</v>
      </c>
      <c r="AD18" s="21">
        <v>1</v>
      </c>
      <c r="AE18" s="122">
        <f t="shared" si="85"/>
        <v>1</v>
      </c>
      <c r="AF18" s="20">
        <v>0</v>
      </c>
      <c r="AG18" s="21">
        <v>0</v>
      </c>
      <c r="AH18" s="139" t="str">
        <f t="shared" ref="AH18:AH19" si="170">IF(AG18=0,"-",AF18/AG18)</f>
        <v>-</v>
      </c>
      <c r="AI18" s="20">
        <v>0</v>
      </c>
      <c r="AJ18" s="21">
        <v>0</v>
      </c>
      <c r="AK18" s="139" t="str">
        <f t="shared" ref="AK18:AK20" si="171">IF(AJ18=0,"-",AI18/AJ18)</f>
        <v>-</v>
      </c>
      <c r="AL18" s="20">
        <v>0</v>
      </c>
      <c r="AM18" s="21">
        <v>0</v>
      </c>
      <c r="AN18" s="139" t="str">
        <f t="shared" ref="AN18:AN20" si="172">IF(AM18=0,"-",AL18/AM18)</f>
        <v>-</v>
      </c>
      <c r="AO18" s="20">
        <v>0</v>
      </c>
      <c r="AP18" s="21">
        <v>0</v>
      </c>
      <c r="AQ18" s="139" t="str">
        <f t="shared" ref="AQ18" si="173">IF(AP18=0,"-",AO18/AP18)</f>
        <v>-</v>
      </c>
      <c r="AR18" s="20">
        <v>0</v>
      </c>
      <c r="AS18" s="21">
        <v>0</v>
      </c>
      <c r="AT18" s="139" t="str">
        <f t="shared" ref="AT18" si="174">IF(AS18=0,"-",AR18/AS18)</f>
        <v>-</v>
      </c>
      <c r="AU18" s="20">
        <v>0</v>
      </c>
      <c r="AV18" s="21">
        <v>0</v>
      </c>
      <c r="AW18" s="139" t="str">
        <f t="shared" ref="AW18" si="175">IF(AV18=0,"-",AU18/AV18)</f>
        <v>-</v>
      </c>
      <c r="AX18" s="20">
        <v>0</v>
      </c>
      <c r="AY18" s="21">
        <v>0</v>
      </c>
      <c r="AZ18" s="139" t="str">
        <f t="shared" si="159"/>
        <v>-</v>
      </c>
      <c r="BA18" s="20">
        <v>0</v>
      </c>
      <c r="BB18" s="21">
        <v>0</v>
      </c>
      <c r="BC18" s="139" t="str">
        <f t="shared" ref="BC18" si="176">IF(BB18=0,"-",BA18/BB18)</f>
        <v>-</v>
      </c>
      <c r="BD18" s="20">
        <v>0</v>
      </c>
      <c r="BE18" s="21">
        <v>0</v>
      </c>
      <c r="BF18" s="139" t="str">
        <f t="shared" ref="BF18" si="177">IF(BE18=0,"-",BD18/BE18)</f>
        <v>-</v>
      </c>
      <c r="BG18" s="20">
        <v>0</v>
      </c>
      <c r="BH18" s="21">
        <v>0</v>
      </c>
      <c r="BI18" s="139" t="str">
        <f t="shared" ref="BI18" si="178">IF(BH18=0,"-",BG18/BH18)</f>
        <v>-</v>
      </c>
      <c r="BJ18" s="20">
        <v>0</v>
      </c>
      <c r="BK18" s="21">
        <v>0</v>
      </c>
      <c r="BL18" s="139" t="str">
        <f t="shared" ref="BL18" si="179">IF(BK18=0,"-",BJ18/BK18)</f>
        <v>-</v>
      </c>
      <c r="BM18" s="117">
        <f t="shared" si="29"/>
        <v>258</v>
      </c>
      <c r="BN18" s="120">
        <f t="shared" si="30"/>
        <v>54</v>
      </c>
      <c r="BO18" s="147">
        <f t="shared" si="31"/>
        <v>4.7777777777777777</v>
      </c>
    </row>
    <row r="19" spans="1:67" ht="15" thickBot="1" x14ac:dyDescent="0.35">
      <c r="A19" s="1">
        <v>45337</v>
      </c>
      <c r="B19" s="20">
        <v>26</v>
      </c>
      <c r="C19" s="21">
        <v>4</v>
      </c>
      <c r="D19" s="122">
        <f>IF(C19=0,"",B19/C19)</f>
        <v>6.5</v>
      </c>
      <c r="E19" s="23">
        <v>13</v>
      </c>
      <c r="F19" s="21">
        <v>3</v>
      </c>
      <c r="G19" s="139">
        <f t="shared" si="164"/>
        <v>4.333333333333333</v>
      </c>
      <c r="H19" s="20">
        <v>6</v>
      </c>
      <c r="I19" s="21">
        <v>1</v>
      </c>
      <c r="J19" s="122">
        <f t="shared" si="2"/>
        <v>6</v>
      </c>
      <c r="K19" s="20">
        <v>0</v>
      </c>
      <c r="L19" s="21">
        <v>0</v>
      </c>
      <c r="M19" s="139" t="str">
        <f t="shared" ref="M19" si="180">IF(L19=0,"-",K19/L19)</f>
        <v>-</v>
      </c>
      <c r="N19" s="20">
        <v>26</v>
      </c>
      <c r="O19" s="21">
        <v>5</v>
      </c>
      <c r="P19" s="122">
        <f t="shared" si="4"/>
        <v>5.2</v>
      </c>
      <c r="Q19" s="20">
        <v>1</v>
      </c>
      <c r="R19" s="21">
        <v>1</v>
      </c>
      <c r="S19" s="122">
        <f t="shared" si="5"/>
        <v>1</v>
      </c>
      <c r="T19" s="20">
        <v>0</v>
      </c>
      <c r="U19" s="21">
        <v>0</v>
      </c>
      <c r="V19" s="139" t="str">
        <f t="shared" ref="V19" si="181">IF(U19=0,"-",T19/U19)</f>
        <v>-</v>
      </c>
      <c r="W19" s="20">
        <v>2</v>
      </c>
      <c r="X19" s="21">
        <v>1</v>
      </c>
      <c r="Y19" s="122">
        <f t="shared" ref="Y19:Y24" si="182">IF(X19=0,"",W19/X19)</f>
        <v>2</v>
      </c>
      <c r="Z19" s="20">
        <v>0</v>
      </c>
      <c r="AA19" s="21">
        <v>0</v>
      </c>
      <c r="AB19" s="139" t="str">
        <f t="shared" ref="AB19" si="183">IF(AA19=0,"-",Z19/AA19)</f>
        <v>-</v>
      </c>
      <c r="AC19" s="20">
        <v>0</v>
      </c>
      <c r="AD19" s="21">
        <v>0</v>
      </c>
      <c r="AE19" s="139" t="str">
        <f t="shared" ref="AE19" si="184">IF(AD19=0,"-",AC19/AD19)</f>
        <v>-</v>
      </c>
      <c r="AF19" s="20">
        <v>0</v>
      </c>
      <c r="AG19" s="21">
        <v>0</v>
      </c>
      <c r="AH19" s="139" t="str">
        <f t="shared" si="170"/>
        <v>-</v>
      </c>
      <c r="AI19" s="20">
        <v>2</v>
      </c>
      <c r="AJ19" s="21">
        <v>1</v>
      </c>
      <c r="AK19" s="139">
        <f t="shared" si="171"/>
        <v>2</v>
      </c>
      <c r="AL19" s="23">
        <v>28</v>
      </c>
      <c r="AM19" s="21">
        <v>4</v>
      </c>
      <c r="AN19" s="122">
        <f t="shared" si="61"/>
        <v>7</v>
      </c>
      <c r="AO19" s="20">
        <v>0</v>
      </c>
      <c r="AP19" s="21">
        <v>0</v>
      </c>
      <c r="AQ19" s="139" t="str">
        <f t="shared" ref="AQ19" si="185">IF(AP19=0,"-",AO19/AP19)</f>
        <v>-</v>
      </c>
      <c r="AR19" s="20">
        <v>14</v>
      </c>
      <c r="AS19" s="21">
        <v>2</v>
      </c>
      <c r="AT19" s="122">
        <f t="shared" ref="AT19" si="186">IF(AS19=0,"",AR19/AS19)</f>
        <v>7</v>
      </c>
      <c r="AU19" s="20">
        <v>0</v>
      </c>
      <c r="AV19" s="21">
        <v>0</v>
      </c>
      <c r="AW19" s="139" t="str">
        <f t="shared" ref="AW19" si="187">IF(AV19=0,"-",AU19/AV19)</f>
        <v>-</v>
      </c>
      <c r="AX19" s="20">
        <v>0</v>
      </c>
      <c r="AY19" s="21">
        <v>0</v>
      </c>
      <c r="AZ19" s="139" t="str">
        <f t="shared" ref="AZ19" si="188">IF(AY19=0,"-",AX19/AY19)</f>
        <v>-</v>
      </c>
      <c r="BA19" s="20">
        <v>0</v>
      </c>
      <c r="BB19" s="21">
        <v>0</v>
      </c>
      <c r="BC19" s="139" t="str">
        <f t="shared" ref="BC19" si="189">IF(BB19=0,"-",BA19/BB19)</f>
        <v>-</v>
      </c>
      <c r="BD19" s="20">
        <v>0</v>
      </c>
      <c r="BE19" s="21">
        <v>0</v>
      </c>
      <c r="BF19" s="139" t="str">
        <f t="shared" ref="BF19" si="190">IF(BE19=0,"-",BD19/BE19)</f>
        <v>-</v>
      </c>
      <c r="BG19" s="20">
        <v>0</v>
      </c>
      <c r="BH19" s="21">
        <v>0</v>
      </c>
      <c r="BI19" s="139" t="str">
        <f t="shared" ref="BI19" si="191">IF(BH19=0,"-",BG19/BH19)</f>
        <v>-</v>
      </c>
      <c r="BJ19" s="20">
        <v>0</v>
      </c>
      <c r="BK19" s="21">
        <v>0</v>
      </c>
      <c r="BL19" s="139" t="str">
        <f t="shared" ref="BL19" si="192">IF(BK19=0,"-",BJ19/BK19)</f>
        <v>-</v>
      </c>
      <c r="BM19" s="117">
        <f t="shared" si="29"/>
        <v>118</v>
      </c>
      <c r="BN19" s="120">
        <f t="shared" si="30"/>
        <v>22</v>
      </c>
      <c r="BO19" s="147">
        <f t="shared" si="31"/>
        <v>5.3636363636363633</v>
      </c>
    </row>
    <row r="20" spans="1:67" ht="15" thickBot="1" x14ac:dyDescent="0.35">
      <c r="A20" s="1">
        <v>45338</v>
      </c>
      <c r="B20" s="20">
        <v>51</v>
      </c>
      <c r="C20" s="21">
        <v>6</v>
      </c>
      <c r="D20" s="122">
        <f t="shared" si="0"/>
        <v>8.5</v>
      </c>
      <c r="E20" s="20">
        <v>6</v>
      </c>
      <c r="F20" s="21">
        <v>1</v>
      </c>
      <c r="G20" s="122">
        <f t="shared" ref="G20:G31" si="193">IF(F20=0,"",E20/F20)</f>
        <v>6</v>
      </c>
      <c r="H20" s="20">
        <v>0</v>
      </c>
      <c r="I20" s="21">
        <v>0</v>
      </c>
      <c r="J20" s="139" t="str">
        <f t="shared" ref="J20:J21" si="194">IF(I20=0,"-",H20/I20)</f>
        <v>-</v>
      </c>
      <c r="K20" s="20">
        <v>0</v>
      </c>
      <c r="L20" s="21">
        <v>0</v>
      </c>
      <c r="M20" s="139" t="str">
        <f t="shared" ref="M20:M21" si="195">IF(L20=0,"-",K20/L20)</f>
        <v>-</v>
      </c>
      <c r="N20" s="20">
        <v>6</v>
      </c>
      <c r="O20" s="21">
        <v>1</v>
      </c>
      <c r="P20" s="122">
        <f t="shared" si="4"/>
        <v>6</v>
      </c>
      <c r="Q20" s="20">
        <v>0</v>
      </c>
      <c r="R20" s="21">
        <v>0</v>
      </c>
      <c r="S20" s="139" t="str">
        <f t="shared" ref="S20" si="196">IF(R20=0,"-",Q20/R20)</f>
        <v>-</v>
      </c>
      <c r="T20" s="20">
        <v>12</v>
      </c>
      <c r="U20" s="21">
        <v>2</v>
      </c>
      <c r="V20" s="122">
        <f t="shared" si="70"/>
        <v>6</v>
      </c>
      <c r="W20" s="20">
        <v>2</v>
      </c>
      <c r="X20" s="21">
        <v>1</v>
      </c>
      <c r="Y20" s="122">
        <f t="shared" si="71"/>
        <v>2</v>
      </c>
      <c r="Z20" s="20">
        <v>0</v>
      </c>
      <c r="AA20" s="21">
        <v>0</v>
      </c>
      <c r="AB20" s="139" t="str">
        <f t="shared" ref="AB20:AB22" si="197">IF(AA20=0,"-",Z20/AA20)</f>
        <v>-</v>
      </c>
      <c r="AC20" s="20">
        <v>2</v>
      </c>
      <c r="AD20" s="21">
        <v>1</v>
      </c>
      <c r="AE20" s="122">
        <f t="shared" si="85"/>
        <v>2</v>
      </c>
      <c r="AF20" s="20">
        <v>0</v>
      </c>
      <c r="AG20" s="21">
        <v>0</v>
      </c>
      <c r="AH20" s="139" t="str">
        <f t="shared" ref="AH20" si="198">IF(AG20=0,"-",AF20/AG20)</f>
        <v>-</v>
      </c>
      <c r="AI20" s="20">
        <v>0</v>
      </c>
      <c r="AJ20" s="21">
        <v>0</v>
      </c>
      <c r="AK20" s="139" t="str">
        <f t="shared" si="171"/>
        <v>-</v>
      </c>
      <c r="AL20" s="23">
        <v>0</v>
      </c>
      <c r="AM20" s="21">
        <v>0</v>
      </c>
      <c r="AN20" s="139" t="str">
        <f t="shared" si="172"/>
        <v>-</v>
      </c>
      <c r="AO20" s="20">
        <v>5</v>
      </c>
      <c r="AP20" s="21">
        <v>1</v>
      </c>
      <c r="AQ20" s="122">
        <f t="shared" ref="AQ20" si="199">IF(AP20=0,"",AO20/AP20)</f>
        <v>5</v>
      </c>
      <c r="AR20" s="20">
        <v>0</v>
      </c>
      <c r="AS20" s="21">
        <v>0</v>
      </c>
      <c r="AT20" s="139" t="str">
        <f t="shared" ref="AT20" si="200">IF(AS20=0,"-",AR20/AS20)</f>
        <v>-</v>
      </c>
      <c r="AU20" s="20">
        <v>0</v>
      </c>
      <c r="AV20" s="21">
        <v>0</v>
      </c>
      <c r="AW20" s="139" t="str">
        <f t="shared" ref="AW20:AW23" si="201">IF(AV20=0,"-",AU20/AV20)</f>
        <v>-</v>
      </c>
      <c r="AX20" s="20">
        <v>0</v>
      </c>
      <c r="AY20" s="21">
        <v>0</v>
      </c>
      <c r="AZ20" s="139" t="str">
        <f t="shared" ref="AZ20:AZ23" si="202">IF(AY20=0,"-",AX20/AY20)</f>
        <v>-</v>
      </c>
      <c r="BA20" s="20">
        <v>5</v>
      </c>
      <c r="BB20" s="21">
        <v>1</v>
      </c>
      <c r="BC20" s="122">
        <f t="shared" ref="BC20:BC24" si="203">IF(BB20=0,"",BA20/BB20)</f>
        <v>5</v>
      </c>
      <c r="BD20" s="20">
        <v>0</v>
      </c>
      <c r="BE20" s="21">
        <v>0</v>
      </c>
      <c r="BF20" s="139" t="str">
        <f t="shared" ref="BF20:BF22" si="204">IF(BE20=0,"-",BD20/BE20)</f>
        <v>-</v>
      </c>
      <c r="BG20" s="20">
        <v>0</v>
      </c>
      <c r="BH20" s="21">
        <v>0</v>
      </c>
      <c r="BI20" s="139" t="str">
        <f t="shared" ref="BI20:BI22" si="205">IF(BH20=0,"-",BG20/BH20)</f>
        <v>-</v>
      </c>
      <c r="BJ20" s="20">
        <v>0</v>
      </c>
      <c r="BK20" s="21">
        <v>0</v>
      </c>
      <c r="BL20" s="139" t="str">
        <f t="shared" ref="BL20:BL22" si="206">IF(BK20=0,"-",BJ20/BK20)</f>
        <v>-</v>
      </c>
      <c r="BM20" s="117">
        <f t="shared" si="29"/>
        <v>89</v>
      </c>
      <c r="BN20" s="120">
        <f t="shared" si="30"/>
        <v>12</v>
      </c>
      <c r="BO20" s="147">
        <f t="shared" si="31"/>
        <v>7.416666666666667</v>
      </c>
    </row>
    <row r="21" spans="1:67" ht="15" thickBot="1" x14ac:dyDescent="0.35">
      <c r="A21" s="1">
        <v>45339</v>
      </c>
      <c r="B21" s="20">
        <v>10</v>
      </c>
      <c r="C21" s="21">
        <v>2</v>
      </c>
      <c r="D21" s="122">
        <f t="shared" si="0"/>
        <v>5</v>
      </c>
      <c r="E21" s="20">
        <v>0</v>
      </c>
      <c r="F21" s="21">
        <v>0</v>
      </c>
      <c r="G21" s="139" t="str">
        <f t="shared" ref="G21" si="207">IF(F21=0,"-",E21/F21)</f>
        <v>-</v>
      </c>
      <c r="H21" s="20">
        <v>0</v>
      </c>
      <c r="I21" s="21">
        <v>0</v>
      </c>
      <c r="J21" s="139" t="str">
        <f t="shared" si="194"/>
        <v>-</v>
      </c>
      <c r="K21" s="20">
        <v>0</v>
      </c>
      <c r="L21" s="21">
        <v>0</v>
      </c>
      <c r="M21" s="139" t="str">
        <f t="shared" si="195"/>
        <v>-</v>
      </c>
      <c r="N21" s="20">
        <v>5</v>
      </c>
      <c r="O21" s="21">
        <v>1</v>
      </c>
      <c r="P21" s="122">
        <f t="shared" si="4"/>
        <v>5</v>
      </c>
      <c r="Q21" s="20">
        <v>0</v>
      </c>
      <c r="R21" s="21">
        <v>0</v>
      </c>
      <c r="S21" s="139" t="str">
        <f t="shared" ref="S21" si="208">IF(R21=0,"-",Q21/R21)</f>
        <v>-</v>
      </c>
      <c r="T21" s="20">
        <v>0</v>
      </c>
      <c r="U21" s="21">
        <v>0</v>
      </c>
      <c r="V21" s="139" t="str">
        <f t="shared" ref="V21" si="209">IF(U21=0,"-",T21/U21)</f>
        <v>-</v>
      </c>
      <c r="W21" s="20">
        <v>0</v>
      </c>
      <c r="X21" s="21">
        <v>0</v>
      </c>
      <c r="Y21" s="139" t="str">
        <f t="shared" ref="Y21:Y22" si="210">IF(X21=0,"-",W21/X21)</f>
        <v>-</v>
      </c>
      <c r="Z21" s="20">
        <v>0</v>
      </c>
      <c r="AA21" s="21">
        <v>0</v>
      </c>
      <c r="AB21" s="139" t="str">
        <f t="shared" si="197"/>
        <v>-</v>
      </c>
      <c r="AC21" s="20">
        <v>0</v>
      </c>
      <c r="AD21" s="21">
        <v>0</v>
      </c>
      <c r="AE21" s="139" t="str">
        <f t="shared" ref="AE21:AE22" si="211">IF(AD21=0,"-",AC21/AD21)</f>
        <v>-</v>
      </c>
      <c r="AF21" s="20">
        <v>0</v>
      </c>
      <c r="AG21" s="21">
        <v>0</v>
      </c>
      <c r="AH21" s="139" t="str">
        <f t="shared" ref="AH21:AH22" si="212">IF(AG21=0,"-",AF21/AG21)</f>
        <v>-</v>
      </c>
      <c r="AI21" s="20">
        <v>0</v>
      </c>
      <c r="AJ21" s="21">
        <v>0</v>
      </c>
      <c r="AK21" s="139" t="str">
        <f t="shared" ref="AK21:AK22" si="213">IF(AJ21=0,"-",AI21/AJ21)</f>
        <v>-</v>
      </c>
      <c r="AL21" s="23">
        <v>7</v>
      </c>
      <c r="AM21" s="21">
        <v>1</v>
      </c>
      <c r="AN21" s="122">
        <f t="shared" si="26"/>
        <v>7</v>
      </c>
      <c r="AO21" s="20">
        <v>0</v>
      </c>
      <c r="AP21" s="21">
        <v>0</v>
      </c>
      <c r="AQ21" s="139" t="str">
        <f t="shared" ref="AQ21:AQ22" si="214">IF(AP21=0,"-",AO21/AP21)</f>
        <v>-</v>
      </c>
      <c r="AR21" s="20">
        <v>0</v>
      </c>
      <c r="AS21" s="21">
        <v>0</v>
      </c>
      <c r="AT21" s="139" t="str">
        <f t="shared" ref="AT21" si="215">IF(AS21=0,"-",AR21/AS21)</f>
        <v>-</v>
      </c>
      <c r="AU21" s="20">
        <v>0</v>
      </c>
      <c r="AV21" s="21">
        <v>0</v>
      </c>
      <c r="AW21" s="139" t="str">
        <f t="shared" si="201"/>
        <v>-</v>
      </c>
      <c r="AX21" s="20">
        <v>0</v>
      </c>
      <c r="AY21" s="21">
        <v>0</v>
      </c>
      <c r="AZ21" s="139" t="str">
        <f t="shared" si="202"/>
        <v>-</v>
      </c>
      <c r="BA21" s="20">
        <v>21</v>
      </c>
      <c r="BB21" s="21">
        <v>3</v>
      </c>
      <c r="BC21" s="122">
        <f t="shared" si="28"/>
        <v>7</v>
      </c>
      <c r="BD21" s="20">
        <v>0</v>
      </c>
      <c r="BE21" s="21">
        <v>0</v>
      </c>
      <c r="BF21" s="139" t="str">
        <f t="shared" si="204"/>
        <v>-</v>
      </c>
      <c r="BG21" s="20">
        <v>0</v>
      </c>
      <c r="BH21" s="21">
        <v>0</v>
      </c>
      <c r="BI21" s="139" t="str">
        <f t="shared" si="205"/>
        <v>-</v>
      </c>
      <c r="BJ21" s="20">
        <v>0</v>
      </c>
      <c r="BK21" s="21">
        <v>0</v>
      </c>
      <c r="BL21" s="139" t="str">
        <f t="shared" si="206"/>
        <v>-</v>
      </c>
      <c r="BM21" s="117">
        <f t="shared" si="29"/>
        <v>43</v>
      </c>
      <c r="BN21" s="120">
        <f t="shared" si="30"/>
        <v>7</v>
      </c>
      <c r="BO21" s="147">
        <f t="shared" si="31"/>
        <v>6.1428571428571432</v>
      </c>
    </row>
    <row r="22" spans="1:67" ht="15" thickBot="1" x14ac:dyDescent="0.35">
      <c r="A22" s="1">
        <v>45340</v>
      </c>
      <c r="B22" s="20">
        <v>0</v>
      </c>
      <c r="C22" s="21">
        <v>0</v>
      </c>
      <c r="D22" s="139" t="str">
        <f t="shared" ref="D22" si="216">IF(C22=0,"-",B22/C22)</f>
        <v>-</v>
      </c>
      <c r="E22" s="20">
        <v>0</v>
      </c>
      <c r="F22" s="21">
        <v>0</v>
      </c>
      <c r="G22" s="139" t="str">
        <f t="shared" ref="G22" si="217">IF(F22=0,"-",E22/F22)</f>
        <v>-</v>
      </c>
      <c r="H22" s="20">
        <v>0</v>
      </c>
      <c r="I22" s="21">
        <v>0</v>
      </c>
      <c r="J22" s="139" t="str">
        <f t="shared" ref="J22" si="218">IF(I22=0,"-",H22/I22)</f>
        <v>-</v>
      </c>
      <c r="K22" s="20">
        <v>0</v>
      </c>
      <c r="L22" s="21">
        <v>0</v>
      </c>
      <c r="M22" s="139" t="str">
        <f t="shared" ref="M22" si="219">IF(L22=0,"-",K22/L22)</f>
        <v>-</v>
      </c>
      <c r="N22" s="20">
        <v>0</v>
      </c>
      <c r="O22" s="21">
        <v>0</v>
      </c>
      <c r="P22" s="139" t="str">
        <f t="shared" ref="P22" si="220">IF(O22=0,"-",N22/O22)</f>
        <v>-</v>
      </c>
      <c r="Q22" s="20">
        <v>0</v>
      </c>
      <c r="R22" s="21">
        <v>0</v>
      </c>
      <c r="S22" s="139" t="str">
        <f t="shared" ref="S22:S24" si="221">IF(R22=0,"-",Q22/R22)</f>
        <v>-</v>
      </c>
      <c r="T22" s="20">
        <v>0</v>
      </c>
      <c r="U22" s="21">
        <v>0</v>
      </c>
      <c r="V22" s="139" t="str">
        <f t="shared" ref="V22" si="222">IF(U22=0,"-",T22/U22)</f>
        <v>-</v>
      </c>
      <c r="W22" s="20">
        <v>0</v>
      </c>
      <c r="X22" s="21">
        <v>0</v>
      </c>
      <c r="Y22" s="139" t="str">
        <f t="shared" si="210"/>
        <v>-</v>
      </c>
      <c r="Z22" s="20">
        <v>0</v>
      </c>
      <c r="AA22" s="21">
        <v>0</v>
      </c>
      <c r="AB22" s="139" t="str">
        <f t="shared" si="197"/>
        <v>-</v>
      </c>
      <c r="AC22" s="20">
        <v>0</v>
      </c>
      <c r="AD22" s="21">
        <v>0</v>
      </c>
      <c r="AE22" s="139" t="str">
        <f t="shared" si="211"/>
        <v>-</v>
      </c>
      <c r="AF22" s="20">
        <v>0</v>
      </c>
      <c r="AG22" s="21">
        <v>0</v>
      </c>
      <c r="AH22" s="139" t="str">
        <f t="shared" si="212"/>
        <v>-</v>
      </c>
      <c r="AI22" s="20">
        <v>0</v>
      </c>
      <c r="AJ22" s="21">
        <v>0</v>
      </c>
      <c r="AK22" s="139" t="str">
        <f t="shared" si="213"/>
        <v>-</v>
      </c>
      <c r="AL22" s="20">
        <v>27</v>
      </c>
      <c r="AM22" s="21">
        <v>4</v>
      </c>
      <c r="AN22" s="122">
        <f t="shared" si="26"/>
        <v>6.75</v>
      </c>
      <c r="AO22" s="20">
        <v>0</v>
      </c>
      <c r="AP22" s="21">
        <v>0</v>
      </c>
      <c r="AQ22" s="139" t="str">
        <f t="shared" si="214"/>
        <v>-</v>
      </c>
      <c r="AR22" s="20">
        <v>7</v>
      </c>
      <c r="AS22" s="21">
        <v>1</v>
      </c>
      <c r="AT22" s="122">
        <f t="shared" ref="AT22" si="223">IF(AS22=0,"",AR22/AS22)</f>
        <v>7</v>
      </c>
      <c r="AU22" s="20">
        <v>0</v>
      </c>
      <c r="AV22" s="21">
        <v>0</v>
      </c>
      <c r="AW22" s="139" t="str">
        <f t="shared" si="201"/>
        <v>-</v>
      </c>
      <c r="AX22" s="20">
        <v>0</v>
      </c>
      <c r="AY22" s="21">
        <v>0</v>
      </c>
      <c r="AZ22" s="139" t="str">
        <f t="shared" si="202"/>
        <v>-</v>
      </c>
      <c r="BA22" s="20">
        <v>7</v>
      </c>
      <c r="BB22" s="21">
        <v>1</v>
      </c>
      <c r="BC22" s="122">
        <f t="shared" si="28"/>
        <v>7</v>
      </c>
      <c r="BD22" s="20">
        <v>0</v>
      </c>
      <c r="BE22" s="21">
        <v>0</v>
      </c>
      <c r="BF22" s="139" t="str">
        <f t="shared" si="204"/>
        <v>-</v>
      </c>
      <c r="BG22" s="20">
        <v>0</v>
      </c>
      <c r="BH22" s="21">
        <v>0</v>
      </c>
      <c r="BI22" s="139" t="str">
        <f t="shared" si="205"/>
        <v>-</v>
      </c>
      <c r="BJ22" s="20">
        <v>0</v>
      </c>
      <c r="BK22" s="21">
        <v>0</v>
      </c>
      <c r="BL22" s="139" t="str">
        <f t="shared" si="206"/>
        <v>-</v>
      </c>
      <c r="BM22" s="117">
        <f t="shared" si="29"/>
        <v>41</v>
      </c>
      <c r="BN22" s="120">
        <f t="shared" si="30"/>
        <v>6</v>
      </c>
      <c r="BO22" s="147">
        <f t="shared" si="31"/>
        <v>6.833333333333333</v>
      </c>
    </row>
    <row r="23" spans="1:67" ht="15" thickBot="1" x14ac:dyDescent="0.35">
      <c r="A23" s="1">
        <v>45341</v>
      </c>
      <c r="B23" s="20">
        <v>31</v>
      </c>
      <c r="C23" s="21">
        <v>4</v>
      </c>
      <c r="D23" s="122">
        <f t="shared" si="0"/>
        <v>7.75</v>
      </c>
      <c r="E23" s="20">
        <v>0</v>
      </c>
      <c r="F23" s="21">
        <v>0</v>
      </c>
      <c r="G23" s="139" t="str">
        <f t="shared" ref="G23" si="224">IF(F23=0,"-",E23/F23)</f>
        <v>-</v>
      </c>
      <c r="H23" s="20">
        <v>8</v>
      </c>
      <c r="I23" s="21">
        <v>1</v>
      </c>
      <c r="J23" s="122">
        <f t="shared" si="2"/>
        <v>8</v>
      </c>
      <c r="K23" s="20">
        <v>0</v>
      </c>
      <c r="L23" s="21">
        <v>0</v>
      </c>
      <c r="M23" s="139" t="str">
        <f t="shared" ref="M23" si="225">IF(L23=0,"-",K23/L23)</f>
        <v>-</v>
      </c>
      <c r="N23" s="23">
        <v>18</v>
      </c>
      <c r="O23" s="21">
        <v>3</v>
      </c>
      <c r="P23" s="122">
        <f t="shared" si="4"/>
        <v>6</v>
      </c>
      <c r="Q23" s="20">
        <v>85</v>
      </c>
      <c r="R23" s="21">
        <v>22</v>
      </c>
      <c r="S23" s="139">
        <f t="shared" si="221"/>
        <v>3.8636363636363638</v>
      </c>
      <c r="T23" s="20">
        <v>0</v>
      </c>
      <c r="U23" s="21">
        <v>0</v>
      </c>
      <c r="V23" s="139" t="str">
        <f t="shared" ref="V23:V24" si="226">IF(U23=0,"-",T23/U23)</f>
        <v>-</v>
      </c>
      <c r="W23" s="20">
        <v>2</v>
      </c>
      <c r="X23" s="21">
        <v>1</v>
      </c>
      <c r="Y23" s="122">
        <f t="shared" si="71"/>
        <v>2</v>
      </c>
      <c r="Z23" s="20">
        <v>0</v>
      </c>
      <c r="AA23" s="21">
        <v>0</v>
      </c>
      <c r="AB23" s="139" t="str">
        <f t="shared" ref="AB23" si="227">IF(AA23=0,"-",Z23/AA23)</f>
        <v>-</v>
      </c>
      <c r="AC23" s="20">
        <v>0</v>
      </c>
      <c r="AD23" s="21">
        <v>0</v>
      </c>
      <c r="AE23" s="139" t="str">
        <f t="shared" ref="AE23" si="228">IF(AD23=0,"-",AC23/AD23)</f>
        <v>-</v>
      </c>
      <c r="AF23" s="20">
        <v>0</v>
      </c>
      <c r="AG23" s="21">
        <v>0</v>
      </c>
      <c r="AH23" s="139" t="str">
        <f t="shared" ref="AH23" si="229">IF(AG23=0,"-",AF23/AG23)</f>
        <v>-</v>
      </c>
      <c r="AI23" s="20">
        <v>5</v>
      </c>
      <c r="AJ23" s="21">
        <v>1</v>
      </c>
      <c r="AK23" s="122">
        <f t="shared" ref="AK23:AK33" si="230">IF(AJ23=0,"",AI23/AJ23)</f>
        <v>5</v>
      </c>
      <c r="AL23" s="20">
        <v>29</v>
      </c>
      <c r="AM23" s="21">
        <v>4</v>
      </c>
      <c r="AN23" s="122">
        <f t="shared" si="26"/>
        <v>7.25</v>
      </c>
      <c r="AO23" s="20">
        <v>0</v>
      </c>
      <c r="AP23" s="21">
        <v>0</v>
      </c>
      <c r="AQ23" s="139" t="str">
        <f t="shared" ref="AQ23" si="231">IF(AP23=0,"-",AO23/AP23)</f>
        <v>-</v>
      </c>
      <c r="AR23" s="20">
        <v>0</v>
      </c>
      <c r="AS23" s="21">
        <v>0</v>
      </c>
      <c r="AT23" s="139" t="str">
        <f t="shared" ref="AT23" si="232">IF(AS23=0,"-",AR23/AS23)</f>
        <v>-</v>
      </c>
      <c r="AU23" s="20">
        <v>0</v>
      </c>
      <c r="AV23" s="21">
        <v>0</v>
      </c>
      <c r="AW23" s="139" t="str">
        <f t="shared" si="201"/>
        <v>-</v>
      </c>
      <c r="AX23" s="20">
        <v>0</v>
      </c>
      <c r="AY23" s="21">
        <v>0</v>
      </c>
      <c r="AZ23" s="139" t="str">
        <f t="shared" si="202"/>
        <v>-</v>
      </c>
      <c r="BA23" s="20">
        <v>0</v>
      </c>
      <c r="BB23" s="21">
        <v>0</v>
      </c>
      <c r="BC23" s="139" t="str">
        <f t="shared" ref="BC23" si="233">IF(BB23=0,"-",BA23/BB23)</f>
        <v>-</v>
      </c>
      <c r="BD23" s="20">
        <v>0</v>
      </c>
      <c r="BE23" s="21">
        <v>0</v>
      </c>
      <c r="BF23" s="139" t="str">
        <f t="shared" ref="BF23" si="234">IF(BE23=0,"-",BD23/BE23)</f>
        <v>-</v>
      </c>
      <c r="BG23" s="20">
        <v>0</v>
      </c>
      <c r="BH23" s="21">
        <v>0</v>
      </c>
      <c r="BI23" s="139" t="str">
        <f t="shared" ref="BI23" si="235">IF(BH23=0,"-",BG23/BH23)</f>
        <v>-</v>
      </c>
      <c r="BJ23" s="20">
        <v>8</v>
      </c>
      <c r="BK23" s="21">
        <v>1</v>
      </c>
      <c r="BL23" s="122">
        <f t="shared" ref="BL23" si="236">IF(BK23=0,"",BJ23/BK23)</f>
        <v>8</v>
      </c>
      <c r="BM23" s="117">
        <f t="shared" si="29"/>
        <v>186</v>
      </c>
      <c r="BN23" s="120">
        <f>BK23+BH23+BE23+BB23+AY23+AV23+AS23+AP23+AM23+L23+R23+O23+I23+F24+AJ23+AG23+AD23+AA23+X23+C23</f>
        <v>38</v>
      </c>
      <c r="BO23" s="147">
        <f t="shared" si="31"/>
        <v>4.8947368421052628</v>
      </c>
    </row>
    <row r="24" spans="1:67" ht="15" thickBot="1" x14ac:dyDescent="0.35">
      <c r="A24" s="1">
        <v>45342</v>
      </c>
      <c r="B24" s="20">
        <v>37</v>
      </c>
      <c r="C24" s="21">
        <v>4</v>
      </c>
      <c r="D24" s="122">
        <f t="shared" si="0"/>
        <v>9.25</v>
      </c>
      <c r="E24" s="20">
        <v>4</v>
      </c>
      <c r="F24" s="21">
        <v>1</v>
      </c>
      <c r="G24" s="122">
        <f t="shared" si="193"/>
        <v>4</v>
      </c>
      <c r="H24" s="20">
        <v>25</v>
      </c>
      <c r="I24" s="21">
        <v>3</v>
      </c>
      <c r="J24" s="122">
        <f t="shared" si="2"/>
        <v>8.3333333333333339</v>
      </c>
      <c r="K24" s="20">
        <v>0</v>
      </c>
      <c r="L24" s="21">
        <v>0</v>
      </c>
      <c r="M24" s="139" t="str">
        <f t="shared" ref="M24" si="237">IF(L24=0,"-",K24/L24)</f>
        <v>-</v>
      </c>
      <c r="N24" s="23">
        <v>12</v>
      </c>
      <c r="O24" s="21">
        <v>3</v>
      </c>
      <c r="P24" s="122">
        <f t="shared" si="4"/>
        <v>4</v>
      </c>
      <c r="Q24" s="20">
        <v>0</v>
      </c>
      <c r="R24" s="21">
        <v>0</v>
      </c>
      <c r="S24" s="139" t="str">
        <f t="shared" si="221"/>
        <v>-</v>
      </c>
      <c r="T24" s="20">
        <v>0</v>
      </c>
      <c r="U24" s="21">
        <v>0</v>
      </c>
      <c r="V24" s="139" t="str">
        <f t="shared" si="226"/>
        <v>-</v>
      </c>
      <c r="W24" s="20">
        <v>7</v>
      </c>
      <c r="X24" s="21">
        <v>1</v>
      </c>
      <c r="Y24" s="122">
        <f t="shared" si="182"/>
        <v>7</v>
      </c>
      <c r="Z24" s="20">
        <v>0</v>
      </c>
      <c r="AA24" s="21">
        <v>0</v>
      </c>
      <c r="AB24" s="139" t="str">
        <f t="shared" ref="AB24" si="238">IF(AA24=0,"-",Z24/AA24)</f>
        <v>-</v>
      </c>
      <c r="AC24" s="20">
        <v>0</v>
      </c>
      <c r="AD24" s="21">
        <v>0</v>
      </c>
      <c r="AE24" s="139" t="str">
        <f t="shared" ref="AE24" si="239">IF(AD24=0,"-",AC24/AD24)</f>
        <v>-</v>
      </c>
      <c r="AF24" s="20">
        <v>0</v>
      </c>
      <c r="AG24" s="21">
        <v>0</v>
      </c>
      <c r="AH24" s="139" t="str">
        <f t="shared" ref="AH24" si="240">IF(AG24=0,"-",AF24/AG24)</f>
        <v>-</v>
      </c>
      <c r="AI24" s="20">
        <v>0</v>
      </c>
      <c r="AJ24" s="21">
        <v>0</v>
      </c>
      <c r="AK24" s="139" t="str">
        <f t="shared" ref="AK24" si="241">IF(AJ24=0,"-",AI24/AJ24)</f>
        <v>-</v>
      </c>
      <c r="AL24" s="20">
        <v>17</v>
      </c>
      <c r="AM24" s="21">
        <v>3</v>
      </c>
      <c r="AN24" s="122">
        <f t="shared" si="61"/>
        <v>5.666666666666667</v>
      </c>
      <c r="AO24" s="20">
        <v>0</v>
      </c>
      <c r="AP24" s="21">
        <v>0</v>
      </c>
      <c r="AQ24" s="139" t="str">
        <f t="shared" ref="AQ24" si="242">IF(AP24=0,"-",AO24/AP24)</f>
        <v>-</v>
      </c>
      <c r="AR24" s="20">
        <v>0</v>
      </c>
      <c r="AS24" s="21">
        <v>0</v>
      </c>
      <c r="AT24" s="139" t="str">
        <f t="shared" ref="AT24" si="243">IF(AS24=0,"-",AR24/AS24)</f>
        <v>-</v>
      </c>
      <c r="AU24" s="20">
        <v>0</v>
      </c>
      <c r="AV24" s="21">
        <v>0</v>
      </c>
      <c r="AW24" s="139" t="str">
        <f t="shared" ref="AW24" si="244">IF(AV24=0,"-",AU24/AV24)</f>
        <v>-</v>
      </c>
      <c r="AX24" s="20">
        <v>0</v>
      </c>
      <c r="AY24" s="21">
        <v>0</v>
      </c>
      <c r="AZ24" s="139" t="str">
        <f t="shared" ref="AZ24" si="245">IF(AY24=0,"-",AX24/AY24)</f>
        <v>-</v>
      </c>
      <c r="BA24" s="20">
        <v>8</v>
      </c>
      <c r="BB24" s="21">
        <v>1</v>
      </c>
      <c r="BC24" s="122">
        <f t="shared" si="203"/>
        <v>8</v>
      </c>
      <c r="BD24" s="20">
        <v>0</v>
      </c>
      <c r="BE24" s="21">
        <v>0</v>
      </c>
      <c r="BF24" s="139" t="str">
        <f t="shared" ref="BF24" si="246">IF(BE24=0,"-",BD24/BE24)</f>
        <v>-</v>
      </c>
      <c r="BG24" s="20">
        <v>0</v>
      </c>
      <c r="BH24" s="21">
        <v>0</v>
      </c>
      <c r="BI24" s="139" t="str">
        <f t="shared" ref="BI24" si="247">IF(BH24=0,"-",BG24/BH24)</f>
        <v>-</v>
      </c>
      <c r="BJ24" s="20">
        <v>0</v>
      </c>
      <c r="BK24" s="21">
        <v>0</v>
      </c>
      <c r="BL24" s="139" t="str">
        <f t="shared" ref="BL24" si="248">IF(BK24=0,"-",BJ24/BK24)</f>
        <v>-</v>
      </c>
      <c r="BM24" s="117">
        <f t="shared" si="29"/>
        <v>110</v>
      </c>
      <c r="BN24" s="120">
        <f>BK24+BH24+BE24+BB24+AY24+AV24+AS24+AP24+AM24+L24+R24+O24+I24+F25+AJ24+AG24+AD24+AA24+X24+C24</f>
        <v>18</v>
      </c>
      <c r="BO24" s="147">
        <f t="shared" si="31"/>
        <v>6.1111111111111107</v>
      </c>
    </row>
    <row r="25" spans="1:67" ht="15" thickBot="1" x14ac:dyDescent="0.35">
      <c r="A25" s="1">
        <v>45343</v>
      </c>
      <c r="B25" s="20">
        <v>38</v>
      </c>
      <c r="C25" s="21">
        <v>6</v>
      </c>
      <c r="D25" s="122">
        <f t="shared" si="0"/>
        <v>6.333333333333333</v>
      </c>
      <c r="E25" s="20">
        <v>11</v>
      </c>
      <c r="F25" s="21">
        <v>3</v>
      </c>
      <c r="G25" s="122">
        <f t="shared" si="193"/>
        <v>3.6666666666666665</v>
      </c>
      <c r="H25" s="20">
        <v>0</v>
      </c>
      <c r="I25" s="21">
        <v>0</v>
      </c>
      <c r="J25" s="139" t="str">
        <f t="shared" ref="J25:J26" si="249">IF(I25=0,"-",H25/I25)</f>
        <v>-</v>
      </c>
      <c r="K25" s="20">
        <v>0</v>
      </c>
      <c r="L25" s="21">
        <v>0</v>
      </c>
      <c r="M25" s="139" t="str">
        <f t="shared" ref="M25" si="250">IF(L25=0,"-",K25/L25)</f>
        <v>-</v>
      </c>
      <c r="N25" s="20">
        <v>17</v>
      </c>
      <c r="O25" s="21">
        <v>3</v>
      </c>
      <c r="P25" s="122">
        <f>IF(O25=0,"",N25/O25)</f>
        <v>5.666666666666667</v>
      </c>
      <c r="Q25" s="20">
        <v>161</v>
      </c>
      <c r="R25" s="21">
        <v>27</v>
      </c>
      <c r="S25" s="139">
        <f t="shared" ref="S25" si="251">IF(R25=0,"-",Q25/R25)</f>
        <v>5.9629629629629628</v>
      </c>
      <c r="T25" s="20">
        <v>12</v>
      </c>
      <c r="U25" s="21">
        <v>2</v>
      </c>
      <c r="V25" s="122">
        <f t="shared" si="70"/>
        <v>6</v>
      </c>
      <c r="W25" s="20">
        <v>6</v>
      </c>
      <c r="X25" s="21">
        <v>1</v>
      </c>
      <c r="Y25" s="122">
        <f t="shared" si="71"/>
        <v>6</v>
      </c>
      <c r="Z25" s="20">
        <v>0</v>
      </c>
      <c r="AA25" s="21">
        <v>0</v>
      </c>
      <c r="AB25" s="139" t="str">
        <f t="shared" ref="AB25" si="252">IF(AA25=0,"-",Z25/AA25)</f>
        <v>-</v>
      </c>
      <c r="AC25" s="20">
        <v>0</v>
      </c>
      <c r="AD25" s="21">
        <v>0</v>
      </c>
      <c r="AE25" s="139" t="str">
        <f t="shared" ref="AE25" si="253">IF(AD25=0,"-",AC25/AD25)</f>
        <v>-</v>
      </c>
      <c r="AF25" s="20">
        <v>0</v>
      </c>
      <c r="AG25" s="21">
        <v>0</v>
      </c>
      <c r="AH25" s="139" t="str">
        <f t="shared" ref="AH25" si="254">IF(AG25=0,"-",AF25/AG25)</f>
        <v>-</v>
      </c>
      <c r="AI25" s="20">
        <v>0</v>
      </c>
      <c r="AJ25" s="21">
        <v>0</v>
      </c>
      <c r="AK25" s="139" t="str">
        <f t="shared" ref="AK25" si="255">IF(AJ25=0,"-",AI25/AJ25)</f>
        <v>-</v>
      </c>
      <c r="AL25" s="20">
        <v>7</v>
      </c>
      <c r="AM25" s="21">
        <v>1</v>
      </c>
      <c r="AN25" s="122">
        <f t="shared" si="26"/>
        <v>7</v>
      </c>
      <c r="AO25" s="20">
        <v>0</v>
      </c>
      <c r="AP25" s="21">
        <v>0</v>
      </c>
      <c r="AQ25" s="139" t="str">
        <f t="shared" ref="AQ25" si="256">IF(AP25=0,"-",AO25/AP25)</f>
        <v>-</v>
      </c>
      <c r="AR25" s="20">
        <v>0</v>
      </c>
      <c r="AS25" s="21">
        <v>0</v>
      </c>
      <c r="AT25" s="139" t="str">
        <f t="shared" ref="AT25" si="257">IF(AS25=0,"-",AR25/AS25)</f>
        <v>-</v>
      </c>
      <c r="AU25" s="20">
        <v>6</v>
      </c>
      <c r="AV25" s="21">
        <v>1</v>
      </c>
      <c r="AW25" s="122">
        <f t="shared" si="90"/>
        <v>6</v>
      </c>
      <c r="AX25" s="20">
        <v>0</v>
      </c>
      <c r="AY25" s="21">
        <v>0</v>
      </c>
      <c r="AZ25" s="139" t="str">
        <f t="shared" ref="AZ25" si="258">IF(AY25=0,"-",AX25/AY25)</f>
        <v>-</v>
      </c>
      <c r="BA25" s="20">
        <v>21</v>
      </c>
      <c r="BB25" s="21">
        <v>3</v>
      </c>
      <c r="BC25" s="122">
        <f t="shared" si="28"/>
        <v>7</v>
      </c>
      <c r="BD25" s="20">
        <v>0</v>
      </c>
      <c r="BE25" s="21">
        <v>0</v>
      </c>
      <c r="BF25" s="139" t="str">
        <f t="shared" ref="BF25" si="259">IF(BE25=0,"-",BD25/BE25)</f>
        <v>-</v>
      </c>
      <c r="BG25" s="20">
        <v>0</v>
      </c>
      <c r="BH25" s="21">
        <v>0</v>
      </c>
      <c r="BI25" s="139" t="str">
        <f t="shared" ref="BI25" si="260">IF(BH25=0,"-",BG25/BH25)</f>
        <v>-</v>
      </c>
      <c r="BJ25" s="20">
        <v>0</v>
      </c>
      <c r="BK25" s="21">
        <v>0</v>
      </c>
      <c r="BL25" s="139" t="str">
        <f t="shared" ref="BL25" si="261">IF(BK25=0,"-",BJ25/BK25)</f>
        <v>-</v>
      </c>
      <c r="BM25" s="117">
        <f t="shared" si="29"/>
        <v>279</v>
      </c>
      <c r="BN25" s="120">
        <f>BK25+BH25+BE25+BB25+AY25+AV25+AS25+AP25+AM25+L25+R25+O25+I25+F25+AJ26+AG25+AD25+AA25+X25+C25</f>
        <v>45</v>
      </c>
      <c r="BO25" s="147">
        <f t="shared" si="31"/>
        <v>6.2</v>
      </c>
    </row>
    <row r="26" spans="1:67" ht="15" thickBot="1" x14ac:dyDescent="0.35">
      <c r="A26" s="1">
        <v>45344</v>
      </c>
      <c r="B26" s="20">
        <v>6</v>
      </c>
      <c r="C26" s="21">
        <v>2</v>
      </c>
      <c r="D26" s="122">
        <f>IF(C26=0,"",B26/C26)</f>
        <v>3</v>
      </c>
      <c r="E26" s="20">
        <v>0</v>
      </c>
      <c r="F26" s="21">
        <v>0</v>
      </c>
      <c r="G26" s="139" t="str">
        <f t="shared" ref="G26" si="262">IF(F26=0,"-",E26/F26)</f>
        <v>-</v>
      </c>
      <c r="H26" s="20">
        <v>0</v>
      </c>
      <c r="I26" s="21">
        <v>0</v>
      </c>
      <c r="J26" s="139" t="str">
        <f t="shared" si="249"/>
        <v>-</v>
      </c>
      <c r="K26" s="20">
        <v>0</v>
      </c>
      <c r="L26" s="21">
        <v>0</v>
      </c>
      <c r="M26" s="139" t="str">
        <f t="shared" ref="M26" si="263">IF(L26=0,"-",K26/L26)</f>
        <v>-</v>
      </c>
      <c r="N26" s="20">
        <v>0</v>
      </c>
      <c r="O26" s="21">
        <v>0</v>
      </c>
      <c r="P26" s="139" t="str">
        <f t="shared" ref="P26" si="264">IF(O26=0,"-",N26/O26)</f>
        <v>-</v>
      </c>
      <c r="Q26" s="20">
        <v>268</v>
      </c>
      <c r="R26" s="21">
        <v>44</v>
      </c>
      <c r="S26" s="139">
        <f t="shared" ref="S26" si="265">IF(R26=0,"-",Q26/R26)</f>
        <v>6.0909090909090908</v>
      </c>
      <c r="T26" s="20">
        <v>0</v>
      </c>
      <c r="U26" s="21">
        <v>0</v>
      </c>
      <c r="V26" s="139" t="str">
        <f t="shared" ref="V26" si="266">IF(U26=0,"-",T26/U26)</f>
        <v>-</v>
      </c>
      <c r="W26" s="20">
        <v>2</v>
      </c>
      <c r="X26" s="21">
        <v>1</v>
      </c>
      <c r="Y26" s="122">
        <f t="shared" si="71"/>
        <v>2</v>
      </c>
      <c r="Z26" s="20">
        <v>0</v>
      </c>
      <c r="AA26" s="21">
        <v>0</v>
      </c>
      <c r="AB26" s="139" t="str">
        <f t="shared" ref="AB26:AB27" si="267">IF(AA26=0,"-",Z26/AA26)</f>
        <v>-</v>
      </c>
      <c r="AC26" s="20">
        <v>0</v>
      </c>
      <c r="AD26" s="21">
        <v>0</v>
      </c>
      <c r="AE26" s="139" t="str">
        <f t="shared" ref="AE26:AE27" si="268">IF(AD26=0,"-",AC26/AD26)</f>
        <v>-</v>
      </c>
      <c r="AF26" s="20">
        <v>0</v>
      </c>
      <c r="AG26" s="21">
        <v>0</v>
      </c>
      <c r="AH26" s="139" t="str">
        <f t="shared" ref="AH26:AH27" si="269">IF(AG26=0,"-",AF26/AG26)</f>
        <v>-</v>
      </c>
      <c r="AI26" s="20">
        <v>0</v>
      </c>
      <c r="AJ26" s="21">
        <v>0</v>
      </c>
      <c r="AK26" s="139" t="str">
        <f t="shared" ref="AK26:AK27" si="270">IF(AJ26=0,"-",AI26/AJ26)</f>
        <v>-</v>
      </c>
      <c r="AL26" s="20">
        <v>27</v>
      </c>
      <c r="AM26" s="21">
        <v>4</v>
      </c>
      <c r="AN26" s="122">
        <f t="shared" si="26"/>
        <v>6.75</v>
      </c>
      <c r="AO26" s="20">
        <v>0</v>
      </c>
      <c r="AP26" s="21">
        <v>0</v>
      </c>
      <c r="AQ26" s="139" t="str">
        <f t="shared" ref="AQ26" si="271">IF(AP26=0,"-",AO26/AP26)</f>
        <v>-</v>
      </c>
      <c r="AR26" s="20">
        <v>0</v>
      </c>
      <c r="AS26" s="21">
        <v>0</v>
      </c>
      <c r="AT26" s="139" t="str">
        <f t="shared" ref="AT26" si="272">IF(AS26=0,"-",AR26/AS26)</f>
        <v>-</v>
      </c>
      <c r="AU26" s="20">
        <v>3</v>
      </c>
      <c r="AV26" s="21">
        <v>1</v>
      </c>
      <c r="AW26" s="122">
        <f t="shared" si="90"/>
        <v>3</v>
      </c>
      <c r="AX26" s="20">
        <v>0</v>
      </c>
      <c r="AY26" s="21">
        <v>0</v>
      </c>
      <c r="AZ26" s="139" t="str">
        <f t="shared" ref="AZ26:AZ29" si="273">IF(AY26=0,"-",AX26/AY26)</f>
        <v>-</v>
      </c>
      <c r="BA26" s="20">
        <v>72</v>
      </c>
      <c r="BB26" s="21">
        <v>11</v>
      </c>
      <c r="BC26" s="122">
        <f t="shared" si="28"/>
        <v>6.5454545454545459</v>
      </c>
      <c r="BD26" s="20">
        <v>0</v>
      </c>
      <c r="BE26" s="21">
        <v>0</v>
      </c>
      <c r="BF26" s="139" t="str">
        <f t="shared" ref="BF26" si="274">IF(BE26=0,"-",BD26/BE26)</f>
        <v>-</v>
      </c>
      <c r="BG26" s="20">
        <v>0</v>
      </c>
      <c r="BH26" s="21">
        <v>0</v>
      </c>
      <c r="BI26" s="139" t="str">
        <f t="shared" ref="BI26" si="275">IF(BH26=0,"-",BG26/BH26)</f>
        <v>-</v>
      </c>
      <c r="BJ26" s="20">
        <v>0</v>
      </c>
      <c r="BK26" s="21">
        <v>0</v>
      </c>
      <c r="BL26" s="139" t="str">
        <f t="shared" ref="BL26" si="276">IF(BK26=0,"-",BJ26/BK26)</f>
        <v>-</v>
      </c>
      <c r="BM26" s="117">
        <f t="shared" si="29"/>
        <v>378</v>
      </c>
      <c r="BN26" s="120">
        <f>BK26+BH26+BE26+BB26+AY26+AV26+AS26+AP26+AM26+L26+R26+O26+I26+F26+AJ27+AG26+AD26+AA26+X26+C26</f>
        <v>63</v>
      </c>
      <c r="BO26" s="147">
        <f t="shared" si="31"/>
        <v>6</v>
      </c>
    </row>
    <row r="27" spans="1:67" ht="15" thickBot="1" x14ac:dyDescent="0.35">
      <c r="A27" s="1">
        <v>45345</v>
      </c>
      <c r="B27" s="20">
        <v>88</v>
      </c>
      <c r="C27" s="21">
        <v>10</v>
      </c>
      <c r="D27" s="122">
        <f t="shared" si="0"/>
        <v>8.8000000000000007</v>
      </c>
      <c r="E27" s="20">
        <v>0</v>
      </c>
      <c r="F27" s="21">
        <v>0</v>
      </c>
      <c r="G27" s="139" t="str">
        <f t="shared" ref="G27" si="277">IF(F27=0,"-",E27/F27)</f>
        <v>-</v>
      </c>
      <c r="H27" s="20">
        <v>0</v>
      </c>
      <c r="I27" s="21">
        <v>0</v>
      </c>
      <c r="J27" s="139" t="str">
        <f t="shared" ref="J27" si="278">IF(I27=0,"-",H27/I27)</f>
        <v>-</v>
      </c>
      <c r="K27" s="20">
        <v>0</v>
      </c>
      <c r="L27" s="21">
        <v>0</v>
      </c>
      <c r="M27" s="139" t="str">
        <f t="shared" ref="M27" si="279">IF(L27=0,"-",K27/L27)</f>
        <v>-</v>
      </c>
      <c r="N27" s="23">
        <v>65</v>
      </c>
      <c r="O27" s="21">
        <v>10</v>
      </c>
      <c r="P27" s="122">
        <f t="shared" si="4"/>
        <v>6.5</v>
      </c>
      <c r="Q27" s="20">
        <v>474</v>
      </c>
      <c r="R27" s="21">
        <v>67</v>
      </c>
      <c r="S27" s="139">
        <f t="shared" ref="S27" si="280">IF(R27=0,"-",Q27/R27)</f>
        <v>7.0746268656716422</v>
      </c>
      <c r="T27" s="20">
        <v>0</v>
      </c>
      <c r="U27" s="21">
        <v>0</v>
      </c>
      <c r="V27" s="139" t="str">
        <f t="shared" ref="V27" si="281">IF(U27=0,"-",T27/U27)</f>
        <v>-</v>
      </c>
      <c r="W27" s="20">
        <v>0</v>
      </c>
      <c r="X27" s="21">
        <v>0</v>
      </c>
      <c r="Y27" s="139" t="str">
        <f t="shared" ref="Y27" si="282">IF(X27=0,"-",W27/X27)</f>
        <v>-</v>
      </c>
      <c r="Z27" s="20">
        <v>0</v>
      </c>
      <c r="AA27" s="21">
        <v>0</v>
      </c>
      <c r="AB27" s="139" t="str">
        <f t="shared" si="267"/>
        <v>-</v>
      </c>
      <c r="AC27" s="20">
        <v>0</v>
      </c>
      <c r="AD27" s="21">
        <v>0</v>
      </c>
      <c r="AE27" s="139" t="str">
        <f t="shared" si="268"/>
        <v>-</v>
      </c>
      <c r="AF27" s="20">
        <v>0</v>
      </c>
      <c r="AG27" s="21">
        <v>0</v>
      </c>
      <c r="AH27" s="139" t="str">
        <f t="shared" si="269"/>
        <v>-</v>
      </c>
      <c r="AI27" s="20">
        <v>0</v>
      </c>
      <c r="AJ27" s="21">
        <v>0</v>
      </c>
      <c r="AK27" s="139" t="str">
        <f t="shared" si="270"/>
        <v>-</v>
      </c>
      <c r="AL27" s="20">
        <v>21</v>
      </c>
      <c r="AM27" s="21">
        <v>3</v>
      </c>
      <c r="AN27" s="122">
        <f t="shared" si="26"/>
        <v>7</v>
      </c>
      <c r="AO27" s="20">
        <v>0</v>
      </c>
      <c r="AP27" s="21">
        <v>0</v>
      </c>
      <c r="AQ27" s="139" t="str">
        <f t="shared" ref="AQ27" si="283">IF(AP27=0,"-",AO27/AP27)</f>
        <v>-</v>
      </c>
      <c r="AR27" s="20">
        <v>0</v>
      </c>
      <c r="AS27" s="21">
        <v>0</v>
      </c>
      <c r="AT27" s="139" t="str">
        <f t="shared" ref="AT27:AT29" si="284">IF(AS27=0,"-",AR27/AS27)</f>
        <v>-</v>
      </c>
      <c r="AU27" s="20">
        <v>0</v>
      </c>
      <c r="AV27" s="21">
        <v>0</v>
      </c>
      <c r="AW27" s="139" t="str">
        <f t="shared" ref="AW27:AW29" si="285">IF(AV27=0,"-",AU27/AV27)</f>
        <v>-</v>
      </c>
      <c r="AX27" s="20">
        <v>0</v>
      </c>
      <c r="AY27" s="21">
        <v>0</v>
      </c>
      <c r="AZ27" s="139" t="str">
        <f t="shared" si="273"/>
        <v>-</v>
      </c>
      <c r="BA27" s="20">
        <v>21</v>
      </c>
      <c r="BB27" s="21">
        <v>3</v>
      </c>
      <c r="BC27" s="122">
        <f t="shared" si="28"/>
        <v>7</v>
      </c>
      <c r="BD27" s="20">
        <v>0</v>
      </c>
      <c r="BE27" s="21">
        <v>0</v>
      </c>
      <c r="BF27" s="139" t="str">
        <f t="shared" ref="BF27" si="286">IF(BE27=0,"-",BD27/BE27)</f>
        <v>-</v>
      </c>
      <c r="BG27" s="20">
        <v>0</v>
      </c>
      <c r="BH27" s="21">
        <v>0</v>
      </c>
      <c r="BI27" s="139" t="str">
        <f t="shared" ref="BI27" si="287">IF(BH27=0,"-",BG27/BH27)</f>
        <v>-</v>
      </c>
      <c r="BJ27" s="20">
        <v>0</v>
      </c>
      <c r="BK27" s="21">
        <v>0</v>
      </c>
      <c r="BL27" s="139" t="str">
        <f t="shared" ref="BL27" si="288">IF(BK27=0,"-",BJ27/BK27)</f>
        <v>-</v>
      </c>
      <c r="BM27" s="117">
        <f t="shared" si="29"/>
        <v>669</v>
      </c>
      <c r="BN27" s="120">
        <f>BK27+BH27+BE27+BB27+AY27+AV27+AS27+AP27+AM27+L27+R27+O27+I27+F27+AJ28+AG27+AD27+AA27+X27+C27</f>
        <v>93</v>
      </c>
      <c r="BO27" s="147">
        <f t="shared" si="31"/>
        <v>7.193548387096774</v>
      </c>
    </row>
    <row r="28" spans="1:67" ht="15" thickBot="1" x14ac:dyDescent="0.35">
      <c r="A28" s="1">
        <v>45346</v>
      </c>
      <c r="B28" s="20">
        <v>60</v>
      </c>
      <c r="C28" s="21">
        <v>7</v>
      </c>
      <c r="D28" s="122">
        <f t="shared" si="0"/>
        <v>8.5714285714285712</v>
      </c>
      <c r="E28" s="20">
        <v>8</v>
      </c>
      <c r="F28" s="21">
        <v>1</v>
      </c>
      <c r="G28" s="122">
        <f t="shared" si="193"/>
        <v>8</v>
      </c>
      <c r="H28" s="20">
        <v>0</v>
      </c>
      <c r="I28" s="21">
        <v>0</v>
      </c>
      <c r="J28" s="139" t="str">
        <f t="shared" ref="J28" si="289">IF(I28=0,"-",H28/I28)</f>
        <v>-</v>
      </c>
      <c r="K28" s="20">
        <v>0</v>
      </c>
      <c r="L28" s="21">
        <v>0</v>
      </c>
      <c r="M28" s="139" t="str">
        <f t="shared" ref="M28" si="290">IF(L28=0,"-",K28/L28)</f>
        <v>-</v>
      </c>
      <c r="N28" s="23">
        <v>60</v>
      </c>
      <c r="O28" s="21">
        <v>10</v>
      </c>
      <c r="P28" s="122">
        <f t="shared" si="4"/>
        <v>6</v>
      </c>
      <c r="Q28" s="20">
        <v>0</v>
      </c>
      <c r="R28" s="21">
        <v>0</v>
      </c>
      <c r="S28" s="139" t="str">
        <f t="shared" ref="S28" si="291">IF(R28=0,"-",Q28/R28)</f>
        <v>-</v>
      </c>
      <c r="T28" s="20">
        <v>0</v>
      </c>
      <c r="U28" s="21">
        <v>0</v>
      </c>
      <c r="V28" s="139" t="str">
        <f t="shared" ref="V28:V30" si="292">IF(U28=0,"-",T28/U28)</f>
        <v>-</v>
      </c>
      <c r="W28" s="20">
        <v>0</v>
      </c>
      <c r="X28" s="21">
        <v>0</v>
      </c>
      <c r="Y28" s="139" t="str">
        <f t="shared" ref="Y28:Y29" si="293">IF(X28=0,"-",W28/X28)</f>
        <v>-</v>
      </c>
      <c r="Z28" s="20">
        <v>0</v>
      </c>
      <c r="AA28" s="21">
        <v>0</v>
      </c>
      <c r="AB28" s="139" t="str">
        <f t="shared" ref="AB28:AB29" si="294">IF(AA28=0,"-",Z28/AA28)</f>
        <v>-</v>
      </c>
      <c r="AC28" s="20">
        <v>0</v>
      </c>
      <c r="AD28" s="21">
        <v>0</v>
      </c>
      <c r="AE28" s="139" t="str">
        <f t="shared" ref="AE28:AE29" si="295">IF(AD28=0,"-",AC28/AD28)</f>
        <v>-</v>
      </c>
      <c r="AF28" s="20">
        <v>0</v>
      </c>
      <c r="AG28" s="21">
        <v>0</v>
      </c>
      <c r="AH28" s="139" t="str">
        <f t="shared" ref="AH28:AH29" si="296">IF(AG28=0,"-",AF28/AG28)</f>
        <v>-</v>
      </c>
      <c r="AI28" s="20">
        <v>0</v>
      </c>
      <c r="AJ28" s="21">
        <v>0</v>
      </c>
      <c r="AK28" s="139" t="str">
        <f t="shared" ref="AK28:AK29" si="297">IF(AJ28=0,"-",AI28/AJ28)</f>
        <v>-</v>
      </c>
      <c r="AL28" s="20">
        <v>0</v>
      </c>
      <c r="AM28" s="21">
        <v>0</v>
      </c>
      <c r="AN28" s="139" t="str">
        <f t="shared" ref="AN28:AN29" si="298">IF(AM28=0,"-",AL28/AM28)</f>
        <v>-</v>
      </c>
      <c r="AO28" s="20">
        <v>0</v>
      </c>
      <c r="AP28" s="21">
        <v>0</v>
      </c>
      <c r="AQ28" s="139" t="str">
        <f t="shared" ref="AQ28:AQ29" si="299">IF(AP28=0,"-",AO28/AP28)</f>
        <v>-</v>
      </c>
      <c r="AR28" s="20">
        <v>0</v>
      </c>
      <c r="AS28" s="21">
        <v>0</v>
      </c>
      <c r="AT28" s="139" t="str">
        <f t="shared" si="284"/>
        <v>-</v>
      </c>
      <c r="AU28" s="20">
        <v>0</v>
      </c>
      <c r="AV28" s="21">
        <v>0</v>
      </c>
      <c r="AW28" s="139" t="str">
        <f t="shared" si="285"/>
        <v>-</v>
      </c>
      <c r="AX28" s="20">
        <v>0</v>
      </c>
      <c r="AY28" s="21">
        <v>0</v>
      </c>
      <c r="AZ28" s="139" t="str">
        <f t="shared" si="273"/>
        <v>-</v>
      </c>
      <c r="BA28" s="20">
        <v>0</v>
      </c>
      <c r="BB28" s="21">
        <v>0</v>
      </c>
      <c r="BC28" s="139" t="str">
        <f t="shared" ref="BC28:BC31" si="300">IF(BB28=0,"-",BA28/BB28)</f>
        <v>-</v>
      </c>
      <c r="BD28" s="20">
        <v>0</v>
      </c>
      <c r="BE28" s="21">
        <v>0</v>
      </c>
      <c r="BF28" s="139" t="str">
        <f t="shared" ref="BF28:BF31" si="301">IF(BE28=0,"-",BD28/BE28)</f>
        <v>-</v>
      </c>
      <c r="BG28" s="20">
        <v>0</v>
      </c>
      <c r="BH28" s="21">
        <v>0</v>
      </c>
      <c r="BI28" s="139" t="str">
        <f t="shared" ref="BI28:BI29" si="302">IF(BH28=0,"-",BG28/BH28)</f>
        <v>-</v>
      </c>
      <c r="BJ28" s="20">
        <v>0</v>
      </c>
      <c r="BK28" s="21">
        <v>0</v>
      </c>
      <c r="BL28" s="139" t="str">
        <f t="shared" ref="BL28:BL31" si="303">IF(BK28=0,"-",BJ28/BK28)</f>
        <v>-</v>
      </c>
      <c r="BM28" s="117">
        <f t="shared" si="29"/>
        <v>128</v>
      </c>
      <c r="BN28" s="120">
        <f t="shared" ref="BN28:BN33" si="304">BK28+BH28+BE28+BB28+AY28+AV28+AS28+AP28+AM28+L28+R28+O28+I28+F28+AJ28+AG28+AD28+AA28+X28+C28</f>
        <v>18</v>
      </c>
      <c r="BO28" s="147">
        <f t="shared" si="31"/>
        <v>7.1111111111111107</v>
      </c>
    </row>
    <row r="29" spans="1:67" ht="15" thickBot="1" x14ac:dyDescent="0.35">
      <c r="A29" s="1">
        <v>45347</v>
      </c>
      <c r="B29" s="20">
        <v>0</v>
      </c>
      <c r="C29" s="21">
        <v>0</v>
      </c>
      <c r="D29" s="139" t="str">
        <f t="shared" ref="D29" si="305">IF(C29=0,"-",B29/C29)</f>
        <v>-</v>
      </c>
      <c r="E29" s="20">
        <v>0</v>
      </c>
      <c r="F29" s="21">
        <v>0</v>
      </c>
      <c r="G29" s="139" t="str">
        <f t="shared" ref="G29" si="306">IF(F29=0,"-",E29/F29)</f>
        <v>-</v>
      </c>
      <c r="H29" s="20">
        <v>12</v>
      </c>
      <c r="I29" s="21">
        <v>2</v>
      </c>
      <c r="J29" s="122">
        <f t="shared" si="2"/>
        <v>6</v>
      </c>
      <c r="K29" s="20">
        <v>0</v>
      </c>
      <c r="L29" s="21">
        <v>0</v>
      </c>
      <c r="M29" s="139" t="str">
        <f t="shared" ref="M29" si="307">IF(L29=0,"-",K29/L29)</f>
        <v>-</v>
      </c>
      <c r="N29" s="23">
        <v>43</v>
      </c>
      <c r="O29" s="21">
        <v>8</v>
      </c>
      <c r="P29" s="122">
        <f t="shared" si="4"/>
        <v>5.375</v>
      </c>
      <c r="Q29" s="20">
        <v>0</v>
      </c>
      <c r="R29" s="21">
        <v>0</v>
      </c>
      <c r="S29" s="139" t="str">
        <f t="shared" ref="S29:S30" si="308">IF(R29=0,"-",Q29/R29)</f>
        <v>-</v>
      </c>
      <c r="T29" s="2">
        <v>54</v>
      </c>
      <c r="U29" s="20">
        <v>10</v>
      </c>
      <c r="V29" s="139">
        <f t="shared" si="292"/>
        <v>5.4</v>
      </c>
      <c r="W29" s="20">
        <v>0</v>
      </c>
      <c r="X29" s="21">
        <v>0</v>
      </c>
      <c r="Y29" s="139" t="str">
        <f t="shared" si="293"/>
        <v>-</v>
      </c>
      <c r="Z29" s="20">
        <v>0</v>
      </c>
      <c r="AA29" s="21">
        <v>0</v>
      </c>
      <c r="AB29" s="139" t="str">
        <f t="shared" si="294"/>
        <v>-</v>
      </c>
      <c r="AC29" s="20">
        <v>0</v>
      </c>
      <c r="AD29" s="21">
        <v>0</v>
      </c>
      <c r="AE29" s="139" t="str">
        <f t="shared" si="295"/>
        <v>-</v>
      </c>
      <c r="AF29" s="20">
        <v>0</v>
      </c>
      <c r="AG29" s="21">
        <v>0</v>
      </c>
      <c r="AH29" s="139" t="str">
        <f t="shared" si="296"/>
        <v>-</v>
      </c>
      <c r="AI29" s="20">
        <v>0</v>
      </c>
      <c r="AJ29" s="21">
        <v>0</v>
      </c>
      <c r="AK29" s="139" t="str">
        <f t="shared" si="297"/>
        <v>-</v>
      </c>
      <c r="AL29" s="20">
        <v>0</v>
      </c>
      <c r="AM29" s="21">
        <v>0</v>
      </c>
      <c r="AN29" s="139" t="str">
        <f t="shared" si="298"/>
        <v>-</v>
      </c>
      <c r="AO29" s="20">
        <v>0</v>
      </c>
      <c r="AP29" s="21">
        <v>0</v>
      </c>
      <c r="AQ29" s="139" t="str">
        <f t="shared" si="299"/>
        <v>-</v>
      </c>
      <c r="AR29" s="20">
        <v>0</v>
      </c>
      <c r="AS29" s="21">
        <v>0</v>
      </c>
      <c r="AT29" s="139" t="str">
        <f t="shared" si="284"/>
        <v>-</v>
      </c>
      <c r="AU29" s="20">
        <v>0</v>
      </c>
      <c r="AV29" s="21">
        <v>0</v>
      </c>
      <c r="AW29" s="139" t="str">
        <f t="shared" si="285"/>
        <v>-</v>
      </c>
      <c r="AX29" s="20">
        <v>0</v>
      </c>
      <c r="AY29" s="21">
        <v>0</v>
      </c>
      <c r="AZ29" s="139" t="str">
        <f t="shared" si="273"/>
        <v>-</v>
      </c>
      <c r="BA29" s="20">
        <v>0</v>
      </c>
      <c r="BB29" s="21">
        <v>0</v>
      </c>
      <c r="BC29" s="139" t="str">
        <f t="shared" si="300"/>
        <v>-</v>
      </c>
      <c r="BD29" s="20">
        <v>0</v>
      </c>
      <c r="BE29" s="21">
        <v>0</v>
      </c>
      <c r="BF29" s="139" t="str">
        <f t="shared" si="301"/>
        <v>-</v>
      </c>
      <c r="BG29" s="20">
        <v>0</v>
      </c>
      <c r="BH29" s="21">
        <v>0</v>
      </c>
      <c r="BI29" s="139" t="str">
        <f t="shared" si="302"/>
        <v>-</v>
      </c>
      <c r="BJ29" s="20">
        <v>0</v>
      </c>
      <c r="BK29" s="21">
        <v>0</v>
      </c>
      <c r="BL29" s="139" t="str">
        <f t="shared" si="303"/>
        <v>-</v>
      </c>
      <c r="BM29" s="117">
        <f t="shared" si="29"/>
        <v>109</v>
      </c>
      <c r="BN29" s="120">
        <f t="shared" si="304"/>
        <v>10</v>
      </c>
      <c r="BO29" s="147">
        <f t="shared" si="31"/>
        <v>10.9</v>
      </c>
    </row>
    <row r="30" spans="1:67" ht="15" thickBot="1" x14ac:dyDescent="0.35">
      <c r="A30" s="1">
        <v>45348</v>
      </c>
      <c r="B30" s="20">
        <v>26</v>
      </c>
      <c r="C30" s="21">
        <v>3</v>
      </c>
      <c r="D30" s="139">
        <f t="shared" ref="D30" si="309">IF(C30=0,"-",B30/C30)</f>
        <v>8.6666666666666661</v>
      </c>
      <c r="E30" s="20">
        <v>18</v>
      </c>
      <c r="F30" s="21">
        <v>2</v>
      </c>
      <c r="G30" s="139">
        <f t="shared" ref="G30" si="310">IF(F30=0,"-",E30/F30)</f>
        <v>9</v>
      </c>
      <c r="H30" s="20">
        <v>0</v>
      </c>
      <c r="I30" s="21">
        <v>0</v>
      </c>
      <c r="J30" s="139" t="str">
        <f t="shared" ref="J30" si="311">IF(I30=0,"-",H30/I30)</f>
        <v>-</v>
      </c>
      <c r="K30" s="20">
        <v>0</v>
      </c>
      <c r="L30" s="21">
        <v>0</v>
      </c>
      <c r="M30" s="139" t="str">
        <f t="shared" ref="M30" si="312">IF(L30=0,"-",K30/L30)</f>
        <v>-</v>
      </c>
      <c r="N30" s="23">
        <v>40</v>
      </c>
      <c r="O30" s="21">
        <v>7</v>
      </c>
      <c r="P30" s="122">
        <f t="shared" si="4"/>
        <v>5.7142857142857144</v>
      </c>
      <c r="Q30" s="20">
        <v>0</v>
      </c>
      <c r="R30" s="21">
        <v>0</v>
      </c>
      <c r="S30" s="139" t="str">
        <f t="shared" si="308"/>
        <v>-</v>
      </c>
      <c r="T30" s="20">
        <v>0</v>
      </c>
      <c r="U30" s="21">
        <v>0</v>
      </c>
      <c r="V30" s="139" t="str">
        <f t="shared" si="292"/>
        <v>-</v>
      </c>
      <c r="W30" s="20">
        <v>7</v>
      </c>
      <c r="X30" s="21">
        <v>1</v>
      </c>
      <c r="Y30" s="122">
        <f t="shared" si="71"/>
        <v>7</v>
      </c>
      <c r="Z30" s="20">
        <v>0</v>
      </c>
      <c r="AA30" s="21">
        <v>0</v>
      </c>
      <c r="AB30" s="139" t="str">
        <f t="shared" ref="AB30:AB31" si="313">IF(AA30=0,"-",Z30/AA30)</f>
        <v>-</v>
      </c>
      <c r="AC30" s="20">
        <v>0</v>
      </c>
      <c r="AD30" s="21">
        <v>0</v>
      </c>
      <c r="AE30" s="139" t="str">
        <f t="shared" ref="AE30:AE31" si="314">IF(AD30=0,"-",AC30/AD30)</f>
        <v>-</v>
      </c>
      <c r="AF30" s="20">
        <v>15</v>
      </c>
      <c r="AG30" s="21">
        <v>3</v>
      </c>
      <c r="AH30" s="122">
        <f t="shared" ref="AH30" si="315">IF(AG30=0,"",AF30/AG30)</f>
        <v>5</v>
      </c>
      <c r="AI30" s="20">
        <v>0</v>
      </c>
      <c r="AJ30" s="21">
        <v>0</v>
      </c>
      <c r="AK30" s="139" t="str">
        <f t="shared" ref="AK30" si="316">IF(AJ30=0,"-",AI30/AJ30)</f>
        <v>-</v>
      </c>
      <c r="AL30" s="20">
        <v>28</v>
      </c>
      <c r="AM30" s="21">
        <v>4</v>
      </c>
      <c r="AN30" s="122">
        <f t="shared" si="26"/>
        <v>7</v>
      </c>
      <c r="AO30" s="20">
        <v>0</v>
      </c>
      <c r="AP30" s="21">
        <v>0</v>
      </c>
      <c r="AQ30" s="139" t="str">
        <f t="shared" ref="AQ30" si="317">IF(AP30=0,"-",AO30/AP30)</f>
        <v>-</v>
      </c>
      <c r="AR30" s="20">
        <v>0</v>
      </c>
      <c r="AS30" s="21">
        <v>0</v>
      </c>
      <c r="AT30" s="139" t="str">
        <f t="shared" ref="AT30" si="318">IF(AS30=0,"-",AR30/AS30)</f>
        <v>-</v>
      </c>
      <c r="AU30" s="20">
        <v>0</v>
      </c>
      <c r="AV30" s="21">
        <v>0</v>
      </c>
      <c r="AW30" s="139" t="str">
        <f t="shared" ref="AW30" si="319">IF(AV30=0,"-",AU30/AV30)</f>
        <v>-</v>
      </c>
      <c r="AX30" s="20">
        <v>0</v>
      </c>
      <c r="AY30" s="21">
        <v>0</v>
      </c>
      <c r="AZ30" s="122" t="s">
        <v>32</v>
      </c>
      <c r="BA30" s="20">
        <v>0</v>
      </c>
      <c r="BB30" s="21">
        <v>0</v>
      </c>
      <c r="BC30" s="139" t="str">
        <f t="shared" si="300"/>
        <v>-</v>
      </c>
      <c r="BD30" s="20">
        <v>0</v>
      </c>
      <c r="BE30" s="21">
        <v>0</v>
      </c>
      <c r="BF30" s="139" t="str">
        <f t="shared" si="301"/>
        <v>-</v>
      </c>
      <c r="BG30" s="20">
        <v>12</v>
      </c>
      <c r="BH30" s="21">
        <v>2</v>
      </c>
      <c r="BI30" s="122">
        <f t="shared" ref="BI30" si="320">IF(BH30=0,"",BG30/BH30)</f>
        <v>6</v>
      </c>
      <c r="BJ30" s="20">
        <v>0</v>
      </c>
      <c r="BK30" s="21">
        <v>0</v>
      </c>
      <c r="BL30" s="139" t="str">
        <f t="shared" si="303"/>
        <v>-</v>
      </c>
      <c r="BM30" s="117">
        <f t="shared" si="29"/>
        <v>146</v>
      </c>
      <c r="BN30" s="120">
        <f t="shared" si="304"/>
        <v>22</v>
      </c>
      <c r="BO30" s="147">
        <f t="shared" si="31"/>
        <v>6.6363636363636367</v>
      </c>
    </row>
    <row r="31" spans="1:67" ht="15" thickBot="1" x14ac:dyDescent="0.35">
      <c r="A31" s="1">
        <v>45349</v>
      </c>
      <c r="B31" s="20">
        <v>39</v>
      </c>
      <c r="C31" s="21">
        <v>6</v>
      </c>
      <c r="D31" s="122">
        <f t="shared" si="0"/>
        <v>6.5</v>
      </c>
      <c r="E31" s="20">
        <v>9</v>
      </c>
      <c r="F31" s="21">
        <v>1</v>
      </c>
      <c r="G31" s="122">
        <f t="shared" si="193"/>
        <v>9</v>
      </c>
      <c r="H31" s="20">
        <v>0</v>
      </c>
      <c r="I31" s="21">
        <v>0</v>
      </c>
      <c r="J31" s="139" t="str">
        <f t="shared" ref="J31" si="321">IF(I31=0,"-",H31/I31)</f>
        <v>-</v>
      </c>
      <c r="K31" s="20">
        <v>0</v>
      </c>
      <c r="L31" s="21">
        <v>0</v>
      </c>
      <c r="M31" s="139" t="str">
        <f t="shared" ref="M31" si="322">IF(L31=0,"-",K31/L31)</f>
        <v>-</v>
      </c>
      <c r="N31" s="20">
        <v>39</v>
      </c>
      <c r="O31" s="21">
        <v>8</v>
      </c>
      <c r="P31" s="122">
        <f>IF(O31=0,"",N31/O31)</f>
        <v>4.875</v>
      </c>
      <c r="Q31" s="20">
        <v>0</v>
      </c>
      <c r="R31" s="21">
        <v>0</v>
      </c>
      <c r="S31" s="139" t="str">
        <f t="shared" ref="S31" si="323">IF(R31=0,"-",Q31/R31)</f>
        <v>-</v>
      </c>
      <c r="T31" s="20">
        <v>0</v>
      </c>
      <c r="U31" s="21">
        <v>0</v>
      </c>
      <c r="V31" s="139" t="str">
        <f t="shared" ref="V31" si="324">IF(U31=0,"-",T31/U31)</f>
        <v>-</v>
      </c>
      <c r="W31" s="20">
        <v>0</v>
      </c>
      <c r="X31" s="21">
        <v>0</v>
      </c>
      <c r="Y31" s="139" t="str">
        <f t="shared" ref="Y31" si="325">IF(X31=0,"-",W31/X31)</f>
        <v>-</v>
      </c>
      <c r="Z31" s="20">
        <v>0</v>
      </c>
      <c r="AA31" s="21">
        <v>0</v>
      </c>
      <c r="AB31" s="139" t="str">
        <f t="shared" si="313"/>
        <v>-</v>
      </c>
      <c r="AC31" s="20">
        <v>0</v>
      </c>
      <c r="AD31" s="21">
        <v>0</v>
      </c>
      <c r="AE31" s="139" t="str">
        <f t="shared" si="314"/>
        <v>-</v>
      </c>
      <c r="AF31" s="20">
        <v>0</v>
      </c>
      <c r="AG31" s="21">
        <v>0</v>
      </c>
      <c r="AH31" s="139" t="str">
        <f t="shared" ref="AH31" si="326">IF(AG31=0,"-",AF31/AG31)</f>
        <v>-</v>
      </c>
      <c r="AI31" s="20">
        <v>0</v>
      </c>
      <c r="AJ31" s="21">
        <v>0</v>
      </c>
      <c r="AK31" s="139" t="str">
        <f t="shared" ref="AK31" si="327">IF(AJ31=0,"-",AI31/AJ31)</f>
        <v>-</v>
      </c>
      <c r="AL31" s="20">
        <v>37</v>
      </c>
      <c r="AM31" s="21">
        <v>5</v>
      </c>
      <c r="AN31" s="122">
        <f t="shared" si="26"/>
        <v>7.4</v>
      </c>
      <c r="AO31" s="20">
        <v>0</v>
      </c>
      <c r="AP31" s="21">
        <v>0</v>
      </c>
      <c r="AQ31" s="139" t="str">
        <f t="shared" ref="AQ31" si="328">IF(AP31=0,"-",AO31/AP31)</f>
        <v>-</v>
      </c>
      <c r="AR31" s="20">
        <v>0</v>
      </c>
      <c r="AS31" s="21">
        <v>0</v>
      </c>
      <c r="AT31" s="139" t="str">
        <f t="shared" ref="AT31" si="329">IF(AS31=0,"-",AR31/AS31)</f>
        <v>-</v>
      </c>
      <c r="AU31" s="20">
        <v>0</v>
      </c>
      <c r="AV31" s="21">
        <v>0</v>
      </c>
      <c r="AW31" s="139" t="str">
        <f t="shared" ref="AW31" si="330">IF(AV31=0,"-",AU31/AV31)</f>
        <v>-</v>
      </c>
      <c r="AX31" s="20">
        <v>0</v>
      </c>
      <c r="AY31" s="21">
        <v>0</v>
      </c>
      <c r="AZ31" s="139" t="str">
        <f t="shared" ref="AZ31" si="331">IF(AY31=0,"-",AX31/AY31)</f>
        <v>-</v>
      </c>
      <c r="BA31" s="20">
        <v>0</v>
      </c>
      <c r="BB31" s="21">
        <v>0</v>
      </c>
      <c r="BC31" s="139" t="str">
        <f t="shared" si="300"/>
        <v>-</v>
      </c>
      <c r="BD31" s="20">
        <v>0</v>
      </c>
      <c r="BE31" s="21">
        <v>0</v>
      </c>
      <c r="BF31" s="139" t="str">
        <f t="shared" si="301"/>
        <v>-</v>
      </c>
      <c r="BG31" s="20">
        <v>0</v>
      </c>
      <c r="BH31" s="21">
        <v>0</v>
      </c>
      <c r="BI31" s="139" t="str">
        <f t="shared" ref="BI31" si="332">IF(BH31=0,"-",BG31/BH31)</f>
        <v>-</v>
      </c>
      <c r="BJ31" s="20">
        <v>0</v>
      </c>
      <c r="BK31" s="21">
        <v>0</v>
      </c>
      <c r="BL31" s="139" t="str">
        <f t="shared" si="303"/>
        <v>-</v>
      </c>
      <c r="BM31" s="117">
        <f t="shared" si="29"/>
        <v>124</v>
      </c>
      <c r="BN31" s="120">
        <f t="shared" si="304"/>
        <v>20</v>
      </c>
      <c r="BO31" s="147">
        <f t="shared" si="31"/>
        <v>6.2</v>
      </c>
    </row>
    <row r="32" spans="1:67" ht="15" thickBot="1" x14ac:dyDescent="0.35">
      <c r="A32" s="1">
        <v>45350</v>
      </c>
      <c r="B32" s="20">
        <v>38</v>
      </c>
      <c r="C32" s="21">
        <v>5</v>
      </c>
      <c r="D32" s="122">
        <f t="shared" si="0"/>
        <v>7.6</v>
      </c>
      <c r="E32" s="20">
        <v>16</v>
      </c>
      <c r="F32" s="21">
        <v>2</v>
      </c>
      <c r="G32" s="122">
        <f t="shared" ref="G32" si="333">IF(F32=0,"",E32/F32)</f>
        <v>8</v>
      </c>
      <c r="H32" s="20">
        <v>0</v>
      </c>
      <c r="I32" s="21">
        <v>0</v>
      </c>
      <c r="J32" s="139" t="str">
        <f t="shared" ref="J32" si="334">IF(I32=0,"-",H32/I32)</f>
        <v>-</v>
      </c>
      <c r="K32" s="20">
        <v>0</v>
      </c>
      <c r="L32" s="21">
        <v>0</v>
      </c>
      <c r="M32" s="139" t="str">
        <f t="shared" ref="M32:M33" si="335">IF(L32=0,"-",K32/L32)</f>
        <v>-</v>
      </c>
      <c r="N32" s="20">
        <v>23</v>
      </c>
      <c r="O32" s="21">
        <v>4</v>
      </c>
      <c r="P32" s="122">
        <f t="shared" si="4"/>
        <v>5.75</v>
      </c>
      <c r="Q32" s="20">
        <v>236</v>
      </c>
      <c r="R32" s="21">
        <v>37</v>
      </c>
      <c r="S32" s="139">
        <f t="shared" ref="S32" si="336">IF(R32=0,"-",Q32/R32)</f>
        <v>6.3783783783783781</v>
      </c>
      <c r="T32" s="20">
        <v>6</v>
      </c>
      <c r="U32" s="21">
        <v>1</v>
      </c>
      <c r="V32" s="122">
        <f t="shared" si="70"/>
        <v>6</v>
      </c>
      <c r="W32" s="20">
        <v>5</v>
      </c>
      <c r="X32" s="21">
        <v>1</v>
      </c>
      <c r="Y32" s="122">
        <f t="shared" si="71"/>
        <v>5</v>
      </c>
      <c r="Z32" s="20">
        <v>0</v>
      </c>
      <c r="AA32" s="21">
        <v>0</v>
      </c>
      <c r="AB32" s="139" t="str">
        <f t="shared" ref="AB32" si="337">IF(AA32=0,"-",Z32/AA32)</f>
        <v>-</v>
      </c>
      <c r="AC32" s="20">
        <v>0</v>
      </c>
      <c r="AD32" s="21">
        <v>0</v>
      </c>
      <c r="AE32" s="139" t="str">
        <f t="shared" ref="AE32" si="338">IF(AD32=0,"-",AC32/AD32)</f>
        <v>-</v>
      </c>
      <c r="AF32" s="20">
        <v>0</v>
      </c>
      <c r="AG32" s="21">
        <v>0</v>
      </c>
      <c r="AH32" s="139" t="str">
        <f t="shared" ref="AH32" si="339">IF(AG32=0,"-",AF32/AG32)</f>
        <v>-</v>
      </c>
      <c r="AI32" s="20">
        <v>0</v>
      </c>
      <c r="AJ32" s="21">
        <v>0</v>
      </c>
      <c r="AK32" s="139" t="str">
        <f t="shared" ref="AK32" si="340">IF(AJ32=0,"-",AI32/AJ32)</f>
        <v>-</v>
      </c>
      <c r="AL32" s="20">
        <v>62</v>
      </c>
      <c r="AM32" s="21">
        <v>9</v>
      </c>
      <c r="AN32" s="122">
        <f t="shared" si="26"/>
        <v>6.8888888888888893</v>
      </c>
      <c r="AO32" s="20">
        <v>0</v>
      </c>
      <c r="AP32" s="21">
        <v>0</v>
      </c>
      <c r="AQ32" s="139" t="str">
        <f t="shared" ref="AQ32" si="341">IF(AP32=0,"-",AO32/AP32)</f>
        <v>-</v>
      </c>
      <c r="AR32" s="20">
        <v>0</v>
      </c>
      <c r="AS32" s="21">
        <v>0</v>
      </c>
      <c r="AT32" s="139" t="str">
        <f t="shared" ref="AT32" si="342">IF(AS32=0,"-",AR32/AS32)</f>
        <v>-</v>
      </c>
      <c r="AU32" s="20">
        <v>0</v>
      </c>
      <c r="AV32" s="21">
        <v>0</v>
      </c>
      <c r="AW32" s="139" t="str">
        <f t="shared" ref="AW32" si="343">IF(AV32=0,"-",AU32/AV32)</f>
        <v>-</v>
      </c>
      <c r="AX32" s="20">
        <v>0</v>
      </c>
      <c r="AY32" s="21">
        <v>0</v>
      </c>
      <c r="AZ32" s="139" t="str">
        <f t="shared" ref="AZ32" si="344">IF(AY32=0,"-",AX32/AY32)</f>
        <v>-</v>
      </c>
      <c r="BA32" s="20">
        <v>0</v>
      </c>
      <c r="BB32" s="21">
        <v>0</v>
      </c>
      <c r="BC32" s="139" t="str">
        <f t="shared" ref="BC32" si="345">IF(BB32=0,"-",BA32/BB32)</f>
        <v>-</v>
      </c>
      <c r="BD32" s="20">
        <v>0</v>
      </c>
      <c r="BE32" s="21">
        <v>0</v>
      </c>
      <c r="BF32" s="139" t="str">
        <f t="shared" ref="BF32" si="346">IF(BE32=0,"-",BD32/BE32)</f>
        <v>-</v>
      </c>
      <c r="BG32" s="20">
        <v>0</v>
      </c>
      <c r="BH32" s="21">
        <v>0</v>
      </c>
      <c r="BI32" s="139" t="str">
        <f t="shared" ref="BI32" si="347">IF(BH32=0,"-",BG32/BH32)</f>
        <v>-</v>
      </c>
      <c r="BJ32" s="20">
        <v>0</v>
      </c>
      <c r="BK32" s="21">
        <v>0</v>
      </c>
      <c r="BL32" s="139" t="str">
        <f t="shared" ref="BL32" si="348">IF(BK32=0,"-",BJ32/BK32)</f>
        <v>-</v>
      </c>
      <c r="BM32" s="117">
        <f t="shared" si="29"/>
        <v>386</v>
      </c>
      <c r="BN32" s="120">
        <f t="shared" si="304"/>
        <v>58</v>
      </c>
      <c r="BO32" s="147">
        <f t="shared" si="31"/>
        <v>6.6551724137931032</v>
      </c>
    </row>
    <row r="33" spans="1:67" ht="15" thickBot="1" x14ac:dyDescent="0.35">
      <c r="A33" s="1">
        <v>45351</v>
      </c>
      <c r="B33" s="20">
        <v>35</v>
      </c>
      <c r="C33" s="21">
        <v>5</v>
      </c>
      <c r="D33" s="122">
        <f t="shared" si="0"/>
        <v>7</v>
      </c>
      <c r="E33" s="20">
        <v>0</v>
      </c>
      <c r="F33" s="21">
        <v>0</v>
      </c>
      <c r="G33" s="139" t="str">
        <f t="shared" ref="G33" si="349">IF(F33=0,"-",E33/F33)</f>
        <v>-</v>
      </c>
      <c r="H33" s="20">
        <v>6</v>
      </c>
      <c r="I33" s="21">
        <v>1</v>
      </c>
      <c r="J33" s="122">
        <f t="shared" si="2"/>
        <v>6</v>
      </c>
      <c r="K33" s="20">
        <v>0</v>
      </c>
      <c r="L33" s="21">
        <v>0</v>
      </c>
      <c r="M33" s="139" t="str">
        <f t="shared" si="335"/>
        <v>-</v>
      </c>
      <c r="N33" s="23">
        <v>5</v>
      </c>
      <c r="O33" s="21">
        <v>1</v>
      </c>
      <c r="P33" s="122">
        <f t="shared" si="4"/>
        <v>5</v>
      </c>
      <c r="Q33" s="20">
        <v>459</v>
      </c>
      <c r="R33" s="21">
        <v>69</v>
      </c>
      <c r="S33" s="122">
        <f t="shared" si="5"/>
        <v>6.6521739130434785</v>
      </c>
      <c r="T33" s="20">
        <v>0</v>
      </c>
      <c r="U33" s="21">
        <v>0</v>
      </c>
      <c r="V33" s="139" t="str">
        <f t="shared" ref="V33" si="350">IF(U33=0,"-",T33/U33)</f>
        <v>-</v>
      </c>
      <c r="W33" s="20">
        <v>3</v>
      </c>
      <c r="X33" s="21">
        <v>1</v>
      </c>
      <c r="Y33" s="122">
        <f t="shared" si="71"/>
        <v>3</v>
      </c>
      <c r="Z33" s="20">
        <v>0</v>
      </c>
      <c r="AA33" s="21">
        <v>0</v>
      </c>
      <c r="AB33" s="139" t="str">
        <f t="shared" ref="AB33" si="351">IF(AA33=0,"-",Z33/AA33)</f>
        <v>-</v>
      </c>
      <c r="AC33" s="20">
        <v>2</v>
      </c>
      <c r="AD33" s="21">
        <v>1</v>
      </c>
      <c r="AE33" s="122">
        <f t="shared" si="85"/>
        <v>2</v>
      </c>
      <c r="AF33" s="20">
        <v>0</v>
      </c>
      <c r="AG33" s="21">
        <v>0</v>
      </c>
      <c r="AH33" s="139" t="str">
        <f t="shared" ref="AH33" si="352">IF(AG33=0,"-",AF33/AG33)</f>
        <v>-</v>
      </c>
      <c r="AI33" s="20">
        <v>1</v>
      </c>
      <c r="AJ33" s="21">
        <v>1</v>
      </c>
      <c r="AK33" s="122">
        <f t="shared" si="230"/>
        <v>1</v>
      </c>
      <c r="AL33" s="20">
        <v>2</v>
      </c>
      <c r="AM33" s="21">
        <v>1</v>
      </c>
      <c r="AN33" s="122">
        <f t="shared" si="26"/>
        <v>2</v>
      </c>
      <c r="AO33" s="20">
        <v>0</v>
      </c>
      <c r="AP33" s="21">
        <v>0</v>
      </c>
      <c r="AQ33" s="139" t="str">
        <f t="shared" ref="AQ33" si="353">IF(AP33=0,"-",AO33/AP33)</f>
        <v>-</v>
      </c>
      <c r="AR33" s="20">
        <v>0</v>
      </c>
      <c r="AS33" s="21">
        <v>0</v>
      </c>
      <c r="AT33" s="139" t="str">
        <f t="shared" ref="AT33" si="354">IF(AS33=0,"-",AR33/AS33)</f>
        <v>-</v>
      </c>
      <c r="AU33" s="20">
        <v>0</v>
      </c>
      <c r="AV33" s="21">
        <v>0</v>
      </c>
      <c r="AW33" s="139" t="str">
        <f t="shared" ref="AW33" si="355">IF(AV33=0,"-",AU33/AV33)</f>
        <v>-</v>
      </c>
      <c r="AX33" s="20">
        <v>0</v>
      </c>
      <c r="AY33" s="21">
        <v>0</v>
      </c>
      <c r="AZ33" s="139" t="str">
        <f t="shared" ref="AZ33" si="356">IF(AY33=0,"-",AX33/AY33)</f>
        <v>-</v>
      </c>
      <c r="BA33" s="20">
        <v>0</v>
      </c>
      <c r="BB33" s="21">
        <v>0</v>
      </c>
      <c r="BC33" s="139" t="str">
        <f t="shared" ref="BC33" si="357">IF(BB33=0,"-",BA33/BB33)</f>
        <v>-</v>
      </c>
      <c r="BD33" s="20">
        <v>0</v>
      </c>
      <c r="BE33" s="21">
        <v>0</v>
      </c>
      <c r="BF33" s="139" t="str">
        <f t="shared" ref="BF33" si="358">IF(BE33=0,"-",BD33/BE33)</f>
        <v>-</v>
      </c>
      <c r="BG33" s="20">
        <v>0</v>
      </c>
      <c r="BH33" s="21">
        <v>0</v>
      </c>
      <c r="BI33" s="139" t="str">
        <f t="shared" ref="BI33" si="359">IF(BH33=0,"-",BG33/BH33)</f>
        <v>-</v>
      </c>
      <c r="BJ33" s="20">
        <v>0</v>
      </c>
      <c r="BK33" s="21">
        <v>0</v>
      </c>
      <c r="BL33" s="139" t="str">
        <f t="shared" ref="BL33" si="360">IF(BK33=0,"-",BJ33/BK33)</f>
        <v>-</v>
      </c>
      <c r="BM33" s="117">
        <f t="shared" si="29"/>
        <v>513</v>
      </c>
      <c r="BN33" s="120">
        <f t="shared" si="304"/>
        <v>80</v>
      </c>
      <c r="BO33" s="147">
        <f t="shared" si="31"/>
        <v>6.4124999999999996</v>
      </c>
    </row>
    <row r="34" spans="1:67" s="41" customFormat="1" ht="15" thickBot="1" x14ac:dyDescent="0.35">
      <c r="A34" s="42" t="s">
        <v>33</v>
      </c>
      <c r="B34" s="43">
        <f>SUM(B5:B33)</f>
        <v>1304</v>
      </c>
      <c r="C34" s="43">
        <f>SUM(C5:C33)</f>
        <v>166</v>
      </c>
      <c r="D34" s="44">
        <f>B34/C34</f>
        <v>7.8554216867469879</v>
      </c>
      <c r="E34" s="43">
        <f>SUM(E5:E33)</f>
        <v>187</v>
      </c>
      <c r="F34" s="43">
        <f>SUM(F5:F33)</f>
        <v>30</v>
      </c>
      <c r="G34" s="44">
        <f>E34/F34</f>
        <v>6.2333333333333334</v>
      </c>
      <c r="H34" s="43">
        <f>SUM(H5:H33)</f>
        <v>81</v>
      </c>
      <c r="I34" s="43">
        <f>SUM(I5:I33)</f>
        <v>11</v>
      </c>
      <c r="J34" s="44">
        <f>H34/I34</f>
        <v>7.3636363636363633</v>
      </c>
      <c r="K34" s="43">
        <f>SUM(K5:K33)</f>
        <v>6</v>
      </c>
      <c r="L34" s="43">
        <f>SUM(L5:L33)</f>
        <v>1</v>
      </c>
      <c r="M34" s="44">
        <f>K34/L34</f>
        <v>6</v>
      </c>
      <c r="N34" s="43">
        <f>SUM(N5:N33)</f>
        <v>836</v>
      </c>
      <c r="O34" s="43">
        <f>SUM(O5:O33)</f>
        <v>151</v>
      </c>
      <c r="P34" s="44">
        <f>N34/O34</f>
        <v>5.5364238410596025</v>
      </c>
      <c r="Q34" s="43">
        <f>SUM(Q5:Q33)</f>
        <v>3534</v>
      </c>
      <c r="R34" s="43">
        <f>SUM(R5:R33)</f>
        <v>573</v>
      </c>
      <c r="S34" s="44">
        <f>Q34/R34</f>
        <v>6.167539267015707</v>
      </c>
      <c r="T34" s="43">
        <f>SUM(T5:T33)</f>
        <v>170</v>
      </c>
      <c r="U34" s="43">
        <f>SUM(U5:U33)</f>
        <v>30</v>
      </c>
      <c r="V34" s="44">
        <f>T34/U34</f>
        <v>5.666666666666667</v>
      </c>
      <c r="W34" s="43">
        <f>SUM(W5:W33)</f>
        <v>60</v>
      </c>
      <c r="X34" s="43">
        <f>SUM(X5:X33)</f>
        <v>15</v>
      </c>
      <c r="Y34" s="44">
        <f>W34/X34</f>
        <v>4</v>
      </c>
      <c r="Z34" s="43">
        <f>SUM(Z5:Z33)</f>
        <v>0</v>
      </c>
      <c r="AA34" s="43">
        <f>SUM(AA5:AA33)</f>
        <v>0</v>
      </c>
      <c r="AB34" s="44" t="e">
        <f>Z34/AA34</f>
        <v>#DIV/0!</v>
      </c>
      <c r="AC34" s="43">
        <f>SUM(AC5:AC33)</f>
        <v>16</v>
      </c>
      <c r="AD34" s="43">
        <f>SUM(AD5:AD33)</f>
        <v>7</v>
      </c>
      <c r="AE34" s="44">
        <f>AC34/AD34</f>
        <v>2.2857142857142856</v>
      </c>
      <c r="AF34" s="43">
        <f>SUM(AF5:AF33)</f>
        <v>15</v>
      </c>
      <c r="AG34" s="43">
        <f>SUM(AG5:AG33)</f>
        <v>3</v>
      </c>
      <c r="AH34" s="44">
        <f>AF34/AG34</f>
        <v>5</v>
      </c>
      <c r="AI34" s="43">
        <f>SUM(AI5:AI33)</f>
        <v>8</v>
      </c>
      <c r="AJ34" s="43">
        <f>SUM(AJ5:AJ33)</f>
        <v>3</v>
      </c>
      <c r="AK34" s="44">
        <f>AI34/AJ34</f>
        <v>2.6666666666666665</v>
      </c>
      <c r="AL34" s="43">
        <f>SUM(AL5:AL33)</f>
        <v>579</v>
      </c>
      <c r="AM34" s="43">
        <f>SUM(AM5:AM33)</f>
        <v>83</v>
      </c>
      <c r="AN34" s="44">
        <f>AL34/AM34</f>
        <v>6.975903614457831</v>
      </c>
      <c r="AO34" s="43">
        <f>SUM(AO5:AO33)</f>
        <v>5</v>
      </c>
      <c r="AP34" s="43">
        <f>SUM(AP5:AP33)</f>
        <v>1</v>
      </c>
      <c r="AQ34" s="44">
        <f>AO34/AP34</f>
        <v>5</v>
      </c>
      <c r="AR34" s="43">
        <f>SUM(AR5:AR33)</f>
        <v>21</v>
      </c>
      <c r="AS34" s="43">
        <f>SUM(AS5:AS33)</f>
        <v>3</v>
      </c>
      <c r="AT34" s="44">
        <f>AR34/AS34</f>
        <v>7</v>
      </c>
      <c r="AU34" s="43">
        <f>SUM(AU5:AU33)</f>
        <v>51</v>
      </c>
      <c r="AV34" s="43">
        <f>SUM(AV5:AV33)</f>
        <v>8</v>
      </c>
      <c r="AW34" s="44">
        <f>AU34/AV34</f>
        <v>6.375</v>
      </c>
      <c r="AX34" s="43">
        <f>SUM(AX5:AX33)</f>
        <v>0</v>
      </c>
      <c r="AY34" s="43">
        <f>SUM(AY5:AY33)</f>
        <v>0</v>
      </c>
      <c r="AZ34" s="140" t="str">
        <f>IF(AY34=0,"-",AX34/AY34)</f>
        <v>-</v>
      </c>
      <c r="BA34" s="43">
        <f>SUM(BA5:BA33)</f>
        <v>194</v>
      </c>
      <c r="BB34" s="43">
        <f>SUM(BB5:BB33)</f>
        <v>29</v>
      </c>
      <c r="BC34" s="44">
        <f>BA34/BB34</f>
        <v>6.6896551724137927</v>
      </c>
      <c r="BD34" s="43">
        <f>SUM(BD5:BD33)</f>
        <v>0</v>
      </c>
      <c r="BE34" s="43">
        <f>SUM(BE5:BE33)</f>
        <v>0</v>
      </c>
      <c r="BF34" s="140" t="str">
        <f>IF(BE34=0,"-",BD34/BE34)</f>
        <v>-</v>
      </c>
      <c r="BG34" s="43">
        <f>SUM(BG5:BG33)</f>
        <v>12</v>
      </c>
      <c r="BH34" s="43">
        <f>SUM(BH5:BH33)</f>
        <v>2</v>
      </c>
      <c r="BI34" s="140">
        <f>IF(BH34=0,"-",BG34/BH34)</f>
        <v>6</v>
      </c>
      <c r="BJ34" s="43">
        <f>SUM(BJ5:BJ33)</f>
        <v>8</v>
      </c>
      <c r="BK34" s="43">
        <f>SUM(BK5:BK33)</f>
        <v>1</v>
      </c>
      <c r="BL34" s="140">
        <f>IF(BK34=0,"-",BJ34/BK34)</f>
        <v>8</v>
      </c>
      <c r="BM34" s="118">
        <f>SUM(BM5:BM33)</f>
        <v>7087</v>
      </c>
      <c r="BN34" s="145">
        <f t="shared" ref="BN34" si="361">BK34+BH34+BE34+BB34+AY34+AV34+AS34+AP34+AM34+L34+R34+O34+I34+F34+AJ34+AG34+AD34+AA34+X34+C34</f>
        <v>1087</v>
      </c>
      <c r="BO34" s="144">
        <f t="shared" si="31"/>
        <v>6.5197792088316469</v>
      </c>
    </row>
    <row r="35" spans="1:67" x14ac:dyDescent="0.3">
      <c r="A35" s="1"/>
      <c r="E35"/>
      <c r="F35"/>
      <c r="H35"/>
      <c r="I35"/>
      <c r="K35"/>
      <c r="L35"/>
      <c r="N35"/>
      <c r="O35"/>
      <c r="Q35"/>
      <c r="R35"/>
      <c r="T35"/>
      <c r="U35"/>
    </row>
    <row r="36" spans="1:67" x14ac:dyDescent="0.3">
      <c r="A36" s="1"/>
      <c r="E36"/>
      <c r="F36"/>
      <c r="H36"/>
      <c r="I36"/>
      <c r="K36"/>
      <c r="L36"/>
      <c r="N36"/>
      <c r="O36"/>
      <c r="Q36"/>
      <c r="R36"/>
      <c r="T36"/>
      <c r="U36"/>
    </row>
    <row r="37" spans="1:67" x14ac:dyDescent="0.3">
      <c r="A37" s="1"/>
    </row>
    <row r="38" spans="1:67" x14ac:dyDescent="0.3">
      <c r="A38" s="1"/>
    </row>
    <row r="39" spans="1:67" x14ac:dyDescent="0.3">
      <c r="A39" s="1"/>
    </row>
    <row r="40" spans="1:67" x14ac:dyDescent="0.3">
      <c r="A40" s="1"/>
    </row>
    <row r="41" spans="1:67" x14ac:dyDescent="0.3">
      <c r="A41" s="1"/>
    </row>
    <row r="42" spans="1:67" x14ac:dyDescent="0.3">
      <c r="A42" s="1"/>
    </row>
    <row r="43" spans="1:67" x14ac:dyDescent="0.3">
      <c r="A43" s="1"/>
    </row>
    <row r="44" spans="1:67" x14ac:dyDescent="0.3">
      <c r="A44" s="1"/>
    </row>
    <row r="45" spans="1:67" x14ac:dyDescent="0.3">
      <c r="A45" s="1"/>
    </row>
    <row r="46" spans="1:67" x14ac:dyDescent="0.3">
      <c r="A46" s="1"/>
    </row>
    <row r="47" spans="1:67" x14ac:dyDescent="0.3">
      <c r="A47" s="1"/>
    </row>
    <row r="48" spans="1:6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</sheetData>
  <pageMargins left="0.7" right="0.7" top="0.75" bottom="0.75" header="0.3" footer="0.3"/>
  <pageSetup orientation="portrait" r:id="rId1"/>
  <ignoredErrors>
    <ignoredError sqref="G6 P8 AE7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1737-F716-482D-9DC1-19E396600113}">
  <sheetPr codeName="Sheet9">
    <tabColor rgb="FFFF0000"/>
  </sheetPr>
  <dimension ref="A1:CL40"/>
  <sheetViews>
    <sheetView topLeftCell="A9" workbookViewId="0">
      <selection activeCell="B30" sqref="B30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49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'Feb 2024'!B34</f>
        <v>1304</v>
      </c>
      <c r="C4" s="68"/>
      <c r="D4" s="95" t="s">
        <v>19</v>
      </c>
      <c r="E4" s="93">
        <f>'Feb 2024'!AL34</f>
        <v>579</v>
      </c>
      <c r="F4" s="68"/>
      <c r="G4" s="87" t="s">
        <v>24</v>
      </c>
      <c r="H4" s="81">
        <f>'Feb 2024'!BA34</f>
        <v>194</v>
      </c>
    </row>
    <row r="5" spans="1:90" x14ac:dyDescent="0.3">
      <c r="A5" s="80"/>
      <c r="B5" s="81">
        <f>'Feb 2024'!C34</f>
        <v>166</v>
      </c>
      <c r="C5" s="68"/>
      <c r="D5" s="85"/>
      <c r="E5" s="81">
        <f>'Feb 2024'!AM34</f>
        <v>83</v>
      </c>
      <c r="F5" s="68"/>
      <c r="G5" s="87"/>
      <c r="H5" s="81">
        <f>'Feb 2024'!BB34</f>
        <v>29</v>
      </c>
    </row>
    <row r="6" spans="1:90" x14ac:dyDescent="0.3">
      <c r="A6" s="82"/>
      <c r="B6" s="26">
        <f>'Feb 2024'!D34</f>
        <v>7.8554216867469879</v>
      </c>
      <c r="C6" s="68"/>
      <c r="D6" s="86"/>
      <c r="E6" s="26">
        <f>'Feb 2024'!AN34</f>
        <v>6.975903614457831</v>
      </c>
      <c r="F6" s="68"/>
      <c r="G6" s="88"/>
      <c r="H6" s="26">
        <f>'Feb 2024'!BC34</f>
        <v>6.6896551724137927</v>
      </c>
    </row>
    <row r="7" spans="1:90" x14ac:dyDescent="0.3">
      <c r="A7" s="80" t="s">
        <v>9</v>
      </c>
      <c r="B7" s="81">
        <f>'Feb 2024'!E34</f>
        <v>187</v>
      </c>
      <c r="C7" s="68"/>
      <c r="D7" s="85" t="s">
        <v>20</v>
      </c>
      <c r="E7" s="81">
        <f>'Feb 2024'!AO34</f>
        <v>5</v>
      </c>
      <c r="F7" s="68"/>
      <c r="G7" s="87" t="s">
        <v>25</v>
      </c>
      <c r="H7" s="151">
        <f>'Feb 2024'!BD34</f>
        <v>0</v>
      </c>
    </row>
    <row r="8" spans="1:90" x14ac:dyDescent="0.3">
      <c r="A8" s="80"/>
      <c r="B8" s="81">
        <f>'Feb 2024'!F34</f>
        <v>30</v>
      </c>
      <c r="C8" s="68"/>
      <c r="D8" s="85"/>
      <c r="E8" s="81">
        <f>'Feb 2024'!AP34</f>
        <v>1</v>
      </c>
      <c r="F8" s="68"/>
      <c r="G8" s="87"/>
      <c r="H8" s="151">
        <f>'Feb 2024'!BE34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'Feb 2024'!G34</f>
        <v>6.2333333333333334</v>
      </c>
      <c r="C9" s="68"/>
      <c r="D9" s="86"/>
      <c r="E9" s="26">
        <f>'Feb 2024'!AQ34</f>
        <v>5</v>
      </c>
      <c r="F9" s="68"/>
      <c r="G9" s="88"/>
      <c r="H9" s="150" t="str">
        <f>'Feb 2024'!BF34</f>
        <v>-</v>
      </c>
    </row>
    <row r="10" spans="1:90" x14ac:dyDescent="0.3">
      <c r="A10" s="80" t="s">
        <v>10</v>
      </c>
      <c r="B10" s="81">
        <f>'Feb 2024'!H34</f>
        <v>81</v>
      </c>
      <c r="C10" s="68"/>
      <c r="D10" s="85" t="s">
        <v>21</v>
      </c>
      <c r="E10" s="81">
        <f>'Feb 2024'!AR34</f>
        <v>21</v>
      </c>
      <c r="F10" s="68"/>
      <c r="G10" s="87" t="s">
        <v>26</v>
      </c>
      <c r="H10" s="151">
        <f>'Feb 2024'!BG34</f>
        <v>12</v>
      </c>
    </row>
    <row r="11" spans="1:90" x14ac:dyDescent="0.3">
      <c r="A11" s="80"/>
      <c r="B11" s="81">
        <f>'Feb 2024'!I34</f>
        <v>11</v>
      </c>
      <c r="C11" s="68"/>
      <c r="D11" s="85"/>
      <c r="E11" s="81">
        <f>'Feb 2024'!AS34</f>
        <v>3</v>
      </c>
      <c r="F11" s="68"/>
      <c r="G11" s="87"/>
      <c r="H11" s="81">
        <f>'Feb 2024'!BH34</f>
        <v>2</v>
      </c>
    </row>
    <row r="12" spans="1:90" x14ac:dyDescent="0.3">
      <c r="A12" s="82"/>
      <c r="B12" s="26">
        <f>'Feb 2024'!J34</f>
        <v>7.3636363636363633</v>
      </c>
      <c r="C12" s="68"/>
      <c r="D12" s="86"/>
      <c r="E12" s="26">
        <f>'Feb 2024'!AT34</f>
        <v>7</v>
      </c>
      <c r="F12" s="68"/>
      <c r="G12" s="88"/>
      <c r="H12" s="26">
        <f>'Feb 2024'!BI34</f>
        <v>6</v>
      </c>
    </row>
    <row r="13" spans="1:90" x14ac:dyDescent="0.3">
      <c r="A13" s="80" t="s">
        <v>11</v>
      </c>
      <c r="B13" s="81">
        <f>'Feb 2024'!N34</f>
        <v>836</v>
      </c>
      <c r="C13" s="68"/>
      <c r="D13" s="85" t="s">
        <v>22</v>
      </c>
      <c r="E13" s="81">
        <f>'Feb 2024'!AU34</f>
        <v>51</v>
      </c>
      <c r="F13" s="68"/>
      <c r="G13" s="87" t="s">
        <v>27</v>
      </c>
      <c r="H13" s="81">
        <f>'Feb 2024'!BJ34</f>
        <v>8</v>
      </c>
    </row>
    <row r="14" spans="1:90" x14ac:dyDescent="0.3">
      <c r="A14" s="80"/>
      <c r="B14" s="81">
        <f>'Feb 2024'!O34</f>
        <v>151</v>
      </c>
      <c r="C14" s="68"/>
      <c r="D14" s="85"/>
      <c r="E14" s="81">
        <f>'Feb 2024'!AV34</f>
        <v>8</v>
      </c>
      <c r="F14" s="68"/>
      <c r="G14" s="87"/>
      <c r="H14" s="81">
        <f>'Feb 2024'!BK34</f>
        <v>1</v>
      </c>
    </row>
    <row r="15" spans="1:90" x14ac:dyDescent="0.3">
      <c r="A15" s="82"/>
      <c r="B15" s="26">
        <f>'Feb 2024'!P34</f>
        <v>5.5364238410596025</v>
      </c>
      <c r="C15" s="68"/>
      <c r="D15" s="85"/>
      <c r="E15" s="26">
        <f>'Feb 2024'!AW34</f>
        <v>6.375</v>
      </c>
      <c r="F15" s="68"/>
      <c r="G15" s="88"/>
      <c r="H15" s="26">
        <f>'Feb 2024'!BL34</f>
        <v>8</v>
      </c>
    </row>
    <row r="16" spans="1:90" x14ac:dyDescent="0.3">
      <c r="A16" s="80" t="s">
        <v>44</v>
      </c>
      <c r="B16" s="81">
        <f>'Feb 2024'!Q34</f>
        <v>3534</v>
      </c>
      <c r="C16" s="68"/>
      <c r="D16" s="85" t="s">
        <v>45</v>
      </c>
      <c r="E16" s="81">
        <f>'Jan 2024'!AX34</f>
        <v>0</v>
      </c>
      <c r="F16" s="68"/>
      <c r="G16" s="96" t="s">
        <v>28</v>
      </c>
      <c r="H16" s="97">
        <f>'Feb 2024'!BM34</f>
        <v>7087</v>
      </c>
    </row>
    <row r="17" spans="1:8" x14ac:dyDescent="0.3">
      <c r="A17" s="80"/>
      <c r="B17" s="81">
        <f>'Feb 2024'!R34</f>
        <v>573</v>
      </c>
      <c r="C17" s="68"/>
      <c r="D17" s="85"/>
      <c r="E17" s="81">
        <f>'Jan 2024'!AY34</f>
        <v>0</v>
      </c>
      <c r="F17" s="68"/>
      <c r="G17" s="96"/>
      <c r="H17" s="97">
        <f>'Feb 2024'!BN34</f>
        <v>1087</v>
      </c>
    </row>
    <row r="18" spans="1:8" ht="15" thickBot="1" x14ac:dyDescent="0.35">
      <c r="A18" s="82"/>
      <c r="B18" s="26">
        <f>'Feb 2024'!S34</f>
        <v>6.167539267015707</v>
      </c>
      <c r="C18" s="68"/>
      <c r="D18" s="102"/>
      <c r="E18" s="149" t="str">
        <f>'Jan 2024'!AZ34</f>
        <v>-</v>
      </c>
      <c r="F18" s="68"/>
      <c r="G18" s="98"/>
      <c r="H18" s="99">
        <f>H16/H17</f>
        <v>6.5197792088316469</v>
      </c>
    </row>
    <row r="19" spans="1:8" x14ac:dyDescent="0.3">
      <c r="A19" s="80" t="s">
        <v>13</v>
      </c>
      <c r="B19" s="81">
        <f>'Feb 2024'!K34</f>
        <v>6</v>
      </c>
      <c r="C19" s="68"/>
    </row>
    <row r="20" spans="1:8" x14ac:dyDescent="0.3">
      <c r="A20" s="80"/>
      <c r="B20" s="81">
        <f>'Feb 2024'!L34</f>
        <v>1</v>
      </c>
      <c r="C20" s="68"/>
    </row>
    <row r="21" spans="1:8" x14ac:dyDescent="0.3">
      <c r="A21" s="100"/>
      <c r="B21" s="81">
        <f>'Feb 2024'!M34</f>
        <v>6</v>
      </c>
      <c r="C21" s="68"/>
    </row>
    <row r="22" spans="1:8" x14ac:dyDescent="0.3">
      <c r="A22" s="80" t="s">
        <v>46</v>
      </c>
      <c r="B22" s="142">
        <f>'Feb 2024'!T34</f>
        <v>170</v>
      </c>
      <c r="C22" s="68"/>
      <c r="D22" s="68"/>
      <c r="E22" s="68"/>
    </row>
    <row r="23" spans="1:8" x14ac:dyDescent="0.3">
      <c r="A23" s="80"/>
      <c r="B23" s="142">
        <f>'Feb 2024'!U34</f>
        <v>30</v>
      </c>
      <c r="C23" s="68"/>
      <c r="D23" s="68"/>
      <c r="E23" s="68"/>
    </row>
    <row r="24" spans="1:8" ht="15" thickBot="1" x14ac:dyDescent="0.35">
      <c r="A24" s="141"/>
      <c r="B24" s="143">
        <f>'Feb 2024'!V34</f>
        <v>5.666666666666667</v>
      </c>
      <c r="C24" s="68"/>
      <c r="D24" s="68"/>
      <c r="E24" s="68"/>
    </row>
    <row r="25" spans="1:8" x14ac:dyDescent="0.3">
      <c r="A25" s="101" t="s">
        <v>14</v>
      </c>
      <c r="B25" s="93">
        <f>'Feb 2024'!W34</f>
        <v>60</v>
      </c>
      <c r="C25" s="68"/>
      <c r="D25" s="68"/>
      <c r="E25" s="68"/>
    </row>
    <row r="26" spans="1:8" x14ac:dyDescent="0.3">
      <c r="A26" s="83"/>
      <c r="B26" s="81">
        <f>'Feb 2024'!X34</f>
        <v>15</v>
      </c>
      <c r="C26" s="68"/>
      <c r="D26" s="68"/>
      <c r="E26" s="68"/>
    </row>
    <row r="27" spans="1:8" x14ac:dyDescent="0.3">
      <c r="A27" s="84"/>
      <c r="B27" s="26">
        <f>'Feb 2024'!Y34</f>
        <v>4</v>
      </c>
      <c r="C27" s="68"/>
      <c r="D27" s="68"/>
      <c r="E27" s="68"/>
    </row>
    <row r="28" spans="1:8" x14ac:dyDescent="0.3">
      <c r="A28" s="83" t="s">
        <v>15</v>
      </c>
      <c r="B28" s="81">
        <f>'Jan 2024'!Z34</f>
        <v>0</v>
      </c>
      <c r="C28" s="68"/>
      <c r="F28" s="68"/>
      <c r="G28" s="68"/>
    </row>
    <row r="29" spans="1:8" x14ac:dyDescent="0.3">
      <c r="A29" s="83"/>
      <c r="B29" s="81">
        <f>'Jan 2024'!AA34</f>
        <v>0</v>
      </c>
      <c r="C29" s="68"/>
      <c r="F29" s="68"/>
      <c r="G29" s="68"/>
    </row>
    <row r="30" spans="1:8" x14ac:dyDescent="0.3">
      <c r="A30" s="84"/>
      <c r="B30" s="26" t="e">
        <f>'Feb 2024'!AB34</f>
        <v>#DIV/0!</v>
      </c>
      <c r="C30" s="68"/>
      <c r="F30" s="68"/>
      <c r="G30" s="68"/>
    </row>
    <row r="31" spans="1:8" x14ac:dyDescent="0.3">
      <c r="A31" s="83" t="s">
        <v>16</v>
      </c>
      <c r="B31" s="81">
        <f>'Feb 2024'!AC34</f>
        <v>16</v>
      </c>
      <c r="C31" s="68"/>
      <c r="F31" s="68"/>
      <c r="G31" s="68"/>
    </row>
    <row r="32" spans="1:8" x14ac:dyDescent="0.3">
      <c r="A32" s="83"/>
      <c r="B32" s="81">
        <f>'Feb 2024'!AD34</f>
        <v>7</v>
      </c>
      <c r="C32" s="68"/>
      <c r="F32" s="68"/>
      <c r="G32" s="68"/>
    </row>
    <row r="33" spans="1:7" x14ac:dyDescent="0.3">
      <c r="A33" s="84"/>
      <c r="B33" s="26">
        <f>'Feb 2024'!AE34</f>
        <v>2.2857142857142856</v>
      </c>
      <c r="C33" s="68"/>
      <c r="F33" s="68"/>
      <c r="G33" s="68"/>
    </row>
    <row r="34" spans="1:7" x14ac:dyDescent="0.3">
      <c r="A34" s="83" t="s">
        <v>17</v>
      </c>
      <c r="B34" s="81">
        <f>'Jan 2024'!AF34</f>
        <v>0</v>
      </c>
      <c r="C34" s="68"/>
      <c r="F34" s="68"/>
      <c r="G34" s="68"/>
    </row>
    <row r="35" spans="1:7" x14ac:dyDescent="0.3">
      <c r="A35" s="83"/>
      <c r="B35" s="81">
        <f>'Jan 2024'!AG34</f>
        <v>0</v>
      </c>
      <c r="C35" s="68"/>
      <c r="F35" s="68"/>
      <c r="G35" s="68"/>
    </row>
    <row r="36" spans="1:7" x14ac:dyDescent="0.3">
      <c r="A36" s="84"/>
      <c r="B36" s="26">
        <f>'Feb 2024'!AH34</f>
        <v>5</v>
      </c>
      <c r="C36" s="68"/>
      <c r="F36" s="68"/>
      <c r="G36" s="68"/>
    </row>
    <row r="37" spans="1:7" x14ac:dyDescent="0.3">
      <c r="A37" s="83" t="s">
        <v>18</v>
      </c>
      <c r="B37" s="81">
        <f>'Feb 2024'!AI34</f>
        <v>8</v>
      </c>
      <c r="C37" s="68"/>
      <c r="F37" s="68"/>
      <c r="G37" s="68"/>
    </row>
    <row r="38" spans="1:7" x14ac:dyDescent="0.3">
      <c r="A38" s="83"/>
      <c r="B38" s="81">
        <f>'Feb 2024'!AJ34</f>
        <v>3</v>
      </c>
      <c r="C38" s="68"/>
      <c r="F38" s="68"/>
      <c r="G38" s="68"/>
    </row>
    <row r="39" spans="1:7" ht="15" thickBot="1" x14ac:dyDescent="0.35">
      <c r="A39" s="94"/>
      <c r="B39" s="89">
        <f>'Feb 2024'!AK34</f>
        <v>2.6666666666666665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8238-FB8D-42DD-90FA-6061F82B6995}">
  <sheetPr codeName="Sheet10"/>
  <dimension ref="A1:BO126"/>
  <sheetViews>
    <sheetView workbookViewId="0">
      <pane xSplit="9" ySplit="11" topLeftCell="BC29" activePane="bottomRight" state="frozen"/>
      <selection pane="topRight" activeCell="J1" sqref="J1"/>
      <selection pane="bottomLeft" activeCell="A12" sqref="A12"/>
      <selection pane="bottomRight" activeCell="BM5" sqref="BM5:BM35"/>
    </sheetView>
  </sheetViews>
  <sheetFormatPr defaultRowHeight="14.4" x14ac:dyDescent="0.3"/>
  <cols>
    <col min="1" max="1" width="16.33203125" customWidth="1"/>
    <col min="2" max="3" width="8.88671875" customWidth="1"/>
    <col min="4" max="9" width="8.88671875" style="2" customWidth="1"/>
    <col min="10" max="10" width="10" style="2" customWidth="1"/>
    <col min="11" max="18" width="8.88671875" style="2" customWidth="1"/>
    <col min="19" max="19" width="9.6640625" style="2" customWidth="1"/>
    <col min="20" max="21" width="8.88671875" style="2" customWidth="1"/>
    <col min="22" max="22" width="9.6640625" style="2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8.88671875" style="2" customWidth="1"/>
    <col min="32" max="33" width="8.88671875" customWidth="1"/>
    <col min="34" max="34" width="7.33203125" style="2" customWidth="1"/>
    <col min="35" max="35" width="7.33203125" customWidth="1"/>
    <col min="36" max="36" width="9.6640625" customWidth="1"/>
    <col min="37" max="37" width="10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51" width="8.88671875" customWidth="1"/>
    <col min="52" max="52" width="8.88671875" style="2" customWidth="1"/>
    <col min="55" max="55" width="8.88671875" style="2"/>
    <col min="58" max="58" width="8.88671875" style="2"/>
    <col min="61" max="61" width="9.33203125" style="2" customWidth="1"/>
    <col min="64" max="64" width="8.88671875" style="2"/>
    <col min="65" max="65" width="9.109375" style="79" bestFit="1" customWidth="1"/>
    <col min="66" max="66" width="8.88671875" style="79"/>
    <col min="67" max="67" width="8.88671875" style="2"/>
  </cols>
  <sheetData>
    <row r="1" spans="1:67" ht="18.600000000000001" thickBot="1" x14ac:dyDescent="0.4">
      <c r="A1" s="67" t="s">
        <v>50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8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113"/>
      <c r="BN1" s="113"/>
      <c r="BO1" s="69"/>
    </row>
    <row r="2" spans="1:67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73" t="s">
        <v>2</v>
      </c>
      <c r="P2" s="73"/>
      <c r="Q2" s="77"/>
      <c r="R2" s="73" t="s">
        <v>2</v>
      </c>
      <c r="S2" s="74"/>
      <c r="T2" s="77"/>
      <c r="U2" s="73" t="s">
        <v>2</v>
      </c>
      <c r="V2" s="74"/>
      <c r="W2" s="71"/>
      <c r="X2" s="72" t="s">
        <v>3</v>
      </c>
      <c r="Y2" s="73"/>
      <c r="Z2" s="71"/>
      <c r="AA2" s="72" t="s">
        <v>3</v>
      </c>
      <c r="AB2" s="74"/>
      <c r="AC2" s="72"/>
      <c r="AD2" s="72" t="s">
        <v>4</v>
      </c>
      <c r="AE2" s="73"/>
      <c r="AF2" s="71"/>
      <c r="AG2" s="72" t="s">
        <v>4</v>
      </c>
      <c r="AH2" s="74"/>
      <c r="AI2" s="72"/>
      <c r="AJ2" s="72" t="s">
        <v>4</v>
      </c>
      <c r="AK2" s="74"/>
      <c r="AL2" s="108"/>
      <c r="AM2" s="109" t="s">
        <v>5</v>
      </c>
      <c r="AN2" s="110"/>
      <c r="AO2" s="108"/>
      <c r="AP2" s="109" t="s">
        <v>5</v>
      </c>
      <c r="AQ2" s="111"/>
      <c r="AR2" s="109"/>
      <c r="AS2" s="109" t="s">
        <v>5</v>
      </c>
      <c r="AT2" s="110"/>
      <c r="AU2" s="108"/>
      <c r="AV2" s="109" t="s">
        <v>5</v>
      </c>
      <c r="AW2" s="112"/>
      <c r="AX2" s="109"/>
      <c r="AY2" s="109" t="s">
        <v>5</v>
      </c>
      <c r="AZ2" s="111"/>
      <c r="BA2" s="71"/>
      <c r="BB2" s="72" t="s">
        <v>6</v>
      </c>
      <c r="BC2" s="74"/>
      <c r="BD2" s="75"/>
      <c r="BE2" s="75" t="s">
        <v>6</v>
      </c>
      <c r="BF2" s="76"/>
      <c r="BG2" s="71"/>
      <c r="BH2" s="72" t="s">
        <v>6</v>
      </c>
      <c r="BI2" s="74"/>
      <c r="BJ2" s="75"/>
      <c r="BK2" s="75" t="s">
        <v>6</v>
      </c>
      <c r="BL2" s="76"/>
      <c r="BM2" s="114" t="s">
        <v>7</v>
      </c>
      <c r="BN2" s="119"/>
      <c r="BO2" s="74"/>
    </row>
    <row r="3" spans="1:67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13</v>
      </c>
      <c r="L3" s="4"/>
      <c r="M3" s="33"/>
      <c r="N3" s="4" t="s">
        <v>11</v>
      </c>
      <c r="O3" s="4"/>
      <c r="P3" s="35"/>
      <c r="Q3" s="3" t="s">
        <v>12</v>
      </c>
      <c r="R3" s="4"/>
      <c r="S3" s="33"/>
      <c r="T3" s="3" t="s">
        <v>35</v>
      </c>
      <c r="U3" s="4"/>
      <c r="V3" s="33"/>
      <c r="W3" s="47" t="s">
        <v>14</v>
      </c>
      <c r="X3" s="47"/>
      <c r="Y3" s="49"/>
      <c r="Z3" s="46" t="s">
        <v>15</v>
      </c>
      <c r="AA3" s="47"/>
      <c r="AB3" s="48"/>
      <c r="AC3" s="47" t="s">
        <v>16</v>
      </c>
      <c r="AD3" s="47"/>
      <c r="AE3" s="49"/>
      <c r="AF3" s="46" t="s">
        <v>17</v>
      </c>
      <c r="AG3" s="47"/>
      <c r="AH3" s="48"/>
      <c r="AI3" s="47" t="s">
        <v>18</v>
      </c>
      <c r="AJ3" s="47"/>
      <c r="AK3" s="49"/>
      <c r="AL3" s="9" t="s">
        <v>36</v>
      </c>
      <c r="AM3" s="7"/>
      <c r="AN3" s="29"/>
      <c r="AO3" s="9" t="s">
        <v>37</v>
      </c>
      <c r="AP3" s="7"/>
      <c r="AQ3" s="31"/>
      <c r="AR3" s="7" t="s">
        <v>38</v>
      </c>
      <c r="AS3" s="7"/>
      <c r="AT3" s="29"/>
      <c r="AU3" s="9" t="s">
        <v>39</v>
      </c>
      <c r="AV3" s="7"/>
      <c r="AW3" s="8"/>
      <c r="AX3" s="7" t="s">
        <v>40</v>
      </c>
      <c r="AY3" s="7"/>
      <c r="AZ3" s="31"/>
      <c r="BA3" s="13" t="s">
        <v>24</v>
      </c>
      <c r="BB3" s="14"/>
      <c r="BC3" s="27"/>
      <c r="BD3" s="14" t="s">
        <v>25</v>
      </c>
      <c r="BE3" s="14"/>
      <c r="BF3" s="55"/>
      <c r="BG3" s="13" t="s">
        <v>26</v>
      </c>
      <c r="BH3" s="14"/>
      <c r="BI3" s="27"/>
      <c r="BJ3" s="14" t="s">
        <v>27</v>
      </c>
      <c r="BK3" s="14"/>
      <c r="BL3" s="55"/>
      <c r="BM3" s="115" t="s">
        <v>28</v>
      </c>
      <c r="BN3" s="115"/>
      <c r="BO3" s="24"/>
    </row>
    <row r="4" spans="1:67" ht="43.8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36" t="s">
        <v>31</v>
      </c>
      <c r="Q4" s="5" t="s">
        <v>7</v>
      </c>
      <c r="R4" s="6" t="s">
        <v>30</v>
      </c>
      <c r="S4" s="34" t="s">
        <v>31</v>
      </c>
      <c r="T4" s="5" t="s">
        <v>7</v>
      </c>
      <c r="U4" s="6" t="s">
        <v>30</v>
      </c>
      <c r="V4" s="34" t="s">
        <v>31</v>
      </c>
      <c r="W4" s="51" t="s">
        <v>7</v>
      </c>
      <c r="X4" s="51" t="s">
        <v>30</v>
      </c>
      <c r="Y4" s="53" t="s">
        <v>31</v>
      </c>
      <c r="Z4" s="50" t="s">
        <v>7</v>
      </c>
      <c r="AA4" s="51" t="s">
        <v>30</v>
      </c>
      <c r="AB4" s="52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12" t="s">
        <v>7</v>
      </c>
      <c r="AM4" s="10" t="s">
        <v>30</v>
      </c>
      <c r="AN4" s="30" t="s">
        <v>31</v>
      </c>
      <c r="AO4" s="12" t="s">
        <v>7</v>
      </c>
      <c r="AP4" s="10" t="s">
        <v>30</v>
      </c>
      <c r="AQ4" s="32" t="s">
        <v>31</v>
      </c>
      <c r="AR4" s="10" t="s">
        <v>7</v>
      </c>
      <c r="AS4" s="10" t="s">
        <v>30</v>
      </c>
      <c r="AT4" s="30" t="s">
        <v>31</v>
      </c>
      <c r="AU4" s="12" t="s">
        <v>7</v>
      </c>
      <c r="AV4" s="10" t="s">
        <v>30</v>
      </c>
      <c r="AW4" s="11" t="s">
        <v>31</v>
      </c>
      <c r="AX4" s="10" t="s">
        <v>7</v>
      </c>
      <c r="AY4" s="10" t="s">
        <v>30</v>
      </c>
      <c r="AZ4" s="32" t="s">
        <v>31</v>
      </c>
      <c r="BA4" s="15" t="s">
        <v>7</v>
      </c>
      <c r="BB4" s="16" t="s">
        <v>30</v>
      </c>
      <c r="BC4" s="28" t="s">
        <v>31</v>
      </c>
      <c r="BD4" s="16" t="s">
        <v>7</v>
      </c>
      <c r="BE4" s="16" t="s">
        <v>30</v>
      </c>
      <c r="BF4" s="57" t="s">
        <v>31</v>
      </c>
      <c r="BG4" s="15" t="s">
        <v>7</v>
      </c>
      <c r="BH4" s="16" t="s">
        <v>30</v>
      </c>
      <c r="BI4" s="28" t="s">
        <v>31</v>
      </c>
      <c r="BJ4" s="16" t="s">
        <v>7</v>
      </c>
      <c r="BK4" s="16" t="s">
        <v>30</v>
      </c>
      <c r="BL4" s="57" t="s">
        <v>31</v>
      </c>
      <c r="BM4" s="116" t="s">
        <v>7</v>
      </c>
      <c r="BN4" s="116" t="s">
        <v>30</v>
      </c>
      <c r="BO4" s="146" t="s">
        <v>31</v>
      </c>
    </row>
    <row r="5" spans="1:67" ht="15" thickBot="1" x14ac:dyDescent="0.35">
      <c r="A5" s="1">
        <v>45352</v>
      </c>
      <c r="B5" s="17">
        <v>49</v>
      </c>
      <c r="C5" s="18">
        <v>6</v>
      </c>
      <c r="D5" s="122">
        <f t="shared" ref="D5:D32" si="0">IF(C5=0,"",B5/C5)</f>
        <v>8.1666666666666661</v>
      </c>
      <c r="E5" s="20">
        <v>0</v>
      </c>
      <c r="F5" s="21">
        <v>0</v>
      </c>
      <c r="G5" s="139" t="str">
        <f>IF(F5=0,"-",E5/F5)</f>
        <v>-</v>
      </c>
      <c r="H5" s="20">
        <v>0</v>
      </c>
      <c r="I5" s="21">
        <v>0</v>
      </c>
      <c r="J5" s="139" t="str">
        <f>IF(I5=0,"-",H5/I5)</f>
        <v>-</v>
      </c>
      <c r="K5" s="17">
        <v>1</v>
      </c>
      <c r="L5" s="18">
        <v>1</v>
      </c>
      <c r="M5" s="122">
        <f t="shared" ref="M5" si="1">IF(L5=0,"",K5/L5)</f>
        <v>1</v>
      </c>
      <c r="N5" s="17">
        <v>30</v>
      </c>
      <c r="O5" s="18">
        <v>4</v>
      </c>
      <c r="P5" s="122">
        <f t="shared" ref="P5:P32" si="2">IF(O5=0,"",N5/O5)</f>
        <v>7.5</v>
      </c>
      <c r="Q5" s="17">
        <v>107</v>
      </c>
      <c r="R5" s="18">
        <v>18</v>
      </c>
      <c r="S5" s="122">
        <f t="shared" ref="S5:S32" si="3">IF(R5=0,"",Q5/R5)</f>
        <v>5.9444444444444446</v>
      </c>
      <c r="T5" s="20">
        <v>0</v>
      </c>
      <c r="U5" s="21">
        <v>0</v>
      </c>
      <c r="V5" s="139" t="str">
        <f t="shared" ref="V5" si="4">IF(U5=0,"-",T5/U5)</f>
        <v>-</v>
      </c>
      <c r="W5" s="17">
        <v>3</v>
      </c>
      <c r="X5" s="18">
        <v>1</v>
      </c>
      <c r="Y5" s="122">
        <f t="shared" ref="Y5:Y31" si="5">IF(X5=0,"",W5/X5)</f>
        <v>3</v>
      </c>
      <c r="Z5" s="20">
        <v>0</v>
      </c>
      <c r="AA5" s="21">
        <v>0</v>
      </c>
      <c r="AB5" s="139" t="str">
        <f t="shared" ref="AB5:AB6" si="6">IF(AA5=0,"-",Z5/AA5)</f>
        <v>-</v>
      </c>
      <c r="AC5" s="17">
        <v>1</v>
      </c>
      <c r="AD5" s="18">
        <v>1</v>
      </c>
      <c r="AE5" s="122">
        <f t="shared" ref="AE5:AE32" si="7">IF(AD5=0,"",AC5/AD5)</f>
        <v>1</v>
      </c>
      <c r="AF5" s="17"/>
      <c r="AG5" s="18"/>
      <c r="AH5" s="122" t="str">
        <f t="shared" ref="AH5" si="8">IF(AG5=0,"",AF5/AG5)</f>
        <v/>
      </c>
      <c r="AI5" s="20">
        <v>0</v>
      </c>
      <c r="AJ5" s="21">
        <v>0</v>
      </c>
      <c r="AK5" s="139" t="str">
        <f t="shared" ref="AK5:AK6" si="9">IF(AJ5=0,"-",AI5/AJ5)</f>
        <v>-</v>
      </c>
      <c r="AL5" s="17">
        <v>29</v>
      </c>
      <c r="AM5" s="18">
        <v>4</v>
      </c>
      <c r="AN5" s="122">
        <f t="shared" ref="AN5:AN33" si="10">IF(AM5=0,"",AL5/AM5)</f>
        <v>7.25</v>
      </c>
      <c r="AO5" s="20">
        <v>0</v>
      </c>
      <c r="AP5" s="21">
        <v>0</v>
      </c>
      <c r="AQ5" s="139" t="str">
        <f t="shared" ref="AQ5:AQ7" si="11">IF(AP5=0,"-",AO5/AP5)</f>
        <v>-</v>
      </c>
      <c r="AR5" s="20">
        <v>0</v>
      </c>
      <c r="AS5" s="21">
        <v>0</v>
      </c>
      <c r="AT5" s="139" t="str">
        <f t="shared" ref="AT5:AT7" si="12">IF(AS5=0,"-",AR5/AS5)</f>
        <v>-</v>
      </c>
      <c r="AU5" s="17">
        <v>8</v>
      </c>
      <c r="AV5" s="18">
        <v>1</v>
      </c>
      <c r="AW5" s="122">
        <f t="shared" ref="AW5:AW29" si="13">IF(AV5=0,"",AU5/AV5)</f>
        <v>8</v>
      </c>
      <c r="AX5" s="20">
        <v>0</v>
      </c>
      <c r="AY5" s="21">
        <v>0</v>
      </c>
      <c r="AZ5" s="139" t="str">
        <f t="shared" ref="AZ5:AZ7" si="14">IF(AY5=0,"-",AX5/AY5)</f>
        <v>-</v>
      </c>
      <c r="BA5">
        <v>6</v>
      </c>
      <c r="BB5" s="17">
        <v>1</v>
      </c>
      <c r="BC5" s="122">
        <f t="shared" ref="BC5:BC31" si="15">IF(BB5=0,"",BA5/BB5)</f>
        <v>6</v>
      </c>
      <c r="BD5" s="20">
        <v>0</v>
      </c>
      <c r="BE5" s="21">
        <v>0</v>
      </c>
      <c r="BF5" s="139" t="str">
        <f t="shared" ref="BF5:BF6" si="16">IF(BE5=0,"-",BD5/BE5)</f>
        <v>-</v>
      </c>
      <c r="BG5" s="20">
        <v>0</v>
      </c>
      <c r="BH5" s="21">
        <v>0</v>
      </c>
      <c r="BI5" s="139" t="str">
        <f t="shared" ref="BI5:BI6" si="17">IF(BH5=0,"-",BG5/BH5)</f>
        <v>-</v>
      </c>
      <c r="BJ5" s="20">
        <v>0</v>
      </c>
      <c r="BK5" s="21">
        <v>0</v>
      </c>
      <c r="BL5" s="139" t="str">
        <f t="shared" ref="BL5:BL6" si="18">IF(BK5=0,"-",BJ5/BK5)</f>
        <v>-</v>
      </c>
      <c r="BM5" s="117">
        <f>B5+E5+H5+K5+N5+Q5+T5+W5+Z5+AC5+AF5+AI5+AL5+AO5+AR5+AU5+AX5+BA5+BD5+BG5+BJ5</f>
        <v>234</v>
      </c>
      <c r="BN5" s="120">
        <f t="shared" ref="BN5:BN20" si="19">BK5+BH5+BE5+BB5+AY5+AV5+AS5+AP5+AM5+L5+R5+O5+I5+F5+AJ5+AG5+AD5+AA5+X5+C5</f>
        <v>37</v>
      </c>
      <c r="BO5" s="147">
        <f t="shared" ref="BO5:BO36" si="20">IF(BN5=0,"",BM5/BN5)</f>
        <v>6.3243243243243246</v>
      </c>
    </row>
    <row r="6" spans="1:67" ht="15" thickBot="1" x14ac:dyDescent="0.35">
      <c r="A6" s="1">
        <v>45353</v>
      </c>
      <c r="B6" s="20">
        <v>0</v>
      </c>
      <c r="C6" s="21">
        <v>0</v>
      </c>
      <c r="D6" s="139" t="str">
        <f t="shared" ref="D6:D7" si="21">IF(C6=0,"-",B6/C6)</f>
        <v>-</v>
      </c>
      <c r="E6" s="20">
        <v>0</v>
      </c>
      <c r="F6" s="21">
        <v>0</v>
      </c>
      <c r="G6" s="139" t="str">
        <f t="shared" ref="G6:G7" si="22">IF(F6=0,"-",E6/F6)</f>
        <v>-</v>
      </c>
      <c r="H6" s="20">
        <v>0</v>
      </c>
      <c r="I6" s="21">
        <v>0</v>
      </c>
      <c r="J6" s="139" t="str">
        <f t="shared" ref="J6:J7" si="23">IF(I6=0,"-",H6/I6)</f>
        <v>-</v>
      </c>
      <c r="K6" s="20">
        <v>0</v>
      </c>
      <c r="L6" s="21">
        <v>0</v>
      </c>
      <c r="M6" s="139" t="str">
        <f t="shared" ref="M6:M7" si="24">IF(L6=0,"-",K6/L6)</f>
        <v>-</v>
      </c>
      <c r="N6" s="23">
        <v>35</v>
      </c>
      <c r="O6" s="21">
        <v>6</v>
      </c>
      <c r="P6" s="122">
        <f t="shared" si="2"/>
        <v>5.833333333333333</v>
      </c>
      <c r="Q6" s="20">
        <v>0</v>
      </c>
      <c r="R6" s="21">
        <v>0</v>
      </c>
      <c r="S6" s="139" t="str">
        <f t="shared" ref="S6:S8" si="25">IF(R6=0,"-",Q6/R6)</f>
        <v>-</v>
      </c>
      <c r="T6" s="20">
        <v>6</v>
      </c>
      <c r="U6" s="21">
        <v>1</v>
      </c>
      <c r="V6" s="122">
        <f t="shared" ref="V6:V23" si="26">IF(U6=0,"",T6/U6)</f>
        <v>6</v>
      </c>
      <c r="W6" s="20">
        <v>0</v>
      </c>
      <c r="X6" s="21">
        <v>0</v>
      </c>
      <c r="Y6" s="139" t="str">
        <f t="shared" ref="Y6" si="27">IF(X6=0,"-",W6/X6)</f>
        <v>-</v>
      </c>
      <c r="Z6" s="20">
        <v>0</v>
      </c>
      <c r="AA6" s="21">
        <v>0</v>
      </c>
      <c r="AB6" s="139" t="str">
        <f t="shared" si="6"/>
        <v>-</v>
      </c>
      <c r="AC6" s="20">
        <v>0</v>
      </c>
      <c r="AD6" s="21">
        <v>0</v>
      </c>
      <c r="AE6" s="139" t="str">
        <f t="shared" ref="AE6" si="28">IF(AD6=0,"-",AC6/AD6)</f>
        <v>-</v>
      </c>
      <c r="AF6" s="20">
        <v>0</v>
      </c>
      <c r="AG6" s="21">
        <v>0</v>
      </c>
      <c r="AH6" s="139" t="str">
        <f t="shared" ref="AH6" si="29">IF(AG6=0,"-",AF6/AG6)</f>
        <v>-</v>
      </c>
      <c r="AI6" s="20">
        <v>0</v>
      </c>
      <c r="AJ6" s="21">
        <v>0</v>
      </c>
      <c r="AK6" s="139" t="str">
        <f t="shared" si="9"/>
        <v>-</v>
      </c>
      <c r="AL6" s="23">
        <v>35</v>
      </c>
      <c r="AM6" s="21">
        <v>5</v>
      </c>
      <c r="AN6" s="122">
        <f t="shared" si="10"/>
        <v>7</v>
      </c>
      <c r="AO6" s="20">
        <v>0</v>
      </c>
      <c r="AP6" s="21">
        <v>0</v>
      </c>
      <c r="AQ6" s="139" t="str">
        <f t="shared" si="11"/>
        <v>-</v>
      </c>
      <c r="AR6" s="20">
        <v>0</v>
      </c>
      <c r="AS6" s="21">
        <v>0</v>
      </c>
      <c r="AT6" s="139" t="str">
        <f t="shared" si="12"/>
        <v>-</v>
      </c>
      <c r="AU6" s="20">
        <v>0</v>
      </c>
      <c r="AV6" s="21">
        <v>0</v>
      </c>
      <c r="AW6" s="139" t="str">
        <f t="shared" ref="AW6" si="30">IF(AV6=0,"-",AU6/AV6)</f>
        <v>-</v>
      </c>
      <c r="AX6" s="20">
        <v>0</v>
      </c>
      <c r="AY6" s="21">
        <v>0</v>
      </c>
      <c r="AZ6" s="139" t="str">
        <f t="shared" si="14"/>
        <v>-</v>
      </c>
      <c r="BA6" s="20">
        <v>0</v>
      </c>
      <c r="BB6" s="21">
        <v>0</v>
      </c>
      <c r="BC6" s="139" t="str">
        <f t="shared" ref="BC6" si="31">IF(BB6=0,"-",BA6/BB6)</f>
        <v>-</v>
      </c>
      <c r="BD6" s="20">
        <v>0</v>
      </c>
      <c r="BE6" s="21">
        <v>0</v>
      </c>
      <c r="BF6" s="139" t="str">
        <f t="shared" si="16"/>
        <v>-</v>
      </c>
      <c r="BG6" s="20">
        <v>0</v>
      </c>
      <c r="BH6" s="21">
        <v>0</v>
      </c>
      <c r="BI6" s="139" t="str">
        <f t="shared" si="17"/>
        <v>-</v>
      </c>
      <c r="BJ6" s="20">
        <v>0</v>
      </c>
      <c r="BK6" s="21">
        <v>0</v>
      </c>
      <c r="BL6" s="139" t="str">
        <f t="shared" si="18"/>
        <v>-</v>
      </c>
      <c r="BM6" s="117">
        <f t="shared" ref="BM6:BM35" si="32">B6+E6+H6+K6+N6+Q6+T6+W6+Z6+AC6+AF6+AI6+AL6+AO6+AR6+AU6+AX6+BA6+BD6+BG6+BJ6</f>
        <v>76</v>
      </c>
      <c r="BN6" s="120">
        <f t="shared" si="19"/>
        <v>11</v>
      </c>
      <c r="BO6" s="147">
        <f t="shared" si="20"/>
        <v>6.9090909090909092</v>
      </c>
    </row>
    <row r="7" spans="1:67" ht="15" thickBot="1" x14ac:dyDescent="0.35">
      <c r="A7" s="1">
        <v>45354</v>
      </c>
      <c r="B7" s="20">
        <v>0</v>
      </c>
      <c r="C7" s="21">
        <v>0</v>
      </c>
      <c r="D7" s="139" t="str">
        <f t="shared" si="21"/>
        <v>-</v>
      </c>
      <c r="E7" s="20">
        <v>0</v>
      </c>
      <c r="F7" s="21">
        <v>0</v>
      </c>
      <c r="G7" s="139" t="str">
        <f t="shared" si="22"/>
        <v>-</v>
      </c>
      <c r="H7" s="20">
        <v>0</v>
      </c>
      <c r="I7" s="21">
        <v>0</v>
      </c>
      <c r="J7" s="139" t="str">
        <f t="shared" si="23"/>
        <v>-</v>
      </c>
      <c r="K7" s="20">
        <v>0</v>
      </c>
      <c r="L7" s="21">
        <v>0</v>
      </c>
      <c r="M7" s="139" t="str">
        <f t="shared" si="24"/>
        <v>-</v>
      </c>
      <c r="N7" s="20">
        <v>17</v>
      </c>
      <c r="O7" s="21">
        <v>3</v>
      </c>
      <c r="P7" s="139">
        <f t="shared" ref="P7:P8" si="33">IF(O7=0,"-",N7/O7)</f>
        <v>5.666666666666667</v>
      </c>
      <c r="Q7" s="20">
        <v>0</v>
      </c>
      <c r="R7" s="21">
        <v>0</v>
      </c>
      <c r="S7" s="139" t="str">
        <f t="shared" si="25"/>
        <v>-</v>
      </c>
      <c r="T7" s="20">
        <v>0</v>
      </c>
      <c r="U7" s="21">
        <v>0</v>
      </c>
      <c r="V7" s="139" t="str">
        <f t="shared" ref="V7:V8" si="34">IF(U7=0,"-",T7/U7)</f>
        <v>-</v>
      </c>
      <c r="W7" s="20">
        <v>0</v>
      </c>
      <c r="X7" s="21">
        <v>0</v>
      </c>
      <c r="Y7" s="139" t="str">
        <f t="shared" ref="Y7" si="35">IF(X7=0,"-",W7/X7)</f>
        <v>-</v>
      </c>
      <c r="Z7" s="20">
        <v>0</v>
      </c>
      <c r="AA7" s="21">
        <v>0</v>
      </c>
      <c r="AB7" s="139" t="str">
        <f t="shared" ref="AB7" si="36">IF(AA7=0,"-",Z7/AA7)</f>
        <v>-</v>
      </c>
      <c r="AC7" s="20">
        <v>0</v>
      </c>
      <c r="AD7" s="21">
        <v>0</v>
      </c>
      <c r="AE7" s="139" t="str">
        <f t="shared" ref="AE7" si="37">IF(AD7=0,"-",AC7/AD7)</f>
        <v>-</v>
      </c>
      <c r="AF7" s="20">
        <v>0</v>
      </c>
      <c r="AG7" s="21">
        <v>0</v>
      </c>
      <c r="AH7" s="139" t="str">
        <f t="shared" ref="AH7" si="38">IF(AG7=0,"-",AF7/AG7)</f>
        <v>-</v>
      </c>
      <c r="AI7" s="20">
        <v>0</v>
      </c>
      <c r="AJ7" s="21">
        <v>0</v>
      </c>
      <c r="AK7" s="139" t="str">
        <f t="shared" ref="AK7" si="39">IF(AJ7=0,"-",AI7/AJ7)</f>
        <v>-</v>
      </c>
      <c r="AL7" s="23">
        <v>22</v>
      </c>
      <c r="AM7" s="21">
        <v>3</v>
      </c>
      <c r="AN7" s="122">
        <f t="shared" si="10"/>
        <v>7.333333333333333</v>
      </c>
      <c r="AO7" s="20">
        <v>0</v>
      </c>
      <c r="AP7" s="21">
        <v>0</v>
      </c>
      <c r="AQ7" s="139" t="str">
        <f t="shared" si="11"/>
        <v>-</v>
      </c>
      <c r="AR7" s="20">
        <v>0</v>
      </c>
      <c r="AS7" s="21">
        <v>0</v>
      </c>
      <c r="AT7" s="139" t="str">
        <f t="shared" si="12"/>
        <v>-</v>
      </c>
      <c r="AU7" s="20">
        <v>7</v>
      </c>
      <c r="AV7" s="21">
        <v>1</v>
      </c>
      <c r="AW7" s="122">
        <f t="shared" si="13"/>
        <v>7</v>
      </c>
      <c r="AX7" s="20">
        <v>0</v>
      </c>
      <c r="AY7" s="21">
        <v>0</v>
      </c>
      <c r="AZ7" s="139" t="str">
        <f t="shared" si="14"/>
        <v>-</v>
      </c>
      <c r="BA7" s="20">
        <v>6</v>
      </c>
      <c r="BB7" s="21">
        <v>1</v>
      </c>
      <c r="BC7" s="122">
        <f t="shared" si="15"/>
        <v>6</v>
      </c>
      <c r="BD7" s="20">
        <v>0</v>
      </c>
      <c r="BE7" s="21">
        <v>0</v>
      </c>
      <c r="BF7" s="139" t="str">
        <f t="shared" ref="BF7:BF8" si="40">IF(BE7=0,"-",BD7/BE7)</f>
        <v>-</v>
      </c>
      <c r="BG7" s="20">
        <v>0</v>
      </c>
      <c r="BH7" s="21">
        <v>0</v>
      </c>
      <c r="BI7" s="139" t="str">
        <f t="shared" ref="BI7:BI8" si="41">IF(BH7=0,"-",BG7/BH7)</f>
        <v>-</v>
      </c>
      <c r="BJ7" s="20">
        <v>0</v>
      </c>
      <c r="BK7" s="21">
        <v>0</v>
      </c>
      <c r="BL7" s="139" t="str">
        <f t="shared" ref="BL7:BL11" si="42">IF(BK7=0,"-",BJ7/BK7)</f>
        <v>-</v>
      </c>
      <c r="BM7" s="117">
        <f t="shared" si="32"/>
        <v>52</v>
      </c>
      <c r="BN7" s="120">
        <f t="shared" si="19"/>
        <v>8</v>
      </c>
      <c r="BO7" s="147">
        <f t="shared" si="20"/>
        <v>6.5</v>
      </c>
    </row>
    <row r="8" spans="1:67" ht="15" thickBot="1" x14ac:dyDescent="0.35">
      <c r="A8" s="1">
        <v>45355</v>
      </c>
      <c r="B8" s="20">
        <v>33</v>
      </c>
      <c r="C8" s="21">
        <v>4</v>
      </c>
      <c r="D8" s="122">
        <f t="shared" si="0"/>
        <v>8.25</v>
      </c>
      <c r="E8" s="20">
        <v>9</v>
      </c>
      <c r="F8" s="21">
        <v>1</v>
      </c>
      <c r="G8" s="122">
        <f t="shared" ref="G8:G32" si="43">IF(F8=0,"",E8/F8)</f>
        <v>9</v>
      </c>
      <c r="H8" s="20">
        <v>15</v>
      </c>
      <c r="I8" s="21">
        <v>2</v>
      </c>
      <c r="J8" s="122">
        <f t="shared" ref="J8:J30" si="44">IF(I8=0,"",H8/I8)</f>
        <v>7.5</v>
      </c>
      <c r="K8" s="20">
        <v>0</v>
      </c>
      <c r="L8" s="21">
        <v>0</v>
      </c>
      <c r="M8" s="139" t="str">
        <f t="shared" ref="M8" si="45">IF(L8=0,"-",K8/L8)</f>
        <v>-</v>
      </c>
      <c r="N8" s="20">
        <v>0</v>
      </c>
      <c r="O8" s="21">
        <v>0</v>
      </c>
      <c r="P8" s="139" t="str">
        <f t="shared" si="33"/>
        <v>-</v>
      </c>
      <c r="Q8" s="20">
        <v>0</v>
      </c>
      <c r="R8" s="21">
        <v>0</v>
      </c>
      <c r="S8" s="139" t="str">
        <f t="shared" si="25"/>
        <v>-</v>
      </c>
      <c r="T8" s="20">
        <v>0</v>
      </c>
      <c r="U8" s="21">
        <v>0</v>
      </c>
      <c r="V8" s="139" t="str">
        <f t="shared" si="34"/>
        <v>-</v>
      </c>
      <c r="W8" s="20">
        <v>0</v>
      </c>
      <c r="X8" s="21">
        <v>0</v>
      </c>
      <c r="Y8" s="139" t="str">
        <f t="shared" ref="Y8" si="46">IF(X8=0,"-",W8/X8)</f>
        <v>-</v>
      </c>
      <c r="Z8" s="20">
        <v>0</v>
      </c>
      <c r="AA8" s="21">
        <v>0</v>
      </c>
      <c r="AB8" s="139" t="str">
        <f t="shared" ref="AB8" si="47">IF(AA8=0,"-",Z8/AA8)</f>
        <v>-</v>
      </c>
      <c r="AC8" s="20">
        <v>0</v>
      </c>
      <c r="AD8" s="21">
        <v>0</v>
      </c>
      <c r="AE8" s="139" t="str">
        <f t="shared" ref="AE8" si="48">IF(AD8=0,"-",AC8/AD8)</f>
        <v>-</v>
      </c>
      <c r="AF8" s="20">
        <v>0</v>
      </c>
      <c r="AG8" s="21">
        <v>0</v>
      </c>
      <c r="AH8" s="139" t="str">
        <f t="shared" ref="AH8" si="49">IF(AG8=0,"-",AF8/AG8)</f>
        <v>-</v>
      </c>
      <c r="AI8" s="20">
        <v>0</v>
      </c>
      <c r="AJ8" s="21">
        <v>0</v>
      </c>
      <c r="AK8" s="139" t="str">
        <f t="shared" ref="AK8" si="50">IF(AJ8=0,"-",AI8/AJ8)</f>
        <v>-</v>
      </c>
      <c r="AL8" s="23">
        <v>7</v>
      </c>
      <c r="AM8" s="21">
        <v>1</v>
      </c>
      <c r="AN8" s="122">
        <f t="shared" si="10"/>
        <v>7</v>
      </c>
      <c r="AO8" s="20">
        <v>0</v>
      </c>
      <c r="AP8" s="21">
        <v>0</v>
      </c>
      <c r="AQ8" s="139" t="str">
        <f t="shared" ref="AQ8" si="51">IF(AP8=0,"-",AO8/AP8)</f>
        <v>-</v>
      </c>
      <c r="AR8" s="20">
        <v>15</v>
      </c>
      <c r="AS8" s="21">
        <v>2</v>
      </c>
      <c r="AT8" s="122">
        <f t="shared" ref="AT8:AT25" si="52">IF(AS8=0,"",AR8/AS8)</f>
        <v>7.5</v>
      </c>
      <c r="AU8" s="20">
        <v>0</v>
      </c>
      <c r="AV8" s="21">
        <v>0</v>
      </c>
      <c r="AW8" s="139" t="str">
        <f t="shared" ref="AW8:AW9" si="53">IF(AV8=0,"-",AU8/AV8)</f>
        <v>-</v>
      </c>
      <c r="AX8" s="20">
        <v>0</v>
      </c>
      <c r="AY8" s="21">
        <v>0</v>
      </c>
      <c r="AZ8" s="139" t="str">
        <f t="shared" ref="AZ8:AZ9" si="54">IF(AY8=0,"-",AX8/AY8)</f>
        <v>-</v>
      </c>
      <c r="BA8" s="20">
        <v>0</v>
      </c>
      <c r="BB8" s="21">
        <v>0</v>
      </c>
      <c r="BC8" s="139" t="str">
        <f t="shared" ref="BC8" si="55">IF(BB8=0,"-",BA8/BB8)</f>
        <v>-</v>
      </c>
      <c r="BD8" s="20">
        <v>0</v>
      </c>
      <c r="BE8" s="21">
        <v>0</v>
      </c>
      <c r="BF8" s="139" t="str">
        <f t="shared" si="40"/>
        <v>-</v>
      </c>
      <c r="BG8" s="20">
        <v>0</v>
      </c>
      <c r="BH8" s="21">
        <v>0</v>
      </c>
      <c r="BI8" s="139" t="str">
        <f t="shared" si="41"/>
        <v>-</v>
      </c>
      <c r="BJ8" s="20">
        <v>0</v>
      </c>
      <c r="BK8" s="21">
        <v>0</v>
      </c>
      <c r="BL8" s="139" t="str">
        <f t="shared" si="42"/>
        <v>-</v>
      </c>
      <c r="BM8" s="117">
        <f t="shared" si="32"/>
        <v>79</v>
      </c>
      <c r="BN8" s="120">
        <f t="shared" si="19"/>
        <v>10</v>
      </c>
      <c r="BO8" s="147">
        <f t="shared" si="20"/>
        <v>7.9</v>
      </c>
    </row>
    <row r="9" spans="1:67" ht="15" thickBot="1" x14ac:dyDescent="0.35">
      <c r="A9" s="1">
        <v>45356</v>
      </c>
      <c r="B9" s="20">
        <v>59</v>
      </c>
      <c r="C9" s="21">
        <v>7</v>
      </c>
      <c r="D9" s="122">
        <f t="shared" si="0"/>
        <v>8.4285714285714288</v>
      </c>
      <c r="E9" s="20">
        <v>6</v>
      </c>
      <c r="F9" s="21">
        <v>1</v>
      </c>
      <c r="G9" s="122">
        <f t="shared" si="43"/>
        <v>6</v>
      </c>
      <c r="H9" s="20">
        <v>6</v>
      </c>
      <c r="I9" s="21">
        <v>1</v>
      </c>
      <c r="J9" s="122">
        <f t="shared" si="44"/>
        <v>6</v>
      </c>
      <c r="K9" s="20">
        <v>0</v>
      </c>
      <c r="L9" s="21">
        <v>0</v>
      </c>
      <c r="M9" s="139" t="str">
        <f t="shared" ref="M9" si="56">IF(L9=0,"-",K9/L9)</f>
        <v>-</v>
      </c>
      <c r="N9" s="20">
        <v>0</v>
      </c>
      <c r="O9" s="21">
        <v>0</v>
      </c>
      <c r="P9" s="139" t="str">
        <f t="shared" ref="P9" si="57">IF(O9=0,"-",N9/O9)</f>
        <v>-</v>
      </c>
      <c r="Q9" s="20">
        <v>0</v>
      </c>
      <c r="R9" s="21">
        <v>0</v>
      </c>
      <c r="S9" s="139" t="str">
        <f t="shared" ref="S9" si="58">IF(R9=0,"-",Q9/R9)</f>
        <v>-</v>
      </c>
      <c r="T9" s="20">
        <v>0</v>
      </c>
      <c r="U9" s="21">
        <v>0</v>
      </c>
      <c r="V9" s="139" t="str">
        <f t="shared" ref="V9" si="59">IF(U9=0,"-",T9/U9)</f>
        <v>-</v>
      </c>
      <c r="W9" s="20">
        <v>0</v>
      </c>
      <c r="X9" s="21">
        <v>0</v>
      </c>
      <c r="Y9" s="139" t="str">
        <f t="shared" ref="Y9" si="60">IF(X9=0,"-",W9/X9)</f>
        <v>-</v>
      </c>
      <c r="Z9" s="20">
        <v>0</v>
      </c>
      <c r="AA9" s="21">
        <v>0</v>
      </c>
      <c r="AB9" s="139" t="str">
        <f t="shared" ref="AB9" si="61">IF(AA9=0,"-",Z9/AA9)</f>
        <v>-</v>
      </c>
      <c r="AC9" s="20">
        <v>0</v>
      </c>
      <c r="AD9" s="21">
        <v>0</v>
      </c>
      <c r="AE9" s="139" t="str">
        <f t="shared" ref="AE9" si="62">IF(AD9=0,"-",AC9/AD9)</f>
        <v>-</v>
      </c>
      <c r="AF9" s="20">
        <v>0</v>
      </c>
      <c r="AG9" s="21">
        <v>0</v>
      </c>
      <c r="AH9" s="139" t="str">
        <f t="shared" ref="AH9" si="63">IF(AG9=0,"-",AF9/AG9)</f>
        <v>-</v>
      </c>
      <c r="AI9" s="20">
        <v>0</v>
      </c>
      <c r="AJ9" s="21">
        <v>0</v>
      </c>
      <c r="AK9" s="139" t="str">
        <f t="shared" ref="AK9" si="64">IF(AJ9=0,"-",AI9/AJ9)</f>
        <v>-</v>
      </c>
      <c r="AL9" s="23">
        <v>28</v>
      </c>
      <c r="AM9" s="21">
        <v>4</v>
      </c>
      <c r="AN9" s="122">
        <f t="shared" si="10"/>
        <v>7</v>
      </c>
      <c r="AO9" s="20">
        <v>0</v>
      </c>
      <c r="AP9" s="21">
        <v>0</v>
      </c>
      <c r="AQ9" s="139" t="str">
        <f t="shared" ref="AQ9" si="65">IF(AP9=0,"-",AO9/AP9)</f>
        <v>-</v>
      </c>
      <c r="AR9" s="20">
        <v>0</v>
      </c>
      <c r="AS9" s="21">
        <v>0</v>
      </c>
      <c r="AT9" s="139" t="str">
        <f t="shared" ref="AT9" si="66">IF(AS9=0,"-",AR9/AS9)</f>
        <v>-</v>
      </c>
      <c r="AU9" s="20">
        <v>0</v>
      </c>
      <c r="AV9" s="21">
        <v>0</v>
      </c>
      <c r="AW9" s="139" t="str">
        <f t="shared" si="53"/>
        <v>-</v>
      </c>
      <c r="AX9" s="20">
        <v>0</v>
      </c>
      <c r="AY9" s="21">
        <v>0</v>
      </c>
      <c r="AZ9" s="139" t="str">
        <f t="shared" si="54"/>
        <v>-</v>
      </c>
      <c r="BA9" s="20">
        <v>14</v>
      </c>
      <c r="BB9" s="21">
        <v>2</v>
      </c>
      <c r="BC9" s="122">
        <f t="shared" si="15"/>
        <v>7</v>
      </c>
      <c r="BD9" s="20">
        <v>0</v>
      </c>
      <c r="BE9" s="21">
        <v>0</v>
      </c>
      <c r="BF9" s="139" t="str">
        <f t="shared" ref="BF9" si="67">IF(BE9=0,"-",BD9/BE9)</f>
        <v>-</v>
      </c>
      <c r="BG9" s="20">
        <v>0</v>
      </c>
      <c r="BH9" s="21">
        <v>0</v>
      </c>
      <c r="BI9" s="139" t="str">
        <f t="shared" ref="BI9" si="68">IF(BH9=0,"-",BG9/BH9)</f>
        <v>-</v>
      </c>
      <c r="BJ9" s="20">
        <v>1</v>
      </c>
      <c r="BK9" s="21">
        <v>1</v>
      </c>
      <c r="BL9" s="139">
        <f t="shared" si="42"/>
        <v>1</v>
      </c>
      <c r="BM9" s="117">
        <f t="shared" si="32"/>
        <v>114</v>
      </c>
      <c r="BN9" s="120">
        <f t="shared" si="19"/>
        <v>16</v>
      </c>
      <c r="BO9" s="147">
        <f t="shared" si="20"/>
        <v>7.125</v>
      </c>
    </row>
    <row r="10" spans="1:67" ht="15" thickBot="1" x14ac:dyDescent="0.35">
      <c r="A10" s="1">
        <v>45357</v>
      </c>
      <c r="B10" s="20">
        <v>9</v>
      </c>
      <c r="C10" s="21">
        <v>1</v>
      </c>
      <c r="D10" s="122">
        <f>IF(C10=0,"",B10/C10)</f>
        <v>9</v>
      </c>
      <c r="E10" s="20">
        <v>15</v>
      </c>
      <c r="F10" s="21">
        <v>2</v>
      </c>
      <c r="G10" s="122">
        <f t="shared" si="43"/>
        <v>7.5</v>
      </c>
      <c r="H10" s="20">
        <v>0</v>
      </c>
      <c r="I10" s="21">
        <v>0</v>
      </c>
      <c r="J10" s="139" t="str">
        <f t="shared" ref="J10" si="69">IF(I10=0,"-",H10/I10)</f>
        <v>-</v>
      </c>
      <c r="K10" s="20">
        <v>0</v>
      </c>
      <c r="L10" s="21">
        <v>0</v>
      </c>
      <c r="M10" s="139" t="str">
        <f t="shared" ref="M10" si="70">IF(L10=0,"-",K10/L10)</f>
        <v>-</v>
      </c>
      <c r="N10" s="23">
        <v>28</v>
      </c>
      <c r="O10" s="21">
        <v>5</v>
      </c>
      <c r="P10" s="122">
        <f t="shared" si="2"/>
        <v>5.6</v>
      </c>
      <c r="Q10" s="20">
        <v>0</v>
      </c>
      <c r="R10" s="21">
        <v>0</v>
      </c>
      <c r="S10" s="139" t="str">
        <f t="shared" ref="S10" si="71">IF(R10=0,"-",Q10/R10)</f>
        <v>-</v>
      </c>
      <c r="T10" s="20">
        <v>0</v>
      </c>
      <c r="U10" s="21">
        <v>0</v>
      </c>
      <c r="V10" s="139" t="str">
        <f t="shared" ref="V10" si="72">IF(U10=0,"-",T10/U10)</f>
        <v>-</v>
      </c>
      <c r="W10" s="20">
        <v>0</v>
      </c>
      <c r="X10" s="21">
        <v>0</v>
      </c>
      <c r="Y10" s="139" t="str">
        <f t="shared" ref="Y10" si="73">IF(X10=0,"-",W10/X10)</f>
        <v>-</v>
      </c>
      <c r="Z10" s="20">
        <v>0</v>
      </c>
      <c r="AA10" s="21">
        <v>0</v>
      </c>
      <c r="AB10" s="139" t="str">
        <f t="shared" ref="AB10" si="74">IF(AA10=0,"-",Z10/AA10)</f>
        <v>-</v>
      </c>
      <c r="AC10" s="20">
        <v>0</v>
      </c>
      <c r="AD10" s="21">
        <v>0</v>
      </c>
      <c r="AE10" s="139" t="str">
        <f t="shared" ref="AE10" si="75">IF(AD10=0,"-",AC10/AD10)</f>
        <v>-</v>
      </c>
      <c r="AF10" s="20">
        <v>0</v>
      </c>
      <c r="AG10" s="21">
        <v>0</v>
      </c>
      <c r="AH10" s="139" t="str">
        <f t="shared" ref="AH10" si="76">IF(AG10=0,"-",AF10/AG10)</f>
        <v>-</v>
      </c>
      <c r="AI10" s="20">
        <v>0</v>
      </c>
      <c r="AJ10" s="21">
        <v>0</v>
      </c>
      <c r="AK10" s="139" t="str">
        <f t="shared" ref="AK10" si="77">IF(AJ10=0,"-",AI10/AJ10)</f>
        <v>-</v>
      </c>
      <c r="AL10" s="20">
        <v>0</v>
      </c>
      <c r="AM10" s="21">
        <v>0</v>
      </c>
      <c r="AN10" s="139" t="str">
        <f t="shared" ref="AN10" si="78">IF(AM10=0,"-",AL10/AM10)</f>
        <v>-</v>
      </c>
      <c r="AO10" s="20">
        <v>0</v>
      </c>
      <c r="AP10" s="21">
        <v>0</v>
      </c>
      <c r="AQ10" s="139" t="str">
        <f t="shared" ref="AQ10" si="79">IF(AP10=0,"-",AO10/AP10)</f>
        <v>-</v>
      </c>
      <c r="AR10" s="20">
        <v>0</v>
      </c>
      <c r="AS10" s="21">
        <v>0</v>
      </c>
      <c r="AT10" s="139" t="str">
        <f t="shared" ref="AT10:AT11" si="80">IF(AS10=0,"-",AR10/AS10)</f>
        <v>-</v>
      </c>
      <c r="AU10" s="20">
        <v>7</v>
      </c>
      <c r="AV10" s="21">
        <v>1</v>
      </c>
      <c r="AW10" s="122">
        <f t="shared" si="13"/>
        <v>7</v>
      </c>
      <c r="AX10" s="20">
        <v>0</v>
      </c>
      <c r="AY10" s="21">
        <v>0</v>
      </c>
      <c r="AZ10" s="139" t="str">
        <f t="shared" ref="AZ10:AZ11" si="81">IF(AY10=0,"-",AX10/AY10)</f>
        <v>-</v>
      </c>
      <c r="BA10" s="20">
        <v>14</v>
      </c>
      <c r="BB10" s="21">
        <v>2</v>
      </c>
      <c r="BC10" s="122">
        <f t="shared" si="15"/>
        <v>7</v>
      </c>
      <c r="BD10" s="20">
        <v>0</v>
      </c>
      <c r="BE10" s="21">
        <v>0</v>
      </c>
      <c r="BF10" s="139" t="str">
        <f t="shared" ref="BF10:BF11" si="82">IF(BE10=0,"-",BD10/BE10)</f>
        <v>-</v>
      </c>
      <c r="BG10" s="20">
        <v>0</v>
      </c>
      <c r="BH10" s="21">
        <v>0</v>
      </c>
      <c r="BI10" s="139" t="str">
        <f t="shared" ref="BI10:BI11" si="83">IF(BH10=0,"-",BG10/BH10)</f>
        <v>-</v>
      </c>
      <c r="BJ10" s="20">
        <v>0</v>
      </c>
      <c r="BK10" s="21">
        <v>0</v>
      </c>
      <c r="BL10" s="139" t="str">
        <f t="shared" si="42"/>
        <v>-</v>
      </c>
      <c r="BM10" s="117">
        <f t="shared" si="32"/>
        <v>73</v>
      </c>
      <c r="BN10" s="120">
        <f t="shared" si="19"/>
        <v>11</v>
      </c>
      <c r="BO10" s="147">
        <f t="shared" si="20"/>
        <v>6.6363636363636367</v>
      </c>
    </row>
    <row r="11" spans="1:67" ht="15" thickBot="1" x14ac:dyDescent="0.35">
      <c r="A11" s="1">
        <v>45358</v>
      </c>
      <c r="B11" s="20">
        <v>40</v>
      </c>
      <c r="C11" s="21">
        <v>2</v>
      </c>
      <c r="D11" s="122">
        <f t="shared" si="0"/>
        <v>20</v>
      </c>
      <c r="E11" s="20">
        <v>11</v>
      </c>
      <c r="F11" s="21">
        <v>3</v>
      </c>
      <c r="G11" s="122">
        <f t="shared" si="43"/>
        <v>3.6666666666666665</v>
      </c>
      <c r="H11" s="20">
        <v>0</v>
      </c>
      <c r="I11" s="21">
        <v>0</v>
      </c>
      <c r="J11" s="139" t="str">
        <f t="shared" ref="J11" si="84">IF(I11=0,"-",H11/I11)</f>
        <v>-</v>
      </c>
      <c r="K11" s="20">
        <v>0</v>
      </c>
      <c r="L11" s="21">
        <v>0</v>
      </c>
      <c r="M11" s="139" t="str">
        <f t="shared" ref="M11" si="85">IF(L11=0,"-",K11/L11)</f>
        <v>-</v>
      </c>
      <c r="N11" s="20">
        <v>17</v>
      </c>
      <c r="O11" s="21">
        <v>3</v>
      </c>
      <c r="P11" s="122">
        <f t="shared" si="2"/>
        <v>5.666666666666667</v>
      </c>
      <c r="Q11" s="20">
        <v>0</v>
      </c>
      <c r="R11" s="21">
        <v>0</v>
      </c>
      <c r="S11" s="139" t="str">
        <f t="shared" ref="S11" si="86">IF(R11=0,"-",Q11/R11)</f>
        <v>-</v>
      </c>
      <c r="T11" s="20">
        <v>0</v>
      </c>
      <c r="U11" s="21">
        <v>0</v>
      </c>
      <c r="V11" s="139" t="str">
        <f t="shared" ref="V11" si="87">IF(U11=0,"-",T11/U11)</f>
        <v>-</v>
      </c>
      <c r="W11" s="20">
        <v>1</v>
      </c>
      <c r="X11" s="21">
        <v>1</v>
      </c>
      <c r="Y11" s="122">
        <f t="shared" ref="Y11:Y32" si="88">IF(X11=0,"",W11/X11)</f>
        <v>1</v>
      </c>
      <c r="Z11" s="20">
        <v>0</v>
      </c>
      <c r="AA11" s="21">
        <v>0</v>
      </c>
      <c r="AB11" s="139" t="str">
        <f t="shared" ref="AB11:AB14" si="89">IF(AA11=0,"-",Z11/AA11)</f>
        <v>-</v>
      </c>
      <c r="AC11" s="20">
        <v>3</v>
      </c>
      <c r="AD11" s="21">
        <v>2</v>
      </c>
      <c r="AE11" s="122">
        <f t="shared" si="7"/>
        <v>1.5</v>
      </c>
      <c r="AF11" s="20">
        <v>0</v>
      </c>
      <c r="AG11" s="21">
        <v>0</v>
      </c>
      <c r="AH11" s="139" t="str">
        <f t="shared" ref="AH11:AH14" si="90">IF(AG11=0,"-",AF11/AG11)</f>
        <v>-</v>
      </c>
      <c r="AI11" s="20">
        <v>4</v>
      </c>
      <c r="AJ11" s="21">
        <v>2</v>
      </c>
      <c r="AK11" s="122">
        <f t="shared" ref="AK11:AK31" si="91">IF(AJ11=0,"",AI11/AJ11)</f>
        <v>2</v>
      </c>
      <c r="AL11" s="23">
        <v>27</v>
      </c>
      <c r="AM11" s="21">
        <v>4</v>
      </c>
      <c r="AN11" s="122">
        <f t="shared" si="10"/>
        <v>6.75</v>
      </c>
      <c r="AO11" s="20">
        <v>0</v>
      </c>
      <c r="AP11" s="21">
        <v>0</v>
      </c>
      <c r="AQ11" s="139" t="str">
        <f t="shared" ref="AQ11" si="92">IF(AP11=0,"-",AO11/AP11)</f>
        <v>-</v>
      </c>
      <c r="AR11" s="20">
        <v>0</v>
      </c>
      <c r="AS11" s="21">
        <v>0</v>
      </c>
      <c r="AT11" s="139" t="str">
        <f t="shared" si="80"/>
        <v>-</v>
      </c>
      <c r="AU11" s="20">
        <v>0</v>
      </c>
      <c r="AV11" s="21">
        <v>0</v>
      </c>
      <c r="AW11" s="139" t="str">
        <f t="shared" ref="AW11" si="93">IF(AV11=0,"-",AU11/AV11)</f>
        <v>-</v>
      </c>
      <c r="AX11" s="20">
        <v>0</v>
      </c>
      <c r="AY11" s="21">
        <v>0</v>
      </c>
      <c r="AZ11" s="139" t="str">
        <f t="shared" si="81"/>
        <v>-</v>
      </c>
      <c r="BA11" s="20">
        <v>0</v>
      </c>
      <c r="BB11" s="21">
        <v>0</v>
      </c>
      <c r="BC11" s="139" t="str">
        <f t="shared" ref="BC11" si="94">IF(BB11=0,"-",BA11/BB11)</f>
        <v>-</v>
      </c>
      <c r="BD11" s="20">
        <v>0</v>
      </c>
      <c r="BE11" s="21">
        <v>0</v>
      </c>
      <c r="BF11" s="139" t="str">
        <f t="shared" si="82"/>
        <v>-</v>
      </c>
      <c r="BG11" s="20">
        <v>0</v>
      </c>
      <c r="BH11" s="21">
        <v>0</v>
      </c>
      <c r="BI11" s="139" t="str">
        <f t="shared" si="83"/>
        <v>-</v>
      </c>
      <c r="BJ11" s="20">
        <v>0</v>
      </c>
      <c r="BK11" s="21">
        <v>0</v>
      </c>
      <c r="BL11" s="139" t="str">
        <f t="shared" si="42"/>
        <v>-</v>
      </c>
      <c r="BM11" s="117">
        <f t="shared" si="32"/>
        <v>103</v>
      </c>
      <c r="BN11" s="120">
        <f t="shared" si="19"/>
        <v>17</v>
      </c>
      <c r="BO11" s="147">
        <f t="shared" si="20"/>
        <v>6.0588235294117645</v>
      </c>
    </row>
    <row r="12" spans="1:67" ht="15" thickBot="1" x14ac:dyDescent="0.35">
      <c r="A12" s="1">
        <v>45359</v>
      </c>
      <c r="B12" s="20">
        <v>17</v>
      </c>
      <c r="C12" s="21">
        <v>2</v>
      </c>
      <c r="D12" s="122">
        <f t="shared" si="0"/>
        <v>8.5</v>
      </c>
      <c r="E12" s="20">
        <v>0</v>
      </c>
      <c r="F12" s="21">
        <v>0</v>
      </c>
      <c r="G12" s="139" t="str">
        <f t="shared" ref="G12:G13" si="95">IF(F12=0,"-",E12/F12)</f>
        <v>-</v>
      </c>
      <c r="H12" s="20">
        <v>16</v>
      </c>
      <c r="I12" s="21">
        <v>2</v>
      </c>
      <c r="J12" s="122">
        <f t="shared" si="44"/>
        <v>8</v>
      </c>
      <c r="K12" s="20">
        <v>0</v>
      </c>
      <c r="L12" s="21">
        <v>0</v>
      </c>
      <c r="M12" s="139" t="str">
        <f t="shared" ref="M12" si="96">IF(L12=0,"-",K12/L12)</f>
        <v>-</v>
      </c>
      <c r="N12" s="23">
        <v>42</v>
      </c>
      <c r="O12" s="21">
        <v>9</v>
      </c>
      <c r="P12" s="122">
        <f t="shared" si="2"/>
        <v>4.666666666666667</v>
      </c>
      <c r="Q12" s="20">
        <v>38</v>
      </c>
      <c r="R12" s="21">
        <v>7</v>
      </c>
      <c r="S12" s="122">
        <f t="shared" si="3"/>
        <v>5.4285714285714288</v>
      </c>
      <c r="T12" s="20">
        <v>0</v>
      </c>
      <c r="U12" s="21">
        <v>0</v>
      </c>
      <c r="V12" s="139" t="str">
        <f t="shared" ref="V12" si="97">IF(U12=0,"-",T12/U12)</f>
        <v>-</v>
      </c>
      <c r="W12" s="20">
        <v>0</v>
      </c>
      <c r="X12" s="21">
        <v>0</v>
      </c>
      <c r="Y12" s="139" t="str">
        <f t="shared" ref="Y12:Y14" si="98">IF(X12=0,"-",W12/X12)</f>
        <v>-</v>
      </c>
      <c r="Z12" s="20">
        <v>0</v>
      </c>
      <c r="AA12" s="21">
        <v>0</v>
      </c>
      <c r="AB12" s="139" t="str">
        <f t="shared" si="89"/>
        <v>-</v>
      </c>
      <c r="AC12" s="20">
        <v>0</v>
      </c>
      <c r="AD12" s="21">
        <v>0</v>
      </c>
      <c r="AE12" s="139" t="str">
        <f t="shared" ref="AE12:AE14" si="99">IF(AD12=0,"-",AC12/AD12)</f>
        <v>-</v>
      </c>
      <c r="AF12" s="20">
        <v>0</v>
      </c>
      <c r="AG12" s="21">
        <v>0</v>
      </c>
      <c r="AH12" s="139" t="str">
        <f t="shared" si="90"/>
        <v>-</v>
      </c>
      <c r="AI12" s="20">
        <v>0</v>
      </c>
      <c r="AJ12" s="21">
        <v>0</v>
      </c>
      <c r="AK12" s="139" t="str">
        <f t="shared" ref="AK12:AK14" si="100">IF(AJ12=0,"-",AI12/AJ12)</f>
        <v>-</v>
      </c>
      <c r="AL12" s="20">
        <v>43</v>
      </c>
      <c r="AM12" s="21">
        <v>6</v>
      </c>
      <c r="AN12" s="122">
        <f t="shared" si="10"/>
        <v>7.166666666666667</v>
      </c>
      <c r="AO12" s="20">
        <v>0</v>
      </c>
      <c r="AP12" s="21">
        <v>0</v>
      </c>
      <c r="AQ12" s="139" t="str">
        <f t="shared" ref="AQ12:AQ14" si="101">IF(AP12=0,"-",AO12/AP12)</f>
        <v>-</v>
      </c>
      <c r="AR12" s="20">
        <v>0</v>
      </c>
      <c r="AS12" s="21">
        <v>0</v>
      </c>
      <c r="AT12" s="139" t="str">
        <f t="shared" ref="AT12:AT14" si="102">IF(AS12=0,"-",AR12/AS12)</f>
        <v>-</v>
      </c>
      <c r="AU12" s="20">
        <v>0</v>
      </c>
      <c r="AV12" s="21">
        <v>0</v>
      </c>
      <c r="AW12" s="139" t="str">
        <f t="shared" ref="AW12:AW13" si="103">IF(AV12=0,"-",AU12/AV12)</f>
        <v>-</v>
      </c>
      <c r="AX12" s="20">
        <v>0</v>
      </c>
      <c r="AY12" s="21">
        <v>0</v>
      </c>
      <c r="AZ12" s="139" t="str">
        <f t="shared" ref="AZ12:AZ15" si="104">IF(AY12=0,"-",AX12/AY12)</f>
        <v>-</v>
      </c>
      <c r="BA12" s="20">
        <v>0</v>
      </c>
      <c r="BB12" s="21">
        <v>0</v>
      </c>
      <c r="BC12" s="139" t="str">
        <f t="shared" ref="BC12" si="105">IF(BB12=0,"-",BA12/BB12)</f>
        <v>-</v>
      </c>
      <c r="BD12" s="20">
        <v>0</v>
      </c>
      <c r="BE12" s="21">
        <v>0</v>
      </c>
      <c r="BF12" s="139" t="str">
        <f t="shared" ref="BF12" si="106">IF(BE12=0,"-",BD12/BE12)</f>
        <v>-</v>
      </c>
      <c r="BG12" s="20">
        <v>0</v>
      </c>
      <c r="BH12" s="21">
        <v>0</v>
      </c>
      <c r="BI12" s="139" t="str">
        <f t="shared" ref="BI12" si="107">IF(BH12=0,"-",BG12/BH12)</f>
        <v>-</v>
      </c>
      <c r="BJ12" s="20">
        <v>0</v>
      </c>
      <c r="BK12" s="21">
        <v>0</v>
      </c>
      <c r="BL12" s="139" t="str">
        <f t="shared" ref="BL12" si="108">IF(BK12=0,"-",BJ12/BK12)</f>
        <v>-</v>
      </c>
      <c r="BM12" s="117">
        <f t="shared" si="32"/>
        <v>156</v>
      </c>
      <c r="BN12" s="120">
        <f t="shared" si="19"/>
        <v>26</v>
      </c>
      <c r="BO12" s="147">
        <f t="shared" si="20"/>
        <v>6</v>
      </c>
    </row>
    <row r="13" spans="1:67" ht="15" thickBot="1" x14ac:dyDescent="0.35">
      <c r="A13" s="1">
        <v>45360</v>
      </c>
      <c r="B13" s="20">
        <v>0</v>
      </c>
      <c r="C13" s="21">
        <v>0</v>
      </c>
      <c r="D13" s="139" t="str">
        <f t="shared" ref="D13" si="109">IF(C13=0,"-",B13/C13)</f>
        <v>-</v>
      </c>
      <c r="E13" s="20">
        <v>0</v>
      </c>
      <c r="F13" s="21">
        <v>0</v>
      </c>
      <c r="G13" s="139" t="str">
        <f t="shared" si="95"/>
        <v>-</v>
      </c>
      <c r="H13" s="20">
        <v>0</v>
      </c>
      <c r="I13" s="21">
        <v>0</v>
      </c>
      <c r="J13" s="139" t="str">
        <f t="shared" ref="J13" si="110">IF(I13=0,"-",H13/I13)</f>
        <v>-</v>
      </c>
      <c r="K13" s="20">
        <v>0</v>
      </c>
      <c r="L13" s="21">
        <v>0</v>
      </c>
      <c r="M13" s="139" t="str">
        <f t="shared" ref="M13" si="111">IF(L13=0,"-",K13/L13)</f>
        <v>-</v>
      </c>
      <c r="N13" s="20">
        <v>0</v>
      </c>
      <c r="O13" s="21">
        <v>0</v>
      </c>
      <c r="P13" s="139" t="str">
        <f t="shared" ref="P13" si="112">IF(O13=0,"-",N13/O13)</f>
        <v>-</v>
      </c>
      <c r="Q13" s="20">
        <v>0</v>
      </c>
      <c r="R13" s="21">
        <v>0</v>
      </c>
      <c r="S13" s="139" t="str">
        <f t="shared" ref="S13" si="113">IF(R13=0,"-",Q13/R13)</f>
        <v>-</v>
      </c>
      <c r="T13" s="20">
        <v>0</v>
      </c>
      <c r="U13" s="21">
        <v>0</v>
      </c>
      <c r="V13" s="139" t="str">
        <f t="shared" ref="V13" si="114">IF(U13=0,"-",T13/U13)</f>
        <v>-</v>
      </c>
      <c r="W13" s="20">
        <v>0</v>
      </c>
      <c r="X13" s="21">
        <v>0</v>
      </c>
      <c r="Y13" s="139" t="str">
        <f t="shared" si="98"/>
        <v>-</v>
      </c>
      <c r="Z13" s="20">
        <v>0</v>
      </c>
      <c r="AA13" s="21">
        <v>0</v>
      </c>
      <c r="AB13" s="139" t="str">
        <f t="shared" si="89"/>
        <v>-</v>
      </c>
      <c r="AC13" s="20">
        <v>0</v>
      </c>
      <c r="AD13" s="21">
        <v>0</v>
      </c>
      <c r="AE13" s="139" t="str">
        <f t="shared" si="99"/>
        <v>-</v>
      </c>
      <c r="AF13" s="20">
        <v>0</v>
      </c>
      <c r="AG13" s="21">
        <v>0</v>
      </c>
      <c r="AH13" s="139" t="str">
        <f t="shared" si="90"/>
        <v>-</v>
      </c>
      <c r="AI13" s="20">
        <v>0</v>
      </c>
      <c r="AJ13" s="21">
        <v>0</v>
      </c>
      <c r="AK13" s="139" t="str">
        <f t="shared" si="100"/>
        <v>-</v>
      </c>
      <c r="AL13" s="23">
        <v>7</v>
      </c>
      <c r="AM13" s="21">
        <v>1</v>
      </c>
      <c r="AN13" s="122">
        <f t="shared" si="10"/>
        <v>7</v>
      </c>
      <c r="AO13" s="20">
        <v>0</v>
      </c>
      <c r="AP13" s="21">
        <v>0</v>
      </c>
      <c r="AQ13" s="139" t="str">
        <f t="shared" si="101"/>
        <v>-</v>
      </c>
      <c r="AR13" s="20">
        <v>0</v>
      </c>
      <c r="AS13" s="21">
        <v>0</v>
      </c>
      <c r="AT13" s="139" t="str">
        <f t="shared" si="102"/>
        <v>-</v>
      </c>
      <c r="AU13" s="20">
        <v>0</v>
      </c>
      <c r="AV13" s="21">
        <v>0</v>
      </c>
      <c r="AW13" s="139" t="str">
        <f t="shared" si="103"/>
        <v>-</v>
      </c>
      <c r="AX13" s="20">
        <v>0</v>
      </c>
      <c r="AY13" s="21">
        <v>0</v>
      </c>
      <c r="AZ13" s="139" t="str">
        <f t="shared" si="104"/>
        <v>-</v>
      </c>
      <c r="BA13" s="20">
        <v>7</v>
      </c>
      <c r="BB13" s="21">
        <v>1</v>
      </c>
      <c r="BC13" s="122">
        <f t="shared" si="15"/>
        <v>7</v>
      </c>
      <c r="BD13" s="20">
        <v>0</v>
      </c>
      <c r="BE13" s="21">
        <v>0</v>
      </c>
      <c r="BF13" s="139" t="str">
        <f t="shared" ref="BF13:BF14" si="115">IF(BE13=0,"-",BD13/BE13)</f>
        <v>-</v>
      </c>
      <c r="BG13" s="20">
        <v>0</v>
      </c>
      <c r="BH13" s="21">
        <v>0</v>
      </c>
      <c r="BI13" s="139" t="str">
        <f t="shared" ref="BI13:BI14" si="116">IF(BH13=0,"-",BG13/BH13)</f>
        <v>-</v>
      </c>
      <c r="BJ13" s="20">
        <v>0</v>
      </c>
      <c r="BK13" s="21">
        <v>0</v>
      </c>
      <c r="BL13" s="139" t="str">
        <f t="shared" ref="BL13:BL14" si="117">IF(BK13=0,"-",BJ13/BK13)</f>
        <v>-</v>
      </c>
      <c r="BM13" s="117">
        <f t="shared" si="32"/>
        <v>14</v>
      </c>
      <c r="BN13" s="120">
        <f t="shared" si="19"/>
        <v>2</v>
      </c>
      <c r="BO13" s="147">
        <f t="shared" si="20"/>
        <v>7</v>
      </c>
    </row>
    <row r="14" spans="1:67" ht="15" thickBot="1" x14ac:dyDescent="0.35">
      <c r="A14" s="1">
        <v>45361</v>
      </c>
      <c r="B14" s="20">
        <v>0</v>
      </c>
      <c r="C14" s="21">
        <v>0</v>
      </c>
      <c r="D14" s="139" t="str">
        <f t="shared" ref="D14" si="118">IF(C14=0,"-",B14/C14)</f>
        <v>-</v>
      </c>
      <c r="E14" s="20">
        <v>0</v>
      </c>
      <c r="F14" s="21">
        <v>0</v>
      </c>
      <c r="G14" s="139" t="str">
        <f t="shared" ref="G14" si="119">IF(F14=0,"-",E14/F14)</f>
        <v>-</v>
      </c>
      <c r="H14" s="20">
        <v>0</v>
      </c>
      <c r="I14" s="21">
        <v>0</v>
      </c>
      <c r="J14" s="139" t="str">
        <f t="shared" ref="J14" si="120">IF(I14=0,"-",H14/I14)</f>
        <v>-</v>
      </c>
      <c r="K14" s="20">
        <v>0</v>
      </c>
      <c r="L14" s="21">
        <v>0</v>
      </c>
      <c r="M14" s="139" t="str">
        <f t="shared" ref="M14" si="121">IF(L14=0,"-",K14/L14)</f>
        <v>-</v>
      </c>
      <c r="N14" s="20">
        <v>0</v>
      </c>
      <c r="O14" s="21">
        <v>0</v>
      </c>
      <c r="P14" s="139" t="str">
        <f t="shared" ref="P14" si="122">IF(O14=0,"-",N14/O14)</f>
        <v>-</v>
      </c>
      <c r="Q14" s="20">
        <v>0</v>
      </c>
      <c r="R14" s="21">
        <v>0</v>
      </c>
      <c r="S14" s="139" t="str">
        <f t="shared" ref="S14" si="123">IF(R14=0,"-",Q14/R14)</f>
        <v>-</v>
      </c>
      <c r="T14" s="20">
        <v>0</v>
      </c>
      <c r="U14" s="21">
        <v>0</v>
      </c>
      <c r="V14" s="139" t="str">
        <f t="shared" ref="V14" si="124">IF(U14=0,"-",T14/U14)</f>
        <v>-</v>
      </c>
      <c r="W14" s="20">
        <v>0</v>
      </c>
      <c r="X14" s="21">
        <v>0</v>
      </c>
      <c r="Y14" s="139" t="str">
        <f t="shared" si="98"/>
        <v>-</v>
      </c>
      <c r="Z14" s="20">
        <v>0</v>
      </c>
      <c r="AA14" s="21">
        <v>0</v>
      </c>
      <c r="AB14" s="139" t="str">
        <f t="shared" si="89"/>
        <v>-</v>
      </c>
      <c r="AC14" s="20">
        <v>0</v>
      </c>
      <c r="AD14" s="21">
        <v>0</v>
      </c>
      <c r="AE14" s="139" t="str">
        <f t="shared" si="99"/>
        <v>-</v>
      </c>
      <c r="AF14" s="20">
        <v>0</v>
      </c>
      <c r="AG14" s="21">
        <v>0</v>
      </c>
      <c r="AH14" s="139" t="str">
        <f t="shared" si="90"/>
        <v>-</v>
      </c>
      <c r="AI14" s="20">
        <v>0</v>
      </c>
      <c r="AJ14" s="21">
        <v>0</v>
      </c>
      <c r="AK14" s="139" t="str">
        <f t="shared" si="100"/>
        <v>-</v>
      </c>
      <c r="AL14" s="23">
        <v>7</v>
      </c>
      <c r="AM14" s="21">
        <v>1</v>
      </c>
      <c r="AN14" s="122">
        <f t="shared" si="10"/>
        <v>7</v>
      </c>
      <c r="AO14" s="20">
        <v>0</v>
      </c>
      <c r="AP14" s="21">
        <v>0</v>
      </c>
      <c r="AQ14" s="139" t="str">
        <f t="shared" si="101"/>
        <v>-</v>
      </c>
      <c r="AR14" s="20">
        <v>0</v>
      </c>
      <c r="AS14" s="21">
        <v>0</v>
      </c>
      <c r="AT14" s="139" t="str">
        <f t="shared" si="102"/>
        <v>-</v>
      </c>
      <c r="AU14" s="20">
        <v>7</v>
      </c>
      <c r="AV14" s="21">
        <v>1</v>
      </c>
      <c r="AW14" s="122">
        <f t="shared" si="13"/>
        <v>7</v>
      </c>
      <c r="AX14" s="20">
        <v>0</v>
      </c>
      <c r="AY14" s="21">
        <v>0</v>
      </c>
      <c r="AZ14" s="139" t="str">
        <f t="shared" si="104"/>
        <v>-</v>
      </c>
      <c r="BA14" s="20">
        <v>6</v>
      </c>
      <c r="BB14" s="21">
        <v>1</v>
      </c>
      <c r="BC14" s="122">
        <f t="shared" si="15"/>
        <v>6</v>
      </c>
      <c r="BD14" s="20">
        <v>0</v>
      </c>
      <c r="BE14" s="21">
        <v>0</v>
      </c>
      <c r="BF14" s="139" t="str">
        <f t="shared" si="115"/>
        <v>-</v>
      </c>
      <c r="BG14" s="20">
        <v>0</v>
      </c>
      <c r="BH14" s="21">
        <v>0</v>
      </c>
      <c r="BI14" s="139" t="str">
        <f t="shared" si="116"/>
        <v>-</v>
      </c>
      <c r="BJ14" s="20">
        <v>0</v>
      </c>
      <c r="BK14" s="21">
        <v>0</v>
      </c>
      <c r="BL14" s="139" t="str">
        <f t="shared" si="117"/>
        <v>-</v>
      </c>
      <c r="BM14" s="117">
        <f t="shared" si="32"/>
        <v>20</v>
      </c>
      <c r="BN14" s="120">
        <f t="shared" si="19"/>
        <v>3</v>
      </c>
      <c r="BO14" s="147">
        <f t="shared" si="20"/>
        <v>6.666666666666667</v>
      </c>
    </row>
    <row r="15" spans="1:67" ht="15" thickBot="1" x14ac:dyDescent="0.35">
      <c r="A15" s="1">
        <v>45362</v>
      </c>
      <c r="B15" s="20">
        <v>15</v>
      </c>
      <c r="C15" s="21">
        <v>2</v>
      </c>
      <c r="D15" s="122">
        <f t="shared" si="0"/>
        <v>7.5</v>
      </c>
      <c r="E15" s="23">
        <v>5</v>
      </c>
      <c r="F15" s="21">
        <v>1</v>
      </c>
      <c r="G15" s="122">
        <f t="shared" si="43"/>
        <v>5</v>
      </c>
      <c r="H15" s="20">
        <v>0</v>
      </c>
      <c r="I15" s="21">
        <v>0</v>
      </c>
      <c r="J15" s="139" t="str">
        <f t="shared" ref="J15" si="125">IF(I15=0,"-",H15/I15)</f>
        <v>-</v>
      </c>
      <c r="K15" s="20">
        <v>0</v>
      </c>
      <c r="L15" s="21">
        <v>0</v>
      </c>
      <c r="M15" s="139" t="str">
        <f t="shared" ref="M15" si="126">IF(L15=0,"-",K15/L15)</f>
        <v>-</v>
      </c>
      <c r="N15" s="20">
        <v>5</v>
      </c>
      <c r="O15" s="21">
        <v>1</v>
      </c>
      <c r="P15" s="122">
        <f t="shared" si="2"/>
        <v>5</v>
      </c>
      <c r="Q15" s="20">
        <v>593</v>
      </c>
      <c r="R15" s="21">
        <v>80</v>
      </c>
      <c r="S15" s="139">
        <f t="shared" ref="S15:S16" si="127">IF(R15=0,"-",Q15/R15)</f>
        <v>7.4124999999999996</v>
      </c>
      <c r="T15" s="125">
        <v>12</v>
      </c>
      <c r="U15" s="126">
        <v>2</v>
      </c>
      <c r="V15" s="122">
        <f t="shared" si="26"/>
        <v>6</v>
      </c>
      <c r="W15" s="20">
        <v>0</v>
      </c>
      <c r="X15" s="21">
        <v>0</v>
      </c>
      <c r="Y15" s="139" t="str">
        <f t="shared" ref="Y15" si="128">IF(X15=0,"-",W15/X15)</f>
        <v>-</v>
      </c>
      <c r="Z15" s="20">
        <v>0</v>
      </c>
      <c r="AA15" s="21">
        <v>0</v>
      </c>
      <c r="AB15" s="139" t="str">
        <f t="shared" ref="AB15" si="129">IF(AA15=0,"-",Z15/AA15)</f>
        <v>-</v>
      </c>
      <c r="AC15" s="20">
        <v>0</v>
      </c>
      <c r="AD15" s="21">
        <v>0</v>
      </c>
      <c r="AE15" s="139" t="str">
        <f t="shared" ref="AE15" si="130">IF(AD15=0,"-",AC15/AD15)</f>
        <v>-</v>
      </c>
      <c r="AF15" s="20">
        <v>0</v>
      </c>
      <c r="AG15" s="21">
        <v>0</v>
      </c>
      <c r="AH15" s="139" t="str">
        <f t="shared" ref="AH15" si="131">IF(AG15=0,"-",AF15/AG15)</f>
        <v>-</v>
      </c>
      <c r="AI15" s="20">
        <v>0</v>
      </c>
      <c r="AJ15" s="21">
        <v>0</v>
      </c>
      <c r="AK15" s="139" t="str">
        <f t="shared" ref="AK15" si="132">IF(AJ15=0,"-",AI15/AJ15)</f>
        <v>-</v>
      </c>
      <c r="AL15" s="23">
        <v>7</v>
      </c>
      <c r="AM15" s="21">
        <v>1</v>
      </c>
      <c r="AN15" s="122">
        <f t="shared" si="10"/>
        <v>7</v>
      </c>
      <c r="AO15" s="20">
        <v>0</v>
      </c>
      <c r="AP15" s="21">
        <v>0</v>
      </c>
      <c r="AQ15" s="139" t="str">
        <f t="shared" ref="AQ15" si="133">IF(AP15=0,"-",AO15/AP15)</f>
        <v>-</v>
      </c>
      <c r="AR15" s="20">
        <v>0</v>
      </c>
      <c r="AS15" s="21">
        <v>0</v>
      </c>
      <c r="AT15" s="139" t="str">
        <f t="shared" ref="AT15" si="134">IF(AS15=0,"-",AR15/AS15)</f>
        <v>-</v>
      </c>
      <c r="AU15" s="20">
        <v>0</v>
      </c>
      <c r="AV15" s="21">
        <v>0</v>
      </c>
      <c r="AW15" s="139" t="str">
        <f t="shared" ref="AW15" si="135">IF(AV15=0,"-",AU15/AV15)</f>
        <v>-</v>
      </c>
      <c r="AX15" s="20">
        <v>0</v>
      </c>
      <c r="AY15" s="21">
        <v>0</v>
      </c>
      <c r="AZ15" s="139" t="str">
        <f t="shared" si="104"/>
        <v>-</v>
      </c>
      <c r="BA15" s="20">
        <v>7</v>
      </c>
      <c r="BB15" s="21">
        <v>1</v>
      </c>
      <c r="BC15" s="122">
        <f t="shared" si="15"/>
        <v>7</v>
      </c>
      <c r="BD15" s="20">
        <v>0</v>
      </c>
      <c r="BE15" s="21">
        <v>0</v>
      </c>
      <c r="BF15" s="139" t="str">
        <f t="shared" ref="BF15" si="136">IF(BE15=0,"-",BD15/BE15)</f>
        <v>-</v>
      </c>
      <c r="BG15" s="20">
        <v>0</v>
      </c>
      <c r="BH15" s="21">
        <v>0</v>
      </c>
      <c r="BI15" s="139" t="str">
        <f t="shared" ref="BI15" si="137">IF(BH15=0,"-",BG15/BH15)</f>
        <v>-</v>
      </c>
      <c r="BJ15" s="20">
        <v>0</v>
      </c>
      <c r="BK15" s="21">
        <v>0</v>
      </c>
      <c r="BL15" s="139" t="str">
        <f t="shared" ref="BL15" si="138">IF(BK15=0,"-",BJ15/BK15)</f>
        <v>-</v>
      </c>
      <c r="BM15" s="117">
        <f t="shared" si="32"/>
        <v>644</v>
      </c>
      <c r="BN15" s="120">
        <f t="shared" si="19"/>
        <v>86</v>
      </c>
      <c r="BO15" s="147">
        <f t="shared" si="20"/>
        <v>7.4883720930232558</v>
      </c>
    </row>
    <row r="16" spans="1:67" ht="15" thickBot="1" x14ac:dyDescent="0.35">
      <c r="A16" s="1">
        <v>45363</v>
      </c>
      <c r="B16" s="20">
        <v>24</v>
      </c>
      <c r="C16" s="21">
        <v>3</v>
      </c>
      <c r="D16" s="122">
        <f>IF(C16=0,"",B16/C16)</f>
        <v>8</v>
      </c>
      <c r="E16" s="20">
        <v>0</v>
      </c>
      <c r="F16" s="21">
        <v>0</v>
      </c>
      <c r="G16" s="139" t="str">
        <f t="shared" ref="G16" si="139">IF(F16=0,"-",E16/F16)</f>
        <v>-</v>
      </c>
      <c r="H16" s="20">
        <v>0</v>
      </c>
      <c r="I16" s="21">
        <v>0</v>
      </c>
      <c r="J16" s="139" t="str">
        <f t="shared" ref="J16" si="140">IF(I16=0,"-",H16/I16)</f>
        <v>-</v>
      </c>
      <c r="K16" s="20">
        <v>0</v>
      </c>
      <c r="L16" s="21">
        <v>0</v>
      </c>
      <c r="M16" s="139" t="str">
        <f t="shared" ref="M16" si="141">IF(L16=0,"-",K16/L16)</f>
        <v>-</v>
      </c>
      <c r="N16" s="23">
        <v>39</v>
      </c>
      <c r="O16" s="21">
        <v>9</v>
      </c>
      <c r="P16" s="122">
        <f t="shared" si="2"/>
        <v>4.333333333333333</v>
      </c>
      <c r="Q16" s="20">
        <v>0</v>
      </c>
      <c r="R16" s="21">
        <v>0</v>
      </c>
      <c r="S16" s="139" t="str">
        <f t="shared" si="127"/>
        <v>-</v>
      </c>
      <c r="T16" s="20">
        <v>0</v>
      </c>
      <c r="U16" s="21">
        <v>0</v>
      </c>
      <c r="V16" s="139" t="str">
        <f t="shared" ref="V16" si="142">IF(U16=0,"-",T16/U16)</f>
        <v>-</v>
      </c>
      <c r="W16" s="20">
        <v>0</v>
      </c>
      <c r="X16" s="21">
        <v>0</v>
      </c>
      <c r="Y16" s="139" t="str">
        <f t="shared" ref="Y16" si="143">IF(X16=0,"-",W16/X16)</f>
        <v>-</v>
      </c>
      <c r="Z16" s="20">
        <v>0</v>
      </c>
      <c r="AA16" s="21">
        <v>0</v>
      </c>
      <c r="AB16" s="139" t="str">
        <f t="shared" ref="AB16" si="144">IF(AA16=0,"-",Z16/AA16)</f>
        <v>-</v>
      </c>
      <c r="AC16" s="20">
        <v>0</v>
      </c>
      <c r="AD16" s="21">
        <v>0</v>
      </c>
      <c r="AE16" s="139" t="str">
        <f t="shared" ref="AE16" si="145">IF(AD16=0,"-",AC16/AD16)</f>
        <v>-</v>
      </c>
      <c r="AF16" s="20">
        <v>0</v>
      </c>
      <c r="AG16" s="21">
        <v>0</v>
      </c>
      <c r="AH16" s="139" t="str">
        <f t="shared" ref="AH16" si="146">IF(AG16=0,"-",AF16/AG16)</f>
        <v>-</v>
      </c>
      <c r="AI16" s="20">
        <v>0</v>
      </c>
      <c r="AJ16" s="21">
        <v>0</v>
      </c>
      <c r="AK16" s="139" t="str">
        <f t="shared" ref="AK16" si="147">IF(AJ16=0,"-",AI16/AJ16)</f>
        <v>-</v>
      </c>
      <c r="AL16" s="23">
        <v>29</v>
      </c>
      <c r="AM16" s="21">
        <v>4</v>
      </c>
      <c r="AN16" s="122">
        <f t="shared" si="10"/>
        <v>7.25</v>
      </c>
      <c r="AO16" s="20">
        <v>0</v>
      </c>
      <c r="AP16" s="21">
        <v>0</v>
      </c>
      <c r="AQ16" s="139" t="str">
        <f t="shared" ref="AQ16" si="148">IF(AP16=0,"-",AO16/AP16)</f>
        <v>-</v>
      </c>
      <c r="AR16" s="20">
        <v>0</v>
      </c>
      <c r="AS16" s="21">
        <v>0</v>
      </c>
      <c r="AT16" s="139" t="str">
        <f t="shared" ref="AT16" si="149">IF(AS16=0,"-",AR16/AS16)</f>
        <v>-</v>
      </c>
      <c r="AU16" s="20">
        <v>0</v>
      </c>
      <c r="AV16" s="21">
        <v>0</v>
      </c>
      <c r="AW16" s="139" t="str">
        <f t="shared" ref="AW16" si="150">IF(AV16=0,"-",AU16/AV16)</f>
        <v>-</v>
      </c>
      <c r="AX16" s="20">
        <v>0</v>
      </c>
      <c r="AY16" s="21">
        <v>0</v>
      </c>
      <c r="AZ16" s="139" t="str">
        <f t="shared" ref="AZ16" si="151">IF(AY16=0,"-",AX16/AY16)</f>
        <v>-</v>
      </c>
      <c r="BA16" s="20">
        <v>0</v>
      </c>
      <c r="BB16" s="21">
        <v>0</v>
      </c>
      <c r="BC16" s="139" t="str">
        <f t="shared" ref="BC16" si="152">IF(BB16=0,"-",BA16/BB16)</f>
        <v>-</v>
      </c>
      <c r="BD16" s="20">
        <v>0</v>
      </c>
      <c r="BE16" s="21">
        <v>0</v>
      </c>
      <c r="BF16" s="139" t="str">
        <f t="shared" ref="BF16" si="153">IF(BE16=0,"-",BD16/BE16)</f>
        <v>-</v>
      </c>
      <c r="BG16" s="20">
        <v>0</v>
      </c>
      <c r="BH16" s="21">
        <v>0</v>
      </c>
      <c r="BI16" s="139" t="str">
        <f t="shared" ref="BI16" si="154">IF(BH16=0,"-",BG16/BH16)</f>
        <v>-</v>
      </c>
      <c r="BJ16" s="20">
        <v>0</v>
      </c>
      <c r="BK16" s="21">
        <v>0</v>
      </c>
      <c r="BL16" s="139" t="str">
        <f t="shared" ref="BL16" si="155">IF(BK16=0,"-",BJ16/BK16)</f>
        <v>-</v>
      </c>
      <c r="BM16" s="117">
        <f t="shared" si="32"/>
        <v>92</v>
      </c>
      <c r="BN16" s="120">
        <f t="shared" si="19"/>
        <v>16</v>
      </c>
      <c r="BO16" s="147">
        <f t="shared" si="20"/>
        <v>5.75</v>
      </c>
    </row>
    <row r="17" spans="1:67" ht="15" thickBot="1" x14ac:dyDescent="0.35">
      <c r="A17" s="1">
        <v>45364</v>
      </c>
      <c r="B17" s="20">
        <v>66</v>
      </c>
      <c r="C17" s="21">
        <v>12</v>
      </c>
      <c r="D17" s="122">
        <f t="shared" si="0"/>
        <v>5.5</v>
      </c>
      <c r="E17" s="20">
        <v>0</v>
      </c>
      <c r="F17" s="21">
        <v>0</v>
      </c>
      <c r="G17" s="139" t="str">
        <f t="shared" ref="G17" si="156">IF(F17=0,"-",E17/F17)</f>
        <v>-</v>
      </c>
      <c r="H17" s="23">
        <v>15</v>
      </c>
      <c r="I17" s="21">
        <v>2</v>
      </c>
      <c r="J17" s="122">
        <f t="shared" si="44"/>
        <v>7.5</v>
      </c>
      <c r="K17" s="20">
        <v>0</v>
      </c>
      <c r="L17" s="21">
        <v>0</v>
      </c>
      <c r="M17" s="139" t="str">
        <f t="shared" ref="M17" si="157">IF(L17=0,"-",K17/L17)</f>
        <v>-</v>
      </c>
      <c r="N17" s="23">
        <v>54</v>
      </c>
      <c r="O17" s="21">
        <v>9</v>
      </c>
      <c r="P17" s="122">
        <f t="shared" si="2"/>
        <v>6</v>
      </c>
      <c r="Q17" s="20">
        <v>0</v>
      </c>
      <c r="R17" s="21">
        <v>0</v>
      </c>
      <c r="S17" s="139" t="str">
        <f t="shared" ref="S17" si="158">IF(R17=0,"-",Q17/R17)</f>
        <v>-</v>
      </c>
      <c r="T17" s="20">
        <v>0</v>
      </c>
      <c r="U17" s="21">
        <v>0</v>
      </c>
      <c r="V17" s="139" t="str">
        <f t="shared" ref="V17" si="159">IF(U17=0,"-",T17/U17)</f>
        <v>-</v>
      </c>
      <c r="W17" s="20">
        <v>9</v>
      </c>
      <c r="X17" s="21">
        <v>1</v>
      </c>
      <c r="Y17" s="122">
        <f t="shared" si="5"/>
        <v>9</v>
      </c>
      <c r="Z17" s="20">
        <v>0</v>
      </c>
      <c r="AA17" s="21">
        <v>0</v>
      </c>
      <c r="AB17" s="139" t="str">
        <f t="shared" ref="AB17:AB18" si="160">IF(AA17=0,"-",Z17/AA17)</f>
        <v>-</v>
      </c>
      <c r="AC17" s="20">
        <v>0</v>
      </c>
      <c r="AD17" s="21">
        <v>0</v>
      </c>
      <c r="AE17" s="139" t="str">
        <f t="shared" ref="AE17" si="161">IF(AD17=0,"-",AC17/AD17)</f>
        <v>-</v>
      </c>
      <c r="AF17" s="20">
        <v>0</v>
      </c>
      <c r="AG17" s="21">
        <v>0</v>
      </c>
      <c r="AH17" s="139" t="str">
        <f t="shared" ref="AH17:AH18" si="162">IF(AG17=0,"-",AF17/AG17)</f>
        <v>-</v>
      </c>
      <c r="AI17" s="20">
        <v>0</v>
      </c>
      <c r="AJ17" s="21">
        <v>0</v>
      </c>
      <c r="AK17" s="139" t="str">
        <f t="shared" ref="AK17:AK18" si="163">IF(AJ17=0,"-",AI17/AJ17)</f>
        <v>-</v>
      </c>
      <c r="AL17" s="20">
        <v>7</v>
      </c>
      <c r="AM17" s="21">
        <v>1</v>
      </c>
      <c r="AN17" s="122">
        <f t="shared" si="10"/>
        <v>7</v>
      </c>
      <c r="AO17" s="20">
        <v>0</v>
      </c>
      <c r="AP17" s="21">
        <v>0</v>
      </c>
      <c r="AQ17" s="139" t="str">
        <f t="shared" ref="AQ17:AQ21" si="164">IF(AP17=0,"-",AO17/AP17)</f>
        <v>-</v>
      </c>
      <c r="AR17" s="20">
        <v>0</v>
      </c>
      <c r="AS17" s="21">
        <v>0</v>
      </c>
      <c r="AT17" s="139" t="str">
        <f t="shared" ref="AT17" si="165">IF(AS17=0,"-",AR17/AS17)</f>
        <v>-</v>
      </c>
      <c r="AU17" s="20">
        <v>6</v>
      </c>
      <c r="AV17" s="21">
        <v>1</v>
      </c>
      <c r="AW17" s="122">
        <f t="shared" si="13"/>
        <v>6</v>
      </c>
      <c r="AX17" s="20">
        <v>0</v>
      </c>
      <c r="AY17" s="21">
        <v>0</v>
      </c>
      <c r="AZ17" s="139" t="str">
        <f t="shared" ref="AZ17:AZ22" si="166">IF(AY17=0,"-",AX17/AY17)</f>
        <v>-</v>
      </c>
      <c r="BA17" s="20">
        <v>0</v>
      </c>
      <c r="BB17" s="21">
        <v>0</v>
      </c>
      <c r="BC17" s="139" t="str">
        <f t="shared" ref="BC17" si="167">IF(BB17=0,"-",BA17/BB17)</f>
        <v>-</v>
      </c>
      <c r="BD17" s="20">
        <v>0</v>
      </c>
      <c r="BE17" s="21">
        <v>0</v>
      </c>
      <c r="BF17" s="139" t="str">
        <f t="shared" ref="BF17:BF21" si="168">IF(BE17=0,"-",BD17/BE17)</f>
        <v>-</v>
      </c>
      <c r="BG17" s="20">
        <v>0</v>
      </c>
      <c r="BH17" s="21">
        <v>0</v>
      </c>
      <c r="BI17" s="139" t="str">
        <f t="shared" ref="BI17:BI21" si="169">IF(BH17=0,"-",BG17/BH17)</f>
        <v>-</v>
      </c>
      <c r="BJ17" s="20">
        <v>0</v>
      </c>
      <c r="BK17" s="21">
        <v>0</v>
      </c>
      <c r="BL17" s="139" t="str">
        <f t="shared" ref="BL17:BL21" si="170">IF(BK17=0,"-",BJ17/BK17)</f>
        <v>-</v>
      </c>
      <c r="BM17" s="117">
        <f t="shared" si="32"/>
        <v>157</v>
      </c>
      <c r="BN17" s="120">
        <f t="shared" si="19"/>
        <v>26</v>
      </c>
      <c r="BO17" s="147">
        <f t="shared" si="20"/>
        <v>6.0384615384615383</v>
      </c>
    </row>
    <row r="18" spans="1:67" ht="15" thickBot="1" x14ac:dyDescent="0.35">
      <c r="A18" s="1">
        <v>45365</v>
      </c>
      <c r="B18" s="20">
        <v>40</v>
      </c>
      <c r="C18" s="21">
        <v>5</v>
      </c>
      <c r="D18" s="122">
        <f>IF(C18=0,"",B18/C18)</f>
        <v>8</v>
      </c>
      <c r="E18" s="20">
        <v>24</v>
      </c>
      <c r="F18" s="21">
        <v>3</v>
      </c>
      <c r="G18" s="122">
        <f t="shared" si="43"/>
        <v>8</v>
      </c>
      <c r="H18" s="20">
        <v>0</v>
      </c>
      <c r="I18" s="21">
        <v>0</v>
      </c>
      <c r="J18" s="139" t="s">
        <v>32</v>
      </c>
      <c r="K18" s="20">
        <v>0</v>
      </c>
      <c r="L18" s="21">
        <v>0</v>
      </c>
      <c r="M18" s="139" t="str">
        <f t="shared" ref="M18" si="171">IF(L18=0,"-",K18/L18)</f>
        <v>-</v>
      </c>
      <c r="N18" s="23">
        <v>25</v>
      </c>
      <c r="O18" s="21">
        <v>5</v>
      </c>
      <c r="P18" s="122">
        <f t="shared" si="2"/>
        <v>5</v>
      </c>
      <c r="Q18" s="20">
        <v>7</v>
      </c>
      <c r="R18" s="21">
        <v>1</v>
      </c>
      <c r="S18" s="122">
        <f t="shared" si="3"/>
        <v>7</v>
      </c>
      <c r="T18" s="20">
        <v>0</v>
      </c>
      <c r="U18" s="21">
        <v>0</v>
      </c>
      <c r="V18" s="139" t="str">
        <f t="shared" ref="V18" si="172">IF(U18=0,"-",T18/U18)</f>
        <v>-</v>
      </c>
      <c r="W18" s="20">
        <v>7</v>
      </c>
      <c r="X18" s="21">
        <v>2</v>
      </c>
      <c r="Y18" s="122">
        <f t="shared" si="88"/>
        <v>3.5</v>
      </c>
      <c r="Z18" s="20">
        <v>0</v>
      </c>
      <c r="AA18" s="21">
        <v>0</v>
      </c>
      <c r="AB18" s="139" t="str">
        <f t="shared" si="160"/>
        <v>-</v>
      </c>
      <c r="AC18" s="20">
        <v>2</v>
      </c>
      <c r="AD18" s="21">
        <v>1</v>
      </c>
      <c r="AE18" s="122">
        <f t="shared" si="7"/>
        <v>2</v>
      </c>
      <c r="AF18" s="20">
        <v>0</v>
      </c>
      <c r="AG18" s="21">
        <v>0</v>
      </c>
      <c r="AH18" s="139" t="str">
        <f t="shared" si="162"/>
        <v>-</v>
      </c>
      <c r="AI18" s="20">
        <v>0</v>
      </c>
      <c r="AJ18" s="21">
        <v>0</v>
      </c>
      <c r="AK18" s="139" t="str">
        <f t="shared" si="163"/>
        <v>-</v>
      </c>
      <c r="AL18" s="20">
        <v>29</v>
      </c>
      <c r="AM18" s="21">
        <v>4</v>
      </c>
      <c r="AN18" s="122">
        <f t="shared" si="10"/>
        <v>7.25</v>
      </c>
      <c r="AO18" s="20">
        <v>0</v>
      </c>
      <c r="AP18" s="21">
        <v>0</v>
      </c>
      <c r="AQ18" s="139" t="str">
        <f t="shared" si="164"/>
        <v>-</v>
      </c>
      <c r="AR18" s="20">
        <v>0</v>
      </c>
      <c r="AS18" s="21">
        <v>0</v>
      </c>
      <c r="AT18" s="139" t="str">
        <f t="shared" ref="AT18:AT21" si="173">IF(AS18=0,"-",AR18/AS18)</f>
        <v>-</v>
      </c>
      <c r="AU18" s="20">
        <v>0</v>
      </c>
      <c r="AV18" s="21">
        <v>0</v>
      </c>
      <c r="AW18" s="139" t="str">
        <f t="shared" ref="AW18:AW19" si="174">IF(AV18=0,"-",AU18/AV18)</f>
        <v>-</v>
      </c>
      <c r="AX18" s="20">
        <v>0</v>
      </c>
      <c r="AY18" s="21">
        <v>0</v>
      </c>
      <c r="AZ18" s="139" t="str">
        <f t="shared" si="166"/>
        <v>-</v>
      </c>
      <c r="BA18" s="20">
        <v>15</v>
      </c>
      <c r="BB18" s="21">
        <v>2</v>
      </c>
      <c r="BC18" s="122">
        <f t="shared" si="15"/>
        <v>7.5</v>
      </c>
      <c r="BD18" s="20">
        <v>0</v>
      </c>
      <c r="BE18" s="21">
        <v>0</v>
      </c>
      <c r="BF18" s="139" t="str">
        <f t="shared" si="168"/>
        <v>-</v>
      </c>
      <c r="BG18" s="20">
        <v>0</v>
      </c>
      <c r="BH18" s="21">
        <v>0</v>
      </c>
      <c r="BI18" s="139" t="str">
        <f t="shared" si="169"/>
        <v>-</v>
      </c>
      <c r="BJ18" s="20">
        <v>0</v>
      </c>
      <c r="BK18" s="21">
        <v>0</v>
      </c>
      <c r="BL18" s="139" t="str">
        <f t="shared" si="170"/>
        <v>-</v>
      </c>
      <c r="BM18" s="117">
        <f t="shared" si="32"/>
        <v>149</v>
      </c>
      <c r="BN18" s="120">
        <f t="shared" si="19"/>
        <v>23</v>
      </c>
      <c r="BO18" s="147">
        <f t="shared" si="20"/>
        <v>6.4782608695652177</v>
      </c>
    </row>
    <row r="19" spans="1:67" ht="15" thickBot="1" x14ac:dyDescent="0.35">
      <c r="A19" s="1">
        <v>45366</v>
      </c>
      <c r="B19" s="20">
        <v>50</v>
      </c>
      <c r="C19" s="21">
        <v>7</v>
      </c>
      <c r="D19" s="122">
        <f>IF(C19=0,"",B19/C19)</f>
        <v>7.1428571428571432</v>
      </c>
      <c r="E19" s="23">
        <v>20</v>
      </c>
      <c r="F19" s="21">
        <v>3</v>
      </c>
      <c r="G19" s="122">
        <f t="shared" si="43"/>
        <v>6.666666666666667</v>
      </c>
      <c r="H19" s="20">
        <v>17</v>
      </c>
      <c r="I19" s="21">
        <v>2</v>
      </c>
      <c r="J19" s="122">
        <f t="shared" si="44"/>
        <v>8.5</v>
      </c>
      <c r="K19" s="20">
        <v>0</v>
      </c>
      <c r="L19" s="21">
        <v>0</v>
      </c>
      <c r="M19" s="139" t="str">
        <f t="shared" ref="M19" si="175">IF(L19=0,"-",K19/L19)</f>
        <v>-</v>
      </c>
      <c r="N19" s="20">
        <v>45</v>
      </c>
      <c r="O19" s="21">
        <v>10</v>
      </c>
      <c r="P19" s="122">
        <f t="shared" si="2"/>
        <v>4.5</v>
      </c>
      <c r="Q19" s="20">
        <v>0</v>
      </c>
      <c r="R19" s="21">
        <v>0</v>
      </c>
      <c r="S19" s="139" t="str">
        <f t="shared" ref="S19" si="176">IF(R19=0,"-",Q19/R19)</f>
        <v>-</v>
      </c>
      <c r="T19" s="20">
        <v>0</v>
      </c>
      <c r="U19" s="21">
        <v>0</v>
      </c>
      <c r="V19" s="139" t="str">
        <f t="shared" ref="V19" si="177">IF(U19=0,"-",T19/U19)</f>
        <v>-</v>
      </c>
      <c r="W19" s="20">
        <v>0</v>
      </c>
      <c r="X19" s="21">
        <v>0</v>
      </c>
      <c r="Y19" s="139" t="str">
        <f t="shared" ref="Y19:Y21" si="178">IF(X19=0,"-",W19/X19)</f>
        <v>-</v>
      </c>
      <c r="Z19" s="20">
        <v>0</v>
      </c>
      <c r="AA19" s="21">
        <v>0</v>
      </c>
      <c r="AB19" s="139" t="str">
        <f t="shared" ref="AB19:AB21" si="179">IF(AA19=0,"-",Z19/AA19)</f>
        <v>-</v>
      </c>
      <c r="AC19" s="20">
        <v>1</v>
      </c>
      <c r="AD19" s="21">
        <v>1</v>
      </c>
      <c r="AE19" s="122">
        <f t="shared" si="7"/>
        <v>1</v>
      </c>
      <c r="AF19" s="20">
        <v>0</v>
      </c>
      <c r="AG19" s="21">
        <v>0</v>
      </c>
      <c r="AH19" s="139" t="str">
        <f t="shared" ref="AH19" si="180">IF(AG19=0,"-",AF19/AG19)</f>
        <v>-</v>
      </c>
      <c r="AI19" s="20">
        <v>0</v>
      </c>
      <c r="AJ19" s="21">
        <v>0</v>
      </c>
      <c r="AK19" s="139" t="str">
        <f t="shared" ref="AK19" si="181">IF(AJ19=0,"-",AI19/AJ19)</f>
        <v>-</v>
      </c>
      <c r="AL19" s="23">
        <v>23</v>
      </c>
      <c r="AM19" s="21">
        <v>3</v>
      </c>
      <c r="AN19" s="122">
        <f t="shared" si="10"/>
        <v>7.666666666666667</v>
      </c>
      <c r="AO19" s="20">
        <v>0</v>
      </c>
      <c r="AP19" s="21">
        <v>0</v>
      </c>
      <c r="AQ19" s="139" t="str">
        <f t="shared" si="164"/>
        <v>-</v>
      </c>
      <c r="AR19" s="20">
        <v>0</v>
      </c>
      <c r="AS19" s="21">
        <v>0</v>
      </c>
      <c r="AT19" s="139" t="str">
        <f t="shared" si="173"/>
        <v>-</v>
      </c>
      <c r="AU19" s="20">
        <v>0</v>
      </c>
      <c r="AV19" s="21">
        <v>0</v>
      </c>
      <c r="AW19" s="139" t="str">
        <f t="shared" si="174"/>
        <v>-</v>
      </c>
      <c r="AX19" s="20">
        <v>0</v>
      </c>
      <c r="AY19" s="21">
        <v>0</v>
      </c>
      <c r="AZ19" s="139" t="str">
        <f t="shared" si="166"/>
        <v>-</v>
      </c>
      <c r="BA19" s="20">
        <v>0</v>
      </c>
      <c r="BB19" s="21">
        <v>0</v>
      </c>
      <c r="BC19" s="139" t="str">
        <f t="shared" ref="BC19:BC21" si="182">IF(BB19=0,"-",BA19/BB19)</f>
        <v>-</v>
      </c>
      <c r="BD19" s="20">
        <v>0</v>
      </c>
      <c r="BE19" s="21">
        <v>0</v>
      </c>
      <c r="BF19" s="139" t="str">
        <f t="shared" si="168"/>
        <v>-</v>
      </c>
      <c r="BG19" s="20">
        <v>0</v>
      </c>
      <c r="BH19" s="21">
        <v>0</v>
      </c>
      <c r="BI19" s="139" t="str">
        <f t="shared" si="169"/>
        <v>-</v>
      </c>
      <c r="BJ19" s="20">
        <v>0</v>
      </c>
      <c r="BK19" s="21">
        <v>0</v>
      </c>
      <c r="BL19" s="139" t="str">
        <f t="shared" si="170"/>
        <v>-</v>
      </c>
      <c r="BM19" s="117">
        <f t="shared" si="32"/>
        <v>156</v>
      </c>
      <c r="BN19" s="120">
        <f t="shared" si="19"/>
        <v>26</v>
      </c>
      <c r="BO19" s="147">
        <f t="shared" si="20"/>
        <v>6</v>
      </c>
    </row>
    <row r="20" spans="1:67" ht="15" thickBot="1" x14ac:dyDescent="0.35">
      <c r="A20" s="1">
        <v>45367</v>
      </c>
      <c r="B20" s="20">
        <v>8</v>
      </c>
      <c r="C20" s="21">
        <v>1</v>
      </c>
      <c r="D20" s="122">
        <f t="shared" si="0"/>
        <v>8</v>
      </c>
      <c r="E20" s="20">
        <v>0</v>
      </c>
      <c r="F20" s="21">
        <v>0</v>
      </c>
      <c r="G20" s="139" t="s">
        <v>32</v>
      </c>
      <c r="H20" s="20">
        <v>0</v>
      </c>
      <c r="I20" s="21">
        <v>0</v>
      </c>
      <c r="J20" s="139" t="s">
        <v>32</v>
      </c>
      <c r="K20" s="20">
        <v>0</v>
      </c>
      <c r="L20" s="21">
        <v>0</v>
      </c>
      <c r="M20" s="139" t="s">
        <v>32</v>
      </c>
      <c r="N20" s="20">
        <v>0</v>
      </c>
      <c r="O20" s="21">
        <v>0</v>
      </c>
      <c r="P20" s="139" t="str">
        <f t="shared" ref="P20:P21" si="183">IF(O20=0,"-",N20/O20)</f>
        <v>-</v>
      </c>
      <c r="Q20" s="20">
        <v>0</v>
      </c>
      <c r="R20" s="21">
        <v>0</v>
      </c>
      <c r="S20" s="139" t="str">
        <f t="shared" ref="S20:S21" si="184">IF(R20=0,"-",Q20/R20)</f>
        <v>-</v>
      </c>
      <c r="T20" s="20">
        <v>0</v>
      </c>
      <c r="U20" s="21">
        <v>0</v>
      </c>
      <c r="V20" s="139" t="str">
        <f t="shared" ref="V20:V21" si="185">IF(U20=0,"-",T20/U20)</f>
        <v>-</v>
      </c>
      <c r="W20" s="20">
        <v>0</v>
      </c>
      <c r="X20" s="21">
        <v>0</v>
      </c>
      <c r="Y20" s="139" t="str">
        <f t="shared" si="178"/>
        <v>-</v>
      </c>
      <c r="Z20" s="20">
        <v>0</v>
      </c>
      <c r="AA20" s="21">
        <v>0</v>
      </c>
      <c r="AB20" s="139" t="str">
        <f t="shared" si="179"/>
        <v>-</v>
      </c>
      <c r="AC20" s="20">
        <v>0</v>
      </c>
      <c r="AD20" s="21">
        <v>0</v>
      </c>
      <c r="AE20" s="139" t="str">
        <f t="shared" ref="AE20:AE21" si="186">IF(AD20=0,"-",AC20/AD20)</f>
        <v>-</v>
      </c>
      <c r="AF20" s="20">
        <v>0</v>
      </c>
      <c r="AG20" s="21">
        <v>0</v>
      </c>
      <c r="AH20" s="139" t="str">
        <f t="shared" ref="AH20:AH21" si="187">IF(AG20=0,"-",AF20/AG20)</f>
        <v>-</v>
      </c>
      <c r="AI20" s="20">
        <v>0</v>
      </c>
      <c r="AJ20" s="21">
        <v>0</v>
      </c>
      <c r="AK20" s="139" t="str">
        <f t="shared" ref="AK20:AK21" si="188">IF(AJ20=0,"-",AI20/AJ20)</f>
        <v>-</v>
      </c>
      <c r="AL20" s="23">
        <v>43</v>
      </c>
      <c r="AM20" s="21">
        <v>6</v>
      </c>
      <c r="AN20" s="122">
        <f t="shared" si="10"/>
        <v>7.166666666666667</v>
      </c>
      <c r="AO20" s="20">
        <v>0</v>
      </c>
      <c r="AP20" s="21">
        <v>0</v>
      </c>
      <c r="AQ20" s="139" t="str">
        <f t="shared" si="164"/>
        <v>-</v>
      </c>
      <c r="AR20" s="20">
        <v>7</v>
      </c>
      <c r="AS20" s="21">
        <v>1</v>
      </c>
      <c r="AT20" s="139">
        <f t="shared" si="173"/>
        <v>7</v>
      </c>
      <c r="AU20" s="20">
        <v>0</v>
      </c>
      <c r="AV20" s="21">
        <v>0</v>
      </c>
      <c r="AW20" s="139" t="str">
        <f t="shared" ref="AW20" si="189">IF(AV20=0,"-",AU20/AV20)</f>
        <v>-</v>
      </c>
      <c r="AX20" s="20">
        <v>0</v>
      </c>
      <c r="AY20" s="21">
        <v>0</v>
      </c>
      <c r="AZ20" s="139" t="str">
        <f t="shared" si="166"/>
        <v>-</v>
      </c>
      <c r="BA20" s="20">
        <v>0</v>
      </c>
      <c r="BB20" s="21">
        <v>0</v>
      </c>
      <c r="BC20" s="139" t="str">
        <f t="shared" si="182"/>
        <v>-</v>
      </c>
      <c r="BD20" s="20">
        <v>0</v>
      </c>
      <c r="BE20" s="21">
        <v>0</v>
      </c>
      <c r="BF20" s="139" t="str">
        <f t="shared" si="168"/>
        <v>-</v>
      </c>
      <c r="BG20" s="20">
        <v>0</v>
      </c>
      <c r="BH20" s="21">
        <v>0</v>
      </c>
      <c r="BI20" s="139" t="str">
        <f t="shared" si="169"/>
        <v>-</v>
      </c>
      <c r="BJ20" s="20">
        <v>0</v>
      </c>
      <c r="BK20" s="21">
        <v>0</v>
      </c>
      <c r="BL20" s="139" t="str">
        <f t="shared" si="170"/>
        <v>-</v>
      </c>
      <c r="BM20" s="117">
        <f t="shared" si="32"/>
        <v>58</v>
      </c>
      <c r="BN20" s="120">
        <f t="shared" si="19"/>
        <v>8</v>
      </c>
      <c r="BO20" s="147">
        <f t="shared" si="20"/>
        <v>7.25</v>
      </c>
    </row>
    <row r="21" spans="1:67" ht="15" thickBot="1" x14ac:dyDescent="0.35">
      <c r="A21" s="1">
        <v>45368</v>
      </c>
      <c r="B21" s="20">
        <v>8</v>
      </c>
      <c r="C21" s="21">
        <v>1</v>
      </c>
      <c r="D21" s="122">
        <f t="shared" si="0"/>
        <v>8</v>
      </c>
      <c r="E21" s="20">
        <v>0</v>
      </c>
      <c r="F21" s="21">
        <v>0</v>
      </c>
      <c r="G21" s="139" t="s">
        <v>32</v>
      </c>
      <c r="H21" s="20">
        <v>0</v>
      </c>
      <c r="I21" s="21">
        <v>0</v>
      </c>
      <c r="J21" s="139" t="s">
        <v>32</v>
      </c>
      <c r="K21" s="20">
        <v>0</v>
      </c>
      <c r="L21" s="21">
        <v>0</v>
      </c>
      <c r="M21" s="139" t="s">
        <v>32</v>
      </c>
      <c r="N21" s="20">
        <v>0</v>
      </c>
      <c r="O21" s="21">
        <v>0</v>
      </c>
      <c r="P21" s="139" t="str">
        <f t="shared" si="183"/>
        <v>-</v>
      </c>
      <c r="Q21" s="20">
        <v>0</v>
      </c>
      <c r="R21" s="21">
        <v>0</v>
      </c>
      <c r="S21" s="139" t="str">
        <f t="shared" si="184"/>
        <v>-</v>
      </c>
      <c r="T21" s="20">
        <v>0</v>
      </c>
      <c r="U21" s="21">
        <v>0</v>
      </c>
      <c r="V21" s="139" t="str">
        <f t="shared" si="185"/>
        <v>-</v>
      </c>
      <c r="W21" s="20">
        <v>0</v>
      </c>
      <c r="X21" s="21">
        <v>0</v>
      </c>
      <c r="Y21" s="139" t="str">
        <f t="shared" si="178"/>
        <v>-</v>
      </c>
      <c r="Z21" s="20">
        <v>0</v>
      </c>
      <c r="AA21" s="21">
        <v>0</v>
      </c>
      <c r="AB21" s="139" t="str">
        <f t="shared" si="179"/>
        <v>-</v>
      </c>
      <c r="AC21" s="20">
        <v>0</v>
      </c>
      <c r="AD21" s="21">
        <v>0</v>
      </c>
      <c r="AE21" s="139" t="str">
        <f t="shared" si="186"/>
        <v>-</v>
      </c>
      <c r="AF21" s="20">
        <v>0</v>
      </c>
      <c r="AG21" s="21">
        <v>0</v>
      </c>
      <c r="AH21" s="139" t="str">
        <f t="shared" si="187"/>
        <v>-</v>
      </c>
      <c r="AI21" s="20">
        <v>0</v>
      </c>
      <c r="AJ21" s="21">
        <v>0</v>
      </c>
      <c r="AK21" s="139" t="str">
        <f t="shared" si="188"/>
        <v>-</v>
      </c>
      <c r="AL21" s="23">
        <v>15</v>
      </c>
      <c r="AM21" s="21">
        <v>2</v>
      </c>
      <c r="AN21" s="122">
        <f t="shared" si="10"/>
        <v>7.5</v>
      </c>
      <c r="AO21" s="20">
        <v>0</v>
      </c>
      <c r="AP21" s="21">
        <v>0</v>
      </c>
      <c r="AQ21" s="139" t="str">
        <f t="shared" si="164"/>
        <v>-</v>
      </c>
      <c r="AR21" s="20">
        <v>0</v>
      </c>
      <c r="AS21" s="21">
        <v>0</v>
      </c>
      <c r="AT21" s="139" t="str">
        <f t="shared" si="173"/>
        <v>-</v>
      </c>
      <c r="AU21" s="20">
        <v>7</v>
      </c>
      <c r="AV21" s="21">
        <v>1</v>
      </c>
      <c r="AW21" s="122">
        <f t="shared" si="13"/>
        <v>7</v>
      </c>
      <c r="AX21" s="20">
        <v>0</v>
      </c>
      <c r="AY21" s="21">
        <v>0</v>
      </c>
      <c r="AZ21" s="139" t="str">
        <f t="shared" si="166"/>
        <v>-</v>
      </c>
      <c r="BA21" s="20">
        <v>0</v>
      </c>
      <c r="BB21" s="21">
        <v>0</v>
      </c>
      <c r="BC21" s="139" t="str">
        <f t="shared" si="182"/>
        <v>-</v>
      </c>
      <c r="BD21" s="20">
        <v>0</v>
      </c>
      <c r="BE21" s="21">
        <v>0</v>
      </c>
      <c r="BF21" s="139" t="str">
        <f t="shared" si="168"/>
        <v>-</v>
      </c>
      <c r="BG21" s="20">
        <v>0</v>
      </c>
      <c r="BH21" s="21">
        <v>0</v>
      </c>
      <c r="BI21" s="139" t="str">
        <f t="shared" si="169"/>
        <v>-</v>
      </c>
      <c r="BJ21" s="20">
        <v>0</v>
      </c>
      <c r="BK21" s="21">
        <v>0</v>
      </c>
      <c r="BL21" s="139" t="str">
        <f t="shared" si="170"/>
        <v>-</v>
      </c>
      <c r="BM21" s="117">
        <f t="shared" si="32"/>
        <v>30</v>
      </c>
      <c r="BN21" s="120">
        <f t="shared" ref="BN21:BN36" si="190">BK21+BH21+BE21+BB21+AY21+AV21+AS21+AP21+AM21+L21+R21+O21+I21+F21+AJ21+AG21+AD21+AA21+X21+C21</f>
        <v>4</v>
      </c>
      <c r="BO21" s="147">
        <f t="shared" si="20"/>
        <v>7.5</v>
      </c>
    </row>
    <row r="22" spans="1:67" ht="15" thickBot="1" x14ac:dyDescent="0.35">
      <c r="A22" s="1">
        <v>45369</v>
      </c>
      <c r="B22" s="20">
        <v>24</v>
      </c>
      <c r="C22" s="21">
        <v>3</v>
      </c>
      <c r="D22" s="122">
        <f t="shared" si="0"/>
        <v>8</v>
      </c>
      <c r="E22" s="20">
        <v>0</v>
      </c>
      <c r="F22" s="21">
        <v>0</v>
      </c>
      <c r="G22" s="139" t="s">
        <v>32</v>
      </c>
      <c r="H22" s="20">
        <v>0</v>
      </c>
      <c r="I22" s="21">
        <v>0</v>
      </c>
      <c r="J22" s="139" t="s">
        <v>32</v>
      </c>
      <c r="K22" s="20">
        <v>0</v>
      </c>
      <c r="L22" s="21">
        <v>0</v>
      </c>
      <c r="M22" s="139" t="s">
        <v>32</v>
      </c>
      <c r="N22" s="20">
        <v>94</v>
      </c>
      <c r="O22" s="21">
        <v>16</v>
      </c>
      <c r="P22" s="122">
        <f t="shared" si="2"/>
        <v>5.875</v>
      </c>
      <c r="Q22" s="20">
        <v>0</v>
      </c>
      <c r="R22" s="21">
        <v>0</v>
      </c>
      <c r="S22" s="139" t="str">
        <f t="shared" ref="S22" si="191">IF(R22=0,"-",Q22/R22)</f>
        <v>-</v>
      </c>
      <c r="T22" s="20">
        <v>6</v>
      </c>
      <c r="U22" s="21">
        <v>1</v>
      </c>
      <c r="V22" s="122">
        <f t="shared" ref="V22" si="192">IF(U22=0,"",T22/U22)</f>
        <v>6</v>
      </c>
      <c r="W22" s="20">
        <v>0</v>
      </c>
      <c r="X22" s="21">
        <v>0</v>
      </c>
      <c r="Y22" s="139" t="str">
        <f t="shared" ref="Y22" si="193">IF(X22=0,"-",W22/X22)</f>
        <v>-</v>
      </c>
      <c r="Z22" s="20">
        <v>0</v>
      </c>
      <c r="AA22" s="21">
        <v>0</v>
      </c>
      <c r="AB22" s="139" t="str">
        <f t="shared" ref="AB22" si="194">IF(AA22=0,"-",Z22/AA22)</f>
        <v>-</v>
      </c>
      <c r="AC22" s="20">
        <v>0</v>
      </c>
      <c r="AD22" s="21">
        <v>0</v>
      </c>
      <c r="AE22" s="139" t="str">
        <f t="shared" ref="AE22" si="195">IF(AD22=0,"-",AC22/AD22)</f>
        <v>-</v>
      </c>
      <c r="AF22" s="20">
        <v>0</v>
      </c>
      <c r="AG22" s="21">
        <v>0</v>
      </c>
      <c r="AH22" s="139" t="str">
        <f t="shared" ref="AH22" si="196">IF(AG22=0,"-",AF22/AG22)</f>
        <v>-</v>
      </c>
      <c r="AI22" s="20">
        <v>9</v>
      </c>
      <c r="AJ22" s="21">
        <v>1</v>
      </c>
      <c r="AK22" s="122">
        <f t="shared" si="91"/>
        <v>9</v>
      </c>
      <c r="AL22" s="20">
        <v>48</v>
      </c>
      <c r="AM22" s="21">
        <v>7</v>
      </c>
      <c r="AN22" s="122">
        <f t="shared" si="10"/>
        <v>6.8571428571428568</v>
      </c>
      <c r="AO22" s="20">
        <v>0</v>
      </c>
      <c r="AP22" s="21">
        <v>0</v>
      </c>
      <c r="AQ22" s="139" t="str">
        <f t="shared" ref="AQ22" si="197">IF(AP22=0,"-",AO22/AP22)</f>
        <v>-</v>
      </c>
      <c r="AR22" s="20">
        <v>0</v>
      </c>
      <c r="AS22" s="21">
        <v>0</v>
      </c>
      <c r="AT22" s="139" t="str">
        <f t="shared" ref="AT22" si="198">IF(AS22=0,"-",AR22/AS22)</f>
        <v>-</v>
      </c>
      <c r="AU22" s="20">
        <v>0</v>
      </c>
      <c r="AV22" s="21">
        <v>0</v>
      </c>
      <c r="AW22" s="139" t="str">
        <f t="shared" ref="AW22" si="199">IF(AV22=0,"-",AU22/AV22)</f>
        <v>-</v>
      </c>
      <c r="AX22" s="20">
        <v>0</v>
      </c>
      <c r="AY22" s="21">
        <v>0</v>
      </c>
      <c r="AZ22" s="139" t="str">
        <f t="shared" si="166"/>
        <v>-</v>
      </c>
      <c r="BA22" s="20">
        <v>26</v>
      </c>
      <c r="BB22" s="21">
        <v>3</v>
      </c>
      <c r="BC22" s="122">
        <f t="shared" si="15"/>
        <v>8.6666666666666661</v>
      </c>
      <c r="BD22" s="20">
        <v>0</v>
      </c>
      <c r="BE22" s="21">
        <v>0</v>
      </c>
      <c r="BF22" s="139" t="str">
        <f t="shared" ref="BF22:BF23" si="200">IF(BE22=0,"-",BD22/BE22)</f>
        <v>-</v>
      </c>
      <c r="BG22" s="20">
        <v>0</v>
      </c>
      <c r="BH22" s="21">
        <v>0</v>
      </c>
      <c r="BI22" s="139" t="str">
        <f t="shared" ref="BI22:BI23" si="201">IF(BH22=0,"-",BG22/BH22)</f>
        <v>-</v>
      </c>
      <c r="BJ22" s="20">
        <v>0</v>
      </c>
      <c r="BK22" s="21">
        <v>0</v>
      </c>
      <c r="BL22" s="139" t="str">
        <f t="shared" ref="BL22:BL23" si="202">IF(BK22=0,"-",BJ22/BK22)</f>
        <v>-</v>
      </c>
      <c r="BM22" s="117">
        <f t="shared" si="32"/>
        <v>207</v>
      </c>
      <c r="BN22" s="120">
        <f t="shared" si="190"/>
        <v>30</v>
      </c>
      <c r="BO22" s="147">
        <f t="shared" si="20"/>
        <v>6.9</v>
      </c>
    </row>
    <row r="23" spans="1:67" ht="15" thickBot="1" x14ac:dyDescent="0.35">
      <c r="A23" s="1">
        <v>45370</v>
      </c>
      <c r="B23" s="20">
        <v>21</v>
      </c>
      <c r="C23" s="21">
        <v>3</v>
      </c>
      <c r="D23" s="122">
        <f t="shared" si="0"/>
        <v>7</v>
      </c>
      <c r="E23" s="20">
        <v>0</v>
      </c>
      <c r="F23" s="21">
        <v>0</v>
      </c>
      <c r="G23" s="139" t="s">
        <v>32</v>
      </c>
      <c r="H23" s="20">
        <v>0</v>
      </c>
      <c r="I23" s="21">
        <v>0</v>
      </c>
      <c r="J23" s="139" t="s">
        <v>32</v>
      </c>
      <c r="K23" s="20">
        <v>0</v>
      </c>
      <c r="L23" s="21">
        <v>0</v>
      </c>
      <c r="M23" s="139" t="s">
        <v>32</v>
      </c>
      <c r="N23" s="23">
        <v>50</v>
      </c>
      <c r="O23" s="21">
        <v>9</v>
      </c>
      <c r="P23" s="122">
        <f t="shared" si="2"/>
        <v>5.5555555555555554</v>
      </c>
      <c r="Q23" s="20">
        <v>0</v>
      </c>
      <c r="R23" s="21">
        <v>0</v>
      </c>
      <c r="S23" s="139" t="str">
        <f t="shared" ref="S23" si="203">IF(R23=0,"-",Q23/R23)</f>
        <v>-</v>
      </c>
      <c r="T23" s="20">
        <v>12</v>
      </c>
      <c r="U23" s="21">
        <v>2</v>
      </c>
      <c r="V23" s="122">
        <f t="shared" si="26"/>
        <v>6</v>
      </c>
      <c r="W23" s="20">
        <v>4</v>
      </c>
      <c r="X23" s="21">
        <v>1</v>
      </c>
      <c r="Y23" s="122">
        <f t="shared" si="5"/>
        <v>4</v>
      </c>
      <c r="Z23" s="20">
        <v>0</v>
      </c>
      <c r="AA23" s="21">
        <v>0</v>
      </c>
      <c r="AB23" s="139" t="str">
        <f t="shared" ref="AB23" si="204">IF(AA23=0,"-",Z23/AA23)</f>
        <v>-</v>
      </c>
      <c r="AC23" s="20">
        <v>1</v>
      </c>
      <c r="AD23" s="21">
        <v>1</v>
      </c>
      <c r="AE23" s="122">
        <f t="shared" si="7"/>
        <v>1</v>
      </c>
      <c r="AF23" s="20">
        <v>0</v>
      </c>
      <c r="AG23" s="21">
        <v>0</v>
      </c>
      <c r="AH23" s="139" t="str">
        <f t="shared" ref="AH23" si="205">IF(AG23=0,"-",AF23/AG23)</f>
        <v>-</v>
      </c>
      <c r="AI23" s="20">
        <v>2</v>
      </c>
      <c r="AJ23" s="21">
        <v>1</v>
      </c>
      <c r="AK23" s="122">
        <f t="shared" si="91"/>
        <v>2</v>
      </c>
      <c r="AL23" s="20">
        <v>20</v>
      </c>
      <c r="AM23" s="21">
        <v>3</v>
      </c>
      <c r="AN23" s="122">
        <f t="shared" si="10"/>
        <v>6.666666666666667</v>
      </c>
      <c r="AO23" s="20">
        <v>0</v>
      </c>
      <c r="AP23" s="21">
        <v>0</v>
      </c>
      <c r="AQ23" s="139" t="str">
        <f t="shared" ref="AQ23" si="206">IF(AP23=0,"-",AO23/AP23)</f>
        <v>-</v>
      </c>
      <c r="AR23" s="20">
        <v>0</v>
      </c>
      <c r="AS23" s="21">
        <v>0</v>
      </c>
      <c r="AT23" s="139" t="str">
        <f t="shared" ref="AT23" si="207">IF(AS23=0,"-",AR23/AS23)</f>
        <v>-</v>
      </c>
      <c r="AU23" s="20">
        <v>0</v>
      </c>
      <c r="AV23" s="21">
        <v>0</v>
      </c>
      <c r="AW23" s="139" t="str">
        <f t="shared" ref="AW23" si="208">IF(AV23=0,"-",AU23/AV23)</f>
        <v>-</v>
      </c>
      <c r="AX23" s="20">
        <v>0</v>
      </c>
      <c r="AY23" s="21">
        <v>0</v>
      </c>
      <c r="AZ23" s="139" t="str">
        <f t="shared" ref="AZ23" si="209">IF(AY23=0,"-",AX23/AY23)</f>
        <v>-</v>
      </c>
      <c r="BA23" s="20">
        <v>0</v>
      </c>
      <c r="BB23" s="21">
        <v>0</v>
      </c>
      <c r="BC23" s="139" t="str">
        <f t="shared" ref="BC23:BC25" si="210">IF(BB23=0,"-",BA23/BB23)</f>
        <v>-</v>
      </c>
      <c r="BD23" s="20">
        <v>0</v>
      </c>
      <c r="BE23" s="21">
        <v>0</v>
      </c>
      <c r="BF23" s="139" t="str">
        <f t="shared" si="200"/>
        <v>-</v>
      </c>
      <c r="BG23" s="20">
        <v>0</v>
      </c>
      <c r="BH23" s="21">
        <v>0</v>
      </c>
      <c r="BI23" s="139" t="str">
        <f t="shared" si="201"/>
        <v>-</v>
      </c>
      <c r="BJ23" s="20">
        <v>0</v>
      </c>
      <c r="BK23" s="21">
        <v>0</v>
      </c>
      <c r="BL23" s="139" t="str">
        <f t="shared" si="202"/>
        <v>-</v>
      </c>
      <c r="BM23" s="117">
        <f t="shared" si="32"/>
        <v>110</v>
      </c>
      <c r="BN23" s="120">
        <f>BK23+BH23+BE23+BB23+AY23+AV23+AS23+AP23+AM23+L23+R23+O23+I23+F24+AJ23+AG23+AD23+AA23+X23+C23</f>
        <v>20</v>
      </c>
      <c r="BO23" s="147">
        <f t="shared" si="20"/>
        <v>5.5</v>
      </c>
    </row>
    <row r="24" spans="1:67" ht="15" thickBot="1" x14ac:dyDescent="0.35">
      <c r="A24" s="1">
        <v>45371</v>
      </c>
      <c r="B24" s="20">
        <v>30</v>
      </c>
      <c r="C24" s="21">
        <v>4</v>
      </c>
      <c r="D24" s="122">
        <f t="shared" si="0"/>
        <v>7.5</v>
      </c>
      <c r="E24" s="20">
        <v>14</v>
      </c>
      <c r="F24" s="21">
        <v>2</v>
      </c>
      <c r="G24" s="122">
        <f t="shared" si="43"/>
        <v>7</v>
      </c>
      <c r="H24" s="20">
        <v>0</v>
      </c>
      <c r="I24" s="21">
        <v>0</v>
      </c>
      <c r="J24" s="139" t="s">
        <v>32</v>
      </c>
      <c r="K24" s="20">
        <v>0</v>
      </c>
      <c r="L24" s="21">
        <v>0</v>
      </c>
      <c r="M24" s="139" t="s">
        <v>32</v>
      </c>
      <c r="N24" s="20">
        <v>0</v>
      </c>
      <c r="O24" s="21">
        <v>0</v>
      </c>
      <c r="P24" s="139" t="s">
        <v>32</v>
      </c>
      <c r="Q24" s="20">
        <v>69</v>
      </c>
      <c r="R24" s="21">
        <v>12</v>
      </c>
      <c r="S24" s="122">
        <f t="shared" si="3"/>
        <v>5.75</v>
      </c>
      <c r="T24" s="20">
        <v>0</v>
      </c>
      <c r="U24" s="21">
        <v>0</v>
      </c>
      <c r="V24" s="139" t="s">
        <v>32</v>
      </c>
      <c r="W24" s="20">
        <v>1</v>
      </c>
      <c r="X24" s="21">
        <v>1</v>
      </c>
      <c r="Y24" s="122">
        <f t="shared" si="5"/>
        <v>1</v>
      </c>
      <c r="Z24" s="20">
        <v>0</v>
      </c>
      <c r="AA24" s="21">
        <v>0</v>
      </c>
      <c r="AB24" s="139" t="str">
        <f t="shared" ref="AB24:AB28" si="211">IF(AA24=0,"-",Z24/AA24)</f>
        <v>-</v>
      </c>
      <c r="AC24" s="20">
        <v>0</v>
      </c>
      <c r="AD24" s="21">
        <v>0</v>
      </c>
      <c r="AE24" s="139" t="str">
        <f t="shared" ref="AE24" si="212">IF(AD24=0,"-",AC24/AD24)</f>
        <v>-</v>
      </c>
      <c r="AF24" s="20">
        <v>0</v>
      </c>
      <c r="AG24" s="21">
        <v>0</v>
      </c>
      <c r="AH24" s="139" t="str">
        <f t="shared" ref="AH24:AH28" si="213">IF(AG24=0,"-",AF24/AG24)</f>
        <v>-</v>
      </c>
      <c r="AI24" s="20">
        <v>0</v>
      </c>
      <c r="AJ24" s="21">
        <v>0</v>
      </c>
      <c r="AK24" s="139" t="str">
        <f t="shared" ref="AK24:AK25" si="214">IF(AJ24=0,"-",AI24/AJ24)</f>
        <v>-</v>
      </c>
      <c r="AL24" s="20">
        <v>7</v>
      </c>
      <c r="AM24" s="21">
        <v>1</v>
      </c>
      <c r="AN24" s="122">
        <f t="shared" si="10"/>
        <v>7</v>
      </c>
      <c r="AO24" s="20">
        <v>0</v>
      </c>
      <c r="AP24" s="21">
        <v>0</v>
      </c>
      <c r="AQ24" s="139" t="str">
        <f t="shared" ref="AQ24" si="215">IF(AP24=0,"-",AO24/AP24)</f>
        <v>-</v>
      </c>
      <c r="AR24" s="20">
        <v>0</v>
      </c>
      <c r="AS24" s="21">
        <v>0</v>
      </c>
      <c r="AT24" s="139" t="str">
        <f t="shared" ref="AT24" si="216">IF(AS24=0,"-",AR24/AS24)</f>
        <v>-</v>
      </c>
      <c r="AU24" s="20">
        <v>0</v>
      </c>
      <c r="AV24" s="21">
        <v>0</v>
      </c>
      <c r="AW24" s="139" t="str">
        <f t="shared" ref="AW24" si="217">IF(AV24=0,"-",AU24/AV24)</f>
        <v>-</v>
      </c>
      <c r="AX24" s="20">
        <v>0</v>
      </c>
      <c r="AY24" s="21">
        <v>0</v>
      </c>
      <c r="AZ24" s="139" t="str">
        <f t="shared" ref="AZ24:AZ28" si="218">IF(AY24=0,"-",AX24/AY24)</f>
        <v>-</v>
      </c>
      <c r="BA24" s="20">
        <v>0</v>
      </c>
      <c r="BB24" s="21">
        <v>0</v>
      </c>
      <c r="BC24" s="139" t="str">
        <f t="shared" si="210"/>
        <v>-</v>
      </c>
      <c r="BD24" s="20">
        <v>0</v>
      </c>
      <c r="BE24" s="21">
        <v>0</v>
      </c>
      <c r="BF24" s="139" t="str">
        <f t="shared" ref="BF24:BF26" si="219">IF(BE24=0,"-",BD24/BE24)</f>
        <v>-</v>
      </c>
      <c r="BG24" s="20">
        <v>0</v>
      </c>
      <c r="BH24" s="21">
        <v>0</v>
      </c>
      <c r="BI24" s="139" t="str">
        <f t="shared" ref="BI24:BI26" si="220">IF(BH24=0,"-",BG24/BH24)</f>
        <v>-</v>
      </c>
      <c r="BJ24" s="20">
        <v>0</v>
      </c>
      <c r="BK24" s="21">
        <v>0</v>
      </c>
      <c r="BL24" s="139" t="str">
        <f t="shared" ref="BL24:BL26" si="221">IF(BK24=0,"-",BJ24/BK24)</f>
        <v>-</v>
      </c>
      <c r="BM24" s="117">
        <f t="shared" si="32"/>
        <v>121</v>
      </c>
      <c r="BN24" s="120">
        <f>BK24+BH24+BE24+BB24+AY24+AV24+AS24+AP24+AM24+L24+R24+O24+I24+F25+AJ24+AG24+AD24+AA24+X24+C24</f>
        <v>19</v>
      </c>
      <c r="BO24" s="147">
        <f t="shared" si="20"/>
        <v>6.3684210526315788</v>
      </c>
    </row>
    <row r="25" spans="1:67" ht="15" thickBot="1" x14ac:dyDescent="0.35">
      <c r="A25" s="1">
        <v>45372</v>
      </c>
      <c r="B25" s="20">
        <v>0</v>
      </c>
      <c r="C25" s="21">
        <v>0</v>
      </c>
      <c r="D25" s="139" t="s">
        <v>32</v>
      </c>
      <c r="E25" s="20">
        <v>7</v>
      </c>
      <c r="F25" s="21">
        <v>1</v>
      </c>
      <c r="G25" s="122">
        <f t="shared" si="43"/>
        <v>7</v>
      </c>
      <c r="H25" s="20">
        <v>12</v>
      </c>
      <c r="I25" s="21">
        <v>2</v>
      </c>
      <c r="J25" s="122">
        <f t="shared" si="44"/>
        <v>6</v>
      </c>
      <c r="K25" s="20">
        <v>0</v>
      </c>
      <c r="L25" s="21">
        <v>0</v>
      </c>
      <c r="M25" s="139" t="s">
        <v>32</v>
      </c>
      <c r="N25" s="20">
        <v>0</v>
      </c>
      <c r="O25" s="21">
        <v>0</v>
      </c>
      <c r="P25" s="139" t="s">
        <v>32</v>
      </c>
      <c r="Q25" s="20">
        <v>5</v>
      </c>
      <c r="R25" s="21">
        <v>1</v>
      </c>
      <c r="S25" s="122">
        <f t="shared" si="3"/>
        <v>5</v>
      </c>
      <c r="T25" s="20">
        <v>0</v>
      </c>
      <c r="U25" s="21">
        <v>0</v>
      </c>
      <c r="V25" s="139" t="s">
        <v>32</v>
      </c>
      <c r="W25" s="20">
        <v>0</v>
      </c>
      <c r="X25" s="21">
        <v>0</v>
      </c>
      <c r="Y25" s="139" t="s">
        <v>32</v>
      </c>
      <c r="Z25" s="20">
        <v>0</v>
      </c>
      <c r="AA25" s="21">
        <v>0</v>
      </c>
      <c r="AB25" s="139" t="str">
        <f t="shared" si="211"/>
        <v>-</v>
      </c>
      <c r="AC25" s="20">
        <v>1</v>
      </c>
      <c r="AD25" s="21">
        <v>1</v>
      </c>
      <c r="AE25" s="122">
        <f t="shared" si="7"/>
        <v>1</v>
      </c>
      <c r="AF25" s="20">
        <v>0</v>
      </c>
      <c r="AG25" s="21">
        <v>0</v>
      </c>
      <c r="AH25" s="139" t="str">
        <f t="shared" si="213"/>
        <v>-</v>
      </c>
      <c r="AI25" s="20">
        <v>0</v>
      </c>
      <c r="AJ25" s="21">
        <v>0</v>
      </c>
      <c r="AK25" s="139" t="str">
        <f t="shared" si="214"/>
        <v>-</v>
      </c>
      <c r="AL25" s="20">
        <v>16</v>
      </c>
      <c r="AM25" s="21">
        <v>2</v>
      </c>
      <c r="AN25" s="122">
        <f t="shared" si="10"/>
        <v>8</v>
      </c>
      <c r="AO25" s="20">
        <v>7</v>
      </c>
      <c r="AP25" s="21">
        <v>1</v>
      </c>
      <c r="AQ25" s="122">
        <f t="shared" ref="AQ25" si="222">IF(AP25=0,"",AO25/AP25)</f>
        <v>7</v>
      </c>
      <c r="AR25" s="20">
        <v>21</v>
      </c>
      <c r="AS25" s="21">
        <v>3</v>
      </c>
      <c r="AT25" s="122">
        <f t="shared" si="52"/>
        <v>7</v>
      </c>
      <c r="AU25" s="20">
        <v>7</v>
      </c>
      <c r="AV25" s="21">
        <v>1</v>
      </c>
      <c r="AW25" s="122">
        <f t="shared" si="13"/>
        <v>7</v>
      </c>
      <c r="AX25" s="20">
        <v>0</v>
      </c>
      <c r="AY25" s="21">
        <v>0</v>
      </c>
      <c r="AZ25" s="139" t="str">
        <f t="shared" si="218"/>
        <v>-</v>
      </c>
      <c r="BA25" s="20">
        <v>0</v>
      </c>
      <c r="BB25" s="21">
        <v>0</v>
      </c>
      <c r="BC25" s="139" t="str">
        <f t="shared" si="210"/>
        <v>-</v>
      </c>
      <c r="BD25" s="20">
        <v>0</v>
      </c>
      <c r="BE25" s="21">
        <v>0</v>
      </c>
      <c r="BF25" s="139" t="str">
        <f t="shared" si="219"/>
        <v>-</v>
      </c>
      <c r="BG25" s="20">
        <v>0</v>
      </c>
      <c r="BH25" s="21">
        <v>0</v>
      </c>
      <c r="BI25" s="139" t="str">
        <f t="shared" si="220"/>
        <v>-</v>
      </c>
      <c r="BJ25" s="20">
        <v>0</v>
      </c>
      <c r="BK25" s="21">
        <v>0</v>
      </c>
      <c r="BL25" s="139" t="str">
        <f t="shared" si="221"/>
        <v>-</v>
      </c>
      <c r="BM25" s="117">
        <f t="shared" si="32"/>
        <v>76</v>
      </c>
      <c r="BN25" s="120">
        <f>BK25+BH25+BE25+BB25+AY25+AV25+AS25+AP25+AM25+L25+R25+O25+I25+F25+AJ26+AG25+AD25+AA25+X25+C25</f>
        <v>12</v>
      </c>
      <c r="BO25" s="147">
        <f t="shared" si="20"/>
        <v>6.333333333333333</v>
      </c>
    </row>
    <row r="26" spans="1:67" ht="15" thickBot="1" x14ac:dyDescent="0.35">
      <c r="A26" s="1">
        <v>45373</v>
      </c>
      <c r="B26" s="20">
        <v>0</v>
      </c>
      <c r="C26" s="21">
        <v>0</v>
      </c>
      <c r="D26" s="139" t="s">
        <v>32</v>
      </c>
      <c r="E26" s="20">
        <v>0</v>
      </c>
      <c r="F26" s="21">
        <v>0</v>
      </c>
      <c r="G26" s="139" t="s">
        <v>32</v>
      </c>
      <c r="H26" s="20">
        <v>0</v>
      </c>
      <c r="I26" s="21">
        <v>0</v>
      </c>
      <c r="J26" s="139" t="s">
        <v>32</v>
      </c>
      <c r="K26" s="20">
        <v>0</v>
      </c>
      <c r="L26" s="21">
        <v>0</v>
      </c>
      <c r="M26" s="139" t="s">
        <v>32</v>
      </c>
      <c r="N26" s="20">
        <v>0</v>
      </c>
      <c r="O26" s="21">
        <v>0</v>
      </c>
      <c r="P26" s="139" t="s">
        <v>32</v>
      </c>
      <c r="Q26" s="20">
        <v>0</v>
      </c>
      <c r="R26" s="21">
        <v>0</v>
      </c>
      <c r="S26" s="139" t="s">
        <v>32</v>
      </c>
      <c r="T26" s="20">
        <v>0</v>
      </c>
      <c r="U26" s="21">
        <v>0</v>
      </c>
      <c r="V26" s="139" t="s">
        <v>32</v>
      </c>
      <c r="W26" s="20">
        <v>1</v>
      </c>
      <c r="X26" s="21">
        <v>1</v>
      </c>
      <c r="Y26" s="122">
        <f t="shared" si="5"/>
        <v>1</v>
      </c>
      <c r="Z26" s="20">
        <v>0</v>
      </c>
      <c r="AA26" s="21">
        <v>0</v>
      </c>
      <c r="AB26" s="139" t="str">
        <f t="shared" si="211"/>
        <v>-</v>
      </c>
      <c r="AC26" s="20">
        <v>0</v>
      </c>
      <c r="AD26" s="21">
        <v>0</v>
      </c>
      <c r="AE26" s="139" t="str">
        <f t="shared" ref="AE26:AE28" si="223">IF(AD26=0,"-",AC26/AD26)</f>
        <v>-</v>
      </c>
      <c r="AF26" s="20">
        <v>0</v>
      </c>
      <c r="AG26" s="21">
        <v>0</v>
      </c>
      <c r="AH26" s="139" t="str">
        <f t="shared" si="213"/>
        <v>-</v>
      </c>
      <c r="AI26" s="20">
        <v>0</v>
      </c>
      <c r="AJ26" s="21">
        <v>0</v>
      </c>
      <c r="AK26" s="139" t="str">
        <f t="shared" ref="AK26:AK28" si="224">IF(AJ26=0,"-",AI26/AJ26)</f>
        <v>-</v>
      </c>
      <c r="AL26" s="20">
        <v>8</v>
      </c>
      <c r="AM26" s="21">
        <v>1</v>
      </c>
      <c r="AN26" s="122">
        <f t="shared" si="10"/>
        <v>8</v>
      </c>
      <c r="AO26" s="20">
        <v>0</v>
      </c>
      <c r="AP26" s="21">
        <v>0</v>
      </c>
      <c r="AQ26" s="139" t="str">
        <f t="shared" ref="AQ26:AQ28" si="225">IF(AP26=0,"-",AO26/AP26)</f>
        <v>-</v>
      </c>
      <c r="AR26" s="20">
        <v>0</v>
      </c>
      <c r="AS26" s="21">
        <v>0</v>
      </c>
      <c r="AT26" s="139" t="str">
        <f t="shared" ref="AT26:AT28" si="226">IF(AS26=0,"-",AR26/AS26)</f>
        <v>-</v>
      </c>
      <c r="AU26" s="20">
        <v>0</v>
      </c>
      <c r="AV26" s="21">
        <v>0</v>
      </c>
      <c r="AW26" s="139" t="str">
        <f t="shared" ref="AW26" si="227">IF(AV26=0,"-",AU26/AV26)</f>
        <v>-</v>
      </c>
      <c r="AX26" s="20">
        <v>0</v>
      </c>
      <c r="AY26" s="21">
        <v>0</v>
      </c>
      <c r="AZ26" s="139" t="str">
        <f t="shared" si="218"/>
        <v>-</v>
      </c>
      <c r="BA26" s="20">
        <v>29</v>
      </c>
      <c r="BB26" s="21">
        <v>4</v>
      </c>
      <c r="BC26" s="122">
        <f t="shared" si="15"/>
        <v>7.25</v>
      </c>
      <c r="BD26" s="20">
        <v>0</v>
      </c>
      <c r="BE26" s="21">
        <v>0</v>
      </c>
      <c r="BF26" s="139" t="str">
        <f t="shared" si="219"/>
        <v>-</v>
      </c>
      <c r="BG26" s="20">
        <v>0</v>
      </c>
      <c r="BH26" s="21">
        <v>0</v>
      </c>
      <c r="BI26" s="139" t="str">
        <f t="shared" si="220"/>
        <v>-</v>
      </c>
      <c r="BJ26" s="20">
        <v>0</v>
      </c>
      <c r="BK26" s="21">
        <v>0</v>
      </c>
      <c r="BL26" s="139" t="str">
        <f t="shared" si="221"/>
        <v>-</v>
      </c>
      <c r="BM26" s="117">
        <f t="shared" si="32"/>
        <v>38</v>
      </c>
      <c r="BN26" s="120">
        <f>BK26+BH26+BE26+BB26+AY26+AV26+AS26+AP26+AM26+L26+R26+O26+I26+F26+AJ27+AG26+AD26+AA26+X26+C26</f>
        <v>6</v>
      </c>
      <c r="BO26" s="147">
        <f t="shared" si="20"/>
        <v>6.333333333333333</v>
      </c>
    </row>
    <row r="27" spans="1:67" ht="15" thickBot="1" x14ac:dyDescent="0.35">
      <c r="A27" s="1">
        <v>45374</v>
      </c>
      <c r="B27" s="20">
        <v>0</v>
      </c>
      <c r="C27" s="21">
        <v>0</v>
      </c>
      <c r="D27" s="139" t="s">
        <v>32</v>
      </c>
      <c r="E27" s="20">
        <v>0</v>
      </c>
      <c r="F27" s="21">
        <v>0</v>
      </c>
      <c r="G27" s="139" t="s">
        <v>32</v>
      </c>
      <c r="H27" s="20">
        <v>0</v>
      </c>
      <c r="I27" s="21">
        <v>0</v>
      </c>
      <c r="J27" s="139" t="s">
        <v>32</v>
      </c>
      <c r="K27" s="20">
        <v>0</v>
      </c>
      <c r="L27" s="21">
        <v>0</v>
      </c>
      <c r="M27" s="139" t="s">
        <v>32</v>
      </c>
      <c r="N27" s="20">
        <v>0</v>
      </c>
      <c r="O27" s="21">
        <v>0</v>
      </c>
      <c r="P27" s="139" t="s">
        <v>32</v>
      </c>
      <c r="Q27" s="20">
        <v>0</v>
      </c>
      <c r="R27" s="21">
        <v>0</v>
      </c>
      <c r="S27" s="139" t="s">
        <v>32</v>
      </c>
      <c r="T27" s="20">
        <v>0</v>
      </c>
      <c r="U27" s="21">
        <v>0</v>
      </c>
      <c r="V27" s="139" t="s">
        <v>32</v>
      </c>
      <c r="W27" s="20">
        <v>0</v>
      </c>
      <c r="X27" s="21">
        <v>0</v>
      </c>
      <c r="Y27" s="139" t="s">
        <v>32</v>
      </c>
      <c r="Z27" s="20">
        <v>0</v>
      </c>
      <c r="AA27" s="21">
        <v>0</v>
      </c>
      <c r="AB27" s="139" t="str">
        <f t="shared" si="211"/>
        <v>-</v>
      </c>
      <c r="AC27" s="20">
        <v>0</v>
      </c>
      <c r="AD27" s="21">
        <v>0</v>
      </c>
      <c r="AE27" s="139" t="str">
        <f t="shared" si="223"/>
        <v>-</v>
      </c>
      <c r="AF27" s="20">
        <v>0</v>
      </c>
      <c r="AG27" s="21">
        <v>0</v>
      </c>
      <c r="AH27" s="139" t="str">
        <f t="shared" si="213"/>
        <v>-</v>
      </c>
      <c r="AI27" s="20">
        <v>0</v>
      </c>
      <c r="AJ27" s="21">
        <v>0</v>
      </c>
      <c r="AK27" s="139" t="str">
        <f t="shared" si="224"/>
        <v>-</v>
      </c>
      <c r="AL27" s="20">
        <v>35</v>
      </c>
      <c r="AM27" s="21">
        <v>5</v>
      </c>
      <c r="AN27" s="122">
        <f t="shared" si="10"/>
        <v>7</v>
      </c>
      <c r="AO27" s="20">
        <v>0</v>
      </c>
      <c r="AP27" s="21">
        <v>0</v>
      </c>
      <c r="AQ27" s="139" t="str">
        <f t="shared" si="225"/>
        <v>-</v>
      </c>
      <c r="AR27" s="20">
        <v>0</v>
      </c>
      <c r="AS27" s="21">
        <v>0</v>
      </c>
      <c r="AT27" s="139" t="str">
        <f t="shared" si="226"/>
        <v>-</v>
      </c>
      <c r="AU27" s="20">
        <v>14</v>
      </c>
      <c r="AV27" s="21">
        <v>2</v>
      </c>
      <c r="AW27" s="122">
        <f t="shared" si="13"/>
        <v>7</v>
      </c>
      <c r="AX27" s="20">
        <v>0</v>
      </c>
      <c r="AY27" s="21">
        <v>0</v>
      </c>
      <c r="AZ27" s="139" t="str">
        <f t="shared" si="218"/>
        <v>-</v>
      </c>
      <c r="BA27" s="20">
        <v>0</v>
      </c>
      <c r="BB27" s="21">
        <v>0</v>
      </c>
      <c r="BC27" s="139" t="str">
        <f t="shared" ref="BC27:BC28" si="228">IF(BB27=0,"-",BA27/BB27)</f>
        <v>-</v>
      </c>
      <c r="BD27" s="20">
        <v>0</v>
      </c>
      <c r="BE27" s="21">
        <v>0</v>
      </c>
      <c r="BF27" s="139" t="str">
        <f t="shared" ref="BF27:BF28" si="229">IF(BE27=0,"-",BD27/BE27)</f>
        <v>-</v>
      </c>
      <c r="BG27" s="20">
        <v>0</v>
      </c>
      <c r="BH27" s="21">
        <v>0</v>
      </c>
      <c r="BI27" s="139" t="str">
        <f t="shared" ref="BI27:BI28" si="230">IF(BH27=0,"-",BG27/BH27)</f>
        <v>-</v>
      </c>
      <c r="BJ27" s="20">
        <v>0</v>
      </c>
      <c r="BK27" s="21">
        <v>0</v>
      </c>
      <c r="BL27" s="139" t="str">
        <f t="shared" ref="BL27:BL28" si="231">IF(BK27=0,"-",BJ27/BK27)</f>
        <v>-</v>
      </c>
      <c r="BM27" s="117">
        <f t="shared" si="32"/>
        <v>49</v>
      </c>
      <c r="BN27" s="120">
        <f>BK27+BH27+BE27+BB27+AY27+AV27+AS27+AP27+AM27+L27+R27+O27+I27+F27+AJ28+AG27+AD27+AA27+X27+C27</f>
        <v>7</v>
      </c>
      <c r="BO27" s="147">
        <f t="shared" si="20"/>
        <v>7</v>
      </c>
    </row>
    <row r="28" spans="1:67" ht="15" thickBot="1" x14ac:dyDescent="0.35">
      <c r="A28" s="1">
        <v>45375</v>
      </c>
      <c r="B28" s="20">
        <v>0</v>
      </c>
      <c r="C28" s="21">
        <v>0</v>
      </c>
      <c r="D28" s="139" t="s">
        <v>32</v>
      </c>
      <c r="E28" s="20">
        <v>0</v>
      </c>
      <c r="F28" s="21">
        <v>0</v>
      </c>
      <c r="G28" s="139" t="s">
        <v>32</v>
      </c>
      <c r="H28" s="20">
        <v>0</v>
      </c>
      <c r="I28" s="21">
        <v>0</v>
      </c>
      <c r="J28" s="139" t="s">
        <v>32</v>
      </c>
      <c r="K28" s="20">
        <v>0</v>
      </c>
      <c r="L28" s="21">
        <v>0</v>
      </c>
      <c r="M28" s="139" t="s">
        <v>32</v>
      </c>
      <c r="N28" s="20">
        <v>0</v>
      </c>
      <c r="O28" s="21">
        <v>0</v>
      </c>
      <c r="P28" s="139" t="s">
        <v>32</v>
      </c>
      <c r="Q28" s="20">
        <v>0</v>
      </c>
      <c r="R28" s="21">
        <v>0</v>
      </c>
      <c r="S28" s="139" t="s">
        <v>32</v>
      </c>
      <c r="T28" s="20">
        <v>0</v>
      </c>
      <c r="U28" s="21">
        <v>0</v>
      </c>
      <c r="V28" s="139" t="s">
        <v>32</v>
      </c>
      <c r="W28" s="20">
        <v>0</v>
      </c>
      <c r="X28" s="21">
        <v>0</v>
      </c>
      <c r="Y28" s="139" t="s">
        <v>32</v>
      </c>
      <c r="Z28" s="20">
        <v>0</v>
      </c>
      <c r="AA28" s="21">
        <v>0</v>
      </c>
      <c r="AB28" s="139" t="str">
        <f t="shared" si="211"/>
        <v>-</v>
      </c>
      <c r="AC28" s="20">
        <v>0</v>
      </c>
      <c r="AD28" s="21">
        <v>0</v>
      </c>
      <c r="AE28" s="139" t="str">
        <f t="shared" si="223"/>
        <v>-</v>
      </c>
      <c r="AF28" s="20">
        <v>0</v>
      </c>
      <c r="AG28" s="21">
        <v>0</v>
      </c>
      <c r="AH28" s="139" t="str">
        <f t="shared" si="213"/>
        <v>-</v>
      </c>
      <c r="AI28" s="20">
        <v>0</v>
      </c>
      <c r="AJ28" s="21">
        <v>0</v>
      </c>
      <c r="AK28" s="139" t="str">
        <f t="shared" si="224"/>
        <v>-</v>
      </c>
      <c r="AL28" s="20">
        <v>14</v>
      </c>
      <c r="AM28" s="21">
        <v>2</v>
      </c>
      <c r="AN28" s="122">
        <f t="shared" si="10"/>
        <v>7</v>
      </c>
      <c r="AO28" s="20">
        <v>0</v>
      </c>
      <c r="AP28" s="21">
        <v>0</v>
      </c>
      <c r="AQ28" s="139" t="str">
        <f t="shared" si="225"/>
        <v>-</v>
      </c>
      <c r="AR28" s="20">
        <v>0</v>
      </c>
      <c r="AS28" s="21">
        <v>0</v>
      </c>
      <c r="AT28" s="139" t="str">
        <f t="shared" si="226"/>
        <v>-</v>
      </c>
      <c r="AU28" s="20">
        <v>0</v>
      </c>
      <c r="AV28" s="21">
        <v>0</v>
      </c>
      <c r="AW28" s="139" t="str">
        <f t="shared" ref="AW28" si="232">IF(AV28=0,"-",AU28/AV28)</f>
        <v>-</v>
      </c>
      <c r="AX28" s="20">
        <v>0</v>
      </c>
      <c r="AY28" s="21">
        <v>0</v>
      </c>
      <c r="AZ28" s="139" t="str">
        <f t="shared" si="218"/>
        <v>-</v>
      </c>
      <c r="BA28" s="20">
        <v>0</v>
      </c>
      <c r="BB28" s="21">
        <v>0</v>
      </c>
      <c r="BC28" s="139" t="str">
        <f t="shared" si="228"/>
        <v>-</v>
      </c>
      <c r="BD28" s="20">
        <v>0</v>
      </c>
      <c r="BE28" s="21">
        <v>0</v>
      </c>
      <c r="BF28" s="139" t="str">
        <f t="shared" si="229"/>
        <v>-</v>
      </c>
      <c r="BG28" s="20">
        <v>0</v>
      </c>
      <c r="BH28" s="21">
        <v>0</v>
      </c>
      <c r="BI28" s="139" t="str">
        <f t="shared" si="230"/>
        <v>-</v>
      </c>
      <c r="BJ28" s="20">
        <v>0</v>
      </c>
      <c r="BK28" s="21">
        <v>0</v>
      </c>
      <c r="BL28" s="139" t="str">
        <f t="shared" si="231"/>
        <v>-</v>
      </c>
      <c r="BM28" s="117">
        <f t="shared" si="32"/>
        <v>14</v>
      </c>
      <c r="BN28" s="120">
        <f t="shared" si="190"/>
        <v>2</v>
      </c>
      <c r="BO28" s="147">
        <f t="shared" si="20"/>
        <v>7</v>
      </c>
    </row>
    <row r="29" spans="1:67" ht="15" thickBot="1" x14ac:dyDescent="0.35">
      <c r="A29" s="1">
        <v>45376</v>
      </c>
      <c r="B29" s="20">
        <v>104</v>
      </c>
      <c r="C29" s="21">
        <v>11</v>
      </c>
      <c r="D29" s="122">
        <f t="shared" si="0"/>
        <v>9.454545454545455</v>
      </c>
      <c r="E29" s="20">
        <v>9</v>
      </c>
      <c r="F29" s="21">
        <v>1</v>
      </c>
      <c r="G29" s="122">
        <f t="shared" si="43"/>
        <v>9</v>
      </c>
      <c r="H29" s="20">
        <v>0</v>
      </c>
      <c r="I29" s="21">
        <v>0</v>
      </c>
      <c r="J29" s="139" t="s">
        <v>32</v>
      </c>
      <c r="K29" s="20">
        <v>0</v>
      </c>
      <c r="L29" s="21">
        <v>0</v>
      </c>
      <c r="M29" s="139" t="s">
        <v>32</v>
      </c>
      <c r="N29" s="23">
        <v>32</v>
      </c>
      <c r="O29" s="21">
        <v>6</v>
      </c>
      <c r="P29" s="122">
        <f t="shared" si="2"/>
        <v>5.333333333333333</v>
      </c>
      <c r="Q29" s="20">
        <v>115</v>
      </c>
      <c r="R29" s="21">
        <v>21</v>
      </c>
      <c r="S29" s="122">
        <f t="shared" si="3"/>
        <v>5.4761904761904763</v>
      </c>
      <c r="T29" s="20">
        <v>0</v>
      </c>
      <c r="U29" s="21">
        <v>0</v>
      </c>
      <c r="V29" s="139" t="s">
        <v>32</v>
      </c>
      <c r="W29" s="20">
        <v>0</v>
      </c>
      <c r="X29" s="21">
        <v>0</v>
      </c>
      <c r="Y29" s="139" t="s">
        <v>32</v>
      </c>
      <c r="Z29" s="20">
        <v>0</v>
      </c>
      <c r="AA29" s="21">
        <v>0</v>
      </c>
      <c r="AB29" s="139" t="str">
        <f t="shared" ref="AB29" si="233">IF(AA29=0,"-",Z29/AA29)</f>
        <v>-</v>
      </c>
      <c r="AC29" s="20">
        <v>0</v>
      </c>
      <c r="AD29" s="21">
        <v>0</v>
      </c>
      <c r="AE29" s="139" t="str">
        <f t="shared" ref="AE29" si="234">IF(AD29=0,"-",AC29/AD29)</f>
        <v>-</v>
      </c>
      <c r="AF29" s="20">
        <v>0</v>
      </c>
      <c r="AG29" s="21">
        <v>0</v>
      </c>
      <c r="AH29" s="139" t="str">
        <f t="shared" ref="AH29" si="235">IF(AG29=0,"-",AF29/AG29)</f>
        <v>-</v>
      </c>
      <c r="AI29" s="20">
        <v>0</v>
      </c>
      <c r="AJ29" s="21">
        <v>0</v>
      </c>
      <c r="AK29" s="139" t="str">
        <f t="shared" ref="AK29" si="236">IF(AJ29=0,"-",AI29/AJ29)</f>
        <v>-</v>
      </c>
      <c r="AL29" s="20">
        <v>12</v>
      </c>
      <c r="AM29" s="21">
        <v>2</v>
      </c>
      <c r="AN29" s="122">
        <f t="shared" si="10"/>
        <v>6</v>
      </c>
      <c r="AO29" s="20">
        <v>0</v>
      </c>
      <c r="AP29" s="21">
        <v>0</v>
      </c>
      <c r="AQ29" s="139" t="str">
        <f t="shared" ref="AQ29" si="237">IF(AP29=0,"-",AO29/AP29)</f>
        <v>-</v>
      </c>
      <c r="AR29" s="20">
        <v>0</v>
      </c>
      <c r="AS29" s="21">
        <v>0</v>
      </c>
      <c r="AT29" s="139" t="str">
        <f t="shared" ref="AT29" si="238">IF(AS29=0,"-",AR29/AS29)</f>
        <v>-</v>
      </c>
      <c r="AU29" s="20">
        <v>7</v>
      </c>
      <c r="AV29" s="21">
        <v>1</v>
      </c>
      <c r="AW29" s="122">
        <f t="shared" si="13"/>
        <v>7</v>
      </c>
      <c r="AX29" s="20">
        <v>0</v>
      </c>
      <c r="AY29" s="21">
        <v>0</v>
      </c>
      <c r="AZ29" s="139" t="str">
        <f t="shared" ref="AZ29:AZ30" si="239">IF(AY29=0,"-",AX29/AY29)</f>
        <v>-</v>
      </c>
      <c r="BA29" s="20">
        <v>0</v>
      </c>
      <c r="BB29" s="21">
        <v>0</v>
      </c>
      <c r="BC29" s="139" t="str">
        <f t="shared" ref="BC29" si="240">IF(BB29=0,"-",BA29/BB29)</f>
        <v>-</v>
      </c>
      <c r="BD29" s="20">
        <v>0</v>
      </c>
      <c r="BE29" s="21">
        <v>0</v>
      </c>
      <c r="BF29" s="139" t="str">
        <f t="shared" ref="BF29" si="241">IF(BE29=0,"-",BD29/BE29)</f>
        <v>-</v>
      </c>
      <c r="BG29" s="20">
        <v>0</v>
      </c>
      <c r="BH29" s="21">
        <v>0</v>
      </c>
      <c r="BI29" s="139" t="str">
        <f t="shared" ref="BI29" si="242">IF(BH29=0,"-",BG29/BH29)</f>
        <v>-</v>
      </c>
      <c r="BJ29" s="20">
        <v>0</v>
      </c>
      <c r="BK29" s="21">
        <v>0</v>
      </c>
      <c r="BL29" s="139" t="str">
        <f t="shared" ref="BL29" si="243">IF(BK29=0,"-",BJ29/BK29)</f>
        <v>-</v>
      </c>
      <c r="BM29" s="117">
        <f t="shared" si="32"/>
        <v>279</v>
      </c>
      <c r="BN29" s="120">
        <f t="shared" si="190"/>
        <v>42</v>
      </c>
      <c r="BO29" s="147">
        <f t="shared" si="20"/>
        <v>6.6428571428571432</v>
      </c>
    </row>
    <row r="30" spans="1:67" ht="15" thickBot="1" x14ac:dyDescent="0.35">
      <c r="A30" s="1">
        <v>45377</v>
      </c>
      <c r="B30" s="20">
        <v>62</v>
      </c>
      <c r="C30" s="21">
        <v>7</v>
      </c>
      <c r="D30" s="122">
        <f t="shared" si="0"/>
        <v>8.8571428571428577</v>
      </c>
      <c r="E30" s="20">
        <v>0</v>
      </c>
      <c r="F30" s="21">
        <v>0</v>
      </c>
      <c r="G30" s="139" t="s">
        <v>32</v>
      </c>
      <c r="H30" s="20">
        <v>5</v>
      </c>
      <c r="I30" s="21">
        <v>1</v>
      </c>
      <c r="J30" s="122">
        <f t="shared" si="44"/>
        <v>5</v>
      </c>
      <c r="K30" s="20">
        <v>0</v>
      </c>
      <c r="L30" s="21">
        <v>0</v>
      </c>
      <c r="M30" s="139" t="s">
        <v>32</v>
      </c>
      <c r="N30" s="23">
        <v>11</v>
      </c>
      <c r="O30" s="21">
        <v>2</v>
      </c>
      <c r="P30" s="122">
        <f t="shared" si="2"/>
        <v>5.5</v>
      </c>
      <c r="Q30" s="20">
        <v>232</v>
      </c>
      <c r="R30" s="21">
        <v>54</v>
      </c>
      <c r="S30" s="139" t="s">
        <v>32</v>
      </c>
      <c r="T30" s="20">
        <v>0</v>
      </c>
      <c r="U30" s="21">
        <v>0</v>
      </c>
      <c r="V30" s="139" t="s">
        <v>32</v>
      </c>
      <c r="W30" s="20">
        <v>0</v>
      </c>
      <c r="X30" s="21">
        <v>0</v>
      </c>
      <c r="Y30" s="139" t="s">
        <v>32</v>
      </c>
      <c r="Z30" s="20">
        <v>0</v>
      </c>
      <c r="AA30" s="21">
        <v>0</v>
      </c>
      <c r="AB30" s="139" t="str">
        <f t="shared" ref="AB30" si="244">IF(AA30=0,"-",Z30/AA30)</f>
        <v>-</v>
      </c>
      <c r="AC30" s="20">
        <v>0</v>
      </c>
      <c r="AD30" s="21">
        <v>0</v>
      </c>
      <c r="AE30" s="139" t="str">
        <f t="shared" ref="AE30" si="245">IF(AD30=0,"-",AC30/AD30)</f>
        <v>-</v>
      </c>
      <c r="AF30" s="20">
        <v>0</v>
      </c>
      <c r="AG30" s="21">
        <v>0</v>
      </c>
      <c r="AH30" s="139" t="str">
        <f t="shared" ref="AH30" si="246">IF(AG30=0,"-",AF30/AG30)</f>
        <v>-</v>
      </c>
      <c r="AI30" s="20">
        <v>0</v>
      </c>
      <c r="AJ30" s="21">
        <v>0</v>
      </c>
      <c r="AK30" s="139" t="str">
        <f t="shared" ref="AK30" si="247">IF(AJ30=0,"-",AI30/AJ30)</f>
        <v>-</v>
      </c>
      <c r="AL30" s="20">
        <v>7</v>
      </c>
      <c r="AM30" s="21">
        <v>1</v>
      </c>
      <c r="AN30" s="122">
        <f t="shared" si="10"/>
        <v>7</v>
      </c>
      <c r="AO30" s="20">
        <v>0</v>
      </c>
      <c r="AP30" s="21">
        <v>0</v>
      </c>
      <c r="AQ30" s="139" t="str">
        <f t="shared" ref="AQ30" si="248">IF(AP30=0,"-",AO30/AP30)</f>
        <v>-</v>
      </c>
      <c r="AR30" s="20">
        <v>0</v>
      </c>
      <c r="AS30" s="21">
        <v>0</v>
      </c>
      <c r="AT30" s="139" t="str">
        <f t="shared" ref="AT30" si="249">IF(AS30=0,"-",AR30/AS30)</f>
        <v>-</v>
      </c>
      <c r="AU30" s="20">
        <v>0</v>
      </c>
      <c r="AV30" s="21">
        <v>0</v>
      </c>
      <c r="AW30" s="139" t="str">
        <f t="shared" ref="AW30" si="250">IF(AV30=0,"-",AU30/AV30)</f>
        <v>-</v>
      </c>
      <c r="AX30" s="20">
        <v>0</v>
      </c>
      <c r="AY30" s="21">
        <v>0</v>
      </c>
      <c r="AZ30" s="139" t="str">
        <f t="shared" si="239"/>
        <v>-</v>
      </c>
      <c r="BA30" s="20">
        <v>0</v>
      </c>
      <c r="BB30" s="21">
        <v>0</v>
      </c>
      <c r="BC30" s="139" t="str">
        <f t="shared" ref="BC30" si="251">IF(BB30=0,"-",BA30/BB30)</f>
        <v>-</v>
      </c>
      <c r="BD30" s="20">
        <v>0</v>
      </c>
      <c r="BE30" s="21">
        <v>0</v>
      </c>
      <c r="BF30" s="139" t="str">
        <f t="shared" ref="BF30" si="252">IF(BE30=0,"-",BD30/BE30)</f>
        <v>-</v>
      </c>
      <c r="BG30" s="20">
        <v>0</v>
      </c>
      <c r="BH30" s="21">
        <v>0</v>
      </c>
      <c r="BI30" s="139" t="str">
        <f t="shared" ref="BI30" si="253">IF(BH30=0,"-",BG30/BH30)</f>
        <v>-</v>
      </c>
      <c r="BJ30" s="20">
        <v>0</v>
      </c>
      <c r="BK30" s="21">
        <v>0</v>
      </c>
      <c r="BL30" s="139" t="str">
        <f t="shared" ref="BL30" si="254">IF(BK30=0,"-",BJ30/BK30)</f>
        <v>-</v>
      </c>
      <c r="BM30" s="117">
        <f t="shared" si="32"/>
        <v>317</v>
      </c>
      <c r="BN30" s="120">
        <f t="shared" si="190"/>
        <v>65</v>
      </c>
      <c r="BO30" s="147">
        <f t="shared" si="20"/>
        <v>4.8769230769230774</v>
      </c>
    </row>
    <row r="31" spans="1:67" ht="15" thickBot="1" x14ac:dyDescent="0.35">
      <c r="A31" s="1">
        <v>45378</v>
      </c>
      <c r="B31" s="20">
        <v>18</v>
      </c>
      <c r="C31" s="21">
        <v>2</v>
      </c>
      <c r="D31" s="122">
        <f t="shared" si="0"/>
        <v>9</v>
      </c>
      <c r="E31" s="20">
        <v>0</v>
      </c>
      <c r="F31" s="21">
        <v>0</v>
      </c>
      <c r="G31" s="139" t="s">
        <v>32</v>
      </c>
      <c r="H31" s="20">
        <v>0</v>
      </c>
      <c r="I31" s="21">
        <v>0</v>
      </c>
      <c r="J31" s="139" t="s">
        <v>32</v>
      </c>
      <c r="K31" s="20">
        <v>0</v>
      </c>
      <c r="L31" s="21">
        <v>0</v>
      </c>
      <c r="M31" s="139" t="s">
        <v>32</v>
      </c>
      <c r="N31" s="20">
        <v>52</v>
      </c>
      <c r="O31" s="21">
        <v>10</v>
      </c>
      <c r="P31" s="122">
        <f t="shared" si="2"/>
        <v>5.2</v>
      </c>
      <c r="Q31" s="20">
        <v>0</v>
      </c>
      <c r="R31" s="21">
        <v>0</v>
      </c>
      <c r="S31" s="139" t="s">
        <v>32</v>
      </c>
      <c r="T31" s="20">
        <v>0</v>
      </c>
      <c r="U31" s="21">
        <v>0</v>
      </c>
      <c r="V31" s="139" t="s">
        <v>32</v>
      </c>
      <c r="W31" s="20">
        <v>7</v>
      </c>
      <c r="X31" s="21">
        <v>2</v>
      </c>
      <c r="Y31" s="122">
        <f t="shared" si="5"/>
        <v>3.5</v>
      </c>
      <c r="Z31" s="20">
        <v>0</v>
      </c>
      <c r="AA31" s="21">
        <v>0</v>
      </c>
      <c r="AB31" s="139" t="str">
        <f t="shared" ref="AB31" si="255">IF(AA31=0,"-",Z31/AA31)</f>
        <v>-</v>
      </c>
      <c r="AC31" s="20">
        <v>2</v>
      </c>
      <c r="AD31" s="21">
        <v>1</v>
      </c>
      <c r="AE31" s="122">
        <f t="shared" si="7"/>
        <v>2</v>
      </c>
      <c r="AF31" s="20">
        <v>0</v>
      </c>
      <c r="AG31" s="21">
        <v>0</v>
      </c>
      <c r="AH31" s="139" t="str">
        <f t="shared" ref="AH31" si="256">IF(AG31=0,"-",AF31/AG31)</f>
        <v>-</v>
      </c>
      <c r="AI31" s="20">
        <v>2</v>
      </c>
      <c r="AJ31" s="21">
        <v>1</v>
      </c>
      <c r="AK31" s="122">
        <f t="shared" si="91"/>
        <v>2</v>
      </c>
      <c r="AL31" s="20">
        <v>7</v>
      </c>
      <c r="AM31" s="21">
        <v>1</v>
      </c>
      <c r="AN31" s="122">
        <f t="shared" si="10"/>
        <v>7</v>
      </c>
      <c r="AO31" s="20">
        <v>0</v>
      </c>
      <c r="AP31" s="21">
        <v>0</v>
      </c>
      <c r="AQ31" s="139" t="str">
        <f t="shared" ref="AQ31" si="257">IF(AP31=0,"-",AO31/AP31)</f>
        <v>-</v>
      </c>
      <c r="AR31" s="20">
        <v>0</v>
      </c>
      <c r="AS31" s="21">
        <v>0</v>
      </c>
      <c r="AT31" s="139" t="str">
        <f t="shared" ref="AT31" si="258">IF(AS31=0,"-",AR31/AS31)</f>
        <v>-</v>
      </c>
      <c r="AU31" s="20">
        <v>0</v>
      </c>
      <c r="AV31" s="21">
        <v>0</v>
      </c>
      <c r="AW31" s="139" t="str">
        <f t="shared" ref="AW31" si="259">IF(AV31=0,"-",AU31/AV31)</f>
        <v>-</v>
      </c>
      <c r="AX31" s="20">
        <v>0</v>
      </c>
      <c r="AY31" s="21">
        <v>0</v>
      </c>
      <c r="AZ31" s="139" t="str">
        <f t="shared" ref="AZ31" si="260">IF(AY31=0,"-",AX31/AY31)</f>
        <v>-</v>
      </c>
      <c r="BA31" s="20">
        <v>6</v>
      </c>
      <c r="BB31" s="21">
        <v>1</v>
      </c>
      <c r="BC31" s="122">
        <f t="shared" si="15"/>
        <v>6</v>
      </c>
      <c r="BD31" s="20">
        <v>0</v>
      </c>
      <c r="BE31" s="21">
        <v>0</v>
      </c>
      <c r="BF31" s="139" t="str">
        <f t="shared" ref="BF31:BF35" si="261">IF(BE31=0,"-",BD31/BE31)</f>
        <v>-</v>
      </c>
      <c r="BG31" s="20">
        <v>0</v>
      </c>
      <c r="BH31" s="21">
        <v>0</v>
      </c>
      <c r="BI31" s="139" t="str">
        <f t="shared" ref="BI31:BI35" si="262">IF(BH31=0,"-",BG31/BH31)</f>
        <v>-</v>
      </c>
      <c r="BJ31" s="20">
        <v>0</v>
      </c>
      <c r="BK31" s="21">
        <v>0</v>
      </c>
      <c r="BL31" s="139" t="str">
        <f t="shared" ref="BL31:BL35" si="263">IF(BK31=0,"-",BJ31/BK31)</f>
        <v>-</v>
      </c>
      <c r="BM31" s="117">
        <f t="shared" si="32"/>
        <v>94</v>
      </c>
      <c r="BN31" s="120">
        <f t="shared" si="190"/>
        <v>18</v>
      </c>
      <c r="BO31" s="147">
        <f t="shared" si="20"/>
        <v>5.2222222222222223</v>
      </c>
    </row>
    <row r="32" spans="1:67" ht="15" thickBot="1" x14ac:dyDescent="0.35">
      <c r="A32" s="1">
        <v>45379</v>
      </c>
      <c r="B32" s="20">
        <v>17</v>
      </c>
      <c r="C32" s="21">
        <v>2</v>
      </c>
      <c r="D32" s="122">
        <f t="shared" si="0"/>
        <v>8.5</v>
      </c>
      <c r="E32" s="20">
        <v>6</v>
      </c>
      <c r="F32" s="21">
        <v>1</v>
      </c>
      <c r="G32" s="122">
        <f t="shared" si="43"/>
        <v>6</v>
      </c>
      <c r="H32" s="20">
        <v>0</v>
      </c>
      <c r="I32" s="21">
        <v>0</v>
      </c>
      <c r="J32" s="139" t="s">
        <v>32</v>
      </c>
      <c r="K32" s="20">
        <v>0</v>
      </c>
      <c r="L32" s="21">
        <v>0</v>
      </c>
      <c r="M32" s="139" t="s">
        <v>32</v>
      </c>
      <c r="N32" s="20">
        <v>18</v>
      </c>
      <c r="O32" s="21">
        <v>3</v>
      </c>
      <c r="P32" s="122">
        <f t="shared" si="2"/>
        <v>6</v>
      </c>
      <c r="Q32" s="20">
        <v>73</v>
      </c>
      <c r="R32" s="21">
        <v>18</v>
      </c>
      <c r="S32" s="122">
        <f t="shared" si="3"/>
        <v>4.0555555555555554</v>
      </c>
      <c r="T32" s="20">
        <v>0</v>
      </c>
      <c r="U32" s="21">
        <v>0</v>
      </c>
      <c r="V32" s="139" t="s">
        <v>32</v>
      </c>
      <c r="W32" s="20">
        <v>4</v>
      </c>
      <c r="X32" s="21">
        <v>1</v>
      </c>
      <c r="Y32" s="122">
        <f t="shared" si="88"/>
        <v>4</v>
      </c>
      <c r="Z32" s="20">
        <v>0</v>
      </c>
      <c r="AA32" s="21">
        <v>0</v>
      </c>
      <c r="AB32" s="139" t="str">
        <f t="shared" ref="AB32" si="264">IF(AA32=0,"-",Z32/AA32)</f>
        <v>-</v>
      </c>
      <c r="AC32" s="20">
        <v>2</v>
      </c>
      <c r="AD32" s="21">
        <v>1</v>
      </c>
      <c r="AE32" s="122">
        <f t="shared" si="7"/>
        <v>2</v>
      </c>
      <c r="AF32" s="20">
        <v>0</v>
      </c>
      <c r="AG32" s="21">
        <v>0</v>
      </c>
      <c r="AH32" s="139" t="str">
        <f t="shared" ref="AH32" si="265">IF(AG32=0,"-",AF32/AG32)</f>
        <v>-</v>
      </c>
      <c r="AI32" s="20">
        <v>0</v>
      </c>
      <c r="AJ32" s="21">
        <v>0</v>
      </c>
      <c r="AK32" s="139" t="str">
        <f t="shared" ref="AK32" si="266">IF(AJ32=0,"-",AI32/AJ32)</f>
        <v>-</v>
      </c>
      <c r="AL32" s="20">
        <v>35</v>
      </c>
      <c r="AM32" s="21">
        <v>5</v>
      </c>
      <c r="AN32" s="122">
        <f t="shared" si="10"/>
        <v>7</v>
      </c>
      <c r="AO32" s="20">
        <v>0</v>
      </c>
      <c r="AP32" s="21">
        <v>0</v>
      </c>
      <c r="AQ32" s="139" t="str">
        <f t="shared" ref="AQ32:AQ35" si="267">IF(AP32=0,"-",AO32/AP32)</f>
        <v>-</v>
      </c>
      <c r="AR32" s="20">
        <v>0</v>
      </c>
      <c r="AS32" s="21">
        <v>0</v>
      </c>
      <c r="AT32" s="139" t="str">
        <f t="shared" ref="AT32:AT35" si="268">IF(AS32=0,"-",AR32/AS32)</f>
        <v>-</v>
      </c>
      <c r="AU32" s="20">
        <v>0</v>
      </c>
      <c r="AV32" s="21">
        <v>0</v>
      </c>
      <c r="AW32" s="139" t="str">
        <f t="shared" ref="AW32:AW35" si="269">IF(AV32=0,"-",AU32/AV32)</f>
        <v>-</v>
      </c>
      <c r="AX32" s="20">
        <v>0</v>
      </c>
      <c r="AY32" s="21">
        <v>0</v>
      </c>
      <c r="AZ32" s="139" t="str">
        <f t="shared" ref="AZ32:AZ35" si="270">IF(AY32=0,"-",AX32/AY32)</f>
        <v>-</v>
      </c>
      <c r="BA32" s="20">
        <v>0</v>
      </c>
      <c r="BB32" s="21">
        <v>0</v>
      </c>
      <c r="BC32" s="139" t="str">
        <f t="shared" ref="BC32:BC35" si="271">IF(BB32=0,"-",BA32/BB32)</f>
        <v>-</v>
      </c>
      <c r="BD32" s="20">
        <v>0</v>
      </c>
      <c r="BE32" s="21">
        <v>0</v>
      </c>
      <c r="BF32" s="139" t="str">
        <f t="shared" si="261"/>
        <v>-</v>
      </c>
      <c r="BG32" s="20">
        <v>0</v>
      </c>
      <c r="BH32" s="21">
        <v>0</v>
      </c>
      <c r="BI32" s="139" t="str">
        <f t="shared" si="262"/>
        <v>-</v>
      </c>
      <c r="BJ32" s="20">
        <v>0</v>
      </c>
      <c r="BK32" s="21">
        <v>0</v>
      </c>
      <c r="BL32" s="139" t="str">
        <f t="shared" si="263"/>
        <v>-</v>
      </c>
      <c r="BM32" s="117">
        <f t="shared" si="32"/>
        <v>155</v>
      </c>
      <c r="BN32" s="120">
        <f t="shared" si="190"/>
        <v>31</v>
      </c>
      <c r="BO32" s="147">
        <f t="shared" si="20"/>
        <v>5</v>
      </c>
    </row>
    <row r="33" spans="1:67" ht="15" thickBot="1" x14ac:dyDescent="0.35">
      <c r="A33" s="1">
        <v>45380</v>
      </c>
      <c r="B33" s="20">
        <v>0</v>
      </c>
      <c r="C33" s="21">
        <v>0</v>
      </c>
      <c r="D33" s="139" t="s">
        <v>32</v>
      </c>
      <c r="E33" s="20">
        <v>0</v>
      </c>
      <c r="F33" s="21">
        <v>0</v>
      </c>
      <c r="G33" s="139" t="s">
        <v>32</v>
      </c>
      <c r="H33" s="20">
        <v>0</v>
      </c>
      <c r="I33" s="21">
        <v>0</v>
      </c>
      <c r="J33" s="139" t="s">
        <v>32</v>
      </c>
      <c r="K33" s="20">
        <v>0</v>
      </c>
      <c r="L33" s="21">
        <v>0</v>
      </c>
      <c r="M33" s="139" t="s">
        <v>32</v>
      </c>
      <c r="N33" s="20">
        <v>0</v>
      </c>
      <c r="O33" s="21">
        <v>0</v>
      </c>
      <c r="P33" s="139" t="s">
        <v>32</v>
      </c>
      <c r="Q33" s="20">
        <v>0</v>
      </c>
      <c r="R33" s="21">
        <v>0</v>
      </c>
      <c r="S33" s="139" t="s">
        <v>32</v>
      </c>
      <c r="T33" s="20">
        <v>0</v>
      </c>
      <c r="U33" s="21">
        <v>0</v>
      </c>
      <c r="V33" s="139" t="s">
        <v>32</v>
      </c>
      <c r="W33" s="20">
        <v>0</v>
      </c>
      <c r="X33" s="21">
        <v>0</v>
      </c>
      <c r="Y33" s="139" t="s">
        <v>32</v>
      </c>
      <c r="Z33" s="20">
        <v>0</v>
      </c>
      <c r="AA33" s="21">
        <v>0</v>
      </c>
      <c r="AB33" s="139" t="s">
        <v>32</v>
      </c>
      <c r="AC33" s="20">
        <v>0</v>
      </c>
      <c r="AD33" s="21">
        <v>0</v>
      </c>
      <c r="AE33" s="139" t="s">
        <v>32</v>
      </c>
      <c r="AF33" s="20">
        <v>0</v>
      </c>
      <c r="AG33" s="21">
        <v>0</v>
      </c>
      <c r="AH33" s="139" t="s">
        <v>32</v>
      </c>
      <c r="AI33" s="20">
        <v>0</v>
      </c>
      <c r="AJ33" s="21">
        <v>0</v>
      </c>
      <c r="AK33" s="139" t="s">
        <v>32</v>
      </c>
      <c r="AL33" s="20">
        <v>35</v>
      </c>
      <c r="AM33" s="21">
        <v>5</v>
      </c>
      <c r="AN33" s="122">
        <f t="shared" si="10"/>
        <v>7</v>
      </c>
      <c r="AO33" s="20">
        <v>0</v>
      </c>
      <c r="AP33" s="21">
        <v>0</v>
      </c>
      <c r="AQ33" s="139" t="str">
        <f t="shared" si="267"/>
        <v>-</v>
      </c>
      <c r="AR33" s="20">
        <v>0</v>
      </c>
      <c r="AS33" s="21">
        <v>0</v>
      </c>
      <c r="AT33" s="139" t="str">
        <f t="shared" si="268"/>
        <v>-</v>
      </c>
      <c r="AU33" s="20">
        <v>0</v>
      </c>
      <c r="AV33" s="21">
        <v>0</v>
      </c>
      <c r="AW33" s="139" t="str">
        <f t="shared" si="269"/>
        <v>-</v>
      </c>
      <c r="AX33" s="20">
        <v>0</v>
      </c>
      <c r="AY33" s="21">
        <v>0</v>
      </c>
      <c r="AZ33" s="139" t="str">
        <f t="shared" si="270"/>
        <v>-</v>
      </c>
      <c r="BA33" s="20">
        <v>0</v>
      </c>
      <c r="BB33" s="21">
        <v>0</v>
      </c>
      <c r="BC33" s="139" t="str">
        <f t="shared" si="271"/>
        <v>-</v>
      </c>
      <c r="BD33" s="20">
        <v>0</v>
      </c>
      <c r="BE33" s="21">
        <v>0</v>
      </c>
      <c r="BF33" s="139" t="str">
        <f t="shared" si="261"/>
        <v>-</v>
      </c>
      <c r="BG33" s="20">
        <v>0</v>
      </c>
      <c r="BH33" s="21">
        <v>0</v>
      </c>
      <c r="BI33" s="139" t="str">
        <f t="shared" si="262"/>
        <v>-</v>
      </c>
      <c r="BJ33" s="20">
        <v>0</v>
      </c>
      <c r="BK33" s="21">
        <v>0</v>
      </c>
      <c r="BL33" s="139" t="str">
        <f t="shared" si="263"/>
        <v>-</v>
      </c>
      <c r="BM33" s="117">
        <f t="shared" si="32"/>
        <v>35</v>
      </c>
      <c r="BN33" s="120">
        <f t="shared" si="190"/>
        <v>5</v>
      </c>
      <c r="BO33" s="147">
        <f t="shared" si="20"/>
        <v>7</v>
      </c>
    </row>
    <row r="34" spans="1:67" ht="15" thickBot="1" x14ac:dyDescent="0.35">
      <c r="A34" s="1">
        <v>45381</v>
      </c>
      <c r="B34" s="20">
        <v>0</v>
      </c>
      <c r="C34" s="21">
        <v>0</v>
      </c>
      <c r="D34" s="139" t="s">
        <v>32</v>
      </c>
      <c r="E34" s="20">
        <v>0</v>
      </c>
      <c r="F34" s="21">
        <v>0</v>
      </c>
      <c r="G34" s="139" t="s">
        <v>32</v>
      </c>
      <c r="H34" s="20">
        <v>0</v>
      </c>
      <c r="I34" s="21">
        <v>0</v>
      </c>
      <c r="J34" s="139" t="s">
        <v>32</v>
      </c>
      <c r="K34" s="20">
        <v>0</v>
      </c>
      <c r="L34" s="21">
        <v>0</v>
      </c>
      <c r="M34" s="139" t="s">
        <v>32</v>
      </c>
      <c r="N34" s="20">
        <v>0</v>
      </c>
      <c r="O34" s="21">
        <v>0</v>
      </c>
      <c r="P34" s="139" t="s">
        <v>32</v>
      </c>
      <c r="Q34" s="20">
        <v>0</v>
      </c>
      <c r="R34" s="21">
        <v>0</v>
      </c>
      <c r="S34" s="139" t="s">
        <v>32</v>
      </c>
      <c r="T34" s="20">
        <v>0</v>
      </c>
      <c r="U34" s="21">
        <v>0</v>
      </c>
      <c r="V34" s="139" t="s">
        <v>32</v>
      </c>
      <c r="W34" s="20">
        <v>0</v>
      </c>
      <c r="X34" s="21">
        <v>0</v>
      </c>
      <c r="Y34" s="139" t="s">
        <v>32</v>
      </c>
      <c r="Z34" s="20">
        <v>0</v>
      </c>
      <c r="AA34" s="21">
        <v>0</v>
      </c>
      <c r="AB34" s="139" t="s">
        <v>32</v>
      </c>
      <c r="AC34" s="20">
        <v>0</v>
      </c>
      <c r="AD34" s="21">
        <v>0</v>
      </c>
      <c r="AE34" s="139" t="s">
        <v>32</v>
      </c>
      <c r="AF34" s="20">
        <v>0</v>
      </c>
      <c r="AG34" s="21">
        <v>0</v>
      </c>
      <c r="AH34" s="139" t="s">
        <v>32</v>
      </c>
      <c r="AI34" s="20">
        <v>0</v>
      </c>
      <c r="AJ34" s="21">
        <v>0</v>
      </c>
      <c r="AK34" s="139" t="s">
        <v>32</v>
      </c>
      <c r="AL34" s="20">
        <v>7</v>
      </c>
      <c r="AM34" s="21">
        <v>1</v>
      </c>
      <c r="AN34" s="122">
        <f t="shared" ref="AN34" si="272">IF(AM34=0,"",AL34/AM34)</f>
        <v>7</v>
      </c>
      <c r="AO34" s="20">
        <v>0</v>
      </c>
      <c r="AP34" s="21">
        <v>0</v>
      </c>
      <c r="AQ34" s="139" t="str">
        <f t="shared" si="267"/>
        <v>-</v>
      </c>
      <c r="AR34" s="20">
        <v>0</v>
      </c>
      <c r="AS34" s="21">
        <v>0</v>
      </c>
      <c r="AT34" s="139" t="str">
        <f t="shared" si="268"/>
        <v>-</v>
      </c>
      <c r="AU34" s="20">
        <v>0</v>
      </c>
      <c r="AV34" s="21">
        <v>0</v>
      </c>
      <c r="AW34" s="139" t="str">
        <f t="shared" si="269"/>
        <v>-</v>
      </c>
      <c r="AX34" s="20">
        <v>0</v>
      </c>
      <c r="AY34" s="21">
        <v>0</v>
      </c>
      <c r="AZ34" s="139" t="str">
        <f t="shared" si="270"/>
        <v>-</v>
      </c>
      <c r="BA34" s="20">
        <v>0</v>
      </c>
      <c r="BB34" s="21">
        <v>0</v>
      </c>
      <c r="BC34" s="139" t="str">
        <f t="shared" si="271"/>
        <v>-</v>
      </c>
      <c r="BD34" s="20">
        <v>0</v>
      </c>
      <c r="BE34" s="21">
        <v>0</v>
      </c>
      <c r="BF34" s="139" t="str">
        <f t="shared" si="261"/>
        <v>-</v>
      </c>
      <c r="BG34" s="20">
        <v>0</v>
      </c>
      <c r="BH34" s="21">
        <v>0</v>
      </c>
      <c r="BI34" s="139" t="str">
        <f t="shared" si="262"/>
        <v>-</v>
      </c>
      <c r="BJ34" s="20">
        <v>0</v>
      </c>
      <c r="BK34" s="21">
        <v>0</v>
      </c>
      <c r="BL34" s="139" t="str">
        <f t="shared" si="263"/>
        <v>-</v>
      </c>
      <c r="BM34" s="117">
        <f t="shared" si="32"/>
        <v>7</v>
      </c>
      <c r="BN34" s="120">
        <f t="shared" ref="BN34:BN35" si="273">BK34+BH34+BE34+BB34+AY34+AV34+AS34+AP34+AM34+L34+R34+O34+I34+F34+AJ34+AG34+AD34+AA34+X34+C34</f>
        <v>1</v>
      </c>
      <c r="BO34" s="147">
        <f t="shared" ref="BO34:BO35" si="274">IF(BN34=0,"",BM34/BN34)</f>
        <v>7</v>
      </c>
    </row>
    <row r="35" spans="1:67" ht="15" thickBot="1" x14ac:dyDescent="0.35">
      <c r="A35" s="1">
        <v>45382</v>
      </c>
      <c r="B35" s="20">
        <v>0</v>
      </c>
      <c r="C35" s="21">
        <v>0</v>
      </c>
      <c r="D35" s="139" t="s">
        <v>32</v>
      </c>
      <c r="E35" s="20">
        <v>0</v>
      </c>
      <c r="F35" s="21">
        <v>0</v>
      </c>
      <c r="G35" s="139" t="s">
        <v>32</v>
      </c>
      <c r="H35" s="20">
        <v>0</v>
      </c>
      <c r="I35" s="21">
        <v>0</v>
      </c>
      <c r="J35" s="139" t="s">
        <v>32</v>
      </c>
      <c r="K35" s="20">
        <v>0</v>
      </c>
      <c r="L35" s="21">
        <v>0</v>
      </c>
      <c r="M35" s="139" t="s">
        <v>32</v>
      </c>
      <c r="N35" s="20">
        <v>0</v>
      </c>
      <c r="O35" s="21">
        <v>0</v>
      </c>
      <c r="P35" s="139" t="s">
        <v>32</v>
      </c>
      <c r="Q35" s="20">
        <v>0</v>
      </c>
      <c r="R35" s="21">
        <v>0</v>
      </c>
      <c r="S35" s="139" t="s">
        <v>32</v>
      </c>
      <c r="T35" s="20">
        <v>0</v>
      </c>
      <c r="U35" s="21">
        <v>0</v>
      </c>
      <c r="V35" s="139" t="s">
        <v>32</v>
      </c>
      <c r="W35" s="20">
        <v>0</v>
      </c>
      <c r="X35" s="21">
        <v>0</v>
      </c>
      <c r="Y35" s="139" t="s">
        <v>32</v>
      </c>
      <c r="Z35" s="20">
        <v>0</v>
      </c>
      <c r="AA35" s="21">
        <v>0</v>
      </c>
      <c r="AB35" s="139" t="s">
        <v>32</v>
      </c>
      <c r="AC35" s="20">
        <v>0</v>
      </c>
      <c r="AD35" s="21">
        <v>0</v>
      </c>
      <c r="AE35" s="139" t="s">
        <v>32</v>
      </c>
      <c r="AF35" s="20">
        <v>0</v>
      </c>
      <c r="AG35" s="21">
        <v>0</v>
      </c>
      <c r="AH35" s="139" t="s">
        <v>32</v>
      </c>
      <c r="AI35" s="20">
        <v>0</v>
      </c>
      <c r="AJ35" s="21">
        <v>0</v>
      </c>
      <c r="AK35" s="139" t="s">
        <v>32</v>
      </c>
      <c r="AL35" s="20">
        <v>0</v>
      </c>
      <c r="AM35" s="21">
        <v>0</v>
      </c>
      <c r="AN35" s="139" t="s">
        <v>32</v>
      </c>
      <c r="AO35" s="20">
        <v>0</v>
      </c>
      <c r="AP35" s="21">
        <v>0</v>
      </c>
      <c r="AQ35" s="139" t="str">
        <f t="shared" si="267"/>
        <v>-</v>
      </c>
      <c r="AR35" s="20">
        <v>0</v>
      </c>
      <c r="AS35" s="21">
        <v>0</v>
      </c>
      <c r="AT35" s="139" t="str">
        <f t="shared" si="268"/>
        <v>-</v>
      </c>
      <c r="AU35" s="20">
        <v>0</v>
      </c>
      <c r="AV35" s="21">
        <v>0</v>
      </c>
      <c r="AW35" s="139" t="str">
        <f t="shared" si="269"/>
        <v>-</v>
      </c>
      <c r="AX35" s="20">
        <v>0</v>
      </c>
      <c r="AY35" s="21">
        <v>0</v>
      </c>
      <c r="AZ35" s="139" t="str">
        <f t="shared" si="270"/>
        <v>-</v>
      </c>
      <c r="BA35" s="20">
        <v>0</v>
      </c>
      <c r="BB35" s="21">
        <v>0</v>
      </c>
      <c r="BC35" s="139" t="str">
        <f t="shared" si="271"/>
        <v>-</v>
      </c>
      <c r="BD35" s="20">
        <v>0</v>
      </c>
      <c r="BE35" s="21">
        <v>0</v>
      </c>
      <c r="BF35" s="139" t="str">
        <f t="shared" si="261"/>
        <v>-</v>
      </c>
      <c r="BG35" s="20">
        <v>0</v>
      </c>
      <c r="BH35" s="21">
        <v>0</v>
      </c>
      <c r="BI35" s="139" t="str">
        <f t="shared" si="262"/>
        <v>-</v>
      </c>
      <c r="BJ35" s="20">
        <v>0</v>
      </c>
      <c r="BK35" s="21">
        <v>0</v>
      </c>
      <c r="BL35" s="139" t="str">
        <f t="shared" si="263"/>
        <v>-</v>
      </c>
      <c r="BM35" s="117">
        <f t="shared" si="32"/>
        <v>0</v>
      </c>
      <c r="BN35" s="120">
        <f t="shared" si="273"/>
        <v>0</v>
      </c>
      <c r="BO35" s="147" t="str">
        <f t="shared" si="274"/>
        <v/>
      </c>
    </row>
    <row r="36" spans="1:67" s="41" customFormat="1" ht="15.6" customHeight="1" thickBot="1" x14ac:dyDescent="0.35">
      <c r="A36" s="42" t="s">
        <v>33</v>
      </c>
      <c r="B36" s="43">
        <f>SUM(B5:B33)</f>
        <v>694</v>
      </c>
      <c r="C36" s="43">
        <f>SUM(C5:C33)</f>
        <v>85</v>
      </c>
      <c r="D36" s="44">
        <f>B36/C36</f>
        <v>8.1647058823529406</v>
      </c>
      <c r="E36" s="43">
        <f>SUM(E5:E33)</f>
        <v>126</v>
      </c>
      <c r="F36" s="43">
        <f>SUM(F5:F33)</f>
        <v>19</v>
      </c>
      <c r="G36" s="44">
        <f>E36/F36</f>
        <v>6.6315789473684212</v>
      </c>
      <c r="H36" s="43">
        <f>SUM(H5:H33)</f>
        <v>86</v>
      </c>
      <c r="I36" s="43">
        <f>SUM(I5:I33)</f>
        <v>12</v>
      </c>
      <c r="J36" s="44">
        <f>H36/I36</f>
        <v>7.166666666666667</v>
      </c>
      <c r="K36" s="43">
        <f>SUM(K5:K33)</f>
        <v>1</v>
      </c>
      <c r="L36" s="43">
        <f>SUM(L5:L33)</f>
        <v>1</v>
      </c>
      <c r="M36" s="44">
        <f>K36/L36</f>
        <v>1</v>
      </c>
      <c r="N36" s="43">
        <f>SUM(N5:N33)</f>
        <v>594</v>
      </c>
      <c r="O36" s="43">
        <f>SUM(O5:O33)</f>
        <v>110</v>
      </c>
      <c r="P36" s="44">
        <f>N36/O36</f>
        <v>5.4</v>
      </c>
      <c r="Q36" s="43">
        <f>SUM(Q5:Q33)</f>
        <v>1239</v>
      </c>
      <c r="R36" s="43">
        <f>SUM(R5:R33)</f>
        <v>212</v>
      </c>
      <c r="S36" s="44">
        <f>Q36/R36</f>
        <v>5.8443396226415096</v>
      </c>
      <c r="T36" s="43">
        <f>SUM(T5:T33)</f>
        <v>36</v>
      </c>
      <c r="U36" s="43">
        <f>SUM(U5:U33)</f>
        <v>6</v>
      </c>
      <c r="V36" s="44">
        <f>T36/U36</f>
        <v>6</v>
      </c>
      <c r="W36" s="43">
        <f>SUM(W5:W33)</f>
        <v>37</v>
      </c>
      <c r="X36" s="43">
        <f>SUM(X5:X33)</f>
        <v>11</v>
      </c>
      <c r="Y36" s="44">
        <f>W36/X36</f>
        <v>3.3636363636363638</v>
      </c>
      <c r="Z36" s="43">
        <f>SUM(Z5:Z33)</f>
        <v>0</v>
      </c>
      <c r="AA36" s="43">
        <f>SUM(AA5:AA33)</f>
        <v>0</v>
      </c>
      <c r="AB36" s="44" t="e">
        <f>Z36/AA36</f>
        <v>#DIV/0!</v>
      </c>
      <c r="AC36" s="43">
        <f>SUM(AC5:AC33)</f>
        <v>13</v>
      </c>
      <c r="AD36" s="43">
        <f>SUM(AD5:AD33)</f>
        <v>9</v>
      </c>
      <c r="AE36" s="44">
        <f>AC36/AD36</f>
        <v>1.4444444444444444</v>
      </c>
      <c r="AF36" s="43">
        <f>SUM(AF5:AF33)</f>
        <v>0</v>
      </c>
      <c r="AG36" s="43">
        <f>SUM(AG5:AG33)</f>
        <v>0</v>
      </c>
      <c r="AH36" s="44" t="e">
        <f>AF36/AG36</f>
        <v>#DIV/0!</v>
      </c>
      <c r="AI36" s="43">
        <f>SUM(AI5:AI33)</f>
        <v>17</v>
      </c>
      <c r="AJ36" s="43">
        <f>SUM(AJ5:AJ33)</f>
        <v>5</v>
      </c>
      <c r="AK36" s="44">
        <f>AI36/AJ36</f>
        <v>3.4</v>
      </c>
      <c r="AL36" s="43">
        <f>SUM(AL5:AL34)</f>
        <v>609</v>
      </c>
      <c r="AM36" s="43">
        <f>SUM(AM5:AM34)</f>
        <v>86</v>
      </c>
      <c r="AN36" s="44">
        <f>AL36/AM36</f>
        <v>7.0813953488372094</v>
      </c>
      <c r="AO36" s="43">
        <f>SUM(AO5:AO33)</f>
        <v>7</v>
      </c>
      <c r="AP36" s="43">
        <f>SUM(AP5:AP33)</f>
        <v>1</v>
      </c>
      <c r="AQ36" s="44">
        <f>AO36/AP36</f>
        <v>7</v>
      </c>
      <c r="AR36" s="43">
        <f>SUM(AR5:AR33)</f>
        <v>43</v>
      </c>
      <c r="AS36" s="43">
        <f>SUM(AS5:AS33)</f>
        <v>6</v>
      </c>
      <c r="AT36" s="44">
        <f>AR36/AS36</f>
        <v>7.166666666666667</v>
      </c>
      <c r="AU36" s="43">
        <f>SUM(AU5:AU33)</f>
        <v>70</v>
      </c>
      <c r="AV36" s="43">
        <f>SUM(AV5:AV33)</f>
        <v>10</v>
      </c>
      <c r="AW36" s="44">
        <f>AU36/AV36</f>
        <v>7</v>
      </c>
      <c r="AX36" s="43">
        <f>SUM(AX5:AX33)</f>
        <v>0</v>
      </c>
      <c r="AY36" s="43">
        <f>SUM(AY5:AY33)</f>
        <v>0</v>
      </c>
      <c r="AZ36" s="140" t="str">
        <f>IF(AY36=0,"-",AX36/AY36)</f>
        <v>-</v>
      </c>
      <c r="BA36" s="43">
        <f>SUM(BA5:BA33)</f>
        <v>136</v>
      </c>
      <c r="BB36" s="43">
        <f>SUM(BB5:BB33)</f>
        <v>19</v>
      </c>
      <c r="BC36" s="44">
        <f>BA36/BB36</f>
        <v>7.1578947368421053</v>
      </c>
      <c r="BD36" s="43">
        <f>SUM(BD5:BD33)</f>
        <v>0</v>
      </c>
      <c r="BE36" s="43">
        <f>SUM(BE5:BE33)</f>
        <v>0</v>
      </c>
      <c r="BF36" s="140" t="str">
        <f>IF(BE36=0,"-",BD36/BE36)</f>
        <v>-</v>
      </c>
      <c r="BG36" s="43">
        <f>SUM(BG5:BG33)</f>
        <v>0</v>
      </c>
      <c r="BH36" s="43">
        <f>SUM(BH5:BH33)</f>
        <v>0</v>
      </c>
      <c r="BI36" s="140" t="str">
        <f>IF(BH36=0,"-",BG36/BH36)</f>
        <v>-</v>
      </c>
      <c r="BJ36" s="43">
        <f>SUM(BJ5:BJ33)</f>
        <v>1</v>
      </c>
      <c r="BK36" s="43">
        <f>SUM(BK5:BK33)</f>
        <v>1</v>
      </c>
      <c r="BL36" s="140">
        <f>IF(BK36=0,"-",BJ36/BK36)</f>
        <v>1</v>
      </c>
      <c r="BM36" s="118">
        <f>SUM(BM5:BM33)</f>
        <v>3702</v>
      </c>
      <c r="BN36" s="145">
        <f t="shared" si="190"/>
        <v>587</v>
      </c>
      <c r="BO36" s="144">
        <f t="shared" si="20"/>
        <v>6.3066439522998294</v>
      </c>
    </row>
    <row r="37" spans="1:67" x14ac:dyDescent="0.3">
      <c r="A37" s="1"/>
      <c r="E37"/>
      <c r="F37"/>
      <c r="H37"/>
      <c r="I37"/>
      <c r="K37"/>
      <c r="L37"/>
      <c r="N37"/>
      <c r="O37"/>
      <c r="Q37"/>
      <c r="R37"/>
      <c r="T37"/>
      <c r="U37"/>
    </row>
    <row r="38" spans="1:67" x14ac:dyDescent="0.3">
      <c r="A38" s="1"/>
      <c r="E38"/>
      <c r="F38"/>
      <c r="H38"/>
      <c r="I38"/>
      <c r="K38"/>
      <c r="L38"/>
      <c r="N38"/>
      <c r="O38"/>
      <c r="Q38"/>
      <c r="R38"/>
      <c r="T38"/>
      <c r="U38"/>
    </row>
    <row r="39" spans="1:67" x14ac:dyDescent="0.3">
      <c r="A39" s="1"/>
    </row>
    <row r="40" spans="1:67" x14ac:dyDescent="0.3">
      <c r="A40" s="1"/>
    </row>
    <row r="41" spans="1:67" x14ac:dyDescent="0.3">
      <c r="A41" s="1"/>
    </row>
    <row r="42" spans="1:67" x14ac:dyDescent="0.3">
      <c r="A42" s="1"/>
    </row>
    <row r="43" spans="1:67" x14ac:dyDescent="0.3">
      <c r="A43" s="1"/>
    </row>
    <row r="44" spans="1:67" x14ac:dyDescent="0.3">
      <c r="A44" s="1"/>
    </row>
    <row r="45" spans="1:67" x14ac:dyDescent="0.3">
      <c r="A45" s="1"/>
    </row>
    <row r="46" spans="1:67" x14ac:dyDescent="0.3">
      <c r="A46" s="1"/>
    </row>
    <row r="47" spans="1:67" x14ac:dyDescent="0.3">
      <c r="A47" s="1"/>
    </row>
    <row r="48" spans="1:6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927A-E50C-4BF8-ADC1-381BD3FD2CE4}">
  <sheetPr codeName="Sheet11">
    <tabColor rgb="FFFF0000"/>
  </sheetPr>
  <dimension ref="A1:CL40"/>
  <sheetViews>
    <sheetView topLeftCell="A9" workbookViewId="0">
      <selection activeCell="B30" sqref="B30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51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'Mar 2024'!B36</f>
        <v>694</v>
      </c>
      <c r="C4" s="68"/>
      <c r="D4" s="95" t="s">
        <v>19</v>
      </c>
      <c r="E4" s="93">
        <f>'Mar 2024'!AL36</f>
        <v>609</v>
      </c>
      <c r="F4" s="68"/>
      <c r="G4" s="87" t="s">
        <v>24</v>
      </c>
      <c r="H4" s="81">
        <f>'Mar 2024'!BA36</f>
        <v>136</v>
      </c>
    </row>
    <row r="5" spans="1:90" x14ac:dyDescent="0.3">
      <c r="A5" s="80"/>
      <c r="B5" s="81">
        <f>'Mar 2024'!C36</f>
        <v>85</v>
      </c>
      <c r="C5" s="68"/>
      <c r="D5" s="85"/>
      <c r="E5" s="81">
        <f>'Mar 2024'!AM36</f>
        <v>86</v>
      </c>
      <c r="F5" s="68"/>
      <c r="G5" s="87"/>
      <c r="H5" s="81">
        <f>'Mar 2024'!BB36</f>
        <v>19</v>
      </c>
    </row>
    <row r="6" spans="1:90" x14ac:dyDescent="0.3">
      <c r="A6" s="82"/>
      <c r="B6" s="26">
        <f>'Mar 2024'!D36</f>
        <v>8.1647058823529406</v>
      </c>
      <c r="C6" s="68"/>
      <c r="D6" s="86"/>
      <c r="E6" s="26">
        <f>'Mar 2024'!AN36</f>
        <v>7.0813953488372094</v>
      </c>
      <c r="F6" s="68"/>
      <c r="G6" s="88"/>
      <c r="H6" s="26">
        <f>'Mar 2024'!BC36</f>
        <v>7.1578947368421053</v>
      </c>
    </row>
    <row r="7" spans="1:90" x14ac:dyDescent="0.3">
      <c r="A7" s="80" t="s">
        <v>9</v>
      </c>
      <c r="B7" s="81">
        <f>'Mar 2024'!E36</f>
        <v>126</v>
      </c>
      <c r="C7" s="68"/>
      <c r="D7" s="85" t="s">
        <v>20</v>
      </c>
      <c r="E7" s="81">
        <f>'Mar 2024'!AO36</f>
        <v>7</v>
      </c>
      <c r="F7" s="68"/>
      <c r="G7" s="87" t="s">
        <v>25</v>
      </c>
      <c r="H7" s="151">
        <f>'Mar 2024'!BD36</f>
        <v>0</v>
      </c>
    </row>
    <row r="8" spans="1:90" x14ac:dyDescent="0.3">
      <c r="A8" s="80"/>
      <c r="B8" s="81">
        <f>'Mar 2024'!F36</f>
        <v>19</v>
      </c>
      <c r="C8" s="68"/>
      <c r="D8" s="85"/>
      <c r="E8" s="81">
        <f>'Mar 2024'!AP36</f>
        <v>1</v>
      </c>
      <c r="F8" s="68"/>
      <c r="G8" s="87"/>
      <c r="H8" s="151">
        <f>'Mar 2024'!BE36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'Mar 2024'!G36</f>
        <v>6.6315789473684212</v>
      </c>
      <c r="C9" s="68"/>
      <c r="D9" s="86"/>
      <c r="E9" s="26">
        <f>'Mar 2024'!AQ36</f>
        <v>7</v>
      </c>
      <c r="F9" s="68"/>
      <c r="G9" s="88"/>
      <c r="H9" s="151">
        <f>'Mar 2024'!BE36</f>
        <v>0</v>
      </c>
    </row>
    <row r="10" spans="1:90" x14ac:dyDescent="0.3">
      <c r="A10" s="80" t="s">
        <v>10</v>
      </c>
      <c r="B10" s="81">
        <f>'Mar 2024'!H36</f>
        <v>86</v>
      </c>
      <c r="C10" s="68"/>
      <c r="D10" s="85" t="s">
        <v>21</v>
      </c>
      <c r="E10" s="81">
        <f>'Mar 2024'!AR36</f>
        <v>43</v>
      </c>
      <c r="F10" s="68"/>
      <c r="G10" s="87" t="s">
        <v>26</v>
      </c>
      <c r="H10" s="151">
        <f>'Mar 2024'!BG36</f>
        <v>0</v>
      </c>
    </row>
    <row r="11" spans="1:90" x14ac:dyDescent="0.3">
      <c r="A11" s="80"/>
      <c r="B11" s="81">
        <f>'Mar 2024'!I36</f>
        <v>12</v>
      </c>
      <c r="C11" s="68"/>
      <c r="D11" s="85"/>
      <c r="E11" s="81">
        <f>'Mar 2024'!AS36</f>
        <v>6</v>
      </c>
      <c r="F11" s="68"/>
      <c r="G11" s="87"/>
      <c r="H11" s="81">
        <f>'Mar 2024'!BH36</f>
        <v>0</v>
      </c>
    </row>
    <row r="12" spans="1:90" x14ac:dyDescent="0.3">
      <c r="A12" s="82"/>
      <c r="B12" s="26">
        <f>'Mar 2024'!J36</f>
        <v>7.166666666666667</v>
      </c>
      <c r="C12" s="68"/>
      <c r="D12" s="86"/>
      <c r="E12" s="26">
        <f>'Mar 2024'!AT36</f>
        <v>7.166666666666667</v>
      </c>
      <c r="F12" s="68"/>
      <c r="G12" s="88"/>
      <c r="H12" s="26" t="str">
        <f>'Mar 2024'!BI36</f>
        <v>-</v>
      </c>
    </row>
    <row r="13" spans="1:90" x14ac:dyDescent="0.3">
      <c r="A13" s="80" t="s">
        <v>11</v>
      </c>
      <c r="B13" s="81">
        <f>'Mar 2024'!N36</f>
        <v>594</v>
      </c>
      <c r="C13" s="68"/>
      <c r="D13" s="85" t="s">
        <v>22</v>
      </c>
      <c r="E13" s="81">
        <f>'Mar 2024'!AU36</f>
        <v>70</v>
      </c>
      <c r="F13" s="68"/>
      <c r="G13" s="87" t="s">
        <v>27</v>
      </c>
      <c r="H13" s="81">
        <f>'Mar 2024'!BJ36</f>
        <v>1</v>
      </c>
    </row>
    <row r="14" spans="1:90" x14ac:dyDescent="0.3">
      <c r="A14" s="80"/>
      <c r="B14" s="81">
        <f>'Mar 2024'!O36</f>
        <v>110</v>
      </c>
      <c r="C14" s="68"/>
      <c r="D14" s="85"/>
      <c r="E14" s="81">
        <f>'Mar 2024'!AV36</f>
        <v>10</v>
      </c>
      <c r="F14" s="68"/>
      <c r="G14" s="87"/>
      <c r="H14" s="81">
        <f>'Mar 2024'!BK36</f>
        <v>1</v>
      </c>
    </row>
    <row r="15" spans="1:90" x14ac:dyDescent="0.3">
      <c r="A15" s="82"/>
      <c r="B15" s="26">
        <f>'Mar 2024'!P36</f>
        <v>5.4</v>
      </c>
      <c r="C15" s="68"/>
      <c r="D15" s="85"/>
      <c r="E15" s="26">
        <f>'Mar 2024'!AW36</f>
        <v>7</v>
      </c>
      <c r="F15" s="68"/>
      <c r="G15" s="88"/>
      <c r="H15" s="26">
        <f>'Mar 2024'!BL36</f>
        <v>1</v>
      </c>
    </row>
    <row r="16" spans="1:90" x14ac:dyDescent="0.3">
      <c r="A16" s="80" t="s">
        <v>44</v>
      </c>
      <c r="B16" s="81">
        <f>'Mar 2024'!Q36</f>
        <v>1239</v>
      </c>
      <c r="C16" s="68"/>
      <c r="D16" s="85" t="s">
        <v>45</v>
      </c>
      <c r="E16" s="81">
        <f>'Mar 2024'!AX36</f>
        <v>0</v>
      </c>
      <c r="F16" s="68"/>
      <c r="G16" s="96" t="s">
        <v>28</v>
      </c>
      <c r="H16" s="97">
        <f>'Mar 2024'!BM36</f>
        <v>3702</v>
      </c>
    </row>
    <row r="17" spans="1:8" x14ac:dyDescent="0.3">
      <c r="A17" s="80"/>
      <c r="B17" s="81">
        <f>'Mar 2024'!R36</f>
        <v>212</v>
      </c>
      <c r="C17" s="68"/>
      <c r="D17" s="85"/>
      <c r="E17" s="81">
        <f>'Mar 2024'!AY36</f>
        <v>0</v>
      </c>
      <c r="F17" s="68"/>
      <c r="G17" s="96"/>
      <c r="H17" s="97">
        <f>'Mar 2024'!BN36</f>
        <v>587</v>
      </c>
    </row>
    <row r="18" spans="1:8" ht="15" thickBot="1" x14ac:dyDescent="0.35">
      <c r="A18" s="82"/>
      <c r="B18" s="26">
        <f>'Mar 2024'!S36</f>
        <v>5.8443396226415096</v>
      </c>
      <c r="C18" s="68"/>
      <c r="D18" s="102"/>
      <c r="E18" s="149" t="str">
        <f>'Mar 2024'!AZ36</f>
        <v>-</v>
      </c>
      <c r="F18" s="68"/>
      <c r="G18" s="98"/>
      <c r="H18" s="99">
        <f>H16/H17</f>
        <v>6.3066439522998294</v>
      </c>
    </row>
    <row r="19" spans="1:8" x14ac:dyDescent="0.3">
      <c r="A19" s="80" t="s">
        <v>13</v>
      </c>
      <c r="B19" s="81">
        <f>'Mar 2024'!K36</f>
        <v>1</v>
      </c>
      <c r="C19" s="68"/>
    </row>
    <row r="20" spans="1:8" x14ac:dyDescent="0.3">
      <c r="A20" s="80"/>
      <c r="B20" s="81">
        <f>'Mar 2024'!L36</f>
        <v>1</v>
      </c>
      <c r="C20" s="68"/>
    </row>
    <row r="21" spans="1:8" x14ac:dyDescent="0.3">
      <c r="A21" s="100"/>
      <c r="B21" s="81">
        <f>'Mar 2024'!M36</f>
        <v>1</v>
      </c>
      <c r="C21" s="68"/>
    </row>
    <row r="22" spans="1:8" x14ac:dyDescent="0.3">
      <c r="A22" s="80" t="s">
        <v>46</v>
      </c>
      <c r="B22" s="142">
        <f>'Mar 2024'!T36</f>
        <v>36</v>
      </c>
      <c r="C22" s="68"/>
      <c r="D22" s="68"/>
      <c r="E22" s="68"/>
    </row>
    <row r="23" spans="1:8" x14ac:dyDescent="0.3">
      <c r="A23" s="80"/>
      <c r="B23" s="142">
        <f>'Mar 2024'!U36</f>
        <v>6</v>
      </c>
      <c r="C23" s="68"/>
      <c r="D23" s="68"/>
      <c r="E23" s="68"/>
    </row>
    <row r="24" spans="1:8" ht="15" thickBot="1" x14ac:dyDescent="0.35">
      <c r="A24" s="141"/>
      <c r="B24" s="143">
        <f>'Mar 2024'!V36</f>
        <v>6</v>
      </c>
      <c r="C24" s="68"/>
      <c r="D24" s="68"/>
      <c r="E24" s="68"/>
    </row>
    <row r="25" spans="1:8" x14ac:dyDescent="0.3">
      <c r="A25" s="101" t="s">
        <v>14</v>
      </c>
      <c r="B25" s="93">
        <f>'Mar 2024'!W36</f>
        <v>37</v>
      </c>
      <c r="C25" s="68"/>
      <c r="D25" s="68"/>
      <c r="E25" s="68"/>
    </row>
    <row r="26" spans="1:8" x14ac:dyDescent="0.3">
      <c r="A26" s="83"/>
      <c r="B26" s="81">
        <f>'Mar 2024'!X36</f>
        <v>11</v>
      </c>
      <c r="C26" s="68"/>
      <c r="D26" s="68"/>
      <c r="E26" s="68"/>
    </row>
    <row r="27" spans="1:8" x14ac:dyDescent="0.3">
      <c r="A27" s="84"/>
      <c r="B27" s="26">
        <f>'Mar 2024'!Y36</f>
        <v>3.3636363636363638</v>
      </c>
      <c r="C27" s="68"/>
      <c r="D27" s="68"/>
      <c r="E27" s="68"/>
    </row>
    <row r="28" spans="1:8" x14ac:dyDescent="0.3">
      <c r="A28" s="83" t="s">
        <v>15</v>
      </c>
      <c r="B28" s="81">
        <f>'Mar 2024'!Z36</f>
        <v>0</v>
      </c>
      <c r="C28" s="68"/>
      <c r="F28" s="68"/>
      <c r="G28" s="68"/>
    </row>
    <row r="29" spans="1:8" x14ac:dyDescent="0.3">
      <c r="A29" s="83"/>
      <c r="B29" s="81">
        <f>'Mar 2024'!AA36</f>
        <v>0</v>
      </c>
      <c r="C29" s="68"/>
      <c r="F29" s="68"/>
      <c r="G29" s="68"/>
    </row>
    <row r="30" spans="1:8" x14ac:dyDescent="0.3">
      <c r="A30" s="84"/>
      <c r="B30" s="26"/>
      <c r="C30" s="68"/>
      <c r="F30" s="68"/>
      <c r="G30" s="68"/>
    </row>
    <row r="31" spans="1:8" x14ac:dyDescent="0.3">
      <c r="A31" s="83" t="s">
        <v>16</v>
      </c>
      <c r="B31" s="81">
        <f>'Mar 2024'!AC36</f>
        <v>13</v>
      </c>
      <c r="C31" s="68"/>
      <c r="F31" s="68"/>
      <c r="G31" s="68"/>
    </row>
    <row r="32" spans="1:8" x14ac:dyDescent="0.3">
      <c r="A32" s="83"/>
      <c r="B32" s="81">
        <f>'Mar 2024'!AD36</f>
        <v>9</v>
      </c>
      <c r="C32" s="68"/>
      <c r="F32" s="68"/>
      <c r="G32" s="68"/>
    </row>
    <row r="33" spans="1:7" x14ac:dyDescent="0.3">
      <c r="A33" s="84"/>
      <c r="B33" s="26">
        <f>'Mar 2024'!AE36</f>
        <v>1.4444444444444444</v>
      </c>
      <c r="C33" s="68"/>
      <c r="F33" s="68"/>
      <c r="G33" s="68"/>
    </row>
    <row r="34" spans="1:7" x14ac:dyDescent="0.3">
      <c r="A34" s="83" t="s">
        <v>17</v>
      </c>
      <c r="B34" s="81">
        <f>'Mar 2024'!AF36</f>
        <v>0</v>
      </c>
      <c r="C34" s="68"/>
      <c r="F34" s="68"/>
      <c r="G34" s="68"/>
    </row>
    <row r="35" spans="1:7" x14ac:dyDescent="0.3">
      <c r="A35" s="83"/>
      <c r="B35" s="81">
        <f>'Mar 2024'!AG36</f>
        <v>0</v>
      </c>
      <c r="C35" s="68"/>
      <c r="F35" s="68"/>
      <c r="G35" s="68"/>
    </row>
    <row r="36" spans="1:7" x14ac:dyDescent="0.3">
      <c r="A36" s="84"/>
      <c r="B36" s="26" t="e">
        <f>'Mar 2024'!AH36</f>
        <v>#DIV/0!</v>
      </c>
      <c r="C36" s="68"/>
      <c r="F36" s="68"/>
      <c r="G36" s="68"/>
    </row>
    <row r="37" spans="1:7" x14ac:dyDescent="0.3">
      <c r="A37" s="83" t="s">
        <v>18</v>
      </c>
      <c r="B37" s="81">
        <f>'Mar 2024'!AI36</f>
        <v>17</v>
      </c>
      <c r="C37" s="68"/>
      <c r="F37" s="68"/>
      <c r="G37" s="68"/>
    </row>
    <row r="38" spans="1:7" x14ac:dyDescent="0.3">
      <c r="A38" s="83"/>
      <c r="B38" s="81">
        <f>'Mar 2024'!AJ36</f>
        <v>5</v>
      </c>
      <c r="C38" s="68"/>
      <c r="F38" s="68"/>
      <c r="G38" s="68"/>
    </row>
    <row r="39" spans="1:7" ht="15" thickBot="1" x14ac:dyDescent="0.35">
      <c r="A39" s="94"/>
      <c r="B39" s="89">
        <f>'Mar 2024'!AK36</f>
        <v>3.4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E9CE-7D19-4C7F-8DD8-5C60ED9F5757}">
  <sheetPr codeName="Sheet12"/>
  <dimension ref="A1:BO125"/>
  <sheetViews>
    <sheetView workbookViewId="0">
      <pane xSplit="9" ySplit="11" topLeftCell="BC26" activePane="bottomRight" state="frozen"/>
      <selection pane="topRight" activeCell="J1" sqref="J1"/>
      <selection pane="bottomLeft" activeCell="A12" sqref="A12"/>
      <selection pane="bottomRight" activeCell="BM5" sqref="BM5:BM34"/>
    </sheetView>
  </sheetViews>
  <sheetFormatPr defaultRowHeight="14.4" x14ac:dyDescent="0.3"/>
  <cols>
    <col min="1" max="1" width="12.5546875" customWidth="1"/>
    <col min="2" max="3" width="8.88671875" customWidth="1"/>
    <col min="4" max="9" width="8.88671875" style="2" customWidth="1"/>
    <col min="10" max="10" width="10" style="2" customWidth="1"/>
    <col min="11" max="18" width="8.88671875" style="2" customWidth="1"/>
    <col min="19" max="19" width="9.6640625" style="2" customWidth="1"/>
    <col min="20" max="21" width="8.88671875" style="2" customWidth="1"/>
    <col min="22" max="22" width="9.6640625" style="2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8.88671875" style="2" customWidth="1"/>
    <col min="32" max="33" width="8.88671875" customWidth="1"/>
    <col min="34" max="34" width="7.33203125" style="2" customWidth="1"/>
    <col min="35" max="35" width="7.33203125" customWidth="1"/>
    <col min="36" max="36" width="9.6640625" customWidth="1"/>
    <col min="37" max="37" width="10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51" width="8.88671875" customWidth="1"/>
    <col min="52" max="52" width="8.88671875" style="2" customWidth="1"/>
    <col min="55" max="55" width="8.88671875" style="2"/>
    <col min="58" max="58" width="8.88671875" style="2"/>
    <col min="61" max="61" width="9.33203125" style="2" customWidth="1"/>
    <col min="64" max="64" width="8.88671875" style="2"/>
    <col min="65" max="65" width="9.109375" style="79" bestFit="1" customWidth="1"/>
    <col min="66" max="66" width="8.88671875" style="79"/>
    <col min="67" max="67" width="8.88671875" style="2"/>
  </cols>
  <sheetData>
    <row r="1" spans="1:67" ht="18.600000000000001" thickBot="1" x14ac:dyDescent="0.4">
      <c r="A1" s="67" t="s">
        <v>52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8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113"/>
      <c r="BN1" s="113"/>
      <c r="BO1" s="69"/>
    </row>
    <row r="2" spans="1:67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73" t="s">
        <v>2</v>
      </c>
      <c r="P2" s="73"/>
      <c r="Q2" s="77"/>
      <c r="R2" s="73" t="s">
        <v>2</v>
      </c>
      <c r="S2" s="74"/>
      <c r="T2" s="77"/>
      <c r="U2" s="73" t="s">
        <v>2</v>
      </c>
      <c r="V2" s="74"/>
      <c r="W2" s="71"/>
      <c r="X2" s="72" t="s">
        <v>3</v>
      </c>
      <c r="Y2" s="73"/>
      <c r="Z2" s="71"/>
      <c r="AA2" s="72" t="s">
        <v>3</v>
      </c>
      <c r="AB2" s="74"/>
      <c r="AC2" s="72"/>
      <c r="AD2" s="72" t="s">
        <v>4</v>
      </c>
      <c r="AE2" s="73"/>
      <c r="AF2" s="71"/>
      <c r="AG2" s="72" t="s">
        <v>4</v>
      </c>
      <c r="AH2" s="74"/>
      <c r="AI2" s="72"/>
      <c r="AJ2" s="72" t="s">
        <v>4</v>
      </c>
      <c r="AK2" s="74"/>
      <c r="AL2" s="108"/>
      <c r="AM2" s="109" t="s">
        <v>5</v>
      </c>
      <c r="AN2" s="110"/>
      <c r="AO2" s="108"/>
      <c r="AP2" s="109" t="s">
        <v>5</v>
      </c>
      <c r="AQ2" s="111"/>
      <c r="AR2" s="109"/>
      <c r="AS2" s="109" t="s">
        <v>5</v>
      </c>
      <c r="AT2" s="110"/>
      <c r="AU2" s="108"/>
      <c r="AV2" s="109" t="s">
        <v>5</v>
      </c>
      <c r="AW2" s="112"/>
      <c r="AX2" s="109"/>
      <c r="AY2" s="109" t="s">
        <v>5</v>
      </c>
      <c r="AZ2" s="111"/>
      <c r="BA2" s="71"/>
      <c r="BB2" s="72" t="s">
        <v>6</v>
      </c>
      <c r="BC2" s="74"/>
      <c r="BD2" s="75"/>
      <c r="BE2" s="75" t="s">
        <v>6</v>
      </c>
      <c r="BF2" s="76"/>
      <c r="BG2" s="71"/>
      <c r="BH2" s="72" t="s">
        <v>6</v>
      </c>
      <c r="BI2" s="74"/>
      <c r="BJ2" s="75"/>
      <c r="BK2" s="75" t="s">
        <v>6</v>
      </c>
      <c r="BL2" s="76"/>
      <c r="BM2" s="114" t="s">
        <v>7</v>
      </c>
      <c r="BN2" s="119"/>
      <c r="BO2" s="74"/>
    </row>
    <row r="3" spans="1:67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13</v>
      </c>
      <c r="L3" s="4"/>
      <c r="M3" s="33"/>
      <c r="N3" s="4" t="s">
        <v>11</v>
      </c>
      <c r="O3" s="4"/>
      <c r="P3" s="35"/>
      <c r="Q3" s="3" t="s">
        <v>12</v>
      </c>
      <c r="R3" s="4"/>
      <c r="S3" s="33"/>
      <c r="T3" s="3" t="s">
        <v>35</v>
      </c>
      <c r="U3" s="4"/>
      <c r="V3" s="33"/>
      <c r="W3" s="47" t="s">
        <v>14</v>
      </c>
      <c r="X3" s="47"/>
      <c r="Y3" s="49"/>
      <c r="Z3" s="46" t="s">
        <v>15</v>
      </c>
      <c r="AA3" s="47"/>
      <c r="AB3" s="48"/>
      <c r="AC3" s="47" t="s">
        <v>16</v>
      </c>
      <c r="AD3" s="47"/>
      <c r="AE3" s="49"/>
      <c r="AF3" s="46" t="s">
        <v>17</v>
      </c>
      <c r="AG3" s="47"/>
      <c r="AH3" s="48"/>
      <c r="AI3" s="47" t="s">
        <v>18</v>
      </c>
      <c r="AJ3" s="47"/>
      <c r="AK3" s="49"/>
      <c r="AL3" s="9" t="s">
        <v>36</v>
      </c>
      <c r="AM3" s="7"/>
      <c r="AN3" s="29"/>
      <c r="AO3" s="9" t="s">
        <v>37</v>
      </c>
      <c r="AP3" s="7"/>
      <c r="AQ3" s="31"/>
      <c r="AR3" s="7" t="s">
        <v>38</v>
      </c>
      <c r="AS3" s="7"/>
      <c r="AT3" s="29"/>
      <c r="AU3" s="9" t="s">
        <v>39</v>
      </c>
      <c r="AV3" s="7"/>
      <c r="AW3" s="8"/>
      <c r="AX3" s="7" t="s">
        <v>40</v>
      </c>
      <c r="AY3" s="7"/>
      <c r="AZ3" s="31"/>
      <c r="BA3" s="13" t="s">
        <v>24</v>
      </c>
      <c r="BB3" s="14"/>
      <c r="BC3" s="27"/>
      <c r="BD3" s="14" t="s">
        <v>25</v>
      </c>
      <c r="BE3" s="14"/>
      <c r="BF3" s="55"/>
      <c r="BG3" s="13" t="s">
        <v>26</v>
      </c>
      <c r="BH3" s="14"/>
      <c r="BI3" s="27"/>
      <c r="BJ3" s="14" t="s">
        <v>27</v>
      </c>
      <c r="BK3" s="14"/>
      <c r="BL3" s="55"/>
      <c r="BM3" s="115" t="s">
        <v>28</v>
      </c>
      <c r="BN3" s="115"/>
      <c r="BO3" s="24"/>
    </row>
    <row r="4" spans="1:67" ht="43.8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36" t="s">
        <v>31</v>
      </c>
      <c r="Q4" s="5" t="s">
        <v>7</v>
      </c>
      <c r="R4" s="6" t="s">
        <v>30</v>
      </c>
      <c r="S4" s="34" t="s">
        <v>31</v>
      </c>
      <c r="T4" s="5" t="s">
        <v>7</v>
      </c>
      <c r="U4" s="6" t="s">
        <v>30</v>
      </c>
      <c r="V4" s="34" t="s">
        <v>31</v>
      </c>
      <c r="W4" s="51" t="s">
        <v>7</v>
      </c>
      <c r="X4" s="51" t="s">
        <v>30</v>
      </c>
      <c r="Y4" s="53" t="s">
        <v>31</v>
      </c>
      <c r="Z4" s="50" t="s">
        <v>7</v>
      </c>
      <c r="AA4" s="51" t="s">
        <v>30</v>
      </c>
      <c r="AB4" s="52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12" t="s">
        <v>7</v>
      </c>
      <c r="AM4" s="10" t="s">
        <v>30</v>
      </c>
      <c r="AN4" s="30" t="s">
        <v>31</v>
      </c>
      <c r="AO4" s="12" t="s">
        <v>7</v>
      </c>
      <c r="AP4" s="10" t="s">
        <v>30</v>
      </c>
      <c r="AQ4" s="32" t="s">
        <v>31</v>
      </c>
      <c r="AR4" s="10" t="s">
        <v>7</v>
      </c>
      <c r="AS4" s="10" t="s">
        <v>30</v>
      </c>
      <c r="AT4" s="30" t="s">
        <v>31</v>
      </c>
      <c r="AU4" s="12" t="s">
        <v>7</v>
      </c>
      <c r="AV4" s="10" t="s">
        <v>30</v>
      </c>
      <c r="AW4" s="11" t="s">
        <v>31</v>
      </c>
      <c r="AX4" s="10" t="s">
        <v>7</v>
      </c>
      <c r="AY4" s="10" t="s">
        <v>30</v>
      </c>
      <c r="AZ4" s="32" t="s">
        <v>31</v>
      </c>
      <c r="BA4" s="15" t="s">
        <v>7</v>
      </c>
      <c r="BB4" s="16" t="s">
        <v>30</v>
      </c>
      <c r="BC4" s="28" t="s">
        <v>31</v>
      </c>
      <c r="BD4" s="16" t="s">
        <v>7</v>
      </c>
      <c r="BE4" s="16" t="s">
        <v>30</v>
      </c>
      <c r="BF4" s="57" t="s">
        <v>31</v>
      </c>
      <c r="BG4" s="15" t="s">
        <v>7</v>
      </c>
      <c r="BH4" s="16" t="s">
        <v>30</v>
      </c>
      <c r="BI4" s="28" t="s">
        <v>31</v>
      </c>
      <c r="BJ4" s="16" t="s">
        <v>7</v>
      </c>
      <c r="BK4" s="16" t="s">
        <v>30</v>
      </c>
      <c r="BL4" s="57" t="s">
        <v>31</v>
      </c>
      <c r="BM4" s="116" t="s">
        <v>7</v>
      </c>
      <c r="BN4" s="116" t="s">
        <v>30</v>
      </c>
      <c r="BO4" s="146" t="s">
        <v>31</v>
      </c>
    </row>
    <row r="5" spans="1:67" ht="15" thickBot="1" x14ac:dyDescent="0.35">
      <c r="A5" s="1">
        <v>45383</v>
      </c>
      <c r="B5" s="17">
        <v>0</v>
      </c>
      <c r="C5" s="18">
        <v>0</v>
      </c>
      <c r="D5" s="139" t="str">
        <f t="shared" ref="D5:D34" si="0">IF(C5=0,"-",B5/C5)</f>
        <v>-</v>
      </c>
      <c r="E5" s="17">
        <v>0</v>
      </c>
      <c r="F5" s="18">
        <v>0</v>
      </c>
      <c r="G5" s="139" t="str">
        <f t="shared" ref="G5" si="1">IF(F5=0,"-",E5/F5)</f>
        <v>-</v>
      </c>
      <c r="H5" s="17">
        <v>0</v>
      </c>
      <c r="I5" s="18">
        <v>0</v>
      </c>
      <c r="J5" s="139" t="str">
        <f t="shared" ref="J5" si="2">IF(I5=0,"-",H5/I5)</f>
        <v>-</v>
      </c>
      <c r="K5" s="20">
        <v>0</v>
      </c>
      <c r="L5" s="21">
        <v>0</v>
      </c>
      <c r="M5" s="139" t="str">
        <f t="shared" ref="M5:M6" si="3">IF(L5=0,"-",K5/L5)</f>
        <v>-</v>
      </c>
      <c r="N5" s="17">
        <v>0</v>
      </c>
      <c r="O5" s="18">
        <v>0</v>
      </c>
      <c r="P5" s="139" t="str">
        <f t="shared" ref="P5" si="4">IF(O5=0,"-",N5/O5)</f>
        <v>-</v>
      </c>
      <c r="Q5" s="20">
        <v>0</v>
      </c>
      <c r="R5" s="21">
        <v>0</v>
      </c>
      <c r="S5" s="139" t="str">
        <f t="shared" ref="S5:S6" si="5">IF(R5=0,"-",Q5/R5)</f>
        <v>-</v>
      </c>
      <c r="T5" s="17">
        <v>0</v>
      </c>
      <c r="U5" s="18">
        <v>0</v>
      </c>
      <c r="V5" s="139" t="str">
        <f t="shared" ref="V5" si="6">IF(U5=0,"-",T5/U5)</f>
        <v>-</v>
      </c>
      <c r="W5" s="17">
        <v>0</v>
      </c>
      <c r="X5" s="18">
        <v>0</v>
      </c>
      <c r="Y5" s="139" t="str">
        <f t="shared" ref="Y5" si="7">IF(X5=0,"-",W5/X5)</f>
        <v>-</v>
      </c>
      <c r="Z5" s="20">
        <v>0</v>
      </c>
      <c r="AA5" s="21">
        <v>0</v>
      </c>
      <c r="AB5" s="139" t="str">
        <f t="shared" ref="AB5:AB7" si="8">IF(AA5=0,"-",Z5/AA5)</f>
        <v>-</v>
      </c>
      <c r="AC5" s="17">
        <v>0</v>
      </c>
      <c r="AD5" s="18">
        <v>0</v>
      </c>
      <c r="AE5" s="139" t="str">
        <f t="shared" ref="AE5" si="9">IF(AD5=0,"-",AC5/AD5)</f>
        <v>-</v>
      </c>
      <c r="AF5" s="20">
        <v>0</v>
      </c>
      <c r="AG5" s="21">
        <v>0</v>
      </c>
      <c r="AH5" s="139" t="str">
        <f t="shared" ref="AH5:AH7" si="10">IF(AG5=0,"-",AF5/AG5)</f>
        <v>-</v>
      </c>
      <c r="AI5" s="20">
        <v>0</v>
      </c>
      <c r="AJ5" s="21">
        <v>0</v>
      </c>
      <c r="AK5" s="139" t="str">
        <f t="shared" ref="AK5:AK7" si="11">IF(AJ5=0,"-",AI5/AJ5)</f>
        <v>-</v>
      </c>
      <c r="AL5" s="250">
        <v>7</v>
      </c>
      <c r="AM5" s="251">
        <v>1</v>
      </c>
      <c r="AN5" s="139">
        <f t="shared" ref="AN5" si="12">IF(AM5=0,"-",AL5/AM5)</f>
        <v>7</v>
      </c>
      <c r="AO5" s="20">
        <v>0</v>
      </c>
      <c r="AP5" s="21">
        <v>0</v>
      </c>
      <c r="AQ5" s="139" t="str">
        <f t="shared" ref="AQ5:AQ6" si="13">IF(AP5=0,"-",AO5/AP5)</f>
        <v>-</v>
      </c>
      <c r="AR5" s="20">
        <v>0</v>
      </c>
      <c r="AS5" s="21">
        <v>0</v>
      </c>
      <c r="AT5" s="139" t="str">
        <f t="shared" ref="AT5:AT6" si="14">IF(AS5=0,"-",AR5/AS5)</f>
        <v>-</v>
      </c>
      <c r="AU5" s="254">
        <v>0</v>
      </c>
      <c r="AV5" s="255">
        <v>0</v>
      </c>
      <c r="AW5" s="139" t="str">
        <f t="shared" ref="AW5:AW6" si="15">IF(AV5=0,"-",AU5/AV5)</f>
        <v>-</v>
      </c>
      <c r="AX5" s="20">
        <v>0</v>
      </c>
      <c r="AY5" s="21">
        <v>0</v>
      </c>
      <c r="AZ5" s="139" t="str">
        <f t="shared" ref="AZ5:AZ6" si="16">IF(AY5=0,"-",AX5/AY5)</f>
        <v>-</v>
      </c>
      <c r="BA5" s="20">
        <v>0</v>
      </c>
      <c r="BB5" s="21">
        <v>0</v>
      </c>
      <c r="BC5" s="139" t="str">
        <f t="shared" ref="BC5:BC6" si="17">IF(BB5=0,"-",BA5/BB5)</f>
        <v>-</v>
      </c>
      <c r="BD5" s="20">
        <v>0</v>
      </c>
      <c r="BE5" s="21">
        <v>0</v>
      </c>
      <c r="BF5" s="139" t="str">
        <f t="shared" ref="BF5:BF6" si="18">IF(BE5=0,"-",BD5/BE5)</f>
        <v>-</v>
      </c>
      <c r="BG5" s="20">
        <v>0</v>
      </c>
      <c r="BH5" s="21">
        <v>0</v>
      </c>
      <c r="BI5" s="139" t="str">
        <f t="shared" ref="BI5:BI6" si="19">IF(BH5=0,"-",BG5/BH5)</f>
        <v>-</v>
      </c>
      <c r="BJ5" s="20">
        <v>0</v>
      </c>
      <c r="BK5" s="21">
        <v>0</v>
      </c>
      <c r="BL5" s="139" t="str">
        <f t="shared" ref="BL5:BL6" si="20">IF(BK5=0,"-",BJ5/BK5)</f>
        <v>-</v>
      </c>
      <c r="BM5" s="117">
        <f>B5+E5+H5+K5+N5+Q5+T5+W5+Z5+AC5+AF5+AI5+AL5+AO5+AR5+AU5+AX5+BA5+BD5+BG5+BJ5</f>
        <v>7</v>
      </c>
      <c r="BN5" s="120">
        <f t="shared" ref="BN5:BN20" si="21">BK5+BH5+BE5+BB5+AY5+AV5+AS5+AP5+AM5+L5+R5+O5+I5+F5+AJ5+AG5+AD5+AA5+X5+C5</f>
        <v>1</v>
      </c>
      <c r="BO5" s="147">
        <f t="shared" ref="BO5:BO35" si="22">IF(BN5=0,"",BM5/BN5)</f>
        <v>7</v>
      </c>
    </row>
    <row r="6" spans="1:67" ht="15" thickBot="1" x14ac:dyDescent="0.35">
      <c r="A6" s="1">
        <v>45384</v>
      </c>
      <c r="B6" s="20">
        <v>101</v>
      </c>
      <c r="C6" s="21">
        <v>16</v>
      </c>
      <c r="D6" s="139">
        <f t="shared" si="0"/>
        <v>6.3125</v>
      </c>
      <c r="E6" s="20">
        <v>8</v>
      </c>
      <c r="F6" s="21">
        <v>1</v>
      </c>
      <c r="G6" s="139">
        <f t="shared" ref="G6:G34" si="23">IF(F6=0,"-",E6/F6)</f>
        <v>8</v>
      </c>
      <c r="H6" s="20">
        <v>5</v>
      </c>
      <c r="I6" s="21">
        <v>1</v>
      </c>
      <c r="J6" s="139">
        <f t="shared" ref="J6:J14" si="24">IF(I6=0,"-",H6/I6)</f>
        <v>5</v>
      </c>
      <c r="K6" s="20">
        <v>0</v>
      </c>
      <c r="L6" s="21">
        <v>0</v>
      </c>
      <c r="M6" s="139" t="str">
        <f t="shared" si="3"/>
        <v>-</v>
      </c>
      <c r="N6" s="23">
        <v>90</v>
      </c>
      <c r="O6" s="21">
        <v>15</v>
      </c>
      <c r="P6" s="139">
        <f t="shared" ref="P6:P26" si="25">IF(O6=0,"-",N6/O6)</f>
        <v>6</v>
      </c>
      <c r="Q6" s="20">
        <v>0</v>
      </c>
      <c r="R6" s="21">
        <v>0</v>
      </c>
      <c r="S6" s="139" t="str">
        <f t="shared" si="5"/>
        <v>-</v>
      </c>
      <c r="T6" s="20">
        <v>24</v>
      </c>
      <c r="U6" s="21">
        <v>4</v>
      </c>
      <c r="V6" s="139">
        <f t="shared" ref="V6:V32" si="26">IF(U6=0,"-",T6/U6)</f>
        <v>6</v>
      </c>
      <c r="W6" s="20">
        <v>7</v>
      </c>
      <c r="X6" s="21">
        <v>1</v>
      </c>
      <c r="Y6" s="139">
        <f t="shared" ref="Y6:Y34" si="27">IF(X6=0,"-",W6/X6)</f>
        <v>7</v>
      </c>
      <c r="Z6" s="20">
        <v>0</v>
      </c>
      <c r="AA6" s="21">
        <v>0</v>
      </c>
      <c r="AB6" s="139" t="str">
        <f t="shared" si="8"/>
        <v>-</v>
      </c>
      <c r="AC6" s="20">
        <v>1</v>
      </c>
      <c r="AD6" s="21">
        <v>1</v>
      </c>
      <c r="AE6" s="139">
        <f t="shared" ref="AE6:AE23" si="28">IF(AD6=0,"-",AC6/AD6)</f>
        <v>1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52">
        <v>23</v>
      </c>
      <c r="AM6" s="253">
        <v>3</v>
      </c>
      <c r="AN6" s="139">
        <f t="shared" ref="AN6:AN34" si="29">IF(AM6=0,"-",AL6/AM6)</f>
        <v>7.666666666666667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56">
        <v>0</v>
      </c>
      <c r="AV6" s="253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117">
        <f t="shared" ref="BM6:BM34" si="30">B6+E6+H6+K6+N6+Q6+T6+W6+Z6+AC6+AF6+AI6+AL6+AO6+AR6+AU6+AX6+BA6+BD6+BG6+BJ6</f>
        <v>259</v>
      </c>
      <c r="BN6" s="120">
        <f t="shared" si="21"/>
        <v>38</v>
      </c>
      <c r="BO6" s="147">
        <f t="shared" si="22"/>
        <v>6.8157894736842106</v>
      </c>
    </row>
    <row r="7" spans="1:67" ht="15" thickBot="1" x14ac:dyDescent="0.35">
      <c r="A7" s="1">
        <v>45385</v>
      </c>
      <c r="B7" s="20">
        <v>18</v>
      </c>
      <c r="C7" s="21">
        <v>2</v>
      </c>
      <c r="D7" s="139">
        <f t="shared" si="0"/>
        <v>9</v>
      </c>
      <c r="E7" s="20">
        <v>0</v>
      </c>
      <c r="F7" s="21">
        <v>0</v>
      </c>
      <c r="G7" s="139" t="str">
        <f t="shared" si="23"/>
        <v>-</v>
      </c>
      <c r="H7" s="20">
        <v>0</v>
      </c>
      <c r="I7" s="21">
        <v>0</v>
      </c>
      <c r="J7" s="139" t="str">
        <f t="shared" si="24"/>
        <v>-</v>
      </c>
      <c r="K7" s="20">
        <v>16</v>
      </c>
      <c r="L7" s="21">
        <v>2</v>
      </c>
      <c r="M7" s="139">
        <f t="shared" ref="M7:M29" si="31">IF(L7=0,"-",K7/L7)</f>
        <v>8</v>
      </c>
      <c r="N7" s="20">
        <v>51</v>
      </c>
      <c r="O7" s="21">
        <v>10</v>
      </c>
      <c r="P7" s="139">
        <f t="shared" si="25"/>
        <v>5.0999999999999996</v>
      </c>
      <c r="Q7" s="20">
        <v>0</v>
      </c>
      <c r="R7" s="21">
        <v>0</v>
      </c>
      <c r="S7" s="139" t="str">
        <f t="shared" ref="S7:S20" si="32">IF(R7=0,"-",Q7/R7)</f>
        <v>-</v>
      </c>
      <c r="T7" s="20">
        <v>0</v>
      </c>
      <c r="U7" s="21">
        <v>0</v>
      </c>
      <c r="V7" s="139" t="str">
        <f t="shared" si="26"/>
        <v>-</v>
      </c>
      <c r="W7" s="20">
        <v>0</v>
      </c>
      <c r="X7" s="21">
        <v>0</v>
      </c>
      <c r="Y7" s="139" t="str">
        <f t="shared" si="27"/>
        <v>-</v>
      </c>
      <c r="Z7" s="20">
        <v>0</v>
      </c>
      <c r="AA7" s="21">
        <v>0</v>
      </c>
      <c r="AB7" s="139" t="str">
        <f t="shared" si="8"/>
        <v>-</v>
      </c>
      <c r="AC7" s="20">
        <v>0</v>
      </c>
      <c r="AD7" s="21">
        <v>0</v>
      </c>
      <c r="AE7" s="139" t="str">
        <f t="shared" si="28"/>
        <v>-</v>
      </c>
      <c r="AF7" s="20">
        <v>0</v>
      </c>
      <c r="AG7" s="21">
        <v>0</v>
      </c>
      <c r="AH7" s="139" t="str">
        <f t="shared" si="10"/>
        <v>-</v>
      </c>
      <c r="AI7" s="20">
        <v>0</v>
      </c>
      <c r="AJ7" s="21">
        <v>0</v>
      </c>
      <c r="AK7" s="139" t="str">
        <f t="shared" si="11"/>
        <v>-</v>
      </c>
      <c r="AL7" s="252">
        <v>14</v>
      </c>
      <c r="AM7" s="253">
        <v>2</v>
      </c>
      <c r="AN7" s="139">
        <f t="shared" si="29"/>
        <v>7</v>
      </c>
      <c r="AO7" s="20">
        <v>0</v>
      </c>
      <c r="AP7" s="21">
        <v>0</v>
      </c>
      <c r="AQ7" s="139" t="str">
        <f t="shared" ref="AQ7" si="33">IF(AP7=0,"-",AO7/AP7)</f>
        <v>-</v>
      </c>
      <c r="AR7" s="20">
        <v>0</v>
      </c>
      <c r="AS7" s="21">
        <v>0</v>
      </c>
      <c r="AT7" s="139" t="str">
        <f t="shared" ref="AT7" si="34">IF(AS7=0,"-",AR7/AS7)</f>
        <v>-</v>
      </c>
      <c r="AU7" s="256">
        <v>7</v>
      </c>
      <c r="AV7" s="253">
        <v>1</v>
      </c>
      <c r="AW7" s="139">
        <f t="shared" ref="AW7:AW34" si="35">IF(AV7=0,"-",AU7/AV7)</f>
        <v>7</v>
      </c>
      <c r="AX7" s="20">
        <v>0</v>
      </c>
      <c r="AY7" s="21">
        <v>0</v>
      </c>
      <c r="AZ7" s="139" t="str">
        <f t="shared" ref="AZ7:AZ8" si="36">IF(AY7=0,"-",AX7/AY7)</f>
        <v>-</v>
      </c>
      <c r="BA7" s="20">
        <v>0</v>
      </c>
      <c r="BB7" s="21">
        <v>0</v>
      </c>
      <c r="BC7" s="139" t="str">
        <f t="shared" ref="BC7" si="37">IF(BB7=0,"-",BA7/BB7)</f>
        <v>-</v>
      </c>
      <c r="BD7" s="20">
        <v>0</v>
      </c>
      <c r="BE7" s="21">
        <v>0</v>
      </c>
      <c r="BF7" s="139" t="str">
        <f t="shared" ref="BF7" si="38">IF(BE7=0,"-",BD7/BE7)</f>
        <v>-</v>
      </c>
      <c r="BG7" s="20">
        <v>0</v>
      </c>
      <c r="BH7" s="21">
        <v>0</v>
      </c>
      <c r="BI7" s="139" t="str">
        <f t="shared" ref="BI7" si="39">IF(BH7=0,"-",BG7/BH7)</f>
        <v>-</v>
      </c>
      <c r="BJ7" s="20">
        <v>0</v>
      </c>
      <c r="BK7" s="21">
        <v>0</v>
      </c>
      <c r="BL7" s="139" t="str">
        <f t="shared" ref="BL7" si="40">IF(BK7=0,"-",BJ7/BK7)</f>
        <v>-</v>
      </c>
      <c r="BM7" s="117">
        <f t="shared" si="30"/>
        <v>106</v>
      </c>
      <c r="BN7" s="120">
        <f t="shared" si="21"/>
        <v>17</v>
      </c>
      <c r="BO7" s="147">
        <f t="shared" si="22"/>
        <v>6.2352941176470589</v>
      </c>
    </row>
    <row r="8" spans="1:67" ht="15" thickBot="1" x14ac:dyDescent="0.35">
      <c r="A8" s="1">
        <v>45386</v>
      </c>
      <c r="B8" s="20">
        <v>18</v>
      </c>
      <c r="C8" s="21">
        <v>2</v>
      </c>
      <c r="D8" s="139">
        <f t="shared" si="0"/>
        <v>9</v>
      </c>
      <c r="E8" s="20">
        <v>0</v>
      </c>
      <c r="F8" s="21">
        <v>0</v>
      </c>
      <c r="G8" s="139" t="str">
        <f t="shared" ref="G8" si="41">IF(F8=0,"-",E8/F8)</f>
        <v>-</v>
      </c>
      <c r="H8" s="20">
        <v>6</v>
      </c>
      <c r="I8" s="21">
        <v>1</v>
      </c>
      <c r="J8" s="139">
        <f t="shared" si="24"/>
        <v>6</v>
      </c>
      <c r="K8" s="20">
        <v>38</v>
      </c>
      <c r="L8" s="21">
        <v>6</v>
      </c>
      <c r="M8" s="139">
        <f t="shared" si="31"/>
        <v>6.333333333333333</v>
      </c>
      <c r="N8" s="20">
        <v>20</v>
      </c>
      <c r="O8" s="21">
        <v>4</v>
      </c>
      <c r="P8" s="139">
        <f t="shared" si="25"/>
        <v>5</v>
      </c>
      <c r="Q8" s="20">
        <v>0</v>
      </c>
      <c r="R8" s="21">
        <v>0</v>
      </c>
      <c r="S8" s="139" t="str">
        <f t="shared" ref="S8" si="42">IF(R8=0,"-",Q8/R8)</f>
        <v>-</v>
      </c>
      <c r="T8" s="20">
        <v>0</v>
      </c>
      <c r="U8" s="21">
        <v>0</v>
      </c>
      <c r="V8" s="139" t="str">
        <f t="shared" ref="V8" si="43">IF(U8=0,"-",T8/U8)</f>
        <v>-</v>
      </c>
      <c r="W8" s="20">
        <v>0</v>
      </c>
      <c r="X8" s="21">
        <v>0</v>
      </c>
      <c r="Y8" s="139" t="str">
        <f t="shared" ref="Y8" si="44">IF(X8=0,"-",W8/X8)</f>
        <v>-</v>
      </c>
      <c r="Z8" s="20">
        <v>25</v>
      </c>
      <c r="AA8" s="21">
        <v>4</v>
      </c>
      <c r="AB8" s="139">
        <f t="shared" ref="AB8:AB22" si="45">IF(AA8=0,"-",Z8/AA8)</f>
        <v>6.25</v>
      </c>
      <c r="AC8" s="20">
        <v>0</v>
      </c>
      <c r="AD8" s="21">
        <v>0</v>
      </c>
      <c r="AE8" s="139" t="str">
        <f t="shared" ref="AE8:AE11" si="46">IF(AD8=0,"-",AC8/AD8)</f>
        <v>-</v>
      </c>
      <c r="AF8" s="20">
        <v>21</v>
      </c>
      <c r="AG8" s="21">
        <v>3</v>
      </c>
      <c r="AH8" s="139">
        <f t="shared" ref="AH8:AH32" si="47">IF(AG8=0,"-",AF8/AG8)</f>
        <v>7</v>
      </c>
      <c r="AI8" s="20">
        <v>7</v>
      </c>
      <c r="AJ8" s="21">
        <v>1</v>
      </c>
      <c r="AK8" s="139">
        <f t="shared" ref="AK8:AK34" si="48">IF(AJ8=0,"-",AI8/AJ8)</f>
        <v>7</v>
      </c>
      <c r="AL8" s="252">
        <v>22</v>
      </c>
      <c r="AM8" s="253">
        <v>3</v>
      </c>
      <c r="AN8" s="139">
        <f t="shared" si="29"/>
        <v>7.333333333333333</v>
      </c>
      <c r="AO8" s="20">
        <v>0</v>
      </c>
      <c r="AP8" s="21">
        <v>0</v>
      </c>
      <c r="AQ8" s="139" t="str">
        <f t="shared" ref="AQ8" si="49">IF(AP8=0,"-",AO8/AP8)</f>
        <v>-</v>
      </c>
      <c r="AR8" s="20">
        <v>0</v>
      </c>
      <c r="AS8" s="21">
        <v>0</v>
      </c>
      <c r="AT8" s="139" t="str">
        <f t="shared" ref="AT8" si="50">IF(AS8=0,"-",AR8/AS8)</f>
        <v>-</v>
      </c>
      <c r="AU8" s="256">
        <v>0</v>
      </c>
      <c r="AV8" s="253">
        <v>0</v>
      </c>
      <c r="AW8" s="139" t="str">
        <f t="shared" si="35"/>
        <v>-</v>
      </c>
      <c r="AX8" s="20">
        <v>0</v>
      </c>
      <c r="AY8" s="21">
        <v>0</v>
      </c>
      <c r="AZ8" s="139" t="str">
        <f t="shared" si="36"/>
        <v>-</v>
      </c>
      <c r="BA8" s="20">
        <v>0</v>
      </c>
      <c r="BB8" s="21">
        <v>0</v>
      </c>
      <c r="BC8" s="139" t="str">
        <f t="shared" ref="BC8" si="51">IF(BB8=0,"-",BA8/BB8)</f>
        <v>-</v>
      </c>
      <c r="BD8" s="20">
        <v>0</v>
      </c>
      <c r="BE8" s="21">
        <v>0</v>
      </c>
      <c r="BF8" s="139" t="str">
        <f t="shared" ref="BF8" si="52">IF(BE8=0,"-",BD8/BE8)</f>
        <v>-</v>
      </c>
      <c r="BG8" s="20">
        <v>0</v>
      </c>
      <c r="BH8" s="21">
        <v>0</v>
      </c>
      <c r="BI8" s="139" t="str">
        <f t="shared" ref="BI8" si="53">IF(BH8=0,"-",BG8/BH8)</f>
        <v>-</v>
      </c>
      <c r="BJ8" s="20">
        <v>0</v>
      </c>
      <c r="BK8" s="21">
        <v>0</v>
      </c>
      <c r="BL8" s="139" t="str">
        <f t="shared" ref="BL8" si="54">IF(BK8=0,"-",BJ8/BK8)</f>
        <v>-</v>
      </c>
      <c r="BM8" s="117">
        <f t="shared" si="30"/>
        <v>157</v>
      </c>
      <c r="BN8" s="120">
        <f t="shared" si="21"/>
        <v>24</v>
      </c>
      <c r="BO8" s="147">
        <f t="shared" si="22"/>
        <v>6.541666666666667</v>
      </c>
    </row>
    <row r="9" spans="1:67" ht="15" thickBot="1" x14ac:dyDescent="0.35">
      <c r="A9" s="1">
        <v>45387</v>
      </c>
      <c r="B9" s="20">
        <v>17</v>
      </c>
      <c r="C9" s="21">
        <v>2</v>
      </c>
      <c r="D9" s="139">
        <f t="shared" si="0"/>
        <v>8.5</v>
      </c>
      <c r="E9" s="20">
        <v>0</v>
      </c>
      <c r="F9" s="21">
        <v>0</v>
      </c>
      <c r="G9" s="139" t="str">
        <f t="shared" ref="G9" si="55">IF(F9=0,"-",E9/F9)</f>
        <v>-</v>
      </c>
      <c r="H9" s="20">
        <v>0</v>
      </c>
      <c r="I9" s="21">
        <v>0</v>
      </c>
      <c r="J9" s="139" t="str">
        <f t="shared" si="24"/>
        <v>-</v>
      </c>
      <c r="K9" s="20">
        <v>8</v>
      </c>
      <c r="L9" s="21">
        <v>1</v>
      </c>
      <c r="M9" s="139">
        <f t="shared" si="31"/>
        <v>8</v>
      </c>
      <c r="N9" s="20">
        <v>26</v>
      </c>
      <c r="O9" s="21">
        <v>5</v>
      </c>
      <c r="P9" s="139">
        <f t="shared" si="25"/>
        <v>5.2</v>
      </c>
      <c r="Q9" s="20">
        <v>0</v>
      </c>
      <c r="R9" s="21">
        <v>0</v>
      </c>
      <c r="S9" s="139" t="str">
        <f t="shared" ref="S9:S10" si="56">IF(R9=0,"-",Q9/R9)</f>
        <v>-</v>
      </c>
      <c r="T9" s="20">
        <v>0</v>
      </c>
      <c r="U9" s="21">
        <v>0</v>
      </c>
      <c r="V9" s="139" t="str">
        <f t="shared" ref="V9:V10" si="57">IF(U9=0,"-",T9/U9)</f>
        <v>-</v>
      </c>
      <c r="W9" s="20">
        <v>0</v>
      </c>
      <c r="X9" s="21">
        <v>0</v>
      </c>
      <c r="Y9" s="139" t="str">
        <f t="shared" ref="Y9:Y11" si="58">IF(X9=0,"-",W9/X9)</f>
        <v>-</v>
      </c>
      <c r="Z9" s="20">
        <v>0</v>
      </c>
      <c r="AA9" s="21">
        <v>0</v>
      </c>
      <c r="AB9" s="139" t="str">
        <f t="shared" si="45"/>
        <v>-</v>
      </c>
      <c r="AC9" s="20">
        <v>0</v>
      </c>
      <c r="AD9" s="21">
        <v>0</v>
      </c>
      <c r="AE9" s="139" t="str">
        <f t="shared" si="46"/>
        <v>-</v>
      </c>
      <c r="AF9" s="20">
        <v>0</v>
      </c>
      <c r="AG9" s="21">
        <v>0</v>
      </c>
      <c r="AH9" s="139" t="str">
        <f t="shared" si="47"/>
        <v>-</v>
      </c>
      <c r="AI9" s="20">
        <v>0</v>
      </c>
      <c r="AJ9" s="21">
        <v>0</v>
      </c>
      <c r="AK9" s="139" t="str">
        <f t="shared" si="48"/>
        <v>-</v>
      </c>
      <c r="AL9" s="252">
        <v>63</v>
      </c>
      <c r="AM9" s="253">
        <v>9</v>
      </c>
      <c r="AN9" s="139">
        <f t="shared" si="29"/>
        <v>7</v>
      </c>
      <c r="AO9" s="20">
        <v>0</v>
      </c>
      <c r="AP9" s="21">
        <v>0</v>
      </c>
      <c r="AQ9" s="139" t="str">
        <f t="shared" ref="AQ9:AQ11" si="59">IF(AP9=0,"-",AO9/AP9)</f>
        <v>-</v>
      </c>
      <c r="AR9" s="20">
        <v>0</v>
      </c>
      <c r="AS9" s="21">
        <v>0</v>
      </c>
      <c r="AT9" s="139" t="str">
        <f t="shared" ref="AT9:AT11" si="60">IF(AS9=0,"-",AR9/AS9)</f>
        <v>-</v>
      </c>
      <c r="AU9" s="257">
        <v>0</v>
      </c>
      <c r="AV9" s="253">
        <v>0</v>
      </c>
      <c r="AW9" s="139" t="str">
        <f t="shared" ref="AW9:AW10" si="61">IF(AV9=0,"-",AU9/AV9)</f>
        <v>-</v>
      </c>
      <c r="AX9" s="20">
        <v>0</v>
      </c>
      <c r="AY9" s="21">
        <v>0</v>
      </c>
      <c r="AZ9" s="139" t="str">
        <f t="shared" ref="AZ9:AZ12" si="62">IF(AY9=0,"-",AX9/AY9)</f>
        <v>-</v>
      </c>
      <c r="BA9" s="20">
        <v>55</v>
      </c>
      <c r="BB9" s="21">
        <v>9</v>
      </c>
      <c r="BC9" s="139">
        <f t="shared" ref="BC9:BC34" si="63">IF(BB9=0,"-",BA9/BB9)</f>
        <v>6.1111111111111107</v>
      </c>
      <c r="BD9" s="20">
        <v>0</v>
      </c>
      <c r="BE9" s="21">
        <v>0</v>
      </c>
      <c r="BF9" s="139" t="str">
        <f t="shared" ref="BF9" si="64">IF(BE9=0,"-",BD9/BE9)</f>
        <v>-</v>
      </c>
      <c r="BG9" s="20">
        <v>0</v>
      </c>
      <c r="BH9" s="21">
        <v>0</v>
      </c>
      <c r="BI9" s="139" t="str">
        <f t="shared" ref="BI9" si="65">IF(BH9=0,"-",BG9/BH9)</f>
        <v>-</v>
      </c>
      <c r="BJ9" s="20">
        <v>0</v>
      </c>
      <c r="BK9" s="21">
        <v>0</v>
      </c>
      <c r="BL9" s="139" t="str">
        <f t="shared" ref="BL9" si="66">IF(BK9=0,"-",BJ9/BK9)</f>
        <v>-</v>
      </c>
      <c r="BM9" s="117">
        <f t="shared" si="30"/>
        <v>169</v>
      </c>
      <c r="BN9" s="120">
        <f t="shared" si="21"/>
        <v>26</v>
      </c>
      <c r="BO9" s="147">
        <f t="shared" si="22"/>
        <v>6.5</v>
      </c>
    </row>
    <row r="10" spans="1:67" ht="15" thickBot="1" x14ac:dyDescent="0.35">
      <c r="A10" s="1">
        <v>45388</v>
      </c>
      <c r="B10" s="20">
        <v>8</v>
      </c>
      <c r="C10" s="21">
        <v>1</v>
      </c>
      <c r="D10" s="139">
        <f t="shared" si="0"/>
        <v>8</v>
      </c>
      <c r="E10" s="20">
        <v>8</v>
      </c>
      <c r="F10" s="21">
        <v>1</v>
      </c>
      <c r="G10" s="139">
        <f t="shared" si="23"/>
        <v>8</v>
      </c>
      <c r="H10" s="20">
        <v>0</v>
      </c>
      <c r="I10" s="21">
        <v>0</v>
      </c>
      <c r="J10" s="139" t="str">
        <f t="shared" ref="J10:J11" si="67">IF(I10=0,"-",H10/I10)</f>
        <v>-</v>
      </c>
      <c r="K10" s="20">
        <v>8</v>
      </c>
      <c r="L10" s="21">
        <v>1</v>
      </c>
      <c r="M10" s="139">
        <f t="shared" si="31"/>
        <v>8</v>
      </c>
      <c r="N10" s="20">
        <v>0</v>
      </c>
      <c r="O10" s="21">
        <v>0</v>
      </c>
      <c r="P10" s="139" t="str">
        <f t="shared" ref="P10" si="68">IF(O10=0,"-",N10/O10)</f>
        <v>-</v>
      </c>
      <c r="Q10" s="20">
        <v>0</v>
      </c>
      <c r="R10" s="21">
        <v>0</v>
      </c>
      <c r="S10" s="139" t="str">
        <f t="shared" si="56"/>
        <v>-</v>
      </c>
      <c r="T10" s="20">
        <v>0</v>
      </c>
      <c r="U10" s="21">
        <v>0</v>
      </c>
      <c r="V10" s="139" t="str">
        <f t="shared" si="57"/>
        <v>-</v>
      </c>
      <c r="W10" s="20">
        <v>0</v>
      </c>
      <c r="X10" s="21">
        <v>0</v>
      </c>
      <c r="Y10" s="139" t="str">
        <f t="shared" si="58"/>
        <v>-</v>
      </c>
      <c r="Z10" s="20">
        <v>0</v>
      </c>
      <c r="AA10" s="21">
        <v>0</v>
      </c>
      <c r="AB10" s="139" t="str">
        <f t="shared" si="45"/>
        <v>-</v>
      </c>
      <c r="AC10" s="20">
        <v>0</v>
      </c>
      <c r="AD10" s="21">
        <v>0</v>
      </c>
      <c r="AE10" s="139" t="str">
        <f t="shared" si="46"/>
        <v>-</v>
      </c>
      <c r="AF10" s="20">
        <v>0</v>
      </c>
      <c r="AG10" s="21">
        <v>0</v>
      </c>
      <c r="AH10" s="139" t="str">
        <f t="shared" si="47"/>
        <v>-</v>
      </c>
      <c r="AI10" s="20">
        <v>0</v>
      </c>
      <c r="AJ10" s="21">
        <v>0</v>
      </c>
      <c r="AK10" s="139" t="str">
        <f t="shared" si="48"/>
        <v>-</v>
      </c>
      <c r="AL10" s="252">
        <v>0</v>
      </c>
      <c r="AM10" s="253">
        <v>0</v>
      </c>
      <c r="AN10" s="139" t="str">
        <f t="shared" si="29"/>
        <v>-</v>
      </c>
      <c r="AO10" s="20">
        <v>0</v>
      </c>
      <c r="AP10" s="21">
        <v>0</v>
      </c>
      <c r="AQ10" s="139" t="str">
        <f t="shared" si="59"/>
        <v>-</v>
      </c>
      <c r="AR10" s="20">
        <v>0</v>
      </c>
      <c r="AS10" s="21">
        <v>0</v>
      </c>
      <c r="AT10" s="139" t="str">
        <f t="shared" si="60"/>
        <v>-</v>
      </c>
      <c r="AU10" s="257">
        <v>0</v>
      </c>
      <c r="AV10" s="253">
        <v>0</v>
      </c>
      <c r="AW10" s="139" t="str">
        <f t="shared" si="61"/>
        <v>-</v>
      </c>
      <c r="AX10" s="20">
        <v>0</v>
      </c>
      <c r="AY10" s="21">
        <v>0</v>
      </c>
      <c r="AZ10" s="139" t="str">
        <f t="shared" si="62"/>
        <v>-</v>
      </c>
      <c r="BA10" s="20">
        <v>0</v>
      </c>
      <c r="BB10" s="21">
        <v>0</v>
      </c>
      <c r="BC10" s="139" t="str">
        <f t="shared" si="63"/>
        <v>-</v>
      </c>
      <c r="BD10" s="20">
        <v>0</v>
      </c>
      <c r="BE10" s="21">
        <v>0</v>
      </c>
      <c r="BF10" s="139" t="str">
        <f t="shared" ref="BF10:BF11" si="69">IF(BE10=0,"-",BD10/BE10)</f>
        <v>-</v>
      </c>
      <c r="BG10" s="20">
        <v>0</v>
      </c>
      <c r="BH10" s="21">
        <v>0</v>
      </c>
      <c r="BI10" s="139" t="str">
        <f t="shared" ref="BI10:BI11" si="70">IF(BH10=0,"-",BG10/BH10)</f>
        <v>-</v>
      </c>
      <c r="BJ10" s="20">
        <v>0</v>
      </c>
      <c r="BK10" s="21">
        <v>0</v>
      </c>
      <c r="BL10" s="139" t="str">
        <f t="shared" ref="BL10:BL28" si="71">IF(BK10=0,"-",BJ10/BK10)</f>
        <v>-</v>
      </c>
      <c r="BM10" s="117">
        <f t="shared" si="30"/>
        <v>24</v>
      </c>
      <c r="BN10" s="120">
        <f t="shared" si="21"/>
        <v>3</v>
      </c>
      <c r="BO10" s="147">
        <f t="shared" si="22"/>
        <v>8</v>
      </c>
    </row>
    <row r="11" spans="1:67" ht="15" thickBot="1" x14ac:dyDescent="0.35">
      <c r="A11" s="1">
        <v>45389</v>
      </c>
      <c r="B11" s="20">
        <v>0</v>
      </c>
      <c r="C11" s="21">
        <v>0</v>
      </c>
      <c r="D11" s="139" t="str">
        <f t="shared" si="0"/>
        <v>-</v>
      </c>
      <c r="E11" s="20">
        <v>0</v>
      </c>
      <c r="F11" s="21">
        <v>0</v>
      </c>
      <c r="G11" s="139" t="str">
        <f t="shared" si="23"/>
        <v>-</v>
      </c>
      <c r="H11" s="20">
        <v>0</v>
      </c>
      <c r="I11" s="21">
        <v>0</v>
      </c>
      <c r="J11" s="139" t="str">
        <f t="shared" si="67"/>
        <v>-</v>
      </c>
      <c r="K11" s="20">
        <v>0</v>
      </c>
      <c r="L11" s="21">
        <v>0</v>
      </c>
      <c r="M11" s="139" t="str">
        <f t="shared" si="31"/>
        <v>-</v>
      </c>
      <c r="N11" s="20">
        <v>0</v>
      </c>
      <c r="O11" s="21">
        <v>0</v>
      </c>
      <c r="P11" s="139" t="str">
        <f t="shared" si="25"/>
        <v>-</v>
      </c>
      <c r="Q11" s="20">
        <v>0</v>
      </c>
      <c r="R11" s="21">
        <v>0</v>
      </c>
      <c r="S11" s="139" t="str">
        <f t="shared" si="32"/>
        <v>-</v>
      </c>
      <c r="T11" s="20">
        <v>0</v>
      </c>
      <c r="U11" s="21">
        <v>0</v>
      </c>
      <c r="V11" s="139" t="str">
        <f t="shared" si="26"/>
        <v>-</v>
      </c>
      <c r="W11" s="20">
        <v>0</v>
      </c>
      <c r="X11" s="21">
        <v>0</v>
      </c>
      <c r="Y11" s="139" t="str">
        <f t="shared" si="58"/>
        <v>-</v>
      </c>
      <c r="Z11" s="20">
        <v>0</v>
      </c>
      <c r="AA11" s="21">
        <v>0</v>
      </c>
      <c r="AB11" s="139" t="str">
        <f t="shared" si="45"/>
        <v>-</v>
      </c>
      <c r="AC11" s="20">
        <v>0</v>
      </c>
      <c r="AD11" s="21">
        <v>0</v>
      </c>
      <c r="AE11" s="139" t="str">
        <f t="shared" si="46"/>
        <v>-</v>
      </c>
      <c r="AF11" s="20">
        <v>0</v>
      </c>
      <c r="AG11" s="21">
        <v>0</v>
      </c>
      <c r="AH11" s="139" t="str">
        <f t="shared" si="47"/>
        <v>-</v>
      </c>
      <c r="AI11" s="20">
        <v>0</v>
      </c>
      <c r="AJ11" s="21">
        <v>0</v>
      </c>
      <c r="AK11" s="139" t="str">
        <f t="shared" si="48"/>
        <v>-</v>
      </c>
      <c r="AL11" s="252">
        <v>0</v>
      </c>
      <c r="AM11" s="253">
        <v>0</v>
      </c>
      <c r="AN11" s="139" t="str">
        <f t="shared" si="29"/>
        <v>-</v>
      </c>
      <c r="AO11" s="20">
        <v>0</v>
      </c>
      <c r="AP11" s="21">
        <v>0</v>
      </c>
      <c r="AQ11" s="139" t="str">
        <f t="shared" si="59"/>
        <v>-</v>
      </c>
      <c r="AR11" s="20">
        <v>0</v>
      </c>
      <c r="AS11" s="21">
        <v>0</v>
      </c>
      <c r="AT11" s="139" t="str">
        <f t="shared" si="60"/>
        <v>-</v>
      </c>
      <c r="AU11" s="257">
        <v>7</v>
      </c>
      <c r="AV11" s="253">
        <v>1</v>
      </c>
      <c r="AW11" s="139">
        <f t="shared" si="35"/>
        <v>7</v>
      </c>
      <c r="AX11" s="20">
        <v>0</v>
      </c>
      <c r="AY11" s="21">
        <v>0</v>
      </c>
      <c r="AZ11" s="139" t="str">
        <f t="shared" si="62"/>
        <v>-</v>
      </c>
      <c r="BA11" s="20">
        <v>0</v>
      </c>
      <c r="BB11" s="21">
        <v>0</v>
      </c>
      <c r="BC11" s="139" t="str">
        <f t="shared" si="63"/>
        <v>-</v>
      </c>
      <c r="BD11" s="20">
        <v>0</v>
      </c>
      <c r="BE11" s="21">
        <v>0</v>
      </c>
      <c r="BF11" s="139" t="str">
        <f t="shared" si="69"/>
        <v>-</v>
      </c>
      <c r="BG11" s="20">
        <v>0</v>
      </c>
      <c r="BH11" s="21">
        <v>0</v>
      </c>
      <c r="BI11" s="139" t="str">
        <f t="shared" si="70"/>
        <v>-</v>
      </c>
      <c r="BJ11" s="20">
        <v>0</v>
      </c>
      <c r="BK11" s="21">
        <v>0</v>
      </c>
      <c r="BL11" s="139" t="str">
        <f t="shared" si="71"/>
        <v>-</v>
      </c>
      <c r="BM11" s="117">
        <f t="shared" si="30"/>
        <v>7</v>
      </c>
      <c r="BN11" s="120">
        <f t="shared" si="21"/>
        <v>1</v>
      </c>
      <c r="BO11" s="147">
        <f t="shared" si="22"/>
        <v>7</v>
      </c>
    </row>
    <row r="12" spans="1:67" ht="15" thickBot="1" x14ac:dyDescent="0.35">
      <c r="A12" s="1">
        <v>45390</v>
      </c>
      <c r="B12" s="20">
        <v>46</v>
      </c>
      <c r="C12" s="21">
        <v>7</v>
      </c>
      <c r="D12" s="139">
        <f t="shared" si="0"/>
        <v>6.5714285714285712</v>
      </c>
      <c r="E12" s="20">
        <v>8</v>
      </c>
      <c r="F12" s="21">
        <v>1</v>
      </c>
      <c r="G12" s="139">
        <f t="shared" si="23"/>
        <v>8</v>
      </c>
      <c r="H12" s="20">
        <v>8</v>
      </c>
      <c r="I12" s="21">
        <v>1</v>
      </c>
      <c r="J12" s="139">
        <f t="shared" si="24"/>
        <v>8</v>
      </c>
      <c r="K12" s="20">
        <v>21</v>
      </c>
      <c r="L12" s="21">
        <v>3</v>
      </c>
      <c r="M12" s="139">
        <f t="shared" si="31"/>
        <v>7</v>
      </c>
      <c r="N12" s="23">
        <v>41</v>
      </c>
      <c r="O12" s="21">
        <v>8</v>
      </c>
      <c r="P12" s="139">
        <f t="shared" si="25"/>
        <v>5.125</v>
      </c>
      <c r="Q12" s="20">
        <v>0</v>
      </c>
      <c r="R12" s="21">
        <v>0</v>
      </c>
      <c r="S12" s="139" t="str">
        <f t="shared" ref="S12" si="72">IF(R12=0,"-",Q12/R12)</f>
        <v>-</v>
      </c>
      <c r="T12" s="20">
        <v>0</v>
      </c>
      <c r="U12" s="21">
        <v>0</v>
      </c>
      <c r="V12" s="139" t="str">
        <f t="shared" ref="V12" si="73">IF(U12=0,"-",T12/U12)</f>
        <v>-</v>
      </c>
      <c r="W12" s="20">
        <v>0</v>
      </c>
      <c r="X12" s="21">
        <v>0</v>
      </c>
      <c r="Y12" s="139" t="str">
        <f t="shared" ref="Y12" si="74">IF(X12=0,"-",W12/X12)</f>
        <v>-</v>
      </c>
      <c r="Z12" s="20">
        <v>0</v>
      </c>
      <c r="AA12" s="21">
        <v>0</v>
      </c>
      <c r="AB12" s="139" t="str">
        <f t="shared" ref="AB12" si="75">IF(AA12=0,"-",Z12/AA12)</f>
        <v>-</v>
      </c>
      <c r="AC12" s="20">
        <v>0</v>
      </c>
      <c r="AD12" s="21">
        <v>0</v>
      </c>
      <c r="AE12" s="139" t="str">
        <f t="shared" ref="AE12" si="76">IF(AD12=0,"-",AC12/AD12)</f>
        <v>-</v>
      </c>
      <c r="AF12" s="20">
        <v>0</v>
      </c>
      <c r="AG12" s="21">
        <v>0</v>
      </c>
      <c r="AH12" s="139" t="str">
        <f t="shared" ref="AH12" si="77">IF(AG12=0,"-",AF12/AG12)</f>
        <v>-</v>
      </c>
      <c r="AI12" s="20">
        <v>0</v>
      </c>
      <c r="AJ12" s="21">
        <v>0</v>
      </c>
      <c r="AK12" s="139" t="str">
        <f t="shared" ref="AK12" si="78">IF(AJ12=0,"-",AI12/AJ12)</f>
        <v>-</v>
      </c>
      <c r="AL12" s="252">
        <v>42</v>
      </c>
      <c r="AM12" s="253">
        <v>6</v>
      </c>
      <c r="AN12" s="139">
        <f t="shared" si="29"/>
        <v>7</v>
      </c>
      <c r="AO12" s="20">
        <v>0</v>
      </c>
      <c r="AP12" s="21">
        <v>0</v>
      </c>
      <c r="AQ12" s="139" t="str">
        <f t="shared" ref="AQ12" si="79">IF(AP12=0,"-",AO12/AP12)</f>
        <v>-</v>
      </c>
      <c r="AR12" s="20">
        <v>0</v>
      </c>
      <c r="AS12" s="21">
        <v>0</v>
      </c>
      <c r="AT12" s="139" t="str">
        <f t="shared" ref="AT12" si="80">IF(AS12=0,"-",AR12/AS12)</f>
        <v>-</v>
      </c>
      <c r="AU12" s="257">
        <v>0</v>
      </c>
      <c r="AV12" s="253">
        <v>0</v>
      </c>
      <c r="AW12" s="139" t="str">
        <f t="shared" si="35"/>
        <v>-</v>
      </c>
      <c r="AX12" s="20">
        <v>0</v>
      </c>
      <c r="AY12" s="21">
        <v>0</v>
      </c>
      <c r="AZ12" s="139" t="str">
        <f t="shared" si="62"/>
        <v>-</v>
      </c>
      <c r="BA12" s="20">
        <v>0</v>
      </c>
      <c r="BB12" s="21">
        <v>0</v>
      </c>
      <c r="BC12" s="139" t="str">
        <f t="shared" ref="BC12" si="81">IF(BB12=0,"-",BA12/BB12)</f>
        <v>-</v>
      </c>
      <c r="BD12" s="20">
        <v>0</v>
      </c>
      <c r="BE12" s="21">
        <v>0</v>
      </c>
      <c r="BF12" s="139" t="str">
        <f t="shared" ref="BF12" si="82">IF(BE12=0,"-",BD12/BE12)</f>
        <v>-</v>
      </c>
      <c r="BG12" s="20">
        <v>0</v>
      </c>
      <c r="BH12" s="21">
        <v>0</v>
      </c>
      <c r="BI12" s="139" t="str">
        <f t="shared" ref="BI12" si="83">IF(BH12=0,"-",BG12/BH12)</f>
        <v>-</v>
      </c>
      <c r="BJ12" s="20">
        <v>0</v>
      </c>
      <c r="BK12" s="21">
        <v>0</v>
      </c>
      <c r="BL12" s="139" t="str">
        <f t="shared" ref="BL12" si="84">IF(BK12=0,"-",BJ12/BK12)</f>
        <v>-</v>
      </c>
      <c r="BM12" s="117">
        <f t="shared" si="30"/>
        <v>166</v>
      </c>
      <c r="BN12" s="120">
        <f t="shared" si="21"/>
        <v>26</v>
      </c>
      <c r="BO12" s="147">
        <f t="shared" si="22"/>
        <v>6.384615384615385</v>
      </c>
    </row>
    <row r="13" spans="1:67" ht="15" thickBot="1" x14ac:dyDescent="0.35">
      <c r="A13" s="1">
        <v>45391</v>
      </c>
      <c r="B13" s="20">
        <v>29</v>
      </c>
      <c r="C13" s="21">
        <v>4</v>
      </c>
      <c r="D13" s="139">
        <f t="shared" si="0"/>
        <v>7.25</v>
      </c>
      <c r="E13" s="20">
        <v>14</v>
      </c>
      <c r="F13" s="21">
        <v>2</v>
      </c>
      <c r="G13" s="139">
        <f t="shared" si="23"/>
        <v>7</v>
      </c>
      <c r="H13" s="20">
        <v>0</v>
      </c>
      <c r="I13" s="21">
        <v>0</v>
      </c>
      <c r="J13" s="139" t="str">
        <f t="shared" si="24"/>
        <v>-</v>
      </c>
      <c r="K13" s="20">
        <v>16</v>
      </c>
      <c r="L13" s="21">
        <v>2</v>
      </c>
      <c r="M13" s="139">
        <f t="shared" si="31"/>
        <v>8</v>
      </c>
      <c r="N13" s="20">
        <v>34</v>
      </c>
      <c r="O13" s="21">
        <v>6</v>
      </c>
      <c r="P13" s="139">
        <f t="shared" si="25"/>
        <v>5.666666666666667</v>
      </c>
      <c r="Q13" s="20">
        <v>0</v>
      </c>
      <c r="R13" s="21">
        <v>0</v>
      </c>
      <c r="S13" s="139" t="str">
        <f t="shared" ref="S13" si="85">IF(R13=0,"-",Q13/R13)</f>
        <v>-</v>
      </c>
      <c r="T13" s="20">
        <v>0</v>
      </c>
      <c r="U13" s="21">
        <v>0</v>
      </c>
      <c r="V13" s="139" t="str">
        <f t="shared" ref="V13" si="86">IF(U13=0,"-",T13/U13)</f>
        <v>-</v>
      </c>
      <c r="W13" s="20">
        <v>0</v>
      </c>
      <c r="X13" s="21">
        <v>0</v>
      </c>
      <c r="Y13" s="139" t="str">
        <f t="shared" ref="Y13" si="87">IF(X13=0,"-",W13/X13)</f>
        <v>-</v>
      </c>
      <c r="Z13" s="20">
        <v>0</v>
      </c>
      <c r="AA13" s="21">
        <v>0</v>
      </c>
      <c r="AB13" s="139" t="str">
        <f t="shared" ref="AB13" si="88">IF(AA13=0,"-",Z13/AA13)</f>
        <v>-</v>
      </c>
      <c r="AC13" s="20">
        <v>0</v>
      </c>
      <c r="AD13" s="21">
        <v>0</v>
      </c>
      <c r="AE13" s="139" t="str">
        <f t="shared" ref="AE13" si="89">IF(AD13=0,"-",AC13/AD13)</f>
        <v>-</v>
      </c>
      <c r="AF13" s="20">
        <v>0</v>
      </c>
      <c r="AG13" s="21">
        <v>0</v>
      </c>
      <c r="AH13" s="139" t="str">
        <f t="shared" ref="AH13" si="90">IF(AG13=0,"-",AF13/AG13)</f>
        <v>-</v>
      </c>
      <c r="AI13" s="20">
        <v>0</v>
      </c>
      <c r="AJ13" s="21">
        <v>0</v>
      </c>
      <c r="AK13" s="139" t="str">
        <f t="shared" ref="AK13" si="91">IF(AJ13=0,"-",AI13/AJ13)</f>
        <v>-</v>
      </c>
      <c r="AL13" s="252">
        <v>7</v>
      </c>
      <c r="AM13" s="253">
        <v>1</v>
      </c>
      <c r="AN13" s="139">
        <f t="shared" si="29"/>
        <v>7</v>
      </c>
      <c r="AO13" s="20">
        <v>0</v>
      </c>
      <c r="AP13" s="21">
        <v>0</v>
      </c>
      <c r="AQ13" s="139" t="str">
        <f t="shared" ref="AQ13" si="92">IF(AP13=0,"-",AO13/AP13)</f>
        <v>-</v>
      </c>
      <c r="AR13" s="20">
        <v>0</v>
      </c>
      <c r="AS13" s="21">
        <v>0</v>
      </c>
      <c r="AT13" s="139" t="str">
        <f t="shared" ref="AT13" si="93">IF(AS13=0,"-",AR13/AS13)</f>
        <v>-</v>
      </c>
      <c r="AU13" s="257">
        <v>7</v>
      </c>
      <c r="AV13" s="253">
        <v>1</v>
      </c>
      <c r="AW13" s="139">
        <f t="shared" si="35"/>
        <v>7</v>
      </c>
      <c r="AX13" s="20">
        <v>0</v>
      </c>
      <c r="AY13" s="21">
        <v>0</v>
      </c>
      <c r="AZ13" s="139" t="str">
        <f t="shared" ref="AZ13" si="94">IF(AY13=0,"-",AX13/AY13)</f>
        <v>-</v>
      </c>
      <c r="BA13" s="20">
        <v>9</v>
      </c>
      <c r="BB13" s="21">
        <v>1</v>
      </c>
      <c r="BC13" s="139">
        <f t="shared" si="63"/>
        <v>9</v>
      </c>
      <c r="BD13" s="20">
        <v>0</v>
      </c>
      <c r="BE13" s="21">
        <v>0</v>
      </c>
      <c r="BF13" s="139" t="str">
        <f t="shared" ref="BF13:BF14" si="95">IF(BE13=0,"-",BD13/BE13)</f>
        <v>-</v>
      </c>
      <c r="BG13" s="20">
        <v>0</v>
      </c>
      <c r="BH13" s="21">
        <v>0</v>
      </c>
      <c r="BI13" s="139" t="str">
        <f t="shared" ref="BI13:BI14" si="96">IF(BH13=0,"-",BG13/BH13)</f>
        <v>-</v>
      </c>
      <c r="BJ13" s="20">
        <v>0</v>
      </c>
      <c r="BK13" s="21">
        <v>0</v>
      </c>
      <c r="BL13" s="139" t="str">
        <f t="shared" ref="BL13:BL14" si="97">IF(BK13=0,"-",BJ13/BK13)</f>
        <v>-</v>
      </c>
      <c r="BM13" s="117">
        <f t="shared" si="30"/>
        <v>116</v>
      </c>
      <c r="BN13" s="120">
        <f t="shared" si="21"/>
        <v>17</v>
      </c>
      <c r="BO13" s="147">
        <f t="shared" si="22"/>
        <v>6.8235294117647056</v>
      </c>
    </row>
    <row r="14" spans="1:67" ht="15" thickBot="1" x14ac:dyDescent="0.35">
      <c r="A14" s="1">
        <v>45392</v>
      </c>
      <c r="B14" s="20">
        <v>34</v>
      </c>
      <c r="C14" s="21">
        <v>5</v>
      </c>
      <c r="D14" s="139">
        <f t="shared" si="0"/>
        <v>6.8</v>
      </c>
      <c r="E14" s="20">
        <v>8</v>
      </c>
      <c r="F14" s="21">
        <v>1</v>
      </c>
      <c r="G14" s="139">
        <f t="shared" si="23"/>
        <v>8</v>
      </c>
      <c r="H14" s="20">
        <v>6</v>
      </c>
      <c r="I14" s="21">
        <v>1</v>
      </c>
      <c r="J14" s="139">
        <f t="shared" si="24"/>
        <v>6</v>
      </c>
      <c r="K14" s="20">
        <v>15</v>
      </c>
      <c r="L14" s="21">
        <v>2</v>
      </c>
      <c r="M14" s="139">
        <f t="shared" si="31"/>
        <v>7.5</v>
      </c>
      <c r="N14" s="20">
        <v>84</v>
      </c>
      <c r="O14" s="21">
        <v>14</v>
      </c>
      <c r="P14" s="139">
        <f t="shared" si="25"/>
        <v>6</v>
      </c>
      <c r="Q14" s="20">
        <v>0</v>
      </c>
      <c r="R14" s="21">
        <v>0</v>
      </c>
      <c r="S14" s="139" t="str">
        <f t="shared" ref="S14" si="98">IF(R14=0,"-",Q14/R14)</f>
        <v>-</v>
      </c>
      <c r="T14" s="20">
        <v>12</v>
      </c>
      <c r="U14" s="21">
        <v>2</v>
      </c>
      <c r="V14" s="139">
        <f t="shared" si="26"/>
        <v>6</v>
      </c>
      <c r="W14" s="20">
        <v>7</v>
      </c>
      <c r="X14" s="21">
        <v>1</v>
      </c>
      <c r="Y14" s="139">
        <f t="shared" si="27"/>
        <v>7</v>
      </c>
      <c r="Z14" s="20">
        <v>0</v>
      </c>
      <c r="AA14" s="21">
        <v>0</v>
      </c>
      <c r="AB14" s="139" t="str">
        <f t="shared" ref="AB14" si="99">IF(AA14=0,"-",Z14/AA14)</f>
        <v>-</v>
      </c>
      <c r="AC14" s="20">
        <v>1</v>
      </c>
      <c r="AD14" s="21">
        <v>1</v>
      </c>
      <c r="AE14" s="139">
        <f t="shared" si="28"/>
        <v>1</v>
      </c>
      <c r="AF14" s="20">
        <v>0</v>
      </c>
      <c r="AG14" s="21">
        <v>0</v>
      </c>
      <c r="AH14" s="139" t="str">
        <f t="shared" ref="AH14:AH15" si="100">IF(AG14=0,"-",AF14/AG14)</f>
        <v>-</v>
      </c>
      <c r="AI14" s="20">
        <v>0</v>
      </c>
      <c r="AJ14" s="21">
        <v>0</v>
      </c>
      <c r="AK14" s="139" t="str">
        <f t="shared" ref="AK14:AK15" si="101">IF(AJ14=0,"-",AI14/AJ14)</f>
        <v>-</v>
      </c>
      <c r="AL14" s="252">
        <v>14</v>
      </c>
      <c r="AM14" s="253">
        <v>2</v>
      </c>
      <c r="AN14" s="139">
        <f t="shared" si="29"/>
        <v>7</v>
      </c>
      <c r="AO14" s="20">
        <v>0</v>
      </c>
      <c r="AP14" s="21">
        <v>0</v>
      </c>
      <c r="AQ14" s="139" t="str">
        <f t="shared" ref="AQ14" si="102">IF(AP14=0,"-",AO14/AP14)</f>
        <v>-</v>
      </c>
      <c r="AR14" s="20">
        <v>0</v>
      </c>
      <c r="AS14" s="21">
        <v>0</v>
      </c>
      <c r="AT14" s="139" t="str">
        <f t="shared" ref="AT14" si="103">IF(AS14=0,"-",AR14/AS14)</f>
        <v>-</v>
      </c>
      <c r="AU14" s="257">
        <v>14</v>
      </c>
      <c r="AV14" s="253">
        <v>2</v>
      </c>
      <c r="AW14" s="139">
        <f t="shared" si="35"/>
        <v>7</v>
      </c>
      <c r="AX14" s="20">
        <v>0</v>
      </c>
      <c r="AY14" s="21">
        <v>0</v>
      </c>
      <c r="AZ14" s="139" t="str">
        <f t="shared" ref="AZ14:AZ15" si="104">IF(AY14=0,"-",AX14/AY14)</f>
        <v>-</v>
      </c>
      <c r="BA14" s="20">
        <v>0</v>
      </c>
      <c r="BB14" s="21">
        <v>0</v>
      </c>
      <c r="BC14" s="139" t="str">
        <f t="shared" si="63"/>
        <v>-</v>
      </c>
      <c r="BD14" s="20">
        <v>0</v>
      </c>
      <c r="BE14" s="21">
        <v>0</v>
      </c>
      <c r="BF14" s="139" t="str">
        <f t="shared" si="95"/>
        <v>-</v>
      </c>
      <c r="BG14" s="20">
        <v>0</v>
      </c>
      <c r="BH14" s="21">
        <v>0</v>
      </c>
      <c r="BI14" s="139" t="str">
        <f t="shared" si="96"/>
        <v>-</v>
      </c>
      <c r="BJ14" s="20">
        <v>0</v>
      </c>
      <c r="BK14" s="21">
        <v>0</v>
      </c>
      <c r="BL14" s="139" t="str">
        <f t="shared" si="97"/>
        <v>-</v>
      </c>
      <c r="BM14" s="117">
        <f t="shared" si="30"/>
        <v>195</v>
      </c>
      <c r="BN14" s="120">
        <f t="shared" si="21"/>
        <v>29</v>
      </c>
      <c r="BO14" s="147">
        <f t="shared" si="22"/>
        <v>6.7241379310344831</v>
      </c>
    </row>
    <row r="15" spans="1:67" ht="15" thickBot="1" x14ac:dyDescent="0.35">
      <c r="A15" s="1">
        <v>45393</v>
      </c>
      <c r="B15" s="20">
        <v>23</v>
      </c>
      <c r="C15" s="21">
        <v>3</v>
      </c>
      <c r="D15" s="139">
        <f t="shared" si="0"/>
        <v>7.666666666666667</v>
      </c>
      <c r="E15" s="23">
        <v>14</v>
      </c>
      <c r="F15" s="21">
        <v>2</v>
      </c>
      <c r="G15" s="139">
        <f t="shared" si="23"/>
        <v>7</v>
      </c>
      <c r="H15" s="20">
        <v>0</v>
      </c>
      <c r="I15" s="21">
        <v>0</v>
      </c>
      <c r="J15" s="139" t="str">
        <f t="shared" ref="J15:J28" si="105">IF(I15=0,"-",H15/I15)</f>
        <v>-</v>
      </c>
      <c r="K15" s="20">
        <v>9</v>
      </c>
      <c r="L15" s="21">
        <v>1</v>
      </c>
      <c r="M15" s="139">
        <f t="shared" si="31"/>
        <v>9</v>
      </c>
      <c r="N15" s="20">
        <v>21</v>
      </c>
      <c r="O15" s="21">
        <v>3</v>
      </c>
      <c r="P15" s="139">
        <f t="shared" si="25"/>
        <v>7</v>
      </c>
      <c r="Q15" s="20">
        <v>0</v>
      </c>
      <c r="R15" s="21">
        <v>0</v>
      </c>
      <c r="S15" s="139" t="str">
        <f t="shared" ref="S15" si="106">IF(R15=0,"-",Q15/R15)</f>
        <v>-</v>
      </c>
      <c r="T15" s="125">
        <v>6</v>
      </c>
      <c r="U15" s="126">
        <v>1</v>
      </c>
      <c r="V15" s="139">
        <f t="shared" si="26"/>
        <v>6</v>
      </c>
      <c r="W15" s="20">
        <v>0</v>
      </c>
      <c r="X15" s="21">
        <v>0</v>
      </c>
      <c r="Y15" s="139" t="str">
        <f t="shared" si="27"/>
        <v>-</v>
      </c>
      <c r="Z15" s="20">
        <v>0</v>
      </c>
      <c r="AA15" s="21">
        <v>0</v>
      </c>
      <c r="AB15" s="139" t="str">
        <f t="shared" ref="AB15" si="107">IF(AA15=0,"-",Z15/AA15)</f>
        <v>-</v>
      </c>
      <c r="AC15" s="20">
        <v>0</v>
      </c>
      <c r="AD15" s="21">
        <v>0</v>
      </c>
      <c r="AE15" s="139" t="str">
        <f t="shared" si="28"/>
        <v>-</v>
      </c>
      <c r="AF15" s="20">
        <v>0</v>
      </c>
      <c r="AG15" s="21">
        <v>0</v>
      </c>
      <c r="AH15" s="139" t="str">
        <f t="shared" si="100"/>
        <v>-</v>
      </c>
      <c r="AI15" s="20">
        <v>0</v>
      </c>
      <c r="AJ15" s="21">
        <v>0</v>
      </c>
      <c r="AK15" s="139" t="str">
        <f t="shared" si="101"/>
        <v>-</v>
      </c>
      <c r="AL15" s="252">
        <v>42</v>
      </c>
      <c r="AM15" s="253">
        <v>6</v>
      </c>
      <c r="AN15" s="139">
        <f t="shared" si="29"/>
        <v>7</v>
      </c>
      <c r="AO15" s="20">
        <v>0</v>
      </c>
      <c r="AP15" s="21">
        <v>0</v>
      </c>
      <c r="AQ15" s="139" t="str">
        <f t="shared" ref="AQ15" si="108">IF(AP15=0,"-",AO15/AP15)</f>
        <v>-</v>
      </c>
      <c r="AR15" s="20">
        <v>0</v>
      </c>
      <c r="AS15" s="21">
        <v>0</v>
      </c>
      <c r="AT15" s="139" t="str">
        <f t="shared" ref="AT15" si="109">IF(AS15=0,"-",AR15/AS15)</f>
        <v>-</v>
      </c>
      <c r="AU15" s="257">
        <v>0</v>
      </c>
      <c r="AV15" s="253">
        <v>0</v>
      </c>
      <c r="AW15" s="139" t="str">
        <f t="shared" si="35"/>
        <v>-</v>
      </c>
      <c r="AX15" s="20">
        <v>0</v>
      </c>
      <c r="AY15" s="21">
        <v>0</v>
      </c>
      <c r="AZ15" s="139" t="str">
        <f t="shared" si="104"/>
        <v>-</v>
      </c>
      <c r="BA15" s="20">
        <v>5</v>
      </c>
      <c r="BB15" s="21">
        <v>1</v>
      </c>
      <c r="BC15" s="139">
        <f t="shared" si="63"/>
        <v>5</v>
      </c>
      <c r="BD15" s="20">
        <v>0</v>
      </c>
      <c r="BE15" s="21">
        <v>0</v>
      </c>
      <c r="BF15" s="139" t="str">
        <f t="shared" ref="BF15" si="110">IF(BE15=0,"-",BD15/BE15)</f>
        <v>-</v>
      </c>
      <c r="BG15" s="20">
        <v>0</v>
      </c>
      <c r="BH15" s="21">
        <v>0</v>
      </c>
      <c r="BI15" s="139" t="str">
        <f t="shared" ref="BI15" si="111">IF(BH15=0,"-",BG15/BH15)</f>
        <v>-</v>
      </c>
      <c r="BJ15" s="20">
        <v>0</v>
      </c>
      <c r="BK15" s="21">
        <v>0</v>
      </c>
      <c r="BL15" s="139" t="str">
        <f t="shared" ref="BL15" si="112">IF(BK15=0,"-",BJ15/BK15)</f>
        <v>-</v>
      </c>
      <c r="BM15" s="117">
        <f t="shared" si="30"/>
        <v>120</v>
      </c>
      <c r="BN15" s="120">
        <f t="shared" si="21"/>
        <v>16</v>
      </c>
      <c r="BO15" s="147">
        <f t="shared" si="22"/>
        <v>7.5</v>
      </c>
    </row>
    <row r="16" spans="1:67" ht="15" thickBot="1" x14ac:dyDescent="0.35">
      <c r="A16" s="1">
        <v>45394</v>
      </c>
      <c r="B16" s="20">
        <v>39</v>
      </c>
      <c r="C16" s="21">
        <v>5</v>
      </c>
      <c r="D16" s="139">
        <f t="shared" si="0"/>
        <v>7.8</v>
      </c>
      <c r="E16" s="20">
        <v>6</v>
      </c>
      <c r="F16" s="21">
        <v>1</v>
      </c>
      <c r="G16" s="139">
        <f t="shared" si="23"/>
        <v>6</v>
      </c>
      <c r="H16" s="20">
        <v>6</v>
      </c>
      <c r="I16" s="21">
        <v>1</v>
      </c>
      <c r="J16" s="139">
        <f t="shared" si="105"/>
        <v>6</v>
      </c>
      <c r="K16" s="20">
        <v>29</v>
      </c>
      <c r="L16" s="21">
        <v>4</v>
      </c>
      <c r="M16" s="139">
        <f t="shared" si="31"/>
        <v>7.25</v>
      </c>
      <c r="N16" s="23">
        <v>41</v>
      </c>
      <c r="O16" s="21">
        <v>8</v>
      </c>
      <c r="P16" s="139">
        <f t="shared" si="25"/>
        <v>5.125</v>
      </c>
      <c r="Q16" s="20">
        <v>0</v>
      </c>
      <c r="R16" s="21">
        <v>0</v>
      </c>
      <c r="S16" s="139" t="str">
        <f t="shared" ref="S16:S18" si="113">IF(R16=0,"-",Q16/R16)</f>
        <v>-</v>
      </c>
      <c r="T16" s="20">
        <v>0</v>
      </c>
      <c r="U16" s="21">
        <v>0</v>
      </c>
      <c r="V16" s="139" t="str">
        <f t="shared" si="26"/>
        <v>-</v>
      </c>
      <c r="W16" s="20">
        <v>0</v>
      </c>
      <c r="X16" s="21">
        <v>0</v>
      </c>
      <c r="Y16" s="139" t="str">
        <f t="shared" ref="Y16:Y18" si="114">IF(X16=0,"-",W16/X16)</f>
        <v>-</v>
      </c>
      <c r="Z16" s="20">
        <v>0</v>
      </c>
      <c r="AA16" s="21">
        <v>0</v>
      </c>
      <c r="AB16" s="139" t="str">
        <f t="shared" ref="AB16:AB18" si="115">IF(AA16=0,"-",Z16/AA16)</f>
        <v>-</v>
      </c>
      <c r="AC16" s="20">
        <v>0</v>
      </c>
      <c r="AD16" s="21">
        <v>0</v>
      </c>
      <c r="AE16" s="139" t="str">
        <f t="shared" ref="AE16:AE20" si="116">IF(AD16=0,"-",AC16/AD16)</f>
        <v>-</v>
      </c>
      <c r="AF16" s="20">
        <v>0</v>
      </c>
      <c r="AG16" s="21">
        <v>0</v>
      </c>
      <c r="AH16" s="139" t="str">
        <f t="shared" ref="AH16:AH18" si="117">IF(AG16=0,"-",AF16/AG16)</f>
        <v>-</v>
      </c>
      <c r="AI16" s="20">
        <v>0</v>
      </c>
      <c r="AJ16" s="21">
        <v>0</v>
      </c>
      <c r="AK16" s="139" t="str">
        <f t="shared" ref="AK16:AK18" si="118">IF(AJ16=0,"-",AI16/AJ16)</f>
        <v>-</v>
      </c>
      <c r="AL16" s="252">
        <v>15</v>
      </c>
      <c r="AM16" s="253">
        <v>2</v>
      </c>
      <c r="AN16" s="139">
        <f t="shared" si="29"/>
        <v>7.5</v>
      </c>
      <c r="AO16" s="20">
        <v>0</v>
      </c>
      <c r="AP16" s="21">
        <v>0</v>
      </c>
      <c r="AQ16" s="139" t="str">
        <f t="shared" ref="AQ16:AQ17" si="119">IF(AP16=0,"-",AO16/AP16)</f>
        <v>-</v>
      </c>
      <c r="AR16" s="20">
        <v>0</v>
      </c>
      <c r="AS16" s="21">
        <v>0</v>
      </c>
      <c r="AT16" s="139" t="str">
        <f t="shared" ref="AT16:AT17" si="120">IF(AS16=0,"-",AR16/AS16)</f>
        <v>-</v>
      </c>
      <c r="AU16" s="257">
        <v>0</v>
      </c>
      <c r="AV16" s="253">
        <v>0</v>
      </c>
      <c r="AW16" s="139" t="str">
        <f t="shared" si="35"/>
        <v>-</v>
      </c>
      <c r="AX16" s="20">
        <v>0</v>
      </c>
      <c r="AY16" s="21">
        <v>0</v>
      </c>
      <c r="AZ16" s="139" t="str">
        <f t="shared" ref="AZ16" si="121">IF(AY16=0,"-",AX16/AY16)</f>
        <v>-</v>
      </c>
      <c r="BA16" s="20">
        <v>0</v>
      </c>
      <c r="BB16" s="21">
        <v>0</v>
      </c>
      <c r="BC16" s="139" t="str">
        <f t="shared" si="63"/>
        <v>-</v>
      </c>
      <c r="BD16" s="20">
        <v>0</v>
      </c>
      <c r="BE16" s="21">
        <v>0</v>
      </c>
      <c r="BF16" s="139" t="str">
        <f t="shared" ref="BF16:BF18" si="122">IF(BE16=0,"-",BD16/BE16)</f>
        <v>-</v>
      </c>
      <c r="BG16" s="20">
        <v>0</v>
      </c>
      <c r="BH16" s="21">
        <v>0</v>
      </c>
      <c r="BI16" s="139" t="str">
        <f t="shared" ref="BI16:BI18" si="123">IF(BH16=0,"-",BG16/BH16)</f>
        <v>-</v>
      </c>
      <c r="BJ16" s="20">
        <v>0</v>
      </c>
      <c r="BK16" s="21">
        <v>0</v>
      </c>
      <c r="BL16" s="139" t="str">
        <f t="shared" ref="BL16:BL18" si="124">IF(BK16=0,"-",BJ16/BK16)</f>
        <v>-</v>
      </c>
      <c r="BM16" s="117">
        <f t="shared" si="30"/>
        <v>136</v>
      </c>
      <c r="BN16" s="120">
        <f t="shared" si="21"/>
        <v>21</v>
      </c>
      <c r="BO16" s="147">
        <f t="shared" si="22"/>
        <v>6.4761904761904763</v>
      </c>
    </row>
    <row r="17" spans="1:67" ht="15" thickBot="1" x14ac:dyDescent="0.35">
      <c r="A17" s="1">
        <v>45395</v>
      </c>
      <c r="B17" s="20">
        <v>0</v>
      </c>
      <c r="C17" s="21">
        <v>0</v>
      </c>
      <c r="D17" s="139" t="str">
        <f t="shared" si="0"/>
        <v>-</v>
      </c>
      <c r="E17" s="20">
        <v>0</v>
      </c>
      <c r="F17" s="21">
        <v>0</v>
      </c>
      <c r="G17" s="139" t="str">
        <f t="shared" si="23"/>
        <v>-</v>
      </c>
      <c r="H17" s="20">
        <v>0</v>
      </c>
      <c r="I17" s="21">
        <v>0</v>
      </c>
      <c r="J17" s="139" t="str">
        <f t="shared" si="105"/>
        <v>-</v>
      </c>
      <c r="K17" s="20">
        <v>0</v>
      </c>
      <c r="L17" s="21">
        <v>0</v>
      </c>
      <c r="M17" s="139" t="str">
        <f t="shared" si="31"/>
        <v>-</v>
      </c>
      <c r="N17" s="20">
        <v>0</v>
      </c>
      <c r="O17" s="21">
        <v>0</v>
      </c>
      <c r="P17" s="139" t="str">
        <f t="shared" si="25"/>
        <v>-</v>
      </c>
      <c r="Q17" s="20">
        <v>0</v>
      </c>
      <c r="R17" s="21">
        <v>0</v>
      </c>
      <c r="S17" s="139" t="str">
        <f t="shared" si="113"/>
        <v>-</v>
      </c>
      <c r="T17" s="20">
        <v>0</v>
      </c>
      <c r="U17" s="21">
        <v>0</v>
      </c>
      <c r="V17" s="139" t="str">
        <f t="shared" si="26"/>
        <v>-</v>
      </c>
      <c r="W17" s="20">
        <v>0</v>
      </c>
      <c r="X17" s="21">
        <v>0</v>
      </c>
      <c r="Y17" s="139" t="str">
        <f t="shared" si="114"/>
        <v>-</v>
      </c>
      <c r="Z17" s="20">
        <v>0</v>
      </c>
      <c r="AA17" s="21">
        <v>0</v>
      </c>
      <c r="AB17" s="139" t="str">
        <f t="shared" si="115"/>
        <v>-</v>
      </c>
      <c r="AC17" s="20">
        <v>0</v>
      </c>
      <c r="AD17" s="21">
        <v>0</v>
      </c>
      <c r="AE17" s="139" t="str">
        <f t="shared" si="116"/>
        <v>-</v>
      </c>
      <c r="AF17" s="20">
        <v>0</v>
      </c>
      <c r="AG17" s="21">
        <v>0</v>
      </c>
      <c r="AH17" s="139" t="str">
        <f t="shared" si="117"/>
        <v>-</v>
      </c>
      <c r="AI17" s="20">
        <v>0</v>
      </c>
      <c r="AJ17" s="21">
        <v>0</v>
      </c>
      <c r="AK17" s="139" t="str">
        <f t="shared" si="118"/>
        <v>-</v>
      </c>
      <c r="AL17" s="252">
        <v>0</v>
      </c>
      <c r="AM17" s="253">
        <v>0</v>
      </c>
      <c r="AN17" s="139" t="str">
        <f t="shared" si="29"/>
        <v>-</v>
      </c>
      <c r="AO17" s="20">
        <v>0</v>
      </c>
      <c r="AP17" s="21">
        <v>0</v>
      </c>
      <c r="AQ17" s="139" t="str">
        <f t="shared" si="119"/>
        <v>-</v>
      </c>
      <c r="AR17" s="20">
        <v>0</v>
      </c>
      <c r="AS17" s="21">
        <v>0</v>
      </c>
      <c r="AT17" s="139" t="str">
        <f t="shared" si="120"/>
        <v>-</v>
      </c>
      <c r="AU17" s="257">
        <v>7</v>
      </c>
      <c r="AV17" s="253">
        <v>1</v>
      </c>
      <c r="AW17" s="139">
        <f t="shared" si="35"/>
        <v>7</v>
      </c>
      <c r="AX17" s="20">
        <v>0</v>
      </c>
      <c r="AY17" s="21">
        <v>0</v>
      </c>
      <c r="AZ17" s="139" t="str">
        <f t="shared" ref="AZ17:AZ32" si="125">IF(AY17=0,"-",AX17/AY17)</f>
        <v>-</v>
      </c>
      <c r="BA17" s="20">
        <v>0</v>
      </c>
      <c r="BB17" s="21">
        <v>0</v>
      </c>
      <c r="BC17" s="139" t="str">
        <f t="shared" si="63"/>
        <v>-</v>
      </c>
      <c r="BD17" s="20">
        <v>0</v>
      </c>
      <c r="BE17" s="21">
        <v>0</v>
      </c>
      <c r="BF17" s="139" t="str">
        <f t="shared" si="122"/>
        <v>-</v>
      </c>
      <c r="BG17" s="20">
        <v>0</v>
      </c>
      <c r="BH17" s="21">
        <v>0</v>
      </c>
      <c r="BI17" s="139" t="str">
        <f t="shared" si="123"/>
        <v>-</v>
      </c>
      <c r="BJ17" s="20">
        <v>0</v>
      </c>
      <c r="BK17" s="21">
        <v>0</v>
      </c>
      <c r="BL17" s="139" t="str">
        <f t="shared" si="124"/>
        <v>-</v>
      </c>
      <c r="BM17" s="117">
        <f t="shared" si="30"/>
        <v>7</v>
      </c>
      <c r="BN17" s="120">
        <f t="shared" si="21"/>
        <v>1</v>
      </c>
      <c r="BO17" s="147">
        <f t="shared" si="22"/>
        <v>7</v>
      </c>
    </row>
    <row r="18" spans="1:67" ht="15" thickBot="1" x14ac:dyDescent="0.35">
      <c r="A18" s="1">
        <v>45396</v>
      </c>
      <c r="B18" s="20">
        <v>0</v>
      </c>
      <c r="C18" s="21">
        <v>0</v>
      </c>
      <c r="D18" s="139" t="str">
        <f t="shared" ref="D18" si="126">IF(C18=0,"-",B18/C18)</f>
        <v>-</v>
      </c>
      <c r="E18" s="20">
        <v>0</v>
      </c>
      <c r="F18" s="21">
        <v>0</v>
      </c>
      <c r="G18" s="139" t="str">
        <f t="shared" si="23"/>
        <v>-</v>
      </c>
      <c r="H18" s="20">
        <v>0</v>
      </c>
      <c r="I18" s="21">
        <v>0</v>
      </c>
      <c r="J18" s="139" t="str">
        <f t="shared" si="105"/>
        <v>-</v>
      </c>
      <c r="K18" s="20">
        <v>0</v>
      </c>
      <c r="L18" s="21">
        <v>0</v>
      </c>
      <c r="M18" s="139" t="str">
        <f t="shared" si="31"/>
        <v>-</v>
      </c>
      <c r="N18" s="20">
        <v>0</v>
      </c>
      <c r="O18" s="21">
        <v>0</v>
      </c>
      <c r="P18" s="139" t="str">
        <f t="shared" si="25"/>
        <v>-</v>
      </c>
      <c r="Q18" s="20">
        <v>0</v>
      </c>
      <c r="R18" s="21">
        <v>0</v>
      </c>
      <c r="S18" s="139" t="str">
        <f t="shared" si="113"/>
        <v>-</v>
      </c>
      <c r="T18" s="20">
        <v>0</v>
      </c>
      <c r="U18" s="21">
        <v>0</v>
      </c>
      <c r="V18" s="139" t="str">
        <f t="shared" si="26"/>
        <v>-</v>
      </c>
      <c r="W18" s="20">
        <v>0</v>
      </c>
      <c r="X18" s="21">
        <v>0</v>
      </c>
      <c r="Y18" s="139" t="str">
        <f t="shared" si="114"/>
        <v>-</v>
      </c>
      <c r="Z18" s="20">
        <v>0</v>
      </c>
      <c r="AA18" s="21">
        <v>0</v>
      </c>
      <c r="AB18" s="139" t="str">
        <f t="shared" si="115"/>
        <v>-</v>
      </c>
      <c r="AC18" s="20">
        <v>7</v>
      </c>
      <c r="AD18" s="21">
        <v>1</v>
      </c>
      <c r="AE18" s="139">
        <f t="shared" si="116"/>
        <v>7</v>
      </c>
      <c r="AF18" s="20">
        <v>0</v>
      </c>
      <c r="AG18" s="21">
        <v>0</v>
      </c>
      <c r="AH18" s="139" t="str">
        <f t="shared" si="117"/>
        <v>-</v>
      </c>
      <c r="AI18" s="20">
        <v>0</v>
      </c>
      <c r="AJ18" s="21">
        <v>0</v>
      </c>
      <c r="AK18" s="139" t="str">
        <f t="shared" si="118"/>
        <v>-</v>
      </c>
      <c r="AL18" s="252">
        <v>0</v>
      </c>
      <c r="AM18" s="253">
        <v>0</v>
      </c>
      <c r="AN18" s="139" t="str">
        <f t="shared" ref="AN18" si="127">IF(AM18=0,"-",AL18/AM18)</f>
        <v>-</v>
      </c>
      <c r="AO18" s="20">
        <v>0</v>
      </c>
      <c r="AP18" s="21">
        <v>0</v>
      </c>
      <c r="AQ18" s="139" t="str">
        <f t="shared" ref="AQ18" si="128">IF(AP18=0,"-",AO18/AP18)</f>
        <v>-</v>
      </c>
      <c r="AR18" s="20">
        <v>0</v>
      </c>
      <c r="AS18" s="21">
        <v>0</v>
      </c>
      <c r="AT18" s="139" t="str">
        <f t="shared" ref="AT18" si="129">IF(AS18=0,"-",AR18/AS18)</f>
        <v>-</v>
      </c>
      <c r="AU18" s="257">
        <v>0</v>
      </c>
      <c r="AV18" s="253">
        <v>0</v>
      </c>
      <c r="AW18" s="139" t="str">
        <f t="shared" ref="AW18" si="130">IF(AV18=0,"-",AU18/AV18)</f>
        <v>-</v>
      </c>
      <c r="AX18" s="20">
        <v>0</v>
      </c>
      <c r="AY18" s="21">
        <v>0</v>
      </c>
      <c r="AZ18" s="139" t="str">
        <f t="shared" ref="AZ18" si="131">IF(AY18=0,"-",AX18/AY18)</f>
        <v>-</v>
      </c>
      <c r="BA18" s="20">
        <v>0</v>
      </c>
      <c r="BB18" s="21">
        <v>0</v>
      </c>
      <c r="BC18" s="139" t="str">
        <f t="shared" si="63"/>
        <v>-</v>
      </c>
      <c r="BD18" s="20">
        <v>0</v>
      </c>
      <c r="BE18" s="21">
        <v>0</v>
      </c>
      <c r="BF18" s="139" t="str">
        <f t="shared" si="122"/>
        <v>-</v>
      </c>
      <c r="BG18" s="20">
        <v>0</v>
      </c>
      <c r="BH18" s="21">
        <v>0</v>
      </c>
      <c r="BI18" s="139" t="str">
        <f t="shared" si="123"/>
        <v>-</v>
      </c>
      <c r="BJ18" s="20">
        <v>0</v>
      </c>
      <c r="BK18" s="21">
        <v>0</v>
      </c>
      <c r="BL18" s="139" t="str">
        <f t="shared" si="124"/>
        <v>-</v>
      </c>
      <c r="BM18" s="117">
        <f t="shared" si="30"/>
        <v>7</v>
      </c>
      <c r="BN18" s="120">
        <f t="shared" si="21"/>
        <v>1</v>
      </c>
      <c r="BO18" s="147">
        <f t="shared" si="22"/>
        <v>7</v>
      </c>
    </row>
    <row r="19" spans="1:67" ht="15" thickBot="1" x14ac:dyDescent="0.35">
      <c r="A19" s="1">
        <v>45397</v>
      </c>
      <c r="B19" s="20">
        <v>24</v>
      </c>
      <c r="C19" s="21">
        <v>3</v>
      </c>
      <c r="D19" s="139">
        <f t="shared" si="0"/>
        <v>8</v>
      </c>
      <c r="E19" s="20">
        <v>0</v>
      </c>
      <c r="F19" s="21">
        <v>0</v>
      </c>
      <c r="G19" s="139" t="str">
        <f t="shared" ref="G19" si="132">IF(F19=0,"-",E19/F19)</f>
        <v>-</v>
      </c>
      <c r="H19" s="20">
        <v>0</v>
      </c>
      <c r="I19" s="21">
        <v>0</v>
      </c>
      <c r="J19" s="139" t="str">
        <f t="shared" si="105"/>
        <v>-</v>
      </c>
      <c r="K19" s="20">
        <v>0</v>
      </c>
      <c r="L19" s="21">
        <v>0</v>
      </c>
      <c r="M19" s="139" t="str">
        <f t="shared" si="31"/>
        <v>-</v>
      </c>
      <c r="N19" s="20">
        <v>74</v>
      </c>
      <c r="O19" s="21">
        <v>11</v>
      </c>
      <c r="P19" s="139">
        <f t="shared" si="25"/>
        <v>6.7272727272727275</v>
      </c>
      <c r="Q19" s="20">
        <v>55</v>
      </c>
      <c r="R19" s="21">
        <v>11</v>
      </c>
      <c r="S19" s="139">
        <f t="shared" si="32"/>
        <v>5</v>
      </c>
      <c r="T19" s="20">
        <v>0</v>
      </c>
      <c r="U19" s="21">
        <v>0</v>
      </c>
      <c r="V19" s="139" t="str">
        <f t="shared" ref="V19" si="133">IF(U19=0,"-",T19/U19)</f>
        <v>-</v>
      </c>
      <c r="W19" s="20">
        <v>1</v>
      </c>
      <c r="X19" s="21">
        <v>1</v>
      </c>
      <c r="Y19" s="139">
        <f t="shared" ref="Y19:Y20" si="134">IF(X19=0,"-",W19/X19)</f>
        <v>1</v>
      </c>
      <c r="Z19" s="20">
        <v>8</v>
      </c>
      <c r="AA19" s="21">
        <v>1</v>
      </c>
      <c r="AB19" s="139">
        <f t="shared" si="45"/>
        <v>8</v>
      </c>
      <c r="AC19" s="20">
        <v>0</v>
      </c>
      <c r="AD19" s="21">
        <v>0</v>
      </c>
      <c r="AE19" s="139" t="str">
        <f t="shared" si="116"/>
        <v>-</v>
      </c>
      <c r="AF19" s="20">
        <v>0</v>
      </c>
      <c r="AG19" s="21">
        <v>0</v>
      </c>
      <c r="AH19" s="139" t="str">
        <f t="shared" ref="AH19" si="135">IF(AG19=0,"-",AF19/AG19)</f>
        <v>-</v>
      </c>
      <c r="AI19" s="20">
        <v>0</v>
      </c>
      <c r="AJ19" s="21">
        <v>0</v>
      </c>
      <c r="AK19" s="139" t="str">
        <f t="shared" ref="AK19:AK20" si="136">IF(AJ19=0,"-",AI19/AJ19)</f>
        <v>-</v>
      </c>
      <c r="AL19" s="252">
        <v>67</v>
      </c>
      <c r="AM19" s="253">
        <v>9</v>
      </c>
      <c r="AN19" s="139">
        <f t="shared" si="29"/>
        <v>7.4444444444444446</v>
      </c>
      <c r="AO19" s="20">
        <v>0</v>
      </c>
      <c r="AP19" s="21">
        <v>0</v>
      </c>
      <c r="AQ19" s="139" t="str">
        <f t="shared" ref="AQ19:AQ20" si="137">IF(AP19=0,"-",AO19/AP19)</f>
        <v>-</v>
      </c>
      <c r="AR19" s="20">
        <v>0</v>
      </c>
      <c r="AS19" s="21">
        <v>0</v>
      </c>
      <c r="AT19" s="139" t="str">
        <f t="shared" ref="AT19:AT20" si="138">IF(AS19=0,"-",AR19/AS19)</f>
        <v>-</v>
      </c>
      <c r="AU19" s="257">
        <v>0</v>
      </c>
      <c r="AV19" s="253">
        <v>0</v>
      </c>
      <c r="AW19" s="139" t="str">
        <f t="shared" ref="AW19:AW20" si="139">IF(AV19=0,"-",AU19/AV19)</f>
        <v>-</v>
      </c>
      <c r="AX19" s="20">
        <v>0</v>
      </c>
      <c r="AY19" s="21">
        <v>0</v>
      </c>
      <c r="AZ19" s="139" t="str">
        <f t="shared" ref="AZ19:AZ20" si="140">IF(AY19=0,"-",AX19/AY19)</f>
        <v>-</v>
      </c>
      <c r="BA19" s="20">
        <v>5</v>
      </c>
      <c r="BB19" s="21">
        <v>1</v>
      </c>
      <c r="BC19" s="139">
        <f t="shared" si="63"/>
        <v>5</v>
      </c>
      <c r="BD19" s="20">
        <v>0</v>
      </c>
      <c r="BE19" s="21">
        <v>0</v>
      </c>
      <c r="BF19" s="139" t="str">
        <f t="shared" ref="BF19:BF20" si="141">IF(BE19=0,"-",BD19/BE19)</f>
        <v>-</v>
      </c>
      <c r="BG19" s="20">
        <v>0</v>
      </c>
      <c r="BH19" s="21">
        <v>0</v>
      </c>
      <c r="BI19" s="139" t="str">
        <f t="shared" ref="BI19:BI20" si="142">IF(BH19=0,"-",BG19/BH19)</f>
        <v>-</v>
      </c>
      <c r="BJ19" s="20">
        <v>0</v>
      </c>
      <c r="BK19" s="21">
        <v>0</v>
      </c>
      <c r="BL19" s="139" t="str">
        <f t="shared" ref="BL19:BL20" si="143">IF(BK19=0,"-",BJ19/BK19)</f>
        <v>-</v>
      </c>
      <c r="BM19" s="117">
        <f t="shared" si="30"/>
        <v>234</v>
      </c>
      <c r="BN19" s="120">
        <f t="shared" si="21"/>
        <v>37</v>
      </c>
      <c r="BO19" s="147">
        <f t="shared" si="22"/>
        <v>6.3243243243243246</v>
      </c>
    </row>
    <row r="20" spans="1:67" ht="15" thickBot="1" x14ac:dyDescent="0.35">
      <c r="A20" s="1">
        <v>45398</v>
      </c>
      <c r="B20" s="20">
        <v>33</v>
      </c>
      <c r="C20" s="21">
        <v>4</v>
      </c>
      <c r="D20" s="139">
        <f t="shared" si="0"/>
        <v>8.25</v>
      </c>
      <c r="E20" s="20">
        <v>7</v>
      </c>
      <c r="F20" s="21">
        <v>1</v>
      </c>
      <c r="G20" s="139">
        <f t="shared" si="23"/>
        <v>7</v>
      </c>
      <c r="H20" s="20">
        <v>0</v>
      </c>
      <c r="I20" s="21">
        <v>0</v>
      </c>
      <c r="J20" s="139" t="str">
        <f t="shared" si="105"/>
        <v>-</v>
      </c>
      <c r="K20" s="20">
        <v>16</v>
      </c>
      <c r="L20" s="21">
        <v>2</v>
      </c>
      <c r="M20" s="139">
        <f t="shared" si="31"/>
        <v>8</v>
      </c>
      <c r="N20" s="20">
        <v>43</v>
      </c>
      <c r="O20" s="21">
        <v>8</v>
      </c>
      <c r="P20" s="139">
        <f t="shared" si="25"/>
        <v>5.375</v>
      </c>
      <c r="Q20" s="20">
        <v>0</v>
      </c>
      <c r="R20" s="21">
        <v>0</v>
      </c>
      <c r="S20" s="139" t="str">
        <f t="shared" si="32"/>
        <v>-</v>
      </c>
      <c r="T20" s="20">
        <v>12</v>
      </c>
      <c r="U20" s="21">
        <v>2</v>
      </c>
      <c r="V20" s="139">
        <f t="shared" si="26"/>
        <v>6</v>
      </c>
      <c r="W20" s="20">
        <v>0</v>
      </c>
      <c r="X20" s="21">
        <v>0</v>
      </c>
      <c r="Y20" s="139" t="str">
        <f t="shared" si="134"/>
        <v>-</v>
      </c>
      <c r="Z20" s="20">
        <v>0</v>
      </c>
      <c r="AA20" s="21">
        <v>0</v>
      </c>
      <c r="AB20" s="139" t="str">
        <f t="shared" si="45"/>
        <v>-</v>
      </c>
      <c r="AC20" s="20">
        <v>0</v>
      </c>
      <c r="AD20" s="21">
        <v>0</v>
      </c>
      <c r="AE20" s="139" t="str">
        <f t="shared" si="116"/>
        <v>-</v>
      </c>
      <c r="AF20" s="20">
        <v>0</v>
      </c>
      <c r="AG20" s="21">
        <v>0</v>
      </c>
      <c r="AH20" s="139" t="str">
        <f t="shared" ref="AH20" si="144">IF(AG20=0,"-",AF20/AG20)</f>
        <v>-</v>
      </c>
      <c r="AI20" s="20">
        <v>0</v>
      </c>
      <c r="AJ20" s="21">
        <v>0</v>
      </c>
      <c r="AK20" s="139" t="str">
        <f t="shared" si="136"/>
        <v>-</v>
      </c>
      <c r="AL20" s="252">
        <v>0</v>
      </c>
      <c r="AM20" s="253">
        <v>0</v>
      </c>
      <c r="AN20" s="139" t="str">
        <f t="shared" si="29"/>
        <v>-</v>
      </c>
      <c r="AO20" s="20">
        <v>0</v>
      </c>
      <c r="AP20" s="21">
        <v>0</v>
      </c>
      <c r="AQ20" s="139" t="str">
        <f t="shared" si="137"/>
        <v>-</v>
      </c>
      <c r="AR20" s="20">
        <v>0</v>
      </c>
      <c r="AS20" s="21">
        <v>0</v>
      </c>
      <c r="AT20" s="139" t="str">
        <f t="shared" si="138"/>
        <v>-</v>
      </c>
      <c r="AU20" s="257">
        <v>0</v>
      </c>
      <c r="AV20" s="253">
        <v>0</v>
      </c>
      <c r="AW20" s="139" t="str">
        <f t="shared" si="139"/>
        <v>-</v>
      </c>
      <c r="AX20" s="20">
        <v>0</v>
      </c>
      <c r="AY20" s="21">
        <v>0</v>
      </c>
      <c r="AZ20" s="139" t="str">
        <f t="shared" si="140"/>
        <v>-</v>
      </c>
      <c r="BA20" s="20">
        <v>0</v>
      </c>
      <c r="BB20" s="21">
        <v>0</v>
      </c>
      <c r="BC20" s="139" t="str">
        <f t="shared" si="63"/>
        <v>-</v>
      </c>
      <c r="BD20" s="20">
        <v>0</v>
      </c>
      <c r="BE20" s="21">
        <v>0</v>
      </c>
      <c r="BF20" s="139" t="str">
        <f t="shared" si="141"/>
        <v>-</v>
      </c>
      <c r="BG20" s="20">
        <v>0</v>
      </c>
      <c r="BH20" s="21">
        <v>0</v>
      </c>
      <c r="BI20" s="139" t="str">
        <f t="shared" si="142"/>
        <v>-</v>
      </c>
      <c r="BJ20" s="20">
        <v>0</v>
      </c>
      <c r="BK20" s="21">
        <v>0</v>
      </c>
      <c r="BL20" s="139" t="str">
        <f t="shared" si="143"/>
        <v>-</v>
      </c>
      <c r="BM20" s="117">
        <f t="shared" si="30"/>
        <v>111</v>
      </c>
      <c r="BN20" s="120">
        <f t="shared" si="21"/>
        <v>15</v>
      </c>
      <c r="BO20" s="147">
        <f t="shared" si="22"/>
        <v>7.4</v>
      </c>
    </row>
    <row r="21" spans="1:67" ht="15" thickBot="1" x14ac:dyDescent="0.35">
      <c r="A21" s="1">
        <v>45399</v>
      </c>
      <c r="B21" s="20">
        <v>37</v>
      </c>
      <c r="C21" s="21">
        <v>5</v>
      </c>
      <c r="D21" s="139">
        <f t="shared" si="0"/>
        <v>7.4</v>
      </c>
      <c r="E21" s="20">
        <v>7</v>
      </c>
      <c r="F21" s="21">
        <v>1</v>
      </c>
      <c r="G21" s="139">
        <f t="shared" si="23"/>
        <v>7</v>
      </c>
      <c r="H21" s="20">
        <v>6</v>
      </c>
      <c r="I21" s="21">
        <v>1</v>
      </c>
      <c r="J21" s="139">
        <f t="shared" si="105"/>
        <v>6</v>
      </c>
      <c r="K21" s="20">
        <v>8</v>
      </c>
      <c r="L21" s="21">
        <v>1</v>
      </c>
      <c r="M21" s="139">
        <f t="shared" si="31"/>
        <v>8</v>
      </c>
      <c r="N21" s="20">
        <v>32</v>
      </c>
      <c r="O21" s="21">
        <v>6</v>
      </c>
      <c r="P21" s="139">
        <f t="shared" si="25"/>
        <v>5.333333333333333</v>
      </c>
      <c r="Q21" s="20">
        <v>0</v>
      </c>
      <c r="R21" s="21">
        <v>0</v>
      </c>
      <c r="S21" s="139" t="str">
        <f t="shared" ref="S21:S34" si="145">IF(R21=0,"-",Q21/R21)</f>
        <v>-</v>
      </c>
      <c r="T21" s="20">
        <v>6</v>
      </c>
      <c r="U21" s="21">
        <v>1</v>
      </c>
      <c r="V21" s="139">
        <f t="shared" si="26"/>
        <v>6</v>
      </c>
      <c r="W21" s="20">
        <v>7</v>
      </c>
      <c r="X21" s="21">
        <v>2</v>
      </c>
      <c r="Y21" s="139">
        <f t="shared" si="27"/>
        <v>3.5</v>
      </c>
      <c r="Z21" s="20">
        <v>7</v>
      </c>
      <c r="AA21" s="21">
        <v>1</v>
      </c>
      <c r="AB21" s="139">
        <f t="shared" si="45"/>
        <v>7</v>
      </c>
      <c r="AC21" s="20">
        <v>3</v>
      </c>
      <c r="AD21" s="21">
        <v>1</v>
      </c>
      <c r="AE21" s="139">
        <f t="shared" si="28"/>
        <v>3</v>
      </c>
      <c r="AF21" s="20">
        <v>9</v>
      </c>
      <c r="AG21" s="21">
        <v>1</v>
      </c>
      <c r="AH21" s="139">
        <f t="shared" si="47"/>
        <v>9</v>
      </c>
      <c r="AI21" s="20">
        <v>6</v>
      </c>
      <c r="AJ21" s="21">
        <v>1</v>
      </c>
      <c r="AK21" s="139">
        <f t="shared" si="48"/>
        <v>6</v>
      </c>
      <c r="AL21" s="252">
        <v>0</v>
      </c>
      <c r="AM21" s="253">
        <v>0</v>
      </c>
      <c r="AN21" s="139" t="str">
        <f t="shared" ref="AN21" si="146">IF(AM21=0,"-",AL21/AM21)</f>
        <v>-</v>
      </c>
      <c r="AO21" s="20">
        <v>0</v>
      </c>
      <c r="AP21" s="21">
        <v>0</v>
      </c>
      <c r="AQ21" s="139" t="str">
        <f t="shared" ref="AQ21" si="147">IF(AP21=0,"-",AO21/AP21)</f>
        <v>-</v>
      </c>
      <c r="AR21" s="20">
        <v>0</v>
      </c>
      <c r="AS21" s="21">
        <v>0</v>
      </c>
      <c r="AT21" s="139" t="str">
        <f t="shared" ref="AT21" si="148">IF(AS21=0,"-",AR21/AS21)</f>
        <v>-</v>
      </c>
      <c r="AU21" s="257">
        <v>8</v>
      </c>
      <c r="AV21" s="253">
        <v>1</v>
      </c>
      <c r="AW21" s="139">
        <f t="shared" si="35"/>
        <v>8</v>
      </c>
      <c r="AX21" s="20">
        <v>0</v>
      </c>
      <c r="AY21" s="21">
        <v>0</v>
      </c>
      <c r="AZ21" s="139" t="str">
        <f t="shared" ref="AZ21" si="149">IF(AY21=0,"-",AX21/AY21)</f>
        <v>-</v>
      </c>
      <c r="BA21" s="20">
        <v>0</v>
      </c>
      <c r="BB21" s="21">
        <v>0</v>
      </c>
      <c r="BC21" s="139" t="str">
        <f t="shared" ref="BC21:BC22" si="150">IF(BB21=0,"-",BA21/BB21)</f>
        <v>-</v>
      </c>
      <c r="BD21" s="20">
        <v>0</v>
      </c>
      <c r="BE21" s="21">
        <v>0</v>
      </c>
      <c r="BF21" s="139" t="str">
        <f t="shared" ref="BF21:BF22" si="151">IF(BE21=0,"-",BD21/BE21)</f>
        <v>-</v>
      </c>
      <c r="BG21" s="20">
        <v>0</v>
      </c>
      <c r="BH21" s="21">
        <v>0</v>
      </c>
      <c r="BI21" s="139" t="str">
        <f t="shared" ref="BI21:BI22" si="152">IF(BH21=0,"-",BG21/BH21)</f>
        <v>-</v>
      </c>
      <c r="BJ21" s="20">
        <v>0</v>
      </c>
      <c r="BK21" s="21">
        <v>0</v>
      </c>
      <c r="BL21" s="139" t="str">
        <f t="shared" ref="BL21:BL22" si="153">IF(BK21=0,"-",BJ21/BK21)</f>
        <v>-</v>
      </c>
      <c r="BM21" s="117">
        <f t="shared" si="30"/>
        <v>136</v>
      </c>
      <c r="BN21" s="120">
        <f t="shared" ref="BN21:BN35" si="154">BK21+BH21+BE21+BB21+AY21+AV21+AS21+AP21+AM21+L21+R21+O21+I21+F21+AJ21+AG21+AD21+AA21+X21+C21</f>
        <v>21</v>
      </c>
      <c r="BO21" s="147">
        <f t="shared" si="22"/>
        <v>6.4761904761904763</v>
      </c>
    </row>
    <row r="22" spans="1:67" ht="15" thickBot="1" x14ac:dyDescent="0.35">
      <c r="A22" s="1">
        <v>45400</v>
      </c>
      <c r="B22" s="20">
        <v>16</v>
      </c>
      <c r="C22" s="21">
        <v>2</v>
      </c>
      <c r="D22" s="139">
        <f t="shared" si="0"/>
        <v>8</v>
      </c>
      <c r="E22" s="20">
        <v>8</v>
      </c>
      <c r="F22" s="21">
        <v>1</v>
      </c>
      <c r="G22" s="139">
        <f t="shared" si="23"/>
        <v>8</v>
      </c>
      <c r="H22" s="20">
        <v>6</v>
      </c>
      <c r="I22" s="21">
        <v>1</v>
      </c>
      <c r="J22" s="139">
        <f t="shared" si="105"/>
        <v>6</v>
      </c>
      <c r="K22" s="20">
        <v>17</v>
      </c>
      <c r="L22" s="21">
        <v>2</v>
      </c>
      <c r="M22" s="139">
        <f t="shared" si="31"/>
        <v>8.5</v>
      </c>
      <c r="N22" s="20">
        <v>4</v>
      </c>
      <c r="O22" s="21">
        <v>1</v>
      </c>
      <c r="P22" s="139">
        <f t="shared" si="25"/>
        <v>4</v>
      </c>
      <c r="Q22" s="20">
        <v>0</v>
      </c>
      <c r="R22" s="21">
        <v>0</v>
      </c>
      <c r="S22" s="139" t="str">
        <f t="shared" ref="S22" si="155">IF(R22=0,"-",Q22/R22)</f>
        <v>-</v>
      </c>
      <c r="T22" s="20">
        <v>0</v>
      </c>
      <c r="U22" s="21">
        <v>0</v>
      </c>
      <c r="V22" s="139" t="str">
        <f t="shared" si="26"/>
        <v>-</v>
      </c>
      <c r="W22" s="20">
        <v>1</v>
      </c>
      <c r="X22" s="21">
        <v>1</v>
      </c>
      <c r="Y22" s="139">
        <f t="shared" si="27"/>
        <v>1</v>
      </c>
      <c r="Z22" s="20">
        <v>2</v>
      </c>
      <c r="AA22" s="21">
        <v>1</v>
      </c>
      <c r="AB22" s="139">
        <f t="shared" si="45"/>
        <v>2</v>
      </c>
      <c r="AC22" s="20">
        <v>0</v>
      </c>
      <c r="AD22" s="21">
        <v>0</v>
      </c>
      <c r="AE22" s="139" t="str">
        <f t="shared" si="28"/>
        <v>-</v>
      </c>
      <c r="AF22" s="20">
        <v>0</v>
      </c>
      <c r="AG22" s="21">
        <v>0</v>
      </c>
      <c r="AH22" s="139" t="str">
        <f t="shared" si="47"/>
        <v>-</v>
      </c>
      <c r="AI22" s="20">
        <v>0</v>
      </c>
      <c r="AJ22" s="21">
        <v>0</v>
      </c>
      <c r="AK22" s="139" t="str">
        <f t="shared" si="48"/>
        <v>-</v>
      </c>
      <c r="AL22" s="252">
        <v>21</v>
      </c>
      <c r="AM22" s="253">
        <v>3</v>
      </c>
      <c r="AN22" s="139">
        <f t="shared" si="29"/>
        <v>7</v>
      </c>
      <c r="AO22" s="20">
        <v>0</v>
      </c>
      <c r="AP22" s="21">
        <v>0</v>
      </c>
      <c r="AQ22" s="139" t="str">
        <f t="shared" ref="AQ22" si="156">IF(AP22=0,"-",AO22/AP22)</f>
        <v>-</v>
      </c>
      <c r="AR22" s="20">
        <v>0</v>
      </c>
      <c r="AS22" s="21">
        <v>0</v>
      </c>
      <c r="AT22" s="139" t="str">
        <f t="shared" ref="AT22" si="157">IF(AS22=0,"-",AR22/AS22)</f>
        <v>-</v>
      </c>
      <c r="AU22" s="257">
        <v>8</v>
      </c>
      <c r="AV22" s="253">
        <v>1</v>
      </c>
      <c r="AW22" s="139">
        <f t="shared" si="35"/>
        <v>8</v>
      </c>
      <c r="AX22" s="20">
        <v>0</v>
      </c>
      <c r="AY22" s="21">
        <v>0</v>
      </c>
      <c r="AZ22" s="139" t="str">
        <f t="shared" ref="AZ22" si="158">IF(AY22=0,"-",AX22/AY22)</f>
        <v>-</v>
      </c>
      <c r="BA22" s="20">
        <v>0</v>
      </c>
      <c r="BB22" s="21">
        <v>0</v>
      </c>
      <c r="BC22" s="139" t="str">
        <f t="shared" si="150"/>
        <v>-</v>
      </c>
      <c r="BD22" s="20">
        <v>0</v>
      </c>
      <c r="BE22" s="21">
        <v>0</v>
      </c>
      <c r="BF22" s="139" t="str">
        <f t="shared" si="151"/>
        <v>-</v>
      </c>
      <c r="BG22" s="20">
        <v>0</v>
      </c>
      <c r="BH22" s="21">
        <v>0</v>
      </c>
      <c r="BI22" s="139" t="str">
        <f t="shared" si="152"/>
        <v>-</v>
      </c>
      <c r="BJ22" s="20">
        <v>0</v>
      </c>
      <c r="BK22" s="21">
        <v>0</v>
      </c>
      <c r="BL22" s="139" t="str">
        <f t="shared" si="153"/>
        <v>-</v>
      </c>
      <c r="BM22" s="117">
        <f t="shared" si="30"/>
        <v>83</v>
      </c>
      <c r="BN22" s="120">
        <f t="shared" si="154"/>
        <v>13</v>
      </c>
      <c r="BO22" s="147">
        <f t="shared" si="22"/>
        <v>6.384615384615385</v>
      </c>
    </row>
    <row r="23" spans="1:67" ht="15" thickBot="1" x14ac:dyDescent="0.35">
      <c r="A23" s="1">
        <v>45401</v>
      </c>
      <c r="B23" s="20">
        <v>39</v>
      </c>
      <c r="C23" s="21">
        <v>5</v>
      </c>
      <c r="D23" s="139">
        <f t="shared" si="0"/>
        <v>7.8</v>
      </c>
      <c r="E23" s="20">
        <v>8</v>
      </c>
      <c r="F23" s="21">
        <v>1</v>
      </c>
      <c r="G23" s="139">
        <f t="shared" si="23"/>
        <v>8</v>
      </c>
      <c r="H23" s="20">
        <v>0</v>
      </c>
      <c r="I23" s="21">
        <v>0</v>
      </c>
      <c r="J23" s="139" t="str">
        <f t="shared" si="105"/>
        <v>-</v>
      </c>
      <c r="K23" s="20">
        <v>0</v>
      </c>
      <c r="L23" s="21">
        <v>0</v>
      </c>
      <c r="M23" s="139" t="str">
        <f t="shared" si="31"/>
        <v>-</v>
      </c>
      <c r="N23" s="23">
        <v>27</v>
      </c>
      <c r="O23" s="21">
        <v>6</v>
      </c>
      <c r="P23" s="139">
        <f t="shared" si="25"/>
        <v>4.5</v>
      </c>
      <c r="Q23" s="20">
        <v>0</v>
      </c>
      <c r="R23" s="21">
        <v>0</v>
      </c>
      <c r="S23" s="139" t="str">
        <f t="shared" ref="S23" si="159">IF(R23=0,"-",Q23/R23)</f>
        <v>-</v>
      </c>
      <c r="T23" s="20">
        <v>0</v>
      </c>
      <c r="U23" s="21">
        <v>0</v>
      </c>
      <c r="V23" s="139" t="str">
        <f t="shared" si="26"/>
        <v>-</v>
      </c>
      <c r="W23" s="20">
        <v>1</v>
      </c>
      <c r="X23" s="21">
        <v>1</v>
      </c>
      <c r="Y23" s="139">
        <f t="shared" si="27"/>
        <v>1</v>
      </c>
      <c r="Z23" s="20">
        <v>0</v>
      </c>
      <c r="AA23" s="21">
        <v>0</v>
      </c>
      <c r="AB23" s="139" t="s">
        <v>32</v>
      </c>
      <c r="AC23" s="20">
        <v>1</v>
      </c>
      <c r="AD23" s="21">
        <v>1</v>
      </c>
      <c r="AE23" s="139">
        <f t="shared" si="28"/>
        <v>1</v>
      </c>
      <c r="AF23" s="20">
        <v>0</v>
      </c>
      <c r="AG23" s="21">
        <v>0</v>
      </c>
      <c r="AH23" s="139" t="str">
        <f t="shared" ref="AH23" si="160">IF(AG23=0,"-",AF23/AG23)</f>
        <v>-</v>
      </c>
      <c r="AI23" s="20">
        <v>0</v>
      </c>
      <c r="AJ23" s="21">
        <v>0</v>
      </c>
      <c r="AK23" s="139" t="str">
        <f t="shared" ref="AK23" si="161">IF(AJ23=0,"-",AI23/AJ23)</f>
        <v>-</v>
      </c>
      <c r="AL23" s="252">
        <v>21</v>
      </c>
      <c r="AM23" s="253">
        <v>3</v>
      </c>
      <c r="AN23" s="139">
        <f t="shared" si="29"/>
        <v>7</v>
      </c>
      <c r="AO23" s="20">
        <v>0</v>
      </c>
      <c r="AP23" s="21">
        <v>0</v>
      </c>
      <c r="AQ23" s="139" t="str">
        <f t="shared" ref="AQ23:AQ25" si="162">IF(AP23=0,"-",AO23/AP23)</f>
        <v>-</v>
      </c>
      <c r="AR23" s="20">
        <v>0</v>
      </c>
      <c r="AS23" s="21">
        <v>0</v>
      </c>
      <c r="AT23" s="139" t="str">
        <f t="shared" ref="AT23:AT25" si="163">IF(AS23=0,"-",AR23/AS23)</f>
        <v>-</v>
      </c>
      <c r="AU23" s="257">
        <v>7</v>
      </c>
      <c r="AV23" s="253">
        <v>1</v>
      </c>
      <c r="AW23" s="139">
        <f t="shared" si="35"/>
        <v>7</v>
      </c>
      <c r="AX23" s="20">
        <v>0</v>
      </c>
      <c r="AY23" s="21">
        <v>0</v>
      </c>
      <c r="AZ23" s="139" t="str">
        <f t="shared" ref="AZ23" si="164">IF(AY23=0,"-",AX23/AY23)</f>
        <v>-</v>
      </c>
      <c r="BA23" s="20">
        <v>14</v>
      </c>
      <c r="BB23" s="21">
        <v>2</v>
      </c>
      <c r="BC23" s="139">
        <f t="shared" si="63"/>
        <v>7</v>
      </c>
      <c r="BD23" s="20">
        <v>0</v>
      </c>
      <c r="BE23" s="21">
        <v>0</v>
      </c>
      <c r="BF23" s="139" t="str">
        <f t="shared" ref="BF23:BF25" si="165">IF(BE23=0,"-",BD23/BE23)</f>
        <v>-</v>
      </c>
      <c r="BG23" s="20">
        <v>0</v>
      </c>
      <c r="BH23" s="21">
        <v>0</v>
      </c>
      <c r="BI23" s="139" t="str">
        <f t="shared" ref="BI23:BI25" si="166">IF(BH23=0,"-",BG23/BH23)</f>
        <v>-</v>
      </c>
      <c r="BJ23" s="20">
        <v>0</v>
      </c>
      <c r="BK23" s="21">
        <v>0</v>
      </c>
      <c r="BL23" s="139" t="str">
        <f t="shared" ref="BL23:BL25" si="167">IF(BK23=0,"-",BJ23/BK23)</f>
        <v>-</v>
      </c>
      <c r="BM23" s="117">
        <f t="shared" si="30"/>
        <v>118</v>
      </c>
      <c r="BN23" s="120">
        <f>BK23+BH23+BE23+BB23+AY23+AV23+AS23+AP23+AM23+L23+R23+O23+I23+F24+AJ23+AG23+AD23+AA23+X23+C23</f>
        <v>19</v>
      </c>
      <c r="BO23" s="147">
        <f t="shared" si="22"/>
        <v>6.2105263157894735</v>
      </c>
    </row>
    <row r="24" spans="1:67" ht="15" thickBot="1" x14ac:dyDescent="0.35">
      <c r="A24" s="1">
        <v>45402</v>
      </c>
      <c r="B24" s="20">
        <v>0</v>
      </c>
      <c r="C24" s="21">
        <v>0</v>
      </c>
      <c r="D24" s="139" t="s">
        <v>32</v>
      </c>
      <c r="E24" s="20">
        <v>0</v>
      </c>
      <c r="F24" s="21">
        <v>0</v>
      </c>
      <c r="G24" s="139" t="s">
        <v>32</v>
      </c>
      <c r="H24" s="20">
        <v>0</v>
      </c>
      <c r="I24" s="21">
        <v>0</v>
      </c>
      <c r="J24" s="139" t="str">
        <f t="shared" si="105"/>
        <v>-</v>
      </c>
      <c r="K24" s="20">
        <v>0</v>
      </c>
      <c r="L24" s="21">
        <v>0</v>
      </c>
      <c r="M24" s="139" t="str">
        <f t="shared" si="31"/>
        <v>-</v>
      </c>
      <c r="N24" s="20">
        <v>0</v>
      </c>
      <c r="O24" s="21">
        <v>0</v>
      </c>
      <c r="P24" s="139" t="str">
        <f t="shared" si="25"/>
        <v>-</v>
      </c>
      <c r="Q24" s="20">
        <v>0</v>
      </c>
      <c r="R24" s="21">
        <v>0</v>
      </c>
      <c r="S24" s="139" t="s">
        <v>32</v>
      </c>
      <c r="T24" s="20">
        <v>0</v>
      </c>
      <c r="U24" s="21">
        <v>0</v>
      </c>
      <c r="V24" s="139" t="str">
        <f t="shared" si="26"/>
        <v>-</v>
      </c>
      <c r="W24" s="20">
        <v>0</v>
      </c>
      <c r="X24" s="21">
        <v>0</v>
      </c>
      <c r="Y24" s="139" t="s">
        <v>32</v>
      </c>
      <c r="Z24" s="20">
        <v>0</v>
      </c>
      <c r="AA24" s="21">
        <v>0</v>
      </c>
      <c r="AB24" s="139" t="s">
        <v>32</v>
      </c>
      <c r="AC24" s="20">
        <v>0</v>
      </c>
      <c r="AD24" s="21">
        <v>0</v>
      </c>
      <c r="AE24" s="139" t="s">
        <v>32</v>
      </c>
      <c r="AF24" s="20">
        <v>0</v>
      </c>
      <c r="AG24" s="21">
        <v>0</v>
      </c>
      <c r="AH24" s="139" t="s">
        <v>32</v>
      </c>
      <c r="AI24" s="20">
        <v>0</v>
      </c>
      <c r="AJ24" s="21">
        <v>0</v>
      </c>
      <c r="AK24" s="139" t="s">
        <v>32</v>
      </c>
      <c r="AL24" s="252">
        <v>15</v>
      </c>
      <c r="AM24" s="253">
        <v>2</v>
      </c>
      <c r="AN24" s="139">
        <f t="shared" si="29"/>
        <v>7.5</v>
      </c>
      <c r="AO24" s="20">
        <v>0</v>
      </c>
      <c r="AP24" s="21">
        <v>0</v>
      </c>
      <c r="AQ24" s="139" t="str">
        <f t="shared" si="162"/>
        <v>-</v>
      </c>
      <c r="AR24" s="20">
        <v>0</v>
      </c>
      <c r="AS24" s="21">
        <v>0</v>
      </c>
      <c r="AT24" s="139" t="str">
        <f t="shared" si="163"/>
        <v>-</v>
      </c>
      <c r="AU24" s="256">
        <v>0</v>
      </c>
      <c r="AV24" s="253">
        <v>0</v>
      </c>
      <c r="AW24" s="139" t="str">
        <f t="shared" si="35"/>
        <v>-</v>
      </c>
      <c r="AX24" s="20">
        <v>0</v>
      </c>
      <c r="AY24" s="21">
        <v>0</v>
      </c>
      <c r="AZ24" s="139" t="str">
        <f t="shared" si="125"/>
        <v>-</v>
      </c>
      <c r="BA24" s="20">
        <v>0</v>
      </c>
      <c r="BB24" s="21">
        <v>0</v>
      </c>
      <c r="BC24" s="139" t="str">
        <f t="shared" si="63"/>
        <v>-</v>
      </c>
      <c r="BD24" s="20">
        <v>0</v>
      </c>
      <c r="BE24" s="21">
        <v>0</v>
      </c>
      <c r="BF24" s="139" t="str">
        <f t="shared" si="165"/>
        <v>-</v>
      </c>
      <c r="BG24" s="20">
        <v>0</v>
      </c>
      <c r="BH24" s="21">
        <v>0</v>
      </c>
      <c r="BI24" s="139" t="str">
        <f t="shared" si="166"/>
        <v>-</v>
      </c>
      <c r="BJ24" s="20">
        <v>0</v>
      </c>
      <c r="BK24" s="21">
        <v>0</v>
      </c>
      <c r="BL24" s="139" t="str">
        <f t="shared" si="167"/>
        <v>-</v>
      </c>
      <c r="BM24" s="117">
        <f t="shared" si="30"/>
        <v>15</v>
      </c>
      <c r="BN24" s="120">
        <f>BK24+BH24+BE24+BB24+AY24+AV24+AS24+AP24+AM24+L24+R24+O24+I24+F25+AJ24+AG24+AD24+AA24+X24+C24</f>
        <v>2</v>
      </c>
      <c r="BO24" s="147">
        <f t="shared" si="22"/>
        <v>7.5</v>
      </c>
    </row>
    <row r="25" spans="1:67" ht="15" thickBot="1" x14ac:dyDescent="0.35">
      <c r="A25" s="1">
        <v>45403</v>
      </c>
      <c r="B25" s="20">
        <v>0</v>
      </c>
      <c r="C25" s="21">
        <v>0</v>
      </c>
      <c r="D25" s="139" t="s">
        <v>32</v>
      </c>
      <c r="E25" s="20">
        <v>0</v>
      </c>
      <c r="F25" s="21">
        <v>0</v>
      </c>
      <c r="G25" s="139" t="s">
        <v>32</v>
      </c>
      <c r="H25" s="20">
        <v>0</v>
      </c>
      <c r="I25" s="21">
        <v>0</v>
      </c>
      <c r="J25" s="139" t="str">
        <f t="shared" si="105"/>
        <v>-</v>
      </c>
      <c r="K25" s="20">
        <v>0</v>
      </c>
      <c r="L25" s="21">
        <v>0</v>
      </c>
      <c r="M25" s="139" t="str">
        <f t="shared" si="31"/>
        <v>-</v>
      </c>
      <c r="N25" s="20">
        <v>0</v>
      </c>
      <c r="O25" s="21">
        <v>0</v>
      </c>
      <c r="P25" s="139" t="str">
        <f t="shared" si="25"/>
        <v>-</v>
      </c>
      <c r="Q25" s="20">
        <v>0</v>
      </c>
      <c r="R25" s="21">
        <v>0</v>
      </c>
      <c r="S25" s="139" t="s">
        <v>32</v>
      </c>
      <c r="T25" s="20">
        <v>0</v>
      </c>
      <c r="U25" s="21">
        <v>0</v>
      </c>
      <c r="V25" s="139" t="str">
        <f t="shared" si="26"/>
        <v>-</v>
      </c>
      <c r="W25" s="20">
        <v>0</v>
      </c>
      <c r="X25" s="21">
        <v>0</v>
      </c>
      <c r="Y25" s="139" t="s">
        <v>32</v>
      </c>
      <c r="Z25" s="20">
        <v>0</v>
      </c>
      <c r="AA25" s="21">
        <v>0</v>
      </c>
      <c r="AB25" s="139" t="s">
        <v>32</v>
      </c>
      <c r="AC25" s="20">
        <v>0</v>
      </c>
      <c r="AD25" s="21">
        <v>0</v>
      </c>
      <c r="AE25" s="139" t="s">
        <v>32</v>
      </c>
      <c r="AF25" s="20">
        <v>0</v>
      </c>
      <c r="AG25" s="21">
        <v>0</v>
      </c>
      <c r="AH25" s="139" t="s">
        <v>32</v>
      </c>
      <c r="AI25" s="20">
        <v>0</v>
      </c>
      <c r="AJ25" s="21">
        <v>0</v>
      </c>
      <c r="AK25" s="139" t="s">
        <v>32</v>
      </c>
      <c r="AL25" s="252">
        <v>7</v>
      </c>
      <c r="AM25" s="253">
        <v>1</v>
      </c>
      <c r="AN25" s="139">
        <f t="shared" si="29"/>
        <v>7</v>
      </c>
      <c r="AO25" s="20">
        <v>0</v>
      </c>
      <c r="AP25" s="21">
        <v>0</v>
      </c>
      <c r="AQ25" s="139" t="str">
        <f t="shared" si="162"/>
        <v>-</v>
      </c>
      <c r="AR25" s="20">
        <v>0</v>
      </c>
      <c r="AS25" s="21">
        <v>0</v>
      </c>
      <c r="AT25" s="139" t="str">
        <f t="shared" si="163"/>
        <v>-</v>
      </c>
      <c r="AU25" s="257">
        <v>0</v>
      </c>
      <c r="AV25" s="253">
        <v>0</v>
      </c>
      <c r="AW25" s="139" t="str">
        <f t="shared" si="35"/>
        <v>-</v>
      </c>
      <c r="AX25" s="20">
        <v>0</v>
      </c>
      <c r="AY25" s="21">
        <v>0</v>
      </c>
      <c r="AZ25" s="139" t="str">
        <f t="shared" si="125"/>
        <v>-</v>
      </c>
      <c r="BA25" s="20">
        <v>5</v>
      </c>
      <c r="BB25" s="21">
        <v>1</v>
      </c>
      <c r="BC25" s="139">
        <f t="shared" si="63"/>
        <v>5</v>
      </c>
      <c r="BD25" s="20">
        <v>0</v>
      </c>
      <c r="BE25" s="21">
        <v>0</v>
      </c>
      <c r="BF25" s="139" t="str">
        <f t="shared" si="165"/>
        <v>-</v>
      </c>
      <c r="BG25" s="20">
        <v>0</v>
      </c>
      <c r="BH25" s="21">
        <v>0</v>
      </c>
      <c r="BI25" s="139" t="str">
        <f t="shared" si="166"/>
        <v>-</v>
      </c>
      <c r="BJ25" s="20">
        <v>0</v>
      </c>
      <c r="BK25" s="21">
        <v>0</v>
      </c>
      <c r="BL25" s="139" t="str">
        <f t="shared" si="167"/>
        <v>-</v>
      </c>
      <c r="BM25" s="117">
        <f t="shared" si="30"/>
        <v>12</v>
      </c>
      <c r="BN25" s="120">
        <f>BK25+BH25+BE25+BB25+AY25+AV25+AS25+AP25+AM25+L25+R25+O25+I25+F25+AJ26+AG25+AD25+AA25+X25+C25</f>
        <v>2</v>
      </c>
      <c r="BO25" s="147">
        <f t="shared" si="22"/>
        <v>6</v>
      </c>
    </row>
    <row r="26" spans="1:67" ht="15" thickBot="1" x14ac:dyDescent="0.35">
      <c r="A26" s="1">
        <v>45404</v>
      </c>
      <c r="B26" s="20">
        <v>32</v>
      </c>
      <c r="C26" s="21">
        <v>4</v>
      </c>
      <c r="D26" s="139">
        <f t="shared" si="0"/>
        <v>8</v>
      </c>
      <c r="E26" s="20">
        <v>8</v>
      </c>
      <c r="F26" s="21">
        <v>1</v>
      </c>
      <c r="G26" s="139">
        <f t="shared" si="23"/>
        <v>8</v>
      </c>
      <c r="H26" s="20">
        <v>0</v>
      </c>
      <c r="I26" s="21">
        <v>0</v>
      </c>
      <c r="J26" s="139" t="str">
        <f t="shared" si="105"/>
        <v>-</v>
      </c>
      <c r="K26" s="20">
        <v>17</v>
      </c>
      <c r="L26" s="21">
        <v>2</v>
      </c>
      <c r="M26" s="139">
        <f t="shared" si="31"/>
        <v>8.5</v>
      </c>
      <c r="N26" s="20">
        <v>40</v>
      </c>
      <c r="O26" s="21">
        <v>4</v>
      </c>
      <c r="P26" s="139">
        <f t="shared" si="25"/>
        <v>10</v>
      </c>
      <c r="Q26" s="20">
        <v>160</v>
      </c>
      <c r="R26" s="21">
        <v>30</v>
      </c>
      <c r="S26" s="139">
        <f t="shared" si="145"/>
        <v>5.333333333333333</v>
      </c>
      <c r="T26" s="20">
        <v>40</v>
      </c>
      <c r="U26" s="21">
        <v>8</v>
      </c>
      <c r="V26" s="139">
        <f t="shared" si="26"/>
        <v>5</v>
      </c>
      <c r="W26" s="20">
        <v>0</v>
      </c>
      <c r="X26" s="21">
        <v>0</v>
      </c>
      <c r="Y26" s="139" t="s">
        <v>32</v>
      </c>
      <c r="Z26" s="20">
        <v>0</v>
      </c>
      <c r="AA26" s="21">
        <v>0</v>
      </c>
      <c r="AB26" s="139" t="s">
        <v>32</v>
      </c>
      <c r="AC26" s="20">
        <v>0</v>
      </c>
      <c r="AD26" s="21">
        <v>0</v>
      </c>
      <c r="AE26" s="139" t="s">
        <v>32</v>
      </c>
      <c r="AF26" s="20">
        <v>0</v>
      </c>
      <c r="AG26" s="21">
        <v>0</v>
      </c>
      <c r="AH26" s="139" t="s">
        <v>32</v>
      </c>
      <c r="AI26" s="20">
        <v>0</v>
      </c>
      <c r="AJ26" s="21">
        <v>0</v>
      </c>
      <c r="AK26" s="139" t="s">
        <v>32</v>
      </c>
      <c r="AL26" s="252">
        <v>0</v>
      </c>
      <c r="AM26" s="253">
        <v>0</v>
      </c>
      <c r="AN26" s="139" t="s">
        <v>32</v>
      </c>
      <c r="AO26" s="20">
        <v>0</v>
      </c>
      <c r="AP26" s="21">
        <v>0</v>
      </c>
      <c r="AQ26" s="139" t="s">
        <v>32</v>
      </c>
      <c r="AR26" s="20">
        <v>0</v>
      </c>
      <c r="AS26" s="21">
        <v>0</v>
      </c>
      <c r="AT26" s="139" t="s">
        <v>32</v>
      </c>
      <c r="AU26" s="257">
        <v>0</v>
      </c>
      <c r="AV26" s="253">
        <v>0</v>
      </c>
      <c r="AW26" s="139" t="s">
        <v>32</v>
      </c>
      <c r="AX26" s="20">
        <v>0</v>
      </c>
      <c r="AY26" s="21">
        <v>0</v>
      </c>
      <c r="AZ26" s="139" t="s">
        <v>32</v>
      </c>
      <c r="BA26" s="20">
        <v>0</v>
      </c>
      <c r="BB26" s="21">
        <v>0</v>
      </c>
      <c r="BC26" s="139" t="s">
        <v>32</v>
      </c>
      <c r="BD26" s="20">
        <v>0</v>
      </c>
      <c r="BE26" s="21">
        <v>0</v>
      </c>
      <c r="BF26" s="139" t="s">
        <v>32</v>
      </c>
      <c r="BG26" s="20">
        <v>0</v>
      </c>
      <c r="BH26" s="21">
        <v>0</v>
      </c>
      <c r="BI26" s="139" t="s">
        <v>32</v>
      </c>
      <c r="BJ26" s="20">
        <v>0</v>
      </c>
      <c r="BK26" s="21">
        <v>0</v>
      </c>
      <c r="BL26" s="139" t="s">
        <v>32</v>
      </c>
      <c r="BM26" s="117">
        <f t="shared" si="30"/>
        <v>297</v>
      </c>
      <c r="BN26" s="120">
        <f>BK26+BH26+BE26+BB26+AY26+AV26+AS26+AP26+AM26+L26+R26+O26+I26+F26+AJ27+AG26+AD26+AA26+X26+C26</f>
        <v>41</v>
      </c>
      <c r="BO26" s="147">
        <f t="shared" si="22"/>
        <v>7.2439024390243905</v>
      </c>
    </row>
    <row r="27" spans="1:67" ht="15" thickBot="1" x14ac:dyDescent="0.35">
      <c r="A27" s="1">
        <v>45405</v>
      </c>
      <c r="B27" s="20">
        <v>48</v>
      </c>
      <c r="C27" s="21">
        <v>6</v>
      </c>
      <c r="D27" s="139">
        <f t="shared" si="0"/>
        <v>8</v>
      </c>
      <c r="E27" s="20">
        <v>8</v>
      </c>
      <c r="F27" s="21">
        <v>1</v>
      </c>
      <c r="G27" s="139">
        <f t="shared" si="23"/>
        <v>8</v>
      </c>
      <c r="H27" s="20">
        <v>5</v>
      </c>
      <c r="I27" s="21">
        <v>1</v>
      </c>
      <c r="J27" s="139">
        <f t="shared" si="105"/>
        <v>5</v>
      </c>
      <c r="K27" s="20">
        <v>7</v>
      </c>
      <c r="L27" s="21">
        <v>1</v>
      </c>
      <c r="M27" s="139">
        <f t="shared" si="31"/>
        <v>7</v>
      </c>
      <c r="N27" s="20">
        <v>36</v>
      </c>
      <c r="O27" s="21">
        <v>6</v>
      </c>
      <c r="P27" s="139" t="s">
        <v>32</v>
      </c>
      <c r="Q27" s="20">
        <v>0</v>
      </c>
      <c r="R27" s="21">
        <v>0</v>
      </c>
      <c r="S27" s="139" t="str">
        <f t="shared" si="145"/>
        <v>-</v>
      </c>
      <c r="T27" s="20">
        <v>6</v>
      </c>
      <c r="U27" s="21">
        <v>1</v>
      </c>
      <c r="V27" s="139">
        <f t="shared" si="26"/>
        <v>6</v>
      </c>
      <c r="W27" s="20">
        <v>0</v>
      </c>
      <c r="X27" s="21">
        <v>0</v>
      </c>
      <c r="Y27" s="139" t="s">
        <v>32</v>
      </c>
      <c r="Z27" s="20">
        <v>0</v>
      </c>
      <c r="AA27" s="21">
        <v>0</v>
      </c>
      <c r="AB27" s="139" t="s">
        <v>32</v>
      </c>
      <c r="AC27" s="20">
        <v>0</v>
      </c>
      <c r="AD27" s="21">
        <v>0</v>
      </c>
      <c r="AE27" s="139" t="s">
        <v>32</v>
      </c>
      <c r="AF27" s="20">
        <v>0</v>
      </c>
      <c r="AG27" s="21">
        <v>0</v>
      </c>
      <c r="AH27" s="139" t="s">
        <v>32</v>
      </c>
      <c r="AI27" s="20">
        <v>0</v>
      </c>
      <c r="AJ27" s="21">
        <v>0</v>
      </c>
      <c r="AK27" s="139" t="s">
        <v>32</v>
      </c>
      <c r="AL27" s="252">
        <v>22</v>
      </c>
      <c r="AM27" s="253">
        <v>3</v>
      </c>
      <c r="AN27" s="139">
        <f t="shared" si="29"/>
        <v>7.333333333333333</v>
      </c>
      <c r="AO27" s="20">
        <v>21</v>
      </c>
      <c r="AP27" s="21">
        <v>3</v>
      </c>
      <c r="AQ27" s="139">
        <f t="shared" ref="AQ27:AQ29" si="168">IF(AP27=0,"-",AO27/AP27)</f>
        <v>7</v>
      </c>
      <c r="AR27" s="20">
        <v>7</v>
      </c>
      <c r="AS27" s="21">
        <v>1</v>
      </c>
      <c r="AT27" s="139">
        <f t="shared" ref="AT27" si="169">IF(AS27=0,"-",AR27/AS27)</f>
        <v>7</v>
      </c>
      <c r="AU27" s="257">
        <v>0</v>
      </c>
      <c r="AV27" s="253">
        <v>0</v>
      </c>
      <c r="AW27" s="139" t="str">
        <f t="shared" si="35"/>
        <v>-</v>
      </c>
      <c r="AX27" s="20">
        <v>0</v>
      </c>
      <c r="AY27" s="21">
        <v>0</v>
      </c>
      <c r="AZ27" s="139" t="s">
        <v>32</v>
      </c>
      <c r="BA27" s="20">
        <v>0</v>
      </c>
      <c r="BB27" s="21">
        <v>0</v>
      </c>
      <c r="BC27" s="139" t="s">
        <v>32</v>
      </c>
      <c r="BD27" s="20">
        <v>0</v>
      </c>
      <c r="BE27" s="21">
        <v>0</v>
      </c>
      <c r="BF27" s="139" t="s">
        <v>32</v>
      </c>
      <c r="BG27" s="20">
        <v>0</v>
      </c>
      <c r="BH27" s="21">
        <v>0</v>
      </c>
      <c r="BI27" s="139" t="s">
        <v>32</v>
      </c>
      <c r="BJ27" s="20">
        <v>0</v>
      </c>
      <c r="BK27" s="21">
        <v>0</v>
      </c>
      <c r="BL27" s="139" t="s">
        <v>32</v>
      </c>
      <c r="BM27" s="117">
        <f t="shared" si="30"/>
        <v>160</v>
      </c>
      <c r="BN27" s="120">
        <f>BK27+BH27+BE27+BB27+AY27+AV27+AS27+AP27+AM27+L27+R27+O27+I27+F27+AJ28+AG27+AD27+AA27+X27+C27</f>
        <v>22</v>
      </c>
      <c r="BO27" s="147">
        <f t="shared" si="22"/>
        <v>7.2727272727272725</v>
      </c>
    </row>
    <row r="28" spans="1:67" ht="15" thickBot="1" x14ac:dyDescent="0.35">
      <c r="A28" s="1">
        <v>45406</v>
      </c>
      <c r="B28" s="20">
        <v>25</v>
      </c>
      <c r="C28" s="21">
        <v>3</v>
      </c>
      <c r="D28" s="139">
        <f t="shared" si="0"/>
        <v>8.3333333333333339</v>
      </c>
      <c r="E28" s="20">
        <v>6</v>
      </c>
      <c r="F28" s="21">
        <v>1</v>
      </c>
      <c r="G28" s="139">
        <f t="shared" si="23"/>
        <v>6</v>
      </c>
      <c r="H28" s="20">
        <v>0</v>
      </c>
      <c r="I28" s="21">
        <v>0</v>
      </c>
      <c r="J28" s="139" t="str">
        <f t="shared" si="105"/>
        <v>-</v>
      </c>
      <c r="K28" s="20">
        <v>0</v>
      </c>
      <c r="L28" s="21">
        <v>0</v>
      </c>
      <c r="M28" s="139" t="str">
        <f t="shared" si="31"/>
        <v>-</v>
      </c>
      <c r="N28" s="20">
        <v>75</v>
      </c>
      <c r="O28" s="21">
        <v>12</v>
      </c>
      <c r="P28" s="139" t="s">
        <v>32</v>
      </c>
      <c r="Q28" s="20">
        <v>0</v>
      </c>
      <c r="R28" s="21">
        <v>0</v>
      </c>
      <c r="S28" s="139" t="str">
        <f t="shared" ref="S28" si="170">IF(R28=0,"-",Q28/R28)</f>
        <v>-</v>
      </c>
      <c r="T28" s="20">
        <v>6</v>
      </c>
      <c r="U28" s="21">
        <v>2</v>
      </c>
      <c r="V28" s="139">
        <f t="shared" si="26"/>
        <v>3</v>
      </c>
      <c r="W28" s="20">
        <v>2</v>
      </c>
      <c r="X28" s="21">
        <v>1</v>
      </c>
      <c r="Y28" s="139" t="s">
        <v>32</v>
      </c>
      <c r="Z28" s="20">
        <v>0</v>
      </c>
      <c r="AA28" s="21">
        <v>0</v>
      </c>
      <c r="AB28" s="139" t="s">
        <v>32</v>
      </c>
      <c r="AC28" s="20">
        <v>0</v>
      </c>
      <c r="AD28" s="21">
        <v>0</v>
      </c>
      <c r="AE28" s="139" t="s">
        <v>32</v>
      </c>
      <c r="AF28" s="20">
        <v>1</v>
      </c>
      <c r="AG28" s="21">
        <v>1</v>
      </c>
      <c r="AH28" s="139">
        <f t="shared" si="47"/>
        <v>1</v>
      </c>
      <c r="AI28" s="20">
        <v>0</v>
      </c>
      <c r="AJ28" s="21">
        <v>0</v>
      </c>
      <c r="AK28" s="139" t="s">
        <v>32</v>
      </c>
      <c r="AL28" s="20">
        <v>21</v>
      </c>
      <c r="AM28" s="21">
        <v>3</v>
      </c>
      <c r="AN28" s="139">
        <f t="shared" si="29"/>
        <v>7</v>
      </c>
      <c r="AO28" s="20">
        <v>5</v>
      </c>
      <c r="AP28" s="21">
        <v>1</v>
      </c>
      <c r="AQ28" s="139">
        <f t="shared" si="168"/>
        <v>5</v>
      </c>
      <c r="AR28" s="20">
        <v>74</v>
      </c>
      <c r="AS28" s="21">
        <v>11</v>
      </c>
      <c r="AT28" s="139">
        <f t="shared" ref="AT28:AT34" si="171">IF(AS28=0,"-",AR28/AS28)</f>
        <v>6.7272727272727275</v>
      </c>
      <c r="AU28" s="257">
        <v>0</v>
      </c>
      <c r="AV28" s="253">
        <v>0</v>
      </c>
      <c r="AW28" s="139" t="str">
        <f t="shared" ref="AW28" si="172">IF(AV28=0,"-",AU28/AV28)</f>
        <v>-</v>
      </c>
      <c r="AX28" s="20">
        <v>0</v>
      </c>
      <c r="AY28" s="21">
        <v>0</v>
      </c>
      <c r="AZ28" s="139" t="s">
        <v>32</v>
      </c>
      <c r="BA28" s="20">
        <v>6</v>
      </c>
      <c r="BB28" s="21">
        <v>1</v>
      </c>
      <c r="BC28" s="139">
        <f t="shared" si="63"/>
        <v>6</v>
      </c>
      <c r="BD28" s="20">
        <v>0</v>
      </c>
      <c r="BE28" s="21">
        <v>0</v>
      </c>
      <c r="BF28" s="139" t="s">
        <v>32</v>
      </c>
      <c r="BG28" s="20">
        <v>0</v>
      </c>
      <c r="BH28" s="21">
        <v>0</v>
      </c>
      <c r="BI28" s="139" t="s">
        <v>32</v>
      </c>
      <c r="BJ28" s="20">
        <v>1</v>
      </c>
      <c r="BK28" s="21">
        <v>1</v>
      </c>
      <c r="BL28" s="139">
        <f t="shared" si="71"/>
        <v>1</v>
      </c>
      <c r="BM28" s="117">
        <f t="shared" si="30"/>
        <v>222</v>
      </c>
      <c r="BN28" s="120">
        <f t="shared" si="154"/>
        <v>35</v>
      </c>
      <c r="BO28" s="147">
        <f t="shared" si="22"/>
        <v>6.3428571428571425</v>
      </c>
    </row>
    <row r="29" spans="1:67" ht="15" thickBot="1" x14ac:dyDescent="0.35">
      <c r="A29" s="1">
        <v>45407</v>
      </c>
      <c r="B29" s="20">
        <v>27</v>
      </c>
      <c r="C29" s="21">
        <v>3</v>
      </c>
      <c r="D29" s="139">
        <f t="shared" si="0"/>
        <v>9</v>
      </c>
      <c r="E29" s="20">
        <v>0</v>
      </c>
      <c r="F29" s="21">
        <v>0</v>
      </c>
      <c r="G29" s="139" t="str">
        <f t="shared" si="23"/>
        <v>-</v>
      </c>
      <c r="H29" s="20">
        <v>6</v>
      </c>
      <c r="I29" s="21">
        <v>1</v>
      </c>
      <c r="J29" s="139" t="s">
        <v>32</v>
      </c>
      <c r="K29" s="20">
        <v>17</v>
      </c>
      <c r="L29" s="21">
        <v>2</v>
      </c>
      <c r="M29" s="139">
        <f t="shared" si="31"/>
        <v>8.5</v>
      </c>
      <c r="N29" s="23">
        <v>45</v>
      </c>
      <c r="O29" s="21">
        <v>8</v>
      </c>
      <c r="P29" s="139" t="s">
        <v>32</v>
      </c>
      <c r="Q29" s="20">
        <v>2</v>
      </c>
      <c r="R29" s="21">
        <v>1</v>
      </c>
      <c r="S29" s="139">
        <f t="shared" si="145"/>
        <v>2</v>
      </c>
      <c r="T29" s="20">
        <v>0</v>
      </c>
      <c r="U29" s="21">
        <v>0</v>
      </c>
      <c r="V29" s="139" t="str">
        <f t="shared" si="26"/>
        <v>-</v>
      </c>
      <c r="W29" s="20">
        <v>2</v>
      </c>
      <c r="X29" s="21">
        <v>1</v>
      </c>
      <c r="Y29" s="139">
        <f t="shared" si="27"/>
        <v>2</v>
      </c>
      <c r="Z29" s="20">
        <v>0</v>
      </c>
      <c r="AA29" s="21">
        <v>0</v>
      </c>
      <c r="AB29" s="139" t="s">
        <v>32</v>
      </c>
      <c r="AC29" s="20">
        <v>2</v>
      </c>
      <c r="AD29" s="21">
        <v>1</v>
      </c>
      <c r="AE29" s="139">
        <f t="shared" ref="AE29:AE32" si="173">IF(AD29=0,"-",AC29/AD29)</f>
        <v>2</v>
      </c>
      <c r="AF29" s="20">
        <v>0</v>
      </c>
      <c r="AG29" s="21">
        <v>0</v>
      </c>
      <c r="AH29" s="139" t="str">
        <f t="shared" si="47"/>
        <v>-</v>
      </c>
      <c r="AI29" s="20">
        <v>1</v>
      </c>
      <c r="AJ29" s="21">
        <v>1</v>
      </c>
      <c r="AK29" s="139">
        <f t="shared" si="48"/>
        <v>1</v>
      </c>
      <c r="AL29" s="20">
        <v>28</v>
      </c>
      <c r="AM29" s="21">
        <v>4</v>
      </c>
      <c r="AN29" s="139">
        <f t="shared" si="29"/>
        <v>7</v>
      </c>
      <c r="AO29" s="20">
        <v>0</v>
      </c>
      <c r="AP29" s="21">
        <v>0</v>
      </c>
      <c r="AQ29" s="139" t="str">
        <f t="shared" si="168"/>
        <v>-</v>
      </c>
      <c r="AR29" s="20">
        <v>0</v>
      </c>
      <c r="AS29" s="21">
        <v>0</v>
      </c>
      <c r="AT29" s="139" t="str">
        <f t="shared" si="171"/>
        <v>-</v>
      </c>
      <c r="AU29" s="257">
        <v>7</v>
      </c>
      <c r="AV29" s="253">
        <v>1</v>
      </c>
      <c r="AW29" s="139">
        <f t="shared" si="35"/>
        <v>7</v>
      </c>
      <c r="AX29" s="20">
        <v>0</v>
      </c>
      <c r="AY29" s="21">
        <v>0</v>
      </c>
      <c r="AZ29" s="139" t="str">
        <f t="shared" si="125"/>
        <v>-</v>
      </c>
      <c r="BA29" s="20">
        <v>49</v>
      </c>
      <c r="BB29" s="21">
        <v>7</v>
      </c>
      <c r="BC29" s="139">
        <f t="shared" si="63"/>
        <v>7</v>
      </c>
      <c r="BD29" s="20">
        <v>0</v>
      </c>
      <c r="BE29" s="21">
        <v>0</v>
      </c>
      <c r="BF29" s="139" t="s">
        <v>32</v>
      </c>
      <c r="BG29" s="20">
        <v>0</v>
      </c>
      <c r="BH29" s="21">
        <v>0</v>
      </c>
      <c r="BI29" s="139" t="s">
        <v>32</v>
      </c>
      <c r="BJ29" s="20">
        <v>0</v>
      </c>
      <c r="BK29" s="21">
        <v>0</v>
      </c>
      <c r="BL29" s="139" t="s">
        <v>32</v>
      </c>
      <c r="BM29" s="117">
        <f t="shared" si="30"/>
        <v>186</v>
      </c>
      <c r="BN29" s="120">
        <f t="shared" si="154"/>
        <v>30</v>
      </c>
      <c r="BO29" s="147">
        <f t="shared" si="22"/>
        <v>6.2</v>
      </c>
    </row>
    <row r="30" spans="1:67" ht="15" thickBot="1" x14ac:dyDescent="0.35">
      <c r="A30" s="1">
        <v>45408</v>
      </c>
      <c r="B30" s="20">
        <v>68</v>
      </c>
      <c r="C30" s="21">
        <v>9</v>
      </c>
      <c r="D30" s="139">
        <f t="shared" si="0"/>
        <v>7.5555555555555554</v>
      </c>
      <c r="E30" s="20">
        <v>24</v>
      </c>
      <c r="F30" s="21">
        <v>3</v>
      </c>
      <c r="G30" s="139">
        <f t="shared" si="23"/>
        <v>8</v>
      </c>
      <c r="H30" s="20">
        <v>10</v>
      </c>
      <c r="I30" s="21">
        <v>1</v>
      </c>
      <c r="J30" s="139" t="s">
        <v>32</v>
      </c>
      <c r="K30" s="20">
        <v>24</v>
      </c>
      <c r="L30" s="21">
        <v>3</v>
      </c>
      <c r="M30" s="139" t="s">
        <v>32</v>
      </c>
      <c r="N30" s="23">
        <v>33</v>
      </c>
      <c r="O30" s="21">
        <v>6</v>
      </c>
      <c r="P30" s="139" t="s">
        <v>32</v>
      </c>
      <c r="Q30" s="20">
        <v>0</v>
      </c>
      <c r="R30" s="21">
        <v>0</v>
      </c>
      <c r="S30" s="139" t="str">
        <f t="shared" si="145"/>
        <v>-</v>
      </c>
      <c r="T30" s="20">
        <v>0</v>
      </c>
      <c r="U30" s="21">
        <v>0</v>
      </c>
      <c r="V30" s="139" t="str">
        <f t="shared" si="26"/>
        <v>-</v>
      </c>
      <c r="W30" s="20">
        <v>0</v>
      </c>
      <c r="X30" s="21">
        <v>0</v>
      </c>
      <c r="Y30" s="139" t="str">
        <f t="shared" si="27"/>
        <v>-</v>
      </c>
      <c r="Z30" s="20">
        <v>0</v>
      </c>
      <c r="AA30" s="21">
        <v>0</v>
      </c>
      <c r="AB30" s="139" t="str">
        <f t="shared" ref="AB30:AB32" si="174">IF(AA30=0,"-",Z30/AA30)</f>
        <v>-</v>
      </c>
      <c r="AC30" s="20">
        <v>0</v>
      </c>
      <c r="AD30" s="21">
        <v>0</v>
      </c>
      <c r="AE30" s="139" t="str">
        <f t="shared" si="173"/>
        <v>-</v>
      </c>
      <c r="AF30" s="20">
        <v>0</v>
      </c>
      <c r="AG30" s="21">
        <v>0</v>
      </c>
      <c r="AH30" s="139" t="str">
        <f t="shared" si="47"/>
        <v>-</v>
      </c>
      <c r="AI30" s="20">
        <v>0</v>
      </c>
      <c r="AJ30" s="21">
        <v>0</v>
      </c>
      <c r="AK30" s="139" t="str">
        <f t="shared" si="48"/>
        <v>-</v>
      </c>
      <c r="AL30" s="20">
        <v>21</v>
      </c>
      <c r="AM30" s="21">
        <v>3</v>
      </c>
      <c r="AN30" s="139">
        <f t="shared" si="29"/>
        <v>7</v>
      </c>
      <c r="AO30" s="20">
        <v>0</v>
      </c>
      <c r="AP30" s="21">
        <v>0</v>
      </c>
      <c r="AQ30" s="139" t="str">
        <f t="shared" ref="AQ30:AQ32" si="175">IF(AP30=0,"-",AO30/AP30)</f>
        <v>-</v>
      </c>
      <c r="AR30" s="20">
        <v>0</v>
      </c>
      <c r="AS30" s="21">
        <v>0</v>
      </c>
      <c r="AT30" s="139" t="str">
        <f t="shared" ref="AT30:AT32" si="176">IF(AS30=0,"-",AR30/AS30)</f>
        <v>-</v>
      </c>
      <c r="AU30" s="257">
        <v>0</v>
      </c>
      <c r="AV30" s="253">
        <v>0</v>
      </c>
      <c r="AW30" s="139" t="str">
        <f t="shared" si="35"/>
        <v>-</v>
      </c>
      <c r="AX30" s="20">
        <v>0</v>
      </c>
      <c r="AY30" s="21">
        <v>0</v>
      </c>
      <c r="AZ30" s="139" t="str">
        <f t="shared" ref="AZ30" si="177">IF(AY30=0,"-",AX30/AY30)</f>
        <v>-</v>
      </c>
      <c r="BA30" s="20">
        <v>0</v>
      </c>
      <c r="BB30" s="21">
        <v>0</v>
      </c>
      <c r="BC30" s="139" t="str">
        <f t="shared" si="63"/>
        <v>-</v>
      </c>
      <c r="BD30" s="20">
        <v>0</v>
      </c>
      <c r="BE30" s="21">
        <v>0</v>
      </c>
      <c r="BF30" s="139" t="str">
        <f t="shared" ref="BF30:BF32" si="178">IF(BE30=0,"-",BD30/BE30)</f>
        <v>-</v>
      </c>
      <c r="BG30" s="20">
        <v>0</v>
      </c>
      <c r="BH30" s="21">
        <v>0</v>
      </c>
      <c r="BI30" s="139" t="str">
        <f t="shared" ref="BI30:BI32" si="179">IF(BH30=0,"-",BG30/BH30)</f>
        <v>-</v>
      </c>
      <c r="BJ30" s="20">
        <v>0</v>
      </c>
      <c r="BK30" s="21">
        <v>0</v>
      </c>
      <c r="BL30" s="139" t="str">
        <f t="shared" ref="BL30:BL32" si="180">IF(BK30=0,"-",BJ30/BK30)</f>
        <v>-</v>
      </c>
      <c r="BM30" s="117">
        <f t="shared" si="30"/>
        <v>180</v>
      </c>
      <c r="BN30" s="120">
        <f t="shared" si="154"/>
        <v>25</v>
      </c>
      <c r="BO30" s="147">
        <f t="shared" si="22"/>
        <v>7.2</v>
      </c>
    </row>
    <row r="31" spans="1:67" ht="15" thickBot="1" x14ac:dyDescent="0.35">
      <c r="A31" s="1">
        <v>45409</v>
      </c>
      <c r="B31" s="20">
        <v>12</v>
      </c>
      <c r="C31" s="21">
        <v>4</v>
      </c>
      <c r="D31" s="139">
        <f t="shared" si="0"/>
        <v>3</v>
      </c>
      <c r="E31" s="20">
        <v>9</v>
      </c>
      <c r="F31" s="21">
        <v>1</v>
      </c>
      <c r="G31" s="139">
        <f t="shared" si="23"/>
        <v>9</v>
      </c>
      <c r="H31" s="20">
        <v>0</v>
      </c>
      <c r="I31" s="21">
        <v>0</v>
      </c>
      <c r="J31" s="139" t="s">
        <v>32</v>
      </c>
      <c r="K31" s="20">
        <v>0</v>
      </c>
      <c r="L31" s="21">
        <v>0</v>
      </c>
      <c r="M31" s="139" t="s">
        <v>32</v>
      </c>
      <c r="N31" s="20">
        <v>0</v>
      </c>
      <c r="O31" s="21">
        <v>0</v>
      </c>
      <c r="P31" s="139" t="s">
        <v>32</v>
      </c>
      <c r="Q31" s="20">
        <v>0</v>
      </c>
      <c r="R31" s="21">
        <v>0</v>
      </c>
      <c r="S31" s="139" t="str">
        <f t="shared" si="145"/>
        <v>-</v>
      </c>
      <c r="T31" s="20">
        <v>0</v>
      </c>
      <c r="U31" s="21">
        <v>0</v>
      </c>
      <c r="V31" s="139" t="str">
        <f t="shared" si="26"/>
        <v>-</v>
      </c>
      <c r="W31" s="20">
        <v>0</v>
      </c>
      <c r="X31" s="21">
        <v>0</v>
      </c>
      <c r="Y31" s="139" t="str">
        <f t="shared" si="27"/>
        <v>-</v>
      </c>
      <c r="Z31" s="20">
        <v>0</v>
      </c>
      <c r="AA31" s="21">
        <v>0</v>
      </c>
      <c r="AB31" s="139" t="str">
        <f t="shared" si="174"/>
        <v>-</v>
      </c>
      <c r="AC31" s="20">
        <v>0</v>
      </c>
      <c r="AD31" s="21">
        <v>0</v>
      </c>
      <c r="AE31" s="139" t="str">
        <f t="shared" si="173"/>
        <v>-</v>
      </c>
      <c r="AF31" s="20">
        <v>0</v>
      </c>
      <c r="AG31" s="21">
        <v>0</v>
      </c>
      <c r="AH31" s="139" t="str">
        <f t="shared" si="47"/>
        <v>-</v>
      </c>
      <c r="AI31" s="20">
        <v>0</v>
      </c>
      <c r="AJ31" s="21">
        <v>0</v>
      </c>
      <c r="AK31" s="139" t="str">
        <f t="shared" si="48"/>
        <v>-</v>
      </c>
      <c r="AL31" s="20">
        <v>0</v>
      </c>
      <c r="AM31" s="21">
        <v>1</v>
      </c>
      <c r="AN31" s="139">
        <f t="shared" si="29"/>
        <v>0</v>
      </c>
      <c r="AO31" s="20">
        <v>0</v>
      </c>
      <c r="AP31" s="21">
        <v>0</v>
      </c>
      <c r="AQ31" s="139" t="str">
        <f t="shared" si="175"/>
        <v>-</v>
      </c>
      <c r="AR31" s="20">
        <v>0</v>
      </c>
      <c r="AS31" s="21">
        <v>0</v>
      </c>
      <c r="AT31" s="139" t="str">
        <f t="shared" si="176"/>
        <v>-</v>
      </c>
      <c r="AU31" s="257">
        <v>0</v>
      </c>
      <c r="AV31" s="253">
        <v>0</v>
      </c>
      <c r="AW31" s="139" t="str">
        <f t="shared" si="35"/>
        <v>-</v>
      </c>
      <c r="AX31" s="20">
        <v>0</v>
      </c>
      <c r="AY31" s="21">
        <v>0</v>
      </c>
      <c r="AZ31" s="139" t="str">
        <f t="shared" si="125"/>
        <v>-</v>
      </c>
      <c r="BA31" s="20">
        <v>0</v>
      </c>
      <c r="BB31" s="21">
        <v>0</v>
      </c>
      <c r="BC31" s="139" t="str">
        <f t="shared" si="63"/>
        <v>-</v>
      </c>
      <c r="BD31" s="20">
        <v>0</v>
      </c>
      <c r="BE31" s="21">
        <v>0</v>
      </c>
      <c r="BF31" s="139" t="str">
        <f t="shared" si="178"/>
        <v>-</v>
      </c>
      <c r="BG31" s="20">
        <v>0</v>
      </c>
      <c r="BH31" s="21">
        <v>0</v>
      </c>
      <c r="BI31" s="139" t="str">
        <f t="shared" si="179"/>
        <v>-</v>
      </c>
      <c r="BJ31" s="20">
        <v>0</v>
      </c>
      <c r="BK31" s="21">
        <v>0</v>
      </c>
      <c r="BL31" s="139" t="str">
        <f t="shared" si="180"/>
        <v>-</v>
      </c>
      <c r="BM31" s="117">
        <f t="shared" si="30"/>
        <v>21</v>
      </c>
      <c r="BN31" s="120">
        <f t="shared" si="154"/>
        <v>6</v>
      </c>
      <c r="BO31" s="147">
        <f t="shared" si="22"/>
        <v>3.5</v>
      </c>
    </row>
    <row r="32" spans="1:67" ht="15" thickBot="1" x14ac:dyDescent="0.35">
      <c r="A32" s="1">
        <v>45410</v>
      </c>
      <c r="B32" s="20">
        <v>19</v>
      </c>
      <c r="C32" s="21">
        <v>5</v>
      </c>
      <c r="D32" s="139">
        <f t="shared" si="0"/>
        <v>3.8</v>
      </c>
      <c r="E32" s="20">
        <v>0</v>
      </c>
      <c r="F32" s="21">
        <v>0</v>
      </c>
      <c r="G32" s="139" t="str">
        <f t="shared" si="23"/>
        <v>-</v>
      </c>
      <c r="H32" s="20">
        <v>0</v>
      </c>
      <c r="I32" s="21">
        <v>0</v>
      </c>
      <c r="J32" s="139" t="s">
        <v>32</v>
      </c>
      <c r="K32" s="20">
        <v>9</v>
      </c>
      <c r="L32" s="21">
        <v>2</v>
      </c>
      <c r="M32" s="139" t="s">
        <v>32</v>
      </c>
      <c r="N32" s="20">
        <v>0</v>
      </c>
      <c r="O32" s="21">
        <v>0</v>
      </c>
      <c r="P32" s="139" t="s">
        <v>32</v>
      </c>
      <c r="Q32" s="20">
        <v>0</v>
      </c>
      <c r="R32" s="21">
        <v>0</v>
      </c>
      <c r="S32" s="139" t="str">
        <f t="shared" si="145"/>
        <v>-</v>
      </c>
      <c r="T32" s="20">
        <v>0</v>
      </c>
      <c r="U32" s="21">
        <v>0</v>
      </c>
      <c r="V32" s="139" t="str">
        <f t="shared" si="26"/>
        <v>-</v>
      </c>
      <c r="W32" s="20">
        <v>0</v>
      </c>
      <c r="X32" s="21">
        <v>0</v>
      </c>
      <c r="Y32" s="139" t="str">
        <f t="shared" si="27"/>
        <v>-</v>
      </c>
      <c r="Z32" s="20">
        <v>0</v>
      </c>
      <c r="AA32" s="21">
        <v>0</v>
      </c>
      <c r="AB32" s="139" t="str">
        <f t="shared" si="174"/>
        <v>-</v>
      </c>
      <c r="AC32" s="20">
        <v>0</v>
      </c>
      <c r="AD32" s="21">
        <v>0</v>
      </c>
      <c r="AE32" s="139" t="str">
        <f t="shared" si="173"/>
        <v>-</v>
      </c>
      <c r="AF32" s="20">
        <v>0</v>
      </c>
      <c r="AG32" s="21">
        <v>0</v>
      </c>
      <c r="AH32" s="139" t="str">
        <f t="shared" si="47"/>
        <v>-</v>
      </c>
      <c r="AI32" s="20">
        <v>0</v>
      </c>
      <c r="AJ32" s="21">
        <v>0</v>
      </c>
      <c r="AK32" s="139" t="str">
        <f t="shared" si="48"/>
        <v>-</v>
      </c>
      <c r="AL32" s="20">
        <v>0</v>
      </c>
      <c r="AM32" s="21">
        <v>1</v>
      </c>
      <c r="AN32" s="139">
        <f t="shared" si="29"/>
        <v>0</v>
      </c>
      <c r="AO32" s="20">
        <v>0</v>
      </c>
      <c r="AP32" s="21">
        <v>0</v>
      </c>
      <c r="AQ32" s="139" t="str">
        <f t="shared" si="175"/>
        <v>-</v>
      </c>
      <c r="AR32" s="20">
        <v>0</v>
      </c>
      <c r="AS32" s="21">
        <v>0</v>
      </c>
      <c r="AT32" s="139" t="str">
        <f t="shared" si="176"/>
        <v>-</v>
      </c>
      <c r="AU32" s="257">
        <v>0</v>
      </c>
      <c r="AV32" s="253">
        <v>0</v>
      </c>
      <c r="AW32" s="139" t="str">
        <f t="shared" si="35"/>
        <v>-</v>
      </c>
      <c r="AX32" s="20">
        <v>0</v>
      </c>
      <c r="AY32" s="21">
        <v>0</v>
      </c>
      <c r="AZ32" s="139" t="str">
        <f t="shared" si="125"/>
        <v>-</v>
      </c>
      <c r="BA32" s="20">
        <v>0</v>
      </c>
      <c r="BB32" s="21">
        <v>0</v>
      </c>
      <c r="BC32" s="139" t="str">
        <f t="shared" si="63"/>
        <v>-</v>
      </c>
      <c r="BD32" s="20">
        <v>0</v>
      </c>
      <c r="BE32" s="21">
        <v>0</v>
      </c>
      <c r="BF32" s="139" t="str">
        <f t="shared" si="178"/>
        <v>-</v>
      </c>
      <c r="BG32" s="20">
        <v>0</v>
      </c>
      <c r="BH32" s="21">
        <v>0</v>
      </c>
      <c r="BI32" s="139" t="str">
        <f t="shared" si="179"/>
        <v>-</v>
      </c>
      <c r="BJ32" s="20">
        <v>0</v>
      </c>
      <c r="BK32" s="21">
        <v>0</v>
      </c>
      <c r="BL32" s="139" t="str">
        <f t="shared" si="180"/>
        <v>-</v>
      </c>
      <c r="BM32" s="117">
        <f t="shared" si="30"/>
        <v>28</v>
      </c>
      <c r="BN32" s="120">
        <f t="shared" si="154"/>
        <v>8</v>
      </c>
      <c r="BO32" s="147">
        <f t="shared" si="22"/>
        <v>3.5</v>
      </c>
    </row>
    <row r="33" spans="1:67" ht="15" thickBot="1" x14ac:dyDescent="0.35">
      <c r="A33" s="1">
        <v>45411</v>
      </c>
      <c r="B33" s="20">
        <v>29</v>
      </c>
      <c r="C33" s="21">
        <v>4</v>
      </c>
      <c r="D33" s="139">
        <f t="shared" si="0"/>
        <v>7.25</v>
      </c>
      <c r="E33" s="20">
        <v>5</v>
      </c>
      <c r="F33" s="21">
        <v>1</v>
      </c>
      <c r="G33" s="139">
        <f t="shared" si="23"/>
        <v>5</v>
      </c>
      <c r="H33" s="20">
        <v>10</v>
      </c>
      <c r="I33" s="21">
        <v>2</v>
      </c>
      <c r="J33" s="139" t="s">
        <v>32</v>
      </c>
      <c r="K33" s="20">
        <v>14</v>
      </c>
      <c r="L33" s="21">
        <v>3</v>
      </c>
      <c r="M33" s="139" t="s">
        <v>32</v>
      </c>
      <c r="N33" s="20">
        <v>46</v>
      </c>
      <c r="O33" s="21">
        <v>9</v>
      </c>
      <c r="P33" s="139" t="s">
        <v>32</v>
      </c>
      <c r="Q33" s="20">
        <v>0</v>
      </c>
      <c r="R33" s="21">
        <v>0</v>
      </c>
      <c r="S33" s="139" t="str">
        <f t="shared" ref="S33" si="181">IF(R33=0,"-",Q33/R33)</f>
        <v>-</v>
      </c>
      <c r="T33" s="20">
        <v>0</v>
      </c>
      <c r="U33" s="21">
        <v>0</v>
      </c>
      <c r="V33" s="139" t="str">
        <f t="shared" ref="V33:V34" si="182">IF(U33=0,"-",T33/U33)</f>
        <v>-</v>
      </c>
      <c r="W33" s="20"/>
      <c r="X33" s="21"/>
      <c r="Y33" s="139" t="str">
        <f t="shared" si="27"/>
        <v>-</v>
      </c>
      <c r="Z33" s="20">
        <v>0</v>
      </c>
      <c r="AA33" s="21">
        <v>0</v>
      </c>
      <c r="AB33" s="139" t="str">
        <f t="shared" ref="AB33" si="183">IF(AA33=0,"-",Z33/AA33)</f>
        <v>-</v>
      </c>
      <c r="AC33" s="20">
        <v>0</v>
      </c>
      <c r="AD33" s="21">
        <v>0</v>
      </c>
      <c r="AE33" s="139" t="str">
        <f t="shared" ref="AE33:AE34" si="184">IF(AD33=0,"-",AC33/AD33)</f>
        <v>-</v>
      </c>
      <c r="AF33" s="20">
        <v>0</v>
      </c>
      <c r="AG33" s="21">
        <v>0</v>
      </c>
      <c r="AH33" s="139" t="str">
        <f t="shared" ref="AH33:AH34" si="185">IF(AG33=0,"-",AF33/AG33)</f>
        <v>-</v>
      </c>
      <c r="AI33" s="20">
        <v>1</v>
      </c>
      <c r="AJ33" s="21">
        <v>1</v>
      </c>
      <c r="AK33" s="139">
        <f t="shared" si="48"/>
        <v>1</v>
      </c>
      <c r="AL33" s="20">
        <v>21</v>
      </c>
      <c r="AM33" s="21">
        <v>3</v>
      </c>
      <c r="AN33" s="139">
        <f t="shared" si="29"/>
        <v>7</v>
      </c>
      <c r="AO33" s="20">
        <v>0</v>
      </c>
      <c r="AP33" s="21">
        <v>0</v>
      </c>
      <c r="AQ33" s="139" t="str">
        <f t="shared" ref="AQ33:AQ34" si="186">IF(AP33=0,"-",AO33/AP33)</f>
        <v>-</v>
      </c>
      <c r="AR33" s="20">
        <v>0</v>
      </c>
      <c r="AS33" s="21">
        <v>0</v>
      </c>
      <c r="AT33" s="139" t="str">
        <f t="shared" ref="AT33" si="187">IF(AS33=0,"-",AR33/AS33)</f>
        <v>-</v>
      </c>
      <c r="AU33" s="257">
        <v>0</v>
      </c>
      <c r="AV33" s="253">
        <v>0</v>
      </c>
      <c r="AW33" s="139" t="str">
        <f t="shared" si="35"/>
        <v>-</v>
      </c>
      <c r="AX33" s="20">
        <v>0</v>
      </c>
      <c r="AY33" s="21">
        <v>0</v>
      </c>
      <c r="AZ33" s="139" t="str">
        <f t="shared" ref="AZ33:AZ34" si="188">IF(AY33=0,"-",AX33/AY33)</f>
        <v>-</v>
      </c>
      <c r="BA33" s="20">
        <v>0</v>
      </c>
      <c r="BB33" s="21">
        <v>0</v>
      </c>
      <c r="BC33" s="139" t="str">
        <f t="shared" ref="BC33" si="189">IF(BB33=0,"-",BA33/BB33)</f>
        <v>-</v>
      </c>
      <c r="BD33" s="20">
        <v>0</v>
      </c>
      <c r="BE33" s="21">
        <v>0</v>
      </c>
      <c r="BF33" s="139" t="str">
        <f t="shared" ref="BF33:BF34" si="190">IF(BE33=0,"-",BD33/BE33)</f>
        <v>-</v>
      </c>
      <c r="BG33" s="20">
        <v>0</v>
      </c>
      <c r="BH33" s="21">
        <v>0</v>
      </c>
      <c r="BI33" s="139" t="str">
        <f t="shared" ref="BI33:BI34" si="191">IF(BH33=0,"-",BG33/BH33)</f>
        <v>-</v>
      </c>
      <c r="BJ33" s="20">
        <v>0</v>
      </c>
      <c r="BK33" s="21">
        <v>0</v>
      </c>
      <c r="BL33" s="139" t="str">
        <f t="shared" ref="BL33:BL34" si="192">IF(BK33=0,"-",BJ33/BK33)</f>
        <v>-</v>
      </c>
      <c r="BM33" s="117">
        <f t="shared" si="30"/>
        <v>126</v>
      </c>
      <c r="BN33" s="120">
        <f t="shared" si="154"/>
        <v>23</v>
      </c>
      <c r="BO33" s="147">
        <f t="shared" si="22"/>
        <v>5.4782608695652177</v>
      </c>
    </row>
    <row r="34" spans="1:67" ht="15" thickBot="1" x14ac:dyDescent="0.35">
      <c r="A34" s="1">
        <v>45412</v>
      </c>
      <c r="B34" s="20">
        <v>25</v>
      </c>
      <c r="C34" s="21">
        <v>4</v>
      </c>
      <c r="D34" s="139">
        <f t="shared" si="0"/>
        <v>6.25</v>
      </c>
      <c r="E34" s="20">
        <v>7</v>
      </c>
      <c r="F34" s="21">
        <v>1</v>
      </c>
      <c r="G34" s="139">
        <f t="shared" si="23"/>
        <v>7</v>
      </c>
      <c r="H34" s="20">
        <v>6</v>
      </c>
      <c r="I34" s="21">
        <v>1</v>
      </c>
      <c r="J34" s="139" t="s">
        <v>32</v>
      </c>
      <c r="K34" s="20">
        <v>51</v>
      </c>
      <c r="L34" s="21">
        <v>6</v>
      </c>
      <c r="M34" s="139" t="s">
        <v>32</v>
      </c>
      <c r="N34" s="20">
        <v>37</v>
      </c>
      <c r="O34" s="21">
        <v>7</v>
      </c>
      <c r="P34" s="139" t="s">
        <v>32</v>
      </c>
      <c r="Q34" s="20">
        <v>47</v>
      </c>
      <c r="R34" s="21">
        <v>11</v>
      </c>
      <c r="S34" s="139">
        <f t="shared" si="145"/>
        <v>4.2727272727272725</v>
      </c>
      <c r="T34" s="20">
        <v>0</v>
      </c>
      <c r="U34" s="21">
        <v>0</v>
      </c>
      <c r="V34" s="139" t="str">
        <f t="shared" si="182"/>
        <v>-</v>
      </c>
      <c r="W34" s="20"/>
      <c r="X34" s="21"/>
      <c r="Y34" s="139" t="str">
        <f t="shared" si="27"/>
        <v>-</v>
      </c>
      <c r="Z34" s="20">
        <v>6</v>
      </c>
      <c r="AA34" s="21">
        <v>1</v>
      </c>
      <c r="AB34" s="139" t="s">
        <v>32</v>
      </c>
      <c r="AC34" s="20">
        <v>0</v>
      </c>
      <c r="AD34" s="21">
        <v>0</v>
      </c>
      <c r="AE34" s="139" t="str">
        <f t="shared" si="184"/>
        <v>-</v>
      </c>
      <c r="AF34" s="20">
        <v>0</v>
      </c>
      <c r="AG34" s="21">
        <v>0</v>
      </c>
      <c r="AH34" s="139" t="str">
        <f t="shared" si="185"/>
        <v>-</v>
      </c>
      <c r="AI34" s="20">
        <v>2</v>
      </c>
      <c r="AJ34" s="21">
        <v>1</v>
      </c>
      <c r="AK34" s="139">
        <f t="shared" si="48"/>
        <v>2</v>
      </c>
      <c r="AL34" s="20">
        <v>34</v>
      </c>
      <c r="AM34" s="21">
        <v>5</v>
      </c>
      <c r="AN34" s="139">
        <f t="shared" si="29"/>
        <v>6.8</v>
      </c>
      <c r="AO34" s="20">
        <v>0</v>
      </c>
      <c r="AP34" s="21">
        <v>0</v>
      </c>
      <c r="AQ34" s="139" t="str">
        <f t="shared" si="186"/>
        <v>-</v>
      </c>
      <c r="AR34" s="20"/>
      <c r="AS34" s="21"/>
      <c r="AT34" s="139" t="str">
        <f t="shared" si="171"/>
        <v>-</v>
      </c>
      <c r="AU34" s="257">
        <v>0</v>
      </c>
      <c r="AV34" s="253">
        <v>0</v>
      </c>
      <c r="AW34" s="139" t="str">
        <f t="shared" si="35"/>
        <v>-</v>
      </c>
      <c r="AX34" s="20">
        <v>0</v>
      </c>
      <c r="AY34" s="21">
        <v>0</v>
      </c>
      <c r="AZ34" s="139" t="str">
        <f t="shared" si="188"/>
        <v>-</v>
      </c>
      <c r="BA34" s="20">
        <v>10</v>
      </c>
      <c r="BB34" s="21">
        <v>2</v>
      </c>
      <c r="BC34" s="139">
        <f t="shared" si="63"/>
        <v>5</v>
      </c>
      <c r="BD34" s="20">
        <v>0</v>
      </c>
      <c r="BE34" s="21">
        <v>0</v>
      </c>
      <c r="BF34" s="139" t="str">
        <f t="shared" si="190"/>
        <v>-</v>
      </c>
      <c r="BG34" s="20">
        <v>0</v>
      </c>
      <c r="BH34" s="21">
        <v>0</v>
      </c>
      <c r="BI34" s="139" t="str">
        <f t="shared" si="191"/>
        <v>-</v>
      </c>
      <c r="BJ34" s="20">
        <v>0</v>
      </c>
      <c r="BK34" s="21">
        <v>0</v>
      </c>
      <c r="BL34" s="139" t="str">
        <f t="shared" si="192"/>
        <v>-</v>
      </c>
      <c r="BM34" s="117">
        <f t="shared" si="30"/>
        <v>225</v>
      </c>
      <c r="BN34" s="120">
        <f t="shared" si="154"/>
        <v>39</v>
      </c>
      <c r="BO34" s="147">
        <f t="shared" si="22"/>
        <v>5.7692307692307692</v>
      </c>
    </row>
    <row r="35" spans="1:67" s="41" customFormat="1" ht="15.6" customHeight="1" thickBot="1" x14ac:dyDescent="0.35">
      <c r="A35" s="42" t="s">
        <v>33</v>
      </c>
      <c r="B35" s="43">
        <f>SUM(B5:B34)</f>
        <v>767</v>
      </c>
      <c r="C35" s="43">
        <f>SUM(C5:C34)</f>
        <v>108</v>
      </c>
      <c r="D35" s="44">
        <f>B35/C35</f>
        <v>7.1018518518518521</v>
      </c>
      <c r="E35" s="43">
        <f>SUM(E5:E34)</f>
        <v>163</v>
      </c>
      <c r="F35" s="43">
        <f>SUM(F5:F34)</f>
        <v>22</v>
      </c>
      <c r="G35" s="44">
        <f>E35/F35</f>
        <v>7.4090909090909092</v>
      </c>
      <c r="H35" s="43">
        <f>SUM(H5:H34)</f>
        <v>80</v>
      </c>
      <c r="I35" s="43">
        <f>SUM(I5:I34)</f>
        <v>13</v>
      </c>
      <c r="J35" s="44">
        <f>H35/I35</f>
        <v>6.1538461538461542</v>
      </c>
      <c r="K35" s="43">
        <f>SUM(K5:K34)</f>
        <v>340</v>
      </c>
      <c r="L35" s="43">
        <f>SUM(L5:L34)</f>
        <v>46</v>
      </c>
      <c r="M35" s="44">
        <f>K35/L35</f>
        <v>7.3913043478260869</v>
      </c>
      <c r="N35" s="43">
        <f>SUM(N5:N34)</f>
        <v>900</v>
      </c>
      <c r="O35" s="43">
        <f>SUM(O5:O34)</f>
        <v>157</v>
      </c>
      <c r="P35" s="44">
        <f>N35/O35</f>
        <v>5.7324840764331206</v>
      </c>
      <c r="Q35" s="43">
        <f>SUM(Q5:Q34)</f>
        <v>264</v>
      </c>
      <c r="R35" s="43">
        <f>SUM(R5:R34)</f>
        <v>53</v>
      </c>
      <c r="S35" s="44">
        <f>Q35/R35</f>
        <v>4.9811320754716979</v>
      </c>
      <c r="T35" s="43">
        <v>120</v>
      </c>
      <c r="U35" s="43">
        <v>20</v>
      </c>
      <c r="V35" s="44">
        <f>T35/U35</f>
        <v>6</v>
      </c>
      <c r="W35" s="43">
        <f>SUM(W5:W33)</f>
        <v>28</v>
      </c>
      <c r="X35" s="43">
        <f>SUM(X5:X33)</f>
        <v>9</v>
      </c>
      <c r="Y35" s="44">
        <f>W35/X35</f>
        <v>3.1111111111111112</v>
      </c>
      <c r="Z35" s="43">
        <f>SUM(Z5:Z34)</f>
        <v>48</v>
      </c>
      <c r="AA35" s="43">
        <f>SUM(AA5:AA34)</f>
        <v>8</v>
      </c>
      <c r="AB35" s="44">
        <f>Z35/AA35</f>
        <v>6</v>
      </c>
      <c r="AC35" s="43">
        <f>SUM(AC5:AC33)</f>
        <v>15</v>
      </c>
      <c r="AD35" s="43">
        <f>SUM(AD5:AD33)</f>
        <v>6</v>
      </c>
      <c r="AE35" s="44">
        <f>AC35/AD35</f>
        <v>2.5</v>
      </c>
      <c r="AF35" s="43">
        <f>SUM(AF5:AF33)</f>
        <v>31</v>
      </c>
      <c r="AG35" s="43">
        <f>SUM(AG5:AG33)</f>
        <v>5</v>
      </c>
      <c r="AH35" s="44">
        <f>AF35/AG35</f>
        <v>6.2</v>
      </c>
      <c r="AI35" s="43">
        <f>SUM(AI5:AI34)</f>
        <v>17</v>
      </c>
      <c r="AJ35" s="43">
        <f>SUM(AJ5:AJ34)</f>
        <v>5</v>
      </c>
      <c r="AK35" s="44">
        <f>AI35/AJ35</f>
        <v>3.4</v>
      </c>
      <c r="AL35" s="43">
        <f>SUM(AL5:AL34)</f>
        <v>527</v>
      </c>
      <c r="AM35" s="43">
        <f>SUM(AM5:AM34)</f>
        <v>76</v>
      </c>
      <c r="AN35" s="44">
        <f>AL35/AM35</f>
        <v>6.9342105263157894</v>
      </c>
      <c r="AO35" s="43">
        <f>SUM(AO5:AO33)</f>
        <v>26</v>
      </c>
      <c r="AP35" s="43">
        <f>SUM(AP5:AP33)</f>
        <v>4</v>
      </c>
      <c r="AQ35" s="44">
        <f>AO35/AP35</f>
        <v>6.5</v>
      </c>
      <c r="AR35" s="43">
        <f>SUM(AR5:AR33)</f>
        <v>81</v>
      </c>
      <c r="AS35" s="43">
        <f>SUM(AS5:AS33)</f>
        <v>12</v>
      </c>
      <c r="AT35" s="44">
        <f>AR35/AS35</f>
        <v>6.75</v>
      </c>
      <c r="AU35" s="43">
        <f>SUM(AU5:AU33)</f>
        <v>72</v>
      </c>
      <c r="AV35" s="43">
        <f>SUM(AV5:AV33)</f>
        <v>10</v>
      </c>
      <c r="AW35" s="44">
        <f>AU35/AV35</f>
        <v>7.2</v>
      </c>
      <c r="AX35" s="43">
        <f>SUM(AX5:AX33)</f>
        <v>0</v>
      </c>
      <c r="AY35" s="43">
        <f>SUM(AY5:AY33)</f>
        <v>0</v>
      </c>
      <c r="AZ35" s="140" t="str">
        <f>IF(AY35=0,"-",AX35/AY35)</f>
        <v>-</v>
      </c>
      <c r="BA35" s="43">
        <f>SUM(BA5:BA34)</f>
        <v>158</v>
      </c>
      <c r="BB35" s="43">
        <f>SUM(BB5:BB34)</f>
        <v>25</v>
      </c>
      <c r="BC35" s="44">
        <f>BA35/BB35</f>
        <v>6.32</v>
      </c>
      <c r="BD35" s="43">
        <f>SUM(BD5:BD33)</f>
        <v>0</v>
      </c>
      <c r="BE35" s="43">
        <f>SUM(BE5:BE33)</f>
        <v>0</v>
      </c>
      <c r="BF35" s="140" t="str">
        <f>IF(BE35=0,"-",BD35/BE35)</f>
        <v>-</v>
      </c>
      <c r="BG35" s="43">
        <f>SUM(BG5:BG33)</f>
        <v>0</v>
      </c>
      <c r="BH35" s="43">
        <f>SUM(BH5:BH33)</f>
        <v>0</v>
      </c>
      <c r="BI35" s="140" t="str">
        <f>IF(BH35=0,"-",BG35/BH35)</f>
        <v>-</v>
      </c>
      <c r="BJ35" s="43">
        <f>SUM(BJ5:BJ33)</f>
        <v>1</v>
      </c>
      <c r="BK35" s="43">
        <f>SUM(BK5:BK33)</f>
        <v>1</v>
      </c>
      <c r="BL35" s="140">
        <f>IF(BK35=0,"-",BJ35/BK35)</f>
        <v>1</v>
      </c>
      <c r="BM35" s="118">
        <f>SUM(BM5:BM33)</f>
        <v>3405</v>
      </c>
      <c r="BN35" s="145">
        <f t="shared" si="154"/>
        <v>560</v>
      </c>
      <c r="BO35" s="144">
        <f t="shared" si="22"/>
        <v>6.0803571428571432</v>
      </c>
    </row>
    <row r="36" spans="1:67" x14ac:dyDescent="0.3">
      <c r="A36" s="1"/>
      <c r="E36"/>
      <c r="F36"/>
      <c r="H36"/>
      <c r="I36"/>
      <c r="K36"/>
      <c r="L36"/>
      <c r="N36"/>
      <c r="O36"/>
      <c r="Q36"/>
      <c r="R36"/>
      <c r="T36"/>
      <c r="U36"/>
    </row>
    <row r="37" spans="1:67" x14ac:dyDescent="0.3">
      <c r="A37" s="1"/>
      <c r="E37"/>
      <c r="F37"/>
      <c r="H37"/>
      <c r="I37"/>
      <c r="K37"/>
      <c r="L37"/>
      <c r="N37"/>
      <c r="O37"/>
      <c r="Q37"/>
      <c r="R37"/>
      <c r="T37"/>
      <c r="U37"/>
    </row>
    <row r="38" spans="1:67" x14ac:dyDescent="0.3">
      <c r="A38" s="1"/>
    </row>
    <row r="39" spans="1:67" x14ac:dyDescent="0.3">
      <c r="A39" s="1"/>
    </row>
    <row r="40" spans="1:67" x14ac:dyDescent="0.3">
      <c r="A40" s="1"/>
    </row>
    <row r="41" spans="1:67" x14ac:dyDescent="0.3">
      <c r="A41" s="1"/>
    </row>
    <row r="42" spans="1:67" x14ac:dyDescent="0.3">
      <c r="A42" s="1"/>
    </row>
    <row r="43" spans="1:67" x14ac:dyDescent="0.3">
      <c r="A43" s="1"/>
    </row>
    <row r="44" spans="1:67" x14ac:dyDescent="0.3">
      <c r="A44" s="1"/>
    </row>
    <row r="45" spans="1:67" x14ac:dyDescent="0.3">
      <c r="A45" s="1"/>
    </row>
    <row r="46" spans="1:67" x14ac:dyDescent="0.3">
      <c r="A46" s="1"/>
    </row>
    <row r="47" spans="1:67" x14ac:dyDescent="0.3">
      <c r="A47" s="1"/>
    </row>
    <row r="48" spans="1:6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DDBC-8A18-4F77-BDD3-6A7C24C791FA}">
  <sheetPr codeName="Sheet13">
    <tabColor rgb="FFFF0000"/>
  </sheetPr>
  <dimension ref="A1:CL40"/>
  <sheetViews>
    <sheetView topLeftCell="A3" workbookViewId="0">
      <selection activeCell="B6" sqref="B6"/>
    </sheetView>
  </sheetViews>
  <sheetFormatPr defaultRowHeight="14.4" x14ac:dyDescent="0.3"/>
  <cols>
    <col min="1" max="1" width="34" customWidth="1"/>
    <col min="2" max="2" width="10.33203125" style="79" customWidth="1"/>
    <col min="3" max="3" width="11.10937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51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'April 2024'!B35</f>
        <v>767</v>
      </c>
      <c r="C4" s="68"/>
      <c r="D4" s="95" t="s">
        <v>19</v>
      </c>
      <c r="E4" s="93">
        <f>'April 2024'!AL35</f>
        <v>527</v>
      </c>
      <c r="F4" s="68"/>
      <c r="G4" s="87" t="s">
        <v>24</v>
      </c>
      <c r="H4" s="81">
        <f>'April 2024'!BA35</f>
        <v>158</v>
      </c>
    </row>
    <row r="5" spans="1:90" ht="15" thickBot="1" x14ac:dyDescent="0.35">
      <c r="A5" s="80"/>
      <c r="B5" s="81">
        <f>'April 2024'!C35</f>
        <v>108</v>
      </c>
      <c r="C5" s="68"/>
      <c r="D5" s="85"/>
      <c r="E5" s="81">
        <f>'April 2024'!AM35</f>
        <v>76</v>
      </c>
      <c r="F5" s="68"/>
      <c r="G5" s="87"/>
      <c r="H5" s="81">
        <f>'April 2024'!BB35</f>
        <v>25</v>
      </c>
    </row>
    <row r="6" spans="1:90" ht="58.2" thickBot="1" x14ac:dyDescent="0.35">
      <c r="A6" s="82"/>
      <c r="B6" s="258">
        <f>'April 2024'!D35</f>
        <v>7.1018518518518521</v>
      </c>
      <c r="C6" s="261" t="s">
        <v>53</v>
      </c>
      <c r="D6" s="86"/>
      <c r="E6" s="26">
        <f>'April 2024'!AN35</f>
        <v>6.9342105263157894</v>
      </c>
      <c r="F6" s="68"/>
      <c r="G6" s="88"/>
      <c r="H6" s="26">
        <f>'April 2024'!BC35</f>
        <v>6.32</v>
      </c>
    </row>
    <row r="7" spans="1:90" x14ac:dyDescent="0.3">
      <c r="A7" s="80" t="s">
        <v>9</v>
      </c>
      <c r="B7" s="81">
        <f>'April 2024'!E35</f>
        <v>163</v>
      </c>
      <c r="C7" s="68"/>
      <c r="D7" s="85" t="s">
        <v>20</v>
      </c>
      <c r="E7" s="81">
        <f>'April 2024'!AO35</f>
        <v>26</v>
      </c>
      <c r="F7" s="68"/>
      <c r="G7" s="87" t="s">
        <v>25</v>
      </c>
      <c r="H7" s="151">
        <f>'April 2024'!BD35</f>
        <v>0</v>
      </c>
    </row>
    <row r="8" spans="1:90" ht="15" thickBot="1" x14ac:dyDescent="0.35">
      <c r="A8" s="80"/>
      <c r="B8" s="81">
        <f>'April 2024'!F35</f>
        <v>22</v>
      </c>
      <c r="C8" s="68"/>
      <c r="D8" s="85"/>
      <c r="E8" s="81">
        <f>'April 2024'!AP35</f>
        <v>4</v>
      </c>
      <c r="F8" s="68"/>
      <c r="G8" s="87"/>
      <c r="H8" s="151">
        <f>'April 2024'!BE35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ht="58.2" thickBot="1" x14ac:dyDescent="0.35">
      <c r="A9" s="82"/>
      <c r="B9" s="258">
        <f>'April 2024'!G35</f>
        <v>7.4090909090909092</v>
      </c>
      <c r="C9" s="261" t="s">
        <v>53</v>
      </c>
      <c r="D9" s="86"/>
      <c r="E9" s="26">
        <f>'April 2024'!AQ35</f>
        <v>6.5</v>
      </c>
      <c r="F9" s="68"/>
      <c r="G9" s="88"/>
      <c r="H9" s="151">
        <f>'April 2024'!BE35</f>
        <v>0</v>
      </c>
    </row>
    <row r="10" spans="1:90" x14ac:dyDescent="0.3">
      <c r="A10" s="80" t="s">
        <v>10</v>
      </c>
      <c r="B10" s="81">
        <f>'April 2024'!H35</f>
        <v>80</v>
      </c>
      <c r="C10" s="68"/>
      <c r="D10" s="85" t="s">
        <v>21</v>
      </c>
      <c r="E10" s="81">
        <f>'April 2024'!AR35</f>
        <v>81</v>
      </c>
      <c r="F10" s="68"/>
      <c r="G10" s="87" t="s">
        <v>26</v>
      </c>
      <c r="H10" s="151">
        <f>'April 2024'!BG35</f>
        <v>0</v>
      </c>
    </row>
    <row r="11" spans="1:90" ht="15" thickBot="1" x14ac:dyDescent="0.35">
      <c r="A11" s="80"/>
      <c r="B11" s="81">
        <f>'April 2024'!I35</f>
        <v>13</v>
      </c>
      <c r="C11" s="68"/>
      <c r="D11" s="85"/>
      <c r="E11" s="81">
        <f>'April 2024'!AS35</f>
        <v>12</v>
      </c>
      <c r="F11" s="68"/>
      <c r="G11" s="87"/>
      <c r="H11" s="81">
        <f>'April 2024'!BH35</f>
        <v>0</v>
      </c>
    </row>
    <row r="12" spans="1:90" ht="29.4" thickBot="1" x14ac:dyDescent="0.35">
      <c r="A12" s="82"/>
      <c r="B12" s="258">
        <f>'April 2024'!J35</f>
        <v>6.1538461538461542</v>
      </c>
      <c r="C12" s="261" t="s">
        <v>54</v>
      </c>
      <c r="D12" s="86"/>
      <c r="E12" s="26">
        <f>'April 2024'!AT35</f>
        <v>6.75</v>
      </c>
      <c r="F12" s="68"/>
      <c r="G12" s="88"/>
      <c r="H12" s="26" t="str">
        <f>'April 2024'!BI35</f>
        <v>-</v>
      </c>
    </row>
    <row r="13" spans="1:90" x14ac:dyDescent="0.3">
      <c r="A13" s="80" t="s">
        <v>11</v>
      </c>
      <c r="B13" s="81">
        <f>'April 2024'!N35</f>
        <v>900</v>
      </c>
      <c r="C13" s="68"/>
      <c r="D13" s="85" t="s">
        <v>22</v>
      </c>
      <c r="E13" s="81">
        <f>'April 2024'!AU35</f>
        <v>72</v>
      </c>
      <c r="F13" s="68"/>
      <c r="G13" s="87" t="s">
        <v>27</v>
      </c>
      <c r="H13" s="81">
        <f>'April 2024'!BJ35</f>
        <v>1</v>
      </c>
    </row>
    <row r="14" spans="1:90" x14ac:dyDescent="0.3">
      <c r="A14" s="80"/>
      <c r="B14" s="81">
        <f>'April 2024'!O35</f>
        <v>157</v>
      </c>
      <c r="C14" s="68"/>
      <c r="D14" s="85"/>
      <c r="E14" s="81">
        <f>'April 2024'!AV35</f>
        <v>10</v>
      </c>
      <c r="F14" s="68"/>
      <c r="G14" s="87"/>
      <c r="H14" s="81">
        <f>'April 2024'!BK35</f>
        <v>1</v>
      </c>
    </row>
    <row r="15" spans="1:90" x14ac:dyDescent="0.3">
      <c r="A15" s="82"/>
      <c r="B15" s="26">
        <f>'April 2024'!P35</f>
        <v>5.7324840764331206</v>
      </c>
      <c r="C15" s="68"/>
      <c r="D15" s="85"/>
      <c r="E15" s="26">
        <f>'April 2024'!AW35</f>
        <v>7.2</v>
      </c>
      <c r="F15" s="68"/>
      <c r="G15" s="88"/>
      <c r="H15" s="26">
        <f>'April 2024'!BL35</f>
        <v>1</v>
      </c>
    </row>
    <row r="16" spans="1:90" x14ac:dyDescent="0.3">
      <c r="A16" s="80" t="s">
        <v>44</v>
      </c>
      <c r="B16" s="81">
        <f>'April 2024'!Q35</f>
        <v>264</v>
      </c>
      <c r="C16" s="68"/>
      <c r="D16" s="85" t="s">
        <v>45</v>
      </c>
      <c r="E16" s="81">
        <f>'April 2024'!AX35</f>
        <v>0</v>
      </c>
      <c r="F16" s="68"/>
      <c r="G16" s="96" t="s">
        <v>28</v>
      </c>
      <c r="H16" s="97">
        <f>'April 2024'!BM35</f>
        <v>3405</v>
      </c>
    </row>
    <row r="17" spans="1:8" x14ac:dyDescent="0.3">
      <c r="A17" s="80"/>
      <c r="B17" s="81">
        <f>'April 2024'!R35</f>
        <v>53</v>
      </c>
      <c r="C17" s="68"/>
      <c r="D17" s="85"/>
      <c r="E17" s="81">
        <f>'April 2024'!AY35</f>
        <v>0</v>
      </c>
      <c r="F17" s="68"/>
      <c r="G17" s="96"/>
      <c r="H17" s="97">
        <f>'April 2024'!BN35</f>
        <v>560</v>
      </c>
    </row>
    <row r="18" spans="1:8" ht="15" thickBot="1" x14ac:dyDescent="0.35">
      <c r="A18" s="82"/>
      <c r="B18" s="26">
        <f>'April 2024'!S35</f>
        <v>4.9811320754716979</v>
      </c>
      <c r="C18" s="68"/>
      <c r="D18" s="102"/>
      <c r="E18" s="149" t="str">
        <f>'April 2024'!AZ35</f>
        <v>-</v>
      </c>
      <c r="F18" s="68"/>
      <c r="G18" s="98"/>
      <c r="H18" s="99">
        <f>H16/H17</f>
        <v>6.0803571428571432</v>
      </c>
    </row>
    <row r="19" spans="1:8" x14ac:dyDescent="0.3">
      <c r="A19" s="80" t="s">
        <v>55</v>
      </c>
      <c r="B19" s="81">
        <f>'April 2024'!K35</f>
        <v>340</v>
      </c>
      <c r="C19" s="68"/>
    </row>
    <row r="20" spans="1:8" ht="15" thickBot="1" x14ac:dyDescent="0.35">
      <c r="A20" s="80"/>
      <c r="B20" s="81">
        <f>'April 2024'!L35</f>
        <v>46</v>
      </c>
      <c r="C20" s="68"/>
    </row>
    <row r="21" spans="1:8" ht="58.2" thickBot="1" x14ac:dyDescent="0.35">
      <c r="A21" s="100"/>
      <c r="B21" s="259">
        <f>'April 2024'!M35</f>
        <v>7.3913043478260869</v>
      </c>
      <c r="C21" s="261" t="s">
        <v>56</v>
      </c>
    </row>
    <row r="22" spans="1:8" x14ac:dyDescent="0.3">
      <c r="A22" s="80" t="s">
        <v>46</v>
      </c>
      <c r="B22" s="142">
        <f>'April 2024'!T35</f>
        <v>120</v>
      </c>
      <c r="C22" s="68"/>
      <c r="D22" s="68"/>
      <c r="E22" s="68"/>
    </row>
    <row r="23" spans="1:8" ht="15" thickBot="1" x14ac:dyDescent="0.35">
      <c r="A23" s="80"/>
      <c r="B23" s="142">
        <f>'April 2024'!U35</f>
        <v>20</v>
      </c>
      <c r="C23" s="68"/>
      <c r="D23" s="68"/>
      <c r="E23" s="68"/>
    </row>
    <row r="24" spans="1:8" ht="15" thickBot="1" x14ac:dyDescent="0.35">
      <c r="A24" s="141"/>
      <c r="B24" s="260">
        <f>'April 2024'!V35</f>
        <v>6</v>
      </c>
      <c r="C24" s="262" t="s">
        <v>57</v>
      </c>
      <c r="D24" s="68"/>
      <c r="E24" s="68"/>
    </row>
    <row r="25" spans="1:8" x14ac:dyDescent="0.3">
      <c r="A25" s="101" t="s">
        <v>14</v>
      </c>
      <c r="B25" s="93">
        <f>'April 2024'!W35</f>
        <v>28</v>
      </c>
      <c r="C25" s="68"/>
      <c r="D25" s="68"/>
      <c r="E25" s="68"/>
    </row>
    <row r="26" spans="1:8" x14ac:dyDescent="0.3">
      <c r="A26" s="83"/>
      <c r="B26" s="81">
        <f>'April 2024'!X35</f>
        <v>9</v>
      </c>
      <c r="C26" s="68"/>
      <c r="D26" s="68"/>
      <c r="E26" s="68"/>
    </row>
    <row r="27" spans="1:8" x14ac:dyDescent="0.3">
      <c r="A27" s="84"/>
      <c r="B27" s="26">
        <f>'April 2024'!Y35</f>
        <v>3.1111111111111112</v>
      </c>
      <c r="C27" s="68"/>
      <c r="D27" s="68"/>
      <c r="E27" s="68"/>
    </row>
    <row r="28" spans="1:8" x14ac:dyDescent="0.3">
      <c r="A28" s="83" t="s">
        <v>15</v>
      </c>
      <c r="B28" s="81">
        <f>'April 2024'!Z35</f>
        <v>48</v>
      </c>
      <c r="C28" s="68"/>
      <c r="F28" s="68"/>
      <c r="G28" s="68"/>
    </row>
    <row r="29" spans="1:8" x14ac:dyDescent="0.3">
      <c r="A29" s="83"/>
      <c r="B29" s="81">
        <f>'April 2024'!AA35</f>
        <v>8</v>
      </c>
      <c r="C29" s="68"/>
      <c r="F29" s="68"/>
      <c r="G29" s="68"/>
    </row>
    <row r="30" spans="1:8" x14ac:dyDescent="0.3">
      <c r="A30" s="84"/>
      <c r="B30" s="26" t="str">
        <f>'April 2024'!AB34</f>
        <v>-</v>
      </c>
      <c r="C30" s="68"/>
      <c r="F30" s="68"/>
      <c r="G30" s="68"/>
    </row>
    <row r="31" spans="1:8" x14ac:dyDescent="0.3">
      <c r="A31" s="83" t="s">
        <v>16</v>
      </c>
      <c r="B31" s="81">
        <f>'April 2024'!AC35</f>
        <v>15</v>
      </c>
      <c r="C31" s="68"/>
      <c r="F31" s="68"/>
      <c r="G31" s="68"/>
    </row>
    <row r="32" spans="1:8" x14ac:dyDescent="0.3">
      <c r="A32" s="83"/>
      <c r="B32" s="81">
        <f>'April 2024'!AD35</f>
        <v>6</v>
      </c>
      <c r="C32" s="68"/>
      <c r="F32" s="68"/>
      <c r="G32" s="68"/>
    </row>
    <row r="33" spans="1:7" x14ac:dyDescent="0.3">
      <c r="A33" s="84"/>
      <c r="B33" s="26">
        <f>'April 2024'!AE35</f>
        <v>2.5</v>
      </c>
      <c r="C33" s="68"/>
      <c r="F33" s="68"/>
      <c r="G33" s="68"/>
    </row>
    <row r="34" spans="1:7" x14ac:dyDescent="0.3">
      <c r="A34" s="83" t="s">
        <v>17</v>
      </c>
      <c r="B34" s="81">
        <f>'April 2024'!AF35</f>
        <v>31</v>
      </c>
      <c r="C34" s="68"/>
      <c r="F34" s="68"/>
      <c r="G34" s="68"/>
    </row>
    <row r="35" spans="1:7" x14ac:dyDescent="0.3">
      <c r="A35" s="83"/>
      <c r="B35" s="81">
        <f>'April 2024'!AG35</f>
        <v>5</v>
      </c>
      <c r="C35" s="68"/>
      <c r="F35" s="68"/>
      <c r="G35" s="68"/>
    </row>
    <row r="36" spans="1:7" x14ac:dyDescent="0.3">
      <c r="A36" s="84"/>
      <c r="B36" s="26">
        <f>'April 2024'!AH35</f>
        <v>6.2</v>
      </c>
      <c r="C36" s="68"/>
      <c r="F36" s="68"/>
      <c r="G36" s="68"/>
    </row>
    <row r="37" spans="1:7" x14ac:dyDescent="0.3">
      <c r="A37" s="83" t="s">
        <v>18</v>
      </c>
      <c r="B37" s="81">
        <f>'April 2024'!AI35</f>
        <v>17</v>
      </c>
      <c r="C37" s="68"/>
      <c r="F37" s="68"/>
      <c r="G37" s="68"/>
    </row>
    <row r="38" spans="1:7" x14ac:dyDescent="0.3">
      <c r="A38" s="83"/>
      <c r="B38" s="81">
        <f>'April 2024'!AJ35</f>
        <v>5</v>
      </c>
      <c r="C38" s="68"/>
      <c r="F38" s="68"/>
      <c r="G38" s="68"/>
    </row>
    <row r="39" spans="1:7" ht="15" thickBot="1" x14ac:dyDescent="0.35">
      <c r="A39" s="94"/>
      <c r="B39" s="89">
        <f>'April 2024'!AK35</f>
        <v>3.4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DDA5-ECD1-4FCA-A0D0-D1E21687269F}">
  <sheetPr codeName="Sheet14"/>
  <dimension ref="A1:BO126"/>
  <sheetViews>
    <sheetView workbookViewId="0">
      <pane xSplit="9" ySplit="11" topLeftCell="BB26" activePane="bottomRight" state="frozen"/>
      <selection pane="topRight" activeCell="J1" sqref="J1"/>
      <selection pane="bottomLeft" activeCell="A12" sqref="A12"/>
      <selection pane="bottomRight" activeCell="BM5" sqref="BM5:BM35"/>
    </sheetView>
  </sheetViews>
  <sheetFormatPr defaultRowHeight="14.4" x14ac:dyDescent="0.3"/>
  <cols>
    <col min="1" max="1" width="14.33203125" customWidth="1"/>
    <col min="2" max="3" width="8.88671875" customWidth="1"/>
    <col min="4" max="9" width="8.88671875" style="2" customWidth="1"/>
    <col min="10" max="10" width="10" style="2" customWidth="1"/>
    <col min="11" max="18" width="8.88671875" style="2" customWidth="1"/>
    <col min="19" max="19" width="9.6640625" style="2" customWidth="1"/>
    <col min="20" max="21" width="8.88671875" style="2" customWidth="1"/>
    <col min="22" max="22" width="9.6640625" style="2" customWidth="1"/>
    <col min="23" max="24" width="8.88671875" customWidth="1"/>
    <col min="25" max="25" width="8.88671875" style="2" customWidth="1"/>
    <col min="26" max="27" width="8.88671875" customWidth="1"/>
    <col min="28" max="28" width="8.88671875" style="2" customWidth="1"/>
    <col min="29" max="30" width="8.88671875" customWidth="1"/>
    <col min="31" max="31" width="8.88671875" style="2" customWidth="1"/>
    <col min="32" max="33" width="8.88671875" customWidth="1"/>
    <col min="34" max="34" width="7.33203125" style="2" customWidth="1"/>
    <col min="35" max="35" width="8.33203125" customWidth="1"/>
    <col min="36" max="36" width="9.6640625" customWidth="1"/>
    <col min="37" max="37" width="11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51" width="8.88671875" customWidth="1"/>
    <col min="52" max="52" width="8.88671875" style="2" customWidth="1"/>
    <col min="55" max="55" width="8.88671875" style="2"/>
    <col min="58" max="58" width="8.88671875" style="2"/>
    <col min="61" max="61" width="9.33203125" style="2" customWidth="1"/>
    <col min="64" max="64" width="8.88671875" style="2"/>
    <col min="65" max="65" width="9.109375" style="79" bestFit="1" customWidth="1"/>
    <col min="66" max="66" width="8.88671875" style="79"/>
    <col min="67" max="67" width="8.88671875" style="2"/>
  </cols>
  <sheetData>
    <row r="1" spans="1:67" ht="18.600000000000001" thickBot="1" x14ac:dyDescent="0.4">
      <c r="A1" s="67" t="s">
        <v>58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8"/>
      <c r="X1" s="68"/>
      <c r="Y1" s="69"/>
      <c r="Z1" s="68"/>
      <c r="AA1" s="68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8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113"/>
      <c r="BN1" s="113"/>
      <c r="BO1" s="69"/>
    </row>
    <row r="2" spans="1:67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73" t="s">
        <v>2</v>
      </c>
      <c r="P2" s="73"/>
      <c r="Q2" s="77"/>
      <c r="R2" s="73" t="s">
        <v>2</v>
      </c>
      <c r="S2" s="74"/>
      <c r="T2" s="77"/>
      <c r="U2" s="73" t="s">
        <v>2</v>
      </c>
      <c r="V2" s="74"/>
      <c r="W2" s="71"/>
      <c r="X2" s="72" t="s">
        <v>3</v>
      </c>
      <c r="Y2" s="73"/>
      <c r="Z2" s="71"/>
      <c r="AA2" s="72" t="s">
        <v>3</v>
      </c>
      <c r="AB2" s="74"/>
      <c r="AC2" s="72"/>
      <c r="AD2" s="72" t="s">
        <v>4</v>
      </c>
      <c r="AE2" s="73"/>
      <c r="AF2" s="71"/>
      <c r="AG2" s="72" t="s">
        <v>4</v>
      </c>
      <c r="AH2" s="74"/>
      <c r="AI2" s="72"/>
      <c r="AJ2" s="72" t="s">
        <v>4</v>
      </c>
      <c r="AK2" s="74"/>
      <c r="AL2" s="108"/>
      <c r="AM2" s="109" t="s">
        <v>5</v>
      </c>
      <c r="AN2" s="110"/>
      <c r="AO2" s="108"/>
      <c r="AP2" s="109" t="s">
        <v>5</v>
      </c>
      <c r="AQ2" s="111"/>
      <c r="AR2" s="109"/>
      <c r="AS2" s="109" t="s">
        <v>5</v>
      </c>
      <c r="AT2" s="110"/>
      <c r="AU2" s="108"/>
      <c r="AV2" s="109" t="s">
        <v>5</v>
      </c>
      <c r="AW2" s="112"/>
      <c r="AX2" s="109"/>
      <c r="AY2" s="109" t="s">
        <v>5</v>
      </c>
      <c r="AZ2" s="111"/>
      <c r="BA2" s="71"/>
      <c r="BB2" s="72" t="s">
        <v>6</v>
      </c>
      <c r="BC2" s="74"/>
      <c r="BD2" s="75"/>
      <c r="BE2" s="75" t="s">
        <v>6</v>
      </c>
      <c r="BF2" s="76"/>
      <c r="BG2" s="71"/>
      <c r="BH2" s="72" t="s">
        <v>6</v>
      </c>
      <c r="BI2" s="74"/>
      <c r="BJ2" s="75"/>
      <c r="BK2" s="75" t="s">
        <v>6</v>
      </c>
      <c r="BL2" s="76"/>
      <c r="BM2" s="114" t="s">
        <v>7</v>
      </c>
      <c r="BN2" s="119"/>
      <c r="BO2" s="74"/>
    </row>
    <row r="3" spans="1:67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11</v>
      </c>
      <c r="O3" s="4"/>
      <c r="P3" s="35"/>
      <c r="Q3" s="3" t="s">
        <v>12</v>
      </c>
      <c r="R3" s="4"/>
      <c r="S3" s="33"/>
      <c r="T3" s="3" t="s">
        <v>35</v>
      </c>
      <c r="U3" s="4"/>
      <c r="V3" s="33"/>
      <c r="W3" s="47" t="s">
        <v>14</v>
      </c>
      <c r="X3" s="47"/>
      <c r="Y3" s="49"/>
      <c r="Z3" s="46" t="s">
        <v>15</v>
      </c>
      <c r="AA3" s="47"/>
      <c r="AB3" s="48"/>
      <c r="AC3" s="47" t="s">
        <v>16</v>
      </c>
      <c r="AD3" s="47"/>
      <c r="AE3" s="49"/>
      <c r="AF3" s="46" t="s">
        <v>17</v>
      </c>
      <c r="AG3" s="47"/>
      <c r="AH3" s="48"/>
      <c r="AI3" s="47" t="s">
        <v>59</v>
      </c>
      <c r="AJ3" s="47"/>
      <c r="AK3" s="49"/>
      <c r="AL3" s="9" t="s">
        <v>36</v>
      </c>
      <c r="AM3" s="7"/>
      <c r="AN3" s="29"/>
      <c r="AO3" s="9" t="s">
        <v>37</v>
      </c>
      <c r="AP3" s="7"/>
      <c r="AQ3" s="31"/>
      <c r="AR3" s="7" t="s">
        <v>38</v>
      </c>
      <c r="AS3" s="7"/>
      <c r="AT3" s="29"/>
      <c r="AU3" s="9" t="s">
        <v>39</v>
      </c>
      <c r="AV3" s="7"/>
      <c r="AW3" s="8"/>
      <c r="AX3" s="7" t="s">
        <v>40</v>
      </c>
      <c r="AY3" s="7"/>
      <c r="AZ3" s="31"/>
      <c r="BA3" s="13" t="s">
        <v>24</v>
      </c>
      <c r="BB3" s="14"/>
      <c r="BC3" s="27"/>
      <c r="BD3" s="14" t="s">
        <v>25</v>
      </c>
      <c r="BE3" s="14"/>
      <c r="BF3" s="55"/>
      <c r="BG3" s="13" t="s">
        <v>26</v>
      </c>
      <c r="BH3" s="14"/>
      <c r="BI3" s="27"/>
      <c r="BJ3" s="14" t="s">
        <v>27</v>
      </c>
      <c r="BK3" s="14"/>
      <c r="BL3" s="55"/>
      <c r="BM3" s="115" t="s">
        <v>28</v>
      </c>
      <c r="BN3" s="115"/>
      <c r="BO3" s="24"/>
    </row>
    <row r="4" spans="1:67" ht="29.4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36" t="s">
        <v>31</v>
      </c>
      <c r="Q4" s="5" t="s">
        <v>7</v>
      </c>
      <c r="R4" s="6" t="s">
        <v>30</v>
      </c>
      <c r="S4" s="34" t="s">
        <v>31</v>
      </c>
      <c r="T4" s="5" t="s">
        <v>7</v>
      </c>
      <c r="U4" s="6" t="s">
        <v>30</v>
      </c>
      <c r="V4" s="34" t="s">
        <v>31</v>
      </c>
      <c r="W4" s="51" t="s">
        <v>7</v>
      </c>
      <c r="X4" s="51" t="s">
        <v>30</v>
      </c>
      <c r="Y4" s="53" t="s">
        <v>31</v>
      </c>
      <c r="Z4" s="50" t="s">
        <v>7</v>
      </c>
      <c r="AA4" s="51" t="s">
        <v>30</v>
      </c>
      <c r="AB4" s="52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12" t="s">
        <v>7</v>
      </c>
      <c r="AM4" s="10" t="s">
        <v>30</v>
      </c>
      <c r="AN4" s="30" t="s">
        <v>31</v>
      </c>
      <c r="AO4" s="12" t="s">
        <v>7</v>
      </c>
      <c r="AP4" s="10" t="s">
        <v>30</v>
      </c>
      <c r="AQ4" s="32" t="s">
        <v>31</v>
      </c>
      <c r="AR4" s="10" t="s">
        <v>7</v>
      </c>
      <c r="AS4" s="10" t="s">
        <v>30</v>
      </c>
      <c r="AT4" s="30" t="s">
        <v>31</v>
      </c>
      <c r="AU4" s="12" t="s">
        <v>7</v>
      </c>
      <c r="AV4" s="10" t="s">
        <v>30</v>
      </c>
      <c r="AW4" s="11" t="s">
        <v>31</v>
      </c>
      <c r="AX4" s="10" t="s">
        <v>7</v>
      </c>
      <c r="AY4" s="10" t="s">
        <v>30</v>
      </c>
      <c r="AZ4" s="32" t="s">
        <v>31</v>
      </c>
      <c r="BA4" s="15" t="s">
        <v>7</v>
      </c>
      <c r="BB4" s="16" t="s">
        <v>30</v>
      </c>
      <c r="BC4" s="28" t="s">
        <v>31</v>
      </c>
      <c r="BD4" s="16" t="s">
        <v>7</v>
      </c>
      <c r="BE4" s="16" t="s">
        <v>30</v>
      </c>
      <c r="BF4" s="57" t="s">
        <v>31</v>
      </c>
      <c r="BG4" s="15" t="s">
        <v>7</v>
      </c>
      <c r="BH4" s="16" t="s">
        <v>30</v>
      </c>
      <c r="BI4" s="28" t="s">
        <v>31</v>
      </c>
      <c r="BJ4" s="16" t="s">
        <v>7</v>
      </c>
      <c r="BK4" s="16" t="s">
        <v>30</v>
      </c>
      <c r="BL4" s="57" t="s">
        <v>31</v>
      </c>
      <c r="BM4" s="116" t="s">
        <v>7</v>
      </c>
      <c r="BN4" s="116" t="s">
        <v>30</v>
      </c>
      <c r="BO4" s="146" t="s">
        <v>31</v>
      </c>
    </row>
    <row r="5" spans="1:67" ht="15" thickBot="1" x14ac:dyDescent="0.35">
      <c r="A5" s="1">
        <v>45413</v>
      </c>
      <c r="B5" s="17">
        <v>0</v>
      </c>
      <c r="C5" s="18">
        <v>0</v>
      </c>
      <c r="D5" s="139" t="str">
        <f t="shared" ref="D5:D34" si="0">IF(C5=0,"-",B5/C5)</f>
        <v>-</v>
      </c>
      <c r="E5" s="17">
        <v>0</v>
      </c>
      <c r="F5" s="18">
        <v>0</v>
      </c>
      <c r="G5" s="139" t="str">
        <f t="shared" ref="G5:G34" si="1">IF(F5=0,"-",E5/F5)</f>
        <v>-</v>
      </c>
      <c r="H5" s="17">
        <v>0</v>
      </c>
      <c r="I5" s="18">
        <v>0</v>
      </c>
      <c r="J5" s="139" t="str">
        <f t="shared" ref="J5:J29" si="2">IF(I5=0,"-",H5/I5)</f>
        <v>-</v>
      </c>
      <c r="K5" s="20">
        <v>0</v>
      </c>
      <c r="L5" s="21">
        <v>0</v>
      </c>
      <c r="M5" s="139" t="str">
        <f t="shared" ref="M5:M29" si="3">IF(L5=0,"-",K5/L5)</f>
        <v>-</v>
      </c>
      <c r="N5" s="17">
        <v>0</v>
      </c>
      <c r="O5" s="18">
        <v>0</v>
      </c>
      <c r="P5" s="139" t="str">
        <f t="shared" ref="P5:P28" si="4">IF(O5=0,"-",N5/O5)</f>
        <v>-</v>
      </c>
      <c r="Q5" s="20">
        <v>0</v>
      </c>
      <c r="R5" s="21">
        <v>0</v>
      </c>
      <c r="S5" s="139" t="str">
        <f t="shared" ref="S5:S34" si="5">IF(R5=0,"-",Q5/R5)</f>
        <v>-</v>
      </c>
      <c r="T5" s="17">
        <v>0</v>
      </c>
      <c r="U5" s="18">
        <v>0</v>
      </c>
      <c r="V5" s="139" t="str">
        <f t="shared" ref="V5:V34" si="6">IF(U5=0,"-",T5/U5)</f>
        <v>-</v>
      </c>
      <c r="W5" s="17">
        <v>0</v>
      </c>
      <c r="X5" s="18">
        <v>0</v>
      </c>
      <c r="Y5" s="139" t="str">
        <f t="shared" ref="Y5:Y34" si="7">IF(X5=0,"-",W5/X5)</f>
        <v>-</v>
      </c>
      <c r="Z5" s="20">
        <v>0</v>
      </c>
      <c r="AA5" s="21">
        <v>0</v>
      </c>
      <c r="AB5" s="139" t="str">
        <f t="shared" ref="AB5:AB20" si="8">IF(AA5=0,"-",Z5/AA5)</f>
        <v>-</v>
      </c>
      <c r="AC5" s="17">
        <v>0</v>
      </c>
      <c r="AD5" s="18">
        <v>0</v>
      </c>
      <c r="AE5" s="139" t="str">
        <f t="shared" ref="AE5:AE23" si="9">IF(AD5=0,"-",AC5/AD5)</f>
        <v>-</v>
      </c>
      <c r="AF5" s="20">
        <v>0</v>
      </c>
      <c r="AG5" s="21">
        <v>0</v>
      </c>
      <c r="AH5" s="139" t="str">
        <f t="shared" ref="AH5:AH32" si="10">IF(AG5=0,"-",AF5/AG5)</f>
        <v>-</v>
      </c>
      <c r="AI5" s="20">
        <v>8</v>
      </c>
      <c r="AJ5" s="21">
        <v>1</v>
      </c>
      <c r="AK5" s="139">
        <f t="shared" ref="AK5:AK34" si="11">IF(AJ5=0,"-",AI5/AJ5)</f>
        <v>8</v>
      </c>
      <c r="AL5" s="250">
        <v>0</v>
      </c>
      <c r="AM5" s="251">
        <v>0</v>
      </c>
      <c r="AN5" s="139" t="str">
        <f t="shared" ref="AN5:AN34" si="12">IF(AM5=0,"-",AL5/AM5)</f>
        <v>-</v>
      </c>
      <c r="AO5" s="20">
        <v>0</v>
      </c>
      <c r="AP5" s="21">
        <v>0</v>
      </c>
      <c r="AQ5" s="139" t="str">
        <f t="shared" ref="AQ5:AQ25" si="13">IF(AP5=0,"-",AO5/AP5)</f>
        <v>-</v>
      </c>
      <c r="AR5" s="20">
        <v>0</v>
      </c>
      <c r="AS5" s="21">
        <v>0</v>
      </c>
      <c r="AT5" s="139" t="str">
        <f t="shared" ref="AT5:AT25" si="14">IF(AS5=0,"-",AR5/AS5)</f>
        <v>-</v>
      </c>
      <c r="AU5" s="254">
        <v>0</v>
      </c>
      <c r="AV5" s="255">
        <v>0</v>
      </c>
      <c r="AW5" s="139" t="str">
        <f t="shared" ref="AW5:AW34" si="15">IF(AV5=0,"-",AU5/AV5)</f>
        <v>-</v>
      </c>
      <c r="AX5" s="20">
        <v>0</v>
      </c>
      <c r="AY5" s="21">
        <v>0</v>
      </c>
      <c r="AZ5" s="139" t="str">
        <f t="shared" ref="AZ5:AZ34" si="16">IF(AY5=0,"-",AX5/AY5)</f>
        <v>-</v>
      </c>
      <c r="BA5" s="20">
        <v>0</v>
      </c>
      <c r="BB5" s="21">
        <v>0</v>
      </c>
      <c r="BC5" s="139" t="str">
        <f t="shared" ref="BC5:BC35" si="17">IF(BB5=0,"-",BA5/BB5)</f>
        <v>-</v>
      </c>
      <c r="BD5" s="20">
        <v>0</v>
      </c>
      <c r="BE5" s="21">
        <v>0</v>
      </c>
      <c r="BF5" s="139" t="str">
        <f t="shared" ref="BF5:BF34" si="18">IF(BE5=0,"-",BD5/BE5)</f>
        <v>-</v>
      </c>
      <c r="BG5" s="20">
        <v>0</v>
      </c>
      <c r="BH5" s="21">
        <v>0</v>
      </c>
      <c r="BI5" s="139" t="str">
        <f t="shared" ref="BI5:BI34" si="19">IF(BH5=0,"-",BG5/BH5)</f>
        <v>-</v>
      </c>
      <c r="BJ5" s="20">
        <v>0</v>
      </c>
      <c r="BK5" s="21">
        <v>0</v>
      </c>
      <c r="BL5" s="139" t="str">
        <f t="shared" ref="BL5:BL34" si="20">IF(BK5=0,"-",BJ5/BK5)</f>
        <v>-</v>
      </c>
      <c r="BM5" s="117">
        <f>B5+E5+H5+K5+N5+Q5+T5+W5+Z5+AC5+AF5+AI5+AL5+AO5+AR5+AU5+AX5+BA5+BD5+BG5+BJ5</f>
        <v>8</v>
      </c>
      <c r="BN5" s="120">
        <f t="shared" ref="BN5:BN20" si="21">BK5+BH5+BE5+BB5+AY5+AV5+AS5+AP5+AM5+L5+R5+O5+I5+F5+AJ5+AG5+AD5+AA5+X5+C5</f>
        <v>1</v>
      </c>
      <c r="BO5" s="147">
        <f t="shared" ref="BO5:BO36" si="22">IF(BN5=0,"",BM5/BN5)</f>
        <v>8</v>
      </c>
    </row>
    <row r="6" spans="1:67" ht="15" thickBot="1" x14ac:dyDescent="0.35">
      <c r="A6" s="1">
        <v>45414</v>
      </c>
      <c r="B6" s="20">
        <v>33</v>
      </c>
      <c r="C6" s="21">
        <v>4</v>
      </c>
      <c r="D6" s="139">
        <f t="shared" si="0"/>
        <v>8.25</v>
      </c>
      <c r="E6" s="20">
        <v>0</v>
      </c>
      <c r="F6" s="21">
        <v>0</v>
      </c>
      <c r="G6" s="139" t="str">
        <f t="shared" si="1"/>
        <v>-</v>
      </c>
      <c r="H6" s="20">
        <v>0</v>
      </c>
      <c r="I6" s="21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3">
        <v>50</v>
      </c>
      <c r="O6" s="21">
        <v>9</v>
      </c>
      <c r="P6" s="139">
        <f t="shared" si="4"/>
        <v>5.5555555555555554</v>
      </c>
      <c r="Q6" s="20">
        <v>0</v>
      </c>
      <c r="R6" s="21">
        <v>0</v>
      </c>
      <c r="S6" s="139" t="str">
        <f t="shared" si="5"/>
        <v>-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139" t="str">
        <f t="shared" si="7"/>
        <v>-</v>
      </c>
      <c r="Z6" s="20">
        <v>4</v>
      </c>
      <c r="AA6" s="21">
        <v>1</v>
      </c>
      <c r="AB6" s="139">
        <f t="shared" si="8"/>
        <v>4</v>
      </c>
      <c r="AC6" s="20">
        <v>8</v>
      </c>
      <c r="AD6" s="21">
        <v>1</v>
      </c>
      <c r="AE6" s="139">
        <f t="shared" si="9"/>
        <v>8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52">
        <v>14</v>
      </c>
      <c r="AM6" s="253">
        <v>2</v>
      </c>
      <c r="AN6" s="139">
        <f t="shared" si="12"/>
        <v>7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56">
        <v>8</v>
      </c>
      <c r="AV6" s="253">
        <v>1</v>
      </c>
      <c r="AW6" s="139">
        <f t="shared" si="15"/>
        <v>8</v>
      </c>
      <c r="AX6" s="20">
        <v>0</v>
      </c>
      <c r="AY6" s="21">
        <v>0</v>
      </c>
      <c r="AZ6" s="139" t="str">
        <f t="shared" si="16"/>
        <v>-</v>
      </c>
      <c r="BA6" s="20">
        <v>6</v>
      </c>
      <c r="BB6" s="21">
        <v>1</v>
      </c>
      <c r="BC6" s="139">
        <f t="shared" si="17"/>
        <v>6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117">
        <f t="shared" ref="BM6:BM35" si="23">B6+E6+H6+K6+N6+Q6+T6+W6+Z6+AC6+AF6+AI6+AL6+AO6+AR6+AU6+AX6+BA6+BD6+BG6+BJ6</f>
        <v>123</v>
      </c>
      <c r="BN6" s="120">
        <f t="shared" si="21"/>
        <v>19</v>
      </c>
      <c r="BO6" s="147">
        <f t="shared" si="22"/>
        <v>6.4736842105263159</v>
      </c>
    </row>
    <row r="7" spans="1:67" ht="15" thickBot="1" x14ac:dyDescent="0.35">
      <c r="A7" s="1">
        <v>45415</v>
      </c>
      <c r="B7" s="20">
        <v>50</v>
      </c>
      <c r="C7" s="21">
        <v>6</v>
      </c>
      <c r="D7" s="139">
        <f t="shared" si="0"/>
        <v>8.3333333333333339</v>
      </c>
      <c r="E7" s="20">
        <v>8</v>
      </c>
      <c r="F7" s="21">
        <v>1</v>
      </c>
      <c r="G7" s="139">
        <f t="shared" si="1"/>
        <v>8</v>
      </c>
      <c r="H7" s="20">
        <v>0</v>
      </c>
      <c r="I7" s="21">
        <v>0</v>
      </c>
      <c r="J7" s="139" t="str">
        <f t="shared" si="2"/>
        <v>-</v>
      </c>
      <c r="K7" s="20">
        <v>24</v>
      </c>
      <c r="L7" s="21">
        <v>3</v>
      </c>
      <c r="M7" s="139">
        <f t="shared" si="3"/>
        <v>8</v>
      </c>
      <c r="N7" s="20">
        <v>28</v>
      </c>
      <c r="O7" s="21">
        <v>5</v>
      </c>
      <c r="P7" s="139">
        <f t="shared" si="4"/>
        <v>5.6</v>
      </c>
      <c r="Q7" s="20">
        <v>17</v>
      </c>
      <c r="R7" s="21">
        <v>4</v>
      </c>
      <c r="S7" s="139">
        <f t="shared" si="5"/>
        <v>4.25</v>
      </c>
      <c r="T7" s="20">
        <v>6</v>
      </c>
      <c r="U7" s="21">
        <v>1</v>
      </c>
      <c r="V7" s="139">
        <f t="shared" si="6"/>
        <v>6</v>
      </c>
      <c r="W7" s="20">
        <v>0</v>
      </c>
      <c r="X7" s="21">
        <v>0</v>
      </c>
      <c r="Y7" s="139" t="str">
        <f t="shared" ref="Y7:Y8" si="24">IF(X7=0,"-",W7/X7)</f>
        <v>-</v>
      </c>
      <c r="Z7" s="20">
        <v>0</v>
      </c>
      <c r="AA7" s="21">
        <v>0</v>
      </c>
      <c r="AB7" s="139" t="str">
        <f>IF(AA7=0,"-",Z7/AA7)</f>
        <v>-</v>
      </c>
      <c r="AC7" s="20">
        <v>0</v>
      </c>
      <c r="AD7" s="21">
        <v>0</v>
      </c>
      <c r="AE7" s="139" t="str">
        <f t="shared" si="9"/>
        <v>-</v>
      </c>
      <c r="AF7" s="20">
        <v>0</v>
      </c>
      <c r="AG7" s="21">
        <v>0</v>
      </c>
      <c r="AH7" s="139" t="str">
        <f t="shared" ref="AH7:AH11" si="25">IF(AG7=0,"-",AF7/AG7)</f>
        <v>-</v>
      </c>
      <c r="AI7" s="20">
        <v>0</v>
      </c>
      <c r="AJ7" s="21">
        <v>0</v>
      </c>
      <c r="AK7" s="139" t="str">
        <f t="shared" si="11"/>
        <v>-</v>
      </c>
      <c r="AL7" s="252">
        <v>18</v>
      </c>
      <c r="AM7" s="253">
        <v>3</v>
      </c>
      <c r="AN7" s="139">
        <f t="shared" si="12"/>
        <v>6</v>
      </c>
      <c r="AO7" s="20">
        <v>0</v>
      </c>
      <c r="AP7" s="21">
        <v>0</v>
      </c>
      <c r="AQ7" s="139" t="str">
        <f t="shared" ref="AQ7:AQ8" si="26">IF(AP7=0,"-",AO7/AP7)</f>
        <v>-</v>
      </c>
      <c r="AR7" s="20">
        <v>0</v>
      </c>
      <c r="AS7" s="21">
        <v>0</v>
      </c>
      <c r="AT7" s="139" t="str">
        <f t="shared" si="14"/>
        <v>-</v>
      </c>
      <c r="AU7" s="256">
        <v>0</v>
      </c>
      <c r="AV7" s="253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ref="AZ7:AZ9" si="27">IF(AY7=0,"-",AX7/AY7)</f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ref="BF7:BF9" si="28">IF(BE7=0,"-",BD7/BE7)</f>
        <v>-</v>
      </c>
      <c r="BG7" s="20">
        <v>0</v>
      </c>
      <c r="BH7" s="21">
        <v>0</v>
      </c>
      <c r="BI7" s="139" t="str">
        <f t="shared" ref="BI7:BI9" si="29">IF(BH7=0,"-",BG7/BH7)</f>
        <v>-</v>
      </c>
      <c r="BJ7" s="20">
        <v>0</v>
      </c>
      <c r="BK7" s="21">
        <v>0</v>
      </c>
      <c r="BL7" s="139" t="str">
        <f t="shared" ref="BL7:BL9" si="30">IF(BK7=0,"-",BJ7/BK7)</f>
        <v>-</v>
      </c>
      <c r="BM7" s="117">
        <f t="shared" si="23"/>
        <v>151</v>
      </c>
      <c r="BN7" s="120">
        <f t="shared" si="21"/>
        <v>22</v>
      </c>
      <c r="BO7" s="147">
        <f t="shared" si="22"/>
        <v>6.8636363636363633</v>
      </c>
    </row>
    <row r="8" spans="1:67" ht="15" thickBot="1" x14ac:dyDescent="0.35">
      <c r="A8" s="1">
        <v>45416</v>
      </c>
      <c r="B8" s="20">
        <v>0</v>
      </c>
      <c r="C8" s="20">
        <v>0</v>
      </c>
      <c r="D8" s="139" t="str">
        <f t="shared" si="0"/>
        <v>-</v>
      </c>
      <c r="E8" s="20">
        <v>0</v>
      </c>
      <c r="F8" s="20">
        <v>0</v>
      </c>
      <c r="G8" s="139" t="str">
        <f t="shared" si="1"/>
        <v>-</v>
      </c>
      <c r="H8" s="20">
        <v>0</v>
      </c>
      <c r="I8" s="20">
        <v>0</v>
      </c>
      <c r="J8" s="139" t="str">
        <f t="shared" si="2"/>
        <v>-</v>
      </c>
      <c r="K8" s="20">
        <v>0</v>
      </c>
      <c r="L8" s="20">
        <v>0</v>
      </c>
      <c r="M8" s="139" t="str">
        <f t="shared" si="3"/>
        <v>-</v>
      </c>
      <c r="N8" s="20">
        <v>0</v>
      </c>
      <c r="O8" s="21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0</v>
      </c>
      <c r="U8" s="21">
        <v>0</v>
      </c>
      <c r="V8" s="139" t="str">
        <f t="shared" si="6"/>
        <v>-</v>
      </c>
      <c r="W8" s="20">
        <v>0</v>
      </c>
      <c r="X8" s="21">
        <v>0</v>
      </c>
      <c r="Y8" s="139" t="str">
        <f t="shared" si="24"/>
        <v>-</v>
      </c>
      <c r="Z8" s="20">
        <v>0</v>
      </c>
      <c r="AA8" s="21">
        <v>0</v>
      </c>
      <c r="AB8" s="139" t="str">
        <f t="shared" si="8"/>
        <v>-</v>
      </c>
      <c r="AC8" s="20">
        <v>0</v>
      </c>
      <c r="AD8" s="21">
        <v>0</v>
      </c>
      <c r="AE8" s="139" t="str">
        <f t="shared" si="9"/>
        <v>-</v>
      </c>
      <c r="AF8" s="20">
        <v>0</v>
      </c>
      <c r="AG8" s="21">
        <v>0</v>
      </c>
      <c r="AH8" s="139" t="str">
        <f t="shared" si="25"/>
        <v>-</v>
      </c>
      <c r="AI8" s="20">
        <v>0</v>
      </c>
      <c r="AJ8" s="21">
        <v>0</v>
      </c>
      <c r="AK8" s="139" t="str">
        <f t="shared" si="11"/>
        <v>-</v>
      </c>
      <c r="AL8" s="252">
        <v>7</v>
      </c>
      <c r="AM8" s="253">
        <v>1</v>
      </c>
      <c r="AN8" s="139">
        <f t="shared" si="12"/>
        <v>7</v>
      </c>
      <c r="AO8" s="20">
        <v>0</v>
      </c>
      <c r="AP8" s="21">
        <v>0</v>
      </c>
      <c r="AQ8" s="139" t="str">
        <f t="shared" si="26"/>
        <v>-</v>
      </c>
      <c r="AR8" s="20">
        <v>22</v>
      </c>
      <c r="AS8" s="21">
        <v>3</v>
      </c>
      <c r="AT8" s="139">
        <f t="shared" si="14"/>
        <v>7.333333333333333</v>
      </c>
      <c r="AU8" s="256">
        <v>0</v>
      </c>
      <c r="AV8" s="253">
        <v>0</v>
      </c>
      <c r="AW8" s="139" t="str">
        <f t="shared" si="15"/>
        <v>-</v>
      </c>
      <c r="AX8" s="20">
        <v>0</v>
      </c>
      <c r="AY8" s="21">
        <v>0</v>
      </c>
      <c r="AZ8" s="139" t="str">
        <f t="shared" si="27"/>
        <v>-</v>
      </c>
      <c r="BA8" s="20">
        <v>0</v>
      </c>
      <c r="BB8" s="21">
        <v>0</v>
      </c>
      <c r="BC8" s="139" t="str">
        <f t="shared" si="17"/>
        <v>-</v>
      </c>
      <c r="BD8" s="20">
        <v>0</v>
      </c>
      <c r="BE8" s="21">
        <v>0</v>
      </c>
      <c r="BF8" s="139" t="str">
        <f t="shared" si="28"/>
        <v>-</v>
      </c>
      <c r="BG8" s="20">
        <v>0</v>
      </c>
      <c r="BH8" s="21">
        <v>0</v>
      </c>
      <c r="BI8" s="139" t="str">
        <f t="shared" si="29"/>
        <v>-</v>
      </c>
      <c r="BJ8" s="20">
        <v>0</v>
      </c>
      <c r="BK8" s="21">
        <v>0</v>
      </c>
      <c r="BL8" s="139" t="str">
        <f t="shared" si="30"/>
        <v>-</v>
      </c>
      <c r="BM8" s="117">
        <f t="shared" si="23"/>
        <v>29</v>
      </c>
      <c r="BN8" s="120">
        <f t="shared" si="21"/>
        <v>4</v>
      </c>
      <c r="BO8" s="147">
        <f t="shared" si="22"/>
        <v>7.25</v>
      </c>
    </row>
    <row r="9" spans="1:67" ht="15" thickBot="1" x14ac:dyDescent="0.35">
      <c r="A9" s="1">
        <v>45417</v>
      </c>
      <c r="B9" s="20">
        <v>0</v>
      </c>
      <c r="C9" s="20">
        <v>0</v>
      </c>
      <c r="D9" s="139" t="str">
        <f t="shared" si="0"/>
        <v>-</v>
      </c>
      <c r="E9" s="20">
        <v>0</v>
      </c>
      <c r="F9" s="20">
        <v>0</v>
      </c>
      <c r="G9" s="139" t="str">
        <f t="shared" si="1"/>
        <v>-</v>
      </c>
      <c r="H9" s="20">
        <v>0</v>
      </c>
      <c r="I9" s="20">
        <v>0</v>
      </c>
      <c r="J9" s="139" t="str">
        <f t="shared" si="2"/>
        <v>-</v>
      </c>
      <c r="K9" s="20">
        <v>0</v>
      </c>
      <c r="L9" s="20">
        <v>0</v>
      </c>
      <c r="M9" s="139" t="str">
        <f t="shared" si="3"/>
        <v>-</v>
      </c>
      <c r="N9" s="20">
        <v>0</v>
      </c>
      <c r="O9" s="21">
        <v>0</v>
      </c>
      <c r="P9" s="139" t="str">
        <f t="shared" si="4"/>
        <v>-</v>
      </c>
      <c r="Q9" s="20">
        <v>0</v>
      </c>
      <c r="R9" s="21">
        <v>0</v>
      </c>
      <c r="S9" s="139" t="str">
        <f t="shared" si="5"/>
        <v>-</v>
      </c>
      <c r="T9" s="20">
        <v>0</v>
      </c>
      <c r="U9" s="21">
        <v>0</v>
      </c>
      <c r="V9" s="139" t="str">
        <f t="shared" si="6"/>
        <v>-</v>
      </c>
      <c r="W9" s="20">
        <v>0</v>
      </c>
      <c r="X9" s="21">
        <v>0</v>
      </c>
      <c r="Y9" s="139" t="str">
        <f t="shared" si="7"/>
        <v>-</v>
      </c>
      <c r="Z9" s="20">
        <v>0</v>
      </c>
      <c r="AA9" s="21">
        <v>0</v>
      </c>
      <c r="AB9" s="139" t="str">
        <f t="shared" si="8"/>
        <v>-</v>
      </c>
      <c r="AC9" s="20">
        <v>0</v>
      </c>
      <c r="AD9" s="21">
        <v>0</v>
      </c>
      <c r="AE9" s="139" t="str">
        <f t="shared" si="9"/>
        <v>-</v>
      </c>
      <c r="AF9" s="20">
        <v>0</v>
      </c>
      <c r="AG9" s="21">
        <v>0</v>
      </c>
      <c r="AH9" s="139" t="str">
        <f t="shared" si="25"/>
        <v>-</v>
      </c>
      <c r="AI9" s="20">
        <v>0</v>
      </c>
      <c r="AJ9" s="21">
        <v>0</v>
      </c>
      <c r="AK9" s="139" t="str">
        <f t="shared" si="11"/>
        <v>-</v>
      </c>
      <c r="AL9" s="252">
        <v>0</v>
      </c>
      <c r="AM9" s="253">
        <v>0</v>
      </c>
      <c r="AN9" s="139" t="str">
        <f t="shared" si="12"/>
        <v>-</v>
      </c>
      <c r="AO9" s="20">
        <v>8</v>
      </c>
      <c r="AP9" s="21">
        <v>1</v>
      </c>
      <c r="AQ9" s="139">
        <f t="shared" si="13"/>
        <v>8</v>
      </c>
      <c r="AR9" s="20">
        <v>7</v>
      </c>
      <c r="AS9" s="21">
        <v>1</v>
      </c>
      <c r="AT9" s="139">
        <f t="shared" si="14"/>
        <v>7</v>
      </c>
      <c r="AU9" s="257">
        <v>0</v>
      </c>
      <c r="AV9" s="253">
        <v>0</v>
      </c>
      <c r="AW9" s="139" t="str">
        <f t="shared" si="15"/>
        <v>-</v>
      </c>
      <c r="AX9" s="20">
        <v>0</v>
      </c>
      <c r="AY9" s="21">
        <v>0</v>
      </c>
      <c r="AZ9" s="139" t="str">
        <f t="shared" si="27"/>
        <v>-</v>
      </c>
      <c r="BA9" s="20">
        <v>0</v>
      </c>
      <c r="BB9" s="21">
        <v>0</v>
      </c>
      <c r="BC9" s="139" t="str">
        <f t="shared" si="17"/>
        <v>-</v>
      </c>
      <c r="BD9" s="20">
        <v>0</v>
      </c>
      <c r="BE9" s="21">
        <v>0</v>
      </c>
      <c r="BF9" s="139" t="str">
        <f t="shared" si="28"/>
        <v>-</v>
      </c>
      <c r="BG9" s="20">
        <v>0</v>
      </c>
      <c r="BH9" s="21">
        <v>0</v>
      </c>
      <c r="BI9" s="139" t="str">
        <f t="shared" si="29"/>
        <v>-</v>
      </c>
      <c r="BJ9" s="20">
        <v>0</v>
      </c>
      <c r="BK9" s="21">
        <v>0</v>
      </c>
      <c r="BL9" s="139" t="str">
        <f t="shared" si="30"/>
        <v>-</v>
      </c>
      <c r="BM9" s="117">
        <f t="shared" si="23"/>
        <v>15</v>
      </c>
      <c r="BN9" s="120">
        <f t="shared" si="21"/>
        <v>2</v>
      </c>
      <c r="BO9" s="147">
        <f t="shared" si="22"/>
        <v>7.5</v>
      </c>
    </row>
    <row r="10" spans="1:67" ht="15" thickBot="1" x14ac:dyDescent="0.35">
      <c r="A10" s="1">
        <v>45418</v>
      </c>
      <c r="B10" s="20">
        <v>50</v>
      </c>
      <c r="C10" s="20">
        <v>6</v>
      </c>
      <c r="D10" s="139">
        <f t="shared" si="0"/>
        <v>8.3333333333333339</v>
      </c>
      <c r="E10" s="20">
        <v>8</v>
      </c>
      <c r="F10" s="20">
        <v>1</v>
      </c>
      <c r="G10" s="139">
        <f t="shared" si="1"/>
        <v>8</v>
      </c>
      <c r="H10" s="20">
        <v>6</v>
      </c>
      <c r="I10" s="20">
        <v>1</v>
      </c>
      <c r="J10" s="139">
        <f t="shared" si="2"/>
        <v>6</v>
      </c>
      <c r="K10" s="20">
        <v>34</v>
      </c>
      <c r="L10" s="20">
        <v>4</v>
      </c>
      <c r="M10" s="139">
        <f t="shared" si="3"/>
        <v>8.5</v>
      </c>
      <c r="N10" s="20">
        <v>48</v>
      </c>
      <c r="O10" s="21">
        <v>8</v>
      </c>
      <c r="P10" s="139">
        <f t="shared" si="4"/>
        <v>6</v>
      </c>
      <c r="Q10" s="20">
        <v>0</v>
      </c>
      <c r="R10" s="21">
        <v>0</v>
      </c>
      <c r="S10" s="139" t="str">
        <f t="shared" si="5"/>
        <v>-</v>
      </c>
      <c r="T10" s="20">
        <v>0</v>
      </c>
      <c r="U10" s="21">
        <v>0</v>
      </c>
      <c r="V10" s="139" t="str">
        <f t="shared" si="6"/>
        <v>-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25"/>
        <v>-</v>
      </c>
      <c r="AI10" s="20">
        <v>0</v>
      </c>
      <c r="AJ10" s="21">
        <v>0</v>
      </c>
      <c r="AK10" s="139" t="str">
        <f t="shared" si="11"/>
        <v>-</v>
      </c>
      <c r="AL10" s="252">
        <v>7</v>
      </c>
      <c r="AM10" s="253">
        <v>1</v>
      </c>
      <c r="AN10" s="139">
        <f t="shared" si="12"/>
        <v>7</v>
      </c>
      <c r="AO10" s="20">
        <v>0</v>
      </c>
      <c r="AP10" s="21">
        <v>0</v>
      </c>
      <c r="AQ10" s="139" t="str">
        <f t="shared" si="13"/>
        <v>-</v>
      </c>
      <c r="AR10" s="20">
        <v>0</v>
      </c>
      <c r="AS10" s="21">
        <v>0</v>
      </c>
      <c r="AT10" s="139" t="str">
        <f t="shared" si="14"/>
        <v>-</v>
      </c>
      <c r="AU10" s="257">
        <v>7</v>
      </c>
      <c r="AV10" s="253">
        <v>1</v>
      </c>
      <c r="AW10" s="139">
        <f t="shared" si="15"/>
        <v>7</v>
      </c>
      <c r="AX10" s="20">
        <v>0</v>
      </c>
      <c r="AY10" s="21">
        <v>0</v>
      </c>
      <c r="AZ10" s="139" t="str">
        <f t="shared" si="16"/>
        <v>-</v>
      </c>
      <c r="BA10" s="20">
        <v>14</v>
      </c>
      <c r="BB10" s="21">
        <v>2</v>
      </c>
      <c r="BC10" s="139">
        <f t="shared" si="17"/>
        <v>7</v>
      </c>
      <c r="BD10" s="20">
        <v>10</v>
      </c>
      <c r="BE10" s="21">
        <v>1</v>
      </c>
      <c r="BF10" s="139">
        <f t="shared" si="18"/>
        <v>10</v>
      </c>
      <c r="BG10" s="20">
        <v>0</v>
      </c>
      <c r="BH10" s="21">
        <v>0</v>
      </c>
      <c r="BI10" s="139" t="str">
        <f t="shared" si="19"/>
        <v>-</v>
      </c>
      <c r="BJ10" s="20">
        <v>0</v>
      </c>
      <c r="BK10" s="21">
        <v>0</v>
      </c>
      <c r="BL10" s="139" t="str">
        <f t="shared" si="20"/>
        <v>-</v>
      </c>
      <c r="BM10" s="117">
        <f t="shared" si="23"/>
        <v>184</v>
      </c>
      <c r="BN10" s="120">
        <f t="shared" si="21"/>
        <v>25</v>
      </c>
      <c r="BO10" s="147">
        <f t="shared" si="22"/>
        <v>7.36</v>
      </c>
    </row>
    <row r="11" spans="1:67" ht="15" thickBot="1" x14ac:dyDescent="0.35">
      <c r="A11" s="1">
        <v>45419</v>
      </c>
      <c r="B11" s="20">
        <v>48</v>
      </c>
      <c r="C11" s="20">
        <v>6</v>
      </c>
      <c r="D11" s="139">
        <f t="shared" si="0"/>
        <v>8</v>
      </c>
      <c r="E11" s="20">
        <v>17</v>
      </c>
      <c r="F11" s="20">
        <v>2</v>
      </c>
      <c r="G11" s="139">
        <f t="shared" si="1"/>
        <v>8.5</v>
      </c>
      <c r="H11" s="20">
        <v>0</v>
      </c>
      <c r="I11" s="20">
        <v>0</v>
      </c>
      <c r="J11" s="139" t="str">
        <f t="shared" si="2"/>
        <v>-</v>
      </c>
      <c r="K11" s="20">
        <v>41</v>
      </c>
      <c r="L11" s="20">
        <v>5</v>
      </c>
      <c r="M11" s="139">
        <f t="shared" si="3"/>
        <v>8.1999999999999993</v>
      </c>
      <c r="N11" s="20">
        <v>57</v>
      </c>
      <c r="O11" s="21">
        <v>10</v>
      </c>
      <c r="P11" s="139">
        <f t="shared" si="4"/>
        <v>5.7</v>
      </c>
      <c r="Q11" s="20">
        <v>1</v>
      </c>
      <c r="R11" s="21">
        <v>1</v>
      </c>
      <c r="S11" s="139">
        <f t="shared" si="5"/>
        <v>1</v>
      </c>
      <c r="T11" s="20">
        <v>0</v>
      </c>
      <c r="U11" s="21">
        <v>0</v>
      </c>
      <c r="V11" s="139" t="str">
        <f t="shared" si="6"/>
        <v>-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0</v>
      </c>
      <c r="AD11" s="21">
        <v>0</v>
      </c>
      <c r="AE11" s="139" t="str">
        <f t="shared" si="9"/>
        <v>-</v>
      </c>
      <c r="AF11" s="20">
        <v>0</v>
      </c>
      <c r="AG11" s="21">
        <v>0</v>
      </c>
      <c r="AH11" s="139" t="str">
        <f t="shared" si="25"/>
        <v>-</v>
      </c>
      <c r="AI11" s="20">
        <v>0</v>
      </c>
      <c r="AJ11" s="21">
        <v>0</v>
      </c>
      <c r="AK11" s="139" t="str">
        <f t="shared" si="11"/>
        <v>-</v>
      </c>
      <c r="AL11" s="252">
        <v>0</v>
      </c>
      <c r="AM11" s="253">
        <v>0</v>
      </c>
      <c r="AN11" s="139" t="str">
        <f t="shared" si="12"/>
        <v>-</v>
      </c>
      <c r="AO11" s="20">
        <v>27</v>
      </c>
      <c r="AP11" s="21">
        <v>4</v>
      </c>
      <c r="AQ11" s="139">
        <f t="shared" si="13"/>
        <v>6.75</v>
      </c>
      <c r="AR11" s="20">
        <v>0</v>
      </c>
      <c r="AS11" s="21">
        <v>0</v>
      </c>
      <c r="AT11" s="139" t="str">
        <f t="shared" si="14"/>
        <v>-</v>
      </c>
      <c r="AU11" s="257">
        <v>0</v>
      </c>
      <c r="AV11" s="253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12</v>
      </c>
      <c r="BB11" s="21">
        <v>2</v>
      </c>
      <c r="BC11" s="139">
        <f t="shared" si="17"/>
        <v>6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0">
        <v>0</v>
      </c>
      <c r="BK11" s="21">
        <v>0</v>
      </c>
      <c r="BL11" s="139" t="str">
        <f t="shared" si="20"/>
        <v>-</v>
      </c>
      <c r="BM11" s="117">
        <f t="shared" si="23"/>
        <v>203</v>
      </c>
      <c r="BN11" s="120">
        <f t="shared" si="21"/>
        <v>30</v>
      </c>
      <c r="BO11" s="147">
        <f t="shared" si="22"/>
        <v>6.7666666666666666</v>
      </c>
    </row>
    <row r="12" spans="1:67" ht="15" thickBot="1" x14ac:dyDescent="0.35">
      <c r="A12" s="1">
        <v>45420</v>
      </c>
      <c r="B12" s="20">
        <v>25</v>
      </c>
      <c r="C12" s="21">
        <v>3</v>
      </c>
      <c r="D12" s="139">
        <f t="shared" si="0"/>
        <v>8.3333333333333339</v>
      </c>
      <c r="E12" s="20">
        <v>0</v>
      </c>
      <c r="F12" s="21">
        <v>0</v>
      </c>
      <c r="G12" s="139" t="str">
        <f t="shared" si="1"/>
        <v>-</v>
      </c>
      <c r="H12" s="20">
        <v>6</v>
      </c>
      <c r="I12" s="21">
        <v>1</v>
      </c>
      <c r="J12" s="139">
        <f t="shared" si="2"/>
        <v>6</v>
      </c>
      <c r="K12" s="20">
        <v>8</v>
      </c>
      <c r="L12" s="21">
        <v>1</v>
      </c>
      <c r="M12" s="139">
        <f t="shared" si="3"/>
        <v>8</v>
      </c>
      <c r="N12" s="23">
        <v>45</v>
      </c>
      <c r="O12" s="21">
        <v>8</v>
      </c>
      <c r="P12" s="139">
        <f t="shared" si="4"/>
        <v>5.625</v>
      </c>
      <c r="Q12" s="20">
        <v>0</v>
      </c>
      <c r="R12" s="21">
        <v>0</v>
      </c>
      <c r="S12" s="139" t="str">
        <f t="shared" si="5"/>
        <v>-</v>
      </c>
      <c r="T12" s="20">
        <v>0</v>
      </c>
      <c r="U12" s="21">
        <v>0</v>
      </c>
      <c r="V12" s="139" t="str">
        <f t="shared" si="6"/>
        <v>-</v>
      </c>
      <c r="W12" s="20">
        <v>8</v>
      </c>
      <c r="X12" s="21">
        <v>1</v>
      </c>
      <c r="Y12" s="139">
        <f t="shared" si="7"/>
        <v>8</v>
      </c>
      <c r="Z12" s="20">
        <v>0</v>
      </c>
      <c r="AA12" s="21">
        <v>0</v>
      </c>
      <c r="AB12" s="139" t="str">
        <f t="shared" si="8"/>
        <v>-</v>
      </c>
      <c r="AC12" s="20">
        <v>5</v>
      </c>
      <c r="AD12" s="21">
        <v>1</v>
      </c>
      <c r="AE12" s="139">
        <f t="shared" si="9"/>
        <v>5</v>
      </c>
      <c r="AF12" s="20">
        <v>0</v>
      </c>
      <c r="AG12" s="21">
        <v>0</v>
      </c>
      <c r="AH12" s="139" t="str">
        <f t="shared" si="10"/>
        <v>-</v>
      </c>
      <c r="AI12" s="20">
        <v>0</v>
      </c>
      <c r="AJ12" s="21">
        <v>0</v>
      </c>
      <c r="AK12" s="139" t="str">
        <f t="shared" si="11"/>
        <v>-</v>
      </c>
      <c r="AL12" s="252">
        <v>0</v>
      </c>
      <c r="AM12" s="253">
        <v>0</v>
      </c>
      <c r="AN12" s="139" t="str">
        <f t="shared" si="12"/>
        <v>-</v>
      </c>
      <c r="AO12" s="20">
        <v>14</v>
      </c>
      <c r="AP12" s="21">
        <v>2</v>
      </c>
      <c r="AQ12" s="139">
        <f t="shared" si="13"/>
        <v>7</v>
      </c>
      <c r="AR12" s="20">
        <v>0</v>
      </c>
      <c r="AS12" s="21">
        <v>0</v>
      </c>
      <c r="AT12" s="139" t="str">
        <f t="shared" si="14"/>
        <v>-</v>
      </c>
      <c r="AU12" s="257">
        <v>0</v>
      </c>
      <c r="AV12" s="253">
        <v>0</v>
      </c>
      <c r="AW12" s="139" t="str">
        <f t="shared" si="15"/>
        <v>-</v>
      </c>
      <c r="AX12" s="20">
        <v>0</v>
      </c>
      <c r="AY12" s="21">
        <v>0</v>
      </c>
      <c r="AZ12" s="139" t="str">
        <f t="shared" si="16"/>
        <v>-</v>
      </c>
      <c r="BA12" s="20">
        <v>0</v>
      </c>
      <c r="BB12" s="21">
        <v>0</v>
      </c>
      <c r="BC12" s="139" t="str">
        <f t="shared" si="17"/>
        <v>-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0">
        <v>0</v>
      </c>
      <c r="BK12" s="21">
        <v>0</v>
      </c>
      <c r="BL12" s="139" t="str">
        <f t="shared" si="20"/>
        <v>-</v>
      </c>
      <c r="BM12" s="117">
        <f t="shared" si="23"/>
        <v>111</v>
      </c>
      <c r="BN12" s="120">
        <f t="shared" si="21"/>
        <v>17</v>
      </c>
      <c r="BO12" s="147">
        <f t="shared" si="22"/>
        <v>6.5294117647058822</v>
      </c>
    </row>
    <row r="13" spans="1:67" ht="15" thickBot="1" x14ac:dyDescent="0.35">
      <c r="A13" s="1">
        <v>45421</v>
      </c>
      <c r="B13" s="20">
        <v>26</v>
      </c>
      <c r="C13" s="21">
        <v>3</v>
      </c>
      <c r="D13" s="139">
        <f t="shared" si="0"/>
        <v>8.6666666666666661</v>
      </c>
      <c r="E13" s="20">
        <v>8</v>
      </c>
      <c r="F13" s="21">
        <v>1</v>
      </c>
      <c r="G13" s="139">
        <f t="shared" si="1"/>
        <v>8</v>
      </c>
      <c r="H13" s="20">
        <v>0</v>
      </c>
      <c r="I13" s="21">
        <v>0</v>
      </c>
      <c r="J13" s="139" t="str">
        <f t="shared" si="2"/>
        <v>-</v>
      </c>
      <c r="K13" s="20">
        <v>0</v>
      </c>
      <c r="L13" s="21">
        <v>0</v>
      </c>
      <c r="M13" s="139" t="str">
        <f t="shared" si="3"/>
        <v>-</v>
      </c>
      <c r="N13" s="20">
        <v>42</v>
      </c>
      <c r="O13" s="21">
        <v>9</v>
      </c>
      <c r="P13" s="139">
        <f t="shared" si="4"/>
        <v>4.666666666666667</v>
      </c>
      <c r="Q13" s="20">
        <v>0</v>
      </c>
      <c r="R13" s="21">
        <v>0</v>
      </c>
      <c r="S13" s="139" t="str">
        <f t="shared" si="5"/>
        <v>-</v>
      </c>
      <c r="T13" s="20">
        <v>0</v>
      </c>
      <c r="U13" s="21">
        <v>0</v>
      </c>
      <c r="V13" s="139" t="str">
        <f t="shared" si="6"/>
        <v>-</v>
      </c>
      <c r="W13" s="20">
        <v>0</v>
      </c>
      <c r="X13" s="21">
        <v>0</v>
      </c>
      <c r="Y13" s="139" t="str">
        <f t="shared" si="7"/>
        <v>-</v>
      </c>
      <c r="Z13" s="20">
        <v>0</v>
      </c>
      <c r="AA13" s="21">
        <v>0</v>
      </c>
      <c r="AB13" s="139" t="str">
        <f t="shared" si="8"/>
        <v>-</v>
      </c>
      <c r="AC13" s="20">
        <v>2</v>
      </c>
      <c r="AD13" s="21">
        <v>2</v>
      </c>
      <c r="AE13" s="139">
        <f t="shared" si="9"/>
        <v>1</v>
      </c>
      <c r="AF13" s="20">
        <v>0</v>
      </c>
      <c r="AG13" s="21">
        <v>0</v>
      </c>
      <c r="AH13" s="139" t="str">
        <f t="shared" si="10"/>
        <v>-</v>
      </c>
      <c r="AI13" s="20">
        <v>0</v>
      </c>
      <c r="AJ13" s="21">
        <v>0</v>
      </c>
      <c r="AK13" s="139" t="str">
        <f t="shared" si="11"/>
        <v>-</v>
      </c>
      <c r="AL13" s="252">
        <v>0</v>
      </c>
      <c r="AM13" s="253">
        <v>0</v>
      </c>
      <c r="AN13" s="139" t="str">
        <f t="shared" si="12"/>
        <v>-</v>
      </c>
      <c r="AO13" s="20">
        <v>14</v>
      </c>
      <c r="AP13" s="21">
        <v>2</v>
      </c>
      <c r="AQ13" s="139">
        <f t="shared" si="13"/>
        <v>7</v>
      </c>
      <c r="AR13" s="20">
        <v>0</v>
      </c>
      <c r="AS13" s="21">
        <v>0</v>
      </c>
      <c r="AT13" s="139" t="str">
        <f t="shared" si="14"/>
        <v>-</v>
      </c>
      <c r="AU13" s="257">
        <v>0</v>
      </c>
      <c r="AV13" s="253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6</v>
      </c>
      <c r="BB13" s="21">
        <v>2</v>
      </c>
      <c r="BC13" s="139">
        <f t="shared" si="17"/>
        <v>3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0">
        <v>2</v>
      </c>
      <c r="BK13" s="21">
        <v>1</v>
      </c>
      <c r="BL13" s="139">
        <f t="shared" si="20"/>
        <v>2</v>
      </c>
      <c r="BM13" s="117">
        <f t="shared" si="23"/>
        <v>100</v>
      </c>
      <c r="BN13" s="120">
        <f t="shared" si="21"/>
        <v>20</v>
      </c>
      <c r="BO13" s="147">
        <f t="shared" si="22"/>
        <v>5</v>
      </c>
    </row>
    <row r="14" spans="1:67" ht="15" thickBot="1" x14ac:dyDescent="0.35">
      <c r="A14" s="1">
        <v>45422</v>
      </c>
      <c r="B14" s="20">
        <v>30</v>
      </c>
      <c r="C14" s="21">
        <v>4</v>
      </c>
      <c r="D14" s="139">
        <f t="shared" si="0"/>
        <v>7.5</v>
      </c>
      <c r="E14" s="20">
        <v>28</v>
      </c>
      <c r="F14" s="21">
        <v>4</v>
      </c>
      <c r="G14" s="139">
        <f t="shared" si="1"/>
        <v>7</v>
      </c>
      <c r="H14" s="20">
        <v>6</v>
      </c>
      <c r="I14" s="21">
        <v>1</v>
      </c>
      <c r="J14" s="139">
        <f t="shared" si="2"/>
        <v>6</v>
      </c>
      <c r="K14" s="20">
        <v>25</v>
      </c>
      <c r="L14" s="21">
        <v>3</v>
      </c>
      <c r="M14" s="139">
        <f t="shared" si="3"/>
        <v>8.3333333333333339</v>
      </c>
      <c r="N14" s="20">
        <v>33</v>
      </c>
      <c r="O14" s="21">
        <v>7</v>
      </c>
      <c r="P14" s="139">
        <f t="shared" si="4"/>
        <v>4.7142857142857144</v>
      </c>
      <c r="Q14" s="20">
        <v>0</v>
      </c>
      <c r="R14" s="21">
        <v>0</v>
      </c>
      <c r="S14" s="139" t="str">
        <f t="shared" si="5"/>
        <v>-</v>
      </c>
      <c r="T14" s="20">
        <v>0</v>
      </c>
      <c r="U14" s="21">
        <v>0</v>
      </c>
      <c r="V14" s="139" t="str">
        <f t="shared" si="6"/>
        <v>-</v>
      </c>
      <c r="W14" s="20">
        <v>0</v>
      </c>
      <c r="X14" s="21">
        <v>0</v>
      </c>
      <c r="Y14" s="139" t="str">
        <f t="shared" ref="Y14:Y16" si="31">IF(X14=0,"-",W14/X14)</f>
        <v>-</v>
      </c>
      <c r="Z14" s="20">
        <v>0</v>
      </c>
      <c r="AA14" s="21">
        <v>0</v>
      </c>
      <c r="AB14" s="139" t="str">
        <f t="shared" si="8"/>
        <v>-</v>
      </c>
      <c r="AC14" s="20">
        <v>0</v>
      </c>
      <c r="AD14" s="21">
        <v>0</v>
      </c>
      <c r="AE14" s="139" t="str">
        <f t="shared" si="9"/>
        <v>-</v>
      </c>
      <c r="AF14" s="20">
        <v>0</v>
      </c>
      <c r="AG14" s="21">
        <v>0</v>
      </c>
      <c r="AH14" s="139" t="str">
        <f t="shared" si="10"/>
        <v>-</v>
      </c>
      <c r="AI14" s="20">
        <v>0</v>
      </c>
      <c r="AJ14" s="21">
        <v>0</v>
      </c>
      <c r="AK14" s="139" t="str">
        <f t="shared" si="11"/>
        <v>-</v>
      </c>
      <c r="AL14" s="252">
        <v>42</v>
      </c>
      <c r="AM14" s="253">
        <v>6</v>
      </c>
      <c r="AN14" s="139">
        <f t="shared" si="12"/>
        <v>7</v>
      </c>
      <c r="AO14" s="20">
        <v>0</v>
      </c>
      <c r="AP14" s="21">
        <v>0</v>
      </c>
      <c r="AQ14" s="139" t="str">
        <f t="shared" si="13"/>
        <v>-</v>
      </c>
      <c r="AR14" s="20">
        <v>0</v>
      </c>
      <c r="AS14" s="21">
        <v>0</v>
      </c>
      <c r="AT14" s="139" t="str">
        <f t="shared" ref="AT14" si="32">IF(AS14=0,"-",AR14/AS14)</f>
        <v>-</v>
      </c>
      <c r="AU14" s="257">
        <v>14</v>
      </c>
      <c r="AV14" s="253">
        <v>2</v>
      </c>
      <c r="AW14" s="139">
        <f t="shared" si="15"/>
        <v>7</v>
      </c>
      <c r="AX14" s="20">
        <v>0</v>
      </c>
      <c r="AY14" s="21">
        <v>0</v>
      </c>
      <c r="AZ14" s="139" t="str">
        <f t="shared" ref="AZ14" si="33">IF(AY14=0,"-",AX14/AY14)</f>
        <v>-</v>
      </c>
      <c r="BA14" s="20">
        <v>0</v>
      </c>
      <c r="BB14" s="21">
        <v>0</v>
      </c>
      <c r="BC14" s="139" t="str">
        <f t="shared" si="17"/>
        <v>-</v>
      </c>
      <c r="BD14" s="20">
        <v>0</v>
      </c>
      <c r="BE14" s="21">
        <v>0</v>
      </c>
      <c r="BF14" s="139" t="str">
        <f t="shared" ref="BF14:BF17" si="34">IF(BE14=0,"-",BD14/BE14)</f>
        <v>-</v>
      </c>
      <c r="BG14" s="20">
        <v>0</v>
      </c>
      <c r="BH14" s="21">
        <v>0</v>
      </c>
      <c r="BI14" s="139" t="str">
        <f t="shared" si="19"/>
        <v>-</v>
      </c>
      <c r="BJ14" s="20">
        <v>0</v>
      </c>
      <c r="BK14" s="21">
        <v>0</v>
      </c>
      <c r="BL14" s="139" t="str">
        <f t="shared" si="20"/>
        <v>-</v>
      </c>
      <c r="BM14" s="117">
        <f t="shared" si="23"/>
        <v>178</v>
      </c>
      <c r="BN14" s="120">
        <f t="shared" si="21"/>
        <v>27</v>
      </c>
      <c r="BO14" s="147">
        <f t="shared" si="22"/>
        <v>6.5925925925925926</v>
      </c>
    </row>
    <row r="15" spans="1:67" ht="15" thickBot="1" x14ac:dyDescent="0.35">
      <c r="A15" s="1">
        <v>45423</v>
      </c>
      <c r="B15" s="20">
        <v>21</v>
      </c>
      <c r="C15" s="21">
        <v>3</v>
      </c>
      <c r="D15" s="139">
        <f t="shared" si="0"/>
        <v>7</v>
      </c>
      <c r="E15" s="23">
        <v>0</v>
      </c>
      <c r="F15" s="21">
        <v>0</v>
      </c>
      <c r="G15" s="139" t="str">
        <f t="shared" si="1"/>
        <v>-</v>
      </c>
      <c r="H15" s="20">
        <v>0</v>
      </c>
      <c r="I15" s="21">
        <v>0</v>
      </c>
      <c r="J15" s="139" t="str">
        <f t="shared" si="2"/>
        <v>-</v>
      </c>
      <c r="K15" s="20">
        <v>30</v>
      </c>
      <c r="L15" s="21">
        <v>4</v>
      </c>
      <c r="M15" s="139">
        <f t="shared" si="3"/>
        <v>7.5</v>
      </c>
      <c r="N15" s="20">
        <v>0</v>
      </c>
      <c r="O15" s="21">
        <v>0</v>
      </c>
      <c r="P15" s="139" t="str">
        <f t="shared" si="4"/>
        <v>-</v>
      </c>
      <c r="Q15" s="20">
        <v>0</v>
      </c>
      <c r="R15" s="21">
        <v>0</v>
      </c>
      <c r="S15" s="139" t="str">
        <f t="shared" si="5"/>
        <v>-</v>
      </c>
      <c r="T15" s="125">
        <v>0</v>
      </c>
      <c r="U15" s="126">
        <v>0</v>
      </c>
      <c r="V15" s="139" t="str">
        <f t="shared" si="6"/>
        <v>-</v>
      </c>
      <c r="W15" s="20">
        <v>5</v>
      </c>
      <c r="X15" s="21">
        <v>1</v>
      </c>
      <c r="Y15" s="139">
        <f t="shared" si="31"/>
        <v>5</v>
      </c>
      <c r="Z15" s="20">
        <v>0</v>
      </c>
      <c r="AA15" s="21">
        <v>0</v>
      </c>
      <c r="AB15" s="139" t="str">
        <f t="shared" si="8"/>
        <v>-</v>
      </c>
      <c r="AC15" s="20">
        <v>0</v>
      </c>
      <c r="AD15" s="21">
        <v>0</v>
      </c>
      <c r="AE15" s="139" t="str">
        <f t="shared" si="9"/>
        <v>-</v>
      </c>
      <c r="AF15" s="20">
        <v>0</v>
      </c>
      <c r="AG15" s="21">
        <v>0</v>
      </c>
      <c r="AH15" s="139" t="str">
        <f t="shared" si="10"/>
        <v>-</v>
      </c>
      <c r="AI15" s="20">
        <v>0</v>
      </c>
      <c r="AJ15" s="21">
        <v>0</v>
      </c>
      <c r="AK15" s="139" t="str">
        <f t="shared" si="11"/>
        <v>-</v>
      </c>
      <c r="AL15" s="252">
        <v>0</v>
      </c>
      <c r="AM15" s="253">
        <v>0</v>
      </c>
      <c r="AN15" s="139" t="str">
        <f t="shared" si="12"/>
        <v>-</v>
      </c>
      <c r="AO15" s="252">
        <v>0</v>
      </c>
      <c r="AP15" s="253">
        <v>0</v>
      </c>
      <c r="AQ15" s="139" t="str">
        <f t="shared" si="13"/>
        <v>-</v>
      </c>
      <c r="AR15" s="252">
        <v>0</v>
      </c>
      <c r="AS15" s="253">
        <v>0</v>
      </c>
      <c r="AT15" s="139" t="str">
        <f t="shared" si="14"/>
        <v>-</v>
      </c>
      <c r="AU15" s="252">
        <v>0</v>
      </c>
      <c r="AV15" s="253">
        <v>0</v>
      </c>
      <c r="AW15" s="139" t="str">
        <f t="shared" si="15"/>
        <v>-</v>
      </c>
      <c r="AX15" s="252">
        <v>0</v>
      </c>
      <c r="AY15" s="253">
        <v>0</v>
      </c>
      <c r="AZ15" s="139" t="str">
        <f t="shared" si="16"/>
        <v>-</v>
      </c>
      <c r="BA15" s="20">
        <v>5</v>
      </c>
      <c r="BB15" s="21">
        <v>1</v>
      </c>
      <c r="BC15" s="139">
        <f t="shared" si="17"/>
        <v>5</v>
      </c>
      <c r="BD15" s="20">
        <v>0</v>
      </c>
      <c r="BE15" s="21">
        <v>0</v>
      </c>
      <c r="BF15" s="139" t="str">
        <f t="shared" si="34"/>
        <v>-</v>
      </c>
      <c r="BG15" s="20">
        <v>0</v>
      </c>
      <c r="BH15" s="21">
        <v>0</v>
      </c>
      <c r="BI15" s="139" t="str">
        <f t="shared" si="19"/>
        <v>-</v>
      </c>
      <c r="BJ15" s="20">
        <v>0</v>
      </c>
      <c r="BK15" s="21">
        <v>0</v>
      </c>
      <c r="BL15" s="139" t="str">
        <f t="shared" si="20"/>
        <v>-</v>
      </c>
      <c r="BM15" s="117">
        <f t="shared" si="23"/>
        <v>61</v>
      </c>
      <c r="BN15" s="120">
        <f t="shared" si="21"/>
        <v>9</v>
      </c>
      <c r="BO15" s="147">
        <f t="shared" si="22"/>
        <v>6.7777777777777777</v>
      </c>
    </row>
    <row r="16" spans="1:67" ht="15" thickBot="1" x14ac:dyDescent="0.35">
      <c r="A16" s="1">
        <v>45424</v>
      </c>
      <c r="B16" s="20">
        <v>15</v>
      </c>
      <c r="C16" s="21">
        <v>3</v>
      </c>
      <c r="D16" s="139">
        <f t="shared" si="0"/>
        <v>5</v>
      </c>
      <c r="E16" s="20">
        <v>7</v>
      </c>
      <c r="F16" s="21">
        <v>1</v>
      </c>
      <c r="G16" s="139">
        <f t="shared" si="1"/>
        <v>7</v>
      </c>
      <c r="H16" s="20">
        <v>0</v>
      </c>
      <c r="I16" s="21">
        <v>0</v>
      </c>
      <c r="J16" s="139" t="str">
        <f t="shared" si="2"/>
        <v>-</v>
      </c>
      <c r="K16" s="20">
        <v>7</v>
      </c>
      <c r="L16" s="21">
        <v>1</v>
      </c>
      <c r="M16" s="139">
        <f t="shared" si="3"/>
        <v>7</v>
      </c>
      <c r="N16" s="23">
        <v>0</v>
      </c>
      <c r="O16" s="21">
        <v>0</v>
      </c>
      <c r="P16" s="139" t="str">
        <f t="shared" si="4"/>
        <v>-</v>
      </c>
      <c r="Q16" s="20">
        <v>0</v>
      </c>
      <c r="R16" s="21">
        <v>0</v>
      </c>
      <c r="S16" s="139" t="str">
        <f t="shared" si="5"/>
        <v>-</v>
      </c>
      <c r="T16" s="20">
        <v>18</v>
      </c>
      <c r="U16" s="21">
        <v>3</v>
      </c>
      <c r="V16" s="139">
        <f t="shared" si="6"/>
        <v>6</v>
      </c>
      <c r="W16" s="20">
        <v>0</v>
      </c>
      <c r="X16" s="21">
        <v>0</v>
      </c>
      <c r="Y16" s="139" t="str">
        <f t="shared" si="31"/>
        <v>-</v>
      </c>
      <c r="Z16" s="20">
        <v>0</v>
      </c>
      <c r="AA16" s="21">
        <v>0</v>
      </c>
      <c r="AB16" s="139" t="str">
        <f t="shared" si="8"/>
        <v>-</v>
      </c>
      <c r="AC16" s="20">
        <v>0</v>
      </c>
      <c r="AD16" s="21">
        <v>0</v>
      </c>
      <c r="AE16" s="139" t="str">
        <f t="shared" si="9"/>
        <v>-</v>
      </c>
      <c r="AF16" s="20">
        <v>0</v>
      </c>
      <c r="AG16" s="21">
        <v>0</v>
      </c>
      <c r="AH16" s="139" t="str">
        <f t="shared" si="10"/>
        <v>-</v>
      </c>
      <c r="AI16" s="20">
        <v>0</v>
      </c>
      <c r="AJ16" s="21">
        <v>0</v>
      </c>
      <c r="AK16" s="139" t="str">
        <f t="shared" si="11"/>
        <v>-</v>
      </c>
      <c r="AL16" s="252">
        <v>0</v>
      </c>
      <c r="AM16" s="253">
        <v>0</v>
      </c>
      <c r="AN16" s="139" t="str">
        <f t="shared" ref="AN16" si="35">IF(AM16=0,"-",AL16/AM16)</f>
        <v>-</v>
      </c>
      <c r="AO16" s="252">
        <v>0</v>
      </c>
      <c r="AP16" s="253">
        <v>0</v>
      </c>
      <c r="AQ16" s="139" t="str">
        <f t="shared" si="13"/>
        <v>-</v>
      </c>
      <c r="AR16" s="252">
        <v>0</v>
      </c>
      <c r="AS16" s="253">
        <v>0</v>
      </c>
      <c r="AT16" s="139" t="str">
        <f t="shared" si="14"/>
        <v>-</v>
      </c>
      <c r="AU16" s="252">
        <v>0</v>
      </c>
      <c r="AV16" s="253">
        <v>0</v>
      </c>
      <c r="AW16" s="139" t="str">
        <f t="shared" si="15"/>
        <v>-</v>
      </c>
      <c r="AX16" s="252">
        <v>0</v>
      </c>
      <c r="AY16" s="253">
        <v>0</v>
      </c>
      <c r="AZ16" s="139" t="str">
        <f t="shared" si="16"/>
        <v>-</v>
      </c>
      <c r="BA16" s="20">
        <v>0</v>
      </c>
      <c r="BB16" s="21">
        <v>0</v>
      </c>
      <c r="BC16" s="139" t="str">
        <f t="shared" si="17"/>
        <v>-</v>
      </c>
      <c r="BD16" s="20">
        <v>0</v>
      </c>
      <c r="BE16" s="21">
        <v>0</v>
      </c>
      <c r="BF16" s="139" t="str">
        <f t="shared" si="34"/>
        <v>-</v>
      </c>
      <c r="BG16" s="20">
        <v>0</v>
      </c>
      <c r="BH16" s="21">
        <v>0</v>
      </c>
      <c r="BI16" s="139" t="str">
        <f t="shared" si="19"/>
        <v>-</v>
      </c>
      <c r="BJ16" s="20">
        <v>0</v>
      </c>
      <c r="BK16" s="21">
        <v>0</v>
      </c>
      <c r="BL16" s="139" t="str">
        <f t="shared" si="20"/>
        <v>-</v>
      </c>
      <c r="BM16" s="117">
        <f t="shared" si="23"/>
        <v>47</v>
      </c>
      <c r="BN16" s="120">
        <f t="shared" si="21"/>
        <v>5</v>
      </c>
      <c r="BO16" s="147">
        <f t="shared" si="22"/>
        <v>9.4</v>
      </c>
    </row>
    <row r="17" spans="1:67" ht="15" thickBot="1" x14ac:dyDescent="0.35">
      <c r="A17" s="1">
        <v>45425</v>
      </c>
      <c r="B17" s="20">
        <v>32</v>
      </c>
      <c r="C17" s="21">
        <v>4</v>
      </c>
      <c r="D17" s="139">
        <f t="shared" si="0"/>
        <v>8</v>
      </c>
      <c r="E17" s="20">
        <v>0</v>
      </c>
      <c r="F17" s="21">
        <v>0</v>
      </c>
      <c r="G17" s="139" t="str">
        <f t="shared" si="1"/>
        <v>-</v>
      </c>
      <c r="H17" s="20">
        <v>5</v>
      </c>
      <c r="I17" s="21">
        <v>1</v>
      </c>
      <c r="J17" s="139">
        <f t="shared" si="2"/>
        <v>5</v>
      </c>
      <c r="K17" s="20">
        <v>0</v>
      </c>
      <c r="L17" s="21">
        <v>0</v>
      </c>
      <c r="M17" s="139" t="str">
        <f t="shared" si="3"/>
        <v>-</v>
      </c>
      <c r="N17" s="20">
        <v>26</v>
      </c>
      <c r="O17" s="21">
        <v>5</v>
      </c>
      <c r="P17" s="139">
        <f t="shared" si="4"/>
        <v>5.2</v>
      </c>
      <c r="Q17" s="20">
        <v>0</v>
      </c>
      <c r="R17" s="21">
        <v>0</v>
      </c>
      <c r="S17" s="139" t="str">
        <f t="shared" si="5"/>
        <v>-</v>
      </c>
      <c r="T17" s="20">
        <v>0</v>
      </c>
      <c r="U17" s="21">
        <v>0</v>
      </c>
      <c r="V17" s="139" t="str">
        <f t="shared" si="6"/>
        <v>-</v>
      </c>
      <c r="W17" s="20">
        <v>0</v>
      </c>
      <c r="X17" s="21">
        <v>0</v>
      </c>
      <c r="Y17" s="139" t="str">
        <f t="shared" ref="Y17" si="36">IF(X17=0,"-",W17/X17)</f>
        <v>-</v>
      </c>
      <c r="Z17" s="20">
        <v>0</v>
      </c>
      <c r="AA17" s="21">
        <v>0</v>
      </c>
      <c r="AB17" s="139" t="str">
        <f t="shared" si="8"/>
        <v>-</v>
      </c>
      <c r="AC17" s="20">
        <v>0</v>
      </c>
      <c r="AD17" s="21">
        <v>0</v>
      </c>
      <c r="AE17" s="139" t="str">
        <f t="shared" si="9"/>
        <v>-</v>
      </c>
      <c r="AF17" s="20">
        <v>0</v>
      </c>
      <c r="AG17" s="21">
        <v>0</v>
      </c>
      <c r="AH17" s="139" t="str">
        <f t="shared" si="10"/>
        <v>-</v>
      </c>
      <c r="AI17" s="20">
        <v>0</v>
      </c>
      <c r="AJ17" s="21">
        <v>0</v>
      </c>
      <c r="AK17" s="139" t="str">
        <f t="shared" si="11"/>
        <v>-</v>
      </c>
      <c r="AL17" s="252">
        <v>56</v>
      </c>
      <c r="AM17" s="253">
        <v>8</v>
      </c>
      <c r="AN17" s="139">
        <f t="shared" si="12"/>
        <v>7</v>
      </c>
      <c r="AO17" s="252">
        <v>0</v>
      </c>
      <c r="AP17" s="253">
        <v>0</v>
      </c>
      <c r="AQ17" s="139" t="str">
        <f t="shared" ref="AQ17" si="37">IF(AP17=0,"-",AO17/AP17)</f>
        <v>-</v>
      </c>
      <c r="AR17" s="252">
        <v>0</v>
      </c>
      <c r="AS17" s="253">
        <v>0</v>
      </c>
      <c r="AT17" s="139" t="str">
        <f t="shared" si="14"/>
        <v>-</v>
      </c>
      <c r="AU17" s="252">
        <v>0</v>
      </c>
      <c r="AV17" s="253">
        <v>0</v>
      </c>
      <c r="AW17" s="139" t="str">
        <f t="shared" si="15"/>
        <v>-</v>
      </c>
      <c r="AX17" s="252">
        <v>0</v>
      </c>
      <c r="AY17" s="253">
        <v>0</v>
      </c>
      <c r="AZ17" s="139" t="str">
        <f t="shared" si="16"/>
        <v>-</v>
      </c>
      <c r="BA17" s="252">
        <v>0</v>
      </c>
      <c r="BB17" s="253">
        <v>0</v>
      </c>
      <c r="BC17" s="139" t="str">
        <f t="shared" si="17"/>
        <v>-</v>
      </c>
      <c r="BD17" s="252">
        <v>0</v>
      </c>
      <c r="BE17" s="253">
        <v>0</v>
      </c>
      <c r="BF17" s="139" t="str">
        <f t="shared" si="34"/>
        <v>-</v>
      </c>
      <c r="BG17" s="252">
        <v>0</v>
      </c>
      <c r="BH17" s="253">
        <v>0</v>
      </c>
      <c r="BI17" s="139" t="str">
        <f t="shared" si="19"/>
        <v>-</v>
      </c>
      <c r="BJ17" s="252">
        <v>0</v>
      </c>
      <c r="BK17" s="253">
        <v>0</v>
      </c>
      <c r="BL17" s="139" t="str">
        <f t="shared" si="20"/>
        <v>-</v>
      </c>
      <c r="BM17" s="117">
        <f t="shared" si="23"/>
        <v>119</v>
      </c>
      <c r="BN17" s="120">
        <f t="shared" si="21"/>
        <v>18</v>
      </c>
      <c r="BO17" s="147">
        <f t="shared" si="22"/>
        <v>6.6111111111111107</v>
      </c>
    </row>
    <row r="18" spans="1:67" ht="15" thickBot="1" x14ac:dyDescent="0.35">
      <c r="A18" s="1">
        <v>45426</v>
      </c>
      <c r="B18" s="20">
        <v>27</v>
      </c>
      <c r="C18" s="21">
        <v>4</v>
      </c>
      <c r="D18" s="139">
        <f t="shared" si="0"/>
        <v>6.75</v>
      </c>
      <c r="E18" s="20">
        <v>11</v>
      </c>
      <c r="F18" s="21">
        <v>2</v>
      </c>
      <c r="G18" s="139">
        <f t="shared" si="1"/>
        <v>5.5</v>
      </c>
      <c r="H18" s="20">
        <v>6</v>
      </c>
      <c r="I18" s="21">
        <v>1</v>
      </c>
      <c r="J18" s="139">
        <f t="shared" si="2"/>
        <v>6</v>
      </c>
      <c r="K18" s="20">
        <v>16</v>
      </c>
      <c r="L18" s="21">
        <v>2</v>
      </c>
      <c r="M18" s="139">
        <f t="shared" si="3"/>
        <v>8</v>
      </c>
      <c r="N18" s="20">
        <v>24</v>
      </c>
      <c r="O18" s="21">
        <v>5</v>
      </c>
      <c r="P18" s="139">
        <f t="shared" si="4"/>
        <v>4.8</v>
      </c>
      <c r="Q18" s="20">
        <v>0</v>
      </c>
      <c r="R18" s="21">
        <v>0</v>
      </c>
      <c r="S18" s="139" t="str">
        <f t="shared" si="5"/>
        <v>-</v>
      </c>
      <c r="T18" s="20">
        <v>0</v>
      </c>
      <c r="U18" s="21">
        <v>0</v>
      </c>
      <c r="V18" s="139" t="str">
        <f t="shared" si="6"/>
        <v>-</v>
      </c>
      <c r="W18" s="20">
        <v>0</v>
      </c>
      <c r="X18" s="21">
        <v>0</v>
      </c>
      <c r="Y18" s="139" t="str">
        <f t="shared" si="7"/>
        <v>-</v>
      </c>
      <c r="Z18" s="20">
        <v>0</v>
      </c>
      <c r="AA18" s="21">
        <v>0</v>
      </c>
      <c r="AB18" s="139" t="str">
        <f t="shared" si="8"/>
        <v>-</v>
      </c>
      <c r="AC18" s="20">
        <v>0</v>
      </c>
      <c r="AD18" s="21">
        <v>0</v>
      </c>
      <c r="AE18" s="139" t="str">
        <f t="shared" si="9"/>
        <v>-</v>
      </c>
      <c r="AF18" s="20">
        <v>0</v>
      </c>
      <c r="AG18" s="21">
        <v>0</v>
      </c>
      <c r="AH18" s="139" t="str">
        <f t="shared" si="10"/>
        <v>-</v>
      </c>
      <c r="AI18" s="20">
        <v>0</v>
      </c>
      <c r="AJ18" s="21">
        <v>0</v>
      </c>
      <c r="AK18" s="139" t="str">
        <f t="shared" si="11"/>
        <v>-</v>
      </c>
      <c r="AL18" s="252">
        <v>14</v>
      </c>
      <c r="AM18" s="253">
        <v>2</v>
      </c>
      <c r="AN18" s="139">
        <f t="shared" si="12"/>
        <v>7</v>
      </c>
      <c r="AO18" s="20">
        <v>0</v>
      </c>
      <c r="AP18" s="21">
        <v>0</v>
      </c>
      <c r="AQ18" s="139" t="str">
        <f t="shared" si="13"/>
        <v>-</v>
      </c>
      <c r="AR18" s="20">
        <v>0</v>
      </c>
      <c r="AS18" s="21">
        <v>0</v>
      </c>
      <c r="AT18" s="139" t="str">
        <f t="shared" si="14"/>
        <v>-</v>
      </c>
      <c r="AU18" s="257">
        <v>7</v>
      </c>
      <c r="AV18" s="253">
        <v>1</v>
      </c>
      <c r="AW18" s="139">
        <f t="shared" si="15"/>
        <v>7</v>
      </c>
      <c r="AX18" s="20">
        <v>0</v>
      </c>
      <c r="AY18" s="21">
        <v>0</v>
      </c>
      <c r="AZ18" s="139" t="str">
        <f t="shared" si="16"/>
        <v>-</v>
      </c>
      <c r="BA18" s="20">
        <v>5</v>
      </c>
      <c r="BB18" s="21">
        <v>1</v>
      </c>
      <c r="BC18" s="139">
        <f t="shared" si="17"/>
        <v>5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 t="shared" si="19"/>
        <v>-</v>
      </c>
      <c r="BJ18" s="20">
        <v>0</v>
      </c>
      <c r="BK18" s="21">
        <v>0</v>
      </c>
      <c r="BL18" s="139" t="str">
        <f t="shared" si="20"/>
        <v>-</v>
      </c>
      <c r="BM18" s="117">
        <f t="shared" si="23"/>
        <v>110</v>
      </c>
      <c r="BN18" s="120">
        <f t="shared" si="21"/>
        <v>18</v>
      </c>
      <c r="BO18" s="147">
        <f t="shared" si="22"/>
        <v>6.1111111111111107</v>
      </c>
    </row>
    <row r="19" spans="1:67" ht="15" thickBot="1" x14ac:dyDescent="0.35">
      <c r="A19" s="1">
        <v>45427</v>
      </c>
      <c r="B19" s="20">
        <v>28</v>
      </c>
      <c r="C19" s="21">
        <v>4</v>
      </c>
      <c r="D19" s="139">
        <f t="shared" si="0"/>
        <v>7</v>
      </c>
      <c r="E19" s="20">
        <v>8</v>
      </c>
      <c r="F19" s="21">
        <v>1</v>
      </c>
      <c r="G19" s="139">
        <f t="shared" si="1"/>
        <v>8</v>
      </c>
      <c r="H19" s="20">
        <v>0</v>
      </c>
      <c r="I19" s="21">
        <v>0</v>
      </c>
      <c r="J19" s="139" t="str">
        <f t="shared" si="2"/>
        <v>-</v>
      </c>
      <c r="K19" s="20">
        <v>19</v>
      </c>
      <c r="L19" s="21">
        <v>3</v>
      </c>
      <c r="M19" s="139">
        <f t="shared" si="3"/>
        <v>6.333333333333333</v>
      </c>
      <c r="N19" s="20">
        <v>29</v>
      </c>
      <c r="O19" s="21">
        <v>6</v>
      </c>
      <c r="P19" s="139">
        <f t="shared" si="4"/>
        <v>4.833333333333333</v>
      </c>
      <c r="Q19" s="20">
        <v>0</v>
      </c>
      <c r="R19" s="21">
        <v>0</v>
      </c>
      <c r="S19" s="139" t="str">
        <f t="shared" si="5"/>
        <v>-</v>
      </c>
      <c r="T19" s="20">
        <v>0</v>
      </c>
      <c r="U19" s="21">
        <v>0</v>
      </c>
      <c r="V19" s="139" t="str">
        <f t="shared" si="6"/>
        <v>-</v>
      </c>
      <c r="W19" s="20">
        <v>5</v>
      </c>
      <c r="X19" s="21">
        <v>1</v>
      </c>
      <c r="Y19" s="139">
        <f t="shared" si="7"/>
        <v>5</v>
      </c>
      <c r="Z19" s="20">
        <v>0</v>
      </c>
      <c r="AA19" s="21">
        <v>0</v>
      </c>
      <c r="AB19" s="139" t="str">
        <f t="shared" si="8"/>
        <v>-</v>
      </c>
      <c r="AC19" s="20">
        <v>5</v>
      </c>
      <c r="AD19" s="21">
        <v>2</v>
      </c>
      <c r="AE19" s="139">
        <f t="shared" si="9"/>
        <v>2.5</v>
      </c>
      <c r="AF19" s="20">
        <v>0</v>
      </c>
      <c r="AG19" s="21">
        <v>0</v>
      </c>
      <c r="AH19" s="139" t="str">
        <f t="shared" si="10"/>
        <v>-</v>
      </c>
      <c r="AI19" s="20">
        <v>1</v>
      </c>
      <c r="AJ19" s="21">
        <v>2</v>
      </c>
      <c r="AK19" s="139">
        <f t="shared" si="11"/>
        <v>0.5</v>
      </c>
      <c r="AL19" s="252">
        <v>7</v>
      </c>
      <c r="AM19" s="253">
        <v>1</v>
      </c>
      <c r="AN19" s="139">
        <f t="shared" si="12"/>
        <v>7</v>
      </c>
      <c r="AO19" s="20">
        <v>0</v>
      </c>
      <c r="AP19" s="21">
        <v>0</v>
      </c>
      <c r="AQ19" s="139" t="str">
        <f t="shared" si="13"/>
        <v>-</v>
      </c>
      <c r="AR19" s="20">
        <v>0</v>
      </c>
      <c r="AS19" s="21">
        <v>0</v>
      </c>
      <c r="AT19" s="139" t="str">
        <f t="shared" si="14"/>
        <v>-</v>
      </c>
      <c r="AU19" s="257">
        <v>0</v>
      </c>
      <c r="AV19" s="253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5</v>
      </c>
      <c r="BB19" s="21">
        <v>1</v>
      </c>
      <c r="BC19" s="139">
        <f t="shared" si="17"/>
        <v>5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0">
        <v>0</v>
      </c>
      <c r="BK19" s="21">
        <v>0</v>
      </c>
      <c r="BL19" s="139" t="str">
        <f t="shared" si="20"/>
        <v>-</v>
      </c>
      <c r="BM19" s="117">
        <f t="shared" si="23"/>
        <v>107</v>
      </c>
      <c r="BN19" s="120">
        <f t="shared" si="21"/>
        <v>21</v>
      </c>
      <c r="BO19" s="147">
        <f t="shared" si="22"/>
        <v>5.0952380952380949</v>
      </c>
    </row>
    <row r="20" spans="1:67" ht="15" thickBot="1" x14ac:dyDescent="0.35">
      <c r="A20" s="1">
        <v>45428</v>
      </c>
      <c r="B20" s="20">
        <v>29</v>
      </c>
      <c r="C20" s="21">
        <v>4</v>
      </c>
      <c r="D20" s="139">
        <f t="shared" si="0"/>
        <v>7.25</v>
      </c>
      <c r="E20" s="20">
        <v>8</v>
      </c>
      <c r="F20" s="21">
        <v>1</v>
      </c>
      <c r="G20" s="139">
        <f t="shared" si="1"/>
        <v>8</v>
      </c>
      <c r="H20" s="20">
        <v>0</v>
      </c>
      <c r="I20" s="21">
        <v>0</v>
      </c>
      <c r="J20" s="139" t="str">
        <f t="shared" si="2"/>
        <v>-</v>
      </c>
      <c r="K20" s="20">
        <v>20</v>
      </c>
      <c r="L20" s="21">
        <v>3</v>
      </c>
      <c r="M20" s="139">
        <f t="shared" si="3"/>
        <v>6.666666666666667</v>
      </c>
      <c r="N20" s="20">
        <v>26</v>
      </c>
      <c r="O20" s="21">
        <v>5</v>
      </c>
      <c r="P20" s="139">
        <f t="shared" si="4"/>
        <v>5.2</v>
      </c>
      <c r="Q20" s="20">
        <v>164</v>
      </c>
      <c r="R20" s="21">
        <v>33</v>
      </c>
      <c r="S20" s="139">
        <f t="shared" si="5"/>
        <v>4.9696969696969697</v>
      </c>
      <c r="T20" s="20">
        <v>0</v>
      </c>
      <c r="U20" s="21">
        <v>0</v>
      </c>
      <c r="V20" s="139" t="str">
        <f t="shared" si="6"/>
        <v>-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4</v>
      </c>
      <c r="AD20" s="21">
        <v>1</v>
      </c>
      <c r="AE20" s="139">
        <f t="shared" si="9"/>
        <v>4</v>
      </c>
      <c r="AF20" s="20">
        <v>0</v>
      </c>
      <c r="AG20" s="21">
        <v>0</v>
      </c>
      <c r="AH20" s="139" t="str">
        <f t="shared" si="10"/>
        <v>-</v>
      </c>
      <c r="AI20" s="20">
        <v>0</v>
      </c>
      <c r="AJ20" s="21">
        <v>0</v>
      </c>
      <c r="AK20" s="139" t="str">
        <f t="shared" si="11"/>
        <v>-</v>
      </c>
      <c r="AL20" s="252">
        <v>14</v>
      </c>
      <c r="AM20" s="253">
        <v>2</v>
      </c>
      <c r="AN20" s="139">
        <f t="shared" si="12"/>
        <v>7</v>
      </c>
      <c r="AO20" s="20">
        <v>0</v>
      </c>
      <c r="AP20" s="21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14"/>
        <v>-</v>
      </c>
      <c r="AU20" s="257">
        <v>0</v>
      </c>
      <c r="AV20" s="253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0</v>
      </c>
      <c r="BB20" s="21">
        <v>0</v>
      </c>
      <c r="BC20" s="139" t="str">
        <f t="shared" si="17"/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0">
        <v>0</v>
      </c>
      <c r="BK20" s="21">
        <v>0</v>
      </c>
      <c r="BL20" s="139" t="str">
        <f t="shared" si="20"/>
        <v>-</v>
      </c>
      <c r="BM20" s="117">
        <f t="shared" si="23"/>
        <v>265</v>
      </c>
      <c r="BN20" s="120">
        <f t="shared" si="21"/>
        <v>49</v>
      </c>
      <c r="BO20" s="147">
        <f t="shared" si="22"/>
        <v>5.408163265306122</v>
      </c>
    </row>
    <row r="21" spans="1:67" ht="15" thickBot="1" x14ac:dyDescent="0.35">
      <c r="A21" s="1">
        <v>45429</v>
      </c>
      <c r="B21" s="20">
        <v>25</v>
      </c>
      <c r="C21" s="21">
        <v>3</v>
      </c>
      <c r="D21" s="139">
        <f t="shared" si="0"/>
        <v>8.3333333333333339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0</v>
      </c>
      <c r="L21" s="21">
        <v>0</v>
      </c>
      <c r="M21" s="139" t="str">
        <f t="shared" si="3"/>
        <v>-</v>
      </c>
      <c r="N21" s="20">
        <v>7</v>
      </c>
      <c r="O21" s="21">
        <v>2</v>
      </c>
      <c r="P21" s="139">
        <f t="shared" si="4"/>
        <v>3.5</v>
      </c>
      <c r="Q21" s="20">
        <v>50</v>
      </c>
      <c r="R21" s="21">
        <v>10</v>
      </c>
      <c r="S21" s="139">
        <f t="shared" si="5"/>
        <v>5</v>
      </c>
      <c r="T21" s="20">
        <v>0</v>
      </c>
      <c r="U21" s="21">
        <v>0</v>
      </c>
      <c r="V21" s="139" t="str">
        <f t="shared" si="6"/>
        <v>-</v>
      </c>
      <c r="W21" s="20">
        <v>0</v>
      </c>
      <c r="X21" s="21">
        <v>0</v>
      </c>
      <c r="Y21" s="139" t="str">
        <f t="shared" ref="Y21:Y23" si="38">IF(X21=0,"-",W21/X21)</f>
        <v>-</v>
      </c>
      <c r="Z21" s="20">
        <v>0</v>
      </c>
      <c r="AA21" s="21">
        <v>0</v>
      </c>
      <c r="AB21" s="139" t="str">
        <f t="shared" ref="AB21:AB23" si="39">IF(AA21=0,"-",Z21/AA21)</f>
        <v>-</v>
      </c>
      <c r="AC21" s="20">
        <v>7</v>
      </c>
      <c r="AD21" s="21">
        <v>2</v>
      </c>
      <c r="AE21" s="139">
        <f t="shared" si="9"/>
        <v>3.5</v>
      </c>
      <c r="AF21" s="20">
        <v>0</v>
      </c>
      <c r="AG21" s="21">
        <v>0</v>
      </c>
      <c r="AH21" s="139" t="str">
        <f t="shared" ref="AH21" si="40">IF(AG21=0,"-",AF21/AG21)</f>
        <v>-</v>
      </c>
      <c r="AI21" s="20">
        <v>0</v>
      </c>
      <c r="AJ21" s="21">
        <v>0</v>
      </c>
      <c r="AK21" s="139" t="str">
        <f t="shared" ref="AK21" si="41">IF(AJ21=0,"-",AI21/AJ21)</f>
        <v>-</v>
      </c>
      <c r="AL21" s="252">
        <v>14</v>
      </c>
      <c r="AM21" s="253">
        <v>2</v>
      </c>
      <c r="AN21" s="139">
        <f t="shared" si="12"/>
        <v>7</v>
      </c>
      <c r="AO21" s="20">
        <v>0</v>
      </c>
      <c r="AP21" s="21">
        <v>0</v>
      </c>
      <c r="AQ21" s="139" t="str">
        <f t="shared" ref="AQ21:AQ23" si="42">IF(AP21=0,"-",AO21/AP21)</f>
        <v>-</v>
      </c>
      <c r="AR21" s="20">
        <v>0</v>
      </c>
      <c r="AS21" s="21">
        <v>0</v>
      </c>
      <c r="AT21" s="139" t="str">
        <f t="shared" ref="AT21:AT23" si="43">IF(AS21=0,"-",AR21/AS21)</f>
        <v>-</v>
      </c>
      <c r="AU21" s="257">
        <v>0</v>
      </c>
      <c r="AV21" s="253">
        <v>0</v>
      </c>
      <c r="AW21" s="139" t="str">
        <f t="shared" ref="AW21:AW23" si="44">IF(AV21=0,"-",AU21/AV21)</f>
        <v>-</v>
      </c>
      <c r="AX21" s="20">
        <v>0</v>
      </c>
      <c r="AY21" s="21">
        <v>0</v>
      </c>
      <c r="AZ21" s="139" t="str">
        <f t="shared" ref="AZ21:AZ23" si="45">IF(AY21=0,"-",AX21/AY21)</f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0</v>
      </c>
      <c r="BH21" s="21">
        <v>0</v>
      </c>
      <c r="BI21" s="139" t="str">
        <f t="shared" si="19"/>
        <v>-</v>
      </c>
      <c r="BJ21" s="20">
        <v>0</v>
      </c>
      <c r="BK21" s="21">
        <v>0</v>
      </c>
      <c r="BL21" s="139" t="str">
        <f t="shared" si="20"/>
        <v>-</v>
      </c>
      <c r="BM21" s="117">
        <f t="shared" si="23"/>
        <v>103</v>
      </c>
      <c r="BN21" s="120">
        <f t="shared" ref="BN21:BN36" si="46">BK21+BH21+BE21+BB21+AY21+AV21+AS21+AP21+AM21+L21+R21+O21+I21+F21+AJ21+AG21+AD21+AA21+X21+C21</f>
        <v>19</v>
      </c>
      <c r="BO21" s="147">
        <f t="shared" si="22"/>
        <v>5.4210526315789478</v>
      </c>
    </row>
    <row r="22" spans="1:67" ht="15" thickBot="1" x14ac:dyDescent="0.35">
      <c r="A22" s="1">
        <v>45430</v>
      </c>
      <c r="B22" s="20">
        <v>0</v>
      </c>
      <c r="C22" s="21">
        <v>0</v>
      </c>
      <c r="D22" s="139" t="str">
        <f t="shared" si="0"/>
        <v>-</v>
      </c>
      <c r="E22" s="20">
        <v>0</v>
      </c>
      <c r="F22" s="21">
        <v>0</v>
      </c>
      <c r="G22" s="139" t="str">
        <f t="shared" ref="G22:G23" si="47">IF(F22=0,"-",E22/F22)</f>
        <v>-</v>
      </c>
      <c r="H22" s="20">
        <v>0</v>
      </c>
      <c r="I22" s="21">
        <v>0</v>
      </c>
      <c r="J22" s="139" t="str">
        <f t="shared" si="2"/>
        <v>-</v>
      </c>
      <c r="K22" s="20">
        <v>0</v>
      </c>
      <c r="L22" s="21">
        <v>0</v>
      </c>
      <c r="M22" s="139" t="str">
        <f t="shared" si="3"/>
        <v>-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0</v>
      </c>
      <c r="U22" s="21">
        <v>0</v>
      </c>
      <c r="V22" s="139" t="str">
        <f t="shared" si="6"/>
        <v>-</v>
      </c>
      <c r="W22" s="20">
        <v>10</v>
      </c>
      <c r="X22" s="21">
        <v>2</v>
      </c>
      <c r="Y22" s="139">
        <f t="shared" si="38"/>
        <v>5</v>
      </c>
      <c r="Z22" s="20">
        <v>0</v>
      </c>
      <c r="AA22" s="21">
        <v>0</v>
      </c>
      <c r="AB22" s="139" t="str">
        <f t="shared" si="39"/>
        <v>-</v>
      </c>
      <c r="AC22" s="20">
        <v>0</v>
      </c>
      <c r="AD22" s="21">
        <v>0</v>
      </c>
      <c r="AE22" s="139" t="str">
        <f t="shared" si="9"/>
        <v>-</v>
      </c>
      <c r="AF22" s="20">
        <v>0</v>
      </c>
      <c r="AG22" s="21">
        <v>0</v>
      </c>
      <c r="AH22" s="139" t="str">
        <f t="shared" si="10"/>
        <v>-</v>
      </c>
      <c r="AI22" s="20">
        <v>0</v>
      </c>
      <c r="AJ22" s="21">
        <v>0</v>
      </c>
      <c r="AK22" s="139" t="str">
        <f t="shared" si="11"/>
        <v>-</v>
      </c>
      <c r="AL22" s="252">
        <v>0</v>
      </c>
      <c r="AM22" s="253">
        <v>0</v>
      </c>
      <c r="AN22" s="139" t="str">
        <f t="shared" si="12"/>
        <v>-</v>
      </c>
      <c r="AO22" s="20">
        <v>0</v>
      </c>
      <c r="AP22" s="21">
        <v>0</v>
      </c>
      <c r="AQ22" s="139" t="str">
        <f t="shared" si="42"/>
        <v>-</v>
      </c>
      <c r="AR22" s="20">
        <v>0</v>
      </c>
      <c r="AS22" s="21">
        <v>0</v>
      </c>
      <c r="AT22" s="139" t="str">
        <f t="shared" si="43"/>
        <v>-</v>
      </c>
      <c r="AU22" s="257">
        <v>0</v>
      </c>
      <c r="AV22" s="253">
        <v>0</v>
      </c>
      <c r="AW22" s="139" t="str">
        <f t="shared" si="44"/>
        <v>-</v>
      </c>
      <c r="AX22" s="20">
        <v>0</v>
      </c>
      <c r="AY22" s="21">
        <v>0</v>
      </c>
      <c r="AZ22" s="139" t="str">
        <f t="shared" si="45"/>
        <v>-</v>
      </c>
      <c r="BA22" s="20">
        <v>0</v>
      </c>
      <c r="BB22" s="21">
        <v>0</v>
      </c>
      <c r="BC22" s="139" t="str">
        <f t="shared" si="17"/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20">
        <v>0</v>
      </c>
      <c r="BK22" s="21">
        <v>0</v>
      </c>
      <c r="BL22" s="139" t="str">
        <f t="shared" si="20"/>
        <v>-</v>
      </c>
      <c r="BM22" s="117">
        <f t="shared" si="23"/>
        <v>10</v>
      </c>
      <c r="BN22" s="120">
        <f t="shared" si="46"/>
        <v>2</v>
      </c>
      <c r="BO22" s="147">
        <f t="shared" si="22"/>
        <v>5</v>
      </c>
    </row>
    <row r="23" spans="1:67" ht="15" thickBot="1" x14ac:dyDescent="0.35">
      <c r="A23" s="1">
        <v>45431</v>
      </c>
      <c r="B23" s="20">
        <v>0</v>
      </c>
      <c r="C23" s="21">
        <v>0</v>
      </c>
      <c r="D23" s="139" t="str">
        <f t="shared" si="0"/>
        <v>-</v>
      </c>
      <c r="E23" s="20">
        <v>0</v>
      </c>
      <c r="F23" s="21">
        <v>0</v>
      </c>
      <c r="G23" s="139" t="str">
        <f t="shared" si="47"/>
        <v>-</v>
      </c>
      <c r="H23" s="20">
        <v>0</v>
      </c>
      <c r="I23" s="21">
        <v>0</v>
      </c>
      <c r="J23" s="139" t="str">
        <f t="shared" si="2"/>
        <v>-</v>
      </c>
      <c r="K23" s="20">
        <v>0</v>
      </c>
      <c r="L23" s="21">
        <v>0</v>
      </c>
      <c r="M23" s="139" t="str">
        <f t="shared" si="3"/>
        <v>-</v>
      </c>
      <c r="N23" s="20">
        <v>0</v>
      </c>
      <c r="O23" s="21">
        <v>0</v>
      </c>
      <c r="P23" s="139" t="str">
        <f t="shared" si="4"/>
        <v>-</v>
      </c>
      <c r="Q23" s="20">
        <v>0</v>
      </c>
      <c r="R23" s="21">
        <v>0</v>
      </c>
      <c r="S23" s="139" t="str">
        <f t="shared" si="5"/>
        <v>-</v>
      </c>
      <c r="T23" s="20">
        <v>0</v>
      </c>
      <c r="U23" s="21">
        <v>0</v>
      </c>
      <c r="V23" s="139" t="str">
        <f t="shared" si="6"/>
        <v>-</v>
      </c>
      <c r="W23" s="20">
        <v>0</v>
      </c>
      <c r="X23" s="21">
        <v>0</v>
      </c>
      <c r="Y23" s="139" t="str">
        <f t="shared" si="38"/>
        <v>-</v>
      </c>
      <c r="Z23" s="20">
        <v>0</v>
      </c>
      <c r="AA23" s="21">
        <v>0</v>
      </c>
      <c r="AB23" s="139" t="str">
        <f t="shared" si="39"/>
        <v>-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0</v>
      </c>
      <c r="AJ23" s="21">
        <v>0</v>
      </c>
      <c r="AK23" s="139" t="str">
        <f t="shared" si="11"/>
        <v>-</v>
      </c>
      <c r="AL23" s="252">
        <v>0</v>
      </c>
      <c r="AM23" s="253">
        <v>0</v>
      </c>
      <c r="AN23" s="139" t="str">
        <f t="shared" si="12"/>
        <v>-</v>
      </c>
      <c r="AO23" s="20">
        <v>0</v>
      </c>
      <c r="AP23" s="21">
        <v>0</v>
      </c>
      <c r="AQ23" s="139" t="str">
        <f t="shared" si="42"/>
        <v>-</v>
      </c>
      <c r="AR23" s="20">
        <v>0</v>
      </c>
      <c r="AS23" s="21">
        <v>0</v>
      </c>
      <c r="AT23" s="139" t="str">
        <f t="shared" si="43"/>
        <v>-</v>
      </c>
      <c r="AU23" s="257">
        <v>0</v>
      </c>
      <c r="AV23" s="253">
        <v>0</v>
      </c>
      <c r="AW23" s="139" t="str">
        <f t="shared" si="44"/>
        <v>-</v>
      </c>
      <c r="AX23" s="20">
        <v>0</v>
      </c>
      <c r="AY23" s="21">
        <v>0</v>
      </c>
      <c r="AZ23" s="139" t="str">
        <f t="shared" si="45"/>
        <v>-</v>
      </c>
      <c r="BA23" s="20">
        <v>0</v>
      </c>
      <c r="BB23" s="21">
        <v>0</v>
      </c>
      <c r="BC23" s="139" t="str">
        <f t="shared" si="17"/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0">
        <v>0</v>
      </c>
      <c r="BK23" s="21">
        <v>0</v>
      </c>
      <c r="BL23" s="139" t="str">
        <f t="shared" si="20"/>
        <v>-</v>
      </c>
      <c r="BM23" s="117">
        <f t="shared" si="23"/>
        <v>0</v>
      </c>
      <c r="BN23" s="120">
        <f>BK23+BH23+BE23+BB23+AY23+AV23+AS23+AP23+AM23+L23+R23+O23+I23+F24+AJ23+AG23+AD23+AA23+X23+C23</f>
        <v>0</v>
      </c>
      <c r="BO23" s="147" t="str">
        <f t="shared" si="22"/>
        <v/>
      </c>
    </row>
    <row r="24" spans="1:67" ht="15" thickBot="1" x14ac:dyDescent="0.35">
      <c r="A24" s="1">
        <v>45432</v>
      </c>
      <c r="B24" s="20">
        <v>16</v>
      </c>
      <c r="C24" s="21">
        <v>2</v>
      </c>
      <c r="D24" s="139" t="s">
        <v>32</v>
      </c>
      <c r="E24" s="20">
        <v>0</v>
      </c>
      <c r="F24" s="21">
        <v>0</v>
      </c>
      <c r="G24" s="139" t="s">
        <v>32</v>
      </c>
      <c r="H24" s="20">
        <v>6</v>
      </c>
      <c r="I24" s="21">
        <v>1</v>
      </c>
      <c r="J24" s="139">
        <f t="shared" si="2"/>
        <v>6</v>
      </c>
      <c r="K24" s="20">
        <v>16</v>
      </c>
      <c r="L24" s="21">
        <v>2</v>
      </c>
      <c r="M24" s="139">
        <f t="shared" si="3"/>
        <v>8</v>
      </c>
      <c r="N24" s="20">
        <v>40</v>
      </c>
      <c r="O24" s="21">
        <v>4</v>
      </c>
      <c r="P24" s="139">
        <f t="shared" si="4"/>
        <v>10</v>
      </c>
      <c r="Q24" s="20">
        <v>12</v>
      </c>
      <c r="R24" s="21">
        <v>2</v>
      </c>
      <c r="S24" s="139">
        <f t="shared" si="5"/>
        <v>6</v>
      </c>
      <c r="T24" s="20">
        <v>40</v>
      </c>
      <c r="U24" s="21">
        <v>8</v>
      </c>
      <c r="V24" s="139">
        <f t="shared" si="6"/>
        <v>5</v>
      </c>
      <c r="W24" s="20">
        <v>0</v>
      </c>
      <c r="X24" s="21">
        <v>0</v>
      </c>
      <c r="Y24" s="139" t="s">
        <v>32</v>
      </c>
      <c r="Z24" s="20">
        <v>0</v>
      </c>
      <c r="AA24" s="21">
        <v>0</v>
      </c>
      <c r="AB24" s="139" t="s">
        <v>32</v>
      </c>
      <c r="AC24" s="20">
        <v>0</v>
      </c>
      <c r="AD24" s="21">
        <v>0</v>
      </c>
      <c r="AE24" s="139" t="s">
        <v>32</v>
      </c>
      <c r="AF24" s="20">
        <v>0</v>
      </c>
      <c r="AG24" s="21">
        <v>0</v>
      </c>
      <c r="AH24" s="139" t="s">
        <v>32</v>
      </c>
      <c r="AI24" s="20">
        <v>0</v>
      </c>
      <c r="AJ24" s="21">
        <v>0</v>
      </c>
      <c r="AK24" s="139" t="s">
        <v>32</v>
      </c>
      <c r="AL24" s="252">
        <v>7</v>
      </c>
      <c r="AM24" s="253">
        <v>1</v>
      </c>
      <c r="AN24" s="139">
        <f t="shared" si="12"/>
        <v>7</v>
      </c>
      <c r="AO24" s="20">
        <v>0</v>
      </c>
      <c r="AP24" s="21">
        <v>0</v>
      </c>
      <c r="AQ24" s="139" t="str">
        <f t="shared" si="13"/>
        <v>-</v>
      </c>
      <c r="AR24" s="20">
        <v>0</v>
      </c>
      <c r="AS24" s="21">
        <v>0</v>
      </c>
      <c r="AT24" s="139" t="str">
        <f t="shared" si="14"/>
        <v>-</v>
      </c>
      <c r="AU24" s="256">
        <v>7</v>
      </c>
      <c r="AV24" s="253">
        <v>1</v>
      </c>
      <c r="AW24" s="139">
        <f t="shared" si="15"/>
        <v>7</v>
      </c>
      <c r="AX24" s="20">
        <v>0</v>
      </c>
      <c r="AY24" s="21">
        <v>0</v>
      </c>
      <c r="AZ24" s="139" t="str">
        <f t="shared" si="16"/>
        <v>-</v>
      </c>
      <c r="BA24" s="20">
        <v>0</v>
      </c>
      <c r="BB24" s="21">
        <v>0</v>
      </c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0">
        <v>0</v>
      </c>
      <c r="BK24" s="21">
        <v>0</v>
      </c>
      <c r="BL24" s="139" t="str">
        <f t="shared" si="20"/>
        <v>-</v>
      </c>
      <c r="BM24" s="117">
        <f t="shared" si="23"/>
        <v>144</v>
      </c>
      <c r="BN24" s="120">
        <f>BK24+BH24+BE24+BB24+AY24+AV24+AS24+AP24+AM24+L24+R24+O24+I24+F25+AJ24+AG24+AD24+AA24+X24+C24</f>
        <v>14</v>
      </c>
      <c r="BO24" s="147">
        <f t="shared" si="22"/>
        <v>10.285714285714286</v>
      </c>
    </row>
    <row r="25" spans="1:67" ht="15" thickBot="1" x14ac:dyDescent="0.35">
      <c r="A25" s="1">
        <v>45433</v>
      </c>
      <c r="B25" s="20">
        <v>31</v>
      </c>
      <c r="C25" s="21">
        <v>4</v>
      </c>
      <c r="D25" s="139" t="s">
        <v>32</v>
      </c>
      <c r="E25" s="20">
        <v>7</v>
      </c>
      <c r="F25" s="21">
        <v>1</v>
      </c>
      <c r="G25" s="139" t="s">
        <v>32</v>
      </c>
      <c r="H25" s="20">
        <v>0</v>
      </c>
      <c r="I25" s="21">
        <v>0</v>
      </c>
      <c r="J25" s="139" t="str">
        <f t="shared" si="2"/>
        <v>-</v>
      </c>
      <c r="K25" s="20">
        <v>32</v>
      </c>
      <c r="L25" s="21">
        <v>4</v>
      </c>
      <c r="M25" s="139">
        <f t="shared" si="3"/>
        <v>8</v>
      </c>
      <c r="N25" s="20">
        <v>25</v>
      </c>
      <c r="O25" s="21">
        <v>5</v>
      </c>
      <c r="P25" s="139">
        <f t="shared" si="4"/>
        <v>5</v>
      </c>
      <c r="Q25" s="20">
        <v>6</v>
      </c>
      <c r="R25" s="21">
        <v>1</v>
      </c>
      <c r="S25" s="139">
        <f t="shared" si="5"/>
        <v>6</v>
      </c>
      <c r="T25" s="20">
        <v>0</v>
      </c>
      <c r="U25" s="21">
        <v>0</v>
      </c>
      <c r="V25" s="139" t="str">
        <f t="shared" si="6"/>
        <v>-</v>
      </c>
      <c r="W25" s="20">
        <v>0</v>
      </c>
      <c r="X25" s="21">
        <v>0</v>
      </c>
      <c r="Y25" s="139" t="s">
        <v>32</v>
      </c>
      <c r="Z25" s="20">
        <v>0</v>
      </c>
      <c r="AA25" s="21">
        <v>0</v>
      </c>
      <c r="AB25" s="139" t="s">
        <v>32</v>
      </c>
      <c r="AC25" s="20">
        <v>0</v>
      </c>
      <c r="AD25" s="21">
        <v>0</v>
      </c>
      <c r="AE25" s="139" t="s">
        <v>32</v>
      </c>
      <c r="AF25" s="20">
        <v>0</v>
      </c>
      <c r="AG25" s="21">
        <v>0</v>
      </c>
      <c r="AH25" s="139" t="s">
        <v>32</v>
      </c>
      <c r="AI25" s="20">
        <v>0</v>
      </c>
      <c r="AJ25" s="21">
        <v>0</v>
      </c>
      <c r="AK25" s="139" t="s">
        <v>32</v>
      </c>
      <c r="AL25" s="252">
        <v>14</v>
      </c>
      <c r="AM25" s="253">
        <v>2</v>
      </c>
      <c r="AN25" s="139">
        <f t="shared" si="12"/>
        <v>7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si="14"/>
        <v>-</v>
      </c>
      <c r="AU25" s="257">
        <v>0</v>
      </c>
      <c r="AV25" s="253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>
        <v>6</v>
      </c>
      <c r="BB25" s="21">
        <v>1</v>
      </c>
      <c r="BC25" s="139">
        <f t="shared" si="17"/>
        <v>6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0">
        <v>0</v>
      </c>
      <c r="BK25" s="21">
        <v>0</v>
      </c>
      <c r="BL25" s="139" t="str">
        <f t="shared" si="20"/>
        <v>-</v>
      </c>
      <c r="BM25" s="117">
        <f t="shared" si="23"/>
        <v>121</v>
      </c>
      <c r="BN25" s="120">
        <f>BK25+BH25+BE25+BB25+AY25+AV25+AS25+AP25+AM25+L25+R25+O25+I25+F25+AJ26+AG25+AD25+AA25+X25+C25</f>
        <v>18</v>
      </c>
      <c r="BO25" s="147">
        <f t="shared" si="22"/>
        <v>6.7222222222222223</v>
      </c>
    </row>
    <row r="26" spans="1:67" ht="15" thickBot="1" x14ac:dyDescent="0.35">
      <c r="A26" s="1">
        <v>45434</v>
      </c>
      <c r="B26" s="20">
        <v>41</v>
      </c>
      <c r="C26" s="21">
        <v>5</v>
      </c>
      <c r="D26" s="139">
        <f t="shared" si="0"/>
        <v>8.1999999999999993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2"/>
        <v>-</v>
      </c>
      <c r="K26" s="20">
        <v>26</v>
      </c>
      <c r="L26" s="21">
        <v>3</v>
      </c>
      <c r="M26" s="139">
        <f t="shared" si="3"/>
        <v>8.6666666666666661</v>
      </c>
      <c r="N26" s="20">
        <v>42</v>
      </c>
      <c r="O26" s="21">
        <v>9</v>
      </c>
      <c r="P26" s="139">
        <f t="shared" si="4"/>
        <v>4.666666666666667</v>
      </c>
      <c r="Q26" s="20">
        <v>0</v>
      </c>
      <c r="R26" s="21">
        <v>0</v>
      </c>
      <c r="S26" s="139" t="str">
        <f t="shared" si="5"/>
        <v>-</v>
      </c>
      <c r="T26" s="20">
        <v>0</v>
      </c>
      <c r="U26" s="21">
        <v>0</v>
      </c>
      <c r="V26" s="139" t="str">
        <f t="shared" si="6"/>
        <v>-</v>
      </c>
      <c r="W26" s="20">
        <v>4</v>
      </c>
      <c r="X26" s="21">
        <v>1</v>
      </c>
      <c r="Y26" s="139" t="s">
        <v>32</v>
      </c>
      <c r="Z26" s="20">
        <v>0</v>
      </c>
      <c r="AA26" s="21">
        <v>0</v>
      </c>
      <c r="AB26" s="139" t="s">
        <v>32</v>
      </c>
      <c r="AC26" s="20">
        <v>0</v>
      </c>
      <c r="AD26" s="21">
        <v>0</v>
      </c>
      <c r="AE26" s="139" t="s">
        <v>32</v>
      </c>
      <c r="AF26" s="20">
        <v>0</v>
      </c>
      <c r="AG26" s="21">
        <v>0</v>
      </c>
      <c r="AH26" s="139" t="s">
        <v>32</v>
      </c>
      <c r="AI26" s="20">
        <v>0</v>
      </c>
      <c r="AJ26" s="21">
        <v>0</v>
      </c>
      <c r="AK26" s="139" t="s">
        <v>32</v>
      </c>
      <c r="AL26" s="252">
        <v>28</v>
      </c>
      <c r="AM26" s="253">
        <v>4</v>
      </c>
      <c r="AN26" s="139" t="s">
        <v>32</v>
      </c>
      <c r="AO26" s="20">
        <v>0</v>
      </c>
      <c r="AP26" s="21">
        <v>0</v>
      </c>
      <c r="AQ26" s="139" t="s">
        <v>32</v>
      </c>
      <c r="AR26" s="20">
        <v>0</v>
      </c>
      <c r="AS26" s="21">
        <v>0</v>
      </c>
      <c r="AT26" s="139" t="s">
        <v>32</v>
      </c>
      <c r="AU26" s="257">
        <v>0</v>
      </c>
      <c r="AV26" s="253">
        <v>0</v>
      </c>
      <c r="AW26" s="139" t="s">
        <v>32</v>
      </c>
      <c r="AX26" s="20">
        <v>0</v>
      </c>
      <c r="AY26" s="21">
        <v>0</v>
      </c>
      <c r="AZ26" s="139" t="s">
        <v>32</v>
      </c>
      <c r="BA26" s="20">
        <v>6</v>
      </c>
      <c r="BB26" s="21">
        <v>1</v>
      </c>
      <c r="BC26" s="139" t="s">
        <v>32</v>
      </c>
      <c r="BD26" s="20">
        <v>0</v>
      </c>
      <c r="BE26" s="21">
        <v>0</v>
      </c>
      <c r="BF26" s="139" t="s">
        <v>32</v>
      </c>
      <c r="BG26" s="20">
        <v>0</v>
      </c>
      <c r="BH26" s="21">
        <v>0</v>
      </c>
      <c r="BI26" s="139" t="s">
        <v>32</v>
      </c>
      <c r="BJ26" s="20">
        <v>0</v>
      </c>
      <c r="BK26" s="21">
        <v>0</v>
      </c>
      <c r="BL26" s="139" t="s">
        <v>32</v>
      </c>
      <c r="BM26" s="117">
        <f t="shared" si="23"/>
        <v>147</v>
      </c>
      <c r="BN26" s="120">
        <f>BK26+BH26+BE26+BB26+AY26+AV26+AS26+AP26+AM26+L26+R26+O26+I26+F26+AJ27+AG26+AD26+AA26+X26+C26</f>
        <v>23</v>
      </c>
      <c r="BO26" s="147">
        <f t="shared" si="22"/>
        <v>6.3913043478260869</v>
      </c>
    </row>
    <row r="27" spans="1:67" ht="15" thickBot="1" x14ac:dyDescent="0.35">
      <c r="A27" s="1">
        <v>45435</v>
      </c>
      <c r="B27" s="20">
        <v>23</v>
      </c>
      <c r="C27" s="21">
        <v>3</v>
      </c>
      <c r="D27" s="139">
        <f t="shared" si="0"/>
        <v>7.666666666666667</v>
      </c>
      <c r="E27" s="20">
        <v>7</v>
      </c>
      <c r="F27" s="21">
        <v>1</v>
      </c>
      <c r="G27" s="139">
        <f t="shared" si="1"/>
        <v>7</v>
      </c>
      <c r="H27" s="20">
        <v>6</v>
      </c>
      <c r="I27" s="21">
        <v>1</v>
      </c>
      <c r="J27" s="139">
        <f t="shared" si="2"/>
        <v>6</v>
      </c>
      <c r="K27" s="20">
        <v>8</v>
      </c>
      <c r="L27" s="21">
        <v>1</v>
      </c>
      <c r="M27" s="139">
        <f t="shared" si="3"/>
        <v>8</v>
      </c>
      <c r="N27" s="20">
        <v>33</v>
      </c>
      <c r="O27" s="21">
        <v>6</v>
      </c>
      <c r="P27" s="139">
        <f t="shared" si="4"/>
        <v>5.5</v>
      </c>
      <c r="Q27" s="20">
        <v>0</v>
      </c>
      <c r="R27" s="21">
        <v>0</v>
      </c>
      <c r="S27" s="139" t="str">
        <f t="shared" si="5"/>
        <v>-</v>
      </c>
      <c r="T27" s="20">
        <v>6</v>
      </c>
      <c r="U27" s="21">
        <v>1</v>
      </c>
      <c r="V27" s="139">
        <f t="shared" si="6"/>
        <v>6</v>
      </c>
      <c r="W27" s="20">
        <v>0</v>
      </c>
      <c r="X27" s="21">
        <v>0</v>
      </c>
      <c r="Y27" s="139" t="s">
        <v>32</v>
      </c>
      <c r="Z27" s="20">
        <v>0</v>
      </c>
      <c r="AA27" s="21">
        <v>0</v>
      </c>
      <c r="AB27" s="139" t="s">
        <v>32</v>
      </c>
      <c r="AC27" s="20">
        <v>4</v>
      </c>
      <c r="AD27" s="21">
        <v>1</v>
      </c>
      <c r="AE27" s="139" t="s">
        <v>32</v>
      </c>
      <c r="AF27" s="20">
        <v>0</v>
      </c>
      <c r="AG27" s="21">
        <v>0</v>
      </c>
      <c r="AH27" s="139" t="s">
        <v>32</v>
      </c>
      <c r="AI27" s="20">
        <v>0</v>
      </c>
      <c r="AJ27" s="21">
        <v>0</v>
      </c>
      <c r="AK27" s="139" t="s">
        <v>32</v>
      </c>
      <c r="AL27" s="252">
        <v>14</v>
      </c>
      <c r="AM27" s="253">
        <v>2</v>
      </c>
      <c r="AN27" s="139">
        <f t="shared" si="12"/>
        <v>7</v>
      </c>
      <c r="AO27" s="20">
        <v>0</v>
      </c>
      <c r="AP27" s="21">
        <v>0</v>
      </c>
      <c r="AQ27" s="139" t="s">
        <v>32</v>
      </c>
      <c r="AR27" s="20">
        <v>0</v>
      </c>
      <c r="AS27" s="21">
        <v>0</v>
      </c>
      <c r="AT27" s="139" t="str">
        <f t="shared" ref="AT27:AT34" si="48">IF(AS27=0,"-",AR27/AS27)</f>
        <v>-</v>
      </c>
      <c r="AU27" s="257">
        <v>0</v>
      </c>
      <c r="AV27" s="253">
        <v>0</v>
      </c>
      <c r="AW27" s="139" t="s">
        <v>32</v>
      </c>
      <c r="AX27" s="20">
        <v>0</v>
      </c>
      <c r="AY27" s="21">
        <v>0</v>
      </c>
      <c r="AZ27" s="139" t="s">
        <v>32</v>
      </c>
      <c r="BA27" s="20">
        <v>0</v>
      </c>
      <c r="BB27" s="21">
        <v>0</v>
      </c>
      <c r="BC27" s="139" t="s">
        <v>32</v>
      </c>
      <c r="BD27" s="20">
        <v>0</v>
      </c>
      <c r="BE27" s="21">
        <v>0</v>
      </c>
      <c r="BF27" s="139" t="s">
        <v>32</v>
      </c>
      <c r="BG27" s="20">
        <v>0</v>
      </c>
      <c r="BH27" s="21">
        <v>0</v>
      </c>
      <c r="BI27" s="139" t="s">
        <v>32</v>
      </c>
      <c r="BJ27" s="20">
        <v>0</v>
      </c>
      <c r="BK27" s="21">
        <v>0</v>
      </c>
      <c r="BL27" s="139" t="s">
        <v>32</v>
      </c>
      <c r="BM27" s="117">
        <f t="shared" si="23"/>
        <v>101</v>
      </c>
      <c r="BN27" s="120">
        <f>BK27+BH27+BE27+BB27+AY27+AV27+AS27+AP27+AM27+L27+R27+O27+I27+F27+AJ28+AG27+AD27+AA27+X27+C27</f>
        <v>15</v>
      </c>
      <c r="BO27" s="147">
        <f t="shared" si="22"/>
        <v>6.7333333333333334</v>
      </c>
    </row>
    <row r="28" spans="1:67" ht="15" thickBot="1" x14ac:dyDescent="0.35">
      <c r="A28" s="1">
        <v>45436</v>
      </c>
      <c r="B28" s="20">
        <v>38</v>
      </c>
      <c r="C28" s="21">
        <v>5</v>
      </c>
      <c r="D28" s="139">
        <f t="shared" si="0"/>
        <v>7.6</v>
      </c>
      <c r="E28" s="20">
        <v>0</v>
      </c>
      <c r="F28" s="21">
        <v>0</v>
      </c>
      <c r="G28" s="139" t="str">
        <f t="shared" si="1"/>
        <v>-</v>
      </c>
      <c r="H28" s="20">
        <v>8</v>
      </c>
      <c r="I28" s="21">
        <v>1</v>
      </c>
      <c r="J28" s="139">
        <f t="shared" si="2"/>
        <v>8</v>
      </c>
      <c r="K28" s="20">
        <v>32</v>
      </c>
      <c r="L28" s="21">
        <v>4</v>
      </c>
      <c r="M28" s="139">
        <f t="shared" si="3"/>
        <v>8</v>
      </c>
      <c r="N28" s="20">
        <v>48</v>
      </c>
      <c r="O28" s="21">
        <v>9</v>
      </c>
      <c r="P28" s="139">
        <f t="shared" si="4"/>
        <v>5.333333333333333</v>
      </c>
      <c r="Q28" s="20">
        <v>6</v>
      </c>
      <c r="R28" s="21">
        <v>1</v>
      </c>
      <c r="S28" s="139">
        <f t="shared" si="5"/>
        <v>6</v>
      </c>
      <c r="T28" s="20">
        <v>0</v>
      </c>
      <c r="U28" s="21">
        <v>0</v>
      </c>
      <c r="V28" s="139" t="str">
        <f t="shared" si="6"/>
        <v>-</v>
      </c>
      <c r="W28" s="20">
        <v>0</v>
      </c>
      <c r="X28" s="21">
        <v>0</v>
      </c>
      <c r="Y28" s="139" t="s">
        <v>32</v>
      </c>
      <c r="Z28" s="20">
        <v>0</v>
      </c>
      <c r="AA28" s="21">
        <v>0</v>
      </c>
      <c r="AB28" s="139" t="s">
        <v>32</v>
      </c>
      <c r="AC28" s="20">
        <v>6</v>
      </c>
      <c r="AD28" s="21">
        <v>2</v>
      </c>
      <c r="AE28" s="139" t="s">
        <v>32</v>
      </c>
      <c r="AF28" s="20">
        <v>0</v>
      </c>
      <c r="AG28" s="21">
        <v>0</v>
      </c>
      <c r="AH28" s="139" t="s">
        <v>32</v>
      </c>
      <c r="AI28" s="20">
        <v>0</v>
      </c>
      <c r="AJ28" s="21">
        <v>0</v>
      </c>
      <c r="AK28" s="139" t="s">
        <v>32</v>
      </c>
      <c r="AL28" s="20">
        <v>35</v>
      </c>
      <c r="AM28" s="21">
        <v>5</v>
      </c>
      <c r="AN28" s="139">
        <f t="shared" si="12"/>
        <v>7</v>
      </c>
      <c r="AO28" s="20">
        <v>0</v>
      </c>
      <c r="AP28" s="21">
        <v>0</v>
      </c>
      <c r="AQ28" s="139" t="s">
        <v>32</v>
      </c>
      <c r="AR28" s="20">
        <v>0</v>
      </c>
      <c r="AS28" s="21">
        <v>0</v>
      </c>
      <c r="AT28" s="139" t="str">
        <f t="shared" ref="AT28:AT30" si="49">IF(AS28=0,"-",AR28/AS28)</f>
        <v>-</v>
      </c>
      <c r="AU28" s="257">
        <v>0</v>
      </c>
      <c r="AV28" s="253">
        <v>0</v>
      </c>
      <c r="AW28" s="139" t="s">
        <v>32</v>
      </c>
      <c r="AX28" s="20">
        <v>0</v>
      </c>
      <c r="AY28" s="21">
        <v>0</v>
      </c>
      <c r="AZ28" s="139" t="s">
        <v>32</v>
      </c>
      <c r="BA28" s="20">
        <v>6</v>
      </c>
      <c r="BB28" s="21">
        <v>1</v>
      </c>
      <c r="BC28" s="139">
        <f t="shared" si="17"/>
        <v>6</v>
      </c>
      <c r="BD28" s="20">
        <v>0</v>
      </c>
      <c r="BE28" s="21">
        <v>0</v>
      </c>
      <c r="BF28" s="139" t="s">
        <v>32</v>
      </c>
      <c r="BG28" s="20">
        <v>0</v>
      </c>
      <c r="BH28" s="21">
        <v>0</v>
      </c>
      <c r="BI28" s="139" t="s">
        <v>32</v>
      </c>
      <c r="BJ28" s="20">
        <v>0</v>
      </c>
      <c r="BK28" s="21">
        <v>0</v>
      </c>
      <c r="BL28" s="139" t="s">
        <v>32</v>
      </c>
      <c r="BM28" s="117">
        <f t="shared" si="23"/>
        <v>179</v>
      </c>
      <c r="BN28" s="120">
        <f t="shared" si="46"/>
        <v>28</v>
      </c>
      <c r="BO28" s="147">
        <f t="shared" si="22"/>
        <v>6.3928571428571432</v>
      </c>
    </row>
    <row r="29" spans="1:67" ht="15" thickBot="1" x14ac:dyDescent="0.35">
      <c r="A29" s="1">
        <v>45437</v>
      </c>
      <c r="B29" s="20">
        <v>18</v>
      </c>
      <c r="C29" s="21">
        <v>3</v>
      </c>
      <c r="D29" s="139">
        <f t="shared" si="0"/>
        <v>6</v>
      </c>
      <c r="E29" s="20">
        <v>0</v>
      </c>
      <c r="F29" s="21">
        <v>0</v>
      </c>
      <c r="G29" s="139" t="str">
        <f t="shared" ref="G29" si="50">IF(F29=0,"-",E29/F29)</f>
        <v>-</v>
      </c>
      <c r="H29" s="20">
        <v>0</v>
      </c>
      <c r="I29" s="21">
        <v>0</v>
      </c>
      <c r="J29" s="139" t="str">
        <f t="shared" si="2"/>
        <v>-</v>
      </c>
      <c r="K29" s="20">
        <v>0</v>
      </c>
      <c r="L29" s="21">
        <v>0</v>
      </c>
      <c r="M29" s="139" t="str">
        <f t="shared" si="3"/>
        <v>-</v>
      </c>
      <c r="N29" s="23">
        <v>0</v>
      </c>
      <c r="O29" s="21">
        <v>0</v>
      </c>
      <c r="P29" s="139" t="s">
        <v>32</v>
      </c>
      <c r="Q29" s="20">
        <v>0</v>
      </c>
      <c r="R29" s="21">
        <v>0</v>
      </c>
      <c r="S29" s="139" t="str">
        <f t="shared" si="5"/>
        <v>-</v>
      </c>
      <c r="T29" s="20">
        <v>0</v>
      </c>
      <c r="U29" s="21">
        <v>0</v>
      </c>
      <c r="V29" s="139" t="str">
        <f t="shared" ref="V29:V30" si="51">IF(U29=0,"-",T29/U29)</f>
        <v>-</v>
      </c>
      <c r="W29" s="20">
        <v>0</v>
      </c>
      <c r="X29" s="21">
        <v>0</v>
      </c>
      <c r="Y29" s="139" t="str">
        <f t="shared" si="7"/>
        <v>-</v>
      </c>
      <c r="Z29" s="20">
        <v>0</v>
      </c>
      <c r="AA29" s="21">
        <v>0</v>
      </c>
      <c r="AB29" s="139" t="s">
        <v>32</v>
      </c>
      <c r="AC29" s="20">
        <v>1</v>
      </c>
      <c r="AD29" s="21">
        <v>2</v>
      </c>
      <c r="AE29" s="139">
        <f t="shared" ref="AE29:AE32" si="52">IF(AD29=0,"-",AC29/AD29)</f>
        <v>0.5</v>
      </c>
      <c r="AF29" s="20">
        <v>0</v>
      </c>
      <c r="AG29" s="21">
        <v>0</v>
      </c>
      <c r="AH29" s="139" t="s">
        <v>32</v>
      </c>
      <c r="AI29" s="20">
        <v>0</v>
      </c>
      <c r="AJ29" s="21">
        <v>0</v>
      </c>
      <c r="AK29" s="139" t="str">
        <f t="shared" si="11"/>
        <v>-</v>
      </c>
      <c r="AL29" s="20">
        <v>0</v>
      </c>
      <c r="AM29" s="21">
        <v>0</v>
      </c>
      <c r="AN29" s="139" t="str">
        <f t="shared" si="12"/>
        <v>-</v>
      </c>
      <c r="AO29" s="20">
        <v>0</v>
      </c>
      <c r="AP29" s="21">
        <v>0</v>
      </c>
      <c r="AQ29" s="139" t="s">
        <v>32</v>
      </c>
      <c r="AR29" s="20">
        <v>0</v>
      </c>
      <c r="AS29" s="21">
        <v>0</v>
      </c>
      <c r="AT29" s="139" t="str">
        <f t="shared" si="49"/>
        <v>-</v>
      </c>
      <c r="AU29" s="20">
        <v>7</v>
      </c>
      <c r="AV29" s="21">
        <v>1</v>
      </c>
      <c r="AW29" s="139">
        <f t="shared" si="15"/>
        <v>7</v>
      </c>
      <c r="AX29" s="20">
        <v>0</v>
      </c>
      <c r="AY29" s="21">
        <v>0</v>
      </c>
      <c r="AZ29" s="139" t="s">
        <v>32</v>
      </c>
      <c r="BA29" s="20">
        <v>0</v>
      </c>
      <c r="BB29" s="21">
        <v>0</v>
      </c>
      <c r="BC29" s="139" t="s">
        <v>32</v>
      </c>
      <c r="BD29" s="20">
        <v>0</v>
      </c>
      <c r="BE29" s="21">
        <v>0</v>
      </c>
      <c r="BF29" s="139" t="s">
        <v>32</v>
      </c>
      <c r="BG29" s="20">
        <v>0</v>
      </c>
      <c r="BH29" s="21">
        <v>0</v>
      </c>
      <c r="BI29" s="139" t="s">
        <v>32</v>
      </c>
      <c r="BJ29" s="20">
        <v>0</v>
      </c>
      <c r="BK29" s="21">
        <v>0</v>
      </c>
      <c r="BL29" s="139" t="s">
        <v>32</v>
      </c>
      <c r="BM29" s="117">
        <f t="shared" si="23"/>
        <v>26</v>
      </c>
      <c r="BN29" s="120">
        <f t="shared" si="46"/>
        <v>6</v>
      </c>
      <c r="BO29" s="147">
        <f t="shared" si="22"/>
        <v>4.333333333333333</v>
      </c>
    </row>
    <row r="30" spans="1:67" ht="15" thickBot="1" x14ac:dyDescent="0.35">
      <c r="A30" s="1">
        <v>45438</v>
      </c>
      <c r="B30" s="20">
        <v>0</v>
      </c>
      <c r="C30" s="21">
        <v>0</v>
      </c>
      <c r="D30" s="139" t="str">
        <f t="shared" si="0"/>
        <v>-</v>
      </c>
      <c r="E30" s="20">
        <v>0</v>
      </c>
      <c r="F30" s="21">
        <v>0</v>
      </c>
      <c r="G30" s="139" t="str">
        <f t="shared" si="1"/>
        <v>-</v>
      </c>
      <c r="H30" s="20">
        <v>0</v>
      </c>
      <c r="I30" s="21">
        <v>0</v>
      </c>
      <c r="J30" s="139" t="s">
        <v>32</v>
      </c>
      <c r="K30" s="20">
        <v>0</v>
      </c>
      <c r="L30" s="21">
        <v>0</v>
      </c>
      <c r="M30" s="139" t="s">
        <v>32</v>
      </c>
      <c r="N30" s="23">
        <v>0</v>
      </c>
      <c r="O30" s="21">
        <v>0</v>
      </c>
      <c r="P30" s="139" t="s">
        <v>32</v>
      </c>
      <c r="Q30" s="20">
        <v>0</v>
      </c>
      <c r="R30" s="21">
        <v>0</v>
      </c>
      <c r="S30" s="139" t="str">
        <f t="shared" si="5"/>
        <v>-</v>
      </c>
      <c r="T30" s="20">
        <v>12</v>
      </c>
      <c r="U30" s="21">
        <v>2</v>
      </c>
      <c r="V30" s="139">
        <f t="shared" si="51"/>
        <v>6</v>
      </c>
      <c r="W30" s="20">
        <v>5</v>
      </c>
      <c r="X30" s="21">
        <v>1</v>
      </c>
      <c r="Y30" s="139">
        <f t="shared" si="7"/>
        <v>5</v>
      </c>
      <c r="Z30" s="20">
        <v>0</v>
      </c>
      <c r="AA30" s="21">
        <v>0</v>
      </c>
      <c r="AB30" s="139" t="s">
        <v>32</v>
      </c>
      <c r="AC30" s="20">
        <v>0</v>
      </c>
      <c r="AD30" s="21">
        <v>0</v>
      </c>
      <c r="AE30" s="139" t="str">
        <f t="shared" si="52"/>
        <v>-</v>
      </c>
      <c r="AF30" s="20">
        <v>0</v>
      </c>
      <c r="AG30" s="21">
        <v>0</v>
      </c>
      <c r="AH30" s="139" t="s">
        <v>32</v>
      </c>
      <c r="AI30" s="20">
        <v>0</v>
      </c>
      <c r="AJ30" s="21">
        <v>0</v>
      </c>
      <c r="AK30" s="139" t="str">
        <f t="shared" si="11"/>
        <v>-</v>
      </c>
      <c r="AL30" s="20">
        <v>0</v>
      </c>
      <c r="AM30" s="21">
        <v>0</v>
      </c>
      <c r="AN30" s="139" t="str">
        <f t="shared" si="12"/>
        <v>-</v>
      </c>
      <c r="AO30" s="20">
        <v>0</v>
      </c>
      <c r="AP30" s="21">
        <v>0</v>
      </c>
      <c r="AQ30" s="139" t="s">
        <v>32</v>
      </c>
      <c r="AR30" s="20">
        <v>0</v>
      </c>
      <c r="AS30" s="21">
        <v>0</v>
      </c>
      <c r="AT30" s="139" t="str">
        <f t="shared" si="49"/>
        <v>-</v>
      </c>
      <c r="AU30" s="20">
        <v>0</v>
      </c>
      <c r="AV30" s="21">
        <v>0</v>
      </c>
      <c r="AW30" s="139" t="str">
        <f t="shared" si="15"/>
        <v>-</v>
      </c>
      <c r="AX30" s="20">
        <v>0</v>
      </c>
      <c r="AY30" s="21">
        <v>0</v>
      </c>
      <c r="AZ30" s="139" t="s">
        <v>32</v>
      </c>
      <c r="BA30" s="20">
        <v>0</v>
      </c>
      <c r="BB30" s="21">
        <v>0</v>
      </c>
      <c r="BC30" s="139" t="s">
        <v>32</v>
      </c>
      <c r="BD30" s="20">
        <v>0</v>
      </c>
      <c r="BE30" s="21">
        <v>0</v>
      </c>
      <c r="BF30" s="139" t="s">
        <v>32</v>
      </c>
      <c r="BG30" s="20">
        <v>0</v>
      </c>
      <c r="BH30" s="21">
        <v>0</v>
      </c>
      <c r="BI30" s="139" t="s">
        <v>32</v>
      </c>
      <c r="BJ30" s="20">
        <v>0</v>
      </c>
      <c r="BK30" s="21">
        <v>0</v>
      </c>
      <c r="BL30" s="139" t="s">
        <v>32</v>
      </c>
      <c r="BM30" s="117">
        <f t="shared" si="23"/>
        <v>17</v>
      </c>
      <c r="BN30" s="120">
        <f t="shared" si="46"/>
        <v>1</v>
      </c>
      <c r="BO30" s="147">
        <f t="shared" si="22"/>
        <v>17</v>
      </c>
    </row>
    <row r="31" spans="1:67" ht="15" thickBot="1" x14ac:dyDescent="0.35">
      <c r="A31" s="1">
        <v>45439</v>
      </c>
      <c r="B31" s="20">
        <v>26</v>
      </c>
      <c r="C31" s="21">
        <v>3</v>
      </c>
      <c r="D31" s="139">
        <f t="shared" si="0"/>
        <v>8.6666666666666661</v>
      </c>
      <c r="E31" s="20">
        <v>0</v>
      </c>
      <c r="F31" s="21">
        <v>0</v>
      </c>
      <c r="G31" s="139" t="str">
        <f t="shared" si="1"/>
        <v>-</v>
      </c>
      <c r="H31" s="20">
        <v>6</v>
      </c>
      <c r="I31" s="21">
        <v>1</v>
      </c>
      <c r="J31" s="139" t="s">
        <v>32</v>
      </c>
      <c r="K31" s="20">
        <v>0</v>
      </c>
      <c r="L31" s="21">
        <v>0</v>
      </c>
      <c r="M31" s="139" t="s">
        <v>32</v>
      </c>
      <c r="N31" s="20">
        <v>67</v>
      </c>
      <c r="O31" s="21">
        <v>12</v>
      </c>
      <c r="P31" s="139" t="s">
        <v>32</v>
      </c>
      <c r="Q31" s="20">
        <v>0</v>
      </c>
      <c r="R31" s="21">
        <v>0</v>
      </c>
      <c r="S31" s="139" t="str">
        <f t="shared" si="5"/>
        <v>-</v>
      </c>
      <c r="T31" s="20">
        <v>0</v>
      </c>
      <c r="U31" s="21">
        <v>0</v>
      </c>
      <c r="V31" s="139" t="str">
        <f t="shared" si="6"/>
        <v>-</v>
      </c>
      <c r="W31" s="20">
        <v>0</v>
      </c>
      <c r="X31" s="21">
        <v>0</v>
      </c>
      <c r="Y31" s="139" t="str">
        <f t="shared" si="7"/>
        <v>-</v>
      </c>
      <c r="Z31" s="20">
        <v>0</v>
      </c>
      <c r="AA31" s="21">
        <v>0</v>
      </c>
      <c r="AB31" s="139" t="str">
        <f t="shared" ref="AB31:AB32" si="53">IF(AA31=0,"-",Z31/AA31)</f>
        <v>-</v>
      </c>
      <c r="AC31" s="20">
        <v>0</v>
      </c>
      <c r="AD31" s="21">
        <v>0</v>
      </c>
      <c r="AE31" s="139" t="str">
        <f t="shared" si="52"/>
        <v>-</v>
      </c>
      <c r="AF31" s="20">
        <v>0</v>
      </c>
      <c r="AG31" s="21">
        <v>0</v>
      </c>
      <c r="AH31" s="139" t="str">
        <f t="shared" si="10"/>
        <v>-</v>
      </c>
      <c r="AI31" s="20">
        <v>0</v>
      </c>
      <c r="AJ31" s="21">
        <v>0</v>
      </c>
      <c r="AK31" s="139" t="str">
        <f t="shared" si="11"/>
        <v>-</v>
      </c>
      <c r="AL31" s="20">
        <v>7</v>
      </c>
      <c r="AM31" s="21">
        <v>1</v>
      </c>
      <c r="AN31" s="139">
        <f t="shared" si="12"/>
        <v>7</v>
      </c>
      <c r="AO31" s="20">
        <v>0</v>
      </c>
      <c r="AP31" s="21">
        <v>0</v>
      </c>
      <c r="AQ31" s="139" t="str">
        <f t="shared" ref="AQ31:AQ34" si="54">IF(AP31=0,"-",AO31/AP31)</f>
        <v>-</v>
      </c>
      <c r="AR31" s="20">
        <v>0</v>
      </c>
      <c r="AS31" s="21">
        <v>0</v>
      </c>
      <c r="AT31" s="139" t="str">
        <f t="shared" si="48"/>
        <v>-</v>
      </c>
      <c r="AU31" s="20">
        <v>0</v>
      </c>
      <c r="AV31" s="21">
        <v>0</v>
      </c>
      <c r="AW31" s="139" t="str">
        <f t="shared" si="15"/>
        <v>-</v>
      </c>
      <c r="AX31" s="20">
        <v>0</v>
      </c>
      <c r="AY31" s="21">
        <v>0</v>
      </c>
      <c r="AZ31" s="139" t="str">
        <f t="shared" si="16"/>
        <v>-</v>
      </c>
      <c r="BA31" s="20">
        <v>0</v>
      </c>
      <c r="BB31" s="21">
        <v>0</v>
      </c>
      <c r="BC31" s="139" t="str">
        <f t="shared" si="17"/>
        <v>-</v>
      </c>
      <c r="BD31" s="20">
        <v>0</v>
      </c>
      <c r="BE31" s="21">
        <v>0</v>
      </c>
      <c r="BF31" s="139" t="str">
        <f t="shared" ref="BF31:BF32" si="55">IF(BE31=0,"-",BD31/BE31)</f>
        <v>-</v>
      </c>
      <c r="BG31" s="20">
        <v>0</v>
      </c>
      <c r="BH31" s="21">
        <v>0</v>
      </c>
      <c r="BI31" s="139" t="str">
        <f t="shared" ref="BI31" si="56">IF(BH31=0,"-",BG31/BH31)</f>
        <v>-</v>
      </c>
      <c r="BJ31" s="20">
        <v>0</v>
      </c>
      <c r="BK31" s="21">
        <v>0</v>
      </c>
      <c r="BL31" s="139" t="str">
        <f t="shared" ref="BL31" si="57">IF(BK31=0,"-",BJ31/BK31)</f>
        <v>-</v>
      </c>
      <c r="BM31" s="117">
        <f t="shared" si="23"/>
        <v>106</v>
      </c>
      <c r="BN31" s="120">
        <f t="shared" si="46"/>
        <v>17</v>
      </c>
      <c r="BO31" s="147">
        <f t="shared" si="22"/>
        <v>6.2352941176470589</v>
      </c>
    </row>
    <row r="32" spans="1:67" ht="15" thickBot="1" x14ac:dyDescent="0.35">
      <c r="A32" s="1">
        <v>45440</v>
      </c>
      <c r="B32" s="20">
        <v>0</v>
      </c>
      <c r="C32" s="21">
        <v>0</v>
      </c>
      <c r="D32" s="139" t="str">
        <f t="shared" si="0"/>
        <v>-</v>
      </c>
      <c r="E32" s="20">
        <v>0</v>
      </c>
      <c r="F32" s="21">
        <v>0</v>
      </c>
      <c r="G32" s="139" t="str">
        <f t="shared" si="1"/>
        <v>-</v>
      </c>
      <c r="H32" s="20">
        <v>0</v>
      </c>
      <c r="I32" s="21">
        <v>0</v>
      </c>
      <c r="J32" s="139" t="s">
        <v>32</v>
      </c>
      <c r="K32" s="20">
        <v>0</v>
      </c>
      <c r="L32" s="21">
        <v>0</v>
      </c>
      <c r="M32" s="139" t="s">
        <v>32</v>
      </c>
      <c r="N32" s="20">
        <v>23</v>
      </c>
      <c r="O32" s="21">
        <v>4</v>
      </c>
      <c r="P32" s="139" t="s">
        <v>32</v>
      </c>
      <c r="Q32" s="20">
        <v>0</v>
      </c>
      <c r="R32" s="21">
        <v>0</v>
      </c>
      <c r="S32" s="139" t="str">
        <f t="shared" ref="S32:S33" si="58">IF(R32=0,"-",Q32/R32)</f>
        <v>-</v>
      </c>
      <c r="T32" s="20">
        <v>0</v>
      </c>
      <c r="U32" s="21">
        <v>0</v>
      </c>
      <c r="V32" s="139" t="str">
        <f t="shared" ref="V32:V33" si="59">IF(U32=0,"-",T32/U32)</f>
        <v>-</v>
      </c>
      <c r="W32" s="20">
        <v>6</v>
      </c>
      <c r="X32" s="21">
        <v>1</v>
      </c>
      <c r="Y32" s="139">
        <f t="shared" si="7"/>
        <v>6</v>
      </c>
      <c r="Z32" s="20">
        <v>0</v>
      </c>
      <c r="AA32" s="21">
        <v>0</v>
      </c>
      <c r="AB32" s="139" t="str">
        <f t="shared" si="53"/>
        <v>-</v>
      </c>
      <c r="AC32" s="20">
        <v>0</v>
      </c>
      <c r="AD32" s="21">
        <v>0</v>
      </c>
      <c r="AE32" s="139" t="str">
        <f t="shared" si="52"/>
        <v>-</v>
      </c>
      <c r="AF32" s="20">
        <v>0</v>
      </c>
      <c r="AG32" s="21">
        <v>0</v>
      </c>
      <c r="AH32" s="139" t="str">
        <f t="shared" si="10"/>
        <v>-</v>
      </c>
      <c r="AI32" s="20">
        <v>0</v>
      </c>
      <c r="AJ32" s="21">
        <v>0</v>
      </c>
      <c r="AK32" s="139" t="str">
        <f t="shared" si="11"/>
        <v>-</v>
      </c>
      <c r="AL32" s="20">
        <v>0</v>
      </c>
      <c r="AM32" s="21">
        <v>0</v>
      </c>
      <c r="AN32" s="139" t="str">
        <f t="shared" si="12"/>
        <v>-</v>
      </c>
      <c r="AO32" s="20">
        <v>0</v>
      </c>
      <c r="AP32" s="21">
        <v>0</v>
      </c>
      <c r="AQ32" s="139" t="str">
        <f t="shared" si="54"/>
        <v>-</v>
      </c>
      <c r="AR32" s="20">
        <v>0</v>
      </c>
      <c r="AS32" s="21">
        <v>0</v>
      </c>
      <c r="AT32" s="139" t="str">
        <f t="shared" si="48"/>
        <v>-</v>
      </c>
      <c r="AU32" s="20">
        <v>0</v>
      </c>
      <c r="AV32" s="21">
        <v>0</v>
      </c>
      <c r="AW32" s="139" t="str">
        <f t="shared" si="15"/>
        <v>-</v>
      </c>
      <c r="AX32" s="20">
        <v>0</v>
      </c>
      <c r="AY32" s="21">
        <v>0</v>
      </c>
      <c r="AZ32" s="139" t="str">
        <f t="shared" si="16"/>
        <v>-</v>
      </c>
      <c r="BA32" s="20">
        <v>5</v>
      </c>
      <c r="BB32" s="21">
        <v>1</v>
      </c>
      <c r="BC32" s="139">
        <f t="shared" si="17"/>
        <v>5</v>
      </c>
      <c r="BD32" s="20">
        <v>0</v>
      </c>
      <c r="BE32" s="21">
        <v>0</v>
      </c>
      <c r="BF32" s="139" t="str">
        <f t="shared" si="55"/>
        <v>-</v>
      </c>
      <c r="BG32" s="20">
        <v>0</v>
      </c>
      <c r="BH32" s="21">
        <v>0</v>
      </c>
      <c r="BI32" s="139" t="str">
        <f t="shared" ref="BI32:BI33" si="60">IF(BH32=0,"-",BG32/BH32)</f>
        <v>-</v>
      </c>
      <c r="BJ32" s="20">
        <v>0</v>
      </c>
      <c r="BK32" s="21">
        <v>0</v>
      </c>
      <c r="BL32" s="139" t="str">
        <f t="shared" ref="BL32:BL33" si="61">IF(BK32=0,"-",BJ32/BK32)</f>
        <v>-</v>
      </c>
      <c r="BM32" s="117">
        <f t="shared" si="23"/>
        <v>34</v>
      </c>
      <c r="BN32" s="120">
        <f t="shared" si="46"/>
        <v>6</v>
      </c>
      <c r="BO32" s="147">
        <f t="shared" si="22"/>
        <v>5.666666666666667</v>
      </c>
    </row>
    <row r="33" spans="1:67" ht="15" thickBot="1" x14ac:dyDescent="0.35">
      <c r="A33" s="263">
        <v>45441</v>
      </c>
      <c r="B33" s="264">
        <v>0</v>
      </c>
      <c r="C33" s="265">
        <v>0</v>
      </c>
      <c r="D33" s="266" t="str">
        <f t="shared" si="0"/>
        <v>-</v>
      </c>
      <c r="E33" s="264">
        <v>0</v>
      </c>
      <c r="F33" s="265">
        <v>0</v>
      </c>
      <c r="G33" s="266" t="str">
        <f t="shared" si="1"/>
        <v>-</v>
      </c>
      <c r="H33" s="264">
        <v>0</v>
      </c>
      <c r="I33" s="265">
        <v>0</v>
      </c>
      <c r="J33" s="266" t="s">
        <v>32</v>
      </c>
      <c r="K33" s="264">
        <v>0</v>
      </c>
      <c r="L33" s="265">
        <v>0</v>
      </c>
      <c r="M33" s="266" t="s">
        <v>32</v>
      </c>
      <c r="N33" s="264">
        <v>0</v>
      </c>
      <c r="O33" s="265">
        <v>0</v>
      </c>
      <c r="P33" s="266" t="s">
        <v>32</v>
      </c>
      <c r="Q33" s="264">
        <v>0</v>
      </c>
      <c r="R33" s="265">
        <v>0</v>
      </c>
      <c r="S33" s="266" t="str">
        <f t="shared" si="58"/>
        <v>-</v>
      </c>
      <c r="T33" s="264">
        <v>0</v>
      </c>
      <c r="U33" s="265">
        <v>0</v>
      </c>
      <c r="V33" s="266" t="str">
        <f t="shared" si="59"/>
        <v>-</v>
      </c>
      <c r="W33" s="264">
        <v>0</v>
      </c>
      <c r="X33" s="265">
        <v>0</v>
      </c>
      <c r="Y33" s="266" t="str">
        <f t="shared" si="7"/>
        <v>-</v>
      </c>
      <c r="Z33" s="264">
        <v>0</v>
      </c>
      <c r="AA33" s="265">
        <v>0</v>
      </c>
      <c r="AB33" s="266" t="s">
        <v>32</v>
      </c>
      <c r="AC33" s="264">
        <v>0</v>
      </c>
      <c r="AD33" s="265">
        <v>0</v>
      </c>
      <c r="AE33" s="266" t="s">
        <v>32</v>
      </c>
      <c r="AF33" s="264">
        <v>0</v>
      </c>
      <c r="AG33" s="265">
        <v>0</v>
      </c>
      <c r="AH33" s="266" t="s">
        <v>32</v>
      </c>
      <c r="AI33" s="264">
        <v>0</v>
      </c>
      <c r="AJ33" s="265">
        <v>0</v>
      </c>
      <c r="AK33" s="266" t="str">
        <f t="shared" si="11"/>
        <v>-</v>
      </c>
      <c r="AL33" s="264">
        <v>0</v>
      </c>
      <c r="AM33" s="265">
        <v>0</v>
      </c>
      <c r="AN33" s="266" t="str">
        <f t="shared" si="12"/>
        <v>-</v>
      </c>
      <c r="AO33" s="264">
        <v>0</v>
      </c>
      <c r="AP33" s="265">
        <v>0</v>
      </c>
      <c r="AQ33" s="266" t="str">
        <f t="shared" si="54"/>
        <v>-</v>
      </c>
      <c r="AR33" s="264">
        <v>0</v>
      </c>
      <c r="AS33" s="265">
        <v>0</v>
      </c>
      <c r="AT33" s="266" t="str">
        <f t="shared" si="48"/>
        <v>-</v>
      </c>
      <c r="AU33" s="264">
        <v>0</v>
      </c>
      <c r="AV33" s="265">
        <v>0</v>
      </c>
      <c r="AW33" s="266" t="str">
        <f t="shared" si="15"/>
        <v>-</v>
      </c>
      <c r="AX33" s="264">
        <v>0</v>
      </c>
      <c r="AY33" s="265">
        <v>0</v>
      </c>
      <c r="AZ33" s="266" t="str">
        <f t="shared" si="16"/>
        <v>-</v>
      </c>
      <c r="BA33" s="264">
        <v>0</v>
      </c>
      <c r="BB33" s="265">
        <v>0</v>
      </c>
      <c r="BC33" s="266" t="str">
        <f t="shared" si="17"/>
        <v>-</v>
      </c>
      <c r="BD33" s="264">
        <v>0</v>
      </c>
      <c r="BE33" s="265">
        <v>0</v>
      </c>
      <c r="BF33" s="266" t="str">
        <f t="shared" si="18"/>
        <v>-</v>
      </c>
      <c r="BG33" s="264">
        <v>0</v>
      </c>
      <c r="BH33" s="265">
        <v>0</v>
      </c>
      <c r="BI33" s="266" t="str">
        <f t="shared" si="60"/>
        <v>-</v>
      </c>
      <c r="BJ33" s="264">
        <v>0</v>
      </c>
      <c r="BK33" s="265">
        <v>0</v>
      </c>
      <c r="BL33" s="266" t="str">
        <f t="shared" si="61"/>
        <v>-</v>
      </c>
      <c r="BM33" s="117">
        <f t="shared" si="23"/>
        <v>0</v>
      </c>
      <c r="BN33" s="267">
        <f t="shared" si="46"/>
        <v>0</v>
      </c>
      <c r="BO33" s="268" t="str">
        <f t="shared" si="22"/>
        <v/>
      </c>
    </row>
    <row r="34" spans="1:67" ht="15" thickBot="1" x14ac:dyDescent="0.35">
      <c r="A34" s="1">
        <v>45442</v>
      </c>
      <c r="B34" s="20">
        <v>72</v>
      </c>
      <c r="C34" s="21">
        <v>9</v>
      </c>
      <c r="D34" s="139">
        <f t="shared" si="0"/>
        <v>8</v>
      </c>
      <c r="E34" s="20">
        <v>15</v>
      </c>
      <c r="F34" s="21">
        <v>2</v>
      </c>
      <c r="G34" s="139">
        <f t="shared" si="1"/>
        <v>7.5</v>
      </c>
      <c r="H34" s="20">
        <v>0</v>
      </c>
      <c r="I34" s="21">
        <v>0</v>
      </c>
      <c r="J34" s="139" t="s">
        <v>32</v>
      </c>
      <c r="K34" s="20">
        <v>42</v>
      </c>
      <c r="L34" s="21">
        <v>5</v>
      </c>
      <c r="M34" s="139" t="s">
        <v>32</v>
      </c>
      <c r="N34" s="20">
        <v>42</v>
      </c>
      <c r="O34" s="21">
        <v>8</v>
      </c>
      <c r="P34" s="139" t="s">
        <v>32</v>
      </c>
      <c r="Q34" s="20">
        <v>12</v>
      </c>
      <c r="R34" s="21">
        <v>3</v>
      </c>
      <c r="S34" s="139">
        <f t="shared" si="5"/>
        <v>4</v>
      </c>
      <c r="T34" s="20">
        <v>24</v>
      </c>
      <c r="U34" s="21">
        <v>4</v>
      </c>
      <c r="V34" s="139">
        <f t="shared" si="6"/>
        <v>6</v>
      </c>
      <c r="W34" s="20">
        <v>9</v>
      </c>
      <c r="X34" s="21">
        <v>2</v>
      </c>
      <c r="Y34" s="139">
        <f t="shared" si="7"/>
        <v>4.5</v>
      </c>
      <c r="Z34" s="20">
        <v>0</v>
      </c>
      <c r="AA34" s="21">
        <v>0</v>
      </c>
      <c r="AB34" s="139" t="s">
        <v>32</v>
      </c>
      <c r="AC34" s="20">
        <v>0</v>
      </c>
      <c r="AD34" s="21">
        <v>0</v>
      </c>
      <c r="AE34" s="139" t="s">
        <v>32</v>
      </c>
      <c r="AF34" s="20">
        <v>0</v>
      </c>
      <c r="AG34" s="21">
        <v>0</v>
      </c>
      <c r="AH34" s="139" t="s">
        <v>32</v>
      </c>
      <c r="AI34" s="20">
        <v>0</v>
      </c>
      <c r="AJ34" s="21">
        <v>0</v>
      </c>
      <c r="AK34" s="139" t="str">
        <f t="shared" si="11"/>
        <v>-</v>
      </c>
      <c r="AL34" s="20">
        <v>22</v>
      </c>
      <c r="AM34" s="21">
        <v>3</v>
      </c>
      <c r="AN34" s="139">
        <f t="shared" si="12"/>
        <v>7.333333333333333</v>
      </c>
      <c r="AO34" s="20">
        <v>0</v>
      </c>
      <c r="AP34" s="21">
        <v>0</v>
      </c>
      <c r="AQ34" s="139" t="str">
        <f t="shared" si="54"/>
        <v>-</v>
      </c>
      <c r="AR34" s="20">
        <v>0</v>
      </c>
      <c r="AS34" s="21">
        <v>0</v>
      </c>
      <c r="AT34" s="139" t="str">
        <f t="shared" si="48"/>
        <v>-</v>
      </c>
      <c r="AU34" s="20">
        <v>7</v>
      </c>
      <c r="AV34" s="21">
        <v>1</v>
      </c>
      <c r="AW34" s="139">
        <f t="shared" si="15"/>
        <v>7</v>
      </c>
      <c r="AX34" s="20">
        <v>0</v>
      </c>
      <c r="AY34" s="21">
        <v>0</v>
      </c>
      <c r="AZ34" s="139" t="str">
        <f t="shared" si="16"/>
        <v>-</v>
      </c>
      <c r="BA34" s="20">
        <v>0</v>
      </c>
      <c r="BB34" s="21">
        <v>0</v>
      </c>
      <c r="BC34" s="139" t="str">
        <f t="shared" si="17"/>
        <v>-</v>
      </c>
      <c r="BD34" s="20">
        <v>0</v>
      </c>
      <c r="BE34" s="21">
        <v>0</v>
      </c>
      <c r="BF34" s="139" t="str">
        <f t="shared" si="18"/>
        <v>-</v>
      </c>
      <c r="BG34" s="20">
        <v>0</v>
      </c>
      <c r="BH34" s="21">
        <v>0</v>
      </c>
      <c r="BI34" s="139" t="str">
        <f t="shared" si="19"/>
        <v>-</v>
      </c>
      <c r="BJ34" s="20">
        <v>0</v>
      </c>
      <c r="BK34" s="21">
        <v>0</v>
      </c>
      <c r="BL34" s="139" t="str">
        <f t="shared" si="20"/>
        <v>-</v>
      </c>
      <c r="BM34" s="117">
        <f t="shared" si="23"/>
        <v>245</v>
      </c>
      <c r="BN34" s="120">
        <f t="shared" si="46"/>
        <v>33</v>
      </c>
      <c r="BO34" s="147">
        <f t="shared" si="22"/>
        <v>7.4242424242424239</v>
      </c>
    </row>
    <row r="35" spans="1:67" ht="15" thickBot="1" x14ac:dyDescent="0.35">
      <c r="A35" s="1">
        <v>45443</v>
      </c>
      <c r="B35" s="20">
        <v>15</v>
      </c>
      <c r="C35" s="21">
        <v>2</v>
      </c>
      <c r="D35" s="139">
        <f t="shared" ref="D35" si="62">IF(C35=0,"-",B35/C35)</f>
        <v>7.5</v>
      </c>
      <c r="E35" s="20">
        <v>8</v>
      </c>
      <c r="F35" s="21">
        <v>1</v>
      </c>
      <c r="G35" s="139">
        <f t="shared" ref="G35" si="63">IF(F35=0,"-",E35/F35)</f>
        <v>8</v>
      </c>
      <c r="H35" s="20">
        <v>0</v>
      </c>
      <c r="I35" s="21">
        <v>0</v>
      </c>
      <c r="J35" s="139" t="s">
        <v>32</v>
      </c>
      <c r="K35" s="20">
        <v>22</v>
      </c>
      <c r="L35" s="21">
        <v>3</v>
      </c>
      <c r="M35" s="139" t="s">
        <v>32</v>
      </c>
      <c r="N35" s="20">
        <v>11</v>
      </c>
      <c r="O35" s="21">
        <v>2</v>
      </c>
      <c r="P35" s="139" t="s">
        <v>32</v>
      </c>
      <c r="Q35" s="20">
        <v>0</v>
      </c>
      <c r="R35" s="21">
        <v>0</v>
      </c>
      <c r="S35" s="139" t="str">
        <f t="shared" ref="S35" si="64">IF(R35=0,"-",Q35/R35)</f>
        <v>-</v>
      </c>
      <c r="T35" s="20">
        <v>0</v>
      </c>
      <c r="U35" s="21">
        <v>0</v>
      </c>
      <c r="V35" s="139" t="str">
        <f t="shared" ref="V35" si="65">IF(U35=0,"-",T35/U35)</f>
        <v>-</v>
      </c>
      <c r="W35" s="20">
        <v>0</v>
      </c>
      <c r="X35" s="21">
        <v>0</v>
      </c>
      <c r="Y35" s="139" t="str">
        <f t="shared" ref="Y35" si="66">IF(X35=0,"-",W35/X35)</f>
        <v>-</v>
      </c>
      <c r="Z35" s="20">
        <v>0</v>
      </c>
      <c r="AA35" s="21">
        <v>0</v>
      </c>
      <c r="AB35" s="139" t="s">
        <v>32</v>
      </c>
      <c r="AC35" s="20">
        <v>0</v>
      </c>
      <c r="AD35" s="21">
        <v>0</v>
      </c>
      <c r="AE35" s="139" t="s">
        <v>32</v>
      </c>
      <c r="AF35" s="20">
        <v>0</v>
      </c>
      <c r="AG35" s="21">
        <v>0</v>
      </c>
      <c r="AH35" s="139" t="s">
        <v>32</v>
      </c>
      <c r="AI35" s="20">
        <v>0</v>
      </c>
      <c r="AJ35" s="21">
        <v>0</v>
      </c>
      <c r="AK35" s="139" t="str">
        <f t="shared" ref="AK35" si="67">IF(AJ35=0,"-",AI35/AJ35)</f>
        <v>-</v>
      </c>
      <c r="AL35" s="20">
        <v>21</v>
      </c>
      <c r="AM35" s="21">
        <v>3</v>
      </c>
      <c r="AN35" s="139">
        <f t="shared" ref="AN35" si="68">IF(AM35=0,"-",AL35/AM35)</f>
        <v>7</v>
      </c>
      <c r="AO35" s="20">
        <v>0</v>
      </c>
      <c r="AP35" s="21">
        <v>0</v>
      </c>
      <c r="AQ35" s="139" t="str">
        <f t="shared" ref="AQ35" si="69">IF(AP35=0,"-",AO35/AP35)</f>
        <v>-</v>
      </c>
      <c r="AR35" s="20">
        <v>0</v>
      </c>
      <c r="AS35" s="21">
        <v>0</v>
      </c>
      <c r="AT35" s="139" t="str">
        <f t="shared" ref="AT35" si="70">IF(AS35=0,"-",AR35/AS35)</f>
        <v>-</v>
      </c>
      <c r="AU35" s="20">
        <v>0</v>
      </c>
      <c r="AV35" s="21">
        <v>0</v>
      </c>
      <c r="AW35" s="139" t="str">
        <f t="shared" ref="AW35" si="71">IF(AV35=0,"-",AU35/AV35)</f>
        <v>-</v>
      </c>
      <c r="AX35" s="20">
        <v>0</v>
      </c>
      <c r="AY35" s="21">
        <v>0</v>
      </c>
      <c r="AZ35" s="139" t="str">
        <f t="shared" ref="AZ35" si="72">IF(AY35=0,"-",AX35/AY35)</f>
        <v>-</v>
      </c>
      <c r="BA35" s="20">
        <v>0</v>
      </c>
      <c r="BB35" s="21">
        <v>0</v>
      </c>
      <c r="BC35" s="139" t="str">
        <f t="shared" si="17"/>
        <v>-</v>
      </c>
      <c r="BD35" s="20">
        <v>0</v>
      </c>
      <c r="BE35" s="21">
        <v>0</v>
      </c>
      <c r="BF35" s="139" t="str">
        <f t="shared" ref="BF35" si="73">IF(BE35=0,"-",BD35/BE35)</f>
        <v>-</v>
      </c>
      <c r="BG35" s="20">
        <v>0</v>
      </c>
      <c r="BH35" s="21">
        <v>0</v>
      </c>
      <c r="BI35" s="139" t="str">
        <f t="shared" ref="BI35" si="74">IF(BH35=0,"-",BG35/BH35)</f>
        <v>-</v>
      </c>
      <c r="BJ35" s="20">
        <v>0</v>
      </c>
      <c r="BK35" s="21">
        <v>0</v>
      </c>
      <c r="BL35" s="139" t="str">
        <f t="shared" ref="BL35" si="75">IF(BK35=0,"-",BJ35/BK35)</f>
        <v>-</v>
      </c>
      <c r="BM35" s="117">
        <f t="shared" si="23"/>
        <v>77</v>
      </c>
      <c r="BN35" s="120">
        <f t="shared" ref="BN35" si="76">BK35+BH35+BE35+BB35+AY35+AV35+AS35+AP35+AM35+L35+R35+O35+I35+F35+AJ35+AG35+AD35+AA35+X35+C35</f>
        <v>11</v>
      </c>
      <c r="BO35" s="147">
        <f t="shared" ref="BO35" si="77">IF(BN35=0,"",BM35/BN35)</f>
        <v>7</v>
      </c>
    </row>
    <row r="36" spans="1:67" s="41" customFormat="1" ht="15.6" customHeight="1" thickBot="1" x14ac:dyDescent="0.35">
      <c r="A36" s="42" t="s">
        <v>33</v>
      </c>
      <c r="B36" s="43">
        <f>SUM(B5:B35)</f>
        <v>719</v>
      </c>
      <c r="C36" s="43">
        <f>SUM(C5:C35)</f>
        <v>93</v>
      </c>
      <c r="D36" s="44">
        <f>B36/C36</f>
        <v>7.731182795698925</v>
      </c>
      <c r="E36" s="43">
        <f>SUM(E5:E35)</f>
        <v>140</v>
      </c>
      <c r="F36" s="43">
        <f>SUM(F5:F35)</f>
        <v>19</v>
      </c>
      <c r="G36" s="44">
        <f>E36/F36</f>
        <v>7.3684210526315788</v>
      </c>
      <c r="H36" s="43">
        <f>SUM(H5:H35)</f>
        <v>55</v>
      </c>
      <c r="I36" s="43">
        <f>SUM(I5:I35)</f>
        <v>9</v>
      </c>
      <c r="J36" s="44">
        <f>H36/I36</f>
        <v>6.1111111111111107</v>
      </c>
      <c r="K36" s="43">
        <f>SUM(K5:K35)</f>
        <v>402</v>
      </c>
      <c r="L36" s="43">
        <f>SUM(L5:L35)</f>
        <v>51</v>
      </c>
      <c r="M36" s="44">
        <f>K36/L36</f>
        <v>7.882352941176471</v>
      </c>
      <c r="N36" s="43">
        <f>SUM(N5:N35)</f>
        <v>746</v>
      </c>
      <c r="O36" s="43">
        <f>SUM(O5:O35)</f>
        <v>138</v>
      </c>
      <c r="P36" s="44">
        <f>N36/O36</f>
        <v>5.4057971014492754</v>
      </c>
      <c r="Q36" s="43">
        <f>SUM(Q5:Q35)</f>
        <v>268</v>
      </c>
      <c r="R36" s="43">
        <f>SUM(R5:R35)</f>
        <v>55</v>
      </c>
      <c r="S36" s="44">
        <f>Q36/R36</f>
        <v>4.872727272727273</v>
      </c>
      <c r="T36" s="43">
        <f>SUM(T5:T35)</f>
        <v>106</v>
      </c>
      <c r="U36" s="43">
        <f>SUM(U5:U35)</f>
        <v>19</v>
      </c>
      <c r="V36" s="44">
        <f>T36/U36</f>
        <v>5.5789473684210522</v>
      </c>
      <c r="W36" s="43">
        <f>SUM(W5:W35)</f>
        <v>52</v>
      </c>
      <c r="X36" s="43">
        <f>SUM(X5:X35)</f>
        <v>10</v>
      </c>
      <c r="Y36" s="44">
        <f>W36/X36</f>
        <v>5.2</v>
      </c>
      <c r="Z36" s="43">
        <f>SUM(Z5:Z35)</f>
        <v>4</v>
      </c>
      <c r="AA36" s="43">
        <f>SUM(AA5:AA35)</f>
        <v>1</v>
      </c>
      <c r="AB36" s="44">
        <f>Z36/AA36</f>
        <v>4</v>
      </c>
      <c r="AC36" s="43">
        <f>SUM(AC5:AC35)</f>
        <v>42</v>
      </c>
      <c r="AD36" s="43">
        <f>SUM(AD5:AD35)</f>
        <v>14</v>
      </c>
      <c r="AE36" s="44">
        <f>AC36/AD36</f>
        <v>3</v>
      </c>
      <c r="AF36" s="43">
        <f>SUM(AF5:AF35)</f>
        <v>0</v>
      </c>
      <c r="AG36" s="43">
        <f>SUM(AG5:AG35)</f>
        <v>0</v>
      </c>
      <c r="AH36" s="44" t="e">
        <f>AF36/AG36</f>
        <v>#DIV/0!</v>
      </c>
      <c r="AI36" s="43">
        <f>SUM(AI5:AI35)</f>
        <v>9</v>
      </c>
      <c r="AJ36" s="43">
        <f>SUM(AJ5:AJ35)</f>
        <v>3</v>
      </c>
      <c r="AK36" s="44">
        <f>AI36/AJ36</f>
        <v>3</v>
      </c>
      <c r="AL36" s="43">
        <f>SUM(AL5:AL35)</f>
        <v>341</v>
      </c>
      <c r="AM36" s="43">
        <f>SUM(AM5:AM35)</f>
        <v>49</v>
      </c>
      <c r="AN36" s="44">
        <f>AL36/AM36</f>
        <v>6.9591836734693882</v>
      </c>
      <c r="AO36" s="43">
        <f>SUM(AO5:AO35)</f>
        <v>63</v>
      </c>
      <c r="AP36" s="43">
        <f>SUM(AP5:AP35)</f>
        <v>9</v>
      </c>
      <c r="AQ36" s="44">
        <f>AO36/AP36</f>
        <v>7</v>
      </c>
      <c r="AR36" s="43">
        <f>SUM(AR5:AR35)</f>
        <v>29</v>
      </c>
      <c r="AS36" s="43">
        <f>SUM(AS5:AS35)</f>
        <v>4</v>
      </c>
      <c r="AT36" s="44">
        <f>AR36/AS36</f>
        <v>7.25</v>
      </c>
      <c r="AU36" s="43">
        <f>SUM(AU5:AU35)</f>
        <v>57</v>
      </c>
      <c r="AV36" s="43">
        <f>SUM(AV5:AV35)</f>
        <v>8</v>
      </c>
      <c r="AW36" s="44">
        <f>AU36/AV36</f>
        <v>7.125</v>
      </c>
      <c r="AX36" s="43">
        <f>SUM(AX5:AX35)</f>
        <v>0</v>
      </c>
      <c r="AY36" s="43">
        <f>SUM(AY5:AY35)</f>
        <v>0</v>
      </c>
      <c r="AZ36" s="140" t="str">
        <f>IF(AY36=0,"-",AX36/AY36)</f>
        <v>-</v>
      </c>
      <c r="BA36" s="43">
        <f>SUM(BA5:BA35)</f>
        <v>76</v>
      </c>
      <c r="BB36" s="43">
        <f>SUM(BB5:BB35)</f>
        <v>14</v>
      </c>
      <c r="BC36" s="44">
        <f>BA36/BB36</f>
        <v>5.4285714285714288</v>
      </c>
      <c r="BD36" s="43">
        <f>SUM(BD5:BD35)</f>
        <v>10</v>
      </c>
      <c r="BE36" s="43">
        <f>SUM(BE5:BE35)</f>
        <v>1</v>
      </c>
      <c r="BF36" s="140">
        <f>IF(BE36=0,"-",BD36/BE36)</f>
        <v>10</v>
      </c>
      <c r="BG36" s="43">
        <f>SUM(BG5:BG35)</f>
        <v>0</v>
      </c>
      <c r="BH36" s="43">
        <f>SUM(BH5:BH35)</f>
        <v>0</v>
      </c>
      <c r="BI36" s="140" t="str">
        <f>IF(BH36=0,"-",BG36/BH36)</f>
        <v>-</v>
      </c>
      <c r="BJ36" s="43">
        <f>SUM(BJ5:BJ35)</f>
        <v>2</v>
      </c>
      <c r="BK36" s="43">
        <f>SUM(BK5:BK35)</f>
        <v>1</v>
      </c>
      <c r="BL36" s="140">
        <f>IF(BK36=0,"-",BJ36/BK36)</f>
        <v>2</v>
      </c>
      <c r="BM36" s="118">
        <f>SUM(BM5:BM33)</f>
        <v>2799</v>
      </c>
      <c r="BN36" s="145">
        <f t="shared" si="46"/>
        <v>479</v>
      </c>
      <c r="BO36" s="144">
        <f t="shared" si="22"/>
        <v>5.8434237995824638</v>
      </c>
    </row>
    <row r="37" spans="1:67" x14ac:dyDescent="0.3">
      <c r="A37" s="1"/>
      <c r="E37"/>
      <c r="F37"/>
      <c r="H37"/>
      <c r="I37"/>
      <c r="K37"/>
      <c r="L37"/>
      <c r="N37"/>
      <c r="O37"/>
      <c r="Q37"/>
      <c r="R37"/>
      <c r="T37"/>
      <c r="U37"/>
    </row>
    <row r="38" spans="1:67" x14ac:dyDescent="0.3">
      <c r="A38" s="1"/>
      <c r="E38"/>
      <c r="F38"/>
      <c r="H38"/>
      <c r="I38"/>
      <c r="K38"/>
      <c r="L38"/>
      <c r="N38"/>
      <c r="O38"/>
      <c r="Q38"/>
      <c r="R38"/>
      <c r="T38"/>
      <c r="U38"/>
    </row>
    <row r="39" spans="1:67" x14ac:dyDescent="0.3">
      <c r="A39" s="1"/>
    </row>
    <row r="40" spans="1:67" x14ac:dyDescent="0.3">
      <c r="A40" s="1"/>
    </row>
    <row r="41" spans="1:67" x14ac:dyDescent="0.3">
      <c r="A41" s="1"/>
    </row>
    <row r="42" spans="1:67" x14ac:dyDescent="0.3">
      <c r="A42" s="1"/>
    </row>
    <row r="43" spans="1:67" x14ac:dyDescent="0.3">
      <c r="A43" s="1"/>
    </row>
    <row r="44" spans="1:67" x14ac:dyDescent="0.3">
      <c r="A44" s="1"/>
    </row>
    <row r="45" spans="1:67" x14ac:dyDescent="0.3">
      <c r="A45" s="1"/>
    </row>
    <row r="46" spans="1:67" x14ac:dyDescent="0.3">
      <c r="A46" s="1"/>
    </row>
    <row r="47" spans="1:67" x14ac:dyDescent="0.3">
      <c r="A47" s="1"/>
    </row>
    <row r="48" spans="1:67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5482-681C-4CE7-B179-A35F38A7D956}">
  <sheetPr codeName="Sheet15">
    <tabColor rgb="FFFF0000"/>
  </sheetPr>
  <dimension ref="A1:CL40"/>
  <sheetViews>
    <sheetView workbookViewId="0">
      <selection activeCell="B4" sqref="B4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60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'May 2024'!B36</f>
        <v>719</v>
      </c>
      <c r="C4" s="68"/>
      <c r="D4" s="95" t="s">
        <v>19</v>
      </c>
      <c r="E4" s="93">
        <f>'May 2024'!AL36</f>
        <v>341</v>
      </c>
      <c r="F4" s="68"/>
      <c r="G4" s="87" t="s">
        <v>24</v>
      </c>
      <c r="H4" s="81">
        <f>'May 2024'!BA36</f>
        <v>76</v>
      </c>
    </row>
    <row r="5" spans="1:90" x14ac:dyDescent="0.3">
      <c r="A5" s="80"/>
      <c r="B5" s="81">
        <f>'May 2024'!C36</f>
        <v>93</v>
      </c>
      <c r="C5" s="68"/>
      <c r="D5" s="85"/>
      <c r="E5" s="81">
        <f>'May 2024'!AM36</f>
        <v>49</v>
      </c>
      <c r="F5" s="68"/>
      <c r="G5" s="87"/>
      <c r="H5" s="81">
        <f>'May 2024'!BB36</f>
        <v>14</v>
      </c>
    </row>
    <row r="6" spans="1:90" x14ac:dyDescent="0.3">
      <c r="A6" s="82"/>
      <c r="B6" s="26">
        <f>'May 2024'!D36</f>
        <v>7.731182795698925</v>
      </c>
      <c r="C6" s="68"/>
      <c r="D6" s="86"/>
      <c r="E6" s="26">
        <f>'May 2024'!AN36</f>
        <v>6.9591836734693882</v>
      </c>
      <c r="F6" s="68"/>
      <c r="G6" s="88"/>
      <c r="H6" s="26">
        <f>'May 2024'!BC36</f>
        <v>5.4285714285714288</v>
      </c>
    </row>
    <row r="7" spans="1:90" x14ac:dyDescent="0.3">
      <c r="A7" s="80" t="s">
        <v>9</v>
      </c>
      <c r="B7" s="81">
        <f>'May 2024'!E36</f>
        <v>140</v>
      </c>
      <c r="C7" s="68"/>
      <c r="D7" s="85" t="s">
        <v>20</v>
      </c>
      <c r="E7" s="81">
        <f>'May 2024'!AO36</f>
        <v>63</v>
      </c>
      <c r="F7" s="68"/>
      <c r="G7" s="87" t="s">
        <v>25</v>
      </c>
      <c r="H7" s="151">
        <f>'May 2024'!BD36</f>
        <v>10</v>
      </c>
    </row>
    <row r="8" spans="1:90" x14ac:dyDescent="0.3">
      <c r="A8" s="80"/>
      <c r="B8" s="81">
        <f>'May 2024'!F36</f>
        <v>19</v>
      </c>
      <c r="C8" s="68"/>
      <c r="D8" s="85"/>
      <c r="E8" s="81">
        <f>'May 2024'!AP36</f>
        <v>9</v>
      </c>
      <c r="F8" s="68"/>
      <c r="G8" s="87"/>
      <c r="H8" s="151">
        <f>'May 2024'!BE36</f>
        <v>1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'May 2024'!G36</f>
        <v>7.3684210526315788</v>
      </c>
      <c r="C9" s="68"/>
      <c r="D9" s="86"/>
      <c r="E9" s="26">
        <f>'May 2024'!AQ36</f>
        <v>7</v>
      </c>
      <c r="F9" s="68"/>
      <c r="G9" s="88"/>
      <c r="H9" s="151">
        <f>'May 2024'!BE36</f>
        <v>1</v>
      </c>
    </row>
    <row r="10" spans="1:90" x14ac:dyDescent="0.3">
      <c r="A10" s="80" t="s">
        <v>10</v>
      </c>
      <c r="B10" s="81">
        <f>'May 2024'!H36</f>
        <v>55</v>
      </c>
      <c r="C10" s="68"/>
      <c r="D10" s="85" t="s">
        <v>21</v>
      </c>
      <c r="E10" s="81">
        <f>'May 2024'!AR36</f>
        <v>29</v>
      </c>
      <c r="F10" s="68"/>
      <c r="G10" s="87" t="s">
        <v>26</v>
      </c>
      <c r="H10" s="151">
        <f>'May 2024'!BG36</f>
        <v>0</v>
      </c>
    </row>
    <row r="11" spans="1:90" x14ac:dyDescent="0.3">
      <c r="A11" s="80"/>
      <c r="B11" s="81">
        <f>'May 2024'!I36</f>
        <v>9</v>
      </c>
      <c r="C11" s="68"/>
      <c r="D11" s="85"/>
      <c r="E11" s="81">
        <f>'May 2024'!AS36</f>
        <v>4</v>
      </c>
      <c r="F11" s="68"/>
      <c r="G11" s="87"/>
      <c r="H11" s="81">
        <f>'May 2024'!BH36</f>
        <v>0</v>
      </c>
    </row>
    <row r="12" spans="1:90" x14ac:dyDescent="0.3">
      <c r="A12" s="82"/>
      <c r="B12" s="26">
        <f>'May 2024'!J36</f>
        <v>6.1111111111111107</v>
      </c>
      <c r="C12" s="68"/>
      <c r="D12" s="86"/>
      <c r="E12" s="26">
        <f>'May 2024'!AT36</f>
        <v>7.25</v>
      </c>
      <c r="F12" s="68"/>
      <c r="G12" s="88"/>
      <c r="H12" s="26" t="str">
        <f>'May 2024'!BI36</f>
        <v>-</v>
      </c>
    </row>
    <row r="13" spans="1:90" x14ac:dyDescent="0.3">
      <c r="A13" s="80" t="s">
        <v>11</v>
      </c>
      <c r="B13" s="81">
        <f>'May 2024'!N36</f>
        <v>746</v>
      </c>
      <c r="C13" s="68"/>
      <c r="D13" s="85" t="s">
        <v>22</v>
      </c>
      <c r="E13" s="81">
        <f>'May 2024'!AU36</f>
        <v>57</v>
      </c>
      <c r="F13" s="68"/>
      <c r="G13" s="87" t="s">
        <v>27</v>
      </c>
      <c r="H13" s="81">
        <f>'May 2024'!BJ36</f>
        <v>2</v>
      </c>
    </row>
    <row r="14" spans="1:90" x14ac:dyDescent="0.3">
      <c r="A14" s="80"/>
      <c r="B14" s="81">
        <f>'May 2024'!O36</f>
        <v>138</v>
      </c>
      <c r="C14" s="68"/>
      <c r="D14" s="85"/>
      <c r="E14" s="81">
        <f>'May 2024'!AV36</f>
        <v>8</v>
      </c>
      <c r="F14" s="68"/>
      <c r="G14" s="87"/>
      <c r="H14" s="81">
        <f>'May 2024'!BK36</f>
        <v>1</v>
      </c>
    </row>
    <row r="15" spans="1:90" x14ac:dyDescent="0.3">
      <c r="A15" s="82"/>
      <c r="B15" s="26">
        <f>'May 2024'!P36</f>
        <v>5.4057971014492754</v>
      </c>
      <c r="C15" s="68"/>
      <c r="D15" s="85"/>
      <c r="E15" s="26">
        <f>'May 2024'!AW36</f>
        <v>7.125</v>
      </c>
      <c r="F15" s="68"/>
      <c r="G15" s="88"/>
      <c r="H15" s="26">
        <f>'May 2024'!BL36</f>
        <v>2</v>
      </c>
    </row>
    <row r="16" spans="1:90" x14ac:dyDescent="0.3">
      <c r="A16" s="80" t="s">
        <v>44</v>
      </c>
      <c r="B16" s="81">
        <f>'May 2024'!Q36</f>
        <v>268</v>
      </c>
      <c r="C16" s="68"/>
      <c r="D16" s="85" t="s">
        <v>45</v>
      </c>
      <c r="E16" s="81">
        <f>'May 2024'!AX36</f>
        <v>0</v>
      </c>
      <c r="F16" s="68"/>
      <c r="G16" s="96" t="s">
        <v>28</v>
      </c>
      <c r="H16" s="97">
        <f>'May 2024'!BM36</f>
        <v>2799</v>
      </c>
    </row>
    <row r="17" spans="1:8" x14ac:dyDescent="0.3">
      <c r="A17" s="80"/>
      <c r="B17" s="81">
        <f>'May 2024'!R36</f>
        <v>55</v>
      </c>
      <c r="C17" s="68"/>
      <c r="D17" s="85"/>
      <c r="E17" s="81">
        <f>'May 2024'!AY36</f>
        <v>0</v>
      </c>
      <c r="F17" s="68"/>
      <c r="G17" s="96"/>
      <c r="H17" s="97">
        <f>'May 2024'!BN36</f>
        <v>479</v>
      </c>
    </row>
    <row r="18" spans="1:8" ht="15" thickBot="1" x14ac:dyDescent="0.35">
      <c r="A18" s="82"/>
      <c r="B18" s="26">
        <f>'May 2024'!S36</f>
        <v>4.872727272727273</v>
      </c>
      <c r="C18" s="68"/>
      <c r="D18" s="102"/>
      <c r="E18" s="149" t="str">
        <f>'May 2024'!AZ36</f>
        <v>-</v>
      </c>
      <c r="F18" s="68"/>
      <c r="G18" s="98"/>
      <c r="H18" s="99">
        <f>H16/H17</f>
        <v>5.8434237995824638</v>
      </c>
    </row>
    <row r="19" spans="1:8" x14ac:dyDescent="0.3">
      <c r="A19" s="80" t="s">
        <v>55</v>
      </c>
      <c r="B19" s="81">
        <f>'May 2024'!K36</f>
        <v>402</v>
      </c>
      <c r="C19" s="68"/>
    </row>
    <row r="20" spans="1:8" x14ac:dyDescent="0.3">
      <c r="A20" s="80"/>
      <c r="B20" s="81">
        <f>'May 2024'!L36</f>
        <v>51</v>
      </c>
      <c r="C20" s="68"/>
    </row>
    <row r="21" spans="1:8" x14ac:dyDescent="0.3">
      <c r="A21" s="100"/>
      <c r="B21" s="81">
        <f>'May 2024'!M36</f>
        <v>7.882352941176471</v>
      </c>
      <c r="C21" s="68"/>
    </row>
    <row r="22" spans="1:8" x14ac:dyDescent="0.3">
      <c r="A22" s="80" t="s">
        <v>46</v>
      </c>
      <c r="B22" s="142">
        <f>'May 2024'!T36</f>
        <v>106</v>
      </c>
      <c r="C22" s="68"/>
      <c r="D22" s="68"/>
      <c r="E22" s="68"/>
    </row>
    <row r="23" spans="1:8" x14ac:dyDescent="0.3">
      <c r="A23" s="80"/>
      <c r="B23" s="142">
        <f>'May 2024'!U36</f>
        <v>19</v>
      </c>
      <c r="C23" s="68"/>
      <c r="D23" s="68"/>
      <c r="E23" s="68"/>
    </row>
    <row r="24" spans="1:8" ht="15" thickBot="1" x14ac:dyDescent="0.35">
      <c r="A24" s="141"/>
      <c r="B24" s="143">
        <f>'May 2024'!V36</f>
        <v>5.5789473684210522</v>
      </c>
      <c r="C24" s="68"/>
      <c r="D24" s="68"/>
      <c r="E24" s="68"/>
    </row>
    <row r="25" spans="1:8" x14ac:dyDescent="0.3">
      <c r="A25" s="101" t="s">
        <v>14</v>
      </c>
      <c r="B25" s="93">
        <f>'May 2024'!W36</f>
        <v>52</v>
      </c>
      <c r="C25" s="68"/>
      <c r="D25" s="68"/>
      <c r="E25" s="68"/>
    </row>
    <row r="26" spans="1:8" x14ac:dyDescent="0.3">
      <c r="A26" s="83"/>
      <c r="B26" s="81">
        <f>'May 2024'!X36</f>
        <v>10</v>
      </c>
      <c r="C26" s="68"/>
      <c r="D26" s="68"/>
      <c r="E26" s="68"/>
    </row>
    <row r="27" spans="1:8" x14ac:dyDescent="0.3">
      <c r="A27" s="84"/>
      <c r="B27" s="26">
        <f>'May 2024'!Y36</f>
        <v>5.2</v>
      </c>
      <c r="C27" s="68"/>
      <c r="D27" s="68"/>
      <c r="E27" s="68"/>
    </row>
    <row r="28" spans="1:8" x14ac:dyDescent="0.3">
      <c r="A28" s="83" t="s">
        <v>15</v>
      </c>
      <c r="B28" s="81">
        <f>'May 2024'!Z36</f>
        <v>4</v>
      </c>
      <c r="C28" s="68"/>
      <c r="F28" s="68"/>
      <c r="G28" s="68"/>
    </row>
    <row r="29" spans="1:8" x14ac:dyDescent="0.3">
      <c r="A29" s="83"/>
      <c r="B29" s="81">
        <f>'May 2024'!AA36</f>
        <v>1</v>
      </c>
      <c r="C29" s="68"/>
      <c r="F29" s="68"/>
      <c r="G29" s="68"/>
    </row>
    <row r="30" spans="1:8" x14ac:dyDescent="0.3">
      <c r="A30" s="84"/>
      <c r="B30" s="26" t="str">
        <f>'May 2024'!AB34</f>
        <v>-</v>
      </c>
      <c r="C30" s="68"/>
      <c r="F30" s="68"/>
      <c r="G30" s="68"/>
    </row>
    <row r="31" spans="1:8" x14ac:dyDescent="0.3">
      <c r="A31" s="83" t="s">
        <v>16</v>
      </c>
      <c r="B31" s="81">
        <f>'May 2024'!AC36</f>
        <v>42</v>
      </c>
      <c r="C31" s="68"/>
      <c r="F31" s="68"/>
      <c r="G31" s="68"/>
    </row>
    <row r="32" spans="1:8" x14ac:dyDescent="0.3">
      <c r="A32" s="83"/>
      <c r="B32" s="81">
        <f>'May 2024'!AD36</f>
        <v>14</v>
      </c>
      <c r="C32" s="68"/>
      <c r="F32" s="68"/>
      <c r="G32" s="68"/>
    </row>
    <row r="33" spans="1:7" x14ac:dyDescent="0.3">
      <c r="A33" s="84"/>
      <c r="B33" s="26">
        <f>'May 2024'!AE36</f>
        <v>3</v>
      </c>
      <c r="C33" s="68"/>
      <c r="F33" s="68"/>
      <c r="G33" s="68"/>
    </row>
    <row r="34" spans="1:7" x14ac:dyDescent="0.3">
      <c r="A34" s="83" t="s">
        <v>17</v>
      </c>
      <c r="B34" s="81">
        <f>'May 2024'!AF36</f>
        <v>0</v>
      </c>
      <c r="C34" s="68"/>
      <c r="F34" s="68"/>
      <c r="G34" s="68"/>
    </row>
    <row r="35" spans="1:7" x14ac:dyDescent="0.3">
      <c r="A35" s="83"/>
      <c r="B35" s="81">
        <f>'May 2024'!AG36</f>
        <v>0</v>
      </c>
      <c r="C35" s="68"/>
      <c r="F35" s="68"/>
      <c r="G35" s="68"/>
    </row>
    <row r="36" spans="1:7" x14ac:dyDescent="0.3">
      <c r="A36" s="84"/>
      <c r="B36" s="26" t="e">
        <f>'May 2024'!AH36</f>
        <v>#DIV/0!</v>
      </c>
      <c r="C36" s="68"/>
      <c r="F36" s="68"/>
      <c r="G36" s="68"/>
    </row>
    <row r="37" spans="1:7" x14ac:dyDescent="0.3">
      <c r="A37" s="83" t="s">
        <v>59</v>
      </c>
      <c r="B37" s="81">
        <f>'May 2024'!AI36</f>
        <v>9</v>
      </c>
      <c r="C37" s="68"/>
      <c r="F37" s="68"/>
      <c r="G37" s="68"/>
    </row>
    <row r="38" spans="1:7" x14ac:dyDescent="0.3">
      <c r="A38" s="83"/>
      <c r="B38" s="81">
        <f>'May 2024'!AJ36</f>
        <v>3</v>
      </c>
      <c r="C38" s="68"/>
      <c r="F38" s="68"/>
      <c r="G38" s="68"/>
    </row>
    <row r="39" spans="1:7" ht="15" thickBot="1" x14ac:dyDescent="0.35">
      <c r="A39" s="94"/>
      <c r="B39" s="89">
        <f>'May 2024'!AK36</f>
        <v>3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72FB-B1A0-46A5-B057-C0C4195114D5}">
  <sheetPr codeName="Sheet16"/>
  <dimension ref="A1:BX125"/>
  <sheetViews>
    <sheetView workbookViewId="0">
      <pane xSplit="9" ySplit="11" topLeftCell="BP29" activePane="bottomRight" state="frozen"/>
      <selection pane="topRight" activeCell="J1" sqref="J1"/>
      <selection pane="bottomLeft" activeCell="A12" sqref="A12"/>
      <selection pane="bottomRight" activeCell="A2" sqref="A2"/>
    </sheetView>
  </sheetViews>
  <sheetFormatPr defaultRowHeight="14.4" x14ac:dyDescent="0.3"/>
  <cols>
    <col min="1" max="1" width="12.88671875" customWidth="1"/>
    <col min="2" max="3" width="8.88671875" customWidth="1"/>
    <col min="4" max="9" width="8.88671875" style="2" customWidth="1"/>
    <col min="10" max="10" width="10" style="2" customWidth="1"/>
    <col min="11" max="21" width="8.88671875" style="2" customWidth="1"/>
    <col min="22" max="22" width="9.6640625" style="2" customWidth="1"/>
    <col min="23" max="24" width="8.88671875" style="2" customWidth="1"/>
    <col min="25" max="28" width="9.6640625" style="2" customWidth="1"/>
    <col min="29" max="30" width="8.88671875" customWidth="1"/>
    <col min="31" max="31" width="8.88671875" style="2" customWidth="1"/>
    <col min="32" max="33" width="8.88671875" customWidth="1"/>
    <col min="34" max="34" width="8.88671875" style="2" customWidth="1"/>
    <col min="35" max="36" width="8.88671875" customWidth="1"/>
    <col min="37" max="37" width="8.88671875" style="2" customWidth="1"/>
    <col min="38" max="39" width="8.88671875" customWidth="1"/>
    <col min="40" max="40" width="7.33203125" style="2" customWidth="1"/>
    <col min="41" max="41" width="8.33203125" customWidth="1"/>
    <col min="42" max="42" width="9.6640625" customWidth="1"/>
    <col min="43" max="43" width="11.88671875" style="2" customWidth="1"/>
    <col min="44" max="44" width="8.33203125" customWidth="1"/>
    <col min="45" max="45" width="9.6640625" customWidth="1"/>
    <col min="46" max="46" width="11.88671875" style="2" customWidth="1"/>
    <col min="47" max="48" width="8.88671875" customWidth="1"/>
    <col min="49" max="49" width="8.88671875" style="2" customWidth="1"/>
    <col min="50" max="51" width="8.88671875" customWidth="1"/>
    <col min="52" max="52" width="8.88671875" style="2" customWidth="1"/>
    <col min="53" max="54" width="8.88671875" customWidth="1"/>
    <col min="55" max="55" width="8.88671875" style="2" customWidth="1"/>
    <col min="56" max="60" width="8.88671875" customWidth="1"/>
    <col min="61" max="61" width="8.88671875" style="2" customWidth="1"/>
    <col min="64" max="64" width="8.88671875" style="2"/>
    <col min="67" max="67" width="8.88671875" style="2"/>
    <col min="70" max="70" width="9.33203125" style="2" customWidth="1"/>
    <col min="73" max="73" width="8.88671875" style="2"/>
    <col min="74" max="74" width="9.109375" style="79" bestFit="1" customWidth="1"/>
    <col min="75" max="75" width="8.88671875" style="79"/>
    <col min="76" max="76" width="8.88671875" style="2"/>
  </cols>
  <sheetData>
    <row r="1" spans="1:76" ht="18.600000000000001" thickBot="1" x14ac:dyDescent="0.4">
      <c r="A1" s="67" t="s">
        <v>61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8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113"/>
      <c r="BW1" s="113"/>
      <c r="BX1" s="69"/>
    </row>
    <row r="2" spans="1:76" s="41" customFormat="1" ht="15" thickBot="1" x14ac:dyDescent="0.35">
      <c r="A2" s="70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7"/>
      <c r="AA2" s="73" t="s">
        <v>2</v>
      </c>
      <c r="AB2" s="74"/>
      <c r="AC2" s="71"/>
      <c r="AD2" s="72" t="s">
        <v>3</v>
      </c>
      <c r="AE2" s="73"/>
      <c r="AF2" s="71"/>
      <c r="AG2" s="72" t="s">
        <v>3</v>
      </c>
      <c r="AH2" s="74"/>
      <c r="AI2" s="72"/>
      <c r="AJ2" s="72" t="s">
        <v>4</v>
      </c>
      <c r="AK2" s="73"/>
      <c r="AL2" s="71"/>
      <c r="AM2" s="72" t="s">
        <v>4</v>
      </c>
      <c r="AN2" s="74"/>
      <c r="AO2" s="72"/>
      <c r="AP2" s="72" t="s">
        <v>4</v>
      </c>
      <c r="AQ2" s="282"/>
      <c r="AR2" s="72"/>
      <c r="AS2" s="72" t="s">
        <v>4</v>
      </c>
      <c r="AT2" s="74"/>
      <c r="AU2" s="108"/>
      <c r="AV2" s="109" t="s">
        <v>5</v>
      </c>
      <c r="AW2" s="110"/>
      <c r="AX2" s="108"/>
      <c r="AY2" s="109" t="s">
        <v>5</v>
      </c>
      <c r="AZ2" s="111"/>
      <c r="BA2" s="109"/>
      <c r="BB2" s="109" t="s">
        <v>5</v>
      </c>
      <c r="BC2" s="110"/>
      <c r="BD2" s="108"/>
      <c r="BE2" s="109" t="s">
        <v>5</v>
      </c>
      <c r="BF2" s="112"/>
      <c r="BG2" s="109"/>
      <c r="BH2" s="109" t="s">
        <v>5</v>
      </c>
      <c r="BI2" s="111"/>
      <c r="BJ2" s="71"/>
      <c r="BK2" s="72" t="s">
        <v>6</v>
      </c>
      <c r="BL2" s="74"/>
      <c r="BM2" s="75"/>
      <c r="BN2" s="75" t="s">
        <v>6</v>
      </c>
      <c r="BO2" s="76"/>
      <c r="BP2" s="71"/>
      <c r="BQ2" s="72" t="s">
        <v>6</v>
      </c>
      <c r="BR2" s="74"/>
      <c r="BS2" s="75"/>
      <c r="BT2" s="75" t="s">
        <v>6</v>
      </c>
      <c r="BU2" s="76"/>
      <c r="BV2" s="114" t="s">
        <v>7</v>
      </c>
      <c r="BW2" s="119"/>
      <c r="BX2" s="74"/>
    </row>
    <row r="3" spans="1:76" x14ac:dyDescent="0.3">
      <c r="A3" s="54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11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62</v>
      </c>
      <c r="AA3" s="4"/>
      <c r="AB3" s="33"/>
      <c r="AC3" s="47" t="s">
        <v>14</v>
      </c>
      <c r="AD3" s="47"/>
      <c r="AE3" s="49"/>
      <c r="AF3" s="46" t="s">
        <v>15</v>
      </c>
      <c r="AG3" s="47"/>
      <c r="AH3" s="48"/>
      <c r="AI3" s="47" t="s">
        <v>16</v>
      </c>
      <c r="AJ3" s="47"/>
      <c r="AK3" s="49"/>
      <c r="AL3" s="46" t="s">
        <v>17</v>
      </c>
      <c r="AM3" s="47"/>
      <c r="AN3" s="48"/>
      <c r="AO3" s="47" t="s">
        <v>63</v>
      </c>
      <c r="AP3" s="47"/>
      <c r="AQ3" s="287"/>
      <c r="AR3" s="47" t="s">
        <v>64</v>
      </c>
      <c r="AS3" s="47"/>
      <c r="AT3" s="49"/>
      <c r="AU3" s="9" t="s">
        <v>36</v>
      </c>
      <c r="AV3" s="7"/>
      <c r="AW3" s="29"/>
      <c r="AX3" s="9" t="s">
        <v>37</v>
      </c>
      <c r="AY3" s="7"/>
      <c r="AZ3" s="31"/>
      <c r="BA3" s="7" t="s">
        <v>38</v>
      </c>
      <c r="BB3" s="7"/>
      <c r="BC3" s="29"/>
      <c r="BD3" s="9" t="s">
        <v>39</v>
      </c>
      <c r="BE3" s="7"/>
      <c r="BF3" s="8"/>
      <c r="BG3" s="7" t="s">
        <v>40</v>
      </c>
      <c r="BH3" s="7"/>
      <c r="BI3" s="31"/>
      <c r="BJ3" s="13" t="s">
        <v>24</v>
      </c>
      <c r="BK3" s="14"/>
      <c r="BL3" s="27"/>
      <c r="BM3" s="14" t="s">
        <v>25</v>
      </c>
      <c r="BN3" s="14"/>
      <c r="BO3" s="55"/>
      <c r="BP3" s="13" t="s">
        <v>26</v>
      </c>
      <c r="BQ3" s="14"/>
      <c r="BR3" s="27"/>
      <c r="BS3" s="14" t="s">
        <v>27</v>
      </c>
      <c r="BT3" s="14"/>
      <c r="BU3" s="55"/>
      <c r="BV3" s="115" t="s">
        <v>28</v>
      </c>
      <c r="BW3" s="115"/>
      <c r="BX3" s="24"/>
    </row>
    <row r="4" spans="1:76" ht="29.4" thickBot="1" x14ac:dyDescent="0.35">
      <c r="A4" s="56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129" t="s">
        <v>7</v>
      </c>
      <c r="AA4" s="130" t="s">
        <v>30</v>
      </c>
      <c r="AB4" s="131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50" t="s">
        <v>7</v>
      </c>
      <c r="AM4" s="51" t="s">
        <v>30</v>
      </c>
      <c r="AN4" s="52" t="s">
        <v>31</v>
      </c>
      <c r="AO4" s="51" t="s">
        <v>7</v>
      </c>
      <c r="AP4" s="51" t="s">
        <v>30</v>
      </c>
      <c r="AQ4" s="288" t="s">
        <v>31</v>
      </c>
      <c r="AR4" s="51" t="s">
        <v>7</v>
      </c>
      <c r="AS4" s="51" t="s">
        <v>30</v>
      </c>
      <c r="AT4" s="53" t="s">
        <v>31</v>
      </c>
      <c r="AU4" s="12" t="s">
        <v>7</v>
      </c>
      <c r="AV4" s="10" t="s">
        <v>30</v>
      </c>
      <c r="AW4" s="30" t="s">
        <v>31</v>
      </c>
      <c r="AX4" s="12" t="s">
        <v>7</v>
      </c>
      <c r="AY4" s="10" t="s">
        <v>30</v>
      </c>
      <c r="AZ4" s="32" t="s">
        <v>31</v>
      </c>
      <c r="BA4" s="10" t="s">
        <v>7</v>
      </c>
      <c r="BB4" s="10" t="s">
        <v>30</v>
      </c>
      <c r="BC4" s="30" t="s">
        <v>31</v>
      </c>
      <c r="BD4" s="12" t="s">
        <v>7</v>
      </c>
      <c r="BE4" s="10" t="s">
        <v>30</v>
      </c>
      <c r="BF4" s="11" t="s">
        <v>31</v>
      </c>
      <c r="BG4" s="10" t="s">
        <v>7</v>
      </c>
      <c r="BH4" s="10" t="s">
        <v>30</v>
      </c>
      <c r="BI4" s="32" t="s">
        <v>31</v>
      </c>
      <c r="BJ4" s="15" t="s">
        <v>7</v>
      </c>
      <c r="BK4" s="16" t="s">
        <v>30</v>
      </c>
      <c r="BL4" s="28" t="s">
        <v>31</v>
      </c>
      <c r="BM4" s="16" t="s">
        <v>7</v>
      </c>
      <c r="BN4" s="16" t="s">
        <v>30</v>
      </c>
      <c r="BO4" s="57" t="s">
        <v>31</v>
      </c>
      <c r="BP4" s="15" t="s">
        <v>7</v>
      </c>
      <c r="BQ4" s="16" t="s">
        <v>30</v>
      </c>
      <c r="BR4" s="28" t="s">
        <v>31</v>
      </c>
      <c r="BS4" s="16" t="s">
        <v>7</v>
      </c>
      <c r="BT4" s="16" t="s">
        <v>30</v>
      </c>
      <c r="BU4" s="57" t="s">
        <v>31</v>
      </c>
      <c r="BV4" s="116" t="s">
        <v>7</v>
      </c>
      <c r="BW4" s="116" t="s">
        <v>30</v>
      </c>
      <c r="BX4" s="146" t="s">
        <v>31</v>
      </c>
    </row>
    <row r="5" spans="1:76" ht="15" thickBot="1" x14ac:dyDescent="0.35">
      <c r="A5" s="1">
        <v>45444</v>
      </c>
      <c r="B5" s="125">
        <v>0</v>
      </c>
      <c r="C5" s="126">
        <v>0</v>
      </c>
      <c r="D5" s="276" t="str">
        <f t="shared" ref="D5:D14" si="0">IF(C5=0,"-",B5/C5)</f>
        <v>-</v>
      </c>
      <c r="E5" s="125">
        <v>0</v>
      </c>
      <c r="F5" s="126">
        <v>0</v>
      </c>
      <c r="G5" s="276" t="str">
        <f t="shared" ref="G5:G6" si="1">IF(F5=0,"-",E5/F5)</f>
        <v>-</v>
      </c>
      <c r="H5" s="125">
        <v>0</v>
      </c>
      <c r="I5" s="126">
        <v>0</v>
      </c>
      <c r="J5" s="276" t="str">
        <f t="shared" ref="J5:J6" si="2">IF(I5=0,"-",H5/I5)</f>
        <v>-</v>
      </c>
      <c r="K5" s="125">
        <v>0</v>
      </c>
      <c r="L5" s="126">
        <v>0</v>
      </c>
      <c r="M5" s="276" t="str">
        <f t="shared" ref="M5:M6" si="3">IF(L5=0,"-",K5/L5)</f>
        <v>-</v>
      </c>
      <c r="N5" s="125">
        <v>0</v>
      </c>
      <c r="O5" s="126">
        <v>0</v>
      </c>
      <c r="P5" s="276" t="str">
        <f t="shared" ref="P5:P28" si="4">IF(O5=0,"-",N5/O5)</f>
        <v>-</v>
      </c>
      <c r="Q5" s="125">
        <v>0</v>
      </c>
      <c r="R5" s="126">
        <v>0</v>
      </c>
      <c r="S5" s="276" t="str">
        <f t="shared" ref="S5:S6" si="5">IF(R5=0,"-",Q5/R5)</f>
        <v>-</v>
      </c>
      <c r="T5" s="125">
        <v>0</v>
      </c>
      <c r="U5" s="126">
        <v>0</v>
      </c>
      <c r="V5" s="276" t="str">
        <f t="shared" ref="V5:V6" si="6">IF(U5=0,"-",T5/U5)</f>
        <v>-</v>
      </c>
      <c r="W5" s="125">
        <v>6</v>
      </c>
      <c r="X5" s="126">
        <v>1</v>
      </c>
      <c r="Y5" s="277">
        <f t="shared" ref="Y5:Y6" si="7">IF(X5=0,"-",W5/X5)</f>
        <v>6</v>
      </c>
      <c r="Z5" s="20">
        <v>0</v>
      </c>
      <c r="AA5" s="21">
        <v>0</v>
      </c>
      <c r="AB5" s="280" t="str">
        <f t="shared" ref="AB5:AB22" si="8">IF(AA5=0,"-",Z5/AA5)</f>
        <v>-</v>
      </c>
      <c r="AC5" s="279">
        <v>0</v>
      </c>
      <c r="AD5" s="126">
        <v>0</v>
      </c>
      <c r="AE5" s="276" t="str">
        <f t="shared" ref="AE5:AE6" si="9">IF(AD5=0,"-",AC5/AD5)</f>
        <v>-</v>
      </c>
      <c r="AF5" s="125">
        <v>0</v>
      </c>
      <c r="AG5" s="126">
        <v>0</v>
      </c>
      <c r="AH5" s="276" t="str">
        <f t="shared" ref="AH5:AH6" si="10">IF(AG5=0,"-",AF5/AG5)</f>
        <v>-</v>
      </c>
      <c r="AI5" s="125">
        <v>0</v>
      </c>
      <c r="AJ5" s="126">
        <v>0</v>
      </c>
      <c r="AK5" s="276" t="str">
        <f t="shared" ref="AK5:AK6" si="11">IF(AJ5=0,"-",AI5/AJ5)</f>
        <v>-</v>
      </c>
      <c r="AL5" s="125">
        <v>0</v>
      </c>
      <c r="AM5" s="126">
        <v>0</v>
      </c>
      <c r="AN5" s="276" t="str">
        <f t="shared" ref="AN5:AN6" si="12">IF(AM5=0,"-",AL5/AM5)</f>
        <v>-</v>
      </c>
      <c r="AO5" s="125">
        <v>0</v>
      </c>
      <c r="AP5" s="126">
        <v>0</v>
      </c>
      <c r="AQ5" s="276" t="str">
        <f t="shared" ref="AQ5:AQ6" si="13">IF(AP5=0,"-",AO5/AP5)</f>
        <v>-</v>
      </c>
      <c r="AR5" s="125">
        <v>0</v>
      </c>
      <c r="AS5" s="126">
        <v>0</v>
      </c>
      <c r="AT5" s="276" t="str">
        <f t="shared" ref="AT5:AT23" si="14">IF(AS5=0,"-",AR5/AS5)</f>
        <v>-</v>
      </c>
      <c r="AU5" s="125">
        <v>7</v>
      </c>
      <c r="AV5" s="126">
        <v>1</v>
      </c>
      <c r="AW5" s="276">
        <f t="shared" ref="AW5:AW6" si="15">IF(AV5=0,"-",AU5/AV5)</f>
        <v>7</v>
      </c>
      <c r="AX5" s="125">
        <v>0</v>
      </c>
      <c r="AY5" s="126">
        <v>0</v>
      </c>
      <c r="AZ5" s="276" t="str">
        <f t="shared" ref="AZ5:AZ6" si="16">IF(AY5=0,"-",AX5/AY5)</f>
        <v>-</v>
      </c>
      <c r="BA5" s="125">
        <v>0</v>
      </c>
      <c r="BB5" s="126">
        <v>0</v>
      </c>
      <c r="BC5" s="276" t="str">
        <f t="shared" ref="BC5:BC6" si="17">IF(BB5=0,"-",BA5/BB5)</f>
        <v>-</v>
      </c>
      <c r="BD5" s="125">
        <v>0</v>
      </c>
      <c r="BE5" s="126">
        <v>0</v>
      </c>
      <c r="BF5" s="276" t="str">
        <f t="shared" ref="BF5:BF6" si="18">IF(BE5=0,"-",BD5/BE5)</f>
        <v>-</v>
      </c>
      <c r="BG5" s="125">
        <v>0</v>
      </c>
      <c r="BH5" s="126">
        <v>0</v>
      </c>
      <c r="BI5" s="276" t="str">
        <f t="shared" ref="BI5:BI6" si="19">IF(BH5=0,"-",BG5/BH5)</f>
        <v>-</v>
      </c>
      <c r="BJ5" s="125">
        <v>0</v>
      </c>
      <c r="BK5" s="126">
        <v>0</v>
      </c>
      <c r="BL5" s="276" t="str">
        <f t="shared" ref="BL5:BL6" si="20">IF(BK5=0,"-",BJ5/BK5)</f>
        <v>-</v>
      </c>
      <c r="BM5" s="125">
        <v>0</v>
      </c>
      <c r="BN5" s="126">
        <v>0</v>
      </c>
      <c r="BO5" s="276" t="str">
        <f t="shared" ref="BO5:BO6" si="21">IF(BN5=0,"-",BM5/BN5)</f>
        <v>-</v>
      </c>
      <c r="BP5" s="125">
        <v>0</v>
      </c>
      <c r="BQ5" s="126">
        <v>0</v>
      </c>
      <c r="BR5" s="276" t="str">
        <f t="shared" ref="BR5:BR6" si="22">IF(BQ5=0,"-",BP5/BQ5)</f>
        <v>-</v>
      </c>
      <c r="BS5" s="125">
        <v>0</v>
      </c>
      <c r="BT5" s="126">
        <v>0</v>
      </c>
      <c r="BU5" s="276" t="str">
        <f t="shared" ref="BU5:BU6" si="23">IF(BT5=0,"-",BS5/BT5)</f>
        <v>-</v>
      </c>
      <c r="BV5" s="117">
        <f>B5+E5+H5+K5+N5+Q5+T5+W5+Z5+AC5+AF5+AI5+AL5+AO5+AR5+AU5+AX5+BA5+BD5+BG5+BJ5+BM5+BP5+BS5</f>
        <v>13</v>
      </c>
      <c r="BW5" s="120">
        <f t="shared" ref="BW5:BW22" si="24">BT5+BQ5+BN5+BK5+BH5+BE5+BB5+AY5+AV5+L5+U5+R5+I5+F5+AP5+AM5+AJ5+AG5+AD5+C5</f>
        <v>1</v>
      </c>
      <c r="BX5" s="147">
        <f t="shared" ref="BX5:BX35" si="25">IF(BW5=0,"",BV5/BW5)</f>
        <v>13</v>
      </c>
    </row>
    <row r="6" spans="1:76" ht="15" thickBot="1" x14ac:dyDescent="0.35">
      <c r="A6" s="1">
        <v>45445</v>
      </c>
      <c r="B6" s="20">
        <v>0</v>
      </c>
      <c r="C6" s="21">
        <v>0</v>
      </c>
      <c r="D6" s="139" t="str">
        <f t="shared" si="0"/>
        <v>-</v>
      </c>
      <c r="E6" s="20">
        <v>0</v>
      </c>
      <c r="F6" s="21">
        <v>0</v>
      </c>
      <c r="G6" s="139" t="str">
        <f t="shared" si="1"/>
        <v>-</v>
      </c>
      <c r="H6" s="20">
        <v>0</v>
      </c>
      <c r="I6" s="21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24</v>
      </c>
      <c r="U6" s="21">
        <v>6</v>
      </c>
      <c r="V6" s="139">
        <f t="shared" si="6"/>
        <v>4</v>
      </c>
      <c r="W6" s="20">
        <v>0</v>
      </c>
      <c r="X6" s="21">
        <v>0</v>
      </c>
      <c r="Y6" s="278" t="str">
        <f t="shared" si="7"/>
        <v>-</v>
      </c>
      <c r="Z6" s="20">
        <v>0</v>
      </c>
      <c r="AA6" s="21">
        <v>0</v>
      </c>
      <c r="AB6" s="280" t="str">
        <f t="shared" si="8"/>
        <v>-</v>
      </c>
      <c r="AC6" s="23">
        <v>0</v>
      </c>
      <c r="AD6" s="21">
        <v>0</v>
      </c>
      <c r="AE6" s="139" t="str">
        <f t="shared" si="9"/>
        <v>-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7</v>
      </c>
      <c r="AV6" s="21">
        <v>1</v>
      </c>
      <c r="AW6" s="139">
        <f t="shared" si="15"/>
        <v>7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20">
        <v>0</v>
      </c>
      <c r="BN6" s="21">
        <v>0</v>
      </c>
      <c r="BO6" s="139" t="str">
        <f t="shared" si="21"/>
        <v>-</v>
      </c>
      <c r="BP6" s="20">
        <v>0</v>
      </c>
      <c r="BQ6" s="21">
        <v>0</v>
      </c>
      <c r="BR6" s="139" t="str">
        <f t="shared" si="22"/>
        <v>-</v>
      </c>
      <c r="BS6" s="20">
        <v>0</v>
      </c>
      <c r="BT6" s="21">
        <v>0</v>
      </c>
      <c r="BU6" s="139" t="str">
        <f t="shared" si="23"/>
        <v>-</v>
      </c>
      <c r="BV6" s="117">
        <f t="shared" ref="BV6:BV34" si="26">B6+E6+H6+K6+N6+Q6+T6+W6+Z6+AC6+AF6+AI6+AL6+AO6+AR6+AU6+AX6+BA6+BD6+BG6+BJ6+BM6+BP6+BS6</f>
        <v>31</v>
      </c>
      <c r="BW6" s="120">
        <f t="shared" si="24"/>
        <v>7</v>
      </c>
      <c r="BX6" s="147">
        <f t="shared" si="25"/>
        <v>4.4285714285714288</v>
      </c>
    </row>
    <row r="7" spans="1:76" ht="15" thickBot="1" x14ac:dyDescent="0.35">
      <c r="A7" s="1">
        <v>45446</v>
      </c>
      <c r="B7" s="20">
        <v>34</v>
      </c>
      <c r="C7" s="21">
        <v>4</v>
      </c>
      <c r="D7" s="139">
        <f t="shared" si="0"/>
        <v>8.5</v>
      </c>
      <c r="E7" s="23">
        <v>8</v>
      </c>
      <c r="F7" s="21">
        <v>1</v>
      </c>
      <c r="G7" s="139">
        <f t="shared" ref="G7:G34" si="27">IF(F7=0,"-",E7/F7)</f>
        <v>8</v>
      </c>
      <c r="H7" s="20">
        <v>0</v>
      </c>
      <c r="I7" s="21">
        <v>0</v>
      </c>
      <c r="J7" s="139" t="str">
        <f>IF(I7=0,"-",H7/I7)</f>
        <v>-</v>
      </c>
      <c r="K7" s="20">
        <v>8</v>
      </c>
      <c r="L7" s="21">
        <v>1</v>
      </c>
      <c r="M7" s="139">
        <f t="shared" ref="M7:M29" si="28">IF(L7=0,"-",K7/L7)</f>
        <v>8</v>
      </c>
      <c r="N7" s="20">
        <v>0</v>
      </c>
      <c r="O7" s="21">
        <v>0</v>
      </c>
      <c r="P7" s="139" t="str">
        <f t="shared" si="4"/>
        <v>-</v>
      </c>
      <c r="Q7" s="20">
        <v>18</v>
      </c>
      <c r="R7" s="21">
        <v>5</v>
      </c>
      <c r="S7" s="139">
        <f t="shared" ref="S7:S32" si="29">IF(R7=0,"-",Q7/R7)</f>
        <v>3.6</v>
      </c>
      <c r="T7" s="20">
        <v>0</v>
      </c>
      <c r="U7" s="21">
        <v>0</v>
      </c>
      <c r="V7" s="139" t="str">
        <f t="shared" ref="V7:V31" si="30">IF(U7=0,"-",T7/U7)</f>
        <v>-</v>
      </c>
      <c r="W7" s="20">
        <v>0</v>
      </c>
      <c r="X7" s="21">
        <v>0</v>
      </c>
      <c r="Y7" s="278" t="str">
        <f t="shared" ref="Y7:Y31" si="31">IF(X7=0,"-",W7/X7)</f>
        <v>-</v>
      </c>
      <c r="Z7" s="20">
        <v>0</v>
      </c>
      <c r="AA7" s="21">
        <v>0</v>
      </c>
      <c r="AB7" s="280" t="str">
        <f t="shared" si="8"/>
        <v>-</v>
      </c>
      <c r="AC7" s="23">
        <v>0</v>
      </c>
      <c r="AD7" s="21">
        <v>0</v>
      </c>
      <c r="AE7" s="139" t="str">
        <f t="shared" ref="AE7:AE32" si="32">IF(AD7=0,"-",AC7/AD7)</f>
        <v>-</v>
      </c>
      <c r="AF7" s="20">
        <v>0</v>
      </c>
      <c r="AG7" s="21">
        <v>0</v>
      </c>
      <c r="AH7" s="139" t="str">
        <f>IF(AG7=0,"-",AF7/AG7)</f>
        <v>-</v>
      </c>
      <c r="AI7" s="20">
        <v>0</v>
      </c>
      <c r="AJ7" s="21">
        <v>0</v>
      </c>
      <c r="AK7" s="139" t="str">
        <f t="shared" ref="AK7:AK23" si="33">IF(AJ7=0,"-",AI7/AJ7)</f>
        <v>-</v>
      </c>
      <c r="AL7" s="20">
        <v>0</v>
      </c>
      <c r="AM7" s="21">
        <v>0</v>
      </c>
      <c r="AN7" s="139" t="str">
        <f t="shared" ref="AN7:AN23" si="34">IF(AM7=0,"-",AL7/AM7)</f>
        <v>-</v>
      </c>
      <c r="AO7" s="20">
        <v>0</v>
      </c>
      <c r="AP7" s="21">
        <v>0</v>
      </c>
      <c r="AQ7" s="139" t="str">
        <f t="shared" ref="AQ7:AQ30" si="35">IF(AP7=0,"-",AO7/AP7)</f>
        <v>-</v>
      </c>
      <c r="AR7" s="20">
        <v>0</v>
      </c>
      <c r="AS7" s="21">
        <v>0</v>
      </c>
      <c r="AT7" s="139" t="str">
        <f t="shared" si="14"/>
        <v>-</v>
      </c>
      <c r="AU7" s="252">
        <v>7</v>
      </c>
      <c r="AV7" s="253">
        <v>1</v>
      </c>
      <c r="AW7" s="139">
        <f t="shared" ref="AW7:AW34" si="36">IF(AV7=0,"-",AU7/AV7)</f>
        <v>7</v>
      </c>
      <c r="AX7" s="20">
        <v>0</v>
      </c>
      <c r="AY7" s="21">
        <v>0</v>
      </c>
      <c r="AZ7" s="139" t="str">
        <f t="shared" ref="AZ7:AZ24" si="37">IF(AY7=0,"-",AX7/AY7)</f>
        <v>-</v>
      </c>
      <c r="BA7" s="20">
        <v>0</v>
      </c>
      <c r="BB7" s="21">
        <v>0</v>
      </c>
      <c r="BC7" s="139" t="str">
        <f t="shared" ref="BC7:BC24" si="38">IF(BB7=0,"-",BA7/BB7)</f>
        <v>-</v>
      </c>
      <c r="BD7" s="256">
        <v>6</v>
      </c>
      <c r="BE7" s="253">
        <v>1</v>
      </c>
      <c r="BF7" s="139">
        <f t="shared" ref="BF7:BF34" si="39">IF(BE7=0,"-",BD7/BE7)</f>
        <v>6</v>
      </c>
      <c r="BG7" s="20">
        <v>0</v>
      </c>
      <c r="BH7" s="21">
        <v>0</v>
      </c>
      <c r="BI7" s="139" t="str">
        <f t="shared" ref="BI7:BI31" si="40">IF(BH7=0,"-",BG7/BH7)</f>
        <v>-</v>
      </c>
      <c r="BJ7" s="20">
        <v>0</v>
      </c>
      <c r="BK7" s="21">
        <v>0</v>
      </c>
      <c r="BL7" s="139" t="str">
        <f t="shared" ref="BL7:BL34" si="41">IF(BK7=0,"-",BJ7/BK7)</f>
        <v>-</v>
      </c>
      <c r="BM7" s="20">
        <v>0</v>
      </c>
      <c r="BN7" s="21">
        <v>0</v>
      </c>
      <c r="BO7" s="139" t="str">
        <f t="shared" ref="BO7:BO23" si="42">IF(BN7=0,"-",BM7/BN7)</f>
        <v>-</v>
      </c>
      <c r="BP7" s="20">
        <v>0</v>
      </c>
      <c r="BQ7" s="21">
        <v>0</v>
      </c>
      <c r="BR7" s="139" t="str">
        <f t="shared" ref="BR7:BR23" si="43">IF(BQ7=0,"-",BP7/BQ7)</f>
        <v>-</v>
      </c>
      <c r="BS7" s="20">
        <v>0</v>
      </c>
      <c r="BT7" s="21">
        <v>0</v>
      </c>
      <c r="BU7" s="139" t="str">
        <f t="shared" ref="BU7:BU23" si="44">IF(BT7=0,"-",BS7/BT7)</f>
        <v>-</v>
      </c>
      <c r="BV7" s="117">
        <f t="shared" si="26"/>
        <v>81</v>
      </c>
      <c r="BW7" s="120">
        <f t="shared" si="24"/>
        <v>13</v>
      </c>
      <c r="BX7" s="147">
        <f t="shared" si="25"/>
        <v>6.2307692307692308</v>
      </c>
    </row>
    <row r="8" spans="1:76" ht="15" thickBot="1" x14ac:dyDescent="0.35">
      <c r="A8" s="1">
        <v>45447</v>
      </c>
      <c r="B8" s="20">
        <v>8</v>
      </c>
      <c r="C8" s="21">
        <v>1</v>
      </c>
      <c r="D8" s="139">
        <f t="shared" si="0"/>
        <v>8</v>
      </c>
      <c r="E8" s="23">
        <v>0</v>
      </c>
      <c r="F8" s="21">
        <v>0</v>
      </c>
      <c r="G8" s="139">
        <v>0</v>
      </c>
      <c r="H8" s="20">
        <v>0</v>
      </c>
      <c r="I8" s="21">
        <v>0</v>
      </c>
      <c r="J8" s="139" t="str">
        <f t="shared" ref="J8:J10" si="45">IF(I8=0,"-",H8/I8)</f>
        <v>-</v>
      </c>
      <c r="K8" s="20">
        <v>8</v>
      </c>
      <c r="L8" s="21">
        <v>1</v>
      </c>
      <c r="M8" s="139">
        <f t="shared" si="28"/>
        <v>8</v>
      </c>
      <c r="N8" s="20">
        <v>0</v>
      </c>
      <c r="O8" s="21">
        <v>0</v>
      </c>
      <c r="P8" s="139" t="str">
        <f t="shared" si="4"/>
        <v>-</v>
      </c>
      <c r="Q8" s="20">
        <v>39</v>
      </c>
      <c r="R8" s="21">
        <v>7</v>
      </c>
      <c r="S8" s="139">
        <f t="shared" si="29"/>
        <v>5.5714285714285712</v>
      </c>
      <c r="T8" s="20">
        <v>0</v>
      </c>
      <c r="U8" s="21">
        <v>0</v>
      </c>
      <c r="V8" s="139" t="str">
        <f t="shared" si="30"/>
        <v>-</v>
      </c>
      <c r="W8" s="20">
        <v>0</v>
      </c>
      <c r="X8" s="21">
        <v>0</v>
      </c>
      <c r="Y8" s="278" t="str">
        <f t="shared" si="31"/>
        <v>-</v>
      </c>
      <c r="Z8" s="20">
        <v>0</v>
      </c>
      <c r="AA8" s="21">
        <v>0</v>
      </c>
      <c r="AB8" s="280" t="str">
        <f t="shared" si="8"/>
        <v>-</v>
      </c>
      <c r="AC8" s="23">
        <v>3</v>
      </c>
      <c r="AD8" s="21">
        <v>1</v>
      </c>
      <c r="AE8" s="139">
        <f t="shared" si="32"/>
        <v>3</v>
      </c>
      <c r="AF8" s="20">
        <v>1</v>
      </c>
      <c r="AG8" s="21">
        <v>1</v>
      </c>
      <c r="AH8" s="139">
        <f t="shared" ref="AH8:AH23" si="46">IF(AG8=0,"-",AF8/AG8)</f>
        <v>1</v>
      </c>
      <c r="AI8" s="20">
        <v>0</v>
      </c>
      <c r="AJ8" s="21">
        <v>0</v>
      </c>
      <c r="AK8" s="139" t="str">
        <f t="shared" si="33"/>
        <v>-</v>
      </c>
      <c r="AL8" s="20">
        <v>0</v>
      </c>
      <c r="AM8" s="21">
        <v>0</v>
      </c>
      <c r="AN8" s="139" t="str">
        <f t="shared" si="34"/>
        <v>-</v>
      </c>
      <c r="AO8" s="20">
        <v>0</v>
      </c>
      <c r="AP8" s="21">
        <v>0</v>
      </c>
      <c r="AQ8" s="139" t="str">
        <f t="shared" si="35"/>
        <v>-</v>
      </c>
      <c r="AR8" s="20">
        <v>0</v>
      </c>
      <c r="AS8" s="21">
        <v>0</v>
      </c>
      <c r="AT8" s="139" t="str">
        <f t="shared" si="14"/>
        <v>-</v>
      </c>
      <c r="AU8" s="252">
        <v>30</v>
      </c>
      <c r="AV8" s="253">
        <v>4</v>
      </c>
      <c r="AW8" s="139">
        <f t="shared" si="36"/>
        <v>7.5</v>
      </c>
      <c r="AX8" s="20">
        <v>0</v>
      </c>
      <c r="AY8" s="21">
        <v>0</v>
      </c>
      <c r="AZ8" s="139" t="str">
        <f t="shared" si="37"/>
        <v>-</v>
      </c>
      <c r="BA8" s="20">
        <v>0</v>
      </c>
      <c r="BB8" s="21">
        <v>0</v>
      </c>
      <c r="BC8" s="139" t="str">
        <f t="shared" si="38"/>
        <v>-</v>
      </c>
      <c r="BD8" s="256">
        <v>0</v>
      </c>
      <c r="BE8" s="253">
        <v>0</v>
      </c>
      <c r="BF8" s="139" t="str">
        <f t="shared" si="39"/>
        <v>-</v>
      </c>
      <c r="BG8" s="20">
        <v>0</v>
      </c>
      <c r="BH8" s="21">
        <v>0</v>
      </c>
      <c r="BI8" s="139" t="str">
        <f t="shared" si="40"/>
        <v>-</v>
      </c>
      <c r="BJ8" s="20">
        <v>5</v>
      </c>
      <c r="BK8" s="21">
        <v>1</v>
      </c>
      <c r="BL8" s="139">
        <f t="shared" si="41"/>
        <v>5</v>
      </c>
      <c r="BM8" s="20">
        <v>0</v>
      </c>
      <c r="BN8" s="21">
        <v>0</v>
      </c>
      <c r="BO8" s="139"/>
      <c r="BP8" s="20">
        <v>0</v>
      </c>
      <c r="BQ8" s="21">
        <v>0</v>
      </c>
      <c r="BR8" s="139" t="str">
        <f t="shared" si="43"/>
        <v>-</v>
      </c>
      <c r="BS8" s="20">
        <v>0</v>
      </c>
      <c r="BT8" s="21">
        <v>0</v>
      </c>
      <c r="BU8" s="139" t="str">
        <f t="shared" si="44"/>
        <v>-</v>
      </c>
      <c r="BV8" s="117">
        <f t="shared" si="26"/>
        <v>94</v>
      </c>
      <c r="BW8" s="120">
        <f t="shared" si="24"/>
        <v>16</v>
      </c>
      <c r="BX8" s="147">
        <f t="shared" si="25"/>
        <v>5.875</v>
      </c>
    </row>
    <row r="9" spans="1:76" ht="15" thickBot="1" x14ac:dyDescent="0.35">
      <c r="A9" s="1">
        <v>45448</v>
      </c>
      <c r="B9" s="20">
        <v>60</v>
      </c>
      <c r="C9" s="21">
        <v>6</v>
      </c>
      <c r="D9" s="139">
        <f t="shared" si="0"/>
        <v>10</v>
      </c>
      <c r="E9" s="23">
        <v>0</v>
      </c>
      <c r="F9" s="21">
        <v>0</v>
      </c>
      <c r="G9" s="139" t="str">
        <f t="shared" ref="G9:G11" si="47">IF(F9=0,"-",E9/F9)</f>
        <v>-</v>
      </c>
      <c r="H9" s="20">
        <v>8</v>
      </c>
      <c r="I9" s="21">
        <v>1</v>
      </c>
      <c r="J9" s="139">
        <f t="shared" si="45"/>
        <v>8</v>
      </c>
      <c r="K9" s="20">
        <v>25</v>
      </c>
      <c r="L9" s="21">
        <v>3</v>
      </c>
      <c r="M9" s="139">
        <f t="shared" si="28"/>
        <v>8.3333333333333339</v>
      </c>
      <c r="N9" s="20">
        <v>0</v>
      </c>
      <c r="O9" s="21">
        <v>0</v>
      </c>
      <c r="P9" s="139" t="str">
        <f t="shared" si="4"/>
        <v>-</v>
      </c>
      <c r="Q9" s="20">
        <v>16</v>
      </c>
      <c r="R9" s="21">
        <v>3</v>
      </c>
      <c r="S9" s="139">
        <f t="shared" si="29"/>
        <v>5.333333333333333</v>
      </c>
      <c r="T9" s="20">
        <v>0</v>
      </c>
      <c r="U9" s="21">
        <v>0</v>
      </c>
      <c r="V9" s="139" t="str">
        <f t="shared" ref="V9:V10" si="48">IF(U9=0,"-",T9/U9)</f>
        <v>-</v>
      </c>
      <c r="W9" s="20">
        <v>0</v>
      </c>
      <c r="X9" s="21">
        <v>0</v>
      </c>
      <c r="Y9" s="278" t="str">
        <f t="shared" ref="Y9" si="49">IF(X9=0,"-",W9/X9)</f>
        <v>-</v>
      </c>
      <c r="Z9" s="20">
        <v>0</v>
      </c>
      <c r="AA9" s="21">
        <v>0</v>
      </c>
      <c r="AB9" s="280" t="str">
        <f t="shared" si="8"/>
        <v>-</v>
      </c>
      <c r="AC9" s="23">
        <v>3</v>
      </c>
      <c r="AD9" s="21">
        <v>1</v>
      </c>
      <c r="AE9" s="139">
        <f t="shared" si="32"/>
        <v>3</v>
      </c>
      <c r="AF9" s="20">
        <v>0</v>
      </c>
      <c r="AG9" s="21">
        <v>0</v>
      </c>
      <c r="AH9" s="139" t="str">
        <f t="shared" si="46"/>
        <v>-</v>
      </c>
      <c r="AI9" s="20">
        <v>0</v>
      </c>
      <c r="AJ9" s="21">
        <v>0</v>
      </c>
      <c r="AK9" s="139" t="str">
        <f t="shared" si="33"/>
        <v>-</v>
      </c>
      <c r="AL9" s="20">
        <v>0</v>
      </c>
      <c r="AM9" s="21">
        <v>0</v>
      </c>
      <c r="AN9" s="139" t="str">
        <f t="shared" si="34"/>
        <v>-</v>
      </c>
      <c r="AO9" s="20">
        <v>0</v>
      </c>
      <c r="AP9" s="21">
        <v>0</v>
      </c>
      <c r="AQ9" s="139" t="str">
        <f t="shared" si="35"/>
        <v>-</v>
      </c>
      <c r="AR9" s="20">
        <v>0</v>
      </c>
      <c r="AS9" s="21">
        <v>0</v>
      </c>
      <c r="AT9" s="139" t="str">
        <f t="shared" si="14"/>
        <v>-</v>
      </c>
      <c r="AU9" s="252">
        <v>28</v>
      </c>
      <c r="AV9" s="253">
        <v>4</v>
      </c>
      <c r="AW9" s="139">
        <f t="shared" si="36"/>
        <v>7</v>
      </c>
      <c r="AX9" s="20">
        <v>0</v>
      </c>
      <c r="AY9" s="21">
        <v>0</v>
      </c>
      <c r="AZ9" s="139" t="str">
        <f t="shared" ref="AZ9" si="50">IF(AY9=0,"-",AX9/AY9)</f>
        <v>-</v>
      </c>
      <c r="BA9" s="20">
        <v>0</v>
      </c>
      <c r="BB9" s="21">
        <v>0</v>
      </c>
      <c r="BC9" s="139" t="str">
        <f t="shared" ref="BC9" si="51">IF(BB9=0,"-",BA9/BB9)</f>
        <v>-</v>
      </c>
      <c r="BD9" s="256">
        <v>0</v>
      </c>
      <c r="BE9" s="253">
        <v>0</v>
      </c>
      <c r="BF9" s="139" t="str">
        <f t="shared" ref="BF9" si="52">IF(BE9=0,"-",BD9/BE9)</f>
        <v>-</v>
      </c>
      <c r="BG9" s="20">
        <v>0</v>
      </c>
      <c r="BH9" s="21">
        <v>0</v>
      </c>
      <c r="BI9" s="139" t="str">
        <f t="shared" ref="BI9" si="53">IF(BH9=0,"-",BG9/BH9)</f>
        <v>-</v>
      </c>
      <c r="BJ9" s="20">
        <v>0</v>
      </c>
      <c r="BK9" s="21">
        <v>0</v>
      </c>
      <c r="BL9" s="139" t="str">
        <f t="shared" si="41"/>
        <v>-</v>
      </c>
      <c r="BM9" s="20">
        <v>0</v>
      </c>
      <c r="BN9" s="21">
        <v>0</v>
      </c>
      <c r="BO9" s="139" t="str">
        <f t="shared" si="42"/>
        <v>-</v>
      </c>
      <c r="BP9" s="20">
        <v>0</v>
      </c>
      <c r="BQ9" s="21">
        <v>0</v>
      </c>
      <c r="BR9" s="139" t="str">
        <f t="shared" si="43"/>
        <v>-</v>
      </c>
      <c r="BS9" s="20">
        <v>0</v>
      </c>
      <c r="BT9" s="21">
        <v>0</v>
      </c>
      <c r="BU9" s="139" t="str">
        <f t="shared" si="44"/>
        <v>-</v>
      </c>
      <c r="BV9" s="117">
        <f t="shared" si="26"/>
        <v>140</v>
      </c>
      <c r="BW9" s="120">
        <f t="shared" si="24"/>
        <v>18</v>
      </c>
      <c r="BX9" s="147">
        <f t="shared" si="25"/>
        <v>7.7777777777777777</v>
      </c>
    </row>
    <row r="10" spans="1:76" ht="15" thickBot="1" x14ac:dyDescent="0.35">
      <c r="A10" s="1">
        <v>45449</v>
      </c>
      <c r="B10" s="20">
        <v>24</v>
      </c>
      <c r="C10" s="21">
        <v>3</v>
      </c>
      <c r="D10" s="139">
        <f t="shared" si="0"/>
        <v>8</v>
      </c>
      <c r="E10" s="23">
        <v>0</v>
      </c>
      <c r="F10" s="21">
        <v>0</v>
      </c>
      <c r="G10" s="139" t="str">
        <f t="shared" si="47"/>
        <v>-</v>
      </c>
      <c r="H10" s="20">
        <v>0</v>
      </c>
      <c r="I10" s="21">
        <v>0</v>
      </c>
      <c r="J10" s="139" t="str">
        <f t="shared" si="45"/>
        <v>-</v>
      </c>
      <c r="K10" s="20">
        <v>18</v>
      </c>
      <c r="L10" s="21">
        <v>2</v>
      </c>
      <c r="M10" s="139">
        <f t="shared" si="28"/>
        <v>9</v>
      </c>
      <c r="N10" s="20">
        <v>0</v>
      </c>
      <c r="O10" s="21">
        <v>0</v>
      </c>
      <c r="P10" s="139" t="str">
        <f t="shared" si="4"/>
        <v>-</v>
      </c>
      <c r="Q10" s="20">
        <v>52</v>
      </c>
      <c r="R10" s="21">
        <v>9</v>
      </c>
      <c r="S10" s="139">
        <f t="shared" si="29"/>
        <v>5.7777777777777777</v>
      </c>
      <c r="T10" s="20">
        <v>0</v>
      </c>
      <c r="U10" s="21">
        <v>0</v>
      </c>
      <c r="V10" s="139" t="str">
        <f t="shared" si="48"/>
        <v>-</v>
      </c>
      <c r="W10" s="20">
        <v>0</v>
      </c>
      <c r="X10" s="21">
        <v>0</v>
      </c>
      <c r="Y10" s="278" t="str">
        <f t="shared" si="31"/>
        <v>-</v>
      </c>
      <c r="Z10" s="20">
        <v>0</v>
      </c>
      <c r="AA10" s="21">
        <v>0</v>
      </c>
      <c r="AB10" s="280" t="str">
        <f t="shared" si="8"/>
        <v>-</v>
      </c>
      <c r="AC10" s="23">
        <v>0</v>
      </c>
      <c r="AD10" s="21">
        <v>0</v>
      </c>
      <c r="AE10" s="139" t="str">
        <f t="shared" si="32"/>
        <v>-</v>
      </c>
      <c r="AF10" s="20">
        <v>0</v>
      </c>
      <c r="AG10" s="21">
        <v>0</v>
      </c>
      <c r="AH10" s="139" t="str">
        <f t="shared" si="46"/>
        <v>-</v>
      </c>
      <c r="AI10" s="20">
        <v>5</v>
      </c>
      <c r="AJ10" s="21">
        <v>1</v>
      </c>
      <c r="AK10" s="139">
        <f t="shared" si="33"/>
        <v>5</v>
      </c>
      <c r="AL10" s="20">
        <v>0</v>
      </c>
      <c r="AM10" s="21">
        <v>0</v>
      </c>
      <c r="AN10" s="139" t="str">
        <f t="shared" si="34"/>
        <v>-</v>
      </c>
      <c r="AO10" s="20">
        <v>2</v>
      </c>
      <c r="AP10" s="21">
        <v>1</v>
      </c>
      <c r="AQ10" s="139">
        <f t="shared" si="35"/>
        <v>2</v>
      </c>
      <c r="AR10" s="20">
        <v>0</v>
      </c>
      <c r="AS10" s="21">
        <v>0</v>
      </c>
      <c r="AT10" s="139" t="str">
        <f t="shared" si="14"/>
        <v>-</v>
      </c>
      <c r="AU10" s="252">
        <v>0</v>
      </c>
      <c r="AV10" s="253">
        <v>0</v>
      </c>
      <c r="AW10" s="139" t="str">
        <f t="shared" si="36"/>
        <v>-</v>
      </c>
      <c r="AX10" s="20">
        <v>0</v>
      </c>
      <c r="AY10" s="21">
        <v>0</v>
      </c>
      <c r="AZ10" s="139" t="str">
        <f t="shared" si="37"/>
        <v>-</v>
      </c>
      <c r="BA10" s="20">
        <v>0</v>
      </c>
      <c r="BB10" s="21">
        <v>0</v>
      </c>
      <c r="BC10" s="139" t="str">
        <f t="shared" si="38"/>
        <v>-</v>
      </c>
      <c r="BD10" s="257">
        <v>0</v>
      </c>
      <c r="BE10" s="253">
        <v>0</v>
      </c>
      <c r="BF10" s="139" t="str">
        <f t="shared" si="39"/>
        <v>-</v>
      </c>
      <c r="BG10" s="20">
        <v>0</v>
      </c>
      <c r="BH10" s="21">
        <v>0</v>
      </c>
      <c r="BI10" s="139" t="str">
        <f t="shared" si="40"/>
        <v>-</v>
      </c>
      <c r="BJ10" s="20">
        <v>5</v>
      </c>
      <c r="BK10" s="21">
        <v>1</v>
      </c>
      <c r="BL10" s="139">
        <f t="shared" si="41"/>
        <v>5</v>
      </c>
      <c r="BM10" s="20">
        <v>0</v>
      </c>
      <c r="BN10" s="21">
        <v>0</v>
      </c>
      <c r="BO10" s="139" t="str">
        <f t="shared" ref="BO10" si="54">IF(BN10=0,"-",BM10/BN10)</f>
        <v>-</v>
      </c>
      <c r="BP10" s="20">
        <v>0</v>
      </c>
      <c r="BQ10" s="21">
        <v>0</v>
      </c>
      <c r="BR10" s="139" t="str">
        <f t="shared" ref="BR10" si="55">IF(BQ10=0,"-",BP10/BQ10)</f>
        <v>-</v>
      </c>
      <c r="BS10" s="20">
        <v>0</v>
      </c>
      <c r="BT10" s="21">
        <v>0</v>
      </c>
      <c r="BU10" s="139" t="str">
        <f t="shared" ref="BU10" si="56">IF(BT10=0,"-",BS10/BT10)</f>
        <v>-</v>
      </c>
      <c r="BV10" s="117">
        <f t="shared" si="26"/>
        <v>106</v>
      </c>
      <c r="BW10" s="120">
        <f t="shared" si="24"/>
        <v>17</v>
      </c>
      <c r="BX10" s="147">
        <f t="shared" si="25"/>
        <v>6.2352941176470589</v>
      </c>
    </row>
    <row r="11" spans="1:76" ht="15" thickBot="1" x14ac:dyDescent="0.35">
      <c r="A11" s="1">
        <v>45450</v>
      </c>
      <c r="B11" s="20">
        <v>8</v>
      </c>
      <c r="C11" s="21">
        <v>1</v>
      </c>
      <c r="D11" s="139">
        <f t="shared" si="0"/>
        <v>8</v>
      </c>
      <c r="E11" s="23">
        <v>6</v>
      </c>
      <c r="F11" s="21">
        <v>1</v>
      </c>
      <c r="G11" s="139">
        <f t="shared" si="47"/>
        <v>6</v>
      </c>
      <c r="H11" s="20">
        <v>0</v>
      </c>
      <c r="I11" s="21">
        <v>0</v>
      </c>
      <c r="J11" s="139" t="str">
        <f t="shared" ref="J11:J12" si="57">IF(I11=0,"-",H11/I11)</f>
        <v>-</v>
      </c>
      <c r="K11" s="20">
        <v>0</v>
      </c>
      <c r="L11" s="21">
        <v>0</v>
      </c>
      <c r="M11" s="139" t="str">
        <f t="shared" si="28"/>
        <v>-</v>
      </c>
      <c r="N11" s="20">
        <v>0</v>
      </c>
      <c r="O11" s="21">
        <v>0</v>
      </c>
      <c r="P11" s="139" t="str">
        <f t="shared" si="4"/>
        <v>-</v>
      </c>
      <c r="Q11" s="20">
        <v>55</v>
      </c>
      <c r="R11" s="21">
        <v>16</v>
      </c>
      <c r="S11" s="139">
        <f t="shared" si="29"/>
        <v>3.4375</v>
      </c>
      <c r="T11" s="20">
        <v>0</v>
      </c>
      <c r="U11" s="21">
        <v>0</v>
      </c>
      <c r="V11" s="139" t="str">
        <f t="shared" ref="V11" si="58">IF(U11=0,"-",T11/U11)</f>
        <v>-</v>
      </c>
      <c r="W11" s="20">
        <v>0</v>
      </c>
      <c r="X11" s="21">
        <v>0</v>
      </c>
      <c r="Y11" s="278" t="str">
        <f t="shared" ref="Y11" si="59">IF(X11=0,"-",W11/X11)</f>
        <v>-</v>
      </c>
      <c r="Z11" s="20">
        <v>0</v>
      </c>
      <c r="AA11" s="21">
        <v>0</v>
      </c>
      <c r="AB11" s="280" t="str">
        <f t="shared" si="8"/>
        <v>-</v>
      </c>
      <c r="AC11" s="23">
        <v>4</v>
      </c>
      <c r="AD11" s="21">
        <v>1</v>
      </c>
      <c r="AE11" s="139">
        <f t="shared" si="32"/>
        <v>4</v>
      </c>
      <c r="AF11" s="20">
        <v>0</v>
      </c>
      <c r="AG11" s="21">
        <v>0</v>
      </c>
      <c r="AH11" s="139" t="str">
        <f t="shared" si="46"/>
        <v>-</v>
      </c>
      <c r="AI11" s="20">
        <v>2</v>
      </c>
      <c r="AJ11" s="21">
        <v>2</v>
      </c>
      <c r="AK11" s="139">
        <f t="shared" si="33"/>
        <v>1</v>
      </c>
      <c r="AL11" s="20">
        <v>0</v>
      </c>
      <c r="AM11" s="21">
        <v>0</v>
      </c>
      <c r="AN11" s="139" t="str">
        <f t="shared" si="34"/>
        <v>-</v>
      </c>
      <c r="AO11" s="20">
        <v>0</v>
      </c>
      <c r="AP11" s="21">
        <v>0</v>
      </c>
      <c r="AQ11" s="139" t="str">
        <f t="shared" si="35"/>
        <v>-</v>
      </c>
      <c r="AR11" s="20">
        <v>0</v>
      </c>
      <c r="AS11" s="21">
        <v>0</v>
      </c>
      <c r="AT11" s="139" t="str">
        <f t="shared" si="14"/>
        <v>-</v>
      </c>
      <c r="AU11" s="252">
        <v>27</v>
      </c>
      <c r="AV11" s="253">
        <v>4</v>
      </c>
      <c r="AW11" s="139">
        <f t="shared" si="36"/>
        <v>6.75</v>
      </c>
      <c r="AX11" s="20">
        <v>7</v>
      </c>
      <c r="AY11" s="21">
        <v>1</v>
      </c>
      <c r="AZ11" s="139">
        <f t="shared" si="37"/>
        <v>7</v>
      </c>
      <c r="BA11" s="20">
        <v>42</v>
      </c>
      <c r="BB11" s="21">
        <v>6</v>
      </c>
      <c r="BC11" s="139">
        <f t="shared" si="38"/>
        <v>7</v>
      </c>
      <c r="BD11" s="257">
        <v>7</v>
      </c>
      <c r="BE11" s="253">
        <v>1</v>
      </c>
      <c r="BF11" s="139">
        <f t="shared" si="39"/>
        <v>7</v>
      </c>
      <c r="BG11" s="20">
        <v>0</v>
      </c>
      <c r="BH11" s="21">
        <v>0</v>
      </c>
      <c r="BI11" s="139" t="str">
        <f t="shared" ref="BI11:BI14" si="60">IF(BH11=0,"-",BG11/BH11)</f>
        <v>-</v>
      </c>
      <c r="BJ11" s="20">
        <v>71</v>
      </c>
      <c r="BK11" s="21">
        <v>14</v>
      </c>
      <c r="BL11" s="139">
        <f t="shared" si="41"/>
        <v>5.0714285714285712</v>
      </c>
      <c r="BM11" s="20">
        <v>0</v>
      </c>
      <c r="BN11" s="21">
        <v>0</v>
      </c>
      <c r="BO11" s="139" t="str">
        <f t="shared" ref="BO11" si="61">IF(BN11=0,"-",BM11/BN11)</f>
        <v>-</v>
      </c>
      <c r="BP11" s="20">
        <v>0</v>
      </c>
      <c r="BQ11" s="21">
        <v>0</v>
      </c>
      <c r="BR11" s="139" t="str">
        <f t="shared" ref="BR11" si="62">IF(BQ11=0,"-",BP11/BQ11)</f>
        <v>-</v>
      </c>
      <c r="BS11" s="20">
        <v>0</v>
      </c>
      <c r="BT11" s="21">
        <v>0</v>
      </c>
      <c r="BU11" s="139" t="str">
        <f t="shared" ref="BU11" si="63">IF(BT11=0,"-",BS11/BT11)</f>
        <v>-</v>
      </c>
      <c r="BV11" s="117">
        <f t="shared" si="26"/>
        <v>229</v>
      </c>
      <c r="BW11" s="120">
        <f t="shared" si="24"/>
        <v>47</v>
      </c>
      <c r="BX11" s="147">
        <f t="shared" si="25"/>
        <v>4.8723404255319149</v>
      </c>
    </row>
    <row r="12" spans="1:76" ht="15" thickBot="1" x14ac:dyDescent="0.35">
      <c r="A12" s="1">
        <v>45451</v>
      </c>
      <c r="B12" s="20">
        <v>28</v>
      </c>
      <c r="C12" s="21">
        <v>6</v>
      </c>
      <c r="D12" s="139">
        <f t="shared" si="0"/>
        <v>4.666666666666667</v>
      </c>
      <c r="E12" s="20">
        <v>0</v>
      </c>
      <c r="F12" s="21">
        <v>0</v>
      </c>
      <c r="G12" s="139" t="str">
        <f t="shared" si="27"/>
        <v>-</v>
      </c>
      <c r="H12" s="20">
        <v>0</v>
      </c>
      <c r="I12" s="21">
        <v>0</v>
      </c>
      <c r="J12" s="139" t="str">
        <f t="shared" si="57"/>
        <v>-</v>
      </c>
      <c r="K12" s="20">
        <v>0</v>
      </c>
      <c r="L12" s="21">
        <v>0</v>
      </c>
      <c r="M12" s="139" t="str">
        <f t="shared" si="28"/>
        <v>-</v>
      </c>
      <c r="N12" s="20">
        <v>0</v>
      </c>
      <c r="O12" s="21">
        <v>0</v>
      </c>
      <c r="P12" s="139" t="str">
        <f t="shared" si="4"/>
        <v>-</v>
      </c>
      <c r="Q12" s="23">
        <v>27</v>
      </c>
      <c r="R12" s="21">
        <v>5</v>
      </c>
      <c r="S12" s="139">
        <f t="shared" si="29"/>
        <v>5.4</v>
      </c>
      <c r="T12" s="20">
        <v>0</v>
      </c>
      <c r="U12" s="21">
        <v>0</v>
      </c>
      <c r="V12" s="139" t="str">
        <f t="shared" ref="V12" si="64">IF(U12=0,"-",T12/U12)</f>
        <v>-</v>
      </c>
      <c r="W12" s="20">
        <v>0</v>
      </c>
      <c r="X12" s="21">
        <v>0</v>
      </c>
      <c r="Y12" s="278" t="str">
        <f t="shared" ref="Y12" si="65">IF(X12=0,"-",W12/X12)</f>
        <v>-</v>
      </c>
      <c r="Z12" s="20">
        <v>0</v>
      </c>
      <c r="AA12" s="21">
        <v>0</v>
      </c>
      <c r="AB12" s="280" t="str">
        <f t="shared" si="8"/>
        <v>-</v>
      </c>
      <c r="AC12" s="23">
        <v>0</v>
      </c>
      <c r="AD12" s="21">
        <v>0</v>
      </c>
      <c r="AE12" s="139" t="str">
        <f t="shared" si="32"/>
        <v>-</v>
      </c>
      <c r="AF12" s="20">
        <v>0</v>
      </c>
      <c r="AG12" s="21">
        <v>0</v>
      </c>
      <c r="AH12" s="139" t="str">
        <f t="shared" si="46"/>
        <v>-</v>
      </c>
      <c r="AI12" s="20">
        <v>0</v>
      </c>
      <c r="AJ12" s="21">
        <v>0</v>
      </c>
      <c r="AK12" s="139" t="str">
        <f t="shared" si="33"/>
        <v>-</v>
      </c>
      <c r="AL12" s="20">
        <v>0</v>
      </c>
      <c r="AM12" s="21">
        <v>0</v>
      </c>
      <c r="AN12" s="139" t="str">
        <f t="shared" si="34"/>
        <v>-</v>
      </c>
      <c r="AO12" s="20">
        <v>0</v>
      </c>
      <c r="AP12" s="21">
        <v>0</v>
      </c>
      <c r="AQ12" s="139" t="str">
        <f t="shared" si="35"/>
        <v>-</v>
      </c>
      <c r="AR12" s="20">
        <v>0</v>
      </c>
      <c r="AS12" s="21">
        <v>0</v>
      </c>
      <c r="AT12" s="139" t="str">
        <f t="shared" si="14"/>
        <v>-</v>
      </c>
      <c r="AU12" s="252">
        <v>8</v>
      </c>
      <c r="AV12" s="253">
        <v>1</v>
      </c>
      <c r="AW12" s="139">
        <f t="shared" si="36"/>
        <v>8</v>
      </c>
      <c r="AX12" s="20">
        <v>7</v>
      </c>
      <c r="AY12" s="21">
        <v>1</v>
      </c>
      <c r="AZ12" s="139">
        <f t="shared" si="37"/>
        <v>7</v>
      </c>
      <c r="BA12" s="20">
        <v>14</v>
      </c>
      <c r="BB12" s="21">
        <v>2</v>
      </c>
      <c r="BC12" s="139">
        <f t="shared" si="38"/>
        <v>7</v>
      </c>
      <c r="BD12" s="257">
        <v>0</v>
      </c>
      <c r="BE12" s="253">
        <v>0</v>
      </c>
      <c r="BF12" s="139" t="str">
        <f t="shared" si="39"/>
        <v>-</v>
      </c>
      <c r="BG12" s="20">
        <v>0</v>
      </c>
      <c r="BH12" s="21">
        <v>0</v>
      </c>
      <c r="BI12" s="139" t="str">
        <f t="shared" si="60"/>
        <v>-</v>
      </c>
      <c r="BJ12" s="20">
        <v>28</v>
      </c>
      <c r="BK12" s="21">
        <v>4</v>
      </c>
      <c r="BL12" s="139">
        <f t="shared" si="41"/>
        <v>7</v>
      </c>
      <c r="BM12" s="20">
        <v>0</v>
      </c>
      <c r="BN12" s="21">
        <v>0</v>
      </c>
      <c r="BO12" s="139" t="str">
        <f t="shared" ref="BO12:BO13" si="66">IF(BN12=0,"-",BM12/BN12)</f>
        <v>-</v>
      </c>
      <c r="BP12" s="20">
        <v>0</v>
      </c>
      <c r="BQ12" s="21">
        <v>0</v>
      </c>
      <c r="BR12" s="139" t="str">
        <f t="shared" ref="BR12:BR13" si="67">IF(BQ12=0,"-",BP12/BQ12)</f>
        <v>-</v>
      </c>
      <c r="BS12" s="20">
        <v>0</v>
      </c>
      <c r="BT12" s="21">
        <v>0</v>
      </c>
      <c r="BU12" s="139" t="str">
        <f t="shared" ref="BU12:BU13" si="68">IF(BT12=0,"-",BS12/BT12)</f>
        <v>-</v>
      </c>
      <c r="BV12" s="117">
        <f t="shared" si="26"/>
        <v>112</v>
      </c>
      <c r="BW12" s="120">
        <f t="shared" si="24"/>
        <v>19</v>
      </c>
      <c r="BX12" s="147">
        <f t="shared" si="25"/>
        <v>5.8947368421052628</v>
      </c>
    </row>
    <row r="13" spans="1:76" ht="15" thickBot="1" x14ac:dyDescent="0.35">
      <c r="A13" s="1">
        <v>45452</v>
      </c>
      <c r="B13" s="20">
        <v>8</v>
      </c>
      <c r="C13" s="21">
        <v>1</v>
      </c>
      <c r="D13" s="139">
        <f t="shared" si="0"/>
        <v>8</v>
      </c>
      <c r="E13" s="20">
        <v>9</v>
      </c>
      <c r="F13" s="21">
        <v>1</v>
      </c>
      <c r="G13" s="139">
        <f t="shared" si="27"/>
        <v>9</v>
      </c>
      <c r="H13" s="20">
        <v>0</v>
      </c>
      <c r="I13" s="21">
        <v>0</v>
      </c>
      <c r="J13" s="139" t="str">
        <f t="shared" ref="J13:J29" si="69">IF(I13=0,"-",H13/I13)</f>
        <v>-</v>
      </c>
      <c r="K13" s="20">
        <v>16</v>
      </c>
      <c r="L13" s="21">
        <v>2</v>
      </c>
      <c r="M13" s="139">
        <f t="shared" si="28"/>
        <v>8</v>
      </c>
      <c r="N13" s="20">
        <v>0</v>
      </c>
      <c r="O13" s="21">
        <v>0</v>
      </c>
      <c r="P13" s="139" t="str">
        <f t="shared" si="4"/>
        <v>-</v>
      </c>
      <c r="Q13" s="20">
        <v>33</v>
      </c>
      <c r="R13" s="21">
        <v>11</v>
      </c>
      <c r="S13" s="139">
        <f t="shared" si="29"/>
        <v>3</v>
      </c>
      <c r="T13" s="20">
        <v>0</v>
      </c>
      <c r="U13" s="21">
        <v>0</v>
      </c>
      <c r="V13" s="139" t="str">
        <f t="shared" ref="V13" si="70">IF(U13=0,"-",T13/U13)</f>
        <v>-</v>
      </c>
      <c r="W13" s="20">
        <v>0</v>
      </c>
      <c r="X13" s="21">
        <v>0</v>
      </c>
      <c r="Y13" s="278" t="str">
        <f t="shared" ref="Y13" si="71">IF(X13=0,"-",W13/X13)</f>
        <v>-</v>
      </c>
      <c r="Z13" s="20">
        <v>0</v>
      </c>
      <c r="AA13" s="21">
        <v>0</v>
      </c>
      <c r="AB13" s="280" t="str">
        <f t="shared" si="8"/>
        <v>-</v>
      </c>
      <c r="AC13" s="23">
        <v>0</v>
      </c>
      <c r="AD13" s="21">
        <v>0</v>
      </c>
      <c r="AE13" s="139" t="str">
        <f t="shared" ref="AE13" si="72">IF(AD13=0,"-",AC13/AD13)</f>
        <v>-</v>
      </c>
      <c r="AF13" s="20">
        <v>0</v>
      </c>
      <c r="AG13" s="21">
        <v>0</v>
      </c>
      <c r="AH13" s="139" t="str">
        <f t="shared" si="46"/>
        <v>-</v>
      </c>
      <c r="AI13" s="20">
        <v>0</v>
      </c>
      <c r="AJ13" s="21">
        <v>0</v>
      </c>
      <c r="AK13" s="139" t="str">
        <f t="shared" si="33"/>
        <v>-</v>
      </c>
      <c r="AL13" s="20">
        <v>0</v>
      </c>
      <c r="AM13" s="21">
        <v>0</v>
      </c>
      <c r="AN13" s="139" t="str">
        <f t="shared" si="34"/>
        <v>-</v>
      </c>
      <c r="AO13" s="20">
        <v>0</v>
      </c>
      <c r="AP13" s="21">
        <v>0</v>
      </c>
      <c r="AQ13" s="139" t="str">
        <f t="shared" si="35"/>
        <v>-</v>
      </c>
      <c r="AR13" s="20">
        <v>0</v>
      </c>
      <c r="AS13" s="21">
        <v>0</v>
      </c>
      <c r="AT13" s="139" t="str">
        <f t="shared" si="14"/>
        <v>-</v>
      </c>
      <c r="AU13" s="252">
        <v>0</v>
      </c>
      <c r="AV13" s="253">
        <v>0</v>
      </c>
      <c r="AW13" s="139" t="str">
        <f t="shared" si="36"/>
        <v>-</v>
      </c>
      <c r="AX13" s="252">
        <v>0</v>
      </c>
      <c r="AY13" s="253">
        <v>0</v>
      </c>
      <c r="AZ13" s="139" t="str">
        <f t="shared" si="37"/>
        <v>-</v>
      </c>
      <c r="BA13" s="20">
        <v>7</v>
      </c>
      <c r="BB13" s="21">
        <v>1</v>
      </c>
      <c r="BC13" s="139">
        <f t="shared" si="38"/>
        <v>7</v>
      </c>
      <c r="BD13" s="257">
        <v>0</v>
      </c>
      <c r="BE13" s="253">
        <v>0</v>
      </c>
      <c r="BF13" s="139" t="str">
        <f t="shared" si="39"/>
        <v>-</v>
      </c>
      <c r="BG13" s="20">
        <v>0</v>
      </c>
      <c r="BH13" s="21">
        <v>0</v>
      </c>
      <c r="BI13" s="139" t="str">
        <f t="shared" si="60"/>
        <v>-</v>
      </c>
      <c r="BJ13" s="20">
        <v>0</v>
      </c>
      <c r="BK13" s="21">
        <v>0</v>
      </c>
      <c r="BL13" s="139" t="str">
        <f t="shared" si="41"/>
        <v>-</v>
      </c>
      <c r="BM13" s="20">
        <v>0</v>
      </c>
      <c r="BN13" s="21">
        <v>0</v>
      </c>
      <c r="BO13" s="139" t="str">
        <f t="shared" si="66"/>
        <v>-</v>
      </c>
      <c r="BP13" s="20">
        <v>0</v>
      </c>
      <c r="BQ13" s="21">
        <v>0</v>
      </c>
      <c r="BR13" s="139" t="str">
        <f t="shared" si="67"/>
        <v>-</v>
      </c>
      <c r="BS13" s="20">
        <v>0</v>
      </c>
      <c r="BT13" s="21">
        <v>0</v>
      </c>
      <c r="BU13" s="139" t="str">
        <f t="shared" si="68"/>
        <v>-</v>
      </c>
      <c r="BV13" s="117">
        <f t="shared" si="26"/>
        <v>73</v>
      </c>
      <c r="BW13" s="120">
        <f t="shared" si="24"/>
        <v>16</v>
      </c>
      <c r="BX13" s="147">
        <f t="shared" si="25"/>
        <v>4.5625</v>
      </c>
    </row>
    <row r="14" spans="1:76" ht="15" thickBot="1" x14ac:dyDescent="0.35">
      <c r="A14" s="1">
        <v>45453</v>
      </c>
      <c r="B14" s="20">
        <v>24</v>
      </c>
      <c r="C14" s="21">
        <v>3</v>
      </c>
      <c r="D14" s="139">
        <f t="shared" si="0"/>
        <v>8</v>
      </c>
      <c r="E14" s="20">
        <v>8</v>
      </c>
      <c r="F14" s="21">
        <v>1</v>
      </c>
      <c r="G14" s="139">
        <f t="shared" si="27"/>
        <v>8</v>
      </c>
      <c r="H14" s="20">
        <v>8</v>
      </c>
      <c r="I14" s="21">
        <v>1</v>
      </c>
      <c r="J14" s="139">
        <f t="shared" si="69"/>
        <v>8</v>
      </c>
      <c r="K14" s="20">
        <v>16</v>
      </c>
      <c r="L14" s="21">
        <v>2</v>
      </c>
      <c r="M14" s="139">
        <f t="shared" si="28"/>
        <v>8</v>
      </c>
      <c r="N14" s="20">
        <v>0</v>
      </c>
      <c r="O14" s="21">
        <v>0</v>
      </c>
      <c r="P14" s="139" t="str">
        <f t="shared" si="4"/>
        <v>-</v>
      </c>
      <c r="Q14" s="20">
        <v>30</v>
      </c>
      <c r="R14" s="21">
        <v>5</v>
      </c>
      <c r="S14" s="139">
        <f t="shared" si="29"/>
        <v>6</v>
      </c>
      <c r="T14" s="20">
        <v>22</v>
      </c>
      <c r="U14" s="21">
        <v>4</v>
      </c>
      <c r="V14" s="139">
        <f t="shared" si="30"/>
        <v>5.5</v>
      </c>
      <c r="W14" s="20">
        <v>0</v>
      </c>
      <c r="X14" s="21">
        <v>0</v>
      </c>
      <c r="Y14" s="278" t="str">
        <f t="shared" si="31"/>
        <v>-</v>
      </c>
      <c r="Z14" s="20">
        <v>0</v>
      </c>
      <c r="AA14" s="21">
        <v>0</v>
      </c>
      <c r="AB14" s="280" t="str">
        <f t="shared" si="8"/>
        <v>-</v>
      </c>
      <c r="AC14" s="23">
        <v>0</v>
      </c>
      <c r="AD14" s="21">
        <v>0</v>
      </c>
      <c r="AE14" s="139" t="str">
        <f t="shared" si="32"/>
        <v>-</v>
      </c>
      <c r="AF14" s="20">
        <v>0</v>
      </c>
      <c r="AG14" s="21">
        <v>0</v>
      </c>
      <c r="AH14" s="139" t="str">
        <f t="shared" si="46"/>
        <v>-</v>
      </c>
      <c r="AI14" s="20">
        <v>0</v>
      </c>
      <c r="AJ14" s="21">
        <v>0</v>
      </c>
      <c r="AK14" s="139" t="str">
        <f t="shared" si="33"/>
        <v>-</v>
      </c>
      <c r="AL14" s="20">
        <v>0</v>
      </c>
      <c r="AM14" s="21">
        <v>0</v>
      </c>
      <c r="AN14" s="139" t="str">
        <f t="shared" si="34"/>
        <v>-</v>
      </c>
      <c r="AO14" s="20">
        <v>0</v>
      </c>
      <c r="AP14" s="21">
        <v>0</v>
      </c>
      <c r="AQ14" s="139" t="str">
        <f t="shared" si="35"/>
        <v>-</v>
      </c>
      <c r="AR14" s="20">
        <v>0</v>
      </c>
      <c r="AS14" s="21">
        <v>0</v>
      </c>
      <c r="AT14" s="139" t="str">
        <f t="shared" si="14"/>
        <v>-</v>
      </c>
      <c r="AU14" s="252">
        <v>8</v>
      </c>
      <c r="AV14" s="253">
        <v>1</v>
      </c>
      <c r="AW14" s="139">
        <f t="shared" si="36"/>
        <v>8</v>
      </c>
      <c r="AX14" s="252">
        <v>0</v>
      </c>
      <c r="AY14" s="253">
        <v>0</v>
      </c>
      <c r="AZ14" s="139" t="str">
        <f t="shared" ref="AZ14" si="73">IF(AY14=0,"-",AX14/AY14)</f>
        <v>-</v>
      </c>
      <c r="BA14" s="252">
        <v>0</v>
      </c>
      <c r="BB14" s="253">
        <v>0</v>
      </c>
      <c r="BC14" s="139" t="str">
        <f t="shared" si="38"/>
        <v>-</v>
      </c>
      <c r="BD14" s="252">
        <v>0</v>
      </c>
      <c r="BE14" s="253">
        <v>0</v>
      </c>
      <c r="BF14" s="139" t="str">
        <f t="shared" si="39"/>
        <v>-</v>
      </c>
      <c r="BG14" s="252">
        <v>0</v>
      </c>
      <c r="BH14" s="253">
        <v>0</v>
      </c>
      <c r="BI14" s="139" t="str">
        <f t="shared" si="60"/>
        <v>-</v>
      </c>
      <c r="BJ14" s="20">
        <v>73</v>
      </c>
      <c r="BK14" s="21">
        <v>14</v>
      </c>
      <c r="BL14" s="139">
        <f t="shared" si="41"/>
        <v>5.2142857142857144</v>
      </c>
      <c r="BM14" s="20">
        <v>0</v>
      </c>
      <c r="BN14" s="21">
        <v>0</v>
      </c>
      <c r="BO14" s="139" t="str">
        <f t="shared" ref="BO14" si="74">IF(BN14=0,"-",BM14/BN14)</f>
        <v>-</v>
      </c>
      <c r="BP14" s="20">
        <v>0</v>
      </c>
      <c r="BQ14" s="21">
        <v>0</v>
      </c>
      <c r="BR14" s="139" t="str">
        <f t="shared" ref="BR14" si="75">IF(BQ14=0,"-",BP14/BQ14)</f>
        <v>-</v>
      </c>
      <c r="BS14" s="20">
        <v>0</v>
      </c>
      <c r="BT14" s="21">
        <v>0</v>
      </c>
      <c r="BU14" s="139" t="str">
        <f t="shared" ref="BU14" si="76">IF(BT14=0,"-",BS14/BT14)</f>
        <v>-</v>
      </c>
      <c r="BV14" s="117">
        <f t="shared" si="26"/>
        <v>189</v>
      </c>
      <c r="BW14" s="120">
        <f t="shared" si="24"/>
        <v>31</v>
      </c>
      <c r="BX14" s="147">
        <f t="shared" si="25"/>
        <v>6.096774193548387</v>
      </c>
    </row>
    <row r="15" spans="1:76" ht="15" thickBot="1" x14ac:dyDescent="0.35">
      <c r="A15" s="1">
        <v>45454</v>
      </c>
      <c r="B15" s="20">
        <v>86</v>
      </c>
      <c r="C15" s="21">
        <v>10</v>
      </c>
      <c r="D15" s="139">
        <f t="shared" ref="D15:D34" si="77">IF(C15=0,"-",B15/C15)</f>
        <v>8.6</v>
      </c>
      <c r="E15" s="23">
        <v>8</v>
      </c>
      <c r="F15" s="21">
        <v>1</v>
      </c>
      <c r="G15" s="139">
        <f t="shared" si="27"/>
        <v>8</v>
      </c>
      <c r="H15" s="20">
        <v>8</v>
      </c>
      <c r="I15" s="21">
        <v>1</v>
      </c>
      <c r="J15" s="139">
        <f t="shared" si="69"/>
        <v>8</v>
      </c>
      <c r="K15" s="20">
        <v>17</v>
      </c>
      <c r="L15" s="21">
        <v>2</v>
      </c>
      <c r="M15" s="139">
        <f t="shared" si="28"/>
        <v>8.5</v>
      </c>
      <c r="N15" s="20">
        <v>0</v>
      </c>
      <c r="O15" s="21">
        <v>0</v>
      </c>
      <c r="P15" s="139" t="str">
        <f t="shared" si="4"/>
        <v>-</v>
      </c>
      <c r="Q15" s="20">
        <v>12</v>
      </c>
      <c r="R15" s="21">
        <v>2</v>
      </c>
      <c r="S15" s="139">
        <f t="shared" si="29"/>
        <v>6</v>
      </c>
      <c r="T15" s="20">
        <v>0</v>
      </c>
      <c r="U15" s="21">
        <v>0</v>
      </c>
      <c r="V15" s="139" t="str">
        <f t="shared" si="30"/>
        <v>-</v>
      </c>
      <c r="W15" s="125">
        <v>12</v>
      </c>
      <c r="X15" s="126">
        <v>2</v>
      </c>
      <c r="Y15" s="278">
        <f t="shared" si="31"/>
        <v>6</v>
      </c>
      <c r="Z15" s="20">
        <v>24</v>
      </c>
      <c r="AA15" s="21">
        <v>8</v>
      </c>
      <c r="AB15" s="280">
        <f t="shared" si="8"/>
        <v>3</v>
      </c>
      <c r="AC15" s="23">
        <v>0</v>
      </c>
      <c r="AD15" s="21">
        <v>0</v>
      </c>
      <c r="AE15" s="139" t="str">
        <f t="shared" ref="AE15" si="78">IF(AD15=0,"-",AC15/AD15)</f>
        <v>-</v>
      </c>
      <c r="AF15" s="20">
        <v>0</v>
      </c>
      <c r="AG15" s="21">
        <v>0</v>
      </c>
      <c r="AH15" s="139" t="str">
        <f t="shared" ref="AH15" si="79">IF(AG15=0,"-",AF15/AG15)</f>
        <v>-</v>
      </c>
      <c r="AI15" s="20">
        <v>0</v>
      </c>
      <c r="AJ15" s="21">
        <v>0</v>
      </c>
      <c r="AK15" s="139" t="str">
        <f t="shared" ref="AK15" si="80">IF(AJ15=0,"-",AI15/AJ15)</f>
        <v>-</v>
      </c>
      <c r="AL15" s="20">
        <v>0</v>
      </c>
      <c r="AM15" s="21">
        <v>0</v>
      </c>
      <c r="AN15" s="139" t="str">
        <f t="shared" ref="AN15" si="81">IF(AM15=0,"-",AL15/AM15)</f>
        <v>-</v>
      </c>
      <c r="AO15" s="20">
        <v>0</v>
      </c>
      <c r="AP15" s="21">
        <v>0</v>
      </c>
      <c r="AQ15" s="139" t="str">
        <f t="shared" ref="AQ15" si="82">IF(AP15=0,"-",AO15/AP15)</f>
        <v>-</v>
      </c>
      <c r="AR15" s="20">
        <v>0</v>
      </c>
      <c r="AS15" s="21">
        <v>0</v>
      </c>
      <c r="AT15" s="139" t="str">
        <f t="shared" si="14"/>
        <v>-</v>
      </c>
      <c r="AU15" s="252">
        <v>12</v>
      </c>
      <c r="AV15" s="253">
        <v>2</v>
      </c>
      <c r="AW15" s="139">
        <f t="shared" si="36"/>
        <v>6</v>
      </c>
      <c r="AX15" s="252">
        <v>0</v>
      </c>
      <c r="AY15" s="253">
        <v>0</v>
      </c>
      <c r="AZ15" s="139" t="str">
        <f t="shared" si="37"/>
        <v>-</v>
      </c>
      <c r="BA15" s="252">
        <v>0</v>
      </c>
      <c r="BB15" s="253">
        <v>0</v>
      </c>
      <c r="BC15" s="139" t="str">
        <f t="shared" si="38"/>
        <v>-</v>
      </c>
      <c r="BD15" s="252">
        <v>0</v>
      </c>
      <c r="BE15" s="253">
        <v>0</v>
      </c>
      <c r="BF15" s="139">
        <v>0</v>
      </c>
      <c r="BG15" s="252">
        <v>0</v>
      </c>
      <c r="BH15" s="253">
        <v>0</v>
      </c>
      <c r="BI15" s="139" t="str">
        <f t="shared" si="40"/>
        <v>-</v>
      </c>
      <c r="BJ15" s="20">
        <v>13</v>
      </c>
      <c r="BK15" s="21">
        <v>2</v>
      </c>
      <c r="BL15" s="139">
        <f t="shared" si="41"/>
        <v>6.5</v>
      </c>
      <c r="BM15" s="20">
        <v>0</v>
      </c>
      <c r="BN15" s="21">
        <v>0</v>
      </c>
      <c r="BO15" s="139" t="str">
        <f t="shared" ref="BO15" si="83">IF(BN15=0,"-",BM15/BN15)</f>
        <v>-</v>
      </c>
      <c r="BP15" s="20">
        <v>0</v>
      </c>
      <c r="BQ15" s="21">
        <v>0</v>
      </c>
      <c r="BR15" s="139" t="str">
        <f t="shared" ref="BR15" si="84">IF(BQ15=0,"-",BP15/BQ15)</f>
        <v>-</v>
      </c>
      <c r="BS15" s="20">
        <v>0</v>
      </c>
      <c r="BT15" s="21">
        <v>0</v>
      </c>
      <c r="BU15" s="139" t="str">
        <f t="shared" ref="BU15" si="85">IF(BT15=0,"-",BS15/BT15)</f>
        <v>-</v>
      </c>
      <c r="BV15" s="117">
        <f t="shared" si="26"/>
        <v>192</v>
      </c>
      <c r="BW15" s="120">
        <f t="shared" si="24"/>
        <v>20</v>
      </c>
      <c r="BX15" s="147">
        <f t="shared" si="25"/>
        <v>9.6</v>
      </c>
    </row>
    <row r="16" spans="1:76" ht="15" thickBot="1" x14ac:dyDescent="0.35">
      <c r="A16" s="1">
        <v>45455</v>
      </c>
      <c r="B16" s="20">
        <v>33</v>
      </c>
      <c r="C16" s="21">
        <v>4</v>
      </c>
      <c r="D16" s="139">
        <f t="shared" si="77"/>
        <v>8.25</v>
      </c>
      <c r="E16" s="20">
        <v>16</v>
      </c>
      <c r="F16" s="21">
        <v>2</v>
      </c>
      <c r="G16" s="139">
        <f t="shared" si="27"/>
        <v>8</v>
      </c>
      <c r="H16" s="20">
        <v>0</v>
      </c>
      <c r="I16" s="21">
        <v>0</v>
      </c>
      <c r="J16" s="139" t="str">
        <f t="shared" si="69"/>
        <v>-</v>
      </c>
      <c r="K16" s="20">
        <v>8</v>
      </c>
      <c r="L16" s="21">
        <v>1</v>
      </c>
      <c r="M16" s="139">
        <f t="shared" si="28"/>
        <v>8</v>
      </c>
      <c r="N16" s="20">
        <v>0</v>
      </c>
      <c r="O16" s="21">
        <v>0</v>
      </c>
      <c r="P16" s="139" t="str">
        <f t="shared" si="4"/>
        <v>-</v>
      </c>
      <c r="Q16" s="23">
        <v>19</v>
      </c>
      <c r="R16" s="21">
        <v>4</v>
      </c>
      <c r="S16" s="139">
        <f t="shared" si="29"/>
        <v>4.75</v>
      </c>
      <c r="T16" s="20">
        <v>0</v>
      </c>
      <c r="U16" s="21">
        <v>0</v>
      </c>
      <c r="V16" s="139" t="str">
        <f t="shared" si="30"/>
        <v>-</v>
      </c>
      <c r="W16" s="20">
        <v>0</v>
      </c>
      <c r="X16" s="21">
        <v>0</v>
      </c>
      <c r="Y16" s="278" t="str">
        <f t="shared" si="31"/>
        <v>-</v>
      </c>
      <c r="Z16" s="20">
        <v>0</v>
      </c>
      <c r="AA16" s="21">
        <v>0</v>
      </c>
      <c r="AB16" s="280" t="str">
        <f t="shared" si="8"/>
        <v>-</v>
      </c>
      <c r="AC16" s="23">
        <v>6</v>
      </c>
      <c r="AD16" s="21">
        <v>1</v>
      </c>
      <c r="AE16" s="139">
        <f t="shared" si="32"/>
        <v>6</v>
      </c>
      <c r="AF16" s="20">
        <v>0</v>
      </c>
      <c r="AG16" s="21">
        <v>0</v>
      </c>
      <c r="AH16" s="139" t="str">
        <f t="shared" si="46"/>
        <v>-</v>
      </c>
      <c r="AI16" s="20">
        <v>2</v>
      </c>
      <c r="AJ16" s="21">
        <v>1</v>
      </c>
      <c r="AK16" s="139">
        <f t="shared" si="33"/>
        <v>2</v>
      </c>
      <c r="AL16" s="20">
        <v>27</v>
      </c>
      <c r="AM16" s="21">
        <v>3</v>
      </c>
      <c r="AN16" s="139">
        <f t="shared" si="34"/>
        <v>9</v>
      </c>
      <c r="AO16" s="20">
        <v>5</v>
      </c>
      <c r="AP16" s="21">
        <v>1</v>
      </c>
      <c r="AQ16" s="139">
        <f t="shared" si="35"/>
        <v>5</v>
      </c>
      <c r="AR16" s="20">
        <v>0</v>
      </c>
      <c r="AS16" s="21">
        <v>0</v>
      </c>
      <c r="AT16" s="139" t="str">
        <f t="shared" si="14"/>
        <v>-</v>
      </c>
      <c r="AU16" s="252">
        <v>15</v>
      </c>
      <c r="AV16" s="253">
        <v>2</v>
      </c>
      <c r="AW16" s="139">
        <f t="shared" si="36"/>
        <v>7.5</v>
      </c>
      <c r="AX16" s="252">
        <v>0</v>
      </c>
      <c r="AY16" s="253">
        <v>0</v>
      </c>
      <c r="AZ16" s="139" t="str">
        <f t="shared" ref="AZ16" si="86">IF(AY16=0,"-",AX16/AY16)</f>
        <v>-</v>
      </c>
      <c r="BA16" s="252">
        <v>0</v>
      </c>
      <c r="BB16" s="253">
        <v>0</v>
      </c>
      <c r="BC16" s="139" t="str">
        <f t="shared" ref="BC16" si="87">IF(BB16=0,"-",BA16/BB16)</f>
        <v>-</v>
      </c>
      <c r="BD16" s="252">
        <v>0</v>
      </c>
      <c r="BE16" s="253">
        <v>0</v>
      </c>
      <c r="BF16" s="139">
        <v>0</v>
      </c>
      <c r="BG16" s="252">
        <v>0</v>
      </c>
      <c r="BH16" s="253">
        <v>0</v>
      </c>
      <c r="BI16" s="139" t="str">
        <f t="shared" ref="BI16" si="88">IF(BH16=0,"-",BG16/BH16)</f>
        <v>-</v>
      </c>
      <c r="BJ16" s="20">
        <v>40</v>
      </c>
      <c r="BK16" s="21">
        <v>8</v>
      </c>
      <c r="BL16" s="139">
        <f t="shared" si="41"/>
        <v>5</v>
      </c>
      <c r="BM16" s="20">
        <v>0</v>
      </c>
      <c r="BN16" s="21">
        <v>0</v>
      </c>
      <c r="BO16" s="139" t="str">
        <f t="shared" ref="BO16" si="89">IF(BN16=0,"-",BM16/BN16)</f>
        <v>-</v>
      </c>
      <c r="BP16" s="20">
        <v>0</v>
      </c>
      <c r="BQ16" s="21">
        <v>0</v>
      </c>
      <c r="BR16" s="139" t="str">
        <f t="shared" ref="BR16" si="90">IF(BQ16=0,"-",BP16/BQ16)</f>
        <v>-</v>
      </c>
      <c r="BS16" s="20">
        <v>0</v>
      </c>
      <c r="BT16" s="21">
        <v>0</v>
      </c>
      <c r="BU16" s="139" t="str">
        <f t="shared" ref="BU16" si="91">IF(BT16=0,"-",BS16/BT16)</f>
        <v>-</v>
      </c>
      <c r="BV16" s="117">
        <f t="shared" si="26"/>
        <v>171</v>
      </c>
      <c r="BW16" s="120">
        <f t="shared" si="24"/>
        <v>27</v>
      </c>
      <c r="BX16" s="147">
        <f t="shared" si="25"/>
        <v>6.333333333333333</v>
      </c>
    </row>
    <row r="17" spans="1:76" ht="15" thickBot="1" x14ac:dyDescent="0.35">
      <c r="A17" s="1">
        <v>45456</v>
      </c>
      <c r="B17" s="20">
        <v>25</v>
      </c>
      <c r="C17" s="21">
        <v>3</v>
      </c>
      <c r="D17" s="139">
        <f t="shared" si="77"/>
        <v>8.3333333333333339</v>
      </c>
      <c r="E17" s="20">
        <v>0</v>
      </c>
      <c r="F17" s="21">
        <v>0</v>
      </c>
      <c r="G17" s="139" t="str">
        <f t="shared" si="27"/>
        <v>-</v>
      </c>
      <c r="H17" s="20">
        <v>0</v>
      </c>
      <c r="I17" s="21">
        <v>0</v>
      </c>
      <c r="J17" s="139" t="str">
        <f t="shared" ref="J17" si="92">IF(I17=0,"-",H17/I17)</f>
        <v>-</v>
      </c>
      <c r="K17" s="20">
        <v>8</v>
      </c>
      <c r="L17" s="21">
        <v>1</v>
      </c>
      <c r="M17" s="139">
        <f t="shared" si="28"/>
        <v>8</v>
      </c>
      <c r="N17" s="20">
        <v>0</v>
      </c>
      <c r="O17" s="21">
        <v>0</v>
      </c>
      <c r="P17" s="139" t="str">
        <f t="shared" si="4"/>
        <v>-</v>
      </c>
      <c r="Q17" s="20">
        <v>44</v>
      </c>
      <c r="R17" s="21">
        <v>3</v>
      </c>
      <c r="S17" s="139">
        <f t="shared" si="29"/>
        <v>14.666666666666666</v>
      </c>
      <c r="T17" s="20">
        <v>0</v>
      </c>
      <c r="U17" s="21">
        <v>0</v>
      </c>
      <c r="V17" s="139" t="str">
        <f t="shared" si="30"/>
        <v>-</v>
      </c>
      <c r="W17" s="20">
        <v>0</v>
      </c>
      <c r="X17" s="21">
        <v>0</v>
      </c>
      <c r="Y17" s="278" t="str">
        <f t="shared" si="31"/>
        <v>-</v>
      </c>
      <c r="Z17" s="20">
        <v>0</v>
      </c>
      <c r="AA17" s="21">
        <v>0</v>
      </c>
      <c r="AB17" s="280" t="str">
        <f t="shared" si="8"/>
        <v>-</v>
      </c>
      <c r="AC17" s="23">
        <v>16</v>
      </c>
      <c r="AD17" s="21">
        <v>3</v>
      </c>
      <c r="AE17" s="139">
        <f t="shared" si="32"/>
        <v>5.333333333333333</v>
      </c>
      <c r="AF17" s="20">
        <v>6</v>
      </c>
      <c r="AG17" s="21">
        <v>1</v>
      </c>
      <c r="AH17" s="139">
        <f t="shared" ref="AH17" si="93">IF(AG17=0,"-",AF17/AG17)</f>
        <v>6</v>
      </c>
      <c r="AI17" s="20">
        <v>0</v>
      </c>
      <c r="AJ17" s="21">
        <v>0</v>
      </c>
      <c r="AK17" s="139" t="str">
        <f t="shared" si="33"/>
        <v>-</v>
      </c>
      <c r="AL17" s="20">
        <v>0</v>
      </c>
      <c r="AM17" s="21">
        <v>0</v>
      </c>
      <c r="AN17" s="139" t="str">
        <f t="shared" si="34"/>
        <v>-</v>
      </c>
      <c r="AO17" s="20">
        <v>0</v>
      </c>
      <c r="AP17" s="21">
        <v>0</v>
      </c>
      <c r="AQ17" s="139" t="str">
        <f t="shared" si="35"/>
        <v>-</v>
      </c>
      <c r="AR17" s="20">
        <v>0</v>
      </c>
      <c r="AS17" s="21">
        <v>0</v>
      </c>
      <c r="AT17" s="139" t="str">
        <f t="shared" si="14"/>
        <v>-</v>
      </c>
      <c r="AU17" s="252">
        <v>29</v>
      </c>
      <c r="AV17" s="253">
        <v>4</v>
      </c>
      <c r="AW17" s="139">
        <f t="shared" si="36"/>
        <v>7.25</v>
      </c>
      <c r="AX17" s="252">
        <v>0</v>
      </c>
      <c r="AY17" s="253">
        <v>0</v>
      </c>
      <c r="AZ17" s="139" t="str">
        <f t="shared" ref="AZ17" si="94">IF(AY17=0,"-",AX17/AY17)</f>
        <v>-</v>
      </c>
      <c r="BA17" s="252">
        <v>0</v>
      </c>
      <c r="BB17" s="253">
        <v>0</v>
      </c>
      <c r="BC17" s="139" t="str">
        <f t="shared" ref="BC17" si="95">IF(BB17=0,"-",BA17/BB17)</f>
        <v>-</v>
      </c>
      <c r="BD17" s="252">
        <v>0</v>
      </c>
      <c r="BE17" s="253">
        <v>0</v>
      </c>
      <c r="BF17" s="139">
        <v>0</v>
      </c>
      <c r="BG17" s="252">
        <v>0</v>
      </c>
      <c r="BH17" s="253">
        <v>0</v>
      </c>
      <c r="BI17" s="139" t="str">
        <f t="shared" ref="BI17" si="96">IF(BH17=0,"-",BG17/BH17)</f>
        <v>-</v>
      </c>
      <c r="BJ17" s="252">
        <v>13</v>
      </c>
      <c r="BK17" s="253">
        <v>2</v>
      </c>
      <c r="BL17" s="139">
        <f t="shared" si="41"/>
        <v>6.5</v>
      </c>
      <c r="BM17" s="20">
        <v>0</v>
      </c>
      <c r="BN17" s="21">
        <v>0</v>
      </c>
      <c r="BO17" s="139" t="str">
        <f t="shared" ref="BO17" si="97">IF(BN17=0,"-",BM17/BN17)</f>
        <v>-</v>
      </c>
      <c r="BP17" s="20">
        <v>0</v>
      </c>
      <c r="BQ17" s="21">
        <v>0</v>
      </c>
      <c r="BR17" s="139" t="str">
        <f t="shared" ref="BR17" si="98">IF(BQ17=0,"-",BP17/BQ17)</f>
        <v>-</v>
      </c>
      <c r="BS17" s="20">
        <v>0</v>
      </c>
      <c r="BT17" s="21">
        <v>0</v>
      </c>
      <c r="BU17" s="139" t="str">
        <f t="shared" ref="BU17" si="99">IF(BT17=0,"-",BS17/BT17)</f>
        <v>-</v>
      </c>
      <c r="BV17" s="117">
        <f t="shared" si="26"/>
        <v>141</v>
      </c>
      <c r="BW17" s="120">
        <f t="shared" si="24"/>
        <v>17</v>
      </c>
      <c r="BX17" s="147">
        <f t="shared" si="25"/>
        <v>8.2941176470588243</v>
      </c>
    </row>
    <row r="18" spans="1:76" ht="15" thickBot="1" x14ac:dyDescent="0.35">
      <c r="A18" s="1">
        <v>45457</v>
      </c>
      <c r="B18" s="20">
        <v>97</v>
      </c>
      <c r="C18" s="21">
        <v>10</v>
      </c>
      <c r="D18" s="139">
        <f t="shared" si="77"/>
        <v>9.6999999999999993</v>
      </c>
      <c r="E18" s="20">
        <v>0</v>
      </c>
      <c r="F18" s="21">
        <v>0</v>
      </c>
      <c r="G18" s="139" t="str">
        <f t="shared" ref="G18" si="100">IF(F18=0,"-",E18/F18)</f>
        <v>-</v>
      </c>
      <c r="H18" s="20">
        <v>0</v>
      </c>
      <c r="I18" s="21">
        <v>0</v>
      </c>
      <c r="J18" s="139" t="str">
        <f t="shared" ref="J18:J19" si="101">IF(I18=0,"-",H18/I18)</f>
        <v>-</v>
      </c>
      <c r="K18" s="20">
        <v>0</v>
      </c>
      <c r="L18" s="21">
        <v>0</v>
      </c>
      <c r="M18" s="139" t="str">
        <f t="shared" si="28"/>
        <v>-</v>
      </c>
      <c r="N18" s="20">
        <v>0</v>
      </c>
      <c r="O18" s="21">
        <v>0</v>
      </c>
      <c r="P18" s="139" t="str">
        <f t="shared" si="4"/>
        <v>-</v>
      </c>
      <c r="Q18" s="20">
        <v>62</v>
      </c>
      <c r="R18" s="21">
        <v>12</v>
      </c>
      <c r="S18" s="139">
        <f t="shared" si="29"/>
        <v>5.166666666666667</v>
      </c>
      <c r="T18" s="20">
        <v>15</v>
      </c>
      <c r="U18" s="21">
        <v>3</v>
      </c>
      <c r="V18" s="139">
        <f t="shared" si="30"/>
        <v>5</v>
      </c>
      <c r="W18" s="20">
        <v>0</v>
      </c>
      <c r="X18" s="21">
        <v>0</v>
      </c>
      <c r="Y18" s="278" t="str">
        <f t="shared" si="31"/>
        <v>-</v>
      </c>
      <c r="Z18" s="20">
        <v>0</v>
      </c>
      <c r="AA18" s="21">
        <v>0</v>
      </c>
      <c r="AB18" s="280" t="str">
        <f t="shared" si="8"/>
        <v>-</v>
      </c>
      <c r="AC18" s="23">
        <v>0</v>
      </c>
      <c r="AD18" s="21">
        <v>0</v>
      </c>
      <c r="AE18" s="139" t="str">
        <f t="shared" si="32"/>
        <v>-</v>
      </c>
      <c r="AF18" s="20">
        <v>0</v>
      </c>
      <c r="AG18" s="21">
        <v>0</v>
      </c>
      <c r="AH18" s="139" t="str">
        <f t="shared" ref="AH18:AH21" si="102">IF(AG18=0,"-",AF18/AG18)</f>
        <v>-</v>
      </c>
      <c r="AI18" s="20">
        <v>1</v>
      </c>
      <c r="AJ18" s="21">
        <v>1</v>
      </c>
      <c r="AK18" s="139">
        <f t="shared" si="33"/>
        <v>1</v>
      </c>
      <c r="AL18" s="20">
        <v>0</v>
      </c>
      <c r="AM18" s="21">
        <v>0</v>
      </c>
      <c r="AN18" s="139" t="str">
        <f t="shared" ref="AN18:AN21" si="103">IF(AM18=0,"-",AL18/AM18)</f>
        <v>-</v>
      </c>
      <c r="AO18" s="20">
        <v>0</v>
      </c>
      <c r="AP18" s="21">
        <v>0</v>
      </c>
      <c r="AQ18" s="139" t="str">
        <f t="shared" ref="AQ18:AQ21" si="104">IF(AP18=0,"-",AO18/AP18)</f>
        <v>-</v>
      </c>
      <c r="AR18" s="20">
        <v>0</v>
      </c>
      <c r="AS18" s="21">
        <v>0</v>
      </c>
      <c r="AT18" s="139" t="str">
        <f t="shared" si="14"/>
        <v>-</v>
      </c>
      <c r="AU18" s="252">
        <v>55</v>
      </c>
      <c r="AV18" s="253">
        <v>8</v>
      </c>
      <c r="AW18" s="139">
        <f t="shared" si="36"/>
        <v>6.875</v>
      </c>
      <c r="AX18" s="252">
        <v>0</v>
      </c>
      <c r="AY18" s="253">
        <v>0</v>
      </c>
      <c r="AZ18" s="139" t="str">
        <f t="shared" ref="AZ18:AZ19" si="105">IF(AY18=0,"-",AX18/AY18)</f>
        <v>-</v>
      </c>
      <c r="BA18" s="252">
        <v>0</v>
      </c>
      <c r="BB18" s="253">
        <v>0</v>
      </c>
      <c r="BC18" s="139" t="str">
        <f t="shared" ref="BC18:BC19" si="106">IF(BB18=0,"-",BA18/BB18)</f>
        <v>-</v>
      </c>
      <c r="BD18" s="257">
        <v>7</v>
      </c>
      <c r="BE18" s="253">
        <v>1</v>
      </c>
      <c r="BF18" s="139">
        <f t="shared" si="39"/>
        <v>7</v>
      </c>
      <c r="BG18" s="252">
        <v>0</v>
      </c>
      <c r="BH18" s="253">
        <v>0</v>
      </c>
      <c r="BI18" s="139" t="str">
        <f t="shared" ref="BI18" si="107">IF(BH18=0,"-",BG18/BH18)</f>
        <v>-</v>
      </c>
      <c r="BJ18" s="20">
        <v>6</v>
      </c>
      <c r="BK18" s="21">
        <v>1</v>
      </c>
      <c r="BL18" s="139">
        <f t="shared" si="41"/>
        <v>6</v>
      </c>
      <c r="BM18" s="20">
        <v>0</v>
      </c>
      <c r="BN18" s="21">
        <v>0</v>
      </c>
      <c r="BO18" s="139" t="str">
        <f t="shared" ref="BO18" si="108">IF(BN18=0,"-",BM18/BN18)</f>
        <v>-</v>
      </c>
      <c r="BP18" s="20">
        <v>0</v>
      </c>
      <c r="BQ18" s="21">
        <v>0</v>
      </c>
      <c r="BR18" s="139" t="str">
        <f t="shared" ref="BR18" si="109">IF(BQ18=0,"-",BP18/BQ18)</f>
        <v>-</v>
      </c>
      <c r="BS18" s="20">
        <v>0</v>
      </c>
      <c r="BT18" s="21">
        <v>0</v>
      </c>
      <c r="BU18" s="139" t="str">
        <f t="shared" ref="BU18" si="110">IF(BT18=0,"-",BS18/BT18)</f>
        <v>-</v>
      </c>
      <c r="BV18" s="117">
        <f t="shared" si="26"/>
        <v>243</v>
      </c>
      <c r="BW18" s="120">
        <f t="shared" si="24"/>
        <v>36</v>
      </c>
      <c r="BX18" s="147">
        <f t="shared" si="25"/>
        <v>6.75</v>
      </c>
    </row>
    <row r="19" spans="1:76" ht="15" thickBot="1" x14ac:dyDescent="0.35">
      <c r="A19" s="1">
        <v>45458</v>
      </c>
      <c r="B19" s="20">
        <v>50</v>
      </c>
      <c r="C19" s="21">
        <v>5</v>
      </c>
      <c r="D19" s="139">
        <f t="shared" si="77"/>
        <v>10</v>
      </c>
      <c r="E19" s="20">
        <v>8</v>
      </c>
      <c r="F19" s="21">
        <v>1</v>
      </c>
      <c r="G19" s="139">
        <f t="shared" si="27"/>
        <v>8</v>
      </c>
      <c r="H19" s="20">
        <v>0</v>
      </c>
      <c r="I19" s="21">
        <v>0</v>
      </c>
      <c r="J19" s="139" t="str">
        <f t="shared" si="101"/>
        <v>-</v>
      </c>
      <c r="K19" s="20">
        <v>0</v>
      </c>
      <c r="L19" s="21">
        <v>0</v>
      </c>
      <c r="M19" s="139" t="str">
        <f t="shared" si="28"/>
        <v>-</v>
      </c>
      <c r="N19" s="20">
        <v>0</v>
      </c>
      <c r="O19" s="21">
        <v>0</v>
      </c>
      <c r="P19" s="139" t="str">
        <f t="shared" si="4"/>
        <v>-</v>
      </c>
      <c r="Q19" s="20">
        <v>16</v>
      </c>
      <c r="R19" s="21">
        <v>3</v>
      </c>
      <c r="S19" s="139">
        <f t="shared" si="29"/>
        <v>5.333333333333333</v>
      </c>
      <c r="T19" s="20">
        <v>0</v>
      </c>
      <c r="U19" s="21">
        <v>0</v>
      </c>
      <c r="V19" s="139" t="str">
        <f t="shared" si="30"/>
        <v>-</v>
      </c>
      <c r="W19" s="20">
        <v>24</v>
      </c>
      <c r="X19" s="21">
        <v>4</v>
      </c>
      <c r="Y19" s="278">
        <f t="shared" si="31"/>
        <v>6</v>
      </c>
      <c r="Z19" s="20">
        <v>0</v>
      </c>
      <c r="AA19" s="21">
        <v>0</v>
      </c>
      <c r="AB19" s="280" t="str">
        <f t="shared" si="8"/>
        <v>-</v>
      </c>
      <c r="AC19" s="23">
        <v>6</v>
      </c>
      <c r="AD19" s="21">
        <v>1</v>
      </c>
      <c r="AE19" s="139">
        <f t="shared" si="32"/>
        <v>6</v>
      </c>
      <c r="AF19" s="20">
        <v>0</v>
      </c>
      <c r="AG19" s="21">
        <v>0</v>
      </c>
      <c r="AH19" s="139" t="str">
        <f t="shared" si="102"/>
        <v>-</v>
      </c>
      <c r="AI19" s="20">
        <v>0</v>
      </c>
      <c r="AJ19" s="21">
        <v>0</v>
      </c>
      <c r="AK19" s="139" t="str">
        <f t="shared" si="33"/>
        <v>-</v>
      </c>
      <c r="AL19" s="20">
        <v>0</v>
      </c>
      <c r="AM19" s="21">
        <v>0</v>
      </c>
      <c r="AN19" s="139" t="str">
        <f t="shared" si="103"/>
        <v>-</v>
      </c>
      <c r="AO19" s="20">
        <v>0</v>
      </c>
      <c r="AP19" s="21">
        <v>0</v>
      </c>
      <c r="AQ19" s="139" t="str">
        <f t="shared" si="104"/>
        <v>-</v>
      </c>
      <c r="AR19" s="20">
        <v>0</v>
      </c>
      <c r="AS19" s="21">
        <v>0</v>
      </c>
      <c r="AT19" s="139" t="str">
        <f t="shared" si="14"/>
        <v>-</v>
      </c>
      <c r="AU19" s="252">
        <v>7</v>
      </c>
      <c r="AV19" s="253">
        <v>1</v>
      </c>
      <c r="AW19" s="139">
        <f t="shared" si="36"/>
        <v>7</v>
      </c>
      <c r="AX19" s="252">
        <v>0</v>
      </c>
      <c r="AY19" s="253">
        <v>0</v>
      </c>
      <c r="AZ19" s="139" t="str">
        <f t="shared" si="105"/>
        <v>-</v>
      </c>
      <c r="BA19" s="252">
        <v>0</v>
      </c>
      <c r="BB19" s="253">
        <v>0</v>
      </c>
      <c r="BC19" s="139" t="str">
        <f t="shared" si="106"/>
        <v>-</v>
      </c>
      <c r="BD19" s="252">
        <v>0</v>
      </c>
      <c r="BE19" s="253">
        <v>0</v>
      </c>
      <c r="BF19" s="139" t="str">
        <f t="shared" si="39"/>
        <v>-</v>
      </c>
      <c r="BG19" s="252">
        <v>0</v>
      </c>
      <c r="BH19" s="253">
        <v>0</v>
      </c>
      <c r="BI19" s="139" t="str">
        <f t="shared" si="40"/>
        <v>-</v>
      </c>
      <c r="BJ19" s="252">
        <v>0</v>
      </c>
      <c r="BK19" s="253">
        <v>0</v>
      </c>
      <c r="BL19" s="139" t="str">
        <f t="shared" si="41"/>
        <v>-</v>
      </c>
      <c r="BM19" s="252">
        <v>0</v>
      </c>
      <c r="BN19" s="253">
        <v>0</v>
      </c>
      <c r="BO19" s="139" t="str">
        <f t="shared" si="42"/>
        <v>-</v>
      </c>
      <c r="BP19" s="252">
        <v>0</v>
      </c>
      <c r="BQ19" s="253">
        <v>0</v>
      </c>
      <c r="BR19" s="139" t="str">
        <f t="shared" si="43"/>
        <v>-</v>
      </c>
      <c r="BS19" s="252">
        <v>0</v>
      </c>
      <c r="BT19" s="253">
        <v>0</v>
      </c>
      <c r="BU19" s="139" t="str">
        <f t="shared" si="44"/>
        <v>-</v>
      </c>
      <c r="BV19" s="117">
        <f t="shared" si="26"/>
        <v>111</v>
      </c>
      <c r="BW19" s="120">
        <f t="shared" si="24"/>
        <v>11</v>
      </c>
      <c r="BX19" s="147">
        <f t="shared" si="25"/>
        <v>10.090909090909092</v>
      </c>
    </row>
    <row r="20" spans="1:76" ht="15" thickBot="1" x14ac:dyDescent="0.35">
      <c r="A20" s="1">
        <v>45459</v>
      </c>
      <c r="B20" s="20">
        <v>24</v>
      </c>
      <c r="C20" s="21">
        <v>3</v>
      </c>
      <c r="D20" s="139">
        <f t="shared" si="77"/>
        <v>8</v>
      </c>
      <c r="E20" s="20">
        <v>0</v>
      </c>
      <c r="F20" s="21">
        <v>0</v>
      </c>
      <c r="G20" s="139" t="str">
        <f t="shared" si="27"/>
        <v>-</v>
      </c>
      <c r="H20" s="20">
        <v>3</v>
      </c>
      <c r="I20" s="21">
        <v>1</v>
      </c>
      <c r="J20" s="139">
        <f t="shared" si="69"/>
        <v>3</v>
      </c>
      <c r="K20" s="20">
        <v>8</v>
      </c>
      <c r="L20" s="21">
        <v>1</v>
      </c>
      <c r="M20" s="139">
        <f t="shared" si="28"/>
        <v>8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29"/>
        <v>-</v>
      </c>
      <c r="T20" s="20">
        <v>0</v>
      </c>
      <c r="U20" s="21">
        <v>0</v>
      </c>
      <c r="V20" s="139" t="str">
        <f t="shared" si="30"/>
        <v>-</v>
      </c>
      <c r="W20" s="20">
        <v>0</v>
      </c>
      <c r="X20" s="21">
        <v>0</v>
      </c>
      <c r="Y20" s="278" t="str">
        <f t="shared" si="31"/>
        <v>-</v>
      </c>
      <c r="Z20" s="20">
        <v>0</v>
      </c>
      <c r="AA20" s="21">
        <v>0</v>
      </c>
      <c r="AB20" s="280" t="str">
        <f t="shared" si="8"/>
        <v>-</v>
      </c>
      <c r="AC20" s="23">
        <v>0</v>
      </c>
      <c r="AD20" s="21">
        <v>0</v>
      </c>
      <c r="AE20" s="139" t="str">
        <f t="shared" si="32"/>
        <v>-</v>
      </c>
      <c r="AF20" s="20">
        <v>0</v>
      </c>
      <c r="AG20" s="21">
        <v>0</v>
      </c>
      <c r="AH20" s="139" t="str">
        <f t="shared" si="102"/>
        <v>-</v>
      </c>
      <c r="AI20" s="20">
        <v>0</v>
      </c>
      <c r="AJ20" s="21">
        <v>0</v>
      </c>
      <c r="AK20" s="139" t="str">
        <f t="shared" si="33"/>
        <v>-</v>
      </c>
      <c r="AL20" s="20">
        <v>0</v>
      </c>
      <c r="AM20" s="21">
        <v>0</v>
      </c>
      <c r="AN20" s="139" t="str">
        <f t="shared" si="103"/>
        <v>-</v>
      </c>
      <c r="AO20" s="20">
        <v>0</v>
      </c>
      <c r="AP20" s="21">
        <v>0</v>
      </c>
      <c r="AQ20" s="139" t="str">
        <f t="shared" si="104"/>
        <v>-</v>
      </c>
      <c r="AR20" s="20">
        <v>0</v>
      </c>
      <c r="AS20" s="21">
        <v>0</v>
      </c>
      <c r="AT20" s="139" t="str">
        <f t="shared" si="14"/>
        <v>-</v>
      </c>
      <c r="AU20" s="20">
        <v>0</v>
      </c>
      <c r="AV20" s="21">
        <v>0</v>
      </c>
      <c r="AW20" s="139" t="str">
        <f t="shared" si="36"/>
        <v>-</v>
      </c>
      <c r="AX20" s="20">
        <v>0</v>
      </c>
      <c r="AY20" s="21">
        <v>0</v>
      </c>
      <c r="AZ20" s="139" t="str">
        <f t="shared" si="37"/>
        <v>-</v>
      </c>
      <c r="BA20" s="20">
        <v>0</v>
      </c>
      <c r="BB20" s="21">
        <v>0</v>
      </c>
      <c r="BC20" s="139" t="str">
        <f t="shared" si="38"/>
        <v>-</v>
      </c>
      <c r="BD20" s="20">
        <v>0</v>
      </c>
      <c r="BE20" s="21">
        <v>0</v>
      </c>
      <c r="BF20" s="139" t="str">
        <f t="shared" si="39"/>
        <v>-</v>
      </c>
      <c r="BG20" s="20">
        <v>0</v>
      </c>
      <c r="BH20" s="21">
        <v>0</v>
      </c>
      <c r="BI20" s="139" t="str">
        <f t="shared" si="40"/>
        <v>-</v>
      </c>
      <c r="BJ20" s="20">
        <v>0</v>
      </c>
      <c r="BK20" s="21">
        <v>0</v>
      </c>
      <c r="BL20" s="139" t="str">
        <f t="shared" si="41"/>
        <v>-</v>
      </c>
      <c r="BM20" s="20">
        <v>0</v>
      </c>
      <c r="BN20" s="21">
        <v>0</v>
      </c>
      <c r="BO20" s="139" t="str">
        <f t="shared" si="42"/>
        <v>-</v>
      </c>
      <c r="BP20" s="20">
        <v>0</v>
      </c>
      <c r="BQ20" s="21">
        <v>0</v>
      </c>
      <c r="BR20" s="139" t="str">
        <f t="shared" si="43"/>
        <v>-</v>
      </c>
      <c r="BS20" s="20">
        <v>0</v>
      </c>
      <c r="BT20" s="21">
        <v>0</v>
      </c>
      <c r="BU20" s="139" t="str">
        <f t="shared" si="44"/>
        <v>-</v>
      </c>
      <c r="BV20" s="117">
        <f t="shared" si="26"/>
        <v>35</v>
      </c>
      <c r="BW20" s="120">
        <f t="shared" si="24"/>
        <v>5</v>
      </c>
      <c r="BX20" s="147">
        <f t="shared" si="25"/>
        <v>7</v>
      </c>
    </row>
    <row r="21" spans="1:76" ht="15" thickBot="1" x14ac:dyDescent="0.35">
      <c r="A21" s="1">
        <v>45460</v>
      </c>
      <c r="B21" s="20">
        <v>0</v>
      </c>
      <c r="C21" s="21">
        <v>0</v>
      </c>
      <c r="D21" s="139" t="str">
        <f t="shared" si="77"/>
        <v>-</v>
      </c>
      <c r="E21" s="20">
        <v>0</v>
      </c>
      <c r="F21" s="21">
        <v>0</v>
      </c>
      <c r="G21" s="139" t="str">
        <f t="shared" si="27"/>
        <v>-</v>
      </c>
      <c r="H21" s="20">
        <v>3</v>
      </c>
      <c r="I21" s="21">
        <v>1</v>
      </c>
      <c r="J21" s="139">
        <f t="shared" si="69"/>
        <v>3</v>
      </c>
      <c r="K21" s="20">
        <v>8</v>
      </c>
      <c r="L21" s="21">
        <v>1</v>
      </c>
      <c r="M21" s="139">
        <f t="shared" si="28"/>
        <v>8</v>
      </c>
      <c r="N21" s="20">
        <v>0</v>
      </c>
      <c r="O21" s="21">
        <v>0</v>
      </c>
      <c r="P21" s="139" t="str">
        <f t="shared" si="4"/>
        <v>-</v>
      </c>
      <c r="Q21" s="20">
        <v>24</v>
      </c>
      <c r="R21" s="21">
        <v>8</v>
      </c>
      <c r="S21" s="139">
        <f t="shared" si="29"/>
        <v>3</v>
      </c>
      <c r="T21" s="20">
        <v>130</v>
      </c>
      <c r="U21" s="21">
        <v>33</v>
      </c>
      <c r="V21" s="139">
        <f t="shared" si="30"/>
        <v>3.9393939393939394</v>
      </c>
      <c r="W21" s="20">
        <v>16</v>
      </c>
      <c r="X21" s="21">
        <v>3</v>
      </c>
      <c r="Y21" s="278">
        <f t="shared" si="31"/>
        <v>5.333333333333333</v>
      </c>
      <c r="Z21" s="37">
        <v>16</v>
      </c>
      <c r="AA21" s="38">
        <v>3</v>
      </c>
      <c r="AB21" s="285">
        <f t="shared" si="8"/>
        <v>5.333333333333333</v>
      </c>
      <c r="AC21" s="23">
        <v>0</v>
      </c>
      <c r="AD21" s="21">
        <v>0</v>
      </c>
      <c r="AE21" s="139" t="str">
        <f t="shared" si="32"/>
        <v>-</v>
      </c>
      <c r="AF21" s="20">
        <v>0</v>
      </c>
      <c r="AG21" s="21">
        <v>0</v>
      </c>
      <c r="AH21" s="139" t="str">
        <f t="shared" si="102"/>
        <v>-</v>
      </c>
      <c r="AI21" s="20">
        <v>0</v>
      </c>
      <c r="AJ21" s="21">
        <v>0</v>
      </c>
      <c r="AK21" s="139" t="str">
        <f t="shared" si="33"/>
        <v>-</v>
      </c>
      <c r="AL21" s="20">
        <v>0</v>
      </c>
      <c r="AM21" s="21">
        <v>0</v>
      </c>
      <c r="AN21" s="139" t="str">
        <f t="shared" si="103"/>
        <v>-</v>
      </c>
      <c r="AO21" s="20">
        <v>0</v>
      </c>
      <c r="AP21" s="21">
        <v>0</v>
      </c>
      <c r="AQ21" s="139" t="str">
        <f t="shared" si="104"/>
        <v>-</v>
      </c>
      <c r="AR21" s="20">
        <v>0</v>
      </c>
      <c r="AS21" s="21">
        <v>0</v>
      </c>
      <c r="AT21" s="139" t="str">
        <f t="shared" si="14"/>
        <v>-</v>
      </c>
      <c r="AU21" s="20">
        <v>0</v>
      </c>
      <c r="AV21" s="21">
        <v>0</v>
      </c>
      <c r="AW21" s="139" t="str">
        <f t="shared" si="36"/>
        <v>-</v>
      </c>
      <c r="AX21" s="20">
        <v>0</v>
      </c>
      <c r="AY21" s="21">
        <v>0</v>
      </c>
      <c r="AZ21" s="139" t="str">
        <f t="shared" si="37"/>
        <v>-</v>
      </c>
      <c r="BA21" s="20">
        <v>0</v>
      </c>
      <c r="BB21" s="21">
        <v>0</v>
      </c>
      <c r="BC21" s="139" t="str">
        <f t="shared" si="38"/>
        <v>-</v>
      </c>
      <c r="BD21" s="20">
        <v>0</v>
      </c>
      <c r="BE21" s="21">
        <v>0</v>
      </c>
      <c r="BF21" s="139" t="str">
        <f t="shared" si="39"/>
        <v>-</v>
      </c>
      <c r="BG21" s="20">
        <v>0</v>
      </c>
      <c r="BH21" s="21">
        <v>0</v>
      </c>
      <c r="BI21" s="139" t="str">
        <f t="shared" si="40"/>
        <v>-</v>
      </c>
      <c r="BJ21" s="20">
        <v>0</v>
      </c>
      <c r="BK21" s="21">
        <v>0</v>
      </c>
      <c r="BL21" s="139" t="str">
        <f t="shared" si="41"/>
        <v>-</v>
      </c>
      <c r="BM21" s="20">
        <v>0</v>
      </c>
      <c r="BN21" s="21">
        <v>0</v>
      </c>
      <c r="BO21" s="139" t="str">
        <f t="shared" si="42"/>
        <v>-</v>
      </c>
      <c r="BP21" s="20">
        <v>0</v>
      </c>
      <c r="BQ21" s="21">
        <v>0</v>
      </c>
      <c r="BR21" s="139" t="str">
        <f t="shared" si="43"/>
        <v>-</v>
      </c>
      <c r="BS21" s="20">
        <v>0</v>
      </c>
      <c r="BT21" s="21">
        <v>0</v>
      </c>
      <c r="BU21" s="139" t="str">
        <f t="shared" si="44"/>
        <v>-</v>
      </c>
      <c r="BV21" s="117">
        <f t="shared" si="26"/>
        <v>197</v>
      </c>
      <c r="BW21" s="120">
        <f t="shared" si="24"/>
        <v>43</v>
      </c>
      <c r="BX21" s="147">
        <f t="shared" si="25"/>
        <v>4.5813953488372094</v>
      </c>
    </row>
    <row r="22" spans="1:76" ht="15" thickBot="1" x14ac:dyDescent="0.35">
      <c r="A22" s="1">
        <v>45461</v>
      </c>
      <c r="B22" s="20">
        <v>27</v>
      </c>
      <c r="C22" s="21">
        <v>4</v>
      </c>
      <c r="D22" s="139">
        <f t="shared" si="77"/>
        <v>6.75</v>
      </c>
      <c r="E22" s="20">
        <v>0</v>
      </c>
      <c r="F22" s="21">
        <v>0</v>
      </c>
      <c r="G22" s="139" t="str">
        <f t="shared" si="27"/>
        <v>-</v>
      </c>
      <c r="H22" s="20">
        <v>21</v>
      </c>
      <c r="I22" s="21">
        <v>7</v>
      </c>
      <c r="J22" s="139">
        <f t="shared" si="69"/>
        <v>3</v>
      </c>
      <c r="K22" s="20">
        <v>0</v>
      </c>
      <c r="L22" s="21">
        <v>0</v>
      </c>
      <c r="M22" s="139" t="str">
        <f t="shared" si="28"/>
        <v>-</v>
      </c>
      <c r="N22" s="20">
        <v>8</v>
      </c>
      <c r="O22" s="21">
        <v>1</v>
      </c>
      <c r="P22" s="139">
        <f t="shared" si="4"/>
        <v>8</v>
      </c>
      <c r="Q22" s="20">
        <v>10</v>
      </c>
      <c r="R22" s="21">
        <v>2</v>
      </c>
      <c r="S22" s="139">
        <f t="shared" si="29"/>
        <v>5</v>
      </c>
      <c r="T22" s="20">
        <v>0</v>
      </c>
      <c r="U22" s="21">
        <v>0</v>
      </c>
      <c r="V22" s="139" t="str">
        <f t="shared" si="30"/>
        <v>-</v>
      </c>
      <c r="W22" s="20">
        <v>0</v>
      </c>
      <c r="X22" s="21">
        <v>0</v>
      </c>
      <c r="Y22" s="278" t="str">
        <f t="shared" si="31"/>
        <v>-</v>
      </c>
      <c r="Z22" s="286">
        <v>0</v>
      </c>
      <c r="AA22" s="286">
        <v>0</v>
      </c>
      <c r="AB22" s="280" t="str">
        <f t="shared" si="8"/>
        <v>-</v>
      </c>
      <c r="AC22" s="23">
        <v>6</v>
      </c>
      <c r="AD22" s="21">
        <v>1</v>
      </c>
      <c r="AE22" s="139">
        <f t="shared" ref="AE22" si="111">IF(AD22=0,"-",AC22/AD22)</f>
        <v>6</v>
      </c>
      <c r="AF22" s="20">
        <v>3</v>
      </c>
      <c r="AG22" s="21">
        <v>1</v>
      </c>
      <c r="AH22" s="139">
        <f t="shared" ref="AH22" si="112">IF(AG22=0,"-",AF22/AG22)</f>
        <v>3</v>
      </c>
      <c r="AI22" s="20">
        <v>0</v>
      </c>
      <c r="AJ22" s="21">
        <v>0</v>
      </c>
      <c r="AK22" s="139" t="str">
        <f t="shared" ref="AK22" si="113">IF(AJ22=0,"-",AI22/AJ22)</f>
        <v>-</v>
      </c>
      <c r="AL22" s="20">
        <v>17</v>
      </c>
      <c r="AM22" s="21">
        <v>2</v>
      </c>
      <c r="AN22" s="139">
        <f t="shared" ref="AN22" si="114">IF(AM22=0,"-",AL22/AM22)</f>
        <v>8.5</v>
      </c>
      <c r="AO22" s="20">
        <v>9</v>
      </c>
      <c r="AP22" s="21">
        <v>1</v>
      </c>
      <c r="AQ22" s="139">
        <f t="shared" ref="AQ22" si="115">IF(AP22=0,"-",AO22/AP22)</f>
        <v>9</v>
      </c>
      <c r="AR22" s="20">
        <v>0</v>
      </c>
      <c r="AS22" s="21">
        <v>0</v>
      </c>
      <c r="AT22" s="139" t="str">
        <f t="shared" si="14"/>
        <v>-</v>
      </c>
      <c r="AU22" s="252">
        <v>20</v>
      </c>
      <c r="AV22" s="253">
        <v>3</v>
      </c>
      <c r="AW22" s="139">
        <f t="shared" si="36"/>
        <v>6.666666666666667</v>
      </c>
      <c r="AX22" s="20">
        <v>0</v>
      </c>
      <c r="AY22" s="21">
        <v>0</v>
      </c>
      <c r="AZ22" s="139" t="str">
        <f t="shared" ref="AZ22" si="116">IF(AY22=0,"-",AX22/AY22)</f>
        <v>-</v>
      </c>
      <c r="BA22" s="20">
        <v>0</v>
      </c>
      <c r="BB22" s="21">
        <v>0</v>
      </c>
      <c r="BC22" s="139" t="str">
        <f t="shared" ref="BC22" si="117">IF(BB22=0,"-",BA22/BB22)</f>
        <v>-</v>
      </c>
      <c r="BD22" s="20">
        <v>0</v>
      </c>
      <c r="BE22" s="21">
        <v>0</v>
      </c>
      <c r="BF22" s="139" t="str">
        <f t="shared" ref="BF22" si="118">IF(BE22=0,"-",BD22/BE22)</f>
        <v>-</v>
      </c>
      <c r="BG22" s="20">
        <v>0</v>
      </c>
      <c r="BH22" s="21">
        <v>0</v>
      </c>
      <c r="BI22" s="139" t="str">
        <f t="shared" ref="BI22" si="119">IF(BH22=0,"-",BG22/BH22)</f>
        <v>-</v>
      </c>
      <c r="BJ22" s="20">
        <v>47</v>
      </c>
      <c r="BK22" s="21">
        <v>9</v>
      </c>
      <c r="BL22" s="139">
        <f t="shared" si="41"/>
        <v>5.2222222222222223</v>
      </c>
      <c r="BM22" s="20">
        <v>0</v>
      </c>
      <c r="BN22" s="21">
        <v>0</v>
      </c>
      <c r="BO22" s="139" t="str">
        <f t="shared" ref="BO22" si="120">IF(BN22=0,"-",BM22/BN22)</f>
        <v>-</v>
      </c>
      <c r="BP22" s="20">
        <v>0</v>
      </c>
      <c r="BQ22" s="21">
        <v>0</v>
      </c>
      <c r="BR22" s="139" t="str">
        <f t="shared" ref="BR22" si="121">IF(BQ22=0,"-",BP22/BQ22)</f>
        <v>-</v>
      </c>
      <c r="BS22" s="20">
        <v>0</v>
      </c>
      <c r="BT22" s="21">
        <v>0</v>
      </c>
      <c r="BU22" s="139" t="str">
        <f t="shared" ref="BU22" si="122">IF(BT22=0,"-",BS22/BT22)</f>
        <v>-</v>
      </c>
      <c r="BV22" s="117">
        <f t="shared" si="26"/>
        <v>168</v>
      </c>
      <c r="BW22" s="120">
        <f t="shared" si="24"/>
        <v>30</v>
      </c>
      <c r="BX22" s="147">
        <f t="shared" si="25"/>
        <v>5.6</v>
      </c>
    </row>
    <row r="23" spans="1:76" ht="15" thickBot="1" x14ac:dyDescent="0.35">
      <c r="A23" s="1">
        <v>45462</v>
      </c>
      <c r="B23" s="20">
        <v>24</v>
      </c>
      <c r="C23" s="21">
        <v>3</v>
      </c>
      <c r="D23" s="139">
        <f t="shared" si="77"/>
        <v>8</v>
      </c>
      <c r="E23" s="20">
        <v>0</v>
      </c>
      <c r="F23" s="21">
        <v>0</v>
      </c>
      <c r="G23" s="139" t="str">
        <f t="shared" si="27"/>
        <v>-</v>
      </c>
      <c r="H23" s="20">
        <v>0</v>
      </c>
      <c r="I23" s="21">
        <v>0</v>
      </c>
      <c r="J23" s="139" t="str">
        <f t="shared" si="69"/>
        <v>-</v>
      </c>
      <c r="K23" s="20">
        <v>15</v>
      </c>
      <c r="L23" s="21">
        <v>2</v>
      </c>
      <c r="M23" s="139">
        <f t="shared" si="28"/>
        <v>7.5</v>
      </c>
      <c r="N23" s="20">
        <v>0</v>
      </c>
      <c r="O23" s="21">
        <v>0</v>
      </c>
      <c r="P23" s="139" t="str">
        <f t="shared" si="4"/>
        <v>-</v>
      </c>
      <c r="Q23" s="20">
        <v>51</v>
      </c>
      <c r="R23" s="21">
        <v>10</v>
      </c>
      <c r="S23" s="139">
        <f t="shared" si="29"/>
        <v>5.0999999999999996</v>
      </c>
      <c r="T23" s="20">
        <v>6</v>
      </c>
      <c r="U23" s="21">
        <v>1</v>
      </c>
      <c r="V23" s="139">
        <f t="shared" si="30"/>
        <v>6</v>
      </c>
      <c r="W23" s="20">
        <v>0</v>
      </c>
      <c r="X23" s="21">
        <v>0</v>
      </c>
      <c r="Y23" s="278" t="str">
        <f t="shared" si="31"/>
        <v>-</v>
      </c>
      <c r="Z23" s="286">
        <v>24</v>
      </c>
      <c r="AA23" s="286">
        <v>7</v>
      </c>
      <c r="AB23" s="280">
        <f t="shared" ref="AB23:AB25" si="123">IF(AA23=0,"-",Z23/AA23)</f>
        <v>3.4285714285714284</v>
      </c>
      <c r="AC23" s="23">
        <v>0</v>
      </c>
      <c r="AD23" s="21">
        <v>0</v>
      </c>
      <c r="AE23" s="139" t="str">
        <f t="shared" si="32"/>
        <v>-</v>
      </c>
      <c r="AF23" s="20">
        <v>0</v>
      </c>
      <c r="AG23" s="21">
        <v>0</v>
      </c>
      <c r="AH23" s="139" t="str">
        <f t="shared" si="46"/>
        <v>-</v>
      </c>
      <c r="AI23" s="20">
        <v>0</v>
      </c>
      <c r="AJ23" s="21">
        <v>0</v>
      </c>
      <c r="AK23" s="139" t="str">
        <f t="shared" si="33"/>
        <v>-</v>
      </c>
      <c r="AL23" s="20">
        <v>0</v>
      </c>
      <c r="AM23" s="21">
        <v>0</v>
      </c>
      <c r="AN23" s="139" t="str">
        <f t="shared" si="34"/>
        <v>-</v>
      </c>
      <c r="AO23" s="20">
        <v>0</v>
      </c>
      <c r="AP23" s="21">
        <v>0</v>
      </c>
      <c r="AQ23" s="139" t="str">
        <f t="shared" si="35"/>
        <v>-</v>
      </c>
      <c r="AR23" s="20">
        <v>0</v>
      </c>
      <c r="AS23" s="21">
        <v>0</v>
      </c>
      <c r="AT23" s="139" t="str">
        <f t="shared" si="14"/>
        <v>-</v>
      </c>
      <c r="AU23" s="252">
        <v>42</v>
      </c>
      <c r="AV23" s="253">
        <v>6</v>
      </c>
      <c r="AW23" s="139">
        <f t="shared" si="36"/>
        <v>7</v>
      </c>
      <c r="AX23" s="20">
        <v>21</v>
      </c>
      <c r="AY23" s="21">
        <v>3</v>
      </c>
      <c r="AZ23" s="139">
        <f t="shared" si="37"/>
        <v>7</v>
      </c>
      <c r="BA23" s="20">
        <v>8</v>
      </c>
      <c r="BB23" s="21">
        <v>1</v>
      </c>
      <c r="BC23" s="139">
        <f t="shared" si="38"/>
        <v>8</v>
      </c>
      <c r="BD23" s="257">
        <v>0</v>
      </c>
      <c r="BE23" s="253">
        <v>0</v>
      </c>
      <c r="BF23" s="139" t="str">
        <f t="shared" si="39"/>
        <v>-</v>
      </c>
      <c r="BG23" s="20">
        <v>0</v>
      </c>
      <c r="BH23" s="21">
        <v>0</v>
      </c>
      <c r="BI23" s="139" t="str">
        <f t="shared" si="40"/>
        <v>-</v>
      </c>
      <c r="BJ23" s="20">
        <v>64</v>
      </c>
      <c r="BK23" s="21">
        <v>11</v>
      </c>
      <c r="BL23" s="139">
        <f t="shared" si="41"/>
        <v>5.8181818181818183</v>
      </c>
      <c r="BM23" s="20">
        <v>0</v>
      </c>
      <c r="BN23" s="21">
        <v>0</v>
      </c>
      <c r="BO23" s="139" t="str">
        <f t="shared" si="42"/>
        <v>-</v>
      </c>
      <c r="BP23" s="20">
        <v>0</v>
      </c>
      <c r="BQ23" s="21">
        <v>0</v>
      </c>
      <c r="BR23" s="139" t="str">
        <f t="shared" si="43"/>
        <v>-</v>
      </c>
      <c r="BS23" s="20">
        <v>0</v>
      </c>
      <c r="BT23" s="21">
        <v>0</v>
      </c>
      <c r="BU23" s="139" t="str">
        <f t="shared" si="44"/>
        <v>-</v>
      </c>
      <c r="BV23" s="117">
        <f t="shared" si="26"/>
        <v>255</v>
      </c>
      <c r="BW23" s="120">
        <f>BT23+BQ23+BN23+BK23+BH23+BE23+BB23+AY23+AV23+L23+U23+R23+I23+F24+AP23+AM23+AJ23+AG23+AD23+C23</f>
        <v>38</v>
      </c>
      <c r="BX23" s="147">
        <f t="shared" si="25"/>
        <v>6.7105263157894735</v>
      </c>
    </row>
    <row r="24" spans="1:76" ht="15" thickBot="1" x14ac:dyDescent="0.35">
      <c r="A24" s="1">
        <v>45463</v>
      </c>
      <c r="B24" s="20">
        <v>48</v>
      </c>
      <c r="C24" s="21">
        <v>7</v>
      </c>
      <c r="D24" s="139">
        <f t="shared" si="77"/>
        <v>6.8571428571428568</v>
      </c>
      <c r="E24" s="20">
        <v>8</v>
      </c>
      <c r="F24" s="21">
        <v>1</v>
      </c>
      <c r="G24" s="139">
        <f t="shared" si="27"/>
        <v>8</v>
      </c>
      <c r="H24" s="20">
        <v>13</v>
      </c>
      <c r="I24" s="21">
        <v>4</v>
      </c>
      <c r="J24" s="139">
        <f t="shared" si="69"/>
        <v>3.25</v>
      </c>
      <c r="K24" s="20">
        <v>29</v>
      </c>
      <c r="L24" s="21">
        <v>4</v>
      </c>
      <c r="M24" s="139">
        <f t="shared" si="28"/>
        <v>7.25</v>
      </c>
      <c r="N24" s="20">
        <v>0</v>
      </c>
      <c r="O24" s="21">
        <v>0</v>
      </c>
      <c r="P24" s="139" t="str">
        <f t="shared" si="4"/>
        <v>-</v>
      </c>
      <c r="Q24" s="20">
        <v>59</v>
      </c>
      <c r="R24" s="21">
        <v>11</v>
      </c>
      <c r="S24" s="139">
        <f t="shared" si="29"/>
        <v>5.3636363636363633</v>
      </c>
      <c r="T24" s="20">
        <v>5</v>
      </c>
      <c r="U24" s="21">
        <v>1</v>
      </c>
      <c r="V24" s="139">
        <f t="shared" si="30"/>
        <v>5</v>
      </c>
      <c r="W24" s="20">
        <v>0</v>
      </c>
      <c r="X24" s="21">
        <v>0</v>
      </c>
      <c r="Y24" s="278" t="str">
        <f t="shared" si="31"/>
        <v>-</v>
      </c>
      <c r="Z24" s="286">
        <v>0</v>
      </c>
      <c r="AA24" s="286">
        <v>0</v>
      </c>
      <c r="AB24" s="280" t="str">
        <f t="shared" si="123"/>
        <v>-</v>
      </c>
      <c r="AC24" s="23">
        <v>1</v>
      </c>
      <c r="AD24" s="21">
        <v>1</v>
      </c>
      <c r="AE24" s="139" t="s">
        <v>32</v>
      </c>
      <c r="AF24" s="20">
        <v>8</v>
      </c>
      <c r="AG24" s="21">
        <v>1</v>
      </c>
      <c r="AH24" s="139" t="s">
        <v>32</v>
      </c>
      <c r="AI24" s="20">
        <v>0</v>
      </c>
      <c r="AJ24" s="21">
        <v>0</v>
      </c>
      <c r="AK24" s="139" t="s">
        <v>32</v>
      </c>
      <c r="AL24" s="20">
        <v>25</v>
      </c>
      <c r="AM24" s="21">
        <v>3</v>
      </c>
      <c r="AN24" s="139" t="s">
        <v>32</v>
      </c>
      <c r="AO24" s="20">
        <v>2</v>
      </c>
      <c r="AP24" s="21">
        <v>1</v>
      </c>
      <c r="AQ24" s="139" t="s">
        <v>32</v>
      </c>
      <c r="AR24" s="20">
        <v>0</v>
      </c>
      <c r="AS24" s="21">
        <v>0</v>
      </c>
      <c r="AT24" s="139" t="s">
        <v>32</v>
      </c>
      <c r="AU24" s="252">
        <v>7</v>
      </c>
      <c r="AV24" s="253">
        <v>1</v>
      </c>
      <c r="AW24" s="139">
        <f t="shared" si="36"/>
        <v>7</v>
      </c>
      <c r="AX24" s="20">
        <v>0</v>
      </c>
      <c r="AY24" s="21">
        <v>0</v>
      </c>
      <c r="AZ24" s="139" t="str">
        <f t="shared" si="37"/>
        <v>-</v>
      </c>
      <c r="BA24" s="20">
        <v>0</v>
      </c>
      <c r="BB24" s="21">
        <v>0</v>
      </c>
      <c r="BC24" s="139" t="str">
        <f t="shared" si="38"/>
        <v>-</v>
      </c>
      <c r="BD24" s="256">
        <v>0</v>
      </c>
      <c r="BE24" s="253">
        <v>0</v>
      </c>
      <c r="BF24" s="139" t="str">
        <f t="shared" si="39"/>
        <v>-</v>
      </c>
      <c r="BG24" s="20">
        <v>0</v>
      </c>
      <c r="BH24" s="21">
        <v>0</v>
      </c>
      <c r="BI24" s="139" t="str">
        <f t="shared" si="40"/>
        <v>-</v>
      </c>
      <c r="BJ24" s="20">
        <v>72</v>
      </c>
      <c r="BK24" s="21">
        <v>13</v>
      </c>
      <c r="BL24" s="139">
        <f t="shared" si="41"/>
        <v>5.5384615384615383</v>
      </c>
      <c r="BM24" s="20">
        <v>0</v>
      </c>
      <c r="BN24" s="21">
        <v>0</v>
      </c>
      <c r="BO24" s="139" t="str">
        <f t="shared" ref="BO24" si="124">IF(BN24=0,"-",BM24/BN24)</f>
        <v>-</v>
      </c>
      <c r="BP24" s="20">
        <v>0</v>
      </c>
      <c r="BQ24" s="21">
        <v>0</v>
      </c>
      <c r="BR24" s="139" t="str">
        <f t="shared" ref="BR24" si="125">IF(BQ24=0,"-",BP24/BQ24)</f>
        <v>-</v>
      </c>
      <c r="BS24" s="20">
        <v>0</v>
      </c>
      <c r="BT24" s="21">
        <v>0</v>
      </c>
      <c r="BU24" s="139" t="str">
        <f t="shared" ref="BU24" si="126">IF(BT24=0,"-",BS24/BT24)</f>
        <v>-</v>
      </c>
      <c r="BV24" s="117">
        <f t="shared" si="26"/>
        <v>277</v>
      </c>
      <c r="BW24" s="120">
        <f>BT24+BQ24+BN24+BK24+BH24+BE24+BB24+AY24+AV24+L24+U24+R24+I24+F25+AP24+AM24+AJ24+AG24+AD24+C24</f>
        <v>48</v>
      </c>
      <c r="BX24" s="147">
        <f t="shared" si="25"/>
        <v>5.770833333333333</v>
      </c>
    </row>
    <row r="25" spans="1:76" ht="15" thickBot="1" x14ac:dyDescent="0.35">
      <c r="A25" s="1">
        <v>45464</v>
      </c>
      <c r="B25" s="20">
        <v>40</v>
      </c>
      <c r="C25" s="21">
        <v>5</v>
      </c>
      <c r="D25" s="139">
        <f t="shared" si="77"/>
        <v>8</v>
      </c>
      <c r="E25" s="20">
        <v>8</v>
      </c>
      <c r="F25" s="21">
        <v>1</v>
      </c>
      <c r="G25" s="139">
        <f t="shared" si="27"/>
        <v>8</v>
      </c>
      <c r="H25" s="20">
        <v>9</v>
      </c>
      <c r="I25" s="21">
        <v>3</v>
      </c>
      <c r="J25" s="139">
        <f t="shared" si="69"/>
        <v>3</v>
      </c>
      <c r="K25" s="20">
        <v>24</v>
      </c>
      <c r="L25" s="21">
        <v>3</v>
      </c>
      <c r="M25" s="139">
        <f t="shared" si="28"/>
        <v>8</v>
      </c>
      <c r="N25" s="20">
        <v>0</v>
      </c>
      <c r="O25" s="21">
        <v>0</v>
      </c>
      <c r="P25" s="139" t="str">
        <f t="shared" si="4"/>
        <v>-</v>
      </c>
      <c r="Q25" s="20">
        <v>50</v>
      </c>
      <c r="R25" s="21">
        <v>9</v>
      </c>
      <c r="S25" s="139">
        <f t="shared" si="29"/>
        <v>5.5555555555555554</v>
      </c>
      <c r="T25" s="20">
        <v>0</v>
      </c>
      <c r="U25" s="21">
        <v>0</v>
      </c>
      <c r="V25" s="139" t="str">
        <f t="shared" si="30"/>
        <v>-</v>
      </c>
      <c r="W25" s="20">
        <v>0</v>
      </c>
      <c r="X25" s="21">
        <v>0</v>
      </c>
      <c r="Y25" s="278" t="str">
        <f t="shared" si="31"/>
        <v>-</v>
      </c>
      <c r="Z25" s="286">
        <v>15</v>
      </c>
      <c r="AA25" s="286">
        <v>5</v>
      </c>
      <c r="AB25" s="280">
        <f t="shared" si="123"/>
        <v>3</v>
      </c>
      <c r="AC25" s="23">
        <v>0</v>
      </c>
      <c r="AD25" s="21">
        <v>0</v>
      </c>
      <c r="AE25" s="139" t="s">
        <v>32</v>
      </c>
      <c r="AF25" s="20">
        <v>0</v>
      </c>
      <c r="AG25" s="21">
        <v>0</v>
      </c>
      <c r="AH25" s="139" t="s">
        <v>32</v>
      </c>
      <c r="AI25" s="20">
        <v>0</v>
      </c>
      <c r="AJ25" s="21">
        <v>0</v>
      </c>
      <c r="AK25" s="139" t="s">
        <v>32</v>
      </c>
      <c r="AL25" s="20">
        <v>0</v>
      </c>
      <c r="AM25" s="21">
        <v>0</v>
      </c>
      <c r="AN25" s="139" t="s">
        <v>32</v>
      </c>
      <c r="AO25" s="20">
        <v>0</v>
      </c>
      <c r="AP25" s="21">
        <v>0</v>
      </c>
      <c r="AQ25" s="139" t="s">
        <v>32</v>
      </c>
      <c r="AR25" s="20">
        <v>0</v>
      </c>
      <c r="AS25" s="21">
        <v>0</v>
      </c>
      <c r="AT25" s="139" t="s">
        <v>32</v>
      </c>
      <c r="AU25" s="252">
        <v>15</v>
      </c>
      <c r="AV25" s="253">
        <v>2</v>
      </c>
      <c r="AW25" s="139">
        <f t="shared" si="36"/>
        <v>7.5</v>
      </c>
      <c r="AX25" s="20">
        <v>0</v>
      </c>
      <c r="AY25" s="21">
        <v>0</v>
      </c>
      <c r="AZ25" s="139" t="str">
        <f t="shared" ref="AZ25:AZ27" si="127">IF(AY25=0,"-",AX25/AY25)</f>
        <v>-</v>
      </c>
      <c r="BA25" s="20">
        <v>0</v>
      </c>
      <c r="BB25" s="21">
        <v>0</v>
      </c>
      <c r="BC25" s="139" t="str">
        <f t="shared" ref="BC25:BC27" si="128">IF(BB25=0,"-",BA25/BB25)</f>
        <v>-</v>
      </c>
      <c r="BD25" s="256">
        <v>0</v>
      </c>
      <c r="BE25" s="253">
        <v>0</v>
      </c>
      <c r="BF25" s="139" t="str">
        <f t="shared" ref="BF25:BF26" si="129">IF(BE25=0,"-",BD25/BE25)</f>
        <v>-</v>
      </c>
      <c r="BG25" s="20">
        <v>0</v>
      </c>
      <c r="BH25" s="21">
        <v>0</v>
      </c>
      <c r="BI25" s="139" t="str">
        <f t="shared" ref="BI25:BI27" si="130">IF(BH25=0,"-",BG25/BH25)</f>
        <v>-</v>
      </c>
      <c r="BJ25" s="20">
        <v>32</v>
      </c>
      <c r="BK25" s="21">
        <v>5</v>
      </c>
      <c r="BL25" s="139">
        <f t="shared" si="41"/>
        <v>6.4</v>
      </c>
      <c r="BM25" s="20">
        <v>0</v>
      </c>
      <c r="BN25" s="21">
        <v>0</v>
      </c>
      <c r="BO25" s="139" t="str">
        <f t="shared" ref="BO25:BO27" si="131">IF(BN25=0,"-",BM25/BN25)</f>
        <v>-</v>
      </c>
      <c r="BP25" s="20">
        <v>0</v>
      </c>
      <c r="BQ25" s="21">
        <v>0</v>
      </c>
      <c r="BR25" s="139" t="str">
        <f t="shared" ref="BR25:BR27" si="132">IF(BQ25=0,"-",BP25/BQ25)</f>
        <v>-</v>
      </c>
      <c r="BS25" s="20">
        <v>0</v>
      </c>
      <c r="BT25" s="21">
        <v>0</v>
      </c>
      <c r="BU25" s="139" t="str">
        <f t="shared" ref="BU25:BU27" si="133">IF(BT25=0,"-",BS25/BT25)</f>
        <v>-</v>
      </c>
      <c r="BV25" s="117">
        <f t="shared" si="26"/>
        <v>193</v>
      </c>
      <c r="BW25" s="120">
        <f>BT25+BQ25+BN25+BK25+BH25+BE25+BB25+AY25+AV25+L25+U25+R25+I25+F25+AP26+AM25+AJ25+AG25+AD25+C25</f>
        <v>28</v>
      </c>
      <c r="BX25" s="147">
        <f t="shared" si="25"/>
        <v>6.8928571428571432</v>
      </c>
    </row>
    <row r="26" spans="1:76" ht="15" thickBot="1" x14ac:dyDescent="0.35">
      <c r="A26" s="1">
        <v>45465</v>
      </c>
      <c r="B26" s="20">
        <v>43</v>
      </c>
      <c r="C26" s="21">
        <v>6</v>
      </c>
      <c r="D26" s="139">
        <f t="shared" si="77"/>
        <v>7.166666666666667</v>
      </c>
      <c r="E26" s="20">
        <v>14</v>
      </c>
      <c r="F26" s="21">
        <v>2</v>
      </c>
      <c r="G26" s="139">
        <f t="shared" si="27"/>
        <v>7</v>
      </c>
      <c r="H26" s="20">
        <v>0</v>
      </c>
      <c r="I26" s="21">
        <v>0</v>
      </c>
      <c r="J26" s="139" t="str">
        <f t="shared" si="69"/>
        <v>-</v>
      </c>
      <c r="K26" s="20">
        <v>8</v>
      </c>
      <c r="L26" s="21">
        <v>1</v>
      </c>
      <c r="M26" s="139">
        <f t="shared" si="28"/>
        <v>8</v>
      </c>
      <c r="N26" s="20">
        <v>0</v>
      </c>
      <c r="O26" s="21">
        <v>0</v>
      </c>
      <c r="P26" s="139" t="str">
        <f t="shared" si="4"/>
        <v>-</v>
      </c>
      <c r="Q26" s="20">
        <v>0</v>
      </c>
      <c r="R26" s="21">
        <v>0</v>
      </c>
      <c r="S26" s="139" t="str">
        <f t="shared" si="29"/>
        <v>-</v>
      </c>
      <c r="T26" s="20">
        <v>45</v>
      </c>
      <c r="U26" s="21">
        <v>9</v>
      </c>
      <c r="V26" s="139">
        <f t="shared" si="30"/>
        <v>5</v>
      </c>
      <c r="W26" s="20">
        <v>75</v>
      </c>
      <c r="X26" s="21">
        <v>15</v>
      </c>
      <c r="Y26" s="278">
        <f t="shared" si="31"/>
        <v>5</v>
      </c>
      <c r="Z26" s="286">
        <v>0</v>
      </c>
      <c r="AA26" s="286">
        <v>0</v>
      </c>
      <c r="AB26" s="280" t="str">
        <f t="shared" ref="AB26:AB27" si="134">IF(AA26=0,"-",Z26/AA26)</f>
        <v>-</v>
      </c>
      <c r="AC26" s="23">
        <v>0</v>
      </c>
      <c r="AD26" s="21">
        <v>0</v>
      </c>
      <c r="AE26" s="139" t="s">
        <v>32</v>
      </c>
      <c r="AF26" s="20">
        <v>0</v>
      </c>
      <c r="AG26" s="21">
        <v>0</v>
      </c>
      <c r="AH26" s="139" t="s">
        <v>32</v>
      </c>
      <c r="AI26" s="20">
        <v>0</v>
      </c>
      <c r="AJ26" s="21">
        <v>0</v>
      </c>
      <c r="AK26" s="139" t="s">
        <v>32</v>
      </c>
      <c r="AL26" s="20">
        <v>0</v>
      </c>
      <c r="AM26" s="21">
        <v>0</v>
      </c>
      <c r="AN26" s="139" t="s">
        <v>32</v>
      </c>
      <c r="AO26" s="20">
        <v>0</v>
      </c>
      <c r="AP26" s="21">
        <v>0</v>
      </c>
      <c r="AQ26" s="139" t="s">
        <v>32</v>
      </c>
      <c r="AR26" s="20">
        <v>0</v>
      </c>
      <c r="AS26" s="21">
        <v>0</v>
      </c>
      <c r="AT26" s="139" t="s">
        <v>32</v>
      </c>
      <c r="AU26" s="252">
        <v>31</v>
      </c>
      <c r="AV26" s="253">
        <v>5</v>
      </c>
      <c r="AW26" s="139">
        <f t="shared" si="36"/>
        <v>6.2</v>
      </c>
      <c r="AX26" s="20">
        <v>0</v>
      </c>
      <c r="AY26" s="21">
        <v>0</v>
      </c>
      <c r="AZ26" s="139" t="str">
        <f t="shared" si="127"/>
        <v>-</v>
      </c>
      <c r="BA26" s="20">
        <v>0</v>
      </c>
      <c r="BB26" s="21">
        <v>0</v>
      </c>
      <c r="BC26" s="139" t="str">
        <f t="shared" si="128"/>
        <v>-</v>
      </c>
      <c r="BD26" s="256">
        <v>0</v>
      </c>
      <c r="BE26" s="253">
        <v>0</v>
      </c>
      <c r="BF26" s="139" t="str">
        <f t="shared" si="129"/>
        <v>-</v>
      </c>
      <c r="BG26" s="20">
        <v>0</v>
      </c>
      <c r="BH26" s="21">
        <v>0</v>
      </c>
      <c r="BI26" s="139" t="str">
        <f t="shared" si="130"/>
        <v>-</v>
      </c>
      <c r="BJ26" s="20">
        <v>42</v>
      </c>
      <c r="BK26" s="21">
        <v>9</v>
      </c>
      <c r="BL26" s="139">
        <f t="shared" si="41"/>
        <v>4.666666666666667</v>
      </c>
      <c r="BM26" s="20">
        <v>0</v>
      </c>
      <c r="BN26" s="21">
        <v>0</v>
      </c>
      <c r="BO26" s="139" t="str">
        <f t="shared" si="131"/>
        <v>-</v>
      </c>
      <c r="BP26" s="20">
        <v>0</v>
      </c>
      <c r="BQ26" s="21">
        <v>0</v>
      </c>
      <c r="BR26" s="139" t="str">
        <f t="shared" si="132"/>
        <v>-</v>
      </c>
      <c r="BS26" s="20">
        <v>0</v>
      </c>
      <c r="BT26" s="21">
        <v>0</v>
      </c>
      <c r="BU26" s="139" t="str">
        <f t="shared" si="133"/>
        <v>-</v>
      </c>
      <c r="BV26" s="117">
        <f t="shared" si="26"/>
        <v>258</v>
      </c>
      <c r="BW26" s="120">
        <f>BT26+BQ26+BN26+BK26+BH26+BE26+BB26+AY26+AV26+L26+U26+R26+I26+F26+AP27+AM26+AJ26+AG26+AD26+C26</f>
        <v>32</v>
      </c>
      <c r="BX26" s="147">
        <f t="shared" si="25"/>
        <v>8.0625</v>
      </c>
    </row>
    <row r="27" spans="1:76" ht="15" thickBot="1" x14ac:dyDescent="0.35">
      <c r="A27" s="1">
        <v>45466</v>
      </c>
      <c r="B27" s="20">
        <v>21</v>
      </c>
      <c r="C27" s="21">
        <v>3</v>
      </c>
      <c r="D27" s="139">
        <f t="shared" si="77"/>
        <v>7</v>
      </c>
      <c r="E27" s="20">
        <v>12</v>
      </c>
      <c r="F27" s="21">
        <v>2</v>
      </c>
      <c r="G27" s="139">
        <f t="shared" si="27"/>
        <v>6</v>
      </c>
      <c r="H27" s="20">
        <v>0</v>
      </c>
      <c r="I27" s="21">
        <v>0</v>
      </c>
      <c r="J27" s="139" t="str">
        <f t="shared" ref="J27" si="135">IF(I27=0,"-",H27/I27)</f>
        <v>-</v>
      </c>
      <c r="K27" s="20">
        <v>0</v>
      </c>
      <c r="L27" s="21">
        <v>0</v>
      </c>
      <c r="M27" s="139" t="str">
        <f t="shared" si="28"/>
        <v>-</v>
      </c>
      <c r="N27" s="20">
        <v>0</v>
      </c>
      <c r="O27" s="21">
        <v>0</v>
      </c>
      <c r="P27" s="139" t="str">
        <f t="shared" si="4"/>
        <v>-</v>
      </c>
      <c r="Q27" s="20">
        <v>23</v>
      </c>
      <c r="R27" s="21">
        <v>4</v>
      </c>
      <c r="S27" s="139">
        <f t="shared" si="29"/>
        <v>5.75</v>
      </c>
      <c r="T27" s="20">
        <v>0</v>
      </c>
      <c r="U27" s="21">
        <v>0</v>
      </c>
      <c r="V27" s="139" t="str">
        <f t="shared" si="30"/>
        <v>-</v>
      </c>
      <c r="W27" s="20">
        <v>67</v>
      </c>
      <c r="X27" s="21">
        <v>14</v>
      </c>
      <c r="Y27" s="278">
        <f t="shared" si="31"/>
        <v>4.7857142857142856</v>
      </c>
      <c r="Z27" s="286">
        <v>0</v>
      </c>
      <c r="AA27" s="286">
        <v>0</v>
      </c>
      <c r="AB27" s="280" t="str">
        <f t="shared" si="134"/>
        <v>-</v>
      </c>
      <c r="AC27" s="23">
        <v>0</v>
      </c>
      <c r="AD27" s="21">
        <v>0</v>
      </c>
      <c r="AE27" s="139" t="s">
        <v>32</v>
      </c>
      <c r="AF27" s="20">
        <v>0</v>
      </c>
      <c r="AG27" s="21">
        <v>0</v>
      </c>
      <c r="AH27" s="139" t="s">
        <v>32</v>
      </c>
      <c r="AI27" s="20">
        <v>0</v>
      </c>
      <c r="AJ27" s="21">
        <v>0</v>
      </c>
      <c r="AK27" s="139" t="s">
        <v>32</v>
      </c>
      <c r="AL27" s="20">
        <v>0</v>
      </c>
      <c r="AM27" s="21">
        <v>0</v>
      </c>
      <c r="AN27" s="139" t="s">
        <v>32</v>
      </c>
      <c r="AO27" s="20">
        <v>0</v>
      </c>
      <c r="AP27" s="21">
        <v>0</v>
      </c>
      <c r="AQ27" s="139" t="s">
        <v>32</v>
      </c>
      <c r="AR27" s="20">
        <v>0</v>
      </c>
      <c r="AS27" s="21">
        <v>0</v>
      </c>
      <c r="AT27" s="139" t="s">
        <v>32</v>
      </c>
      <c r="AU27" s="252">
        <v>42</v>
      </c>
      <c r="AV27" s="253">
        <v>6</v>
      </c>
      <c r="AW27" s="139">
        <f t="shared" si="36"/>
        <v>7</v>
      </c>
      <c r="AX27" s="20">
        <v>0</v>
      </c>
      <c r="AY27" s="21">
        <v>0</v>
      </c>
      <c r="AZ27" s="139" t="str">
        <f t="shared" si="127"/>
        <v>-</v>
      </c>
      <c r="BA27" s="20">
        <v>0</v>
      </c>
      <c r="BB27" s="21">
        <v>0</v>
      </c>
      <c r="BC27" s="139" t="str">
        <f t="shared" si="128"/>
        <v>-</v>
      </c>
      <c r="BD27" s="257">
        <v>13</v>
      </c>
      <c r="BE27" s="253">
        <v>2</v>
      </c>
      <c r="BF27" s="139" t="s">
        <v>32</v>
      </c>
      <c r="BG27" s="20">
        <v>0</v>
      </c>
      <c r="BH27" s="21">
        <v>0</v>
      </c>
      <c r="BI27" s="139" t="str">
        <f t="shared" si="130"/>
        <v>-</v>
      </c>
      <c r="BJ27" s="20">
        <v>0</v>
      </c>
      <c r="BK27" s="21">
        <v>0</v>
      </c>
      <c r="BL27" s="139" t="s">
        <v>32</v>
      </c>
      <c r="BM27" s="20">
        <v>0</v>
      </c>
      <c r="BN27" s="21">
        <v>0</v>
      </c>
      <c r="BO27" s="139" t="str">
        <f t="shared" si="131"/>
        <v>-</v>
      </c>
      <c r="BP27" s="20">
        <v>0</v>
      </c>
      <c r="BQ27" s="21">
        <v>0</v>
      </c>
      <c r="BR27" s="139" t="str">
        <f t="shared" si="132"/>
        <v>-</v>
      </c>
      <c r="BS27" s="20">
        <v>0</v>
      </c>
      <c r="BT27" s="21">
        <v>0</v>
      </c>
      <c r="BU27" s="139" t="str">
        <f t="shared" si="133"/>
        <v>-</v>
      </c>
      <c r="BV27" s="117">
        <f t="shared" si="26"/>
        <v>178</v>
      </c>
      <c r="BW27" s="120">
        <f>BT27+BQ27+BN27+BK27+BH27+BE27+BB27+AY27+AV27+L27+U27+R27+I27+F27+AP28+AM27+AJ27+AG27+AD27+C27</f>
        <v>17</v>
      </c>
      <c r="BX27" s="147">
        <f t="shared" si="25"/>
        <v>10.470588235294118</v>
      </c>
    </row>
    <row r="28" spans="1:76" ht="15" thickBot="1" x14ac:dyDescent="0.35">
      <c r="A28" s="1">
        <v>45467</v>
      </c>
      <c r="B28" s="20">
        <v>77</v>
      </c>
      <c r="C28" s="21">
        <v>7</v>
      </c>
      <c r="D28" s="139">
        <f t="shared" si="77"/>
        <v>11</v>
      </c>
      <c r="E28" s="20">
        <v>8</v>
      </c>
      <c r="F28" s="21">
        <v>1</v>
      </c>
      <c r="G28" s="139">
        <f t="shared" si="27"/>
        <v>8</v>
      </c>
      <c r="H28" s="20">
        <v>0</v>
      </c>
      <c r="I28" s="21">
        <v>0</v>
      </c>
      <c r="J28" s="139" t="str">
        <f t="shared" si="69"/>
        <v>-</v>
      </c>
      <c r="K28" s="20">
        <v>15</v>
      </c>
      <c r="L28" s="21">
        <v>2</v>
      </c>
      <c r="M28" s="139">
        <f t="shared" si="28"/>
        <v>7.5</v>
      </c>
      <c r="N28" s="20">
        <v>0</v>
      </c>
      <c r="O28" s="21">
        <v>0</v>
      </c>
      <c r="P28" s="139" t="str">
        <f t="shared" si="4"/>
        <v>-</v>
      </c>
      <c r="Q28" s="20">
        <v>39</v>
      </c>
      <c r="R28" s="21">
        <v>7</v>
      </c>
      <c r="S28" s="139">
        <f t="shared" si="29"/>
        <v>5.5714285714285712</v>
      </c>
      <c r="T28" s="20">
        <v>15</v>
      </c>
      <c r="U28" s="21">
        <v>3</v>
      </c>
      <c r="V28" s="139">
        <f t="shared" si="30"/>
        <v>5</v>
      </c>
      <c r="W28" s="20">
        <v>6</v>
      </c>
      <c r="X28" s="21">
        <v>1</v>
      </c>
      <c r="Y28" s="278">
        <f t="shared" si="31"/>
        <v>6</v>
      </c>
      <c r="Z28" s="286">
        <v>0</v>
      </c>
      <c r="AA28" s="286">
        <v>0</v>
      </c>
      <c r="AB28" s="280" t="str">
        <f t="shared" ref="AB28:AB32" si="136">IF(AA28=0,"-",Z28/AA28)</f>
        <v>-</v>
      </c>
      <c r="AC28" s="23">
        <v>5</v>
      </c>
      <c r="AD28" s="21">
        <v>1</v>
      </c>
      <c r="AE28" s="139" t="s">
        <v>32</v>
      </c>
      <c r="AF28" s="20">
        <v>0</v>
      </c>
      <c r="AG28" s="21">
        <v>0</v>
      </c>
      <c r="AH28" s="139" t="s">
        <v>32</v>
      </c>
      <c r="AI28" s="20">
        <v>1</v>
      </c>
      <c r="AJ28" s="21">
        <v>1</v>
      </c>
      <c r="AK28" s="139" t="s">
        <v>32</v>
      </c>
      <c r="AL28" s="20">
        <v>0</v>
      </c>
      <c r="AM28" s="21">
        <v>0</v>
      </c>
      <c r="AN28" s="139" t="s">
        <v>32</v>
      </c>
      <c r="AO28" s="20">
        <v>0</v>
      </c>
      <c r="AP28" s="21">
        <v>0</v>
      </c>
      <c r="AQ28" s="139" t="s">
        <v>32</v>
      </c>
      <c r="AR28" s="20">
        <v>0</v>
      </c>
      <c r="AS28" s="21">
        <v>0</v>
      </c>
      <c r="AT28" s="139" t="s">
        <v>32</v>
      </c>
      <c r="AU28" s="20">
        <v>37</v>
      </c>
      <c r="AV28" s="21">
        <v>5</v>
      </c>
      <c r="AW28" s="139">
        <f t="shared" si="36"/>
        <v>7.4</v>
      </c>
      <c r="AX28" s="20">
        <v>0</v>
      </c>
      <c r="AY28" s="21">
        <v>0</v>
      </c>
      <c r="AZ28" s="139" t="s">
        <v>32</v>
      </c>
      <c r="BA28" s="20">
        <v>0</v>
      </c>
      <c r="BB28" s="21">
        <v>0</v>
      </c>
      <c r="BC28" s="139" t="str">
        <f t="shared" ref="BC28:BC34" si="137">IF(BB28=0,"-",BA28/BB28)</f>
        <v>-</v>
      </c>
      <c r="BD28" s="257">
        <v>0</v>
      </c>
      <c r="BE28" s="253">
        <v>0</v>
      </c>
      <c r="BF28" s="139" t="s">
        <v>32</v>
      </c>
      <c r="BG28" s="20">
        <v>0</v>
      </c>
      <c r="BH28" s="21">
        <v>0</v>
      </c>
      <c r="BI28" s="139" t="s">
        <v>32</v>
      </c>
      <c r="BJ28" s="20">
        <v>27</v>
      </c>
      <c r="BK28" s="21">
        <v>4</v>
      </c>
      <c r="BL28" s="139">
        <f t="shared" si="41"/>
        <v>6.75</v>
      </c>
      <c r="BM28" s="20">
        <v>0</v>
      </c>
      <c r="BN28" s="21">
        <v>0</v>
      </c>
      <c r="BO28" s="139" t="str">
        <f t="shared" ref="BO28" si="138">IF(BN28=0,"-",BM28/BN28)</f>
        <v>-</v>
      </c>
      <c r="BP28" s="20">
        <v>0</v>
      </c>
      <c r="BQ28" s="21">
        <v>0</v>
      </c>
      <c r="BR28" s="139" t="str">
        <f t="shared" ref="BR28" si="139">IF(BQ28=0,"-",BP28/BQ28)</f>
        <v>-</v>
      </c>
      <c r="BS28" s="20">
        <v>0</v>
      </c>
      <c r="BT28" s="21">
        <v>0</v>
      </c>
      <c r="BU28" s="139" t="str">
        <f t="shared" ref="BU28" si="140">IF(BT28=0,"-",BS28/BT28)</f>
        <v>-</v>
      </c>
      <c r="BV28" s="117">
        <f t="shared" si="26"/>
        <v>230</v>
      </c>
      <c r="BW28" s="120">
        <f t="shared" ref="BW28:BW35" si="141">BT28+BQ28+BN28+BK28+BH28+BE28+BB28+AY28+AV28+L28+U28+R28+I28+F28+AP28+AM28+AJ28+AG28+AD28+C28</f>
        <v>31</v>
      </c>
      <c r="BX28" s="147">
        <f t="shared" si="25"/>
        <v>7.419354838709677</v>
      </c>
    </row>
    <row r="29" spans="1:76" ht="15" thickBot="1" x14ac:dyDescent="0.35">
      <c r="A29" s="1">
        <v>45468</v>
      </c>
      <c r="B29" s="20">
        <v>30</v>
      </c>
      <c r="C29" s="21">
        <v>4</v>
      </c>
      <c r="D29" s="139">
        <f t="shared" si="77"/>
        <v>7.5</v>
      </c>
      <c r="E29" s="20">
        <v>8</v>
      </c>
      <c r="F29" s="21">
        <v>1</v>
      </c>
      <c r="G29" s="139">
        <f t="shared" si="27"/>
        <v>8</v>
      </c>
      <c r="H29" s="20">
        <v>0</v>
      </c>
      <c r="I29" s="21">
        <v>0</v>
      </c>
      <c r="J29" s="139" t="str">
        <f t="shared" si="69"/>
        <v>-</v>
      </c>
      <c r="K29" s="20">
        <v>32</v>
      </c>
      <c r="L29" s="21">
        <v>4</v>
      </c>
      <c r="M29" s="139">
        <f t="shared" si="28"/>
        <v>8</v>
      </c>
      <c r="N29" s="23">
        <v>0</v>
      </c>
      <c r="O29" s="21">
        <v>0</v>
      </c>
      <c r="P29" s="139" t="s">
        <v>32</v>
      </c>
      <c r="Q29" s="23">
        <v>45</v>
      </c>
      <c r="R29" s="21">
        <v>8</v>
      </c>
      <c r="S29" s="139">
        <f t="shared" si="29"/>
        <v>5.625</v>
      </c>
      <c r="T29" s="20">
        <v>0</v>
      </c>
      <c r="U29" s="21">
        <v>0</v>
      </c>
      <c r="V29" s="139" t="str">
        <f t="shared" si="30"/>
        <v>-</v>
      </c>
      <c r="W29" s="20">
        <v>6</v>
      </c>
      <c r="X29" s="21">
        <v>1</v>
      </c>
      <c r="Y29" s="278">
        <f t="shared" si="31"/>
        <v>6</v>
      </c>
      <c r="Z29" s="281">
        <v>6</v>
      </c>
      <c r="AA29" s="281">
        <v>1</v>
      </c>
      <c r="AB29" s="280">
        <f t="shared" si="136"/>
        <v>6</v>
      </c>
      <c r="AC29" s="23">
        <v>1</v>
      </c>
      <c r="AD29" s="21">
        <v>1</v>
      </c>
      <c r="AE29" s="139">
        <f t="shared" si="32"/>
        <v>1</v>
      </c>
      <c r="AF29" s="20">
        <v>0</v>
      </c>
      <c r="AG29" s="21">
        <v>0</v>
      </c>
      <c r="AH29" s="139" t="s">
        <v>32</v>
      </c>
      <c r="AI29" s="20">
        <v>0</v>
      </c>
      <c r="AJ29" s="21">
        <v>0</v>
      </c>
      <c r="AK29" s="139" t="str">
        <f t="shared" ref="AK29:AK32" si="142">IF(AJ29=0,"-",AI29/AJ29)</f>
        <v>-</v>
      </c>
      <c r="AL29" s="20">
        <v>0</v>
      </c>
      <c r="AM29" s="21">
        <v>0</v>
      </c>
      <c r="AN29" s="139" t="s">
        <v>32</v>
      </c>
      <c r="AO29" s="20">
        <v>0</v>
      </c>
      <c r="AP29" s="21">
        <v>0</v>
      </c>
      <c r="AQ29" s="139" t="str">
        <f t="shared" si="35"/>
        <v>-</v>
      </c>
      <c r="AR29" s="20">
        <v>18</v>
      </c>
      <c r="AS29" s="21">
        <v>3</v>
      </c>
      <c r="AT29" s="139">
        <f t="shared" ref="AT29:AT32" si="143">IF(AS29=0,"-",AR29/AS29)</f>
        <v>6</v>
      </c>
      <c r="AU29" s="20">
        <v>32</v>
      </c>
      <c r="AV29" s="21">
        <v>5</v>
      </c>
      <c r="AW29" s="139">
        <f t="shared" si="36"/>
        <v>6.4</v>
      </c>
      <c r="AX29" s="20">
        <v>0</v>
      </c>
      <c r="AY29" s="21">
        <v>0</v>
      </c>
      <c r="AZ29" s="139" t="s">
        <v>32</v>
      </c>
      <c r="BA29" s="20">
        <v>0</v>
      </c>
      <c r="BB29" s="21">
        <v>0</v>
      </c>
      <c r="BC29" s="139" t="str">
        <f t="shared" si="137"/>
        <v>-</v>
      </c>
      <c r="BD29" s="20">
        <v>7</v>
      </c>
      <c r="BE29" s="21">
        <v>1</v>
      </c>
      <c r="BF29" s="139">
        <f t="shared" si="39"/>
        <v>7</v>
      </c>
      <c r="BG29" s="20">
        <v>0</v>
      </c>
      <c r="BH29" s="21">
        <v>0</v>
      </c>
      <c r="BI29" s="139" t="s">
        <v>32</v>
      </c>
      <c r="BJ29" s="20">
        <v>0</v>
      </c>
      <c r="BK29" s="21">
        <v>0</v>
      </c>
      <c r="BL29" s="139" t="s">
        <v>32</v>
      </c>
      <c r="BM29" s="20">
        <v>0</v>
      </c>
      <c r="BN29" s="21">
        <v>0</v>
      </c>
      <c r="BO29" s="139" t="s">
        <v>32</v>
      </c>
      <c r="BP29" s="20">
        <v>0</v>
      </c>
      <c r="BQ29" s="21">
        <v>0</v>
      </c>
      <c r="BR29" s="139" t="s">
        <v>32</v>
      </c>
      <c r="BS29" s="20">
        <v>0</v>
      </c>
      <c r="BT29" s="21">
        <v>0</v>
      </c>
      <c r="BU29" s="139" t="s">
        <v>32</v>
      </c>
      <c r="BV29" s="117">
        <f t="shared" si="26"/>
        <v>185</v>
      </c>
      <c r="BW29" s="120">
        <f t="shared" si="141"/>
        <v>24</v>
      </c>
      <c r="BX29" s="147">
        <f t="shared" si="25"/>
        <v>7.708333333333333</v>
      </c>
    </row>
    <row r="30" spans="1:76" ht="15" thickBot="1" x14ac:dyDescent="0.35">
      <c r="A30" s="1">
        <v>45469</v>
      </c>
      <c r="B30" s="20">
        <v>52</v>
      </c>
      <c r="C30" s="21">
        <v>6</v>
      </c>
      <c r="D30" s="139">
        <f t="shared" si="77"/>
        <v>8.6666666666666661</v>
      </c>
      <c r="E30" s="20">
        <v>14</v>
      </c>
      <c r="F30" s="21">
        <v>2</v>
      </c>
      <c r="G30" s="139">
        <f t="shared" si="27"/>
        <v>7</v>
      </c>
      <c r="H30" s="20">
        <v>0</v>
      </c>
      <c r="I30" s="21">
        <v>0</v>
      </c>
      <c r="J30" s="139" t="s">
        <v>32</v>
      </c>
      <c r="K30" s="20">
        <v>8</v>
      </c>
      <c r="L30" s="21">
        <v>1</v>
      </c>
      <c r="M30" s="139" t="s">
        <v>32</v>
      </c>
      <c r="N30" s="23">
        <v>0</v>
      </c>
      <c r="O30" s="21">
        <v>0</v>
      </c>
      <c r="P30" s="139" t="s">
        <v>32</v>
      </c>
      <c r="Q30" s="23">
        <v>34</v>
      </c>
      <c r="R30" s="21">
        <v>6</v>
      </c>
      <c r="S30" s="139">
        <f t="shared" si="29"/>
        <v>5.666666666666667</v>
      </c>
      <c r="T30" s="20">
        <v>0</v>
      </c>
      <c r="U30" s="21">
        <v>0</v>
      </c>
      <c r="V30" s="139" t="str">
        <f t="shared" si="30"/>
        <v>-</v>
      </c>
      <c r="W30" s="20">
        <v>0</v>
      </c>
      <c r="X30" s="21">
        <v>0</v>
      </c>
      <c r="Y30" s="278" t="str">
        <f t="shared" si="31"/>
        <v>-</v>
      </c>
      <c r="Z30" s="281">
        <v>5</v>
      </c>
      <c r="AA30" s="281">
        <v>1</v>
      </c>
      <c r="AB30" s="280">
        <f t="shared" si="136"/>
        <v>5</v>
      </c>
      <c r="AC30" s="23">
        <v>3</v>
      </c>
      <c r="AD30" s="21">
        <v>1</v>
      </c>
      <c r="AE30" s="139">
        <f t="shared" si="32"/>
        <v>3</v>
      </c>
      <c r="AF30" s="20">
        <v>0</v>
      </c>
      <c r="AG30" s="21">
        <v>0</v>
      </c>
      <c r="AH30" s="139" t="s">
        <v>32</v>
      </c>
      <c r="AI30" s="20">
        <v>0</v>
      </c>
      <c r="AJ30" s="21">
        <v>0</v>
      </c>
      <c r="AK30" s="139" t="str">
        <f t="shared" si="142"/>
        <v>-</v>
      </c>
      <c r="AL30" s="20">
        <v>0</v>
      </c>
      <c r="AM30" s="21">
        <v>0</v>
      </c>
      <c r="AN30" s="139" t="s">
        <v>32</v>
      </c>
      <c r="AO30" s="20">
        <v>0</v>
      </c>
      <c r="AP30" s="21">
        <v>0</v>
      </c>
      <c r="AQ30" s="139" t="str">
        <f t="shared" si="35"/>
        <v>-</v>
      </c>
      <c r="AR30" s="20">
        <v>36</v>
      </c>
      <c r="AS30" s="21">
        <v>4</v>
      </c>
      <c r="AT30" s="139">
        <f t="shared" si="143"/>
        <v>9</v>
      </c>
      <c r="AU30" s="20">
        <v>48</v>
      </c>
      <c r="AV30" s="21">
        <v>7</v>
      </c>
      <c r="AW30" s="139">
        <f t="shared" si="36"/>
        <v>6.8571428571428568</v>
      </c>
      <c r="AX30" s="20">
        <v>0</v>
      </c>
      <c r="AY30" s="21">
        <v>0</v>
      </c>
      <c r="AZ30" s="139" t="s">
        <v>32</v>
      </c>
      <c r="BA30" s="20">
        <v>0</v>
      </c>
      <c r="BB30" s="21">
        <v>0</v>
      </c>
      <c r="BC30" s="139" t="str">
        <f t="shared" si="137"/>
        <v>-</v>
      </c>
      <c r="BD30" s="20">
        <v>0</v>
      </c>
      <c r="BE30" s="21">
        <v>0</v>
      </c>
      <c r="BF30" s="139" t="str">
        <f t="shared" si="39"/>
        <v>-</v>
      </c>
      <c r="BG30" s="20">
        <v>0</v>
      </c>
      <c r="BH30" s="21">
        <v>0</v>
      </c>
      <c r="BI30" s="139" t="s">
        <v>32</v>
      </c>
      <c r="BJ30" s="20">
        <v>5</v>
      </c>
      <c r="BK30" s="21">
        <v>1</v>
      </c>
      <c r="BL30" s="139" t="s">
        <v>32</v>
      </c>
      <c r="BM30" s="20">
        <v>0</v>
      </c>
      <c r="BN30" s="21">
        <v>0</v>
      </c>
      <c r="BO30" s="139" t="s">
        <v>32</v>
      </c>
      <c r="BP30" s="20">
        <v>0</v>
      </c>
      <c r="BQ30" s="21">
        <v>0</v>
      </c>
      <c r="BR30" s="139" t="s">
        <v>32</v>
      </c>
      <c r="BS30" s="20">
        <v>0</v>
      </c>
      <c r="BT30" s="21">
        <v>0</v>
      </c>
      <c r="BU30" s="139" t="s">
        <v>32</v>
      </c>
      <c r="BV30" s="117">
        <f t="shared" si="26"/>
        <v>205</v>
      </c>
      <c r="BW30" s="120">
        <f t="shared" si="141"/>
        <v>24</v>
      </c>
      <c r="BX30" s="147">
        <f t="shared" si="25"/>
        <v>8.5416666666666661</v>
      </c>
    </row>
    <row r="31" spans="1:76" ht="15" thickBot="1" x14ac:dyDescent="0.35">
      <c r="A31" s="1">
        <v>45470</v>
      </c>
      <c r="B31" s="20">
        <v>65</v>
      </c>
      <c r="C31" s="21">
        <v>8</v>
      </c>
      <c r="D31" s="139">
        <f t="shared" si="77"/>
        <v>8.125</v>
      </c>
      <c r="E31" s="20">
        <v>20</v>
      </c>
      <c r="F31" s="21">
        <v>3</v>
      </c>
      <c r="G31" s="139">
        <f t="shared" si="27"/>
        <v>6.666666666666667</v>
      </c>
      <c r="H31" s="20">
        <v>0</v>
      </c>
      <c r="I31" s="21">
        <v>0</v>
      </c>
      <c r="J31" s="139">
        <v>0</v>
      </c>
      <c r="K31" s="20">
        <v>18</v>
      </c>
      <c r="L31" s="21">
        <v>2</v>
      </c>
      <c r="M31" s="139" t="s">
        <v>32</v>
      </c>
      <c r="N31" s="20">
        <v>0</v>
      </c>
      <c r="O31" s="21">
        <v>0</v>
      </c>
      <c r="P31" s="139" t="s">
        <v>32</v>
      </c>
      <c r="Q31" s="20">
        <v>79</v>
      </c>
      <c r="R31" s="21">
        <v>14</v>
      </c>
      <c r="S31" s="139">
        <f t="shared" si="29"/>
        <v>5.6428571428571432</v>
      </c>
      <c r="T31" s="20">
        <v>0</v>
      </c>
      <c r="U31" s="21">
        <v>0</v>
      </c>
      <c r="V31" s="139" t="str">
        <f t="shared" si="30"/>
        <v>-</v>
      </c>
      <c r="W31" s="20">
        <v>0</v>
      </c>
      <c r="X31" s="21">
        <v>0</v>
      </c>
      <c r="Y31" s="278" t="str">
        <f t="shared" si="31"/>
        <v>-</v>
      </c>
      <c r="Z31" s="20">
        <v>0</v>
      </c>
      <c r="AA31" s="21">
        <v>0</v>
      </c>
      <c r="AB31" s="278" t="str">
        <f t="shared" si="136"/>
        <v>-</v>
      </c>
      <c r="AC31" s="23">
        <v>3</v>
      </c>
      <c r="AD31" s="21">
        <v>1</v>
      </c>
      <c r="AE31" s="139">
        <f t="shared" si="32"/>
        <v>3</v>
      </c>
      <c r="AF31" s="20">
        <v>0</v>
      </c>
      <c r="AG31" s="21">
        <v>0</v>
      </c>
      <c r="AH31" s="139" t="s">
        <v>32</v>
      </c>
      <c r="AI31" s="20">
        <v>0</v>
      </c>
      <c r="AJ31" s="21">
        <v>0</v>
      </c>
      <c r="AK31" s="139" t="str">
        <f t="shared" ref="AK31" si="144">IF(AJ31=0,"-",AI31/AJ31)</f>
        <v>-</v>
      </c>
      <c r="AL31" s="20">
        <v>0</v>
      </c>
      <c r="AM31" s="21">
        <v>0</v>
      </c>
      <c r="AN31" s="139" t="s">
        <v>32</v>
      </c>
      <c r="AO31" s="20">
        <v>0</v>
      </c>
      <c r="AP31" s="21">
        <v>0</v>
      </c>
      <c r="AQ31" s="139" t="str">
        <f t="shared" ref="AQ31" si="145">IF(AP31=0,"-",AO31/AP31)</f>
        <v>-</v>
      </c>
      <c r="AR31" s="20">
        <v>9</v>
      </c>
      <c r="AS31" s="21">
        <v>1</v>
      </c>
      <c r="AT31" s="139">
        <f t="shared" si="143"/>
        <v>9</v>
      </c>
      <c r="AU31" s="20">
        <v>65</v>
      </c>
      <c r="AV31" s="21">
        <v>10</v>
      </c>
      <c r="AW31" s="139">
        <f t="shared" si="36"/>
        <v>6.5</v>
      </c>
      <c r="AX31" s="20">
        <v>0</v>
      </c>
      <c r="AY31" s="21">
        <v>0</v>
      </c>
      <c r="AZ31" s="139" t="str">
        <f t="shared" ref="AZ31:AZ34" si="146">IF(AY31=0,"-",AX31/AY31)</f>
        <v>-</v>
      </c>
      <c r="BA31" s="20">
        <v>0</v>
      </c>
      <c r="BB31" s="21">
        <v>0</v>
      </c>
      <c r="BC31" s="139" t="str">
        <f t="shared" si="137"/>
        <v>-</v>
      </c>
      <c r="BD31" s="20">
        <v>7</v>
      </c>
      <c r="BE31" s="21">
        <v>1</v>
      </c>
      <c r="BF31" s="139">
        <f t="shared" si="39"/>
        <v>7</v>
      </c>
      <c r="BG31" s="20">
        <v>0</v>
      </c>
      <c r="BH31" s="21">
        <v>0</v>
      </c>
      <c r="BI31" s="139" t="str">
        <f t="shared" si="40"/>
        <v>-</v>
      </c>
      <c r="BJ31" s="20">
        <v>0</v>
      </c>
      <c r="BK31" s="21">
        <v>0</v>
      </c>
      <c r="BL31" s="139" t="str">
        <f t="shared" ref="BL31" si="147">IF(BK31=0,"-",BJ31/BK31)</f>
        <v>-</v>
      </c>
      <c r="BM31" s="20">
        <v>0</v>
      </c>
      <c r="BN31" s="21">
        <v>0</v>
      </c>
      <c r="BO31" s="139" t="str">
        <f t="shared" ref="BO31" si="148">IF(BN31=0,"-",BM31/BN31)</f>
        <v>-</v>
      </c>
      <c r="BP31" s="20">
        <v>0</v>
      </c>
      <c r="BQ31" s="21">
        <v>0</v>
      </c>
      <c r="BR31" s="139" t="str">
        <f t="shared" ref="BR31" si="149">IF(BQ31=0,"-",BP31/BQ31)</f>
        <v>-</v>
      </c>
      <c r="BS31" s="20">
        <v>0</v>
      </c>
      <c r="BT31" s="21">
        <v>0</v>
      </c>
      <c r="BU31" s="139" t="str">
        <f t="shared" ref="BU31" si="150">IF(BT31=0,"-",BS31/BT31)</f>
        <v>-</v>
      </c>
      <c r="BV31" s="117">
        <f t="shared" si="26"/>
        <v>266</v>
      </c>
      <c r="BW31" s="120">
        <f t="shared" si="141"/>
        <v>39</v>
      </c>
      <c r="BX31" s="147">
        <f t="shared" si="25"/>
        <v>6.8205128205128203</v>
      </c>
    </row>
    <row r="32" spans="1:76" ht="15" thickBot="1" x14ac:dyDescent="0.35">
      <c r="A32" s="1">
        <v>45471</v>
      </c>
      <c r="B32" s="20">
        <v>45</v>
      </c>
      <c r="C32" s="21">
        <v>5</v>
      </c>
      <c r="D32" s="139">
        <f t="shared" si="77"/>
        <v>9</v>
      </c>
      <c r="E32" s="20">
        <v>0</v>
      </c>
      <c r="F32" s="21">
        <v>0</v>
      </c>
      <c r="G32" s="139" t="str">
        <f t="shared" si="27"/>
        <v>-</v>
      </c>
      <c r="H32" s="20">
        <v>0</v>
      </c>
      <c r="I32" s="21">
        <v>0</v>
      </c>
      <c r="J32" s="139" t="s">
        <v>32</v>
      </c>
      <c r="K32" s="20">
        <v>24</v>
      </c>
      <c r="L32" s="21">
        <v>3</v>
      </c>
      <c r="M32" s="139" t="s">
        <v>32</v>
      </c>
      <c r="N32" s="20">
        <v>0</v>
      </c>
      <c r="O32" s="21">
        <v>0</v>
      </c>
      <c r="P32" s="139" t="s">
        <v>32</v>
      </c>
      <c r="Q32" s="20">
        <v>17</v>
      </c>
      <c r="R32" s="21">
        <v>3</v>
      </c>
      <c r="S32" s="139">
        <f t="shared" si="29"/>
        <v>5.666666666666667</v>
      </c>
      <c r="T32" s="20">
        <v>0</v>
      </c>
      <c r="U32" s="21">
        <v>0</v>
      </c>
      <c r="V32" s="139" t="str">
        <f t="shared" ref="V32" si="151">IF(U32=0,"-",T32/U32)</f>
        <v>-</v>
      </c>
      <c r="W32" s="20">
        <v>0</v>
      </c>
      <c r="X32" s="21">
        <v>0</v>
      </c>
      <c r="Y32" s="278" t="str">
        <f t="shared" ref="Y32" si="152">IF(X32=0,"-",W32/X32)</f>
        <v>-</v>
      </c>
      <c r="Z32" s="20">
        <v>0</v>
      </c>
      <c r="AA32" s="21">
        <v>0</v>
      </c>
      <c r="AB32" s="278" t="str">
        <f t="shared" si="136"/>
        <v>-</v>
      </c>
      <c r="AC32" s="23">
        <v>8</v>
      </c>
      <c r="AD32" s="21">
        <v>1</v>
      </c>
      <c r="AE32" s="139">
        <f t="shared" si="32"/>
        <v>8</v>
      </c>
      <c r="AF32" s="20"/>
      <c r="AG32" s="21"/>
      <c r="AH32" s="139" t="str">
        <f t="shared" ref="AH32" si="153">IF(AG32=0,"-",AF32/AG32)</f>
        <v>-</v>
      </c>
      <c r="AI32" s="20">
        <v>1</v>
      </c>
      <c r="AJ32" s="21">
        <v>1</v>
      </c>
      <c r="AK32" s="139">
        <f t="shared" si="142"/>
        <v>1</v>
      </c>
      <c r="AL32" s="20">
        <v>0</v>
      </c>
      <c r="AM32" s="21">
        <v>0</v>
      </c>
      <c r="AN32" s="139" t="s">
        <v>32</v>
      </c>
      <c r="AO32" s="20">
        <v>0</v>
      </c>
      <c r="AP32" s="21">
        <v>0</v>
      </c>
      <c r="AQ32" s="139" t="str">
        <f t="shared" ref="AQ32" si="154">IF(AP32=0,"-",AO32/AP32)</f>
        <v>-</v>
      </c>
      <c r="AR32" s="20">
        <v>0</v>
      </c>
      <c r="AS32" s="21">
        <v>0</v>
      </c>
      <c r="AT32" s="139" t="str">
        <f t="shared" si="143"/>
        <v>-</v>
      </c>
      <c r="AU32" s="20">
        <v>26</v>
      </c>
      <c r="AV32" s="21">
        <v>4</v>
      </c>
      <c r="AW32" s="139">
        <f t="shared" si="36"/>
        <v>6.5</v>
      </c>
      <c r="AX32" s="20">
        <v>0</v>
      </c>
      <c r="AY32" s="21">
        <v>0</v>
      </c>
      <c r="AZ32" s="139" t="str">
        <f t="shared" si="146"/>
        <v>-</v>
      </c>
      <c r="BA32" s="20">
        <v>7</v>
      </c>
      <c r="BB32" s="21">
        <v>1</v>
      </c>
      <c r="BC32" s="139">
        <f t="shared" si="137"/>
        <v>7</v>
      </c>
      <c r="BD32" s="20">
        <v>0</v>
      </c>
      <c r="BE32" s="21">
        <v>0</v>
      </c>
      <c r="BF32" s="139" t="str">
        <f t="shared" si="39"/>
        <v>-</v>
      </c>
      <c r="BG32" s="20">
        <v>0</v>
      </c>
      <c r="BH32" s="21">
        <v>0</v>
      </c>
      <c r="BI32" s="139" t="str">
        <f t="shared" ref="BI32:BI34" si="155">IF(BH32=0,"-",BG32/BH32)</f>
        <v>-</v>
      </c>
      <c r="BJ32" s="20">
        <v>5</v>
      </c>
      <c r="BK32" s="21">
        <v>1</v>
      </c>
      <c r="BL32" s="139">
        <f t="shared" si="41"/>
        <v>5</v>
      </c>
      <c r="BM32" s="20">
        <v>0</v>
      </c>
      <c r="BN32" s="21">
        <v>0</v>
      </c>
      <c r="BO32" s="139" t="str">
        <f t="shared" ref="BO32:BO34" si="156">IF(BN32=0,"-",BM32/BN32)</f>
        <v>-</v>
      </c>
      <c r="BP32" s="20">
        <v>0</v>
      </c>
      <c r="BQ32" s="21">
        <v>0</v>
      </c>
      <c r="BR32" s="139" t="str">
        <f t="shared" ref="BR32:BR34" si="157">IF(BQ32=0,"-",BP32/BQ32)</f>
        <v>-</v>
      </c>
      <c r="BS32" s="20">
        <v>0</v>
      </c>
      <c r="BT32" s="21">
        <v>0</v>
      </c>
      <c r="BU32" s="139" t="str">
        <f t="shared" ref="BU32:BU34" si="158">IF(BT32=0,"-",BS32/BT32)</f>
        <v>-</v>
      </c>
      <c r="BV32" s="117">
        <f t="shared" si="26"/>
        <v>133</v>
      </c>
      <c r="BW32" s="120">
        <f t="shared" si="141"/>
        <v>19</v>
      </c>
      <c r="BX32" s="147">
        <f t="shared" si="25"/>
        <v>7</v>
      </c>
    </row>
    <row r="33" spans="1:76" ht="15" thickBot="1" x14ac:dyDescent="0.35">
      <c r="A33" s="269">
        <v>45472</v>
      </c>
      <c r="B33" s="270">
        <v>40</v>
      </c>
      <c r="C33" s="271">
        <v>5</v>
      </c>
      <c r="D33" s="272">
        <f t="shared" si="77"/>
        <v>8</v>
      </c>
      <c r="E33" s="270">
        <v>0</v>
      </c>
      <c r="F33" s="271">
        <v>0</v>
      </c>
      <c r="G33" s="272" t="str">
        <f t="shared" si="27"/>
        <v>-</v>
      </c>
      <c r="H33" s="270">
        <v>0</v>
      </c>
      <c r="I33" s="271">
        <v>0</v>
      </c>
      <c r="J33" s="272" t="s">
        <v>32</v>
      </c>
      <c r="K33" s="270">
        <v>8</v>
      </c>
      <c r="L33" s="271">
        <v>1</v>
      </c>
      <c r="M33" s="272" t="s">
        <v>32</v>
      </c>
      <c r="N33" s="270">
        <v>0</v>
      </c>
      <c r="O33" s="271">
        <v>0</v>
      </c>
      <c r="P33" s="272" t="s">
        <v>32</v>
      </c>
      <c r="Q33" s="270">
        <v>0</v>
      </c>
      <c r="R33" s="271">
        <v>0</v>
      </c>
      <c r="S33" s="272" t="s">
        <v>32</v>
      </c>
      <c r="T33" s="270">
        <v>0</v>
      </c>
      <c r="U33" s="271">
        <v>0</v>
      </c>
      <c r="V33" s="272" t="s">
        <v>32</v>
      </c>
      <c r="W33" s="270">
        <v>0</v>
      </c>
      <c r="X33" s="271">
        <v>0</v>
      </c>
      <c r="Y33" s="272" t="s">
        <v>32</v>
      </c>
      <c r="Z33" s="270">
        <v>0</v>
      </c>
      <c r="AA33" s="271">
        <v>0</v>
      </c>
      <c r="AB33" s="272" t="s">
        <v>32</v>
      </c>
      <c r="AC33" s="270">
        <v>0</v>
      </c>
      <c r="AD33" s="271">
        <v>0</v>
      </c>
      <c r="AE33" s="272" t="s">
        <v>32</v>
      </c>
      <c r="AF33" s="270">
        <v>0</v>
      </c>
      <c r="AG33" s="271">
        <v>0</v>
      </c>
      <c r="AH33" s="272" t="s">
        <v>32</v>
      </c>
      <c r="AI33" s="270">
        <v>0</v>
      </c>
      <c r="AJ33" s="271">
        <v>0</v>
      </c>
      <c r="AK33" s="272" t="s">
        <v>32</v>
      </c>
      <c r="AL33" s="270">
        <v>0</v>
      </c>
      <c r="AM33" s="271">
        <v>0</v>
      </c>
      <c r="AN33" s="272" t="s">
        <v>32</v>
      </c>
      <c r="AO33" s="270">
        <v>0</v>
      </c>
      <c r="AP33" s="271">
        <v>0</v>
      </c>
      <c r="AQ33" s="272" t="s">
        <v>32</v>
      </c>
      <c r="AR33" s="270">
        <v>0</v>
      </c>
      <c r="AS33" s="271">
        <v>0</v>
      </c>
      <c r="AT33" s="272" t="s">
        <v>32</v>
      </c>
      <c r="AU33" s="270">
        <v>19</v>
      </c>
      <c r="AV33" s="271">
        <v>3</v>
      </c>
      <c r="AW33" s="272">
        <f t="shared" si="36"/>
        <v>6.333333333333333</v>
      </c>
      <c r="AX33" s="270">
        <v>13</v>
      </c>
      <c r="AY33" s="271">
        <v>2</v>
      </c>
      <c r="AZ33" s="272">
        <f t="shared" si="146"/>
        <v>6.5</v>
      </c>
      <c r="BA33" s="270">
        <v>35</v>
      </c>
      <c r="BB33" s="271">
        <v>5</v>
      </c>
      <c r="BC33" s="272">
        <f t="shared" si="137"/>
        <v>7</v>
      </c>
      <c r="BD33" s="270">
        <v>0</v>
      </c>
      <c r="BE33" s="271">
        <v>0</v>
      </c>
      <c r="BF33" s="272" t="str">
        <f t="shared" si="39"/>
        <v>-</v>
      </c>
      <c r="BG33" s="20">
        <v>0</v>
      </c>
      <c r="BH33" s="21">
        <v>0</v>
      </c>
      <c r="BI33" s="139" t="str">
        <f t="shared" si="155"/>
        <v>-</v>
      </c>
      <c r="BJ33" s="270">
        <v>0</v>
      </c>
      <c r="BK33" s="271">
        <v>0</v>
      </c>
      <c r="BL33" s="272" t="str">
        <f t="shared" si="41"/>
        <v>-</v>
      </c>
      <c r="BM33" s="20">
        <v>0</v>
      </c>
      <c r="BN33" s="21">
        <v>0</v>
      </c>
      <c r="BO33" s="139" t="str">
        <f t="shared" si="156"/>
        <v>-</v>
      </c>
      <c r="BP33" s="20">
        <v>0</v>
      </c>
      <c r="BQ33" s="21">
        <v>0</v>
      </c>
      <c r="BR33" s="139" t="str">
        <f t="shared" si="157"/>
        <v>-</v>
      </c>
      <c r="BS33" s="20">
        <v>0</v>
      </c>
      <c r="BT33" s="21">
        <v>0</v>
      </c>
      <c r="BU33" s="139" t="str">
        <f t="shared" si="158"/>
        <v>-</v>
      </c>
      <c r="BV33" s="117">
        <f t="shared" si="26"/>
        <v>115</v>
      </c>
      <c r="BW33" s="273">
        <f t="shared" si="141"/>
        <v>16</v>
      </c>
      <c r="BX33" s="274">
        <f t="shared" si="25"/>
        <v>7.1875</v>
      </c>
    </row>
    <row r="34" spans="1:76" ht="15" thickBot="1" x14ac:dyDescent="0.35">
      <c r="A34" s="1">
        <v>45473</v>
      </c>
      <c r="B34" s="20">
        <v>32</v>
      </c>
      <c r="C34" s="21">
        <v>4</v>
      </c>
      <c r="D34" s="139">
        <f t="shared" si="77"/>
        <v>8</v>
      </c>
      <c r="E34" s="20">
        <v>0</v>
      </c>
      <c r="F34" s="21">
        <v>0</v>
      </c>
      <c r="G34" s="139" t="str">
        <f t="shared" si="27"/>
        <v>-</v>
      </c>
      <c r="H34" s="20">
        <v>0</v>
      </c>
      <c r="I34" s="21">
        <v>0</v>
      </c>
      <c r="J34" s="139" t="s">
        <v>32</v>
      </c>
      <c r="K34" s="20">
        <v>0</v>
      </c>
      <c r="L34" s="21">
        <v>0</v>
      </c>
      <c r="M34" s="139" t="s">
        <v>32</v>
      </c>
      <c r="N34" s="20">
        <v>0</v>
      </c>
      <c r="O34" s="21">
        <v>0</v>
      </c>
      <c r="P34" s="139" t="s">
        <v>32</v>
      </c>
      <c r="Q34" s="20">
        <v>0</v>
      </c>
      <c r="R34" s="21">
        <v>0</v>
      </c>
      <c r="S34" s="139" t="s">
        <v>32</v>
      </c>
      <c r="T34" s="20">
        <v>0</v>
      </c>
      <c r="U34" s="21">
        <v>0</v>
      </c>
      <c r="V34" s="139" t="s">
        <v>32</v>
      </c>
      <c r="W34" s="20">
        <v>0</v>
      </c>
      <c r="X34" s="21">
        <v>0</v>
      </c>
      <c r="Y34" s="139" t="s">
        <v>32</v>
      </c>
      <c r="Z34" s="20">
        <v>0</v>
      </c>
      <c r="AA34" s="21">
        <v>0</v>
      </c>
      <c r="AB34" s="139" t="s">
        <v>32</v>
      </c>
      <c r="AC34" s="20">
        <v>0</v>
      </c>
      <c r="AD34" s="21">
        <v>0</v>
      </c>
      <c r="AE34" s="139" t="s">
        <v>32</v>
      </c>
      <c r="AF34" s="20">
        <v>0</v>
      </c>
      <c r="AG34" s="21">
        <v>0</v>
      </c>
      <c r="AH34" s="139" t="s">
        <v>32</v>
      </c>
      <c r="AI34" s="20">
        <v>0</v>
      </c>
      <c r="AJ34" s="21">
        <v>0</v>
      </c>
      <c r="AK34" s="139" t="s">
        <v>32</v>
      </c>
      <c r="AL34" s="20">
        <v>0</v>
      </c>
      <c r="AM34" s="21">
        <v>0</v>
      </c>
      <c r="AN34" s="139" t="s">
        <v>32</v>
      </c>
      <c r="AO34" s="20">
        <v>0</v>
      </c>
      <c r="AP34" s="21">
        <v>0</v>
      </c>
      <c r="AQ34" s="139" t="s">
        <v>32</v>
      </c>
      <c r="AR34" s="20">
        <v>0</v>
      </c>
      <c r="AS34" s="21">
        <v>0</v>
      </c>
      <c r="AT34" s="139" t="s">
        <v>32</v>
      </c>
      <c r="AU34" s="20">
        <v>46</v>
      </c>
      <c r="AV34" s="21">
        <v>7</v>
      </c>
      <c r="AW34" s="139">
        <f t="shared" si="36"/>
        <v>6.5714285714285712</v>
      </c>
      <c r="AX34" s="20">
        <v>0</v>
      </c>
      <c r="AY34" s="21">
        <v>0</v>
      </c>
      <c r="AZ34" s="139" t="str">
        <f t="shared" si="146"/>
        <v>-</v>
      </c>
      <c r="BA34" s="20">
        <v>0</v>
      </c>
      <c r="BB34" s="21">
        <v>0</v>
      </c>
      <c r="BC34" s="139" t="str">
        <f t="shared" si="137"/>
        <v>-</v>
      </c>
      <c r="BD34" s="20">
        <v>8</v>
      </c>
      <c r="BE34" s="21">
        <v>1</v>
      </c>
      <c r="BF34" s="139">
        <f t="shared" si="39"/>
        <v>8</v>
      </c>
      <c r="BG34" s="20">
        <v>0</v>
      </c>
      <c r="BH34" s="21">
        <v>0</v>
      </c>
      <c r="BI34" s="139" t="str">
        <f t="shared" si="155"/>
        <v>-</v>
      </c>
      <c r="BJ34" s="20">
        <v>40</v>
      </c>
      <c r="BK34" s="21">
        <v>6</v>
      </c>
      <c r="BL34" s="139">
        <f t="shared" si="41"/>
        <v>6.666666666666667</v>
      </c>
      <c r="BM34" s="20">
        <v>0</v>
      </c>
      <c r="BN34" s="21">
        <v>0</v>
      </c>
      <c r="BO34" s="139" t="str">
        <f t="shared" si="156"/>
        <v>-</v>
      </c>
      <c r="BP34" s="20">
        <v>0</v>
      </c>
      <c r="BQ34" s="21">
        <v>0</v>
      </c>
      <c r="BR34" s="139" t="str">
        <f t="shared" si="157"/>
        <v>-</v>
      </c>
      <c r="BS34" s="20">
        <v>0</v>
      </c>
      <c r="BT34" s="21">
        <v>0</v>
      </c>
      <c r="BU34" s="139" t="str">
        <f t="shared" si="158"/>
        <v>-</v>
      </c>
      <c r="BV34" s="117">
        <f t="shared" si="26"/>
        <v>126</v>
      </c>
      <c r="BW34" s="120">
        <f t="shared" si="141"/>
        <v>18</v>
      </c>
      <c r="BX34" s="147">
        <f t="shared" si="25"/>
        <v>7</v>
      </c>
    </row>
    <row r="35" spans="1:76" s="41" customFormat="1" ht="15.6" customHeight="1" thickBot="1" x14ac:dyDescent="0.35">
      <c r="A35" s="42" t="s">
        <v>33</v>
      </c>
      <c r="B35" s="43">
        <f>SUM(B5:B34)</f>
        <v>1053</v>
      </c>
      <c r="C35" s="43">
        <f>SUM(C5:C34)</f>
        <v>127</v>
      </c>
      <c r="D35" s="44">
        <f>B35/C35</f>
        <v>8.2913385826771648</v>
      </c>
      <c r="E35" s="43">
        <f>SUM(E5:E34)</f>
        <v>155</v>
      </c>
      <c r="F35" s="43">
        <f>SUM(F5:F34)</f>
        <v>21</v>
      </c>
      <c r="G35" s="44">
        <f>E35/F35</f>
        <v>7.3809523809523814</v>
      </c>
      <c r="H35" s="43">
        <f>SUM(H5:H34)</f>
        <v>73</v>
      </c>
      <c r="I35" s="43">
        <f>SUM(I5:I34)</f>
        <v>19</v>
      </c>
      <c r="J35" s="44">
        <f>H35/I35</f>
        <v>3.8421052631578947</v>
      </c>
      <c r="K35" s="43">
        <f>SUM(K5:K34)</f>
        <v>321</v>
      </c>
      <c r="L35" s="43">
        <f>SUM(L5:L34)</f>
        <v>40</v>
      </c>
      <c r="M35" s="44">
        <f>K35/L35</f>
        <v>8.0250000000000004</v>
      </c>
      <c r="N35" s="43">
        <f>SUM(N5:N34)</f>
        <v>8</v>
      </c>
      <c r="O35" s="43">
        <f>SUM(O5:O34)</f>
        <v>1</v>
      </c>
      <c r="P35" s="44">
        <f>N35/O35</f>
        <v>8</v>
      </c>
      <c r="Q35" s="43">
        <f>SUM(Q5:Q34)</f>
        <v>854</v>
      </c>
      <c r="R35" s="43">
        <f>SUM(R5:R34)</f>
        <v>167</v>
      </c>
      <c r="S35" s="44">
        <f>Q35/R35</f>
        <v>5.11377245508982</v>
      </c>
      <c r="T35" s="43">
        <f>SUM(T5:T34)</f>
        <v>262</v>
      </c>
      <c r="U35" s="43">
        <f>SUM(U5:U34)</f>
        <v>60</v>
      </c>
      <c r="V35" s="44">
        <f>T35/U35</f>
        <v>4.3666666666666663</v>
      </c>
      <c r="W35" s="43">
        <f>SUM(W5:W34)</f>
        <v>212</v>
      </c>
      <c r="X35" s="43">
        <f>SUM(X5:X34)</f>
        <v>41</v>
      </c>
      <c r="Y35" s="44">
        <f>W35/X35</f>
        <v>5.1707317073170733</v>
      </c>
      <c r="Z35" s="43">
        <f>SUM(Z5:Z34)</f>
        <v>90</v>
      </c>
      <c r="AA35" s="43">
        <f>SUM(AA5:AA34)</f>
        <v>25</v>
      </c>
      <c r="AB35" s="44">
        <f>Z35/AA35</f>
        <v>3.6</v>
      </c>
      <c r="AC35" s="43">
        <f>SUM(AC5:AC34)</f>
        <v>65</v>
      </c>
      <c r="AD35" s="43">
        <f>SUM(AD5:AD34)</f>
        <v>15</v>
      </c>
      <c r="AE35" s="44">
        <f>AC35/AD35</f>
        <v>4.333333333333333</v>
      </c>
      <c r="AF35" s="43">
        <f>SUM(AF5:AF34)</f>
        <v>18</v>
      </c>
      <c r="AG35" s="43">
        <f>SUM(AG5:AG34)</f>
        <v>4</v>
      </c>
      <c r="AH35" s="44">
        <f>AF35/AG35</f>
        <v>4.5</v>
      </c>
      <c r="AI35" s="43">
        <f>SUM(AI5:AI34)</f>
        <v>12</v>
      </c>
      <c r="AJ35" s="43">
        <f>SUM(AJ5:AJ34)</f>
        <v>7</v>
      </c>
      <c r="AK35" s="44">
        <f>AI35/AJ35</f>
        <v>1.7142857142857142</v>
      </c>
      <c r="AL35" s="43">
        <f>SUM(AL5:AL34)</f>
        <v>69</v>
      </c>
      <c r="AM35" s="43">
        <f>SUM(AM5:AM34)</f>
        <v>8</v>
      </c>
      <c r="AN35" s="44">
        <f>AL35/AM35</f>
        <v>8.625</v>
      </c>
      <c r="AO35" s="43">
        <f>SUM(AO5:AO34)</f>
        <v>18</v>
      </c>
      <c r="AP35" s="43">
        <f>SUM(AP5:AP34)</f>
        <v>4</v>
      </c>
      <c r="AQ35" s="44">
        <f>AO35/AP35</f>
        <v>4.5</v>
      </c>
      <c r="AR35" s="43">
        <f>SUM(AR5:AR34)</f>
        <v>63</v>
      </c>
      <c r="AS35" s="43">
        <f>SUM(AS5:AS34)</f>
        <v>8</v>
      </c>
      <c r="AT35" s="44">
        <f>AR35/AS35</f>
        <v>7.875</v>
      </c>
      <c r="AU35" s="43">
        <f>SUM(AU5:AU34)</f>
        <v>670</v>
      </c>
      <c r="AV35" s="43">
        <f>SUM(AV5:AV34)</f>
        <v>98</v>
      </c>
      <c r="AW35" s="44">
        <f>AU35/AV35</f>
        <v>6.8367346938775508</v>
      </c>
      <c r="AX35" s="43">
        <f>SUM(AX5:AX34)</f>
        <v>48</v>
      </c>
      <c r="AY35" s="43">
        <f>SUM(AY5:AY34)</f>
        <v>7</v>
      </c>
      <c r="AZ35" s="44">
        <f>AX35/AY35</f>
        <v>6.8571428571428568</v>
      </c>
      <c r="BA35" s="43">
        <f>SUM(BA5:BA34)</f>
        <v>113</v>
      </c>
      <c r="BB35" s="43">
        <f>SUM(BB5:BB34)</f>
        <v>16</v>
      </c>
      <c r="BC35" s="44">
        <f>BA35/BB35</f>
        <v>7.0625</v>
      </c>
      <c r="BD35" s="43">
        <f>SUM(BD5:BD34)</f>
        <v>55</v>
      </c>
      <c r="BE35" s="43">
        <f>SUM(BE5:BE34)</f>
        <v>8</v>
      </c>
      <c r="BF35" s="44">
        <f>BD35/BE35</f>
        <v>6.875</v>
      </c>
      <c r="BG35" s="43">
        <f>SUM(BG5:BG34)</f>
        <v>0</v>
      </c>
      <c r="BH35" s="43">
        <f>SUM(BH5:BH34)</f>
        <v>0</v>
      </c>
      <c r="BI35" s="140" t="str">
        <f>IF(BH35=0,"-",BG35/BH35)</f>
        <v>-</v>
      </c>
      <c r="BJ35" s="43">
        <f>SUM(BJ5:BJ34)</f>
        <v>588</v>
      </c>
      <c r="BK35" s="43">
        <f>SUM(BK5:BK34)</f>
        <v>106</v>
      </c>
      <c r="BL35" s="44">
        <f>BJ35/BK35</f>
        <v>5.5471698113207548</v>
      </c>
      <c r="BM35" s="43">
        <f>SUM(BM5:BM34)</f>
        <v>0</v>
      </c>
      <c r="BN35" s="43">
        <f>SUM(BN5:BN34)</f>
        <v>0</v>
      </c>
      <c r="BO35" s="140" t="str">
        <f>IF(BN35=0,"-",BM35/BN35)</f>
        <v>-</v>
      </c>
      <c r="BP35" s="43">
        <f>SUM(BP5:BP34)</f>
        <v>0</v>
      </c>
      <c r="BQ35" s="43">
        <f>SUM(BQ5:BQ34)</f>
        <v>0</v>
      </c>
      <c r="BR35" s="140" t="str">
        <f>IF(BQ35=0,"-",BP35/BQ35)</f>
        <v>-</v>
      </c>
      <c r="BS35" s="43">
        <f>SUM(BS5:BS34)</f>
        <v>0</v>
      </c>
      <c r="BT35" s="43">
        <f>SUM(BT5:BT34)</f>
        <v>0</v>
      </c>
      <c r="BU35" s="140" t="str">
        <f>IF(BT35=0,"-",BS35/BT35)</f>
        <v>-</v>
      </c>
      <c r="BV35" s="118">
        <f>SUM(BV5:BV33)</f>
        <v>4621</v>
      </c>
      <c r="BW35" s="145">
        <f t="shared" si="141"/>
        <v>707</v>
      </c>
      <c r="BX35" s="144">
        <f t="shared" si="25"/>
        <v>6.536067892503536</v>
      </c>
    </row>
    <row r="36" spans="1:76" x14ac:dyDescent="0.3">
      <c r="A36" s="1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76" x14ac:dyDescent="0.3">
      <c r="A37" s="1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76" x14ac:dyDescent="0.3">
      <c r="A38" s="1"/>
    </row>
    <row r="39" spans="1:76" x14ac:dyDescent="0.3">
      <c r="A39" s="1"/>
    </row>
    <row r="40" spans="1:76" x14ac:dyDescent="0.3">
      <c r="A40" s="1"/>
    </row>
    <row r="41" spans="1:76" x14ac:dyDescent="0.3">
      <c r="A41" s="1"/>
    </row>
    <row r="42" spans="1:76" x14ac:dyDescent="0.3">
      <c r="A42" s="1"/>
    </row>
    <row r="43" spans="1:76" x14ac:dyDescent="0.3">
      <c r="A43" s="1"/>
    </row>
    <row r="44" spans="1:76" x14ac:dyDescent="0.3">
      <c r="A44" s="1"/>
    </row>
    <row r="45" spans="1:76" x14ac:dyDescent="0.3">
      <c r="A45" s="1"/>
    </row>
    <row r="46" spans="1:76" x14ac:dyDescent="0.3">
      <c r="A46" s="1"/>
    </row>
    <row r="47" spans="1:76" x14ac:dyDescent="0.3">
      <c r="A47" s="1"/>
    </row>
    <row r="48" spans="1:76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246C-F915-4253-96B1-71A476977402}">
  <sheetPr codeName="Sheet17">
    <tabColor rgb="FFFF0000"/>
  </sheetPr>
  <dimension ref="A1:CL40"/>
  <sheetViews>
    <sheetView workbookViewId="0">
      <selection activeCell="H39" sqref="H39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60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'June 2024'!B35</f>
        <v>1053</v>
      </c>
      <c r="C4" s="68"/>
      <c r="D4" s="95" t="s">
        <v>19</v>
      </c>
      <c r="E4" s="93">
        <f>'June 2024'!AU35</f>
        <v>670</v>
      </c>
      <c r="F4" s="68"/>
      <c r="G4" s="87" t="s">
        <v>24</v>
      </c>
      <c r="H4" s="81">
        <f>'June 2024'!BJ35</f>
        <v>588</v>
      </c>
    </row>
    <row r="5" spans="1:90" x14ac:dyDescent="0.3">
      <c r="A5" s="80"/>
      <c r="B5" s="81">
        <f>'June 2024'!C35</f>
        <v>127</v>
      </c>
      <c r="C5" s="68"/>
      <c r="D5" s="85"/>
      <c r="E5" s="81">
        <f>'June 2024'!AV35</f>
        <v>98</v>
      </c>
      <c r="F5" s="68"/>
      <c r="G5" s="87"/>
      <c r="H5" s="81">
        <f>'June 2024'!BK35</f>
        <v>106</v>
      </c>
    </row>
    <row r="6" spans="1:90" x14ac:dyDescent="0.3">
      <c r="A6" s="82"/>
      <c r="B6" s="26">
        <f>'June 2024'!D35</f>
        <v>8.2913385826771648</v>
      </c>
      <c r="C6" s="68"/>
      <c r="D6" s="86"/>
      <c r="E6" s="26">
        <f>'June 2024'!AW35</f>
        <v>6.8367346938775508</v>
      </c>
      <c r="F6" s="68"/>
      <c r="G6" s="88"/>
      <c r="H6" s="26">
        <f>'June 2024'!BL35</f>
        <v>5.5471698113207548</v>
      </c>
    </row>
    <row r="7" spans="1:90" x14ac:dyDescent="0.3">
      <c r="A7" s="80" t="s">
        <v>9</v>
      </c>
      <c r="B7" s="81">
        <f>'June 2024'!E35</f>
        <v>155</v>
      </c>
      <c r="C7" s="68"/>
      <c r="D7" s="85" t="s">
        <v>20</v>
      </c>
      <c r="E7" s="81">
        <f>'June 2024'!AX35</f>
        <v>48</v>
      </c>
      <c r="F7" s="68"/>
      <c r="G7" s="87" t="s">
        <v>25</v>
      </c>
      <c r="H7" s="151">
        <f>'June 2024'!BM35</f>
        <v>0</v>
      </c>
    </row>
    <row r="8" spans="1:90" x14ac:dyDescent="0.3">
      <c r="A8" s="80"/>
      <c r="B8" s="81">
        <f>'June 2024'!F35</f>
        <v>21</v>
      </c>
      <c r="C8" s="68"/>
      <c r="D8" s="85"/>
      <c r="E8" s="81">
        <f>'June 2024'!AY35</f>
        <v>7</v>
      </c>
      <c r="F8" s="68"/>
      <c r="G8" s="87"/>
      <c r="H8" s="151">
        <f>'June 2024'!BN35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'June 2024'!G35</f>
        <v>7.3809523809523814</v>
      </c>
      <c r="C9" s="68"/>
      <c r="D9" s="86"/>
      <c r="E9" s="26">
        <f>'June 2024'!AZ35</f>
        <v>6.8571428571428568</v>
      </c>
      <c r="F9" s="68"/>
      <c r="G9" s="88"/>
      <c r="H9" s="151">
        <f>'June 2024'!BN35</f>
        <v>0</v>
      </c>
    </row>
    <row r="10" spans="1:90" x14ac:dyDescent="0.3">
      <c r="A10" s="80" t="s">
        <v>10</v>
      </c>
      <c r="B10" s="81">
        <f>'June 2024'!H35</f>
        <v>73</v>
      </c>
      <c r="C10" s="68"/>
      <c r="D10" s="85" t="s">
        <v>21</v>
      </c>
      <c r="E10" s="81">
        <f>'June 2024'!BA35</f>
        <v>113</v>
      </c>
      <c r="F10" s="68"/>
      <c r="G10" s="87" t="s">
        <v>26</v>
      </c>
      <c r="H10" s="151">
        <f>'June 2024'!BP35</f>
        <v>0</v>
      </c>
    </row>
    <row r="11" spans="1:90" x14ac:dyDescent="0.3">
      <c r="A11" s="80"/>
      <c r="B11" s="81">
        <f>'June 2024'!I35</f>
        <v>19</v>
      </c>
      <c r="C11" s="68"/>
      <c r="D11" s="85"/>
      <c r="E11" s="81">
        <f>'June 2024'!BB35</f>
        <v>16</v>
      </c>
      <c r="F11" s="68"/>
      <c r="G11" s="87"/>
      <c r="H11" s="81">
        <f>'June 2024'!BQ35</f>
        <v>0</v>
      </c>
    </row>
    <row r="12" spans="1:90" x14ac:dyDescent="0.3">
      <c r="A12" s="82"/>
      <c r="B12" s="26">
        <f>'June 2024'!J35</f>
        <v>3.8421052631578947</v>
      </c>
      <c r="C12" s="68"/>
      <c r="D12" s="86"/>
      <c r="E12" s="26">
        <f>'June 2024'!BC35</f>
        <v>7.0625</v>
      </c>
      <c r="F12" s="68"/>
      <c r="G12" s="88"/>
      <c r="H12" s="26" t="str">
        <f>'June 2024'!BR35</f>
        <v>-</v>
      </c>
    </row>
    <row r="13" spans="1:90" x14ac:dyDescent="0.3">
      <c r="A13" s="80" t="s">
        <v>11</v>
      </c>
      <c r="B13" s="81">
        <f>'June 2024'!Q35</f>
        <v>854</v>
      </c>
      <c r="C13" s="68"/>
      <c r="D13" s="85" t="s">
        <v>22</v>
      </c>
      <c r="E13" s="81">
        <f>'June 2024'!BD35</f>
        <v>55</v>
      </c>
      <c r="F13" s="68"/>
      <c r="G13" s="87" t="s">
        <v>27</v>
      </c>
      <c r="H13" s="81">
        <f>'June 2024'!BS35</f>
        <v>0</v>
      </c>
    </row>
    <row r="14" spans="1:90" x14ac:dyDescent="0.3">
      <c r="A14" s="80"/>
      <c r="B14" s="81">
        <f>'June 2024'!R35</f>
        <v>167</v>
      </c>
      <c r="C14" s="68"/>
      <c r="D14" s="85"/>
      <c r="E14" s="81">
        <f>'June 2024'!BE35</f>
        <v>8</v>
      </c>
      <c r="F14" s="68"/>
      <c r="G14" s="87"/>
      <c r="H14" s="81">
        <f>'June 2024'!BT35</f>
        <v>0</v>
      </c>
    </row>
    <row r="15" spans="1:90" x14ac:dyDescent="0.3">
      <c r="A15" s="82"/>
      <c r="B15" s="26">
        <f>'June 2024'!S35</f>
        <v>5.11377245508982</v>
      </c>
      <c r="C15" s="68"/>
      <c r="D15" s="85"/>
      <c r="E15" s="26">
        <f>'June 2024'!BF35</f>
        <v>6.875</v>
      </c>
      <c r="F15" s="68"/>
      <c r="G15" s="88"/>
      <c r="H15" s="26" t="str">
        <f>'June 2024'!BU35</f>
        <v>-</v>
      </c>
    </row>
    <row r="16" spans="1:90" x14ac:dyDescent="0.3">
      <c r="A16" s="80" t="s">
        <v>44</v>
      </c>
      <c r="B16" s="81">
        <f>'June 2024'!T35</f>
        <v>262</v>
      </c>
      <c r="C16" s="68"/>
      <c r="D16" s="85" t="s">
        <v>45</v>
      </c>
      <c r="E16" s="81">
        <f>'June 2024'!BG35</f>
        <v>0</v>
      </c>
      <c r="F16" s="68"/>
      <c r="G16" s="96" t="s">
        <v>28</v>
      </c>
      <c r="H16" s="97">
        <f>'June 2024'!BV35</f>
        <v>4621</v>
      </c>
    </row>
    <row r="17" spans="1:8" x14ac:dyDescent="0.3">
      <c r="A17" s="80"/>
      <c r="B17" s="81">
        <f>'June 2024'!U35</f>
        <v>60</v>
      </c>
      <c r="C17" s="68"/>
      <c r="D17" s="85"/>
      <c r="E17" s="81">
        <f>'June 2024'!BH35</f>
        <v>0</v>
      </c>
      <c r="F17" s="68"/>
      <c r="G17" s="96"/>
      <c r="H17" s="97">
        <f>'June 2024'!BW35</f>
        <v>707</v>
      </c>
    </row>
    <row r="18" spans="1:8" ht="15" thickBot="1" x14ac:dyDescent="0.35">
      <c r="A18" s="82"/>
      <c r="B18" s="26">
        <f>'June 2024'!V35</f>
        <v>4.3666666666666663</v>
      </c>
      <c r="C18" s="68"/>
      <c r="D18" s="102"/>
      <c r="E18" s="149" t="str">
        <f>'June 2024'!BI35</f>
        <v>-</v>
      </c>
      <c r="F18" s="68"/>
      <c r="G18" s="98"/>
      <c r="H18" s="99">
        <f>H16/H17</f>
        <v>6.536067892503536</v>
      </c>
    </row>
    <row r="19" spans="1:8" x14ac:dyDescent="0.3">
      <c r="A19" s="80" t="s">
        <v>55</v>
      </c>
      <c r="B19" s="81">
        <f>'June 2024'!K35</f>
        <v>321</v>
      </c>
      <c r="C19" s="68"/>
    </row>
    <row r="20" spans="1:8" x14ac:dyDescent="0.3">
      <c r="A20" s="80"/>
      <c r="B20" s="81">
        <f>'June 2024'!L35</f>
        <v>40</v>
      </c>
      <c r="C20" s="68"/>
    </row>
    <row r="21" spans="1:8" x14ac:dyDescent="0.3">
      <c r="A21" s="100"/>
      <c r="B21" s="81">
        <f>'June 2024'!M35</f>
        <v>8.0250000000000004</v>
      </c>
      <c r="C21" s="68"/>
    </row>
    <row r="22" spans="1:8" x14ac:dyDescent="0.3">
      <c r="A22" s="80" t="s">
        <v>46</v>
      </c>
      <c r="B22" s="142">
        <f>'June 2024'!W35</f>
        <v>212</v>
      </c>
      <c r="C22" s="68"/>
      <c r="D22" s="68"/>
      <c r="E22" s="68"/>
    </row>
    <row r="23" spans="1:8" x14ac:dyDescent="0.3">
      <c r="A23" s="80"/>
      <c r="B23" s="142">
        <f>'June 2024'!X35</f>
        <v>41</v>
      </c>
      <c r="C23" s="68"/>
      <c r="D23" s="68"/>
      <c r="E23" s="68"/>
    </row>
    <row r="24" spans="1:8" ht="15" thickBot="1" x14ac:dyDescent="0.35">
      <c r="A24" s="141"/>
      <c r="B24" s="143">
        <f>'June 2024'!Y35</f>
        <v>5.1707317073170733</v>
      </c>
      <c r="C24" s="68"/>
      <c r="D24" s="68"/>
      <c r="E24" s="68"/>
    </row>
    <row r="25" spans="1:8" x14ac:dyDescent="0.3">
      <c r="A25" s="101" t="s">
        <v>14</v>
      </c>
      <c r="B25" s="93">
        <f>'June 2024'!AC35</f>
        <v>65</v>
      </c>
      <c r="C25" s="68"/>
      <c r="D25" s="68"/>
      <c r="E25" s="68"/>
    </row>
    <row r="26" spans="1:8" x14ac:dyDescent="0.3">
      <c r="A26" s="83"/>
      <c r="B26" s="81">
        <f>'June 2024'!AD35</f>
        <v>15</v>
      </c>
      <c r="C26" s="68"/>
      <c r="D26" s="68"/>
      <c r="E26" s="68"/>
    </row>
    <row r="27" spans="1:8" x14ac:dyDescent="0.3">
      <c r="A27" s="84"/>
      <c r="B27" s="26">
        <f>'June 2024'!AE35</f>
        <v>4.333333333333333</v>
      </c>
      <c r="C27" s="68"/>
      <c r="D27" s="68"/>
      <c r="E27" s="68"/>
    </row>
    <row r="28" spans="1:8" x14ac:dyDescent="0.3">
      <c r="A28" s="83" t="s">
        <v>15</v>
      </c>
      <c r="B28" s="81">
        <f>'June 2024'!AF35</f>
        <v>18</v>
      </c>
      <c r="C28" s="68"/>
      <c r="F28" s="68"/>
      <c r="G28" s="68"/>
    </row>
    <row r="29" spans="1:8" x14ac:dyDescent="0.3">
      <c r="A29" s="83"/>
      <c r="B29" s="81">
        <f>'June 2024'!AG35</f>
        <v>4</v>
      </c>
      <c r="C29" s="68"/>
      <c r="F29" s="68"/>
      <c r="G29" s="68"/>
    </row>
    <row r="30" spans="1:8" x14ac:dyDescent="0.3">
      <c r="A30" s="84"/>
      <c r="B30" s="275">
        <f>'June 2024'!AH35</f>
        <v>4.5</v>
      </c>
      <c r="C30" s="68"/>
      <c r="F30" s="68"/>
      <c r="G30" s="68"/>
    </row>
    <row r="31" spans="1:8" x14ac:dyDescent="0.3">
      <c r="A31" s="83" t="s">
        <v>16</v>
      </c>
      <c r="B31" s="81">
        <f>'June 2024'!AI35</f>
        <v>12</v>
      </c>
      <c r="C31" s="68"/>
      <c r="F31" s="68"/>
      <c r="G31" s="68"/>
    </row>
    <row r="32" spans="1:8" x14ac:dyDescent="0.3">
      <c r="A32" s="83"/>
      <c r="B32" s="81">
        <f>'June 2024'!AJ35</f>
        <v>7</v>
      </c>
      <c r="C32" s="68"/>
      <c r="F32" s="68"/>
      <c r="G32" s="68"/>
    </row>
    <row r="33" spans="1:7" x14ac:dyDescent="0.3">
      <c r="A33" s="84"/>
      <c r="B33" s="26">
        <f>'June 2024'!AK35</f>
        <v>1.7142857142857142</v>
      </c>
      <c r="C33" s="68"/>
      <c r="F33" s="68"/>
      <c r="G33" s="68"/>
    </row>
    <row r="34" spans="1:7" x14ac:dyDescent="0.3">
      <c r="A34" s="83" t="s">
        <v>17</v>
      </c>
      <c r="B34" s="81">
        <f>'June 2024'!AL35</f>
        <v>69</v>
      </c>
      <c r="C34" s="68"/>
      <c r="F34" s="68"/>
      <c r="G34" s="68"/>
    </row>
    <row r="35" spans="1:7" x14ac:dyDescent="0.3">
      <c r="A35" s="83"/>
      <c r="B35" s="81">
        <f>'June 2024'!AM35</f>
        <v>8</v>
      </c>
      <c r="C35" s="68"/>
      <c r="F35" s="68"/>
      <c r="G35" s="68"/>
    </row>
    <row r="36" spans="1:7" x14ac:dyDescent="0.3">
      <c r="A36" s="84"/>
      <c r="B36" s="26">
        <f>'June 2024'!AN35</f>
        <v>8.625</v>
      </c>
      <c r="C36" s="68"/>
      <c r="F36" s="68"/>
      <c r="G36" s="68"/>
    </row>
    <row r="37" spans="1:7" x14ac:dyDescent="0.3">
      <c r="A37" s="83" t="s">
        <v>59</v>
      </c>
      <c r="B37" s="81">
        <f>'June 2024'!AO35</f>
        <v>18</v>
      </c>
      <c r="C37" s="68"/>
      <c r="F37" s="68"/>
      <c r="G37" s="68"/>
    </row>
    <row r="38" spans="1:7" x14ac:dyDescent="0.3">
      <c r="A38" s="83"/>
      <c r="B38" s="81">
        <f>'June 2024'!AP35</f>
        <v>4</v>
      </c>
      <c r="C38" s="68"/>
      <c r="F38" s="68"/>
      <c r="G38" s="68"/>
    </row>
    <row r="39" spans="1:7" ht="15" thickBot="1" x14ac:dyDescent="0.35">
      <c r="A39" s="94"/>
      <c r="B39" s="89">
        <f>'June 2024'!AQ35</f>
        <v>4.5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190E-DD76-4C54-B1C8-D065DEBB7D15}">
  <sheetPr codeName="Sheet18"/>
  <dimension ref="A1:BX126"/>
  <sheetViews>
    <sheetView workbookViewId="0">
      <pane xSplit="9" ySplit="11" topLeftCell="BJ32" activePane="bottomRight" state="frozen"/>
      <selection pane="topRight" activeCell="J1" sqref="J1"/>
      <selection pane="bottomLeft" activeCell="A12" sqref="A12"/>
      <selection pane="bottomRight" activeCell="A2" sqref="A2"/>
    </sheetView>
  </sheetViews>
  <sheetFormatPr defaultRowHeight="14.4" x14ac:dyDescent="0.3"/>
  <cols>
    <col min="1" max="1" width="14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customWidth="1"/>
    <col min="25" max="28" width="9.6640625" style="2" customWidth="1"/>
    <col min="29" max="30" width="8.88671875" customWidth="1"/>
    <col min="31" max="31" width="8.88671875" style="2" customWidth="1"/>
    <col min="32" max="33" width="8.88671875" customWidth="1"/>
    <col min="34" max="34" width="8.88671875" style="2" customWidth="1"/>
    <col min="35" max="36" width="8.88671875" customWidth="1"/>
    <col min="37" max="37" width="8.88671875" style="2" customWidth="1"/>
    <col min="38" max="39" width="8.88671875" customWidth="1"/>
    <col min="40" max="40" width="7.33203125" style="2" customWidth="1"/>
    <col min="41" max="41" width="8.33203125" customWidth="1"/>
    <col min="42" max="42" width="9.6640625" customWidth="1"/>
    <col min="43" max="43" width="11.88671875" style="2" customWidth="1"/>
    <col min="44" max="44" width="8.33203125" customWidth="1"/>
    <col min="45" max="45" width="9.6640625" customWidth="1"/>
    <col min="46" max="46" width="11.88671875" style="2" customWidth="1"/>
    <col min="47" max="48" width="8.88671875" customWidth="1"/>
    <col min="49" max="49" width="8.88671875" style="2" customWidth="1"/>
    <col min="50" max="51" width="8.88671875" customWidth="1"/>
    <col min="52" max="52" width="8.88671875" style="2" customWidth="1"/>
    <col min="53" max="54" width="8.88671875" customWidth="1"/>
    <col min="55" max="55" width="8.88671875" style="2" customWidth="1"/>
    <col min="56" max="58" width="8.88671875" customWidth="1"/>
    <col min="59" max="60" width="8.88671875" hidden="1" customWidth="1"/>
    <col min="61" max="61" width="8.88671875" style="2" hidden="1" customWidth="1"/>
    <col min="64" max="64" width="8.88671875" style="2"/>
    <col min="67" max="67" width="8.88671875" style="2"/>
    <col min="70" max="70" width="9.33203125" style="2" customWidth="1"/>
    <col min="73" max="73" width="8.88671875" style="2"/>
    <col min="74" max="74" width="9.109375" style="79" bestFit="1" customWidth="1"/>
    <col min="75" max="75" width="8.88671875" style="79"/>
    <col min="76" max="76" width="8.88671875" style="2"/>
  </cols>
  <sheetData>
    <row r="1" spans="1:76" ht="18.600000000000001" thickBot="1" x14ac:dyDescent="0.4">
      <c r="A1" s="290" t="s">
        <v>65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8"/>
      <c r="AD1" s="68"/>
      <c r="AE1" s="69"/>
      <c r="AF1" s="68"/>
      <c r="AG1" s="68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8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113"/>
      <c r="BW1" s="113"/>
      <c r="BX1" s="69"/>
    </row>
    <row r="2" spans="1:76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7"/>
      <c r="AA2" s="73" t="s">
        <v>2</v>
      </c>
      <c r="AB2" s="74"/>
      <c r="AC2" s="71"/>
      <c r="AD2" s="72" t="s">
        <v>3</v>
      </c>
      <c r="AE2" s="73"/>
      <c r="AF2" s="71"/>
      <c r="AG2" s="72" t="s">
        <v>3</v>
      </c>
      <c r="AH2" s="74"/>
      <c r="AI2" s="72"/>
      <c r="AJ2" s="72" t="s">
        <v>4</v>
      </c>
      <c r="AK2" s="73"/>
      <c r="AL2" s="71"/>
      <c r="AM2" s="72" t="s">
        <v>4</v>
      </c>
      <c r="AN2" s="74"/>
      <c r="AO2" s="72"/>
      <c r="AP2" s="72" t="s">
        <v>4</v>
      </c>
      <c r="AQ2" s="282"/>
      <c r="AR2" s="72"/>
      <c r="AS2" s="72" t="s">
        <v>4</v>
      </c>
      <c r="AT2" s="74"/>
      <c r="AU2" s="108"/>
      <c r="AV2" s="109" t="s">
        <v>5</v>
      </c>
      <c r="AW2" s="110"/>
      <c r="AX2" s="108"/>
      <c r="AY2" s="109" t="s">
        <v>5</v>
      </c>
      <c r="AZ2" s="111"/>
      <c r="BA2" s="109"/>
      <c r="BB2" s="109" t="s">
        <v>5</v>
      </c>
      <c r="BC2" s="110"/>
      <c r="BD2" s="108"/>
      <c r="BE2" s="109" t="s">
        <v>5</v>
      </c>
      <c r="BF2" s="112"/>
      <c r="BG2" s="109"/>
      <c r="BH2" s="109" t="s">
        <v>5</v>
      </c>
      <c r="BI2" s="111"/>
      <c r="BJ2" s="71"/>
      <c r="BK2" s="72" t="s">
        <v>6</v>
      </c>
      <c r="BL2" s="74"/>
      <c r="BM2" s="75"/>
      <c r="BN2" s="75" t="s">
        <v>6</v>
      </c>
      <c r="BO2" s="76"/>
      <c r="BP2" s="71"/>
      <c r="BQ2" s="72" t="s">
        <v>6</v>
      </c>
      <c r="BR2" s="74"/>
      <c r="BS2" s="75"/>
      <c r="BT2" s="75" t="s">
        <v>6</v>
      </c>
      <c r="BU2" s="76"/>
      <c r="BV2" s="114" t="s">
        <v>7</v>
      </c>
      <c r="BW2" s="119"/>
      <c r="BX2" s="74"/>
    </row>
    <row r="3" spans="1:76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11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62</v>
      </c>
      <c r="AA3" s="4"/>
      <c r="AB3" s="33"/>
      <c r="AC3" s="47" t="s">
        <v>14</v>
      </c>
      <c r="AD3" s="47"/>
      <c r="AE3" s="49"/>
      <c r="AF3" s="46" t="s">
        <v>15</v>
      </c>
      <c r="AG3" s="47"/>
      <c r="AH3" s="48"/>
      <c r="AI3" s="47" t="s">
        <v>16</v>
      </c>
      <c r="AJ3" s="47"/>
      <c r="AK3" s="49"/>
      <c r="AL3" s="46" t="s">
        <v>17</v>
      </c>
      <c r="AM3" s="47"/>
      <c r="AN3" s="48"/>
      <c r="AO3" s="47" t="s">
        <v>63</v>
      </c>
      <c r="AP3" s="47"/>
      <c r="AQ3" s="287"/>
      <c r="AR3" s="47" t="s">
        <v>64</v>
      </c>
      <c r="AS3" s="47"/>
      <c r="AT3" s="49"/>
      <c r="AU3" s="9" t="s">
        <v>36</v>
      </c>
      <c r="AV3" s="7"/>
      <c r="AW3" s="29"/>
      <c r="AX3" s="9" t="s">
        <v>37</v>
      </c>
      <c r="AY3" s="7"/>
      <c r="AZ3" s="31"/>
      <c r="BA3" s="7" t="s">
        <v>38</v>
      </c>
      <c r="BB3" s="7"/>
      <c r="BC3" s="29"/>
      <c r="BD3" s="9" t="s">
        <v>39</v>
      </c>
      <c r="BE3" s="7"/>
      <c r="BF3" s="8"/>
      <c r="BG3" s="7" t="s">
        <v>40</v>
      </c>
      <c r="BH3" s="7"/>
      <c r="BI3" s="31"/>
      <c r="BJ3" s="13" t="s">
        <v>24</v>
      </c>
      <c r="BK3" s="14"/>
      <c r="BL3" s="27"/>
      <c r="BM3" s="14" t="s">
        <v>25</v>
      </c>
      <c r="BN3" s="14"/>
      <c r="BO3" s="55"/>
      <c r="BP3" s="13" t="s">
        <v>26</v>
      </c>
      <c r="BQ3" s="14"/>
      <c r="BR3" s="27"/>
      <c r="BS3" s="14" t="s">
        <v>27</v>
      </c>
      <c r="BT3" s="14"/>
      <c r="BU3" s="55"/>
      <c r="BV3" s="115" t="s">
        <v>28</v>
      </c>
      <c r="BW3" s="115"/>
      <c r="BX3" s="24"/>
    </row>
    <row r="4" spans="1:76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129" t="s">
        <v>7</v>
      </c>
      <c r="AA4" s="130" t="s">
        <v>30</v>
      </c>
      <c r="AB4" s="131" t="s">
        <v>31</v>
      </c>
      <c r="AC4" s="51" t="s">
        <v>7</v>
      </c>
      <c r="AD4" s="51" t="s">
        <v>30</v>
      </c>
      <c r="AE4" s="53" t="s">
        <v>31</v>
      </c>
      <c r="AF4" s="50" t="s">
        <v>7</v>
      </c>
      <c r="AG4" s="51" t="s">
        <v>30</v>
      </c>
      <c r="AH4" s="52" t="s">
        <v>31</v>
      </c>
      <c r="AI4" s="51" t="s">
        <v>7</v>
      </c>
      <c r="AJ4" s="51" t="s">
        <v>30</v>
      </c>
      <c r="AK4" s="53" t="s">
        <v>31</v>
      </c>
      <c r="AL4" s="50" t="s">
        <v>7</v>
      </c>
      <c r="AM4" s="51" t="s">
        <v>30</v>
      </c>
      <c r="AN4" s="52" t="s">
        <v>31</v>
      </c>
      <c r="AO4" s="51" t="s">
        <v>7</v>
      </c>
      <c r="AP4" s="51" t="s">
        <v>30</v>
      </c>
      <c r="AQ4" s="288" t="s">
        <v>31</v>
      </c>
      <c r="AR4" s="51" t="s">
        <v>7</v>
      </c>
      <c r="AS4" s="51" t="s">
        <v>30</v>
      </c>
      <c r="AT4" s="53" t="s">
        <v>31</v>
      </c>
      <c r="AU4" s="12" t="s">
        <v>7</v>
      </c>
      <c r="AV4" s="10" t="s">
        <v>30</v>
      </c>
      <c r="AW4" s="30" t="s">
        <v>31</v>
      </c>
      <c r="AX4" s="12" t="s">
        <v>7</v>
      </c>
      <c r="AY4" s="10" t="s">
        <v>30</v>
      </c>
      <c r="AZ4" s="32" t="s">
        <v>31</v>
      </c>
      <c r="BA4" s="10" t="s">
        <v>7</v>
      </c>
      <c r="BB4" s="10" t="s">
        <v>30</v>
      </c>
      <c r="BC4" s="30" t="s">
        <v>31</v>
      </c>
      <c r="BD4" s="12" t="s">
        <v>7</v>
      </c>
      <c r="BE4" s="10" t="s">
        <v>30</v>
      </c>
      <c r="BF4" s="11" t="s">
        <v>31</v>
      </c>
      <c r="BG4" s="10" t="s">
        <v>7</v>
      </c>
      <c r="BH4" s="10" t="s">
        <v>30</v>
      </c>
      <c r="BI4" s="32" t="s">
        <v>31</v>
      </c>
      <c r="BJ4" s="15" t="s">
        <v>7</v>
      </c>
      <c r="BK4" s="16" t="s">
        <v>30</v>
      </c>
      <c r="BL4" s="28" t="s">
        <v>31</v>
      </c>
      <c r="BM4" s="16" t="s">
        <v>7</v>
      </c>
      <c r="BN4" s="16" t="s">
        <v>30</v>
      </c>
      <c r="BO4" s="57" t="s">
        <v>31</v>
      </c>
      <c r="BP4" s="15" t="s">
        <v>7</v>
      </c>
      <c r="BQ4" s="16" t="s">
        <v>30</v>
      </c>
      <c r="BR4" s="28" t="s">
        <v>31</v>
      </c>
      <c r="BS4" s="16" t="s">
        <v>7</v>
      </c>
      <c r="BT4" s="16" t="s">
        <v>30</v>
      </c>
      <c r="BU4" s="57" t="s">
        <v>31</v>
      </c>
      <c r="BV4" s="116" t="s">
        <v>7</v>
      </c>
      <c r="BW4" s="116" t="s">
        <v>30</v>
      </c>
      <c r="BX4" s="146" t="s">
        <v>31</v>
      </c>
    </row>
    <row r="5" spans="1:76" ht="15" thickBot="1" x14ac:dyDescent="0.35">
      <c r="A5" s="294">
        <v>45474</v>
      </c>
      <c r="B5" s="125">
        <v>16</v>
      </c>
      <c r="C5" s="126">
        <v>2</v>
      </c>
      <c r="D5" s="276">
        <f t="shared" ref="D5:D34" si="0">IF(C5=0,"-",B5/C5)</f>
        <v>8</v>
      </c>
      <c r="E5" s="125">
        <v>16</v>
      </c>
      <c r="F5" s="126">
        <v>2</v>
      </c>
      <c r="G5" s="276">
        <f t="shared" ref="G5:G34" si="1">IF(F5=0,"-",E5/F5)</f>
        <v>8</v>
      </c>
      <c r="H5" s="125">
        <v>0</v>
      </c>
      <c r="I5" s="126">
        <v>0</v>
      </c>
      <c r="J5" s="276" t="str">
        <f t="shared" ref="J5:J6" si="2">IF(I5=0,"-",H5/I5)</f>
        <v>-</v>
      </c>
      <c r="K5" s="125">
        <v>8</v>
      </c>
      <c r="L5" s="126">
        <v>1</v>
      </c>
      <c r="M5" s="276">
        <f t="shared" ref="M5:M35" si="3">IF(L5=0,"-",K5/L5)</f>
        <v>8</v>
      </c>
      <c r="N5" s="125">
        <v>0</v>
      </c>
      <c r="O5" s="126">
        <v>0</v>
      </c>
      <c r="P5" s="276" t="str">
        <f t="shared" ref="P5:P28" si="4">IF(O5=0,"-",N5/O5)</f>
        <v>-</v>
      </c>
      <c r="Q5" s="125">
        <v>54</v>
      </c>
      <c r="R5" s="126">
        <v>9</v>
      </c>
      <c r="S5" s="276">
        <f t="shared" ref="S5:S35" si="5">IF(R5=0,"-",Q5/R5)</f>
        <v>6</v>
      </c>
      <c r="T5" s="125">
        <v>0</v>
      </c>
      <c r="U5" s="126">
        <v>0</v>
      </c>
      <c r="V5" s="276" t="str">
        <f t="shared" ref="V5:V35" si="6">IF(U5=0,"-",T5/U5)</f>
        <v>-</v>
      </c>
      <c r="W5" s="125">
        <v>0</v>
      </c>
      <c r="X5" s="126">
        <v>0</v>
      </c>
      <c r="Y5" s="277" t="str">
        <f t="shared" ref="Y5:Y33" si="7">IF(X5=0,"-",W5/X5)</f>
        <v>-</v>
      </c>
      <c r="Z5" s="20">
        <v>0</v>
      </c>
      <c r="AA5" s="21">
        <v>0</v>
      </c>
      <c r="AB5" s="280" t="str">
        <f t="shared" ref="AB5" si="8">IF(AA5=0,"-",Z5/AA5)</f>
        <v>-</v>
      </c>
      <c r="AC5" s="279">
        <v>5</v>
      </c>
      <c r="AD5" s="126">
        <v>1</v>
      </c>
      <c r="AE5" s="276">
        <f t="shared" ref="AE5:AE32" si="9">IF(AD5=0,"-",AC5/AD5)</f>
        <v>5</v>
      </c>
      <c r="AF5" s="125">
        <v>0</v>
      </c>
      <c r="AG5" s="126">
        <v>0</v>
      </c>
      <c r="AH5" s="276" t="str">
        <f t="shared" ref="AH5:AH6" si="10">IF(AG5=0,"-",AF5/AG5)</f>
        <v>-</v>
      </c>
      <c r="AI5" s="125">
        <v>7</v>
      </c>
      <c r="AJ5" s="126">
        <v>1</v>
      </c>
      <c r="AK5" s="276">
        <f t="shared" ref="AK5:AK21" si="11">IF(AJ5=0,"-",AI5/AJ5)</f>
        <v>7</v>
      </c>
      <c r="AL5" s="125">
        <v>0</v>
      </c>
      <c r="AM5" s="126">
        <v>0</v>
      </c>
      <c r="AN5" s="276" t="str">
        <f t="shared" ref="AN5:AN21" si="12">IF(AM5=0,"-",AL5/AM5)</f>
        <v>-</v>
      </c>
      <c r="AO5" s="125">
        <v>0</v>
      </c>
      <c r="AP5" s="126">
        <v>0</v>
      </c>
      <c r="AQ5" s="276" t="str">
        <f t="shared" ref="AQ5:AQ32" si="13">IF(AP5=0,"-",AO5/AP5)</f>
        <v>-</v>
      </c>
      <c r="AR5" s="125">
        <v>0</v>
      </c>
      <c r="AS5" s="126">
        <v>0</v>
      </c>
      <c r="AT5" s="276" t="str">
        <f t="shared" ref="AT5:AT20" si="14">IF(AS5=0,"-",AR5/AS5)</f>
        <v>-</v>
      </c>
      <c r="AU5" s="125">
        <v>38</v>
      </c>
      <c r="AV5" s="126">
        <v>6</v>
      </c>
      <c r="AW5" s="276">
        <f t="shared" ref="AW5:AW34" si="15">IF(AV5=0,"-",AU5/AV5)</f>
        <v>6.333333333333333</v>
      </c>
      <c r="AX5" s="125">
        <v>0</v>
      </c>
      <c r="AY5" s="126">
        <v>0</v>
      </c>
      <c r="AZ5" s="276" t="str">
        <f t="shared" ref="AZ5:AZ27" si="16">IF(AY5=0,"-",AX5/AY5)</f>
        <v>-</v>
      </c>
      <c r="BA5" s="125">
        <v>7</v>
      </c>
      <c r="BB5" s="126">
        <v>1</v>
      </c>
      <c r="BC5" s="276">
        <f t="shared" ref="BC5:BC34" si="17">IF(BB5=0,"-",BA5/BB5)</f>
        <v>7</v>
      </c>
      <c r="BD5" s="125">
        <v>0</v>
      </c>
      <c r="BE5" s="126">
        <v>0</v>
      </c>
      <c r="BF5" s="276" t="str">
        <f t="shared" ref="BF5:BF34" si="18">IF(BE5=0,"-",BD5/BE5)</f>
        <v>-</v>
      </c>
      <c r="BG5" s="125">
        <v>0</v>
      </c>
      <c r="BH5" s="126">
        <v>0</v>
      </c>
      <c r="BI5" s="276" t="str">
        <f t="shared" ref="BI5:BI34" si="19">IF(BH5=0,"-",BG5/BH5)</f>
        <v>-</v>
      </c>
      <c r="BJ5" s="125">
        <v>7</v>
      </c>
      <c r="BK5" s="126">
        <v>1</v>
      </c>
      <c r="BL5" s="276">
        <f t="shared" ref="BL5:BL34" si="20">IF(BK5=0,"-",BJ5/BK5)</f>
        <v>7</v>
      </c>
      <c r="BM5" s="125">
        <v>0</v>
      </c>
      <c r="BN5" s="126">
        <v>0</v>
      </c>
      <c r="BO5" s="276" t="str">
        <f t="shared" ref="BO5:BO22" si="21">IF(BN5=0,"-",BM5/BN5)</f>
        <v>-</v>
      </c>
      <c r="BP5" s="125">
        <v>0</v>
      </c>
      <c r="BQ5" s="126">
        <v>0</v>
      </c>
      <c r="BR5" s="276" t="str">
        <f t="shared" ref="BR5:BR22" si="22">IF(BQ5=0,"-",BP5/BQ5)</f>
        <v>-</v>
      </c>
      <c r="BS5" s="125">
        <v>0</v>
      </c>
      <c r="BT5" s="126">
        <v>0</v>
      </c>
      <c r="BU5" s="276" t="str">
        <f t="shared" ref="BU5:BU22" si="23">IF(BT5=0,"-",BS5/BT5)</f>
        <v>-</v>
      </c>
      <c r="BV5" s="117">
        <f>B5+E5+K5+Q5+T5+W5+Z5+AC5+AF5+AI5+AL5+AO5+AR5+AU5+AX5+BA5+BD5+BJ5+BM5+BP5+BS5</f>
        <v>158</v>
      </c>
      <c r="BW5" s="120">
        <f t="shared" ref="BW5:BW8" si="24">BT5+BQ5+BN5+BK5+BH5+BE5+BB5+AY5+AV5+L5+U5+R5+I5+F5+AP5+AM5+AJ5+AG5+AD5+C5</f>
        <v>24</v>
      </c>
      <c r="BX5" s="147">
        <f t="shared" ref="BX5:BX36" si="25">IF(BW5=0,"",BV5/BW5)</f>
        <v>6.583333333333333</v>
      </c>
    </row>
    <row r="6" spans="1:76" ht="15" thickBot="1" x14ac:dyDescent="0.35">
      <c r="A6" s="294">
        <v>45475</v>
      </c>
      <c r="B6" s="20">
        <v>41</v>
      </c>
      <c r="C6" s="21">
        <v>5</v>
      </c>
      <c r="D6" s="139">
        <f t="shared" si="0"/>
        <v>8.1999999999999993</v>
      </c>
      <c r="E6" s="20">
        <v>8</v>
      </c>
      <c r="F6" s="21">
        <v>1</v>
      </c>
      <c r="G6" s="139">
        <f t="shared" si="1"/>
        <v>8</v>
      </c>
      <c r="H6" s="20">
        <v>0</v>
      </c>
      <c r="I6" s="21">
        <v>0</v>
      </c>
      <c r="J6" s="139" t="str">
        <f t="shared" si="2"/>
        <v>-</v>
      </c>
      <c r="K6" s="20">
        <v>9</v>
      </c>
      <c r="L6" s="21">
        <v>1</v>
      </c>
      <c r="M6" s="139">
        <f t="shared" si="3"/>
        <v>9</v>
      </c>
      <c r="N6" s="20">
        <v>0</v>
      </c>
      <c r="O6" s="21">
        <v>0</v>
      </c>
      <c r="P6" s="139" t="str">
        <f t="shared" si="4"/>
        <v>-</v>
      </c>
      <c r="Q6" s="20">
        <v>72</v>
      </c>
      <c r="R6" s="21">
        <v>11</v>
      </c>
      <c r="S6" s="139">
        <f t="shared" si="5"/>
        <v>6.5454545454545459</v>
      </c>
      <c r="T6" s="20">
        <v>0</v>
      </c>
      <c r="U6" s="21">
        <v>0</v>
      </c>
      <c r="V6" s="139" t="str">
        <f t="shared" si="6"/>
        <v>-</v>
      </c>
      <c r="W6" s="20">
        <v>6</v>
      </c>
      <c r="X6" s="21">
        <v>1</v>
      </c>
      <c r="Y6" s="278">
        <f t="shared" si="7"/>
        <v>6</v>
      </c>
      <c r="Z6" s="20">
        <v>0</v>
      </c>
      <c r="AA6" s="21">
        <v>0</v>
      </c>
      <c r="AB6" s="280" t="str">
        <f t="shared" ref="AB6:AB34" si="26">IF(AA6=0,"-",Z6/AA6)</f>
        <v>-</v>
      </c>
      <c r="AC6" s="23">
        <v>3</v>
      </c>
      <c r="AD6" s="21">
        <v>1</v>
      </c>
      <c r="AE6" s="139">
        <f t="shared" si="9"/>
        <v>3</v>
      </c>
      <c r="AF6" s="20">
        <v>0</v>
      </c>
      <c r="AG6" s="21">
        <v>0</v>
      </c>
      <c r="AH6" s="139" t="str">
        <f t="shared" si="10"/>
        <v>-</v>
      </c>
      <c r="AI6" s="20">
        <v>7</v>
      </c>
      <c r="AJ6" s="21">
        <v>1</v>
      </c>
      <c r="AK6" s="139">
        <f t="shared" si="11"/>
        <v>7</v>
      </c>
      <c r="AL6" s="20">
        <v>0</v>
      </c>
      <c r="AM6" s="21">
        <v>0</v>
      </c>
      <c r="AN6" s="276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48</v>
      </c>
      <c r="AV6" s="21">
        <v>8</v>
      </c>
      <c r="AW6" s="139">
        <f t="shared" si="15"/>
        <v>6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7</v>
      </c>
      <c r="BK6" s="21">
        <v>1</v>
      </c>
      <c r="BL6" s="139">
        <f t="shared" si="20"/>
        <v>7</v>
      </c>
      <c r="BM6" s="20">
        <v>0</v>
      </c>
      <c r="BN6" s="21">
        <v>0</v>
      </c>
      <c r="BO6" s="139" t="str">
        <f t="shared" si="21"/>
        <v>-</v>
      </c>
      <c r="BP6" s="20">
        <v>0</v>
      </c>
      <c r="BQ6" s="21">
        <v>0</v>
      </c>
      <c r="BR6" s="139" t="str">
        <f t="shared" si="22"/>
        <v>-</v>
      </c>
      <c r="BS6" s="20">
        <v>0</v>
      </c>
      <c r="BT6" s="21">
        <v>0</v>
      </c>
      <c r="BU6" s="139" t="str">
        <f t="shared" si="23"/>
        <v>-</v>
      </c>
      <c r="BV6" s="117">
        <f t="shared" ref="BV6:BV35" si="27">B6+E6+K6+Q6+T6+W6+Z6+AC6+AF6+AI6+AL6+AO6+AR6+AU6+AX6+BA6+BD6+BJ6+BM6+BP6+BS6</f>
        <v>201</v>
      </c>
      <c r="BW6" s="120">
        <f t="shared" si="24"/>
        <v>29</v>
      </c>
      <c r="BX6" s="147">
        <f t="shared" si="25"/>
        <v>6.931034482758621</v>
      </c>
    </row>
    <row r="7" spans="1:76" ht="15" thickBot="1" x14ac:dyDescent="0.35">
      <c r="A7" s="294">
        <v>45476</v>
      </c>
      <c r="B7" s="20">
        <v>58</v>
      </c>
      <c r="C7" s="21">
        <v>7</v>
      </c>
      <c r="D7" s="139">
        <f t="shared" si="0"/>
        <v>8.2857142857142865</v>
      </c>
      <c r="E7" s="23">
        <v>8</v>
      </c>
      <c r="F7" s="21">
        <v>1</v>
      </c>
      <c r="G7" s="139">
        <f t="shared" si="1"/>
        <v>8</v>
      </c>
      <c r="H7" s="20">
        <v>0</v>
      </c>
      <c r="I7" s="21">
        <v>0</v>
      </c>
      <c r="J7" s="139" t="str">
        <f>IF(I7=0,"-",H7/I7)</f>
        <v>-</v>
      </c>
      <c r="K7" s="20">
        <v>9</v>
      </c>
      <c r="L7" s="21">
        <v>1</v>
      </c>
      <c r="M7" s="139">
        <f t="shared" si="3"/>
        <v>9</v>
      </c>
      <c r="N7" s="20">
        <v>0</v>
      </c>
      <c r="O7" s="21">
        <v>0</v>
      </c>
      <c r="P7" s="139" t="str">
        <f t="shared" si="4"/>
        <v>-</v>
      </c>
      <c r="Q7" s="20">
        <v>41</v>
      </c>
      <c r="R7" s="21">
        <v>7</v>
      </c>
      <c r="S7" s="139">
        <f t="shared" si="5"/>
        <v>5.8571428571428568</v>
      </c>
      <c r="T7" s="20">
        <v>0</v>
      </c>
      <c r="U7" s="21">
        <v>0</v>
      </c>
      <c r="V7" s="139" t="str">
        <f t="shared" si="6"/>
        <v>-</v>
      </c>
      <c r="W7" s="20">
        <v>6</v>
      </c>
      <c r="X7" s="21">
        <v>1</v>
      </c>
      <c r="Y7" s="278">
        <f t="shared" si="7"/>
        <v>6</v>
      </c>
      <c r="Z7" s="20">
        <v>0</v>
      </c>
      <c r="AA7" s="21">
        <v>0</v>
      </c>
      <c r="AB7" s="280" t="str">
        <f t="shared" si="26"/>
        <v>-</v>
      </c>
      <c r="AC7" s="23">
        <v>1</v>
      </c>
      <c r="AD7" s="21">
        <v>1</v>
      </c>
      <c r="AE7" s="139">
        <f t="shared" si="9"/>
        <v>1</v>
      </c>
      <c r="AF7" s="20">
        <v>0</v>
      </c>
      <c r="AG7" s="21">
        <v>0</v>
      </c>
      <c r="AH7" s="139" t="str">
        <f>IF(AG7=0,"-",AF7/AG7)</f>
        <v>-</v>
      </c>
      <c r="AI7" s="20">
        <v>0</v>
      </c>
      <c r="AJ7" s="21">
        <v>0</v>
      </c>
      <c r="AK7" s="139" t="str">
        <f t="shared" si="11"/>
        <v>-</v>
      </c>
      <c r="AL7" s="20">
        <v>0</v>
      </c>
      <c r="AM7" s="21">
        <v>0</v>
      </c>
      <c r="AN7" s="276" t="str">
        <f t="shared" si="12"/>
        <v>-</v>
      </c>
      <c r="AO7" s="20">
        <v>0</v>
      </c>
      <c r="AP7" s="21">
        <v>0</v>
      </c>
      <c r="AQ7" s="139" t="str">
        <f t="shared" si="13"/>
        <v>-</v>
      </c>
      <c r="AR7" s="20">
        <v>1</v>
      </c>
      <c r="AS7" s="21">
        <v>1</v>
      </c>
      <c r="AT7" s="139">
        <f t="shared" si="14"/>
        <v>1</v>
      </c>
      <c r="AU7" s="252">
        <v>7</v>
      </c>
      <c r="AV7" s="253">
        <v>1</v>
      </c>
      <c r="AW7" s="139">
        <f t="shared" si="15"/>
        <v>7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56">
        <v>0</v>
      </c>
      <c r="BE7" s="253">
        <v>0</v>
      </c>
      <c r="BF7" s="139" t="str">
        <f t="shared" si="18"/>
        <v>-</v>
      </c>
      <c r="BG7" s="20">
        <v>0</v>
      </c>
      <c r="BH7" s="21">
        <v>0</v>
      </c>
      <c r="BI7" s="139" t="str">
        <f t="shared" si="19"/>
        <v>-</v>
      </c>
      <c r="BJ7" s="20">
        <v>0</v>
      </c>
      <c r="BK7" s="21">
        <v>0</v>
      </c>
      <c r="BL7" s="139">
        <v>0</v>
      </c>
      <c r="BM7" s="20">
        <v>0</v>
      </c>
      <c r="BN7" s="21">
        <v>0</v>
      </c>
      <c r="BO7" s="139" t="str">
        <f t="shared" si="21"/>
        <v>-</v>
      </c>
      <c r="BP7" s="20">
        <v>0</v>
      </c>
      <c r="BQ7" s="21">
        <v>0</v>
      </c>
      <c r="BR7" s="139" t="str">
        <f t="shared" si="22"/>
        <v>-</v>
      </c>
      <c r="BS7" s="20">
        <v>0</v>
      </c>
      <c r="BT7" s="21">
        <v>0</v>
      </c>
      <c r="BU7" s="139" t="str">
        <f t="shared" si="23"/>
        <v>-</v>
      </c>
      <c r="BV7" s="117">
        <f t="shared" si="27"/>
        <v>131</v>
      </c>
      <c r="BW7" s="120">
        <f t="shared" si="24"/>
        <v>18</v>
      </c>
      <c r="BX7" s="147">
        <f t="shared" si="25"/>
        <v>7.2777777777777777</v>
      </c>
    </row>
    <row r="8" spans="1:76" ht="15" thickBot="1" x14ac:dyDescent="0.35">
      <c r="A8" s="294">
        <v>45477</v>
      </c>
      <c r="B8" s="20">
        <v>17</v>
      </c>
      <c r="C8" s="21">
        <v>2</v>
      </c>
      <c r="D8" s="139">
        <f t="shared" si="0"/>
        <v>8.5</v>
      </c>
      <c r="E8" s="23">
        <v>0</v>
      </c>
      <c r="F8" s="21">
        <v>0</v>
      </c>
      <c r="G8" s="139">
        <v>0</v>
      </c>
      <c r="H8" s="20">
        <v>0</v>
      </c>
      <c r="I8" s="21">
        <v>0</v>
      </c>
      <c r="J8" s="139" t="str">
        <f t="shared" ref="J8:J29" si="28">IF(I8=0,"-",H8/I8)</f>
        <v>-</v>
      </c>
      <c r="K8" s="20">
        <v>31</v>
      </c>
      <c r="L8" s="21">
        <v>4</v>
      </c>
      <c r="M8" s="139">
        <f t="shared" si="3"/>
        <v>7.75</v>
      </c>
      <c r="N8" s="20">
        <v>0</v>
      </c>
      <c r="O8" s="21">
        <v>0</v>
      </c>
      <c r="P8" s="139" t="str">
        <f t="shared" si="4"/>
        <v>-</v>
      </c>
      <c r="Q8" s="20">
        <v>51</v>
      </c>
      <c r="R8" s="21">
        <v>9</v>
      </c>
      <c r="S8" s="139">
        <f t="shared" si="5"/>
        <v>5.666666666666667</v>
      </c>
      <c r="T8" s="20">
        <v>0</v>
      </c>
      <c r="U8" s="21">
        <v>0</v>
      </c>
      <c r="V8" s="139" t="str">
        <f t="shared" si="6"/>
        <v>-</v>
      </c>
      <c r="W8" s="20">
        <v>0</v>
      </c>
      <c r="X8" s="21">
        <v>0</v>
      </c>
      <c r="Y8" s="278" t="str">
        <f t="shared" si="7"/>
        <v>-</v>
      </c>
      <c r="Z8" s="20">
        <v>0</v>
      </c>
      <c r="AA8" s="21">
        <v>0</v>
      </c>
      <c r="AB8" s="280" t="str">
        <f t="shared" si="26"/>
        <v>-</v>
      </c>
      <c r="AC8" s="23">
        <v>8</v>
      </c>
      <c r="AD8" s="21">
        <v>1</v>
      </c>
      <c r="AE8" s="139">
        <f t="shared" si="9"/>
        <v>8</v>
      </c>
      <c r="AF8" s="20">
        <v>0</v>
      </c>
      <c r="AG8" s="21">
        <v>0</v>
      </c>
      <c r="AH8" s="139" t="str">
        <f t="shared" ref="AH8:AH21" si="29">IF(AG8=0,"-",AF8/AG8)</f>
        <v>-</v>
      </c>
      <c r="AI8" s="20">
        <v>1</v>
      </c>
      <c r="AJ8" s="21">
        <v>1</v>
      </c>
      <c r="AK8" s="139">
        <f t="shared" si="11"/>
        <v>1</v>
      </c>
      <c r="AL8" s="20">
        <v>0</v>
      </c>
      <c r="AM8" s="21">
        <v>0</v>
      </c>
      <c r="AN8" s="139" t="str">
        <f t="shared" si="12"/>
        <v>-</v>
      </c>
      <c r="AO8" s="20">
        <v>0</v>
      </c>
      <c r="AP8" s="21">
        <v>0</v>
      </c>
      <c r="AQ8" s="139" t="str">
        <f t="shared" si="13"/>
        <v>-</v>
      </c>
      <c r="AR8" s="20">
        <v>0</v>
      </c>
      <c r="AS8" s="21">
        <v>0</v>
      </c>
      <c r="AT8" s="139" t="str">
        <f t="shared" si="14"/>
        <v>-</v>
      </c>
      <c r="AU8" s="252">
        <v>13</v>
      </c>
      <c r="AV8" s="253">
        <v>2</v>
      </c>
      <c r="AW8" s="139">
        <f t="shared" si="15"/>
        <v>6.5</v>
      </c>
      <c r="AX8" s="20">
        <v>9</v>
      </c>
      <c r="AY8" s="21">
        <v>1</v>
      </c>
      <c r="AZ8" s="139">
        <f t="shared" si="16"/>
        <v>9</v>
      </c>
      <c r="BA8" s="20">
        <v>0</v>
      </c>
      <c r="BB8" s="21">
        <v>0</v>
      </c>
      <c r="BC8" s="139" t="str">
        <f t="shared" si="17"/>
        <v>-</v>
      </c>
      <c r="BD8" s="256">
        <v>0</v>
      </c>
      <c r="BE8" s="253">
        <v>0</v>
      </c>
      <c r="BF8" s="139" t="str">
        <f t="shared" si="18"/>
        <v>-</v>
      </c>
      <c r="BG8" s="20">
        <v>0</v>
      </c>
      <c r="BH8" s="21">
        <v>0</v>
      </c>
      <c r="BI8" s="139" t="str">
        <f t="shared" si="19"/>
        <v>-</v>
      </c>
      <c r="BJ8" s="20">
        <v>0</v>
      </c>
      <c r="BK8" s="21">
        <v>0</v>
      </c>
      <c r="BL8" s="139" t="str">
        <f t="shared" si="20"/>
        <v>-</v>
      </c>
      <c r="BM8" s="20">
        <v>0</v>
      </c>
      <c r="BN8" s="21">
        <v>0</v>
      </c>
      <c r="BO8" s="139" t="str">
        <f t="shared" si="21"/>
        <v>-</v>
      </c>
      <c r="BP8" s="20">
        <v>0</v>
      </c>
      <c r="BQ8" s="21">
        <v>0</v>
      </c>
      <c r="BR8" s="139" t="str">
        <f t="shared" si="22"/>
        <v>-</v>
      </c>
      <c r="BS8" s="20">
        <v>0</v>
      </c>
      <c r="BT8" s="21">
        <v>0</v>
      </c>
      <c r="BU8" s="139" t="str">
        <f t="shared" si="23"/>
        <v>-</v>
      </c>
      <c r="BV8" s="117">
        <f t="shared" si="27"/>
        <v>130</v>
      </c>
      <c r="BW8" s="120">
        <f t="shared" si="24"/>
        <v>20</v>
      </c>
      <c r="BX8" s="147">
        <f t="shared" si="25"/>
        <v>6.5</v>
      </c>
    </row>
    <row r="9" spans="1:76" ht="15" thickBot="1" x14ac:dyDescent="0.35">
      <c r="A9" s="294">
        <v>45478</v>
      </c>
      <c r="B9" s="20">
        <v>8</v>
      </c>
      <c r="C9" s="21">
        <v>1</v>
      </c>
      <c r="D9" s="139">
        <f t="shared" si="0"/>
        <v>8</v>
      </c>
      <c r="E9" s="23">
        <v>8</v>
      </c>
      <c r="F9" s="21">
        <v>1</v>
      </c>
      <c r="G9" s="139">
        <f t="shared" ref="G9:G11" si="30">IF(F9=0,"-",E9/F9)</f>
        <v>8</v>
      </c>
      <c r="H9" s="20">
        <v>0</v>
      </c>
      <c r="I9" s="21">
        <v>0</v>
      </c>
      <c r="J9" s="139" t="str">
        <f t="shared" si="28"/>
        <v>-</v>
      </c>
      <c r="K9" s="20">
        <v>8</v>
      </c>
      <c r="L9" s="21">
        <v>1</v>
      </c>
      <c r="M9" s="139">
        <f t="shared" si="3"/>
        <v>8</v>
      </c>
      <c r="N9" s="20">
        <v>0</v>
      </c>
      <c r="O9" s="21">
        <v>0</v>
      </c>
      <c r="P9" s="139" t="str">
        <f t="shared" si="4"/>
        <v>-</v>
      </c>
      <c r="Q9" s="20">
        <v>12</v>
      </c>
      <c r="R9" s="21">
        <v>2</v>
      </c>
      <c r="S9" s="139">
        <f t="shared" si="5"/>
        <v>6</v>
      </c>
      <c r="T9" s="20">
        <v>0</v>
      </c>
      <c r="U9" s="21">
        <v>0</v>
      </c>
      <c r="V9" s="139" t="str">
        <f t="shared" ref="V9:V11" si="31">IF(U9=0,"-",T9/U9)</f>
        <v>-</v>
      </c>
      <c r="W9" s="20">
        <v>0</v>
      </c>
      <c r="X9" s="21">
        <v>0</v>
      </c>
      <c r="Y9" s="278" t="str">
        <f t="shared" ref="Y9:Y11" si="32">IF(X9=0,"-",W9/X9)</f>
        <v>-</v>
      </c>
      <c r="Z9" s="20">
        <v>0</v>
      </c>
      <c r="AA9" s="21">
        <v>0</v>
      </c>
      <c r="AB9" s="280" t="str">
        <f t="shared" si="26"/>
        <v>-</v>
      </c>
      <c r="AC9" s="20">
        <v>0</v>
      </c>
      <c r="AD9" s="21">
        <v>0</v>
      </c>
      <c r="AE9" s="280" t="str">
        <f>IF(AD9=0,"-",AC9/AD9)</f>
        <v>-</v>
      </c>
      <c r="AF9" s="20">
        <v>0</v>
      </c>
      <c r="AG9" s="21">
        <v>0</v>
      </c>
      <c r="AH9" s="280" t="str">
        <f>IF(AG9=0,"-",AF9/AG9)</f>
        <v>-</v>
      </c>
      <c r="AI9" s="20">
        <v>0</v>
      </c>
      <c r="AJ9" s="21">
        <v>0</v>
      </c>
      <c r="AK9" s="280" t="str">
        <f>IF(AJ9=0,"-",AI9/AJ9)</f>
        <v>-</v>
      </c>
      <c r="AL9" s="20">
        <v>0</v>
      </c>
      <c r="AM9" s="21">
        <v>0</v>
      </c>
      <c r="AN9" s="280" t="str">
        <f>IF(AM9=0,"-",AL9/AM9)</f>
        <v>-</v>
      </c>
      <c r="AO9" s="20">
        <v>0</v>
      </c>
      <c r="AP9" s="21">
        <v>0</v>
      </c>
      <c r="AQ9" s="280" t="str">
        <f>IF(AP9=0,"-",AO9/AP9)</f>
        <v>-</v>
      </c>
      <c r="AR9" s="20">
        <v>0</v>
      </c>
      <c r="AS9" s="21">
        <v>0</v>
      </c>
      <c r="AT9" s="280" t="str">
        <f>IF(AS9=0,"-",AR9/AS9)</f>
        <v>-</v>
      </c>
      <c r="AU9" s="252">
        <v>20</v>
      </c>
      <c r="AV9" s="253">
        <v>3</v>
      </c>
      <c r="AW9" s="139">
        <f>IF(AV9=0,"-",AU9/AV9)</f>
        <v>6.666666666666667</v>
      </c>
      <c r="AX9" s="20">
        <v>0</v>
      </c>
      <c r="AY9" s="21">
        <v>0</v>
      </c>
      <c r="AZ9" s="139" t="str">
        <f t="shared" si="16"/>
        <v>-</v>
      </c>
      <c r="BA9" s="20">
        <v>0</v>
      </c>
      <c r="BB9" s="21">
        <v>0</v>
      </c>
      <c r="BC9" s="139" t="str">
        <f>IF(BB9=0,"-",BA9/BB9)</f>
        <v>-</v>
      </c>
      <c r="BD9" s="256">
        <v>0</v>
      </c>
      <c r="BE9" s="253">
        <v>0</v>
      </c>
      <c r="BF9" s="139" t="str">
        <f t="shared" ref="BF9:BF10" si="33">IF(BE9=0,"-",BD9/BE9)</f>
        <v>-</v>
      </c>
      <c r="BG9" s="20">
        <v>0</v>
      </c>
      <c r="BH9" s="21">
        <v>0</v>
      </c>
      <c r="BI9" s="139" t="str">
        <f t="shared" ref="BI9:BI11" si="34">IF(BH9=0,"-",BG9/BH9)</f>
        <v>-</v>
      </c>
      <c r="BJ9" s="20">
        <v>5</v>
      </c>
      <c r="BK9" s="21">
        <v>1</v>
      </c>
      <c r="BL9" s="139">
        <f t="shared" si="20"/>
        <v>5</v>
      </c>
      <c r="BM9" s="20">
        <v>0</v>
      </c>
      <c r="BN9" s="21">
        <v>0</v>
      </c>
      <c r="BO9" s="139" t="str">
        <f t="shared" ref="BO9:BO11" si="35">IF(BN9=0,"-",BM9/BN9)</f>
        <v>-</v>
      </c>
      <c r="BP9" s="20">
        <v>0</v>
      </c>
      <c r="BQ9" s="21">
        <v>0</v>
      </c>
      <c r="BR9" s="139" t="str">
        <f t="shared" ref="BR9:BR11" si="36">IF(BQ9=0,"-",BP9/BQ9)</f>
        <v>-</v>
      </c>
      <c r="BS9" s="20">
        <v>0</v>
      </c>
      <c r="BT9" s="21">
        <v>0</v>
      </c>
      <c r="BU9" s="139" t="str">
        <f t="shared" ref="BU9:BU11" si="37">IF(BT9=0,"-",BS9/BT9)</f>
        <v>-</v>
      </c>
      <c r="BV9" s="117">
        <f t="shared" si="27"/>
        <v>61</v>
      </c>
      <c r="BW9" s="120">
        <f>BT9+BQ9+BN9+BK9+BH9+BE9+BB9+AY9+AV9+L9+U9+R9+I9+F9+AP9+AM9+AJ9+AG9+AD9+C9</f>
        <v>9</v>
      </c>
      <c r="BX9" s="147">
        <f t="shared" si="25"/>
        <v>6.7777777777777777</v>
      </c>
    </row>
    <row r="10" spans="1:76" ht="15" thickBot="1" x14ac:dyDescent="0.35">
      <c r="A10" s="294">
        <v>45479</v>
      </c>
      <c r="B10" s="20">
        <v>0</v>
      </c>
      <c r="C10" s="21">
        <v>0</v>
      </c>
      <c r="D10" s="139" t="str">
        <f t="shared" si="0"/>
        <v>-</v>
      </c>
      <c r="E10" s="23">
        <v>0</v>
      </c>
      <c r="F10" s="21">
        <v>0</v>
      </c>
      <c r="G10" s="139" t="str">
        <f t="shared" si="30"/>
        <v>-</v>
      </c>
      <c r="H10" s="20">
        <v>0</v>
      </c>
      <c r="I10" s="21">
        <v>0</v>
      </c>
      <c r="J10" s="139" t="str">
        <f t="shared" si="28"/>
        <v>-</v>
      </c>
      <c r="K10" s="20">
        <v>0</v>
      </c>
      <c r="L10" s="21">
        <v>0</v>
      </c>
      <c r="M10" s="139" t="str">
        <f t="shared" si="3"/>
        <v>-</v>
      </c>
      <c r="N10" s="20">
        <v>0</v>
      </c>
      <c r="O10" s="21">
        <v>0</v>
      </c>
      <c r="P10" s="139" t="str">
        <f t="shared" si="4"/>
        <v>-</v>
      </c>
      <c r="Q10" s="20">
        <v>0</v>
      </c>
      <c r="R10" s="21">
        <v>0</v>
      </c>
      <c r="S10" s="139" t="str">
        <f t="shared" si="5"/>
        <v>-</v>
      </c>
      <c r="T10" s="20">
        <v>0</v>
      </c>
      <c r="U10" s="21">
        <v>0</v>
      </c>
      <c r="V10" s="139" t="str">
        <f t="shared" si="31"/>
        <v>-</v>
      </c>
      <c r="W10" s="20">
        <v>0</v>
      </c>
      <c r="X10" s="21">
        <v>0</v>
      </c>
      <c r="Y10" s="278" t="str">
        <f t="shared" si="32"/>
        <v>-</v>
      </c>
      <c r="Z10" s="20">
        <v>0</v>
      </c>
      <c r="AA10" s="21">
        <v>0</v>
      </c>
      <c r="AB10" s="280" t="str">
        <f t="shared" si="26"/>
        <v>-</v>
      </c>
      <c r="AC10" s="20">
        <v>0</v>
      </c>
      <c r="AD10" s="21">
        <v>0</v>
      </c>
      <c r="AE10" s="280" t="str">
        <f>IF(AD10=0,"-",AC10/AD10)</f>
        <v>-</v>
      </c>
      <c r="AF10" s="20">
        <v>0</v>
      </c>
      <c r="AG10" s="21">
        <v>0</v>
      </c>
      <c r="AH10" s="280" t="str">
        <f>IF(AG10=0,"-",AF10/AG10)</f>
        <v>-</v>
      </c>
      <c r="AI10" s="20">
        <v>0</v>
      </c>
      <c r="AJ10" s="21">
        <v>0</v>
      </c>
      <c r="AK10" s="280" t="str">
        <f>IF(AJ10=0,"-",AI10/AJ10)</f>
        <v>-</v>
      </c>
      <c r="AL10" s="20">
        <v>0</v>
      </c>
      <c r="AM10" s="21">
        <v>0</v>
      </c>
      <c r="AN10" s="280" t="str">
        <f>IF(AM10=0,"-",AL10/AM10)</f>
        <v>-</v>
      </c>
      <c r="AO10" s="20">
        <v>0</v>
      </c>
      <c r="AP10" s="21">
        <v>0</v>
      </c>
      <c r="AQ10" s="280" t="str">
        <f>IF(AP10=0,"-",AO10/AP10)</f>
        <v>-</v>
      </c>
      <c r="AR10" s="20">
        <v>0</v>
      </c>
      <c r="AS10" s="21">
        <v>0</v>
      </c>
      <c r="AT10" s="280" t="str">
        <f>IF(AS10=0,"-",AR10/AS10)</f>
        <v>-</v>
      </c>
      <c r="AU10" s="252">
        <v>0</v>
      </c>
      <c r="AV10" s="253">
        <v>0</v>
      </c>
      <c r="AW10" s="139" t="str">
        <f>IF(AV10=0,"-",AU10/AV10)</f>
        <v>-</v>
      </c>
      <c r="AX10" s="252">
        <v>0</v>
      </c>
      <c r="AY10" s="253">
        <v>0</v>
      </c>
      <c r="AZ10" s="139" t="str">
        <f t="shared" si="16"/>
        <v>-</v>
      </c>
      <c r="BA10" s="252">
        <v>0</v>
      </c>
      <c r="BB10" s="253">
        <v>0</v>
      </c>
      <c r="BC10" s="139" t="str">
        <f t="shared" si="17"/>
        <v>-</v>
      </c>
      <c r="BD10" s="256">
        <v>14</v>
      </c>
      <c r="BE10" s="253">
        <v>2</v>
      </c>
      <c r="BF10" s="139">
        <f t="shared" si="33"/>
        <v>7</v>
      </c>
      <c r="BG10" s="20">
        <v>0</v>
      </c>
      <c r="BH10" s="21">
        <v>0</v>
      </c>
      <c r="BI10" s="139" t="str">
        <f t="shared" si="34"/>
        <v>-</v>
      </c>
      <c r="BJ10" s="20">
        <v>0</v>
      </c>
      <c r="BK10" s="21">
        <v>0</v>
      </c>
      <c r="BL10" s="139" t="str">
        <f t="shared" si="20"/>
        <v>-</v>
      </c>
      <c r="BM10" s="20">
        <v>0</v>
      </c>
      <c r="BN10" s="21">
        <v>0</v>
      </c>
      <c r="BO10" s="139" t="str">
        <f t="shared" si="35"/>
        <v>-</v>
      </c>
      <c r="BP10" s="20">
        <v>0</v>
      </c>
      <c r="BQ10" s="21">
        <v>0</v>
      </c>
      <c r="BR10" s="139" t="str">
        <f t="shared" si="36"/>
        <v>-</v>
      </c>
      <c r="BS10" s="20">
        <v>0</v>
      </c>
      <c r="BT10" s="21">
        <v>0</v>
      </c>
      <c r="BU10" s="139" t="str">
        <f t="shared" si="37"/>
        <v>-</v>
      </c>
      <c r="BV10" s="117">
        <f t="shared" si="27"/>
        <v>14</v>
      </c>
      <c r="BW10" s="120">
        <f>BT10+BQ10+BN10+BK10+BH10+BE10+BB10+AY10+AV10+L10+U10+R10+I10+F10+AP10+AM10+AJ10+AG10+AD10+C10</f>
        <v>2</v>
      </c>
      <c r="BX10" s="147">
        <f t="shared" si="25"/>
        <v>7</v>
      </c>
    </row>
    <row r="11" spans="1:76" ht="15" thickBot="1" x14ac:dyDescent="0.35">
      <c r="A11" s="294">
        <v>45480</v>
      </c>
      <c r="B11" s="20">
        <v>0</v>
      </c>
      <c r="C11" s="21">
        <v>0</v>
      </c>
      <c r="D11" s="139" t="str">
        <f t="shared" si="0"/>
        <v>-</v>
      </c>
      <c r="E11" s="23">
        <v>0</v>
      </c>
      <c r="F11" s="21">
        <v>0</v>
      </c>
      <c r="G11" s="139" t="str">
        <f t="shared" si="30"/>
        <v>-</v>
      </c>
      <c r="H11" s="20">
        <v>0</v>
      </c>
      <c r="I11" s="21">
        <v>0</v>
      </c>
      <c r="J11" s="139" t="str">
        <f t="shared" si="28"/>
        <v>-</v>
      </c>
      <c r="K11" s="20">
        <v>0</v>
      </c>
      <c r="L11" s="21">
        <v>0</v>
      </c>
      <c r="M11" s="139" t="str">
        <f t="shared" si="3"/>
        <v>-</v>
      </c>
      <c r="N11" s="20">
        <v>0</v>
      </c>
      <c r="O11" s="21">
        <v>0</v>
      </c>
      <c r="P11" s="139" t="str">
        <f t="shared" si="4"/>
        <v>-</v>
      </c>
      <c r="Q11" s="20">
        <v>37</v>
      </c>
      <c r="R11" s="21">
        <v>8</v>
      </c>
      <c r="S11" s="139">
        <f t="shared" si="5"/>
        <v>4.625</v>
      </c>
      <c r="T11" s="20">
        <v>126</v>
      </c>
      <c r="U11" s="21">
        <v>25</v>
      </c>
      <c r="V11" s="139">
        <f t="shared" si="31"/>
        <v>5.04</v>
      </c>
      <c r="W11" s="20">
        <v>0</v>
      </c>
      <c r="X11" s="21">
        <v>0</v>
      </c>
      <c r="Y11" s="278" t="str">
        <f t="shared" si="32"/>
        <v>-</v>
      </c>
      <c r="Z11" s="20">
        <v>0</v>
      </c>
      <c r="AA11" s="21">
        <v>0</v>
      </c>
      <c r="AB11" s="280" t="str">
        <f t="shared" si="26"/>
        <v>-</v>
      </c>
      <c r="AC11" s="23">
        <v>8</v>
      </c>
      <c r="AD11" s="21">
        <v>1</v>
      </c>
      <c r="AE11" s="139">
        <f t="shared" si="9"/>
        <v>8</v>
      </c>
      <c r="AF11" s="20">
        <v>0</v>
      </c>
      <c r="AG11" s="21">
        <v>0</v>
      </c>
      <c r="AH11" s="280" t="str">
        <f t="shared" ref="AH11:AH12" si="38">IF(AG11=0,"-",AF11/AG11)</f>
        <v>-</v>
      </c>
      <c r="AI11" s="289">
        <v>2</v>
      </c>
      <c r="AJ11" s="20">
        <v>2</v>
      </c>
      <c r="AK11" s="139">
        <f t="shared" si="11"/>
        <v>1</v>
      </c>
      <c r="AL11" s="20">
        <v>0</v>
      </c>
      <c r="AM11" s="21">
        <v>0</v>
      </c>
      <c r="AN11" s="280" t="str">
        <f>IF(AM11=0,"-",AL11/AM11)</f>
        <v>-</v>
      </c>
      <c r="AO11" s="20">
        <v>0</v>
      </c>
      <c r="AP11" s="21">
        <v>0</v>
      </c>
      <c r="AQ11" s="280" t="str">
        <f>IF(AP11=0,"-",AO11/AP11)</f>
        <v>-</v>
      </c>
      <c r="AR11" s="20">
        <v>0</v>
      </c>
      <c r="AS11" s="21">
        <v>0</v>
      </c>
      <c r="AT11" s="280" t="str">
        <f>IF(AS11=0,"-",AR11/AS11)</f>
        <v>-</v>
      </c>
      <c r="AU11" s="252">
        <v>0</v>
      </c>
      <c r="AV11" s="253">
        <v>0</v>
      </c>
      <c r="AW11" s="139" t="str">
        <f t="shared" si="15"/>
        <v>-</v>
      </c>
      <c r="AX11" s="252">
        <v>0</v>
      </c>
      <c r="AY11" s="253">
        <v>0</v>
      </c>
      <c r="AZ11" s="139" t="str">
        <f t="shared" si="16"/>
        <v>-</v>
      </c>
      <c r="BA11" s="252">
        <v>0</v>
      </c>
      <c r="BB11" s="253">
        <v>0</v>
      </c>
      <c r="BC11" s="139" t="str">
        <f t="shared" si="17"/>
        <v>-</v>
      </c>
      <c r="BD11" s="257">
        <v>0</v>
      </c>
      <c r="BE11" s="253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34"/>
        <v>-</v>
      </c>
      <c r="BJ11" s="20">
        <v>0</v>
      </c>
      <c r="BK11" s="21">
        <v>0</v>
      </c>
      <c r="BL11" s="139" t="str">
        <f t="shared" si="20"/>
        <v>-</v>
      </c>
      <c r="BM11" s="20">
        <v>0</v>
      </c>
      <c r="BN11" s="21">
        <v>0</v>
      </c>
      <c r="BO11" s="139" t="str">
        <f t="shared" si="35"/>
        <v>-</v>
      </c>
      <c r="BP11" s="20">
        <v>0</v>
      </c>
      <c r="BQ11" s="21">
        <v>0</v>
      </c>
      <c r="BR11" s="139" t="str">
        <f t="shared" si="36"/>
        <v>-</v>
      </c>
      <c r="BS11" s="20">
        <v>0</v>
      </c>
      <c r="BT11" s="21">
        <v>0</v>
      </c>
      <c r="BU11" s="139" t="str">
        <f t="shared" si="37"/>
        <v>-</v>
      </c>
      <c r="BV11" s="117">
        <f t="shared" si="27"/>
        <v>173</v>
      </c>
      <c r="BW11" s="120">
        <f t="shared" ref="BW11:BW34" si="39">BT11+BQ11+BN11+BK11+BH11+BE11+BB11+AY11+AV11+L11+U11+R11+I11+F11+AP11+AM11+AJ11+AG11+AD11+C11</f>
        <v>36</v>
      </c>
      <c r="BX11" s="147">
        <f t="shared" ref="BX11:BX34" si="40">IF(BW11=0,"",BV11/BW11)</f>
        <v>4.8055555555555554</v>
      </c>
    </row>
    <row r="12" spans="1:76" ht="15" thickBot="1" x14ac:dyDescent="0.35">
      <c r="A12" s="294">
        <v>45481</v>
      </c>
      <c r="B12" s="20">
        <v>16</v>
      </c>
      <c r="C12" s="21">
        <v>2</v>
      </c>
      <c r="D12" s="139">
        <f t="shared" si="0"/>
        <v>8</v>
      </c>
      <c r="E12" s="23">
        <v>0</v>
      </c>
      <c r="F12" s="21">
        <v>0</v>
      </c>
      <c r="G12" s="139" t="str">
        <f t="shared" ref="G12" si="41">IF(F12=0,"-",E12/F12)</f>
        <v>-</v>
      </c>
      <c r="H12" s="20">
        <v>0</v>
      </c>
      <c r="I12" s="21">
        <v>0</v>
      </c>
      <c r="J12" s="139" t="str">
        <f t="shared" ref="J12" si="42">IF(I12=0,"-",H12/I12)</f>
        <v>-</v>
      </c>
      <c r="K12" s="20">
        <v>9</v>
      </c>
      <c r="L12" s="21">
        <v>3</v>
      </c>
      <c r="M12" s="139">
        <f t="shared" si="3"/>
        <v>3</v>
      </c>
      <c r="N12" s="20">
        <v>0</v>
      </c>
      <c r="O12" s="21">
        <v>0</v>
      </c>
      <c r="P12" s="139" t="str">
        <f t="shared" ref="P12" si="43">IF(O12=0,"-",N12/O12)</f>
        <v>-</v>
      </c>
      <c r="Q12" s="23">
        <v>31</v>
      </c>
      <c r="R12" s="21">
        <v>6</v>
      </c>
      <c r="S12" s="139">
        <f t="shared" si="5"/>
        <v>5.166666666666667</v>
      </c>
      <c r="T12" s="20">
        <v>0</v>
      </c>
      <c r="U12" s="21">
        <v>0</v>
      </c>
      <c r="V12" s="139" t="str">
        <f t="shared" si="6"/>
        <v>-</v>
      </c>
      <c r="W12" s="20">
        <v>6</v>
      </c>
      <c r="X12" s="21">
        <v>1</v>
      </c>
      <c r="Y12" s="278">
        <f t="shared" si="7"/>
        <v>6</v>
      </c>
      <c r="Z12" s="20">
        <v>0</v>
      </c>
      <c r="AA12" s="21">
        <v>0</v>
      </c>
      <c r="AB12" s="280" t="str">
        <f t="shared" si="26"/>
        <v>-</v>
      </c>
      <c r="AC12" s="23">
        <v>4</v>
      </c>
      <c r="AD12" s="21">
        <v>1</v>
      </c>
      <c r="AE12" s="139">
        <f t="shared" si="9"/>
        <v>4</v>
      </c>
      <c r="AF12" s="20">
        <v>0</v>
      </c>
      <c r="AG12" s="21">
        <v>0</v>
      </c>
      <c r="AH12" s="280" t="str">
        <f t="shared" si="38"/>
        <v>-</v>
      </c>
      <c r="AI12" s="20">
        <v>6</v>
      </c>
      <c r="AJ12" s="21">
        <v>1</v>
      </c>
      <c r="AK12" s="139">
        <f t="shared" si="11"/>
        <v>6</v>
      </c>
      <c r="AL12" s="20">
        <v>0</v>
      </c>
      <c r="AM12" s="21">
        <v>0</v>
      </c>
      <c r="AN12" s="280" t="str">
        <f>IF(AM12=0,"-",AL12/AM12)</f>
        <v>-</v>
      </c>
      <c r="AO12" s="20">
        <v>0</v>
      </c>
      <c r="AP12" s="21">
        <v>0</v>
      </c>
      <c r="AQ12" s="280" t="str">
        <f>IF(AP12=0,"-",AO12/AP12)</f>
        <v>-</v>
      </c>
      <c r="AR12" s="20">
        <v>0</v>
      </c>
      <c r="AS12" s="21">
        <v>0</v>
      </c>
      <c r="AT12" s="280" t="str">
        <f>IF(AS12=0,"-",AR12/AS12)</f>
        <v>-</v>
      </c>
      <c r="AU12" s="252">
        <v>6</v>
      </c>
      <c r="AV12" s="253">
        <v>1</v>
      </c>
      <c r="AW12" s="139">
        <f t="shared" si="15"/>
        <v>6</v>
      </c>
      <c r="AX12" s="252">
        <v>0</v>
      </c>
      <c r="AY12" s="253">
        <v>0</v>
      </c>
      <c r="AZ12" s="139" t="str">
        <f t="shared" ref="AZ12" si="44">IF(AY12=0,"-",AX12/AY12)</f>
        <v>-</v>
      </c>
      <c r="BA12" s="252">
        <v>0</v>
      </c>
      <c r="BB12" s="253">
        <v>0</v>
      </c>
      <c r="BC12" s="139" t="str">
        <f t="shared" ref="BC12" si="45">IF(BB12=0,"-",BA12/BB12)</f>
        <v>-</v>
      </c>
      <c r="BD12" s="257">
        <v>0</v>
      </c>
      <c r="BE12" s="253">
        <v>0</v>
      </c>
      <c r="BF12" s="139" t="str">
        <f t="shared" ref="BF12" si="46">IF(BE12=0,"-",BD12/BE12)</f>
        <v>-</v>
      </c>
      <c r="BG12" s="20">
        <v>0</v>
      </c>
      <c r="BH12" s="21">
        <v>0</v>
      </c>
      <c r="BI12" s="139" t="str">
        <f t="shared" ref="BI12" si="47">IF(BH12=0,"-",BG12/BH12)</f>
        <v>-</v>
      </c>
      <c r="BJ12" s="20">
        <v>0</v>
      </c>
      <c r="BK12" s="21">
        <v>0</v>
      </c>
      <c r="BL12" s="139" t="str">
        <f t="shared" ref="BL12" si="48">IF(BK12=0,"-",BJ12/BK12)</f>
        <v>-</v>
      </c>
      <c r="BM12" s="20">
        <v>0</v>
      </c>
      <c r="BN12" s="21">
        <v>0</v>
      </c>
      <c r="BO12" s="139" t="str">
        <f t="shared" ref="BO12" si="49">IF(BN12=0,"-",BM12/BN12)</f>
        <v>-</v>
      </c>
      <c r="BP12" s="20">
        <v>0</v>
      </c>
      <c r="BQ12" s="21">
        <v>0</v>
      </c>
      <c r="BR12" s="139" t="str">
        <f t="shared" ref="BR12" si="50">IF(BQ12=0,"-",BP12/BQ12)</f>
        <v>-</v>
      </c>
      <c r="BS12" s="20">
        <v>0</v>
      </c>
      <c r="BT12" s="21">
        <v>0</v>
      </c>
      <c r="BU12" s="139" t="str">
        <f t="shared" ref="BU12" si="51">IF(BT12=0,"-",BS12/BT12)</f>
        <v>-</v>
      </c>
      <c r="BV12" s="117">
        <f t="shared" si="27"/>
        <v>78</v>
      </c>
      <c r="BW12" s="120">
        <f t="shared" si="39"/>
        <v>14</v>
      </c>
      <c r="BX12" s="147">
        <f t="shared" si="40"/>
        <v>5.5714285714285712</v>
      </c>
    </row>
    <row r="13" spans="1:76" ht="15" thickBot="1" x14ac:dyDescent="0.35">
      <c r="A13" s="294">
        <v>45482</v>
      </c>
      <c r="B13" s="20">
        <v>62</v>
      </c>
      <c r="C13" s="21">
        <v>9</v>
      </c>
      <c r="D13" s="139">
        <f t="shared" si="0"/>
        <v>6.8888888888888893</v>
      </c>
      <c r="E13" s="20">
        <v>15</v>
      </c>
      <c r="F13" s="21">
        <v>2</v>
      </c>
      <c r="G13" s="139">
        <f t="shared" si="1"/>
        <v>7.5</v>
      </c>
      <c r="H13" s="20">
        <v>0</v>
      </c>
      <c r="I13" s="21">
        <v>0</v>
      </c>
      <c r="J13" s="139" t="str">
        <f t="shared" si="28"/>
        <v>-</v>
      </c>
      <c r="K13" s="20">
        <v>52</v>
      </c>
      <c r="L13" s="21">
        <v>6</v>
      </c>
      <c r="M13" s="139">
        <f t="shared" si="3"/>
        <v>8.6666666666666661</v>
      </c>
      <c r="N13" s="20"/>
      <c r="O13" s="21"/>
      <c r="P13" s="139" t="str">
        <f t="shared" si="4"/>
        <v>-</v>
      </c>
      <c r="Q13" s="20">
        <v>58</v>
      </c>
      <c r="R13" s="21">
        <v>11</v>
      </c>
      <c r="S13" s="139">
        <f t="shared" si="5"/>
        <v>5.2727272727272725</v>
      </c>
      <c r="T13" s="20">
        <v>23</v>
      </c>
      <c r="U13" s="21">
        <v>5</v>
      </c>
      <c r="V13" s="139">
        <f t="shared" si="6"/>
        <v>4.5999999999999996</v>
      </c>
      <c r="W13" s="20">
        <v>12</v>
      </c>
      <c r="X13" s="21">
        <v>2</v>
      </c>
      <c r="Y13" s="278">
        <f t="shared" si="7"/>
        <v>6</v>
      </c>
      <c r="Z13" s="20">
        <v>0</v>
      </c>
      <c r="AA13" s="21">
        <v>0</v>
      </c>
      <c r="AB13" s="280" t="str">
        <f t="shared" si="26"/>
        <v>-</v>
      </c>
      <c r="AC13" s="23">
        <v>0</v>
      </c>
      <c r="AD13" s="21">
        <v>0</v>
      </c>
      <c r="AE13" s="139" t="str">
        <f t="shared" si="9"/>
        <v>-</v>
      </c>
      <c r="AF13" s="20">
        <v>0</v>
      </c>
      <c r="AG13" s="21">
        <v>0</v>
      </c>
      <c r="AH13" s="139" t="str">
        <f t="shared" si="29"/>
        <v>-</v>
      </c>
      <c r="AI13" s="20">
        <v>0</v>
      </c>
      <c r="AJ13" s="21">
        <v>0</v>
      </c>
      <c r="AK13" s="139" t="str">
        <f t="shared" si="11"/>
        <v>-</v>
      </c>
      <c r="AL13" s="20">
        <v>0</v>
      </c>
      <c r="AM13" s="21">
        <v>0</v>
      </c>
      <c r="AN13" s="139" t="str">
        <f t="shared" si="12"/>
        <v>-</v>
      </c>
      <c r="AO13" s="20">
        <v>0</v>
      </c>
      <c r="AP13" s="21">
        <v>0</v>
      </c>
      <c r="AQ13" s="139" t="str">
        <f t="shared" si="13"/>
        <v>-</v>
      </c>
      <c r="AR13" s="20">
        <v>0</v>
      </c>
      <c r="AS13" s="21">
        <v>0</v>
      </c>
      <c r="AT13" s="139" t="str">
        <f t="shared" si="14"/>
        <v>-</v>
      </c>
      <c r="AU13" s="252">
        <v>20</v>
      </c>
      <c r="AV13" s="253">
        <v>3</v>
      </c>
      <c r="AW13" s="139">
        <f t="shared" si="15"/>
        <v>6.666666666666667</v>
      </c>
      <c r="AX13" s="252">
        <v>0</v>
      </c>
      <c r="AY13" s="253">
        <v>0</v>
      </c>
      <c r="AZ13" s="139" t="str">
        <f t="shared" ref="AZ13" si="52">IF(AY13=0,"-",AX13/AY13)</f>
        <v>-</v>
      </c>
      <c r="BA13" s="252">
        <v>0</v>
      </c>
      <c r="BB13" s="253">
        <v>0</v>
      </c>
      <c r="BC13" s="139" t="str">
        <f t="shared" ref="BC13" si="53">IF(BB13=0,"-",BA13/BB13)</f>
        <v>-</v>
      </c>
      <c r="BD13" s="257">
        <v>0</v>
      </c>
      <c r="BE13" s="253">
        <v>0</v>
      </c>
      <c r="BF13" s="139" t="str">
        <f t="shared" ref="BF13" si="54">IF(BE13=0,"-",BD13/BE13)</f>
        <v>-</v>
      </c>
      <c r="BG13" s="20">
        <v>0</v>
      </c>
      <c r="BH13" s="21">
        <v>0</v>
      </c>
      <c r="BI13" s="139" t="str">
        <f t="shared" ref="BI13" si="55">IF(BH13=0,"-",BG13/BH13)</f>
        <v>-</v>
      </c>
      <c r="BJ13" s="20">
        <v>0</v>
      </c>
      <c r="BK13" s="21">
        <v>0</v>
      </c>
      <c r="BL13" s="139" t="str">
        <f t="shared" ref="BL13" si="56">IF(BK13=0,"-",BJ13/BK13)</f>
        <v>-</v>
      </c>
      <c r="BM13" s="20">
        <v>0</v>
      </c>
      <c r="BN13" s="21">
        <v>0</v>
      </c>
      <c r="BO13" s="139" t="str">
        <f t="shared" ref="BO13" si="57">IF(BN13=0,"-",BM13/BN13)</f>
        <v>-</v>
      </c>
      <c r="BP13" s="20">
        <v>0</v>
      </c>
      <c r="BQ13" s="21">
        <v>0</v>
      </c>
      <c r="BR13" s="139" t="str">
        <f t="shared" ref="BR13" si="58">IF(BQ13=0,"-",BP13/BQ13)</f>
        <v>-</v>
      </c>
      <c r="BS13" s="20">
        <v>0</v>
      </c>
      <c r="BT13" s="21">
        <v>0</v>
      </c>
      <c r="BU13" s="139" t="str">
        <f t="shared" ref="BU13" si="59">IF(BT13=0,"-",BS13/BT13)</f>
        <v>-</v>
      </c>
      <c r="BV13" s="117">
        <f t="shared" si="27"/>
        <v>242</v>
      </c>
      <c r="BW13" s="120">
        <f t="shared" si="39"/>
        <v>36</v>
      </c>
      <c r="BX13" s="147">
        <f t="shared" si="40"/>
        <v>6.7222222222222223</v>
      </c>
    </row>
    <row r="14" spans="1:76" ht="15" thickBot="1" x14ac:dyDescent="0.35">
      <c r="A14" s="294">
        <v>45483</v>
      </c>
      <c r="B14" s="20">
        <v>33</v>
      </c>
      <c r="C14" s="21">
        <v>4</v>
      </c>
      <c r="D14" s="139">
        <f t="shared" si="0"/>
        <v>8.25</v>
      </c>
      <c r="E14" s="20">
        <v>8</v>
      </c>
      <c r="F14" s="21">
        <v>1</v>
      </c>
      <c r="G14" s="139">
        <f t="shared" si="1"/>
        <v>8</v>
      </c>
      <c r="H14" s="20">
        <v>8</v>
      </c>
      <c r="I14" s="21">
        <v>1</v>
      </c>
      <c r="J14" s="139">
        <f t="shared" si="28"/>
        <v>8</v>
      </c>
      <c r="K14" s="20">
        <v>33</v>
      </c>
      <c r="L14" s="21">
        <v>4</v>
      </c>
      <c r="M14" s="139">
        <f t="shared" si="3"/>
        <v>8.25</v>
      </c>
      <c r="N14" s="20"/>
      <c r="O14" s="21"/>
      <c r="P14" s="139" t="str">
        <f t="shared" si="4"/>
        <v>-</v>
      </c>
      <c r="Q14" s="20">
        <v>60</v>
      </c>
      <c r="R14" s="21">
        <v>10</v>
      </c>
      <c r="S14" s="139">
        <f t="shared" si="5"/>
        <v>6</v>
      </c>
      <c r="T14" s="20">
        <v>0</v>
      </c>
      <c r="U14" s="21">
        <v>0</v>
      </c>
      <c r="V14" s="139" t="str">
        <f t="shared" si="6"/>
        <v>-</v>
      </c>
      <c r="W14" s="20">
        <v>0</v>
      </c>
      <c r="X14" s="21">
        <v>0</v>
      </c>
      <c r="Y14" s="278" t="str">
        <f t="shared" si="7"/>
        <v>-</v>
      </c>
      <c r="Z14" s="20">
        <v>0</v>
      </c>
      <c r="AA14" s="21">
        <v>0</v>
      </c>
      <c r="AB14" s="280" t="str">
        <f t="shared" si="26"/>
        <v>-</v>
      </c>
      <c r="AC14" s="23">
        <v>0</v>
      </c>
      <c r="AD14" s="21">
        <v>0</v>
      </c>
      <c r="AE14" s="139" t="str">
        <f t="shared" si="9"/>
        <v>-</v>
      </c>
      <c r="AF14" s="20">
        <v>0</v>
      </c>
      <c r="AG14" s="21">
        <v>0</v>
      </c>
      <c r="AH14" s="139" t="str">
        <f t="shared" si="29"/>
        <v>-</v>
      </c>
      <c r="AI14" s="20">
        <v>1</v>
      </c>
      <c r="AJ14" s="21">
        <v>1</v>
      </c>
      <c r="AK14" s="139">
        <f t="shared" si="11"/>
        <v>1</v>
      </c>
      <c r="AL14" s="20">
        <v>0</v>
      </c>
      <c r="AM14" s="21">
        <v>0</v>
      </c>
      <c r="AN14" s="139" t="str">
        <f t="shared" si="12"/>
        <v>-</v>
      </c>
      <c r="AO14" s="20">
        <v>0</v>
      </c>
      <c r="AP14" s="21">
        <v>0</v>
      </c>
      <c r="AQ14" s="139" t="str">
        <f t="shared" si="13"/>
        <v>-</v>
      </c>
      <c r="AR14" s="20">
        <v>0</v>
      </c>
      <c r="AS14" s="21">
        <v>0</v>
      </c>
      <c r="AT14" s="139" t="str">
        <f t="shared" si="14"/>
        <v>-</v>
      </c>
      <c r="AU14" s="252">
        <v>13</v>
      </c>
      <c r="AV14" s="253">
        <v>2</v>
      </c>
      <c r="AW14" s="139">
        <f t="shared" si="15"/>
        <v>6.5</v>
      </c>
      <c r="AX14" s="252">
        <v>0</v>
      </c>
      <c r="AY14" s="253">
        <v>0</v>
      </c>
      <c r="AZ14" s="139" t="str">
        <f t="shared" si="16"/>
        <v>-</v>
      </c>
      <c r="BA14" s="252">
        <v>0</v>
      </c>
      <c r="BB14" s="253">
        <v>0</v>
      </c>
      <c r="BC14" s="139" t="str">
        <f t="shared" si="17"/>
        <v>-</v>
      </c>
      <c r="BD14" s="252">
        <v>0</v>
      </c>
      <c r="BE14" s="253">
        <v>0</v>
      </c>
      <c r="BF14" s="139" t="str">
        <f t="shared" si="18"/>
        <v>-</v>
      </c>
      <c r="BG14" s="252">
        <v>0</v>
      </c>
      <c r="BH14" s="253">
        <v>0</v>
      </c>
      <c r="BI14" s="139" t="str">
        <f t="shared" si="19"/>
        <v>-</v>
      </c>
      <c r="BJ14" s="20">
        <v>0</v>
      </c>
      <c r="BK14" s="21">
        <v>0</v>
      </c>
      <c r="BL14" s="139" t="str">
        <f t="shared" ref="BL14" si="60">IF(BK14=0,"-",BJ14/BK14)</f>
        <v>-</v>
      </c>
      <c r="BM14" s="20">
        <v>0</v>
      </c>
      <c r="BN14" s="21">
        <v>0</v>
      </c>
      <c r="BO14" s="139" t="str">
        <f t="shared" ref="BO14" si="61">IF(BN14=0,"-",BM14/BN14)</f>
        <v>-</v>
      </c>
      <c r="BP14" s="20">
        <v>0</v>
      </c>
      <c r="BQ14" s="21">
        <v>0</v>
      </c>
      <c r="BR14" s="139" t="str">
        <f t="shared" ref="BR14" si="62">IF(BQ14=0,"-",BP14/BQ14)</f>
        <v>-</v>
      </c>
      <c r="BS14" s="20">
        <v>0</v>
      </c>
      <c r="BT14" s="21">
        <v>0</v>
      </c>
      <c r="BU14" s="139" t="str">
        <f t="shared" ref="BU14" si="63">IF(BT14=0,"-",BS14/BT14)</f>
        <v>-</v>
      </c>
      <c r="BV14" s="117">
        <f t="shared" si="27"/>
        <v>148</v>
      </c>
      <c r="BW14" s="120">
        <f t="shared" si="39"/>
        <v>23</v>
      </c>
      <c r="BX14" s="147">
        <f t="shared" si="40"/>
        <v>6.4347826086956523</v>
      </c>
    </row>
    <row r="15" spans="1:76" ht="15" thickBot="1" x14ac:dyDescent="0.35">
      <c r="A15" s="294">
        <v>45484</v>
      </c>
      <c r="B15" s="20">
        <v>24</v>
      </c>
      <c r="C15" s="21">
        <v>3</v>
      </c>
      <c r="D15" s="139">
        <f t="shared" si="0"/>
        <v>8</v>
      </c>
      <c r="E15" s="23">
        <v>8</v>
      </c>
      <c r="F15" s="21">
        <v>1</v>
      </c>
      <c r="G15" s="139">
        <f t="shared" si="1"/>
        <v>8</v>
      </c>
      <c r="H15" s="20">
        <v>0</v>
      </c>
      <c r="I15" s="21">
        <v>0</v>
      </c>
      <c r="J15" s="139" t="str">
        <f t="shared" si="28"/>
        <v>-</v>
      </c>
      <c r="K15" s="20">
        <v>17</v>
      </c>
      <c r="L15" s="21">
        <v>2</v>
      </c>
      <c r="M15" s="139">
        <f t="shared" si="3"/>
        <v>8.5</v>
      </c>
      <c r="N15" s="20"/>
      <c r="O15" s="21"/>
      <c r="P15" s="139" t="str">
        <f t="shared" si="4"/>
        <v>-</v>
      </c>
      <c r="Q15" s="20">
        <v>55</v>
      </c>
      <c r="R15" s="21">
        <v>10</v>
      </c>
      <c r="S15" s="139">
        <f t="shared" si="5"/>
        <v>5.5</v>
      </c>
      <c r="T15" s="20">
        <v>0</v>
      </c>
      <c r="U15" s="21">
        <v>0</v>
      </c>
      <c r="V15" s="139" t="str">
        <f t="shared" si="6"/>
        <v>-</v>
      </c>
      <c r="W15" s="125">
        <v>0</v>
      </c>
      <c r="X15" s="126">
        <v>0</v>
      </c>
      <c r="Y15" s="278" t="str">
        <f t="shared" si="7"/>
        <v>-</v>
      </c>
      <c r="Z15" s="20">
        <v>0</v>
      </c>
      <c r="AA15" s="21">
        <v>0</v>
      </c>
      <c r="AB15" s="280" t="str">
        <f t="shared" si="26"/>
        <v>-</v>
      </c>
      <c r="AC15" s="23">
        <v>0</v>
      </c>
      <c r="AD15" s="21">
        <v>0</v>
      </c>
      <c r="AE15" s="139" t="str">
        <f t="shared" si="9"/>
        <v>-</v>
      </c>
      <c r="AF15" s="20">
        <v>0</v>
      </c>
      <c r="AG15" s="21">
        <v>0</v>
      </c>
      <c r="AH15" s="139" t="str">
        <f t="shared" si="29"/>
        <v>-</v>
      </c>
      <c r="AI15" s="20">
        <v>0</v>
      </c>
      <c r="AJ15" s="21">
        <v>0</v>
      </c>
      <c r="AK15" s="139" t="str">
        <f t="shared" si="11"/>
        <v>-</v>
      </c>
      <c r="AL15" s="20">
        <v>0</v>
      </c>
      <c r="AM15" s="21">
        <v>0</v>
      </c>
      <c r="AN15" s="139" t="str">
        <f t="shared" si="12"/>
        <v>-</v>
      </c>
      <c r="AO15" s="20">
        <v>0</v>
      </c>
      <c r="AP15" s="21">
        <v>0</v>
      </c>
      <c r="AQ15" s="139" t="str">
        <f t="shared" si="13"/>
        <v>-</v>
      </c>
      <c r="AR15" s="20">
        <v>0</v>
      </c>
      <c r="AS15" s="21">
        <v>0</v>
      </c>
      <c r="AT15" s="139" t="str">
        <f t="shared" si="14"/>
        <v>-</v>
      </c>
      <c r="AU15" s="252">
        <v>40</v>
      </c>
      <c r="AV15" s="253">
        <v>6</v>
      </c>
      <c r="AW15" s="139">
        <f t="shared" si="15"/>
        <v>6.666666666666667</v>
      </c>
      <c r="AX15" s="252">
        <v>0</v>
      </c>
      <c r="AY15" s="253">
        <v>0</v>
      </c>
      <c r="AZ15" s="139" t="str">
        <f t="shared" si="16"/>
        <v>-</v>
      </c>
      <c r="BA15" s="252">
        <v>0</v>
      </c>
      <c r="BB15" s="253">
        <v>0</v>
      </c>
      <c r="BC15" s="139" t="str">
        <f t="shared" si="17"/>
        <v>-</v>
      </c>
      <c r="BD15" s="252">
        <v>14</v>
      </c>
      <c r="BE15" s="253">
        <v>2</v>
      </c>
      <c r="BF15" s="139">
        <v>0</v>
      </c>
      <c r="BG15" s="252">
        <v>0</v>
      </c>
      <c r="BH15" s="253">
        <v>0</v>
      </c>
      <c r="BI15" s="139" t="str">
        <f t="shared" si="19"/>
        <v>-</v>
      </c>
      <c r="BJ15" s="20">
        <v>13</v>
      </c>
      <c r="BK15" s="21">
        <v>2</v>
      </c>
      <c r="BL15" s="139">
        <f t="shared" si="20"/>
        <v>6.5</v>
      </c>
      <c r="BM15" s="20">
        <v>0</v>
      </c>
      <c r="BN15" s="21">
        <v>0</v>
      </c>
      <c r="BO15" s="139" t="str">
        <f t="shared" si="21"/>
        <v>-</v>
      </c>
      <c r="BP15" s="20">
        <v>0</v>
      </c>
      <c r="BQ15" s="21">
        <v>0</v>
      </c>
      <c r="BR15" s="139">
        <v>0</v>
      </c>
      <c r="BS15" s="20">
        <v>0</v>
      </c>
      <c r="BT15" s="21">
        <v>0</v>
      </c>
      <c r="BU15" s="139" t="str">
        <f t="shared" si="23"/>
        <v>-</v>
      </c>
      <c r="BV15" s="117">
        <f t="shared" si="27"/>
        <v>171</v>
      </c>
      <c r="BW15" s="120">
        <f t="shared" si="39"/>
        <v>26</v>
      </c>
      <c r="BX15" s="147">
        <f t="shared" si="40"/>
        <v>6.5769230769230766</v>
      </c>
    </row>
    <row r="16" spans="1:76" ht="15" thickBot="1" x14ac:dyDescent="0.35">
      <c r="A16" s="294">
        <v>45485</v>
      </c>
      <c r="B16" s="20">
        <v>49</v>
      </c>
      <c r="C16" s="21">
        <v>7</v>
      </c>
      <c r="D16" s="139">
        <f t="shared" si="0"/>
        <v>7</v>
      </c>
      <c r="E16" s="20">
        <v>24</v>
      </c>
      <c r="F16" s="21">
        <v>3</v>
      </c>
      <c r="G16" s="139">
        <f t="shared" si="1"/>
        <v>8</v>
      </c>
      <c r="H16" s="20">
        <v>8</v>
      </c>
      <c r="I16" s="21">
        <v>1</v>
      </c>
      <c r="J16" s="139">
        <f t="shared" si="28"/>
        <v>8</v>
      </c>
      <c r="K16" s="20">
        <v>33</v>
      </c>
      <c r="L16" s="21">
        <v>4</v>
      </c>
      <c r="M16" s="139">
        <f t="shared" si="3"/>
        <v>8.25</v>
      </c>
      <c r="N16" s="20"/>
      <c r="O16" s="21"/>
      <c r="P16" s="139" t="str">
        <f t="shared" si="4"/>
        <v>-</v>
      </c>
      <c r="Q16" s="23">
        <v>39</v>
      </c>
      <c r="R16" s="21">
        <v>7</v>
      </c>
      <c r="S16" s="139">
        <f t="shared" si="5"/>
        <v>5.5714285714285712</v>
      </c>
      <c r="T16" s="20">
        <v>0</v>
      </c>
      <c r="U16" s="21">
        <v>0</v>
      </c>
      <c r="V16" s="139" t="str">
        <f t="shared" ref="V16" si="64">IF(U16=0,"-",T16/U16)</f>
        <v>-</v>
      </c>
      <c r="W16" s="125">
        <v>0</v>
      </c>
      <c r="X16" s="126">
        <v>0</v>
      </c>
      <c r="Y16" s="278" t="str">
        <f t="shared" ref="Y16" si="65">IF(X16=0,"-",W16/X16)</f>
        <v>-</v>
      </c>
      <c r="Z16" s="20">
        <v>0</v>
      </c>
      <c r="AA16" s="21">
        <v>0</v>
      </c>
      <c r="AB16" s="280" t="str">
        <f t="shared" si="26"/>
        <v>-</v>
      </c>
      <c r="AC16" s="23">
        <v>0</v>
      </c>
      <c r="AD16" s="21">
        <v>0</v>
      </c>
      <c r="AE16" s="139" t="str">
        <f t="shared" ref="AE16:AE18" si="66">IF(AD16=0,"-",AC16/AD16)</f>
        <v>-</v>
      </c>
      <c r="AF16" s="20">
        <v>0</v>
      </c>
      <c r="AG16" s="21">
        <v>0</v>
      </c>
      <c r="AH16" s="139" t="str">
        <f t="shared" ref="AH16:AH18" si="67">IF(AG16=0,"-",AF16/AG16)</f>
        <v>-</v>
      </c>
      <c r="AI16" s="20">
        <v>0</v>
      </c>
      <c r="AJ16" s="21">
        <v>0</v>
      </c>
      <c r="AK16" s="139" t="str">
        <f t="shared" ref="AK16:AK18" si="68">IF(AJ16=0,"-",AI16/AJ16)</f>
        <v>-</v>
      </c>
      <c r="AL16" s="20">
        <v>0</v>
      </c>
      <c r="AM16" s="21">
        <v>0</v>
      </c>
      <c r="AN16" s="139" t="str">
        <f t="shared" ref="AN16:AN18" si="69">IF(AM16=0,"-",AL16/AM16)</f>
        <v>-</v>
      </c>
      <c r="AO16" s="20">
        <v>0</v>
      </c>
      <c r="AP16" s="21">
        <v>0</v>
      </c>
      <c r="AQ16" s="139" t="str">
        <f t="shared" ref="AQ16:AQ18" si="70">IF(AP16=0,"-",AO16/AP16)</f>
        <v>-</v>
      </c>
      <c r="AR16" s="20">
        <v>0</v>
      </c>
      <c r="AS16" s="21">
        <v>0</v>
      </c>
      <c r="AT16" s="139" t="str">
        <f t="shared" ref="AT16:AT18" si="71">IF(AS16=0,"-",AR16/AS16)</f>
        <v>-</v>
      </c>
      <c r="AU16" s="252">
        <v>14</v>
      </c>
      <c r="AV16" s="253">
        <v>2</v>
      </c>
      <c r="AW16" s="139">
        <f t="shared" si="15"/>
        <v>7</v>
      </c>
      <c r="AX16" s="252">
        <v>0</v>
      </c>
      <c r="AY16" s="253">
        <v>0</v>
      </c>
      <c r="AZ16" s="139" t="str">
        <f t="shared" ref="AZ16:AZ18" si="72">IF(AY16=0,"-",AX16/AY16)</f>
        <v>-</v>
      </c>
      <c r="BA16" s="252">
        <v>0</v>
      </c>
      <c r="BB16" s="253">
        <v>0</v>
      </c>
      <c r="BC16" s="139" t="str">
        <f t="shared" ref="BC16:BC18" si="73">IF(BB16=0,"-",BA16/BB16)</f>
        <v>-</v>
      </c>
      <c r="BD16" s="252">
        <v>6</v>
      </c>
      <c r="BE16" s="253">
        <v>1</v>
      </c>
      <c r="BF16" s="139">
        <v>0</v>
      </c>
      <c r="BG16" s="252">
        <v>0</v>
      </c>
      <c r="BH16" s="253">
        <v>0</v>
      </c>
      <c r="BI16" s="139" t="str">
        <f t="shared" ref="BI16:BI18" si="74">IF(BH16=0,"-",BG16/BH16)</f>
        <v>-</v>
      </c>
      <c r="BJ16" s="20">
        <v>0</v>
      </c>
      <c r="BK16" s="21">
        <v>0</v>
      </c>
      <c r="BL16" s="139" t="str">
        <f t="shared" si="20"/>
        <v>-</v>
      </c>
      <c r="BM16" s="20">
        <v>0</v>
      </c>
      <c r="BN16" s="21">
        <v>0</v>
      </c>
      <c r="BO16" s="139" t="str">
        <f t="shared" ref="BO16:BO18" si="75">IF(BN16=0,"-",BM16/BN16)</f>
        <v>-</v>
      </c>
      <c r="BP16" s="20">
        <v>0</v>
      </c>
      <c r="BQ16" s="21">
        <v>0</v>
      </c>
      <c r="BR16" s="139">
        <v>0</v>
      </c>
      <c r="BS16" s="20">
        <v>0</v>
      </c>
      <c r="BT16" s="21">
        <v>0</v>
      </c>
      <c r="BU16" s="139" t="str">
        <f t="shared" ref="BU16:BU18" si="76">IF(BT16=0,"-",BS16/BT16)</f>
        <v>-</v>
      </c>
      <c r="BV16" s="117">
        <f t="shared" si="27"/>
        <v>165</v>
      </c>
      <c r="BW16" s="120">
        <f t="shared" si="39"/>
        <v>25</v>
      </c>
      <c r="BX16" s="147">
        <f t="shared" si="40"/>
        <v>6.6</v>
      </c>
    </row>
    <row r="17" spans="1:76" ht="15" thickBot="1" x14ac:dyDescent="0.35">
      <c r="A17" s="294">
        <v>45486</v>
      </c>
      <c r="B17" s="20">
        <v>27</v>
      </c>
      <c r="C17" s="21">
        <v>4</v>
      </c>
      <c r="D17" s="139">
        <f t="shared" si="0"/>
        <v>6.75</v>
      </c>
      <c r="E17" s="20">
        <v>8</v>
      </c>
      <c r="F17" s="21">
        <v>1</v>
      </c>
      <c r="G17" s="139">
        <f t="shared" si="1"/>
        <v>8</v>
      </c>
      <c r="H17" s="20">
        <v>0</v>
      </c>
      <c r="I17" s="21">
        <v>0</v>
      </c>
      <c r="J17" s="139" t="str">
        <f t="shared" si="28"/>
        <v>-</v>
      </c>
      <c r="K17" s="20">
        <v>16</v>
      </c>
      <c r="L17" s="21">
        <v>2</v>
      </c>
      <c r="M17" s="139">
        <f t="shared" si="3"/>
        <v>8</v>
      </c>
      <c r="N17" s="20"/>
      <c r="O17" s="21"/>
      <c r="P17" s="139" t="str">
        <f t="shared" si="4"/>
        <v>-</v>
      </c>
      <c r="Q17" s="20">
        <v>0</v>
      </c>
      <c r="R17" s="21">
        <v>0</v>
      </c>
      <c r="S17" s="139" t="str">
        <f t="shared" si="5"/>
        <v>-</v>
      </c>
      <c r="T17" s="20">
        <v>0</v>
      </c>
      <c r="U17" s="21">
        <v>0</v>
      </c>
      <c r="V17" s="139" t="str">
        <f t="shared" ref="V17" si="77">IF(U17=0,"-",T17/U17)</f>
        <v>-</v>
      </c>
      <c r="W17" s="125">
        <v>0</v>
      </c>
      <c r="X17" s="126">
        <v>0</v>
      </c>
      <c r="Y17" s="278" t="str">
        <f t="shared" ref="Y17" si="78">IF(X17=0,"-",W17/X17)</f>
        <v>-</v>
      </c>
      <c r="Z17" s="20">
        <v>0</v>
      </c>
      <c r="AA17" s="21">
        <v>0</v>
      </c>
      <c r="AB17" s="280" t="str">
        <f t="shared" si="26"/>
        <v>-</v>
      </c>
      <c r="AC17" s="23">
        <v>0</v>
      </c>
      <c r="AD17" s="21">
        <v>0</v>
      </c>
      <c r="AE17" s="139" t="str">
        <f t="shared" si="66"/>
        <v>-</v>
      </c>
      <c r="AF17" s="20">
        <v>0</v>
      </c>
      <c r="AG17" s="21">
        <v>0</v>
      </c>
      <c r="AH17" s="139" t="str">
        <f t="shared" si="67"/>
        <v>-</v>
      </c>
      <c r="AI17" s="20">
        <v>0</v>
      </c>
      <c r="AJ17" s="21">
        <v>0</v>
      </c>
      <c r="AK17" s="139" t="str">
        <f t="shared" si="68"/>
        <v>-</v>
      </c>
      <c r="AL17" s="20">
        <v>0</v>
      </c>
      <c r="AM17" s="21">
        <v>0</v>
      </c>
      <c r="AN17" s="139" t="str">
        <f t="shared" si="69"/>
        <v>-</v>
      </c>
      <c r="AO17" s="20">
        <v>0</v>
      </c>
      <c r="AP17" s="21">
        <v>0</v>
      </c>
      <c r="AQ17" s="139" t="str">
        <f t="shared" si="70"/>
        <v>-</v>
      </c>
      <c r="AR17" s="20">
        <v>0</v>
      </c>
      <c r="AS17" s="21">
        <v>0</v>
      </c>
      <c r="AT17" s="139" t="str">
        <f t="shared" si="71"/>
        <v>-</v>
      </c>
      <c r="AU17" s="252">
        <v>13</v>
      </c>
      <c r="AV17" s="253">
        <v>2</v>
      </c>
      <c r="AW17" s="139">
        <f t="shared" si="15"/>
        <v>6.5</v>
      </c>
      <c r="AX17" s="252">
        <v>0</v>
      </c>
      <c r="AY17" s="253">
        <v>0</v>
      </c>
      <c r="AZ17" s="139" t="str">
        <f t="shared" si="72"/>
        <v>-</v>
      </c>
      <c r="BA17" s="252">
        <v>0</v>
      </c>
      <c r="BB17" s="253">
        <v>0</v>
      </c>
      <c r="BC17" s="139" t="str">
        <f t="shared" si="73"/>
        <v>-</v>
      </c>
      <c r="BD17" s="252">
        <v>0</v>
      </c>
      <c r="BE17" s="253">
        <v>0</v>
      </c>
      <c r="BF17" s="139" t="str">
        <f t="shared" ref="BF17:BF18" si="79">IF(BE17=0,"-",BD17/BE17)</f>
        <v>-</v>
      </c>
      <c r="BG17" s="252">
        <v>0</v>
      </c>
      <c r="BH17" s="253">
        <v>0</v>
      </c>
      <c r="BI17" s="139" t="str">
        <f t="shared" si="74"/>
        <v>-</v>
      </c>
      <c r="BJ17" s="252">
        <v>10</v>
      </c>
      <c r="BK17" s="253">
        <v>2</v>
      </c>
      <c r="BL17" s="139">
        <f t="shared" si="20"/>
        <v>5</v>
      </c>
      <c r="BM17" s="20">
        <v>0</v>
      </c>
      <c r="BN17" s="21">
        <v>0</v>
      </c>
      <c r="BO17" s="139" t="str">
        <f t="shared" si="75"/>
        <v>-</v>
      </c>
      <c r="BP17" s="20">
        <v>0</v>
      </c>
      <c r="BQ17" s="21">
        <v>0</v>
      </c>
      <c r="BR17" s="139">
        <v>0</v>
      </c>
      <c r="BS17" s="20">
        <v>0</v>
      </c>
      <c r="BT17" s="21">
        <v>0</v>
      </c>
      <c r="BU17" s="139" t="str">
        <f t="shared" si="76"/>
        <v>-</v>
      </c>
      <c r="BV17" s="117">
        <f t="shared" si="27"/>
        <v>74</v>
      </c>
      <c r="BW17" s="120">
        <f t="shared" si="39"/>
        <v>11</v>
      </c>
      <c r="BX17" s="147">
        <f t="shared" si="40"/>
        <v>6.7272727272727275</v>
      </c>
    </row>
    <row r="18" spans="1:76" ht="15" thickBot="1" x14ac:dyDescent="0.35">
      <c r="A18" s="294">
        <v>45487</v>
      </c>
      <c r="B18" s="20">
        <v>0</v>
      </c>
      <c r="C18" s="21">
        <v>0</v>
      </c>
      <c r="D18" s="139" t="str">
        <f t="shared" si="0"/>
        <v>-</v>
      </c>
      <c r="E18" s="20">
        <v>0</v>
      </c>
      <c r="F18" s="21">
        <v>0</v>
      </c>
      <c r="G18" s="139" t="str">
        <f t="shared" si="1"/>
        <v>-</v>
      </c>
      <c r="H18" s="20">
        <v>0</v>
      </c>
      <c r="I18" s="21">
        <v>0</v>
      </c>
      <c r="J18" s="139" t="str">
        <f t="shared" si="28"/>
        <v>-</v>
      </c>
      <c r="K18" s="20">
        <v>0</v>
      </c>
      <c r="L18" s="21">
        <v>0</v>
      </c>
      <c r="M18" s="139" t="str">
        <f t="shared" si="3"/>
        <v>-</v>
      </c>
      <c r="N18" s="20"/>
      <c r="O18" s="21"/>
      <c r="P18" s="139" t="str">
        <f t="shared" si="4"/>
        <v>-</v>
      </c>
      <c r="Q18" s="20">
        <v>0</v>
      </c>
      <c r="R18" s="21">
        <v>0</v>
      </c>
      <c r="S18" s="139" t="str">
        <f t="shared" si="5"/>
        <v>-</v>
      </c>
      <c r="T18" s="20">
        <v>15</v>
      </c>
      <c r="U18" s="21">
        <v>3</v>
      </c>
      <c r="V18" s="139">
        <f t="shared" si="6"/>
        <v>5</v>
      </c>
      <c r="W18" s="20">
        <v>12</v>
      </c>
      <c r="X18" s="21">
        <v>2</v>
      </c>
      <c r="Y18" s="278">
        <f t="shared" si="7"/>
        <v>6</v>
      </c>
      <c r="Z18" s="20">
        <v>0</v>
      </c>
      <c r="AA18" s="21">
        <v>0</v>
      </c>
      <c r="AB18" s="280" t="str">
        <f t="shared" si="26"/>
        <v>-</v>
      </c>
      <c r="AC18" s="23">
        <v>0</v>
      </c>
      <c r="AD18" s="21">
        <v>0</v>
      </c>
      <c r="AE18" s="139" t="str">
        <f t="shared" si="66"/>
        <v>-</v>
      </c>
      <c r="AF18" s="20">
        <v>0</v>
      </c>
      <c r="AG18" s="21">
        <v>0</v>
      </c>
      <c r="AH18" s="139" t="str">
        <f t="shared" si="67"/>
        <v>-</v>
      </c>
      <c r="AI18" s="20">
        <v>0</v>
      </c>
      <c r="AJ18" s="21">
        <v>0</v>
      </c>
      <c r="AK18" s="139" t="str">
        <f t="shared" si="68"/>
        <v>-</v>
      </c>
      <c r="AL18" s="20">
        <v>0</v>
      </c>
      <c r="AM18" s="21">
        <v>0</v>
      </c>
      <c r="AN18" s="139" t="str">
        <f t="shared" si="69"/>
        <v>-</v>
      </c>
      <c r="AO18" s="20">
        <v>0</v>
      </c>
      <c r="AP18" s="21">
        <v>0</v>
      </c>
      <c r="AQ18" s="139" t="str">
        <f t="shared" si="70"/>
        <v>-</v>
      </c>
      <c r="AR18" s="20">
        <v>0</v>
      </c>
      <c r="AS18" s="21">
        <v>0</v>
      </c>
      <c r="AT18" s="139" t="str">
        <f t="shared" si="71"/>
        <v>-</v>
      </c>
      <c r="AU18" s="252">
        <v>0</v>
      </c>
      <c r="AV18" s="253">
        <v>0</v>
      </c>
      <c r="AW18" s="139" t="str">
        <f t="shared" si="15"/>
        <v>-</v>
      </c>
      <c r="AX18" s="252">
        <v>0</v>
      </c>
      <c r="AY18" s="253">
        <v>0</v>
      </c>
      <c r="AZ18" s="139" t="str">
        <f t="shared" si="72"/>
        <v>-</v>
      </c>
      <c r="BA18" s="252">
        <v>0</v>
      </c>
      <c r="BB18" s="253">
        <v>0</v>
      </c>
      <c r="BC18" s="139" t="str">
        <f t="shared" si="73"/>
        <v>-</v>
      </c>
      <c r="BD18" s="252">
        <v>0</v>
      </c>
      <c r="BE18" s="253">
        <v>0</v>
      </c>
      <c r="BF18" s="139" t="str">
        <f t="shared" si="79"/>
        <v>-</v>
      </c>
      <c r="BG18" s="252">
        <v>0</v>
      </c>
      <c r="BH18" s="253">
        <v>0</v>
      </c>
      <c r="BI18" s="139" t="str">
        <f t="shared" si="74"/>
        <v>-</v>
      </c>
      <c r="BJ18" s="20">
        <v>0</v>
      </c>
      <c r="BK18" s="21">
        <v>0</v>
      </c>
      <c r="BL18" s="139" t="str">
        <f t="shared" si="20"/>
        <v>-</v>
      </c>
      <c r="BM18" s="20">
        <v>0</v>
      </c>
      <c r="BN18" s="21">
        <v>0</v>
      </c>
      <c r="BO18" s="139" t="str">
        <f t="shared" si="75"/>
        <v>-</v>
      </c>
      <c r="BP18" s="20">
        <v>0</v>
      </c>
      <c r="BQ18" s="21">
        <v>0</v>
      </c>
      <c r="BR18" s="139">
        <v>0</v>
      </c>
      <c r="BS18" s="20">
        <v>0</v>
      </c>
      <c r="BT18" s="21">
        <v>0</v>
      </c>
      <c r="BU18" s="139" t="str">
        <f t="shared" si="76"/>
        <v>-</v>
      </c>
      <c r="BV18" s="117">
        <f t="shared" si="27"/>
        <v>27</v>
      </c>
      <c r="BW18" s="120">
        <f t="shared" si="39"/>
        <v>3</v>
      </c>
      <c r="BX18" s="147">
        <f t="shared" si="40"/>
        <v>9</v>
      </c>
    </row>
    <row r="19" spans="1:76" ht="15" thickBot="1" x14ac:dyDescent="0.35">
      <c r="A19" s="294">
        <v>45488</v>
      </c>
      <c r="B19" s="20">
        <v>76</v>
      </c>
      <c r="C19" s="21">
        <v>9</v>
      </c>
      <c r="D19" s="139">
        <f t="shared" si="0"/>
        <v>8.4444444444444446</v>
      </c>
      <c r="E19" s="20">
        <v>0</v>
      </c>
      <c r="F19" s="21">
        <v>0</v>
      </c>
      <c r="G19" s="139" t="str">
        <f t="shared" si="1"/>
        <v>-</v>
      </c>
      <c r="H19" s="20">
        <v>0</v>
      </c>
      <c r="I19" s="21">
        <v>0</v>
      </c>
      <c r="J19" s="139" t="str">
        <f t="shared" si="28"/>
        <v>-</v>
      </c>
      <c r="K19" s="20">
        <v>8</v>
      </c>
      <c r="L19" s="21">
        <v>1</v>
      </c>
      <c r="M19" s="139">
        <f t="shared" si="3"/>
        <v>8</v>
      </c>
      <c r="N19" s="20"/>
      <c r="O19" s="21"/>
      <c r="P19" s="139" t="str">
        <f t="shared" si="4"/>
        <v>-</v>
      </c>
      <c r="Q19" s="20">
        <v>17</v>
      </c>
      <c r="R19" s="21">
        <v>3</v>
      </c>
      <c r="S19" s="139">
        <f t="shared" si="5"/>
        <v>5.666666666666667</v>
      </c>
      <c r="T19" s="20">
        <v>0</v>
      </c>
      <c r="U19" s="21">
        <v>0</v>
      </c>
      <c r="V19" s="139" t="str">
        <f t="shared" si="6"/>
        <v>-</v>
      </c>
      <c r="W19" s="20">
        <v>0</v>
      </c>
      <c r="X19" s="21">
        <v>0</v>
      </c>
      <c r="Y19" s="278" t="str">
        <f t="shared" si="7"/>
        <v>-</v>
      </c>
      <c r="Z19" s="20">
        <v>0</v>
      </c>
      <c r="AA19" s="21">
        <v>0</v>
      </c>
      <c r="AB19" s="280" t="str">
        <f t="shared" si="26"/>
        <v>-</v>
      </c>
      <c r="AC19" s="23">
        <v>12</v>
      </c>
      <c r="AD19" s="21">
        <v>2</v>
      </c>
      <c r="AE19" s="139">
        <f t="shared" si="9"/>
        <v>6</v>
      </c>
      <c r="AF19" s="20">
        <v>0</v>
      </c>
      <c r="AG19" s="21">
        <v>0</v>
      </c>
      <c r="AH19" s="139" t="str">
        <f t="shared" si="29"/>
        <v>-</v>
      </c>
      <c r="AI19" s="20">
        <v>0</v>
      </c>
      <c r="AJ19" s="21">
        <v>0</v>
      </c>
      <c r="AK19" s="139" t="str">
        <f t="shared" si="11"/>
        <v>-</v>
      </c>
      <c r="AL19" s="20">
        <v>0</v>
      </c>
      <c r="AM19" s="21">
        <v>0</v>
      </c>
      <c r="AN19" s="139" t="str">
        <f t="shared" si="12"/>
        <v>-</v>
      </c>
      <c r="AO19" s="20">
        <v>0</v>
      </c>
      <c r="AP19" s="21">
        <v>0</v>
      </c>
      <c r="AQ19" s="139" t="str">
        <f t="shared" si="13"/>
        <v>-</v>
      </c>
      <c r="AR19" s="20">
        <v>0</v>
      </c>
      <c r="AS19" s="21">
        <v>0</v>
      </c>
      <c r="AT19" s="139" t="str">
        <f t="shared" si="14"/>
        <v>-</v>
      </c>
      <c r="AU19" s="252">
        <v>19</v>
      </c>
      <c r="AV19" s="253">
        <v>3</v>
      </c>
      <c r="AW19" s="139">
        <f t="shared" si="15"/>
        <v>6.333333333333333</v>
      </c>
      <c r="AX19" s="252">
        <v>7</v>
      </c>
      <c r="AY19" s="253">
        <v>1</v>
      </c>
      <c r="AZ19" s="139">
        <f t="shared" si="16"/>
        <v>7</v>
      </c>
      <c r="BA19" s="252">
        <v>35</v>
      </c>
      <c r="BB19" s="253">
        <v>5</v>
      </c>
      <c r="BC19" s="139">
        <f t="shared" si="17"/>
        <v>7</v>
      </c>
      <c r="BD19" s="252">
        <v>0</v>
      </c>
      <c r="BE19" s="253">
        <v>0</v>
      </c>
      <c r="BF19" s="139" t="str">
        <f t="shared" si="18"/>
        <v>-</v>
      </c>
      <c r="BG19" s="252">
        <v>0</v>
      </c>
      <c r="BH19" s="253">
        <v>0</v>
      </c>
      <c r="BI19" s="139" t="str">
        <f t="shared" si="19"/>
        <v>-</v>
      </c>
      <c r="BJ19" s="289">
        <v>0</v>
      </c>
      <c r="BK19" s="253">
        <v>0</v>
      </c>
      <c r="BL19" s="139" t="str">
        <f t="shared" si="20"/>
        <v>-</v>
      </c>
      <c r="BM19" s="252">
        <v>0</v>
      </c>
      <c r="BN19" s="253">
        <v>0</v>
      </c>
      <c r="BO19" s="139" t="str">
        <f t="shared" si="21"/>
        <v>-</v>
      </c>
      <c r="BP19" s="252">
        <v>0</v>
      </c>
      <c r="BQ19" s="253">
        <v>0</v>
      </c>
      <c r="BR19" s="139" t="str">
        <f t="shared" si="22"/>
        <v>-</v>
      </c>
      <c r="BS19" s="252">
        <v>0</v>
      </c>
      <c r="BT19" s="253">
        <v>0</v>
      </c>
      <c r="BU19" s="139" t="str">
        <f t="shared" si="23"/>
        <v>-</v>
      </c>
      <c r="BV19" s="117">
        <f t="shared" si="27"/>
        <v>174</v>
      </c>
      <c r="BW19" s="120">
        <f t="shared" si="39"/>
        <v>24</v>
      </c>
      <c r="BX19" s="147">
        <f t="shared" si="40"/>
        <v>7.25</v>
      </c>
    </row>
    <row r="20" spans="1:76" ht="15" thickBot="1" x14ac:dyDescent="0.35">
      <c r="A20" s="294">
        <v>45489</v>
      </c>
      <c r="B20" s="20">
        <v>40</v>
      </c>
      <c r="C20" s="21">
        <v>5</v>
      </c>
      <c r="D20" s="139">
        <f t="shared" si="0"/>
        <v>8</v>
      </c>
      <c r="E20" s="20">
        <v>16</v>
      </c>
      <c r="F20" s="21">
        <v>2</v>
      </c>
      <c r="G20" s="139">
        <f t="shared" si="1"/>
        <v>8</v>
      </c>
      <c r="H20" s="20">
        <v>0</v>
      </c>
      <c r="I20" s="21">
        <v>0</v>
      </c>
      <c r="J20" s="139" t="str">
        <f t="shared" si="28"/>
        <v>-</v>
      </c>
      <c r="K20" s="20">
        <v>33</v>
      </c>
      <c r="L20" s="21">
        <v>4</v>
      </c>
      <c r="M20" s="139">
        <f t="shared" si="3"/>
        <v>8.25</v>
      </c>
      <c r="N20" s="20"/>
      <c r="O20" s="21"/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41</v>
      </c>
      <c r="U20" s="21">
        <v>7</v>
      </c>
      <c r="V20" s="139">
        <f t="shared" si="6"/>
        <v>5.8571428571428568</v>
      </c>
      <c r="W20" s="20">
        <v>6</v>
      </c>
      <c r="X20" s="21">
        <v>1</v>
      </c>
      <c r="Y20" s="278">
        <f t="shared" si="7"/>
        <v>6</v>
      </c>
      <c r="Z20" s="20">
        <v>0</v>
      </c>
      <c r="AA20" s="21">
        <v>0</v>
      </c>
      <c r="AB20" s="280" t="str">
        <f t="shared" si="26"/>
        <v>-</v>
      </c>
      <c r="AC20" s="23">
        <v>0</v>
      </c>
      <c r="AD20" s="21">
        <v>0</v>
      </c>
      <c r="AE20" s="139" t="str">
        <f t="shared" si="9"/>
        <v>-</v>
      </c>
      <c r="AF20" s="20">
        <v>0</v>
      </c>
      <c r="AG20" s="21">
        <v>0</v>
      </c>
      <c r="AH20" s="139" t="str">
        <f t="shared" si="29"/>
        <v>-</v>
      </c>
      <c r="AI20" s="20">
        <v>0</v>
      </c>
      <c r="AJ20" s="21">
        <v>0</v>
      </c>
      <c r="AK20" s="139" t="str">
        <f t="shared" si="11"/>
        <v>-</v>
      </c>
      <c r="AL20" s="20">
        <v>0</v>
      </c>
      <c r="AM20" s="21">
        <v>0</v>
      </c>
      <c r="AN20" s="139" t="str">
        <f t="shared" si="12"/>
        <v>-</v>
      </c>
      <c r="AO20" s="20">
        <v>0</v>
      </c>
      <c r="AP20" s="21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14"/>
        <v>-</v>
      </c>
      <c r="AU20" s="20">
        <v>22</v>
      </c>
      <c r="AV20" s="21">
        <v>3</v>
      </c>
      <c r="AW20" s="139">
        <f t="shared" si="15"/>
        <v>7.333333333333333</v>
      </c>
      <c r="AX20" s="20">
        <v>7</v>
      </c>
      <c r="AY20" s="21">
        <v>1</v>
      </c>
      <c r="AZ20" s="139">
        <f t="shared" si="16"/>
        <v>7</v>
      </c>
      <c r="BA20" s="20">
        <v>7</v>
      </c>
      <c r="BB20" s="21">
        <v>1</v>
      </c>
      <c r="BC20" s="139">
        <f t="shared" si="17"/>
        <v>7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33</v>
      </c>
      <c r="BK20" s="21">
        <v>5</v>
      </c>
      <c r="BL20" s="139">
        <f t="shared" si="20"/>
        <v>6.6</v>
      </c>
      <c r="BM20" s="20">
        <v>0</v>
      </c>
      <c r="BN20" s="21">
        <v>0</v>
      </c>
      <c r="BO20" s="139" t="str">
        <f t="shared" si="21"/>
        <v>-</v>
      </c>
      <c r="BP20" s="20">
        <v>0</v>
      </c>
      <c r="BQ20" s="21">
        <v>0</v>
      </c>
      <c r="BR20" s="139" t="str">
        <f t="shared" si="22"/>
        <v>-</v>
      </c>
      <c r="BS20" s="20">
        <v>0</v>
      </c>
      <c r="BT20" s="21">
        <v>0</v>
      </c>
      <c r="BU20" s="139" t="str">
        <f t="shared" si="23"/>
        <v>-</v>
      </c>
      <c r="BV20" s="117">
        <f t="shared" si="27"/>
        <v>205</v>
      </c>
      <c r="BW20" s="120">
        <f t="shared" si="39"/>
        <v>28</v>
      </c>
      <c r="BX20" s="147">
        <f t="shared" si="40"/>
        <v>7.3214285714285712</v>
      </c>
    </row>
    <row r="21" spans="1:76" ht="15" thickBot="1" x14ac:dyDescent="0.35">
      <c r="A21" s="294">
        <v>45490</v>
      </c>
      <c r="B21" s="20">
        <v>40</v>
      </c>
      <c r="C21" s="21">
        <v>5</v>
      </c>
      <c r="D21" s="139">
        <f t="shared" si="0"/>
        <v>8</v>
      </c>
      <c r="E21" s="20">
        <v>8</v>
      </c>
      <c r="F21" s="21">
        <v>1</v>
      </c>
      <c r="G21" s="139">
        <f t="shared" si="1"/>
        <v>8</v>
      </c>
      <c r="H21" s="20">
        <v>0</v>
      </c>
      <c r="I21" s="21">
        <v>0</v>
      </c>
      <c r="J21" s="139" t="str">
        <f t="shared" si="28"/>
        <v>-</v>
      </c>
      <c r="K21" s="20">
        <v>8</v>
      </c>
      <c r="L21" s="21">
        <v>1</v>
      </c>
      <c r="M21" s="139">
        <f t="shared" si="3"/>
        <v>8</v>
      </c>
      <c r="N21" s="20"/>
      <c r="O21" s="21"/>
      <c r="P21" s="139" t="str">
        <f t="shared" si="4"/>
        <v>-</v>
      </c>
      <c r="Q21" s="20">
        <v>60</v>
      </c>
      <c r="R21" s="21">
        <v>11</v>
      </c>
      <c r="S21" s="139">
        <f t="shared" si="5"/>
        <v>5.4545454545454541</v>
      </c>
      <c r="T21" s="20">
        <v>96</v>
      </c>
      <c r="U21" s="21">
        <v>20</v>
      </c>
      <c r="V21" s="139">
        <f t="shared" si="6"/>
        <v>4.8</v>
      </c>
      <c r="W21" s="20">
        <v>0</v>
      </c>
      <c r="X21" s="21">
        <v>0</v>
      </c>
      <c r="Y21" s="278" t="str">
        <f t="shared" si="7"/>
        <v>-</v>
      </c>
      <c r="Z21" s="20">
        <v>0</v>
      </c>
      <c r="AA21" s="21">
        <v>0</v>
      </c>
      <c r="AB21" s="280" t="str">
        <f t="shared" si="26"/>
        <v>-</v>
      </c>
      <c r="AC21" s="23">
        <v>0</v>
      </c>
      <c r="AD21" s="21">
        <v>0</v>
      </c>
      <c r="AE21" s="139" t="str">
        <f t="shared" si="9"/>
        <v>-</v>
      </c>
      <c r="AF21" s="20">
        <v>0</v>
      </c>
      <c r="AG21" s="21">
        <v>0</v>
      </c>
      <c r="AH21" s="139" t="str">
        <f t="shared" si="29"/>
        <v>-</v>
      </c>
      <c r="AI21" s="20">
        <v>0</v>
      </c>
      <c r="AJ21" s="21">
        <v>0</v>
      </c>
      <c r="AK21" s="139" t="str">
        <f t="shared" si="11"/>
        <v>-</v>
      </c>
      <c r="AL21" s="20">
        <v>0</v>
      </c>
      <c r="AM21" s="21">
        <v>0</v>
      </c>
      <c r="AN21" s="139" t="str">
        <f t="shared" si="12"/>
        <v>-</v>
      </c>
      <c r="AO21" s="20">
        <v>1</v>
      </c>
      <c r="AP21" s="21">
        <v>1</v>
      </c>
      <c r="AQ21" s="139">
        <f t="shared" si="13"/>
        <v>1</v>
      </c>
      <c r="AR21" s="20">
        <v>0</v>
      </c>
      <c r="AS21" s="21">
        <v>0</v>
      </c>
      <c r="AT21" s="139" t="str">
        <f t="shared" ref="AT21:AT22" si="80">IF(AS21=0,"-",AR21/AS21)</f>
        <v>-</v>
      </c>
      <c r="AU21" s="20">
        <v>26</v>
      </c>
      <c r="AV21" s="21">
        <v>4</v>
      </c>
      <c r="AW21" s="139">
        <f t="shared" si="15"/>
        <v>6.5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0</v>
      </c>
      <c r="BH21" s="21">
        <v>0</v>
      </c>
      <c r="BI21" s="139" t="str">
        <f t="shared" si="19"/>
        <v>-</v>
      </c>
      <c r="BJ21" s="20">
        <v>14</v>
      </c>
      <c r="BK21" s="21">
        <v>2</v>
      </c>
      <c r="BL21" s="139">
        <f t="shared" si="20"/>
        <v>7</v>
      </c>
      <c r="BM21" s="20">
        <v>0</v>
      </c>
      <c r="BN21" s="21">
        <v>0</v>
      </c>
      <c r="BO21" s="139" t="str">
        <f t="shared" si="21"/>
        <v>-</v>
      </c>
      <c r="BP21" s="20">
        <v>0</v>
      </c>
      <c r="BQ21" s="21">
        <v>0</v>
      </c>
      <c r="BR21" s="139" t="str">
        <f t="shared" si="22"/>
        <v>-</v>
      </c>
      <c r="BS21" s="20">
        <v>0</v>
      </c>
      <c r="BT21" s="21">
        <v>0</v>
      </c>
      <c r="BU21" s="139" t="str">
        <f t="shared" si="23"/>
        <v>-</v>
      </c>
      <c r="BV21" s="117">
        <f t="shared" si="27"/>
        <v>253</v>
      </c>
      <c r="BW21" s="120">
        <f t="shared" si="39"/>
        <v>45</v>
      </c>
      <c r="BX21" s="147">
        <f t="shared" si="40"/>
        <v>5.6222222222222218</v>
      </c>
    </row>
    <row r="22" spans="1:76" ht="15" thickBot="1" x14ac:dyDescent="0.35">
      <c r="A22" s="294">
        <v>45491</v>
      </c>
      <c r="B22" s="20">
        <v>92</v>
      </c>
      <c r="C22" s="21">
        <v>11</v>
      </c>
      <c r="D22" s="139">
        <f t="shared" si="0"/>
        <v>8.3636363636363633</v>
      </c>
      <c r="E22" s="20">
        <v>8</v>
      </c>
      <c r="F22" s="21">
        <v>1</v>
      </c>
      <c r="G22" s="139">
        <f t="shared" si="1"/>
        <v>8</v>
      </c>
      <c r="H22" s="20">
        <v>0</v>
      </c>
      <c r="I22" s="21">
        <v>0</v>
      </c>
      <c r="J22" s="139" t="str">
        <f t="shared" si="28"/>
        <v>-</v>
      </c>
      <c r="K22" s="20">
        <v>24</v>
      </c>
      <c r="L22" s="21">
        <v>3</v>
      </c>
      <c r="M22" s="139">
        <f t="shared" si="3"/>
        <v>8</v>
      </c>
      <c r="N22" s="20"/>
      <c r="O22" s="21"/>
      <c r="P22" s="139" t="str">
        <f t="shared" si="4"/>
        <v>-</v>
      </c>
      <c r="Q22" s="20">
        <v>30</v>
      </c>
      <c r="R22" s="21">
        <v>6</v>
      </c>
      <c r="S22" s="139">
        <f t="shared" si="5"/>
        <v>5</v>
      </c>
      <c r="T22" s="20">
        <v>42</v>
      </c>
      <c r="U22" s="21">
        <v>9</v>
      </c>
      <c r="V22" s="139">
        <f t="shared" si="6"/>
        <v>4.666666666666667</v>
      </c>
      <c r="W22" s="20">
        <v>0</v>
      </c>
      <c r="X22" s="21">
        <v>0</v>
      </c>
      <c r="Y22" s="278" t="str">
        <f t="shared" si="7"/>
        <v>-</v>
      </c>
      <c r="Z22" s="20">
        <v>0</v>
      </c>
      <c r="AA22" s="21">
        <v>0</v>
      </c>
      <c r="AB22" s="280" t="str">
        <f t="shared" si="26"/>
        <v>-</v>
      </c>
      <c r="AC22" s="23">
        <v>0</v>
      </c>
      <c r="AD22" s="21">
        <v>0</v>
      </c>
      <c r="AE22" s="139" t="str">
        <f t="shared" si="9"/>
        <v>-</v>
      </c>
      <c r="AF22" s="20">
        <v>0</v>
      </c>
      <c r="AG22" s="21">
        <v>0</v>
      </c>
      <c r="AH22" s="139" t="str">
        <f t="shared" ref="AH22" si="81">IF(AG22=0,"-",AF22/AG22)</f>
        <v>-</v>
      </c>
      <c r="AI22" s="20">
        <v>0</v>
      </c>
      <c r="AJ22" s="21">
        <v>0</v>
      </c>
      <c r="AK22" s="139" t="str">
        <f t="shared" ref="AK22" si="82">IF(AJ22=0,"-",AI22/AJ22)</f>
        <v>-</v>
      </c>
      <c r="AL22" s="20">
        <v>0</v>
      </c>
      <c r="AM22" s="21">
        <v>0</v>
      </c>
      <c r="AN22" s="139" t="str">
        <f t="shared" ref="AN22" si="83">IF(AM22=0,"-",AL22/AM22)</f>
        <v>-</v>
      </c>
      <c r="AO22" s="20">
        <v>0</v>
      </c>
      <c r="AP22" s="21">
        <v>0</v>
      </c>
      <c r="AQ22" s="139" t="str">
        <f t="shared" si="13"/>
        <v>-</v>
      </c>
      <c r="AR22" s="20">
        <v>0</v>
      </c>
      <c r="AS22" s="21">
        <v>0</v>
      </c>
      <c r="AT22" s="139" t="str">
        <f t="shared" si="80"/>
        <v>-</v>
      </c>
      <c r="AU22" s="252">
        <v>6</v>
      </c>
      <c r="AV22" s="253">
        <v>1</v>
      </c>
      <c r="AW22" s="139">
        <f t="shared" si="15"/>
        <v>6</v>
      </c>
      <c r="AX22" s="20">
        <v>0</v>
      </c>
      <c r="AY22" s="21">
        <v>0</v>
      </c>
      <c r="AZ22" s="139" t="str">
        <f t="shared" ref="AZ22" si="84">IF(AY22=0,"-",AX22/AY22)</f>
        <v>-</v>
      </c>
      <c r="BA22" s="20">
        <v>0</v>
      </c>
      <c r="BB22" s="21">
        <v>0</v>
      </c>
      <c r="BC22" s="139" t="str">
        <f t="shared" ref="BC22" si="85">IF(BB22=0,"-",BA22/BB22)</f>
        <v>-</v>
      </c>
      <c r="BD22" s="20">
        <v>0</v>
      </c>
      <c r="BE22" s="21">
        <v>0</v>
      </c>
      <c r="BF22" s="139" t="str">
        <f t="shared" ref="BF22" si="86">IF(BE22=0,"-",BD22/BE22)</f>
        <v>-</v>
      </c>
      <c r="BG22" s="20">
        <v>0</v>
      </c>
      <c r="BH22" s="21">
        <v>0</v>
      </c>
      <c r="BI22" s="139" t="str">
        <f t="shared" ref="BI22" si="87">IF(BH22=0,"-",BG22/BH22)</f>
        <v>-</v>
      </c>
      <c r="BJ22" s="20">
        <v>0</v>
      </c>
      <c r="BK22" s="21">
        <v>0</v>
      </c>
      <c r="BL22" s="139" t="str">
        <f t="shared" si="20"/>
        <v>-</v>
      </c>
      <c r="BM22" s="20">
        <v>0</v>
      </c>
      <c r="BN22" s="21">
        <v>0</v>
      </c>
      <c r="BO22" s="139" t="str">
        <f t="shared" si="21"/>
        <v>-</v>
      </c>
      <c r="BP22" s="20">
        <v>0</v>
      </c>
      <c r="BQ22" s="21">
        <v>0</v>
      </c>
      <c r="BR22" s="139" t="str">
        <f t="shared" si="22"/>
        <v>-</v>
      </c>
      <c r="BS22" s="20">
        <v>0</v>
      </c>
      <c r="BT22" s="21">
        <v>0</v>
      </c>
      <c r="BU22" s="139" t="str">
        <f t="shared" si="23"/>
        <v>-</v>
      </c>
      <c r="BV22" s="117">
        <f t="shared" si="27"/>
        <v>202</v>
      </c>
      <c r="BW22" s="120">
        <f t="shared" si="39"/>
        <v>31</v>
      </c>
      <c r="BX22" s="147">
        <f t="shared" si="40"/>
        <v>6.5161290322580649</v>
      </c>
    </row>
    <row r="23" spans="1:76" ht="15" thickBot="1" x14ac:dyDescent="0.35">
      <c r="A23" s="294">
        <v>45492</v>
      </c>
      <c r="B23" s="20">
        <v>52</v>
      </c>
      <c r="C23" s="21">
        <v>6</v>
      </c>
      <c r="D23" s="139">
        <f t="shared" si="0"/>
        <v>8.6666666666666661</v>
      </c>
      <c r="E23" s="20">
        <v>0</v>
      </c>
      <c r="F23" s="21">
        <v>0</v>
      </c>
      <c r="G23" s="139" t="str">
        <f t="shared" si="1"/>
        <v>-</v>
      </c>
      <c r="H23" s="20">
        <v>0</v>
      </c>
      <c r="I23" s="21">
        <v>0</v>
      </c>
      <c r="J23" s="139" t="str">
        <f t="shared" si="28"/>
        <v>-</v>
      </c>
      <c r="K23" s="20">
        <v>17</v>
      </c>
      <c r="L23" s="21">
        <v>2</v>
      </c>
      <c r="M23" s="139">
        <f t="shared" si="3"/>
        <v>8.5</v>
      </c>
      <c r="N23" s="20"/>
      <c r="O23" s="21"/>
      <c r="P23" s="139" t="str">
        <f t="shared" si="4"/>
        <v>-</v>
      </c>
      <c r="Q23" s="20">
        <v>40</v>
      </c>
      <c r="R23" s="21">
        <v>8</v>
      </c>
      <c r="S23" s="139">
        <f t="shared" si="5"/>
        <v>5</v>
      </c>
      <c r="T23" s="20">
        <v>0</v>
      </c>
      <c r="U23" s="21">
        <v>0</v>
      </c>
      <c r="V23" s="139" t="str">
        <f t="shared" si="6"/>
        <v>-</v>
      </c>
      <c r="W23" s="20">
        <v>0</v>
      </c>
      <c r="X23" s="21">
        <v>0</v>
      </c>
      <c r="Y23" s="278" t="str">
        <f t="shared" si="7"/>
        <v>-</v>
      </c>
      <c r="Z23" s="20">
        <v>0</v>
      </c>
      <c r="AA23" s="21">
        <v>0</v>
      </c>
      <c r="AB23" s="280" t="str">
        <f t="shared" si="26"/>
        <v>-</v>
      </c>
      <c r="AC23" s="23">
        <v>0</v>
      </c>
      <c r="AD23" s="21">
        <v>0</v>
      </c>
      <c r="AE23" s="139" t="str">
        <f t="shared" ref="AE23:AE25" si="88">IF(AD23=0,"-",AC23/AD23)</f>
        <v>-</v>
      </c>
      <c r="AF23" s="20">
        <v>0</v>
      </c>
      <c r="AG23" s="21">
        <v>0</v>
      </c>
      <c r="AH23" s="139" t="str">
        <f t="shared" ref="AH23:AH25" si="89">IF(AG23=0,"-",AF23/AG23)</f>
        <v>-</v>
      </c>
      <c r="AI23" s="20">
        <v>2</v>
      </c>
      <c r="AJ23" s="21">
        <v>1</v>
      </c>
      <c r="AK23" s="139">
        <f t="shared" ref="AK23:AK25" si="90">IF(AJ23=0,"-",AI23/AJ23)</f>
        <v>2</v>
      </c>
      <c r="AL23" s="20">
        <v>0</v>
      </c>
      <c r="AM23" s="21">
        <v>0</v>
      </c>
      <c r="AN23" s="139" t="str">
        <f t="shared" ref="AN23:AN25" si="91">IF(AM23=0,"-",AL23/AM23)</f>
        <v>-</v>
      </c>
      <c r="AO23" s="20">
        <v>0</v>
      </c>
      <c r="AP23" s="21">
        <v>0</v>
      </c>
      <c r="AQ23" s="139" t="str">
        <f t="shared" ref="AQ23:AQ25" si="92">IF(AP23=0,"-",AO23/AP23)</f>
        <v>-</v>
      </c>
      <c r="AR23" s="20">
        <v>0</v>
      </c>
      <c r="AS23" s="21">
        <v>0</v>
      </c>
      <c r="AT23" s="139" t="str">
        <f t="shared" ref="AT23:AT25" si="93">IF(AS23=0,"-",AR23/AS23)</f>
        <v>-</v>
      </c>
      <c r="AU23" s="252">
        <v>7</v>
      </c>
      <c r="AV23" s="253">
        <v>1</v>
      </c>
      <c r="AW23" s="139">
        <f t="shared" si="15"/>
        <v>7</v>
      </c>
      <c r="AX23" s="20">
        <v>0</v>
      </c>
      <c r="AY23" s="21">
        <v>0</v>
      </c>
      <c r="AZ23" s="139" t="str">
        <f t="shared" ref="AZ23:AZ25" si="94">IF(AY23=0,"-",AX23/AY23)</f>
        <v>-</v>
      </c>
      <c r="BA23" s="20">
        <v>0</v>
      </c>
      <c r="BB23" s="21">
        <v>0</v>
      </c>
      <c r="BC23" s="139" t="str">
        <f t="shared" ref="BC23:BC25" si="95">IF(BB23=0,"-",BA23/BB23)</f>
        <v>-</v>
      </c>
      <c r="BD23" s="257">
        <v>7</v>
      </c>
      <c r="BE23" s="253">
        <v>1</v>
      </c>
      <c r="BF23" s="139">
        <f t="shared" si="18"/>
        <v>7</v>
      </c>
      <c r="BG23" s="20">
        <v>0</v>
      </c>
      <c r="BH23" s="21">
        <v>0</v>
      </c>
      <c r="BI23" s="139" t="str">
        <f t="shared" ref="BI23:BI25" si="96">IF(BH23=0,"-",BG23/BH23)</f>
        <v>-</v>
      </c>
      <c r="BJ23" s="20">
        <v>6</v>
      </c>
      <c r="BK23" s="21">
        <v>1</v>
      </c>
      <c r="BL23" s="139">
        <f t="shared" si="20"/>
        <v>6</v>
      </c>
      <c r="BM23" s="20">
        <v>0</v>
      </c>
      <c r="BN23" s="21">
        <v>0</v>
      </c>
      <c r="BO23" s="139" t="str">
        <f t="shared" ref="BO23:BO25" si="97">IF(BN23=0,"-",BM23/BN23)</f>
        <v>-</v>
      </c>
      <c r="BP23" s="20">
        <v>0</v>
      </c>
      <c r="BQ23" s="21">
        <v>0</v>
      </c>
      <c r="BR23" s="139" t="str">
        <f t="shared" ref="BR23:BR25" si="98">IF(BQ23=0,"-",BP23/BQ23)</f>
        <v>-</v>
      </c>
      <c r="BS23" s="20">
        <v>0</v>
      </c>
      <c r="BT23" s="21">
        <v>0</v>
      </c>
      <c r="BU23" s="139" t="str">
        <f t="shared" ref="BU23:BU25" si="99">IF(BT23=0,"-",BS23/BT23)</f>
        <v>-</v>
      </c>
      <c r="BV23" s="117">
        <f t="shared" si="27"/>
        <v>131</v>
      </c>
      <c r="BW23" s="120">
        <f t="shared" si="39"/>
        <v>20</v>
      </c>
      <c r="BX23" s="147">
        <f t="shared" si="40"/>
        <v>6.55</v>
      </c>
    </row>
    <row r="24" spans="1:76" ht="15" thickBot="1" x14ac:dyDescent="0.35">
      <c r="A24" s="294">
        <v>45493</v>
      </c>
      <c r="B24" s="20">
        <v>53</v>
      </c>
      <c r="C24" s="21">
        <v>6</v>
      </c>
      <c r="D24" s="139">
        <f t="shared" si="0"/>
        <v>8.8333333333333339</v>
      </c>
      <c r="E24" s="20">
        <v>9</v>
      </c>
      <c r="F24" s="21">
        <v>1</v>
      </c>
      <c r="G24" s="139">
        <f t="shared" si="1"/>
        <v>9</v>
      </c>
      <c r="H24" s="20">
        <v>0</v>
      </c>
      <c r="I24" s="21">
        <v>0</v>
      </c>
      <c r="J24" s="139" t="str">
        <f t="shared" si="28"/>
        <v>-</v>
      </c>
      <c r="K24" s="20">
        <v>25</v>
      </c>
      <c r="L24" s="21">
        <v>3</v>
      </c>
      <c r="M24" s="139">
        <f t="shared" si="3"/>
        <v>8.3333333333333339</v>
      </c>
      <c r="N24" s="20"/>
      <c r="O24" s="21"/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0</v>
      </c>
      <c r="U24" s="21">
        <v>0</v>
      </c>
      <c r="V24" s="139" t="str">
        <f t="shared" si="6"/>
        <v>-</v>
      </c>
      <c r="W24" s="20">
        <v>12</v>
      </c>
      <c r="X24" s="21">
        <v>2</v>
      </c>
      <c r="Y24" s="278">
        <f>IF(X24=0,"-",W24/X24)</f>
        <v>6</v>
      </c>
      <c r="Z24" s="20">
        <v>0</v>
      </c>
      <c r="AA24" s="21">
        <v>0</v>
      </c>
      <c r="AB24" s="280" t="str">
        <f t="shared" si="26"/>
        <v>-</v>
      </c>
      <c r="AC24" s="23">
        <v>0</v>
      </c>
      <c r="AD24" s="21">
        <v>0</v>
      </c>
      <c r="AE24" s="139" t="str">
        <f t="shared" si="88"/>
        <v>-</v>
      </c>
      <c r="AF24" s="20">
        <v>0</v>
      </c>
      <c r="AG24" s="21">
        <v>0</v>
      </c>
      <c r="AH24" s="139" t="str">
        <f t="shared" si="89"/>
        <v>-</v>
      </c>
      <c r="AI24" s="20">
        <v>0</v>
      </c>
      <c r="AJ24" s="21">
        <v>0</v>
      </c>
      <c r="AK24" s="139" t="str">
        <f t="shared" si="90"/>
        <v>-</v>
      </c>
      <c r="AL24" s="20">
        <v>0</v>
      </c>
      <c r="AM24" s="21">
        <v>0</v>
      </c>
      <c r="AN24" s="139" t="str">
        <f t="shared" si="91"/>
        <v>-</v>
      </c>
      <c r="AO24" s="20">
        <v>0</v>
      </c>
      <c r="AP24" s="21">
        <v>0</v>
      </c>
      <c r="AQ24" s="139" t="str">
        <f t="shared" si="92"/>
        <v>-</v>
      </c>
      <c r="AR24" s="20">
        <v>0</v>
      </c>
      <c r="AS24" s="21">
        <v>0</v>
      </c>
      <c r="AT24" s="139" t="str">
        <f t="shared" si="93"/>
        <v>-</v>
      </c>
      <c r="AU24" s="252">
        <v>13</v>
      </c>
      <c r="AV24" s="253">
        <v>2</v>
      </c>
      <c r="AW24" s="139">
        <f t="shared" si="15"/>
        <v>6.5</v>
      </c>
      <c r="AX24" s="20">
        <v>0</v>
      </c>
      <c r="AY24" s="21">
        <v>0</v>
      </c>
      <c r="AZ24" s="139" t="str">
        <f t="shared" si="94"/>
        <v>-</v>
      </c>
      <c r="BA24" s="20">
        <v>0</v>
      </c>
      <c r="BB24" s="21">
        <v>0</v>
      </c>
      <c r="BC24" s="139" t="str">
        <f t="shared" si="95"/>
        <v>-</v>
      </c>
      <c r="BD24" s="256">
        <v>8</v>
      </c>
      <c r="BE24" s="253">
        <v>1</v>
      </c>
      <c r="BF24" s="139">
        <f t="shared" si="18"/>
        <v>8</v>
      </c>
      <c r="BG24" s="20">
        <v>0</v>
      </c>
      <c r="BH24" s="21">
        <v>0</v>
      </c>
      <c r="BI24" s="139" t="str">
        <f t="shared" si="96"/>
        <v>-</v>
      </c>
      <c r="BJ24" s="20">
        <v>0</v>
      </c>
      <c r="BK24" s="21">
        <v>0</v>
      </c>
      <c r="BL24" s="139" t="str">
        <f t="shared" si="20"/>
        <v>-</v>
      </c>
      <c r="BM24" s="20">
        <v>0</v>
      </c>
      <c r="BN24" s="21">
        <v>0</v>
      </c>
      <c r="BO24" s="139" t="str">
        <f t="shared" si="97"/>
        <v>-</v>
      </c>
      <c r="BP24" s="20">
        <v>0</v>
      </c>
      <c r="BQ24" s="21">
        <v>0</v>
      </c>
      <c r="BR24" s="139" t="str">
        <f t="shared" si="98"/>
        <v>-</v>
      </c>
      <c r="BS24" s="20">
        <v>0</v>
      </c>
      <c r="BT24" s="21">
        <v>0</v>
      </c>
      <c r="BU24" s="139" t="str">
        <f t="shared" si="99"/>
        <v>-</v>
      </c>
      <c r="BV24" s="117">
        <f t="shared" si="27"/>
        <v>120</v>
      </c>
      <c r="BW24" s="120">
        <f t="shared" si="39"/>
        <v>13</v>
      </c>
      <c r="BX24" s="147">
        <f t="shared" si="40"/>
        <v>9.2307692307692299</v>
      </c>
    </row>
    <row r="25" spans="1:76" ht="15" thickBot="1" x14ac:dyDescent="0.35">
      <c r="A25" s="294">
        <v>45494</v>
      </c>
      <c r="B25" s="20">
        <v>9</v>
      </c>
      <c r="C25" s="21">
        <v>1</v>
      </c>
      <c r="D25" s="139">
        <f t="shared" si="0"/>
        <v>9</v>
      </c>
      <c r="E25" s="20">
        <v>8</v>
      </c>
      <c r="F25" s="21">
        <v>1</v>
      </c>
      <c r="G25" s="139">
        <f t="shared" si="1"/>
        <v>8</v>
      </c>
      <c r="H25" s="20">
        <v>0</v>
      </c>
      <c r="I25" s="21">
        <v>0</v>
      </c>
      <c r="J25" s="139" t="str">
        <f t="shared" si="28"/>
        <v>-</v>
      </c>
      <c r="K25" s="20">
        <v>45</v>
      </c>
      <c r="L25" s="21">
        <v>5</v>
      </c>
      <c r="M25" s="139">
        <f t="shared" si="3"/>
        <v>9</v>
      </c>
      <c r="N25" s="20"/>
      <c r="O25" s="21"/>
      <c r="P25" s="139" t="str">
        <f t="shared" si="4"/>
        <v>-</v>
      </c>
      <c r="Q25" s="20">
        <v>0</v>
      </c>
      <c r="R25" s="21">
        <v>0</v>
      </c>
      <c r="S25" s="139" t="str">
        <f t="shared" si="5"/>
        <v>-</v>
      </c>
      <c r="T25" s="20">
        <v>137</v>
      </c>
      <c r="U25" s="21">
        <v>33</v>
      </c>
      <c r="V25" s="139">
        <f t="shared" si="6"/>
        <v>4.1515151515151514</v>
      </c>
      <c r="W25" s="20">
        <v>0</v>
      </c>
      <c r="X25" s="21">
        <v>0</v>
      </c>
      <c r="Y25" s="278" t="str">
        <f t="shared" si="7"/>
        <v>-</v>
      </c>
      <c r="Z25" s="20">
        <v>0</v>
      </c>
      <c r="AA25" s="21">
        <v>0</v>
      </c>
      <c r="AB25" s="280" t="str">
        <f t="shared" si="26"/>
        <v>-</v>
      </c>
      <c r="AC25" s="23">
        <v>0</v>
      </c>
      <c r="AD25" s="21">
        <v>0</v>
      </c>
      <c r="AE25" s="139" t="str">
        <f t="shared" si="88"/>
        <v>-</v>
      </c>
      <c r="AF25" s="20">
        <v>0</v>
      </c>
      <c r="AG25" s="21">
        <v>0</v>
      </c>
      <c r="AH25" s="139" t="str">
        <f t="shared" si="89"/>
        <v>-</v>
      </c>
      <c r="AI25" s="20">
        <v>0</v>
      </c>
      <c r="AJ25" s="21">
        <v>0</v>
      </c>
      <c r="AK25" s="139" t="str">
        <f t="shared" si="90"/>
        <v>-</v>
      </c>
      <c r="AL25" s="20">
        <v>0</v>
      </c>
      <c r="AM25" s="21">
        <v>0</v>
      </c>
      <c r="AN25" s="139" t="str">
        <f t="shared" si="91"/>
        <v>-</v>
      </c>
      <c r="AO25" s="20">
        <v>0</v>
      </c>
      <c r="AP25" s="21">
        <v>0</v>
      </c>
      <c r="AQ25" s="139" t="str">
        <f t="shared" si="92"/>
        <v>-</v>
      </c>
      <c r="AR25" s="20">
        <v>0</v>
      </c>
      <c r="AS25" s="21">
        <v>0</v>
      </c>
      <c r="AT25" s="139" t="str">
        <f t="shared" si="93"/>
        <v>-</v>
      </c>
      <c r="AU25" s="252">
        <v>0</v>
      </c>
      <c r="AV25" s="253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94"/>
        <v>-</v>
      </c>
      <c r="BA25" s="20">
        <v>0</v>
      </c>
      <c r="BB25" s="21">
        <v>0</v>
      </c>
      <c r="BC25" s="139" t="str">
        <f t="shared" si="95"/>
        <v>-</v>
      </c>
      <c r="BD25" s="256">
        <v>1</v>
      </c>
      <c r="BE25" s="253">
        <v>1</v>
      </c>
      <c r="BF25" s="139">
        <f t="shared" si="18"/>
        <v>1</v>
      </c>
      <c r="BG25" s="20">
        <v>0</v>
      </c>
      <c r="BH25" s="21">
        <v>0</v>
      </c>
      <c r="BI25" s="139" t="str">
        <f t="shared" si="96"/>
        <v>-</v>
      </c>
      <c r="BJ25" s="20">
        <v>0</v>
      </c>
      <c r="BK25" s="21">
        <v>0</v>
      </c>
      <c r="BL25" s="139" t="str">
        <f t="shared" si="20"/>
        <v>-</v>
      </c>
      <c r="BM25" s="20">
        <v>0</v>
      </c>
      <c r="BN25" s="21">
        <v>0</v>
      </c>
      <c r="BO25" s="139" t="str">
        <f t="shared" si="97"/>
        <v>-</v>
      </c>
      <c r="BP25" s="20">
        <v>0</v>
      </c>
      <c r="BQ25" s="21">
        <v>0</v>
      </c>
      <c r="BR25" s="139" t="str">
        <f t="shared" si="98"/>
        <v>-</v>
      </c>
      <c r="BS25" s="20">
        <v>0</v>
      </c>
      <c r="BT25" s="21">
        <v>0</v>
      </c>
      <c r="BU25" s="139" t="str">
        <f t="shared" si="99"/>
        <v>-</v>
      </c>
      <c r="BV25" s="117">
        <f t="shared" si="27"/>
        <v>200</v>
      </c>
      <c r="BW25" s="120">
        <f t="shared" si="39"/>
        <v>41</v>
      </c>
      <c r="BX25" s="147">
        <f t="shared" si="40"/>
        <v>4.8780487804878048</v>
      </c>
    </row>
    <row r="26" spans="1:76" ht="15" thickBot="1" x14ac:dyDescent="0.35">
      <c r="A26" s="294">
        <v>45495</v>
      </c>
      <c r="B26" s="20">
        <v>18</v>
      </c>
      <c r="C26" s="21">
        <v>2</v>
      </c>
      <c r="D26" s="139">
        <f t="shared" si="0"/>
        <v>9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28"/>
        <v>-</v>
      </c>
      <c r="K26" s="20">
        <v>56</v>
      </c>
      <c r="L26" s="21">
        <v>8</v>
      </c>
      <c r="M26" s="139">
        <f t="shared" si="3"/>
        <v>7</v>
      </c>
      <c r="N26" s="20"/>
      <c r="O26" s="21"/>
      <c r="P26" s="139" t="str">
        <f t="shared" si="4"/>
        <v>-</v>
      </c>
      <c r="Q26" s="20">
        <v>98</v>
      </c>
      <c r="R26" s="21">
        <v>16</v>
      </c>
      <c r="S26" s="139">
        <f t="shared" si="5"/>
        <v>6.125</v>
      </c>
      <c r="T26" s="20">
        <v>0</v>
      </c>
      <c r="U26" s="21">
        <v>0</v>
      </c>
      <c r="V26" s="139" t="str">
        <f t="shared" si="6"/>
        <v>-</v>
      </c>
      <c r="W26" s="20">
        <v>6</v>
      </c>
      <c r="X26" s="21">
        <v>1</v>
      </c>
      <c r="Y26" s="278">
        <f t="shared" si="7"/>
        <v>6</v>
      </c>
      <c r="Z26" s="20">
        <v>0</v>
      </c>
      <c r="AA26" s="21">
        <v>0</v>
      </c>
      <c r="AB26" s="280" t="str">
        <f t="shared" si="26"/>
        <v>-</v>
      </c>
      <c r="AC26" s="23">
        <v>0</v>
      </c>
      <c r="AD26" s="21">
        <v>0</v>
      </c>
      <c r="AE26" s="139" t="s">
        <v>32</v>
      </c>
      <c r="AF26" s="20">
        <v>0</v>
      </c>
      <c r="AG26" s="21">
        <v>0</v>
      </c>
      <c r="AH26" s="139" t="s">
        <v>32</v>
      </c>
      <c r="AI26" s="20">
        <v>0</v>
      </c>
      <c r="AJ26" s="21">
        <v>0</v>
      </c>
      <c r="AK26" s="139" t="s">
        <v>32</v>
      </c>
      <c r="AL26" s="20">
        <v>0</v>
      </c>
      <c r="AM26" s="21">
        <v>0</v>
      </c>
      <c r="AN26" s="139" t="s">
        <v>32</v>
      </c>
      <c r="AO26" s="20">
        <v>0</v>
      </c>
      <c r="AP26" s="21">
        <v>0</v>
      </c>
      <c r="AQ26" s="139" t="s">
        <v>32</v>
      </c>
      <c r="AR26" s="20">
        <v>0</v>
      </c>
      <c r="AS26" s="21">
        <v>0</v>
      </c>
      <c r="AT26" s="139" t="s">
        <v>32</v>
      </c>
      <c r="AU26" s="252">
        <v>7</v>
      </c>
      <c r="AV26" s="253">
        <v>5</v>
      </c>
      <c r="AW26" s="139">
        <f t="shared" si="15"/>
        <v>1.4</v>
      </c>
      <c r="AX26" s="20">
        <v>0</v>
      </c>
      <c r="AY26" s="21">
        <v>0</v>
      </c>
      <c r="AZ26" s="139" t="str">
        <f t="shared" si="16"/>
        <v>-</v>
      </c>
      <c r="BA26" s="20">
        <v>0</v>
      </c>
      <c r="BB26" s="21">
        <v>0</v>
      </c>
      <c r="BC26" s="139" t="str">
        <f t="shared" si="17"/>
        <v>-</v>
      </c>
      <c r="BD26" s="256">
        <v>0</v>
      </c>
      <c r="BE26" s="253">
        <v>0</v>
      </c>
      <c r="BF26" s="139" t="str">
        <f t="shared" si="18"/>
        <v>-</v>
      </c>
      <c r="BG26" s="20"/>
      <c r="BH26" s="21"/>
      <c r="BI26" s="139" t="str">
        <f t="shared" si="19"/>
        <v>-</v>
      </c>
      <c r="BJ26" s="20">
        <v>0</v>
      </c>
      <c r="BK26" s="21">
        <v>0</v>
      </c>
      <c r="BL26" s="139" t="str">
        <f t="shared" ref="BL26" si="100">IF(BK26=0,"-",BJ26/BK26)</f>
        <v>-</v>
      </c>
      <c r="BM26" s="20">
        <v>0</v>
      </c>
      <c r="BN26" s="21">
        <v>0</v>
      </c>
      <c r="BO26" s="139" t="str">
        <f t="shared" ref="BO26" si="101">IF(BN26=0,"-",BM26/BN26)</f>
        <v>-</v>
      </c>
      <c r="BP26" s="20">
        <v>0</v>
      </c>
      <c r="BQ26" s="21">
        <v>0</v>
      </c>
      <c r="BR26" s="139" t="str">
        <f t="shared" ref="BR26" si="102">IF(BQ26=0,"-",BP26/BQ26)</f>
        <v>-</v>
      </c>
      <c r="BS26" s="20">
        <v>0</v>
      </c>
      <c r="BT26" s="21">
        <v>0</v>
      </c>
      <c r="BU26" s="139" t="str">
        <f t="shared" ref="BU26" si="103">IF(BT26=0,"-",BS26/BT26)</f>
        <v>-</v>
      </c>
      <c r="BV26" s="117">
        <f t="shared" si="27"/>
        <v>185</v>
      </c>
      <c r="BW26" s="120">
        <f t="shared" si="39"/>
        <v>31</v>
      </c>
      <c r="BX26" s="147">
        <f t="shared" si="40"/>
        <v>5.967741935483871</v>
      </c>
    </row>
    <row r="27" spans="1:76" ht="15" thickBot="1" x14ac:dyDescent="0.35">
      <c r="A27" s="294">
        <v>45496</v>
      </c>
      <c r="B27" s="20">
        <v>53</v>
      </c>
      <c r="C27" s="21">
        <v>6</v>
      </c>
      <c r="D27" s="139">
        <f t="shared" si="0"/>
        <v>8.8333333333333339</v>
      </c>
      <c r="E27" s="20">
        <v>25</v>
      </c>
      <c r="F27" s="21">
        <v>3</v>
      </c>
      <c r="G27" s="139">
        <f t="shared" si="1"/>
        <v>8.3333333333333339</v>
      </c>
      <c r="H27" s="20">
        <v>0</v>
      </c>
      <c r="I27" s="21">
        <v>0</v>
      </c>
      <c r="J27" s="139" t="str">
        <f t="shared" si="28"/>
        <v>-</v>
      </c>
      <c r="K27" s="20">
        <v>39</v>
      </c>
      <c r="L27" s="21">
        <v>6</v>
      </c>
      <c r="M27" s="139">
        <f t="shared" si="3"/>
        <v>6.5</v>
      </c>
      <c r="N27" s="20"/>
      <c r="O27" s="21"/>
      <c r="P27" s="139" t="str">
        <f t="shared" si="4"/>
        <v>-</v>
      </c>
      <c r="Q27" s="20">
        <v>118</v>
      </c>
      <c r="R27" s="21">
        <v>19</v>
      </c>
      <c r="S27" s="139">
        <f t="shared" si="5"/>
        <v>6.2105263157894735</v>
      </c>
      <c r="T27" s="20">
        <v>0</v>
      </c>
      <c r="U27" s="21">
        <v>0</v>
      </c>
      <c r="V27" s="139" t="str">
        <f t="shared" si="6"/>
        <v>-</v>
      </c>
      <c r="W27" s="20">
        <v>0</v>
      </c>
      <c r="X27" s="21">
        <v>0</v>
      </c>
      <c r="Y27" s="278">
        <v>0</v>
      </c>
      <c r="Z27" s="20">
        <v>0</v>
      </c>
      <c r="AA27" s="21">
        <v>0</v>
      </c>
      <c r="AB27" s="280" t="str">
        <f t="shared" si="26"/>
        <v>-</v>
      </c>
      <c r="AC27" s="23">
        <v>9</v>
      </c>
      <c r="AD27" s="21">
        <v>1</v>
      </c>
      <c r="AE27" s="139" t="s">
        <v>32</v>
      </c>
      <c r="AF27" s="20">
        <v>0</v>
      </c>
      <c r="AG27" s="21">
        <v>0</v>
      </c>
      <c r="AH27" s="139" t="s">
        <v>32</v>
      </c>
      <c r="AI27" s="20">
        <v>0</v>
      </c>
      <c r="AJ27" s="21">
        <v>0</v>
      </c>
      <c r="AK27" s="139" t="s">
        <v>32</v>
      </c>
      <c r="AL27" s="20">
        <v>0</v>
      </c>
      <c r="AM27" s="21">
        <v>0</v>
      </c>
      <c r="AN27" s="139" t="s">
        <v>32</v>
      </c>
      <c r="AO27" s="20">
        <v>0</v>
      </c>
      <c r="AP27" s="21">
        <v>0</v>
      </c>
      <c r="AQ27" s="139" t="s">
        <v>32</v>
      </c>
      <c r="AR27" s="20">
        <v>0</v>
      </c>
      <c r="AS27" s="21">
        <v>0</v>
      </c>
      <c r="AT27" s="139" t="s">
        <v>32</v>
      </c>
      <c r="AU27" s="252">
        <v>20</v>
      </c>
      <c r="AV27" s="253">
        <v>6</v>
      </c>
      <c r="AW27" s="139">
        <f t="shared" si="15"/>
        <v>3.3333333333333335</v>
      </c>
      <c r="AX27" s="20">
        <v>0</v>
      </c>
      <c r="AY27" s="21">
        <v>0</v>
      </c>
      <c r="AZ27" s="139" t="str">
        <f t="shared" si="16"/>
        <v>-</v>
      </c>
      <c r="BA27" s="20">
        <v>0</v>
      </c>
      <c r="BB27" s="21">
        <v>0</v>
      </c>
      <c r="BC27" s="139" t="str">
        <f t="shared" si="17"/>
        <v>-</v>
      </c>
      <c r="BD27" s="257">
        <v>7</v>
      </c>
      <c r="BE27" s="253">
        <v>1</v>
      </c>
      <c r="BF27" s="139" t="s">
        <v>32</v>
      </c>
      <c r="BG27" s="20"/>
      <c r="BH27" s="21"/>
      <c r="BI27" s="139" t="str">
        <f t="shared" si="19"/>
        <v>-</v>
      </c>
      <c r="BJ27" s="20">
        <v>0</v>
      </c>
      <c r="BK27" s="21">
        <v>0</v>
      </c>
      <c r="BL27" s="139" t="str">
        <f t="shared" ref="BL27" si="104">IF(BK27=0,"-",BJ27/BK27)</f>
        <v>-</v>
      </c>
      <c r="BM27" s="20">
        <v>0</v>
      </c>
      <c r="BN27" s="21">
        <v>0</v>
      </c>
      <c r="BO27" s="139" t="str">
        <f t="shared" ref="BO27" si="105">IF(BN27=0,"-",BM27/BN27)</f>
        <v>-</v>
      </c>
      <c r="BP27" s="20">
        <v>0</v>
      </c>
      <c r="BQ27" s="21">
        <v>0</v>
      </c>
      <c r="BR27" s="139" t="str">
        <f t="shared" ref="BR27" si="106">IF(BQ27=0,"-",BP27/BQ27)</f>
        <v>-</v>
      </c>
      <c r="BS27" s="20">
        <v>0</v>
      </c>
      <c r="BT27" s="21">
        <v>0</v>
      </c>
      <c r="BU27" s="139" t="str">
        <f t="shared" ref="BU27" si="107">IF(BT27=0,"-",BS27/BT27)</f>
        <v>-</v>
      </c>
      <c r="BV27" s="117">
        <f t="shared" si="27"/>
        <v>271</v>
      </c>
      <c r="BW27" s="120">
        <f t="shared" si="39"/>
        <v>42</v>
      </c>
      <c r="BX27" s="147">
        <f t="shared" si="40"/>
        <v>6.4523809523809526</v>
      </c>
    </row>
    <row r="28" spans="1:76" ht="15" thickBot="1" x14ac:dyDescent="0.35">
      <c r="A28" s="294">
        <v>45497</v>
      </c>
      <c r="B28" s="20">
        <v>26</v>
      </c>
      <c r="C28" s="21">
        <v>3</v>
      </c>
      <c r="D28" s="139">
        <f t="shared" si="0"/>
        <v>8.6666666666666661</v>
      </c>
      <c r="E28" s="20">
        <v>8</v>
      </c>
      <c r="F28" s="21">
        <v>1</v>
      </c>
      <c r="G28" s="139">
        <f t="shared" si="1"/>
        <v>8</v>
      </c>
      <c r="H28" s="20"/>
      <c r="I28" s="21"/>
      <c r="J28" s="139" t="str">
        <f t="shared" si="28"/>
        <v>-</v>
      </c>
      <c r="K28" s="20">
        <v>16</v>
      </c>
      <c r="L28" s="21">
        <v>2</v>
      </c>
      <c r="M28" s="139">
        <f t="shared" si="3"/>
        <v>8</v>
      </c>
      <c r="N28" s="20"/>
      <c r="O28" s="21"/>
      <c r="P28" s="139" t="str">
        <f t="shared" si="4"/>
        <v>-</v>
      </c>
      <c r="Q28" s="20">
        <v>92</v>
      </c>
      <c r="R28" s="21">
        <v>16</v>
      </c>
      <c r="S28" s="139">
        <f t="shared" si="5"/>
        <v>5.75</v>
      </c>
      <c r="T28" s="20">
        <v>0</v>
      </c>
      <c r="U28" s="21">
        <v>0</v>
      </c>
      <c r="V28" s="139" t="str">
        <f t="shared" si="6"/>
        <v>-</v>
      </c>
      <c r="W28" s="20">
        <v>0</v>
      </c>
      <c r="X28" s="21">
        <v>0</v>
      </c>
      <c r="Y28" s="278">
        <v>0</v>
      </c>
      <c r="Z28" s="20">
        <v>0</v>
      </c>
      <c r="AA28" s="21">
        <v>0</v>
      </c>
      <c r="AB28" s="280" t="str">
        <f t="shared" si="26"/>
        <v>-</v>
      </c>
      <c r="AC28" s="23">
        <v>1</v>
      </c>
      <c r="AD28" s="21">
        <v>1</v>
      </c>
      <c r="AE28" s="139" t="s">
        <v>32</v>
      </c>
      <c r="AF28" s="20">
        <v>0</v>
      </c>
      <c r="AG28" s="21">
        <v>0</v>
      </c>
      <c r="AH28" s="139" t="s">
        <v>32</v>
      </c>
      <c r="AI28" s="20">
        <v>0</v>
      </c>
      <c r="AJ28" s="21">
        <v>0</v>
      </c>
      <c r="AK28" s="139" t="s">
        <v>32</v>
      </c>
      <c r="AL28" s="20">
        <v>0</v>
      </c>
      <c r="AM28" s="21">
        <v>0</v>
      </c>
      <c r="AN28" s="139" t="s">
        <v>32</v>
      </c>
      <c r="AO28" s="20">
        <v>0</v>
      </c>
      <c r="AP28" s="21">
        <v>0</v>
      </c>
      <c r="AQ28" s="139" t="s">
        <v>32</v>
      </c>
      <c r="AR28" s="20">
        <v>0</v>
      </c>
      <c r="AS28" s="21">
        <v>0</v>
      </c>
      <c r="AT28" s="139" t="s">
        <v>32</v>
      </c>
      <c r="AU28" s="20">
        <v>7</v>
      </c>
      <c r="AV28" s="21">
        <v>3</v>
      </c>
      <c r="AW28" s="139">
        <f t="shared" si="15"/>
        <v>2.3333333333333335</v>
      </c>
      <c r="AX28" s="20">
        <v>0</v>
      </c>
      <c r="AY28" s="21">
        <v>0</v>
      </c>
      <c r="AZ28" s="139" t="str">
        <f t="shared" ref="AZ28" si="108">IF(AY28=0,"-",AX28/AY28)</f>
        <v>-</v>
      </c>
      <c r="BA28" s="20">
        <v>0</v>
      </c>
      <c r="BB28" s="21">
        <v>0</v>
      </c>
      <c r="BC28" s="139" t="str">
        <f t="shared" ref="BC28" si="109">IF(BB28=0,"-",BA28/BB28)</f>
        <v>-</v>
      </c>
      <c r="BD28" s="257">
        <v>7</v>
      </c>
      <c r="BE28" s="253">
        <v>1</v>
      </c>
      <c r="BF28" s="139" t="s">
        <v>32</v>
      </c>
      <c r="BG28" s="20"/>
      <c r="BH28" s="21"/>
      <c r="BI28" s="139" t="s">
        <v>32</v>
      </c>
      <c r="BJ28" s="20">
        <v>6</v>
      </c>
      <c r="BK28" s="21">
        <v>1</v>
      </c>
      <c r="BL28" s="139">
        <f t="shared" si="20"/>
        <v>6</v>
      </c>
      <c r="BM28" s="20">
        <v>0</v>
      </c>
      <c r="BN28" s="21">
        <v>0</v>
      </c>
      <c r="BO28" s="139" t="str">
        <f t="shared" ref="BO28" si="110">IF(BN28=0,"-",BM28/BN28)</f>
        <v>-</v>
      </c>
      <c r="BP28" s="20">
        <v>0</v>
      </c>
      <c r="BQ28" s="21">
        <v>0</v>
      </c>
      <c r="BR28" s="139" t="str">
        <f t="shared" ref="BR28" si="111">IF(BQ28=0,"-",BP28/BQ28)</f>
        <v>-</v>
      </c>
      <c r="BS28" s="20">
        <v>0</v>
      </c>
      <c r="BT28" s="21">
        <v>0</v>
      </c>
      <c r="BU28" s="139" t="str">
        <f t="shared" ref="BU28" si="112">IF(BT28=0,"-",BS28/BT28)</f>
        <v>-</v>
      </c>
      <c r="BV28" s="117">
        <f t="shared" si="27"/>
        <v>163</v>
      </c>
      <c r="BW28" s="120">
        <f t="shared" si="39"/>
        <v>28</v>
      </c>
      <c r="BX28" s="147">
        <f t="shared" si="40"/>
        <v>5.8214285714285712</v>
      </c>
    </row>
    <row r="29" spans="1:76" ht="15" thickBot="1" x14ac:dyDescent="0.35">
      <c r="A29" s="294">
        <v>45498</v>
      </c>
      <c r="B29" s="20">
        <v>48</v>
      </c>
      <c r="C29" s="21">
        <v>6</v>
      </c>
      <c r="D29" s="139">
        <f t="shared" si="0"/>
        <v>8</v>
      </c>
      <c r="E29" s="20">
        <v>8</v>
      </c>
      <c r="F29" s="21">
        <v>1</v>
      </c>
      <c r="G29" s="139">
        <f t="shared" si="1"/>
        <v>8</v>
      </c>
      <c r="H29" s="20"/>
      <c r="I29" s="21"/>
      <c r="J29" s="139" t="str">
        <f t="shared" si="28"/>
        <v>-</v>
      </c>
      <c r="K29" s="20">
        <v>8</v>
      </c>
      <c r="L29" s="21">
        <v>1</v>
      </c>
      <c r="M29" s="139">
        <f t="shared" si="3"/>
        <v>8</v>
      </c>
      <c r="N29" s="23"/>
      <c r="O29" s="21"/>
      <c r="P29" s="139" t="s">
        <v>32</v>
      </c>
      <c r="Q29" s="23">
        <v>52</v>
      </c>
      <c r="R29" s="21">
        <v>10</v>
      </c>
      <c r="S29" s="139">
        <f t="shared" si="5"/>
        <v>5.2</v>
      </c>
      <c r="T29" s="20">
        <v>0</v>
      </c>
      <c r="U29" s="21">
        <v>0</v>
      </c>
      <c r="V29" s="139" t="str">
        <f t="shared" si="6"/>
        <v>-</v>
      </c>
      <c r="W29" s="20">
        <v>0</v>
      </c>
      <c r="X29" s="21">
        <v>0</v>
      </c>
      <c r="Y29" s="278" t="str">
        <f t="shared" si="7"/>
        <v>-</v>
      </c>
      <c r="Z29" s="20">
        <v>0</v>
      </c>
      <c r="AA29" s="21">
        <v>0</v>
      </c>
      <c r="AB29" s="280" t="str">
        <f t="shared" si="26"/>
        <v>-</v>
      </c>
      <c r="AC29" s="23">
        <v>2</v>
      </c>
      <c r="AD29" s="21">
        <v>1</v>
      </c>
      <c r="AE29" s="139">
        <f t="shared" si="9"/>
        <v>2</v>
      </c>
      <c r="AF29" s="20">
        <v>0</v>
      </c>
      <c r="AG29" s="21">
        <v>0</v>
      </c>
      <c r="AH29" s="139" t="s">
        <v>32</v>
      </c>
      <c r="AI29" s="20">
        <v>0</v>
      </c>
      <c r="AJ29" s="21">
        <v>0</v>
      </c>
      <c r="AK29" s="139" t="str">
        <f t="shared" ref="AK29:AK32" si="113">IF(AJ29=0,"-",AI29/AJ29)</f>
        <v>-</v>
      </c>
      <c r="AL29" s="20">
        <v>0</v>
      </c>
      <c r="AM29" s="21">
        <v>0</v>
      </c>
      <c r="AN29" s="139" t="s">
        <v>32</v>
      </c>
      <c r="AO29" s="20">
        <v>0</v>
      </c>
      <c r="AP29" s="21">
        <v>0</v>
      </c>
      <c r="AQ29" s="139" t="str">
        <f t="shared" si="13"/>
        <v>-</v>
      </c>
      <c r="AR29" s="20">
        <v>0</v>
      </c>
      <c r="AS29" s="21">
        <v>0</v>
      </c>
      <c r="AT29" s="139" t="str">
        <f t="shared" ref="AT29:AT32" si="114">IF(AS29=0,"-",AR29/AS29)</f>
        <v>-</v>
      </c>
      <c r="AU29" s="20">
        <v>14</v>
      </c>
      <c r="AV29" s="21">
        <v>4</v>
      </c>
      <c r="AW29" s="139">
        <f t="shared" si="15"/>
        <v>3.5</v>
      </c>
      <c r="AX29" s="20">
        <v>0</v>
      </c>
      <c r="AY29" s="21">
        <v>0</v>
      </c>
      <c r="AZ29" s="139" t="str">
        <f t="shared" ref="AZ29" si="115">IF(AY29=0,"-",AX29/AY29)</f>
        <v>-</v>
      </c>
      <c r="BA29" s="20">
        <v>0</v>
      </c>
      <c r="BB29" s="21">
        <v>0</v>
      </c>
      <c r="BC29" s="139" t="str">
        <f t="shared" ref="BC29" si="116">IF(BB29=0,"-",BA29/BB29)</f>
        <v>-</v>
      </c>
      <c r="BD29" s="20">
        <v>0</v>
      </c>
      <c r="BE29" s="21">
        <v>0</v>
      </c>
      <c r="BF29" s="139" t="str">
        <f t="shared" si="18"/>
        <v>-</v>
      </c>
      <c r="BG29" s="20"/>
      <c r="BH29" s="21"/>
      <c r="BI29" s="139" t="s">
        <v>32</v>
      </c>
      <c r="BJ29" s="20">
        <v>0</v>
      </c>
      <c r="BK29" s="21">
        <v>0</v>
      </c>
      <c r="BL29" s="139" t="s">
        <v>32</v>
      </c>
      <c r="BM29" s="20">
        <v>0</v>
      </c>
      <c r="BN29" s="21">
        <v>0</v>
      </c>
      <c r="BO29" s="139" t="s">
        <v>32</v>
      </c>
      <c r="BP29" s="20">
        <v>0</v>
      </c>
      <c r="BQ29" s="21">
        <v>0</v>
      </c>
      <c r="BR29" s="139" t="s">
        <v>32</v>
      </c>
      <c r="BS29" s="20">
        <v>0</v>
      </c>
      <c r="BT29" s="21">
        <v>0</v>
      </c>
      <c r="BU29" s="139" t="s">
        <v>32</v>
      </c>
      <c r="BV29" s="117">
        <f t="shared" si="27"/>
        <v>132</v>
      </c>
      <c r="BW29" s="120">
        <f t="shared" si="39"/>
        <v>23</v>
      </c>
      <c r="BX29" s="147">
        <f t="shared" si="40"/>
        <v>5.7391304347826084</v>
      </c>
    </row>
    <row r="30" spans="1:76" ht="15" thickBot="1" x14ac:dyDescent="0.35">
      <c r="A30" s="294">
        <v>45499</v>
      </c>
      <c r="B30" s="20">
        <v>40</v>
      </c>
      <c r="C30" s="21">
        <v>5</v>
      </c>
      <c r="D30" s="139">
        <f t="shared" si="0"/>
        <v>8</v>
      </c>
      <c r="E30" s="20">
        <v>8</v>
      </c>
      <c r="F30" s="21">
        <v>1</v>
      </c>
      <c r="G30" s="139">
        <f t="shared" si="1"/>
        <v>8</v>
      </c>
      <c r="H30" s="20"/>
      <c r="I30" s="21"/>
      <c r="J30" s="139" t="s">
        <v>32</v>
      </c>
      <c r="K30" s="20">
        <v>44</v>
      </c>
      <c r="L30" s="21">
        <v>6</v>
      </c>
      <c r="M30" s="139">
        <f t="shared" si="3"/>
        <v>7.333333333333333</v>
      </c>
      <c r="N30" s="23"/>
      <c r="O30" s="21"/>
      <c r="P30" s="139" t="s">
        <v>32</v>
      </c>
      <c r="Q30" s="23">
        <v>11</v>
      </c>
      <c r="R30" s="21">
        <v>2</v>
      </c>
      <c r="S30" s="139">
        <f t="shared" si="5"/>
        <v>5.5</v>
      </c>
      <c r="T30" s="20">
        <v>0</v>
      </c>
      <c r="U30" s="21">
        <v>0</v>
      </c>
      <c r="V30" s="139" t="str">
        <f t="shared" si="6"/>
        <v>-</v>
      </c>
      <c r="W30" s="20">
        <v>0</v>
      </c>
      <c r="X30" s="21">
        <v>0</v>
      </c>
      <c r="Y30" s="278" t="str">
        <f t="shared" ref="Y30" si="117">IF(X30=0,"-",W30/X30)</f>
        <v>-</v>
      </c>
      <c r="Z30" s="20">
        <v>0</v>
      </c>
      <c r="AA30" s="21">
        <v>0</v>
      </c>
      <c r="AB30" s="280" t="str">
        <f t="shared" si="26"/>
        <v>-</v>
      </c>
      <c r="AC30" s="23">
        <v>0</v>
      </c>
      <c r="AD30" s="21">
        <v>0</v>
      </c>
      <c r="AE30" s="139" t="str">
        <f t="shared" si="9"/>
        <v>-</v>
      </c>
      <c r="AF30" s="23">
        <v>0</v>
      </c>
      <c r="AG30" s="21">
        <v>0</v>
      </c>
      <c r="AH30" s="139" t="str">
        <f t="shared" ref="AH30:AH32" si="118">IF(AG30=0,"-",AF30/AG30)</f>
        <v>-</v>
      </c>
      <c r="AI30" s="23">
        <v>0</v>
      </c>
      <c r="AJ30" s="21">
        <v>0</v>
      </c>
      <c r="AK30" s="139" t="str">
        <f t="shared" si="113"/>
        <v>-</v>
      </c>
      <c r="AL30" s="23">
        <v>0</v>
      </c>
      <c r="AM30" s="21">
        <v>0</v>
      </c>
      <c r="AN30" s="139" t="str">
        <f t="shared" ref="AN30:AN32" si="119">IF(AM30=0,"-",AL30/AM30)</f>
        <v>-</v>
      </c>
      <c r="AO30" s="23">
        <v>0</v>
      </c>
      <c r="AP30" s="21">
        <v>0</v>
      </c>
      <c r="AQ30" s="139" t="str">
        <f t="shared" si="13"/>
        <v>-</v>
      </c>
      <c r="AR30" s="23">
        <v>0</v>
      </c>
      <c r="AS30" s="21">
        <v>0</v>
      </c>
      <c r="AT30" s="139" t="str">
        <f t="shared" si="114"/>
        <v>-</v>
      </c>
      <c r="AU30" s="20">
        <v>5</v>
      </c>
      <c r="AV30" s="21">
        <v>1</v>
      </c>
      <c r="AW30" s="139">
        <f t="shared" si="15"/>
        <v>5</v>
      </c>
      <c r="AX30" s="20">
        <v>0</v>
      </c>
      <c r="AY30" s="21">
        <v>0</v>
      </c>
      <c r="AZ30" s="139" t="s">
        <v>32</v>
      </c>
      <c r="BA30" s="20">
        <v>0</v>
      </c>
      <c r="BB30" s="21">
        <v>0</v>
      </c>
      <c r="BC30" s="139" t="str">
        <f t="shared" ref="BC30:BC32" si="120">IF(BB30=0,"-",BA30/BB30)</f>
        <v>-</v>
      </c>
      <c r="BD30" s="20">
        <v>0</v>
      </c>
      <c r="BE30" s="21">
        <v>0</v>
      </c>
      <c r="BF30" s="139" t="str">
        <f t="shared" ref="BF30:BF32" si="121">IF(BE30=0,"-",BD30/BE30)</f>
        <v>-</v>
      </c>
      <c r="BG30" s="20"/>
      <c r="BH30" s="21"/>
      <c r="BI30" s="139" t="s">
        <v>32</v>
      </c>
      <c r="BJ30" s="20">
        <v>0</v>
      </c>
      <c r="BK30" s="21">
        <v>0</v>
      </c>
      <c r="BL30" s="139" t="s">
        <v>32</v>
      </c>
      <c r="BM30" s="20">
        <v>0</v>
      </c>
      <c r="BN30" s="21">
        <v>0</v>
      </c>
      <c r="BO30" s="139" t="s">
        <v>32</v>
      </c>
      <c r="BP30" s="20">
        <v>0</v>
      </c>
      <c r="BQ30" s="21">
        <v>0</v>
      </c>
      <c r="BR30" s="139" t="s">
        <v>32</v>
      </c>
      <c r="BS30" s="20">
        <v>0</v>
      </c>
      <c r="BT30" s="21">
        <v>0</v>
      </c>
      <c r="BU30" s="139" t="s">
        <v>32</v>
      </c>
      <c r="BV30" s="117">
        <f t="shared" si="27"/>
        <v>108</v>
      </c>
      <c r="BW30" s="120">
        <f t="shared" si="39"/>
        <v>15</v>
      </c>
      <c r="BX30" s="147">
        <f t="shared" si="40"/>
        <v>7.2</v>
      </c>
    </row>
    <row r="31" spans="1:76" ht="15" thickBot="1" x14ac:dyDescent="0.35">
      <c r="A31" s="294">
        <v>45500</v>
      </c>
      <c r="B31" s="20">
        <v>24</v>
      </c>
      <c r="C31" s="21">
        <v>3</v>
      </c>
      <c r="D31" s="139">
        <f t="shared" si="0"/>
        <v>8</v>
      </c>
      <c r="E31" s="20">
        <v>0</v>
      </c>
      <c r="F31" s="21">
        <v>0</v>
      </c>
      <c r="G31" s="139" t="str">
        <f t="shared" si="1"/>
        <v>-</v>
      </c>
      <c r="H31" s="20"/>
      <c r="I31" s="21"/>
      <c r="J31" s="139">
        <v>0</v>
      </c>
      <c r="K31" s="20">
        <v>36</v>
      </c>
      <c r="L31" s="21">
        <v>5</v>
      </c>
      <c r="M31" s="139">
        <f t="shared" si="3"/>
        <v>7.2</v>
      </c>
      <c r="N31" s="20"/>
      <c r="O31" s="21"/>
      <c r="P31" s="139" t="s">
        <v>32</v>
      </c>
      <c r="Q31" s="20">
        <v>0</v>
      </c>
      <c r="R31" s="21">
        <v>0</v>
      </c>
      <c r="S31" s="139" t="str">
        <f t="shared" si="5"/>
        <v>-</v>
      </c>
      <c r="T31" s="20">
        <v>0</v>
      </c>
      <c r="U31" s="21">
        <v>0</v>
      </c>
      <c r="V31" s="139" t="str">
        <f t="shared" si="6"/>
        <v>-</v>
      </c>
      <c r="W31" s="20">
        <v>18</v>
      </c>
      <c r="X31" s="21">
        <v>3</v>
      </c>
      <c r="Y31" s="278">
        <f t="shared" si="7"/>
        <v>6</v>
      </c>
      <c r="Z31" s="20">
        <v>0</v>
      </c>
      <c r="AA31" s="21">
        <v>0</v>
      </c>
      <c r="AB31" s="280" t="str">
        <f t="shared" si="26"/>
        <v>-</v>
      </c>
      <c r="AC31" s="23">
        <v>0</v>
      </c>
      <c r="AD31" s="21">
        <v>0</v>
      </c>
      <c r="AE31" s="139" t="str">
        <f t="shared" si="9"/>
        <v>-</v>
      </c>
      <c r="AF31" s="23">
        <v>0</v>
      </c>
      <c r="AG31" s="21">
        <v>0</v>
      </c>
      <c r="AH31" s="139" t="str">
        <f t="shared" si="118"/>
        <v>-</v>
      </c>
      <c r="AI31" s="23">
        <v>0</v>
      </c>
      <c r="AJ31" s="21">
        <v>0</v>
      </c>
      <c r="AK31" s="139" t="str">
        <f t="shared" si="113"/>
        <v>-</v>
      </c>
      <c r="AL31" s="23">
        <v>0</v>
      </c>
      <c r="AM31" s="21">
        <v>0</v>
      </c>
      <c r="AN31" s="139" t="str">
        <f t="shared" si="119"/>
        <v>-</v>
      </c>
      <c r="AO31" s="23">
        <v>0</v>
      </c>
      <c r="AP31" s="21">
        <v>0</v>
      </c>
      <c r="AQ31" s="139" t="str">
        <f t="shared" si="13"/>
        <v>-</v>
      </c>
      <c r="AR31" s="23">
        <v>0</v>
      </c>
      <c r="AS31" s="21">
        <v>0</v>
      </c>
      <c r="AT31" s="139" t="str">
        <f t="shared" si="114"/>
        <v>-</v>
      </c>
      <c r="AU31" s="20">
        <v>5</v>
      </c>
      <c r="AV31" s="21">
        <v>1</v>
      </c>
      <c r="AW31" s="139">
        <f t="shared" si="15"/>
        <v>5</v>
      </c>
      <c r="AX31" s="20">
        <v>0</v>
      </c>
      <c r="AY31" s="21">
        <v>0</v>
      </c>
      <c r="AZ31" s="139" t="str">
        <f t="shared" ref="AZ31:AZ34" si="122">IF(AY31=0,"-",AX31/AY31)</f>
        <v>-</v>
      </c>
      <c r="BA31" s="20">
        <v>0</v>
      </c>
      <c r="BB31" s="21">
        <v>0</v>
      </c>
      <c r="BC31" s="139" t="str">
        <f t="shared" si="120"/>
        <v>-</v>
      </c>
      <c r="BD31" s="20">
        <v>0</v>
      </c>
      <c r="BE31" s="21">
        <v>0</v>
      </c>
      <c r="BF31" s="139" t="str">
        <f t="shared" si="121"/>
        <v>-</v>
      </c>
      <c r="BG31" s="20"/>
      <c r="BH31" s="21"/>
      <c r="BI31" s="139" t="s">
        <v>32</v>
      </c>
      <c r="BJ31" s="20">
        <v>0</v>
      </c>
      <c r="BK31" s="21">
        <v>0</v>
      </c>
      <c r="BL31" s="139" t="s">
        <v>32</v>
      </c>
      <c r="BM31" s="20">
        <v>0</v>
      </c>
      <c r="BN31" s="21">
        <v>0</v>
      </c>
      <c r="BO31" s="139" t="s">
        <v>32</v>
      </c>
      <c r="BP31" s="20">
        <v>0</v>
      </c>
      <c r="BQ31" s="21">
        <v>0</v>
      </c>
      <c r="BR31" s="139" t="s">
        <v>32</v>
      </c>
      <c r="BS31" s="20">
        <v>0</v>
      </c>
      <c r="BT31" s="21">
        <v>0</v>
      </c>
      <c r="BU31" s="139" t="s">
        <v>32</v>
      </c>
      <c r="BV31" s="117">
        <f t="shared" si="27"/>
        <v>83</v>
      </c>
      <c r="BW31" s="120">
        <f t="shared" si="39"/>
        <v>9</v>
      </c>
      <c r="BX31" s="147">
        <f t="shared" si="40"/>
        <v>9.2222222222222214</v>
      </c>
    </row>
    <row r="32" spans="1:76" ht="15" thickBot="1" x14ac:dyDescent="0.35">
      <c r="A32" s="294">
        <v>45501</v>
      </c>
      <c r="B32" s="20">
        <v>0</v>
      </c>
      <c r="C32" s="21">
        <v>0</v>
      </c>
      <c r="D32" s="139" t="str">
        <f t="shared" si="0"/>
        <v>-</v>
      </c>
      <c r="E32" s="20">
        <v>0</v>
      </c>
      <c r="F32" s="21">
        <v>0</v>
      </c>
      <c r="G32" s="139" t="str">
        <f t="shared" si="1"/>
        <v>-</v>
      </c>
      <c r="H32" s="20"/>
      <c r="I32" s="21"/>
      <c r="J32" s="139" t="s">
        <v>32</v>
      </c>
      <c r="K32" s="20">
        <v>0</v>
      </c>
      <c r="L32" s="21">
        <v>0</v>
      </c>
      <c r="M32" s="139" t="str">
        <f t="shared" si="3"/>
        <v>-</v>
      </c>
      <c r="N32" s="20"/>
      <c r="O32" s="21"/>
      <c r="P32" s="139" t="s">
        <v>32</v>
      </c>
      <c r="Q32" s="20">
        <v>0</v>
      </c>
      <c r="R32" s="21">
        <v>0</v>
      </c>
      <c r="S32" s="139" t="str">
        <f t="shared" si="5"/>
        <v>-</v>
      </c>
      <c r="T32" s="20">
        <v>0</v>
      </c>
      <c r="U32" s="21">
        <v>0</v>
      </c>
      <c r="V32" s="139" t="str">
        <f t="shared" si="6"/>
        <v>-</v>
      </c>
      <c r="W32" s="20">
        <v>0</v>
      </c>
      <c r="X32" s="21">
        <v>0</v>
      </c>
      <c r="Y32" s="278" t="str">
        <f t="shared" si="7"/>
        <v>-</v>
      </c>
      <c r="Z32" s="20">
        <v>0</v>
      </c>
      <c r="AA32" s="21">
        <v>0</v>
      </c>
      <c r="AB32" s="280" t="str">
        <f t="shared" si="26"/>
        <v>-</v>
      </c>
      <c r="AC32" s="23">
        <v>0</v>
      </c>
      <c r="AD32" s="21">
        <v>0</v>
      </c>
      <c r="AE32" s="139" t="str">
        <f t="shared" si="9"/>
        <v>-</v>
      </c>
      <c r="AF32" s="23">
        <v>0</v>
      </c>
      <c r="AG32" s="21">
        <v>0</v>
      </c>
      <c r="AH32" s="139" t="str">
        <f t="shared" si="118"/>
        <v>-</v>
      </c>
      <c r="AI32" s="23">
        <v>0</v>
      </c>
      <c r="AJ32" s="21">
        <v>0</v>
      </c>
      <c r="AK32" s="139" t="str">
        <f t="shared" si="113"/>
        <v>-</v>
      </c>
      <c r="AL32" s="23">
        <v>0</v>
      </c>
      <c r="AM32" s="21">
        <v>0</v>
      </c>
      <c r="AN32" s="139" t="str">
        <f t="shared" si="119"/>
        <v>-</v>
      </c>
      <c r="AO32" s="23">
        <v>0</v>
      </c>
      <c r="AP32" s="21">
        <v>0</v>
      </c>
      <c r="AQ32" s="139" t="str">
        <f t="shared" si="13"/>
        <v>-</v>
      </c>
      <c r="AR32" s="23">
        <v>0</v>
      </c>
      <c r="AS32" s="21">
        <v>0</v>
      </c>
      <c r="AT32" s="139" t="str">
        <f t="shared" si="114"/>
        <v>-</v>
      </c>
      <c r="AU32" s="20">
        <v>0</v>
      </c>
      <c r="AV32" s="21">
        <v>0</v>
      </c>
      <c r="AW32" s="139" t="str">
        <f t="shared" si="15"/>
        <v>-</v>
      </c>
      <c r="AX32" s="20">
        <v>7</v>
      </c>
      <c r="AY32" s="21">
        <v>1</v>
      </c>
      <c r="AZ32" s="139">
        <f t="shared" si="122"/>
        <v>7</v>
      </c>
      <c r="BA32" s="20">
        <v>0</v>
      </c>
      <c r="BB32" s="21">
        <v>0</v>
      </c>
      <c r="BC32" s="139" t="str">
        <f t="shared" si="120"/>
        <v>-</v>
      </c>
      <c r="BD32" s="20">
        <v>0</v>
      </c>
      <c r="BE32" s="21">
        <v>0</v>
      </c>
      <c r="BF32" s="139" t="str">
        <f t="shared" si="121"/>
        <v>-</v>
      </c>
      <c r="BG32" s="20"/>
      <c r="BH32" s="21"/>
      <c r="BI32" s="139" t="s">
        <v>32</v>
      </c>
      <c r="BJ32" s="20">
        <v>0</v>
      </c>
      <c r="BK32" s="21">
        <v>0</v>
      </c>
      <c r="BL32" s="139" t="s">
        <v>32</v>
      </c>
      <c r="BM32" s="20">
        <v>0</v>
      </c>
      <c r="BN32" s="21">
        <v>0</v>
      </c>
      <c r="BO32" s="139" t="s">
        <v>32</v>
      </c>
      <c r="BP32" s="20">
        <v>0</v>
      </c>
      <c r="BQ32" s="21">
        <v>0</v>
      </c>
      <c r="BR32" s="139" t="s">
        <v>32</v>
      </c>
      <c r="BS32" s="20">
        <v>0</v>
      </c>
      <c r="BT32" s="21">
        <v>0</v>
      </c>
      <c r="BU32" s="139" t="s">
        <v>32</v>
      </c>
      <c r="BV32" s="117">
        <f t="shared" si="27"/>
        <v>7</v>
      </c>
      <c r="BW32" s="120">
        <f t="shared" si="39"/>
        <v>1</v>
      </c>
      <c r="BX32" s="147">
        <f t="shared" si="40"/>
        <v>7</v>
      </c>
    </row>
    <row r="33" spans="1:76" ht="15" thickBot="1" x14ac:dyDescent="0.35">
      <c r="A33" s="294">
        <v>45502</v>
      </c>
      <c r="B33" s="270">
        <v>42</v>
      </c>
      <c r="C33" s="271">
        <v>5</v>
      </c>
      <c r="D33" s="272">
        <f t="shared" si="0"/>
        <v>8.4</v>
      </c>
      <c r="E33" s="270">
        <v>0</v>
      </c>
      <c r="F33" s="271">
        <v>0</v>
      </c>
      <c r="G33" s="272" t="str">
        <f t="shared" si="1"/>
        <v>-</v>
      </c>
      <c r="H33" s="270"/>
      <c r="I33" s="271"/>
      <c r="J33" s="272" t="s">
        <v>32</v>
      </c>
      <c r="K33" s="270">
        <v>18</v>
      </c>
      <c r="L33" s="271">
        <v>2</v>
      </c>
      <c r="M33" s="139">
        <f t="shared" si="3"/>
        <v>9</v>
      </c>
      <c r="N33" s="270"/>
      <c r="O33" s="271"/>
      <c r="P33" s="272" t="s">
        <v>32</v>
      </c>
      <c r="Q33" s="270">
        <v>74</v>
      </c>
      <c r="R33" s="271">
        <v>13</v>
      </c>
      <c r="S33" s="139">
        <f t="shared" si="5"/>
        <v>5.6923076923076925</v>
      </c>
      <c r="T33" s="270">
        <v>0</v>
      </c>
      <c r="U33" s="271">
        <v>0</v>
      </c>
      <c r="V33" s="139" t="str">
        <f t="shared" si="6"/>
        <v>-</v>
      </c>
      <c r="W33" s="270">
        <v>0</v>
      </c>
      <c r="X33" s="271">
        <v>0</v>
      </c>
      <c r="Y33" s="278" t="str">
        <f t="shared" si="7"/>
        <v>-</v>
      </c>
      <c r="Z33" s="20">
        <v>0</v>
      </c>
      <c r="AA33" s="21">
        <v>0</v>
      </c>
      <c r="AB33" s="280" t="str">
        <f t="shared" si="26"/>
        <v>-</v>
      </c>
      <c r="AC33" s="270">
        <v>2</v>
      </c>
      <c r="AD33" s="271">
        <v>1</v>
      </c>
      <c r="AE33" s="272" t="s">
        <v>32</v>
      </c>
      <c r="AF33" s="270">
        <v>0</v>
      </c>
      <c r="AG33" s="271">
        <v>0</v>
      </c>
      <c r="AH33" s="272" t="s">
        <v>32</v>
      </c>
      <c r="AI33" s="270">
        <v>1</v>
      </c>
      <c r="AJ33" s="271">
        <v>1</v>
      </c>
      <c r="AK33" s="272" t="s">
        <v>32</v>
      </c>
      <c r="AL33" s="23">
        <v>0</v>
      </c>
      <c r="AM33" s="21">
        <v>0</v>
      </c>
      <c r="AN33" s="139" t="str">
        <f t="shared" ref="AN33" si="123">IF(AM33=0,"-",AL33/AM33)</f>
        <v>-</v>
      </c>
      <c r="AO33" s="23">
        <v>0</v>
      </c>
      <c r="AP33" s="21">
        <v>0</v>
      </c>
      <c r="AQ33" s="139" t="str">
        <f t="shared" ref="AQ33" si="124">IF(AP33=0,"-",AO33/AP33)</f>
        <v>-</v>
      </c>
      <c r="AR33" s="23">
        <v>0</v>
      </c>
      <c r="AS33" s="21">
        <v>0</v>
      </c>
      <c r="AT33" s="139" t="str">
        <f t="shared" ref="AT33" si="125">IF(AS33=0,"-",AR33/AS33)</f>
        <v>-</v>
      </c>
      <c r="AU33" s="270">
        <v>15</v>
      </c>
      <c r="AV33" s="271">
        <v>2</v>
      </c>
      <c r="AW33" s="272">
        <f t="shared" si="15"/>
        <v>7.5</v>
      </c>
      <c r="AX33" s="270">
        <v>8</v>
      </c>
      <c r="AY33" s="271">
        <v>1</v>
      </c>
      <c r="AZ33" s="272">
        <f t="shared" si="122"/>
        <v>8</v>
      </c>
      <c r="BA33" s="270">
        <v>42</v>
      </c>
      <c r="BB33" s="271">
        <v>6</v>
      </c>
      <c r="BC33" s="272">
        <f t="shared" si="17"/>
        <v>7</v>
      </c>
      <c r="BD33" s="270">
        <v>0</v>
      </c>
      <c r="BE33" s="271">
        <v>0</v>
      </c>
      <c r="BF33" s="272" t="str">
        <f t="shared" si="18"/>
        <v>-</v>
      </c>
      <c r="BG33" s="20"/>
      <c r="BH33" s="21"/>
      <c r="BI33" s="139" t="str">
        <f t="shared" si="19"/>
        <v>-</v>
      </c>
      <c r="BJ33" s="20">
        <v>0</v>
      </c>
      <c r="BK33" s="21">
        <v>0</v>
      </c>
      <c r="BL33" s="139" t="s">
        <v>32</v>
      </c>
      <c r="BM33" s="20">
        <v>0</v>
      </c>
      <c r="BN33" s="21">
        <v>0</v>
      </c>
      <c r="BO33" s="139" t="s">
        <v>32</v>
      </c>
      <c r="BP33" s="20">
        <v>0</v>
      </c>
      <c r="BQ33" s="21">
        <v>0</v>
      </c>
      <c r="BR33" s="139" t="s">
        <v>32</v>
      </c>
      <c r="BS33" s="20">
        <v>0</v>
      </c>
      <c r="BT33" s="21">
        <v>0</v>
      </c>
      <c r="BU33" s="139" t="s">
        <v>32</v>
      </c>
      <c r="BV33" s="117">
        <f t="shared" si="27"/>
        <v>202</v>
      </c>
      <c r="BW33" s="120">
        <f t="shared" si="39"/>
        <v>31</v>
      </c>
      <c r="BX33" s="147">
        <f t="shared" si="40"/>
        <v>6.5161290322580649</v>
      </c>
    </row>
    <row r="34" spans="1:76" ht="15" thickBot="1" x14ac:dyDescent="0.35">
      <c r="A34" s="294">
        <v>45503</v>
      </c>
      <c r="B34" s="20">
        <v>27</v>
      </c>
      <c r="C34" s="21">
        <v>3</v>
      </c>
      <c r="D34" s="139">
        <f t="shared" si="0"/>
        <v>9</v>
      </c>
      <c r="E34" s="20">
        <v>23</v>
      </c>
      <c r="F34" s="21">
        <v>3</v>
      </c>
      <c r="G34" s="139">
        <f t="shared" si="1"/>
        <v>7.666666666666667</v>
      </c>
      <c r="H34" s="20"/>
      <c r="I34" s="21"/>
      <c r="J34" s="139" t="s">
        <v>32</v>
      </c>
      <c r="K34" s="20">
        <v>9</v>
      </c>
      <c r="L34" s="21">
        <v>1</v>
      </c>
      <c r="M34" s="139">
        <f t="shared" si="3"/>
        <v>9</v>
      </c>
      <c r="N34" s="20"/>
      <c r="O34" s="21"/>
      <c r="P34" s="139" t="s">
        <v>32</v>
      </c>
      <c r="Q34" s="20">
        <v>20</v>
      </c>
      <c r="R34" s="21">
        <v>4</v>
      </c>
      <c r="S34" s="139">
        <f t="shared" si="5"/>
        <v>5</v>
      </c>
      <c r="T34" s="20">
        <v>89</v>
      </c>
      <c r="U34" s="21">
        <v>21</v>
      </c>
      <c r="V34" s="139">
        <f t="shared" si="6"/>
        <v>4.2380952380952381</v>
      </c>
      <c r="W34" s="20">
        <v>0</v>
      </c>
      <c r="X34" s="21">
        <v>0</v>
      </c>
      <c r="Y34" s="139" t="s">
        <v>32</v>
      </c>
      <c r="Z34" s="20">
        <v>0</v>
      </c>
      <c r="AA34" s="21">
        <v>0</v>
      </c>
      <c r="AB34" s="280" t="str">
        <f t="shared" si="26"/>
        <v>-</v>
      </c>
      <c r="AC34" s="20">
        <v>4</v>
      </c>
      <c r="AD34" s="21">
        <v>1</v>
      </c>
      <c r="AE34" s="139" t="s">
        <v>32</v>
      </c>
      <c r="AF34" s="270">
        <v>0</v>
      </c>
      <c r="AG34" s="271">
        <v>0</v>
      </c>
      <c r="AH34" s="272" t="s">
        <v>32</v>
      </c>
      <c r="AI34" s="270">
        <v>0</v>
      </c>
      <c r="AJ34" s="271">
        <v>0</v>
      </c>
      <c r="AK34" s="272" t="s">
        <v>32</v>
      </c>
      <c r="AL34" s="270">
        <v>0</v>
      </c>
      <c r="AM34" s="271">
        <v>0</v>
      </c>
      <c r="AN34" s="272" t="s">
        <v>32</v>
      </c>
      <c r="AO34" s="270">
        <v>0</v>
      </c>
      <c r="AP34" s="271">
        <v>0</v>
      </c>
      <c r="AQ34" s="272" t="s">
        <v>32</v>
      </c>
      <c r="AR34" s="270">
        <v>0</v>
      </c>
      <c r="AS34" s="271">
        <v>0</v>
      </c>
      <c r="AT34" s="272" t="s">
        <v>32</v>
      </c>
      <c r="AU34" s="20">
        <v>7</v>
      </c>
      <c r="AV34" s="21">
        <v>1</v>
      </c>
      <c r="AW34" s="139">
        <f t="shared" si="15"/>
        <v>7</v>
      </c>
      <c r="AX34" s="20">
        <v>15</v>
      </c>
      <c r="AY34" s="21">
        <v>2</v>
      </c>
      <c r="AZ34" s="139">
        <f t="shared" si="122"/>
        <v>7.5</v>
      </c>
      <c r="BA34" s="20">
        <v>21</v>
      </c>
      <c r="BB34" s="21">
        <v>7</v>
      </c>
      <c r="BC34" s="139">
        <f t="shared" si="17"/>
        <v>3</v>
      </c>
      <c r="BD34" s="20">
        <v>0</v>
      </c>
      <c r="BE34" s="21">
        <v>0</v>
      </c>
      <c r="BF34" s="139" t="str">
        <f t="shared" si="18"/>
        <v>-</v>
      </c>
      <c r="BG34" s="20"/>
      <c r="BH34" s="21"/>
      <c r="BI34" s="139" t="str">
        <f t="shared" si="19"/>
        <v>-</v>
      </c>
      <c r="BJ34" s="20">
        <v>27</v>
      </c>
      <c r="BK34" s="21">
        <v>4</v>
      </c>
      <c r="BL34" s="139">
        <f t="shared" si="20"/>
        <v>6.75</v>
      </c>
      <c r="BM34" s="20">
        <v>0</v>
      </c>
      <c r="BN34" s="21">
        <v>0</v>
      </c>
      <c r="BO34" s="139" t="str">
        <f t="shared" ref="BO34" si="126">IF(BN34=0,"-",BM34/BN34)</f>
        <v>-</v>
      </c>
      <c r="BP34" s="20">
        <v>0</v>
      </c>
      <c r="BQ34" s="21">
        <v>0</v>
      </c>
      <c r="BR34" s="139" t="str">
        <f t="shared" ref="BR34" si="127">IF(BQ34=0,"-",BP34/BQ34)</f>
        <v>-</v>
      </c>
      <c r="BS34" s="20">
        <v>0</v>
      </c>
      <c r="BT34" s="21">
        <v>0</v>
      </c>
      <c r="BU34" s="139" t="str">
        <f t="shared" ref="BU34" si="128">IF(BT34=0,"-",BS34/BT34)</f>
        <v>-</v>
      </c>
      <c r="BV34" s="117">
        <f t="shared" si="27"/>
        <v>242</v>
      </c>
      <c r="BW34" s="120">
        <f t="shared" si="39"/>
        <v>47</v>
      </c>
      <c r="BX34" s="147">
        <f t="shared" si="40"/>
        <v>5.1489361702127656</v>
      </c>
    </row>
    <row r="35" spans="1:76" ht="15" thickBot="1" x14ac:dyDescent="0.35">
      <c r="A35" s="294">
        <v>45504</v>
      </c>
      <c r="B35" s="20">
        <v>57</v>
      </c>
      <c r="C35" s="21">
        <v>7</v>
      </c>
      <c r="D35" s="139">
        <f t="shared" ref="D35" si="129">IF(C35=0,"-",B35/C35)</f>
        <v>8.1428571428571423</v>
      </c>
      <c r="E35" s="20">
        <v>8</v>
      </c>
      <c r="F35" s="21">
        <v>1</v>
      </c>
      <c r="G35" s="139">
        <f t="shared" ref="G35" si="130">IF(F35=0,"-",E35/F35)</f>
        <v>8</v>
      </c>
      <c r="H35" s="20"/>
      <c r="I35" s="21"/>
      <c r="J35" s="139" t="s">
        <v>32</v>
      </c>
      <c r="K35" s="20">
        <v>25</v>
      </c>
      <c r="L35" s="21">
        <v>3</v>
      </c>
      <c r="M35" s="139">
        <f t="shared" si="3"/>
        <v>8.3333333333333339</v>
      </c>
      <c r="N35" s="20"/>
      <c r="O35" s="21"/>
      <c r="P35" s="139" t="s">
        <v>32</v>
      </c>
      <c r="Q35" s="20">
        <v>48</v>
      </c>
      <c r="R35" s="21">
        <v>8</v>
      </c>
      <c r="S35" s="139">
        <f t="shared" si="5"/>
        <v>6</v>
      </c>
      <c r="T35" s="20">
        <v>0</v>
      </c>
      <c r="U35" s="21">
        <v>0</v>
      </c>
      <c r="V35" s="139" t="str">
        <f t="shared" si="6"/>
        <v>-</v>
      </c>
      <c r="W35" s="20">
        <v>72</v>
      </c>
      <c r="X35" s="21">
        <v>17</v>
      </c>
      <c r="Y35" s="139" t="s">
        <v>32</v>
      </c>
      <c r="Z35" s="20">
        <v>0</v>
      </c>
      <c r="AA35" s="21">
        <v>0</v>
      </c>
      <c r="AB35" s="139" t="s">
        <v>32</v>
      </c>
      <c r="AC35" s="20">
        <v>0</v>
      </c>
      <c r="AD35" s="21">
        <v>0</v>
      </c>
      <c r="AE35" s="139" t="s">
        <v>32</v>
      </c>
      <c r="AF35" s="20">
        <v>0</v>
      </c>
      <c r="AG35" s="21">
        <v>0</v>
      </c>
      <c r="AH35" s="139" t="s">
        <v>32</v>
      </c>
      <c r="AI35" s="20">
        <v>0</v>
      </c>
      <c r="AJ35" s="21">
        <v>0</v>
      </c>
      <c r="AK35" s="139" t="s">
        <v>32</v>
      </c>
      <c r="AL35" s="20">
        <v>0</v>
      </c>
      <c r="AM35" s="21">
        <v>0</v>
      </c>
      <c r="AN35" s="139" t="s">
        <v>32</v>
      </c>
      <c r="AO35" s="20">
        <v>0</v>
      </c>
      <c r="AP35" s="21">
        <v>0</v>
      </c>
      <c r="AQ35" s="139" t="s">
        <v>32</v>
      </c>
      <c r="AR35" s="20">
        <v>1</v>
      </c>
      <c r="AS35" s="21">
        <v>1</v>
      </c>
      <c r="AT35" s="139" t="s">
        <v>32</v>
      </c>
      <c r="AU35" s="20">
        <v>18</v>
      </c>
      <c r="AV35" s="21">
        <v>3</v>
      </c>
      <c r="AW35" s="139">
        <f t="shared" ref="AW35" si="131">IF(AV35=0,"-",AU35/AV35)</f>
        <v>6</v>
      </c>
      <c r="AX35" s="20">
        <v>0</v>
      </c>
      <c r="AY35" s="21">
        <v>0</v>
      </c>
      <c r="AZ35" s="139" t="str">
        <f t="shared" ref="AZ35" si="132">IF(AY35=0,"-",AX35/AY35)</f>
        <v>-</v>
      </c>
      <c r="BA35" s="20">
        <v>0</v>
      </c>
      <c r="BB35" s="21">
        <v>0</v>
      </c>
      <c r="BC35" s="139" t="str">
        <f t="shared" ref="BC35" si="133">IF(BB35=0,"-",BA35/BB35)</f>
        <v>-</v>
      </c>
      <c r="BD35" s="20">
        <v>0</v>
      </c>
      <c r="BE35" s="21">
        <v>0</v>
      </c>
      <c r="BF35" s="139" t="str">
        <f t="shared" ref="BF35" si="134">IF(BE35=0,"-",BD35/BE35)</f>
        <v>-</v>
      </c>
      <c r="BG35" s="20"/>
      <c r="BH35" s="21"/>
      <c r="BI35" s="139" t="str">
        <f t="shared" ref="BI35" si="135">IF(BH35=0,"-",BG35/BH35)</f>
        <v>-</v>
      </c>
      <c r="BJ35" s="20">
        <v>42</v>
      </c>
      <c r="BK35" s="21">
        <v>6</v>
      </c>
      <c r="BL35" s="139">
        <f t="shared" ref="BL35" si="136">IF(BK35=0,"-",BJ35/BK35)</f>
        <v>7</v>
      </c>
      <c r="BM35" s="20">
        <v>0</v>
      </c>
      <c r="BN35" s="21">
        <v>0</v>
      </c>
      <c r="BO35" s="139" t="str">
        <f t="shared" ref="BO35" si="137">IF(BN35=0,"-",BM35/BN35)</f>
        <v>-</v>
      </c>
      <c r="BP35" s="20">
        <v>0</v>
      </c>
      <c r="BQ35" s="21">
        <v>0</v>
      </c>
      <c r="BR35" s="139" t="str">
        <f t="shared" ref="BR35" si="138">IF(BQ35=0,"-",BP35/BQ35)</f>
        <v>-</v>
      </c>
      <c r="BS35" s="20">
        <v>0</v>
      </c>
      <c r="BT35" s="21">
        <v>0</v>
      </c>
      <c r="BU35" s="139" t="str">
        <f t="shared" ref="BU35" si="139">IF(BT35=0,"-",BS35/BT35)</f>
        <v>-</v>
      </c>
      <c r="BV35" s="117">
        <f t="shared" si="27"/>
        <v>271</v>
      </c>
      <c r="BW35" s="120">
        <f t="shared" ref="BW35" si="140">BT35+BQ35+BN35+BK35+BH35+BE35+BB35+AY35+AV35+L35+U35+R35+I35+F35+AP35+AM35+AJ35+AG35+AD35+C35</f>
        <v>28</v>
      </c>
      <c r="BX35" s="147">
        <f t="shared" ref="BX35" si="141">IF(BW35=0,"",BV35/BW35)</f>
        <v>9.6785714285714288</v>
      </c>
    </row>
    <row r="36" spans="1:76" s="41" customFormat="1" ht="15.6" customHeight="1" thickBot="1" x14ac:dyDescent="0.35">
      <c r="A36" s="295" t="s">
        <v>33</v>
      </c>
      <c r="B36" s="43">
        <f>SUM(B5:B35)</f>
        <v>1048</v>
      </c>
      <c r="C36" s="43">
        <f>SUM(C5:C35)</f>
        <v>129</v>
      </c>
      <c r="D36" s="44">
        <f>B36/C36</f>
        <v>8.1240310077519382</v>
      </c>
      <c r="E36" s="43">
        <f>SUM(E5:E35)</f>
        <v>232</v>
      </c>
      <c r="F36" s="43">
        <f>SUM(F5:F35)</f>
        <v>29</v>
      </c>
      <c r="G36" s="44">
        <f>E36/F36</f>
        <v>8</v>
      </c>
      <c r="H36" s="43">
        <f>SUM(H5:H34)</f>
        <v>16</v>
      </c>
      <c r="I36" s="43">
        <f>SUM(I5:I34)</f>
        <v>2</v>
      </c>
      <c r="J36" s="44">
        <f>H36/I36</f>
        <v>8</v>
      </c>
      <c r="K36" s="43">
        <f>SUM(K5:K35)</f>
        <v>636</v>
      </c>
      <c r="L36" s="43">
        <f>SUM(L5:L35)</f>
        <v>82</v>
      </c>
      <c r="M36" s="44">
        <f>K36/L36</f>
        <v>7.7560975609756095</v>
      </c>
      <c r="N36" s="43">
        <f>SUM(N5:N34)</f>
        <v>0</v>
      </c>
      <c r="O36" s="43">
        <f>SUM(O5:O34)</f>
        <v>0</v>
      </c>
      <c r="P36" s="44" t="e">
        <f>N36/O36</f>
        <v>#DIV/0!</v>
      </c>
      <c r="Q36" s="43">
        <f>SUM(Q5:Q35)</f>
        <v>1170</v>
      </c>
      <c r="R36" s="43">
        <f>SUM(R5:R35)</f>
        <v>206</v>
      </c>
      <c r="S36" s="44">
        <f>Q36/R36</f>
        <v>5.6796116504854366</v>
      </c>
      <c r="T36" s="43">
        <f>SUM(T5:T35)</f>
        <v>569</v>
      </c>
      <c r="U36" s="43">
        <f>SUM(U5:U35)</f>
        <v>123</v>
      </c>
      <c r="V36" s="44">
        <f>T36/U36</f>
        <v>4.6260162601626016</v>
      </c>
      <c r="W36" s="43">
        <f>SUM(W5:W35)</f>
        <v>156</v>
      </c>
      <c r="X36" s="43">
        <f>SUM(X5:X35)</f>
        <v>31</v>
      </c>
      <c r="Y36" s="44">
        <f>W36/X36</f>
        <v>5.032258064516129</v>
      </c>
      <c r="Z36" s="43">
        <f>SUM(Z5:Z35)</f>
        <v>0</v>
      </c>
      <c r="AA36" s="43">
        <f>SUM(AA5:AA35)</f>
        <v>0</v>
      </c>
      <c r="AB36" s="44" t="e">
        <f>Z36/AA36</f>
        <v>#DIV/0!</v>
      </c>
      <c r="AC36" s="43">
        <f>SUM(AC5:AC35)</f>
        <v>59</v>
      </c>
      <c r="AD36" s="43">
        <f>SUM(AD5:AD35)</f>
        <v>13</v>
      </c>
      <c r="AE36" s="44">
        <f>AC36/AD36</f>
        <v>4.5384615384615383</v>
      </c>
      <c r="AF36" s="43">
        <f>SUM(AF5:AF35)</f>
        <v>0</v>
      </c>
      <c r="AG36" s="43">
        <f>SUM(AG5:AG35)</f>
        <v>0</v>
      </c>
      <c r="AH36" s="44" t="e">
        <f>AF36/AG36</f>
        <v>#DIV/0!</v>
      </c>
      <c r="AI36" s="43">
        <f>SUM(AI5:AI35)</f>
        <v>27</v>
      </c>
      <c r="AJ36" s="43">
        <f>SUM(AJ5:AJ35)</f>
        <v>9</v>
      </c>
      <c r="AK36" s="44">
        <f>AI36/AJ36</f>
        <v>3</v>
      </c>
      <c r="AL36" s="43">
        <f>SUM(AL5:AL35)</f>
        <v>0</v>
      </c>
      <c r="AM36" s="43">
        <f>SUM(AM5:AM35)</f>
        <v>0</v>
      </c>
      <c r="AN36" s="44" t="e">
        <f>AL36/AM36</f>
        <v>#DIV/0!</v>
      </c>
      <c r="AO36" s="43">
        <f>SUM(AO5:AO35)</f>
        <v>1</v>
      </c>
      <c r="AP36" s="43">
        <f>SUM(AP5:AP35)</f>
        <v>1</v>
      </c>
      <c r="AQ36" s="44">
        <f>AO36/AP36</f>
        <v>1</v>
      </c>
      <c r="AR36" s="43">
        <f>SUM(AR5:AR35)</f>
        <v>2</v>
      </c>
      <c r="AS36" s="43">
        <f>SUM(AS5:AS35)</f>
        <v>2</v>
      </c>
      <c r="AT36" s="44">
        <f>AR36/AS36</f>
        <v>1</v>
      </c>
      <c r="AU36" s="43">
        <f>SUM(AU5:AU35)</f>
        <v>423</v>
      </c>
      <c r="AV36" s="43">
        <f>SUM(AV5:AV35)</f>
        <v>76</v>
      </c>
      <c r="AW36" s="44">
        <f>AU36/AV36</f>
        <v>5.5657894736842106</v>
      </c>
      <c r="AX36" s="43">
        <f>SUM(AX5:AX35)</f>
        <v>53</v>
      </c>
      <c r="AY36" s="43">
        <f>SUM(AY5:AY35)</f>
        <v>7</v>
      </c>
      <c r="AZ36" s="44">
        <f>AX36/AY36</f>
        <v>7.5714285714285712</v>
      </c>
      <c r="BA36" s="43">
        <f>SUM(BA5:BA35)</f>
        <v>112</v>
      </c>
      <c r="BB36" s="43">
        <f>SUM(BB5:BB35)</f>
        <v>20</v>
      </c>
      <c r="BC36" s="44">
        <f>BA36/BB36</f>
        <v>5.6</v>
      </c>
      <c r="BD36" s="43">
        <f>SUM(BD5:BD35)</f>
        <v>64</v>
      </c>
      <c r="BE36" s="43">
        <f>SUM(BE5:BE35)</f>
        <v>10</v>
      </c>
      <c r="BF36" s="44">
        <f>BD36/BE36</f>
        <v>6.4</v>
      </c>
      <c r="BG36" s="43">
        <f>SUM(BG5:BG34)</f>
        <v>0</v>
      </c>
      <c r="BH36" s="43">
        <f>SUM(BH5:BH34)</f>
        <v>0</v>
      </c>
      <c r="BI36" s="140" t="str">
        <f>IF(BH36=0,"-",BG36/BH36)</f>
        <v>-</v>
      </c>
      <c r="BJ36" s="43">
        <f>SUM(BJ5:BJ35)</f>
        <v>170</v>
      </c>
      <c r="BK36" s="43">
        <f>SUM(BK5:BK35)</f>
        <v>26</v>
      </c>
      <c r="BL36" s="44">
        <f>BJ36/BK36</f>
        <v>6.5384615384615383</v>
      </c>
      <c r="BM36" s="43">
        <f>SUM(BM5:BM35)</f>
        <v>0</v>
      </c>
      <c r="BN36" s="43">
        <f>SUM(BN5:BN35)</f>
        <v>0</v>
      </c>
      <c r="BO36" s="140" t="str">
        <f>IF(BN36=0,"-",BM36/BN36)</f>
        <v>-</v>
      </c>
      <c r="BP36" s="43">
        <f>SUM(BP5:BP35)</f>
        <v>0</v>
      </c>
      <c r="BQ36" s="43">
        <f>SUM(BQ5:BQ35)</f>
        <v>0</v>
      </c>
      <c r="BR36" s="140" t="str">
        <f>IF(BQ36=0,"-",BP36/BQ36)</f>
        <v>-</v>
      </c>
      <c r="BS36" s="43">
        <f>SUM(BS5:BS35)</f>
        <v>0</v>
      </c>
      <c r="BT36" s="43">
        <f>SUM(BT5:BT35)</f>
        <v>0</v>
      </c>
      <c r="BU36" s="140" t="str">
        <f>IF(BT36=0,"-",BS36/BT36)</f>
        <v>-</v>
      </c>
      <c r="BV36" s="118">
        <f>SUM(BV5:BV33)</f>
        <v>4209</v>
      </c>
      <c r="BW36" s="145">
        <f t="shared" ref="BW36" si="142">BT36+BQ36+BN36+BK36+BH36+BE36+BB36+AY36+AV36+L36+U36+R36+I36+F36+AP36+AM36+AJ36+AG36+AD36+C36</f>
        <v>733</v>
      </c>
      <c r="BX36" s="144">
        <f t="shared" si="25"/>
        <v>5.7421555252387453</v>
      </c>
    </row>
    <row r="37" spans="1:76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76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76" x14ac:dyDescent="0.3">
      <c r="A39" s="294"/>
    </row>
    <row r="40" spans="1:76" x14ac:dyDescent="0.3">
      <c r="A40" s="294"/>
    </row>
    <row r="41" spans="1:76" x14ac:dyDescent="0.3">
      <c r="A41" s="294"/>
    </row>
    <row r="42" spans="1:76" x14ac:dyDescent="0.3">
      <c r="A42" s="294"/>
    </row>
    <row r="43" spans="1:76" x14ac:dyDescent="0.3">
      <c r="A43" s="294"/>
    </row>
    <row r="44" spans="1:76" x14ac:dyDescent="0.3">
      <c r="A44" s="294"/>
    </row>
    <row r="45" spans="1:76" x14ac:dyDescent="0.3">
      <c r="A45" s="294"/>
    </row>
    <row r="46" spans="1:76" x14ac:dyDescent="0.3">
      <c r="A46" s="294"/>
    </row>
    <row r="47" spans="1:76" x14ac:dyDescent="0.3">
      <c r="A47" s="294"/>
    </row>
    <row r="48" spans="1:76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7B40-33EC-44F6-A477-AF8EBA4F0FF9}">
  <sheetPr codeName="Sheet19">
    <tabColor rgb="FFFF0000"/>
  </sheetPr>
  <dimension ref="A1:CL40"/>
  <sheetViews>
    <sheetView workbookViewId="0">
      <selection activeCell="H14" sqref="H14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8.44140625" customWidth="1"/>
  </cols>
  <sheetData>
    <row r="1" spans="1:90" ht="18" x14ac:dyDescent="0.35">
      <c r="A1" s="67" t="s">
        <v>60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'July 2024'!B36</f>
        <v>1048</v>
      </c>
      <c r="C4" s="68"/>
      <c r="D4" s="95" t="s">
        <v>19</v>
      </c>
      <c r="E4" s="93">
        <f>'July 2024'!AU36</f>
        <v>423</v>
      </c>
      <c r="F4" s="68"/>
      <c r="G4" s="87" t="s">
        <v>24</v>
      </c>
      <c r="H4" s="81">
        <f>'July 2024'!BJ36</f>
        <v>170</v>
      </c>
    </row>
    <row r="5" spans="1:90" x14ac:dyDescent="0.3">
      <c r="A5" s="80"/>
      <c r="B5" s="81">
        <f>'July 2024'!C36</f>
        <v>129</v>
      </c>
      <c r="C5" s="68"/>
      <c r="D5" s="85"/>
      <c r="E5" s="81">
        <f>'July 2024'!AV36</f>
        <v>76</v>
      </c>
      <c r="F5" s="68"/>
      <c r="G5" s="87"/>
      <c r="H5" s="81">
        <f>'July 2024'!BK36</f>
        <v>26</v>
      </c>
    </row>
    <row r="6" spans="1:90" x14ac:dyDescent="0.3">
      <c r="A6" s="82"/>
      <c r="B6" s="26">
        <f>'July 2024'!D36</f>
        <v>8.1240310077519382</v>
      </c>
      <c r="C6" s="68"/>
      <c r="D6" s="86"/>
      <c r="E6" s="26">
        <f>'July 2024'!AW36</f>
        <v>5.5657894736842106</v>
      </c>
      <c r="F6" s="68"/>
      <c r="G6" s="88"/>
      <c r="H6" s="26">
        <f>'July 2024'!BL36</f>
        <v>6.5384615384615383</v>
      </c>
    </row>
    <row r="7" spans="1:90" x14ac:dyDescent="0.3">
      <c r="A7" s="80" t="s">
        <v>9</v>
      </c>
      <c r="B7" s="81">
        <f>'July 2024'!E36</f>
        <v>232</v>
      </c>
      <c r="C7" s="68"/>
      <c r="D7" s="85" t="s">
        <v>20</v>
      </c>
      <c r="E7" s="81">
        <f>'July 2024'!AX36</f>
        <v>53</v>
      </c>
      <c r="F7" s="68"/>
      <c r="G7" s="87" t="s">
        <v>25</v>
      </c>
      <c r="H7" s="151">
        <f>'July 2024'!BM36</f>
        <v>0</v>
      </c>
    </row>
    <row r="8" spans="1:90" x14ac:dyDescent="0.3">
      <c r="A8" s="80"/>
      <c r="B8" s="81">
        <f>'July 2024'!F36</f>
        <v>29</v>
      </c>
      <c r="C8" s="68"/>
      <c r="D8" s="85"/>
      <c r="E8" s="81">
        <f>'July 2024'!AY36</f>
        <v>7</v>
      </c>
      <c r="F8" s="68"/>
      <c r="G8" s="87"/>
      <c r="H8" s="151">
        <f>'July 2024'!BN36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'July 2024'!G36</f>
        <v>8</v>
      </c>
      <c r="C9" s="68"/>
      <c r="D9" s="86"/>
      <c r="E9" s="26">
        <f>'July 2024'!AZ36</f>
        <v>7.5714285714285712</v>
      </c>
      <c r="F9" s="68"/>
      <c r="G9" s="88"/>
      <c r="H9" s="151">
        <f>'July 2024'!BN36</f>
        <v>0</v>
      </c>
    </row>
    <row r="10" spans="1:90" x14ac:dyDescent="0.3">
      <c r="A10" s="80" t="s">
        <v>10</v>
      </c>
      <c r="B10" s="81">
        <f>'July 2024'!H36</f>
        <v>16</v>
      </c>
      <c r="C10" s="68"/>
      <c r="D10" s="85" t="s">
        <v>21</v>
      </c>
      <c r="E10" s="81">
        <f>'July 2024'!BA36</f>
        <v>112</v>
      </c>
      <c r="F10" s="68"/>
      <c r="G10" s="87" t="s">
        <v>26</v>
      </c>
      <c r="H10" s="151">
        <f>'July 2024'!BP36</f>
        <v>0</v>
      </c>
    </row>
    <row r="11" spans="1:90" x14ac:dyDescent="0.3">
      <c r="A11" s="80"/>
      <c r="B11" s="81">
        <f>'July 2024'!I36</f>
        <v>2</v>
      </c>
      <c r="C11" s="68"/>
      <c r="D11" s="85"/>
      <c r="E11" s="81">
        <f>'July 2024'!BB36</f>
        <v>20</v>
      </c>
      <c r="F11" s="68"/>
      <c r="G11" s="87"/>
      <c r="H11" s="81">
        <f>'July 2024'!BQ36</f>
        <v>0</v>
      </c>
    </row>
    <row r="12" spans="1:90" x14ac:dyDescent="0.3">
      <c r="A12" s="82"/>
      <c r="B12" s="26">
        <f>'July 2024'!J36</f>
        <v>8</v>
      </c>
      <c r="C12" s="68"/>
      <c r="D12" s="86"/>
      <c r="E12" s="26">
        <f>'July 2024'!BC36</f>
        <v>5.6</v>
      </c>
      <c r="F12" s="68"/>
      <c r="G12" s="88"/>
      <c r="H12" s="26" t="str">
        <f>'July 2024'!BR36</f>
        <v>-</v>
      </c>
    </row>
    <row r="13" spans="1:90" x14ac:dyDescent="0.3">
      <c r="A13" s="80" t="s">
        <v>11</v>
      </c>
      <c r="B13" s="81">
        <f>'July 2024'!Q36</f>
        <v>1170</v>
      </c>
      <c r="C13" s="68"/>
      <c r="D13" s="85" t="s">
        <v>22</v>
      </c>
      <c r="E13" s="81">
        <f>'July 2024'!BD36</f>
        <v>64</v>
      </c>
      <c r="F13" s="68"/>
      <c r="G13" s="87" t="s">
        <v>27</v>
      </c>
      <c r="H13" s="81">
        <f>'July 2024'!BS36</f>
        <v>0</v>
      </c>
    </row>
    <row r="14" spans="1:90" x14ac:dyDescent="0.3">
      <c r="A14" s="80"/>
      <c r="B14" s="81">
        <f>'July 2024'!R36</f>
        <v>206</v>
      </c>
      <c r="C14" s="68"/>
      <c r="D14" s="85"/>
      <c r="E14" s="81">
        <f>'July 2024'!BE36</f>
        <v>10</v>
      </c>
      <c r="F14" s="68"/>
      <c r="G14" s="87"/>
      <c r="H14" s="81" t="e">
        <f>[1]July2024!BT35</f>
        <v>#REF!</v>
      </c>
    </row>
    <row r="15" spans="1:90" x14ac:dyDescent="0.3">
      <c r="A15" s="82"/>
      <c r="B15" s="26">
        <f>'July 2024'!S36</f>
        <v>5.6796116504854366</v>
      </c>
      <c r="C15" s="68"/>
      <c r="D15" s="85"/>
      <c r="E15" s="26">
        <f>'July 2024'!BF36</f>
        <v>6.4</v>
      </c>
      <c r="F15" s="68"/>
      <c r="G15" s="88"/>
      <c r="H15" s="26" t="str">
        <f>'July 2024'!BU36</f>
        <v>-</v>
      </c>
    </row>
    <row r="16" spans="1:90" x14ac:dyDescent="0.3">
      <c r="A16" s="80" t="s">
        <v>44</v>
      </c>
      <c r="B16" s="81">
        <f>'July 2024'!T36</f>
        <v>569</v>
      </c>
      <c r="C16" s="68"/>
      <c r="D16" s="85" t="s">
        <v>45</v>
      </c>
      <c r="E16" s="81">
        <f>'July 2024'!BG36</f>
        <v>0</v>
      </c>
      <c r="F16" s="68"/>
      <c r="G16" s="96" t="s">
        <v>28</v>
      </c>
      <c r="H16" s="97">
        <f>'July 2024'!BV36</f>
        <v>4209</v>
      </c>
    </row>
    <row r="17" spans="1:8" x14ac:dyDescent="0.3">
      <c r="A17" s="80"/>
      <c r="B17" s="81">
        <f>'July 2024'!U36</f>
        <v>123</v>
      </c>
      <c r="C17" s="68"/>
      <c r="D17" s="85"/>
      <c r="E17" s="81">
        <f>'July 2024'!BH36</f>
        <v>0</v>
      </c>
      <c r="F17" s="68"/>
      <c r="G17" s="96"/>
      <c r="H17" s="97">
        <f>'July 2024'!BW36</f>
        <v>733</v>
      </c>
    </row>
    <row r="18" spans="1:8" ht="15" thickBot="1" x14ac:dyDescent="0.35">
      <c r="A18" s="82"/>
      <c r="B18" s="26">
        <f>'July 2024'!V36</f>
        <v>4.6260162601626016</v>
      </c>
      <c r="C18" s="68"/>
      <c r="D18" s="102"/>
      <c r="E18" s="149" t="str">
        <f>'July 2024'!BI36</f>
        <v>-</v>
      </c>
      <c r="F18" s="68"/>
      <c r="G18" s="98"/>
      <c r="H18" s="99">
        <f>H16/H17</f>
        <v>5.7421555252387453</v>
      </c>
    </row>
    <row r="19" spans="1:8" x14ac:dyDescent="0.3">
      <c r="A19" s="80" t="s">
        <v>55</v>
      </c>
      <c r="B19" s="81">
        <f>'July 2024'!K36</f>
        <v>636</v>
      </c>
      <c r="C19" s="68"/>
    </row>
    <row r="20" spans="1:8" x14ac:dyDescent="0.3">
      <c r="A20" s="80"/>
      <c r="B20" s="81">
        <f>'July 2024'!L36</f>
        <v>82</v>
      </c>
      <c r="C20" s="68"/>
    </row>
    <row r="21" spans="1:8" x14ac:dyDescent="0.3">
      <c r="A21" s="100"/>
      <c r="B21" s="81">
        <f>'July 2024'!M36</f>
        <v>7.7560975609756095</v>
      </c>
      <c r="C21" s="68"/>
    </row>
    <row r="22" spans="1:8" x14ac:dyDescent="0.3">
      <c r="A22" s="80" t="s">
        <v>46</v>
      </c>
      <c r="B22" s="142">
        <f>'July 2024'!X36</f>
        <v>31</v>
      </c>
      <c r="C22" s="68"/>
      <c r="D22" s="68"/>
      <c r="E22" s="68"/>
    </row>
    <row r="23" spans="1:8" x14ac:dyDescent="0.3">
      <c r="A23" s="80"/>
      <c r="B23" s="142">
        <f>'July 2024'!W37</f>
        <v>0</v>
      </c>
      <c r="C23" s="68"/>
      <c r="D23" s="68"/>
      <c r="E23" s="68"/>
    </row>
    <row r="24" spans="1:8" ht="15" thickBot="1" x14ac:dyDescent="0.35">
      <c r="A24" s="141"/>
      <c r="B24" s="143">
        <f>'July 2024'!Y36</f>
        <v>5.032258064516129</v>
      </c>
      <c r="C24" s="68"/>
      <c r="D24" s="68"/>
      <c r="E24" s="68"/>
    </row>
    <row r="25" spans="1:8" x14ac:dyDescent="0.3">
      <c r="A25" s="101" t="s">
        <v>14</v>
      </c>
      <c r="B25" s="93">
        <f>'July 2024'!AC36</f>
        <v>59</v>
      </c>
      <c r="C25" s="68"/>
      <c r="D25" s="68"/>
      <c r="E25" s="68"/>
    </row>
    <row r="26" spans="1:8" x14ac:dyDescent="0.3">
      <c r="A26" s="83"/>
      <c r="B26" s="81">
        <f>'July 2024'!AD36</f>
        <v>13</v>
      </c>
      <c r="C26" s="68"/>
      <c r="D26" s="68"/>
      <c r="E26" s="68"/>
    </row>
    <row r="27" spans="1:8" x14ac:dyDescent="0.3">
      <c r="A27" s="84"/>
      <c r="B27" s="26">
        <f>'July 2024'!AE36</f>
        <v>4.5384615384615383</v>
      </c>
      <c r="C27" s="68"/>
      <c r="D27" s="68"/>
      <c r="E27" s="68"/>
    </row>
    <row r="28" spans="1:8" x14ac:dyDescent="0.3">
      <c r="A28" s="83" t="s">
        <v>15</v>
      </c>
      <c r="B28" s="81">
        <f>'July 2024'!AF36</f>
        <v>0</v>
      </c>
      <c r="C28" s="68"/>
      <c r="F28" s="68"/>
      <c r="G28" s="68"/>
    </row>
    <row r="29" spans="1:8" x14ac:dyDescent="0.3">
      <c r="A29" s="83"/>
      <c r="B29" s="81">
        <f>'July 2024'!AG36</f>
        <v>0</v>
      </c>
      <c r="C29" s="68"/>
      <c r="F29" s="68"/>
      <c r="G29" s="68"/>
    </row>
    <row r="30" spans="1:8" x14ac:dyDescent="0.3">
      <c r="A30" s="84"/>
      <c r="B30" s="275" t="e">
        <f>'July 2024'!AH36</f>
        <v>#DIV/0!</v>
      </c>
      <c r="C30" s="68"/>
      <c r="F30" s="68"/>
      <c r="G30" s="68"/>
    </row>
    <row r="31" spans="1:8" x14ac:dyDescent="0.3">
      <c r="A31" s="83" t="s">
        <v>16</v>
      </c>
      <c r="B31" s="81">
        <f>'July 2024'!AI36</f>
        <v>27</v>
      </c>
      <c r="C31" s="68"/>
      <c r="F31" s="68"/>
      <c r="G31" s="68"/>
    </row>
    <row r="32" spans="1:8" x14ac:dyDescent="0.3">
      <c r="A32" s="83"/>
      <c r="B32" s="81">
        <f>'July 2024'!AJ36</f>
        <v>9</v>
      </c>
      <c r="C32" s="68"/>
      <c r="F32" s="68"/>
      <c r="G32" s="68"/>
    </row>
    <row r="33" spans="1:7" x14ac:dyDescent="0.3">
      <c r="A33" s="84"/>
      <c r="B33" s="26">
        <f>'July 2024'!AK36</f>
        <v>3</v>
      </c>
      <c r="C33" s="68"/>
      <c r="F33" s="68"/>
      <c r="G33" s="68"/>
    </row>
    <row r="34" spans="1:7" x14ac:dyDescent="0.3">
      <c r="A34" s="83" t="s">
        <v>17</v>
      </c>
      <c r="B34" s="81">
        <f>'July 2024'!AL36</f>
        <v>0</v>
      </c>
      <c r="C34" s="68"/>
      <c r="F34" s="68"/>
      <c r="G34" s="68"/>
    </row>
    <row r="35" spans="1:7" x14ac:dyDescent="0.3">
      <c r="A35" s="83"/>
      <c r="B35" s="81">
        <f>'July 2024'!AM36</f>
        <v>0</v>
      </c>
      <c r="C35" s="68"/>
      <c r="F35" s="68"/>
      <c r="G35" s="68"/>
    </row>
    <row r="36" spans="1:7" x14ac:dyDescent="0.3">
      <c r="A36" s="84"/>
      <c r="B36" s="26" t="e">
        <f>'July 2024'!AN36</f>
        <v>#DIV/0!</v>
      </c>
      <c r="C36" s="68"/>
      <c r="F36" s="68"/>
      <c r="G36" s="68"/>
    </row>
    <row r="37" spans="1:7" x14ac:dyDescent="0.3">
      <c r="A37" s="83" t="s">
        <v>59</v>
      </c>
      <c r="B37" s="81">
        <f>'July 2024'!AO36</f>
        <v>1</v>
      </c>
      <c r="C37" s="68"/>
      <c r="F37" s="68"/>
      <c r="G37" s="68"/>
    </row>
    <row r="38" spans="1:7" x14ac:dyDescent="0.3">
      <c r="A38" s="83"/>
      <c r="B38" s="81">
        <f>'July 2024'!AP36</f>
        <v>1</v>
      </c>
      <c r="C38" s="68"/>
      <c r="F38" s="68"/>
      <c r="G38" s="68"/>
    </row>
    <row r="39" spans="1:7" ht="15" thickBot="1" x14ac:dyDescent="0.35">
      <c r="A39" s="94"/>
      <c r="B39" s="89">
        <f>'July 2024'!AQ36</f>
        <v>1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CDC0-0B10-4750-84B4-F89E815BA578}">
  <sheetPr codeName="Sheet20"/>
  <dimension ref="A1:CD126"/>
  <sheetViews>
    <sheetView workbookViewId="0">
      <pane xSplit="9" ySplit="11" topLeftCell="BP26" activePane="bottomRight" state="frozen"/>
      <selection pane="topRight" activeCell="J1" sqref="J1"/>
      <selection pane="bottomLeft" activeCell="A12" sqref="A12"/>
      <selection pane="bottomRight" activeCell="A2" sqref="A2"/>
    </sheetView>
  </sheetViews>
  <sheetFormatPr defaultRowHeight="14.4" x14ac:dyDescent="0.3"/>
  <cols>
    <col min="1" max="1" width="14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21" width="8.88671875" style="2" customWidth="1"/>
    <col min="22" max="22" width="9.6640625" style="2" customWidth="1"/>
    <col min="23" max="24" width="8.88671875" style="2" customWidth="1"/>
    <col min="25" max="34" width="9.6640625" style="2" customWidth="1"/>
    <col min="35" max="36" width="8.88671875" customWidth="1"/>
    <col min="37" max="37" width="8.8867187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7.33203125" style="2" customWidth="1"/>
    <col min="47" max="47" width="8.33203125" customWidth="1"/>
    <col min="48" max="48" width="9.6640625" customWidth="1"/>
    <col min="49" max="49" width="11.88671875" style="2" customWidth="1"/>
    <col min="50" max="50" width="8.33203125" customWidth="1"/>
    <col min="51" max="51" width="9.6640625" customWidth="1"/>
    <col min="52" max="52" width="11.88671875" style="2" customWidth="1"/>
    <col min="53" max="54" width="8.88671875" customWidth="1"/>
    <col min="55" max="55" width="8.88671875" style="2" customWidth="1"/>
    <col min="56" max="57" width="8.88671875" customWidth="1"/>
    <col min="58" max="58" width="8.88671875" style="2" customWidth="1"/>
    <col min="59" max="60" width="8.88671875" customWidth="1"/>
    <col min="61" max="61" width="8.88671875" style="2" customWidth="1"/>
    <col min="62" max="64" width="8.88671875" customWidth="1"/>
    <col min="65" max="66" width="8.88671875" hidden="1" customWidth="1"/>
    <col min="67" max="67" width="8.88671875" style="2" hidden="1" customWidth="1"/>
    <col min="70" max="70" width="8.88671875" style="2"/>
    <col min="73" max="73" width="8.88671875" style="2"/>
    <col min="76" max="76" width="9.33203125" style="2" customWidth="1"/>
    <col min="79" max="79" width="8.88671875" style="2"/>
    <col min="80" max="80" width="9.109375" style="79" bestFit="1" customWidth="1"/>
    <col min="81" max="81" width="8.88671875" style="79"/>
    <col min="82" max="82" width="8.88671875" style="2"/>
  </cols>
  <sheetData>
    <row r="1" spans="1:82" ht="18.600000000000001" thickBot="1" x14ac:dyDescent="0.4">
      <c r="A1" s="290" t="s">
        <v>66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8"/>
      <c r="AJ1" s="68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8"/>
      <c r="BM1" s="68"/>
      <c r="BN1" s="68"/>
      <c r="BO1" s="69"/>
      <c r="BP1" s="68"/>
      <c r="BQ1" s="68"/>
      <c r="BR1" s="69"/>
      <c r="BS1" s="68"/>
      <c r="BT1" s="68"/>
      <c r="BU1" s="69"/>
      <c r="BV1" s="68"/>
      <c r="BW1" s="68"/>
      <c r="BX1" s="69"/>
      <c r="BY1" s="68"/>
      <c r="BZ1" s="68"/>
      <c r="CA1" s="69"/>
      <c r="CB1" s="113"/>
      <c r="CC1" s="113"/>
      <c r="CD1" s="69"/>
    </row>
    <row r="2" spans="1:82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1"/>
      <c r="AJ2" s="72" t="s">
        <v>3</v>
      </c>
      <c r="AK2" s="73"/>
      <c r="AL2" s="71"/>
      <c r="AM2" s="72" t="s">
        <v>3</v>
      </c>
      <c r="AN2" s="74"/>
      <c r="AO2" s="72"/>
      <c r="AP2" s="72" t="s">
        <v>4</v>
      </c>
      <c r="AQ2" s="73"/>
      <c r="AR2" s="71"/>
      <c r="AS2" s="72" t="s">
        <v>4</v>
      </c>
      <c r="AT2" s="74"/>
      <c r="AU2" s="72"/>
      <c r="AV2" s="72" t="s">
        <v>4</v>
      </c>
      <c r="AW2" s="282"/>
      <c r="AX2" s="72"/>
      <c r="AY2" s="72" t="s">
        <v>4</v>
      </c>
      <c r="AZ2" s="74"/>
      <c r="BA2" s="108"/>
      <c r="BB2" s="109" t="s">
        <v>5</v>
      </c>
      <c r="BC2" s="110"/>
      <c r="BD2" s="108"/>
      <c r="BE2" s="109" t="s">
        <v>5</v>
      </c>
      <c r="BF2" s="111"/>
      <c r="BG2" s="109"/>
      <c r="BH2" s="109" t="s">
        <v>5</v>
      </c>
      <c r="BI2" s="110"/>
      <c r="BJ2" s="108"/>
      <c r="BK2" s="109" t="s">
        <v>5</v>
      </c>
      <c r="BL2" s="112"/>
      <c r="BM2" s="109"/>
      <c r="BN2" s="109" t="s">
        <v>5</v>
      </c>
      <c r="BO2" s="111"/>
      <c r="BP2" s="71"/>
      <c r="BQ2" s="72" t="s">
        <v>6</v>
      </c>
      <c r="BR2" s="74"/>
      <c r="BS2" s="75"/>
      <c r="BT2" s="75" t="s">
        <v>6</v>
      </c>
      <c r="BU2" s="76"/>
      <c r="BV2" s="71"/>
      <c r="BW2" s="72" t="s">
        <v>6</v>
      </c>
      <c r="BX2" s="74"/>
      <c r="BY2" s="75"/>
      <c r="BZ2" s="75" t="s">
        <v>6</v>
      </c>
      <c r="CA2" s="76"/>
      <c r="CB2" s="114" t="s">
        <v>7</v>
      </c>
      <c r="CC2" s="119"/>
      <c r="CD2" s="74"/>
    </row>
    <row r="3" spans="1:82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68</v>
      </c>
      <c r="AA3" s="35"/>
      <c r="AB3" s="35"/>
      <c r="AC3" s="3" t="s">
        <v>62</v>
      </c>
      <c r="AD3" s="35"/>
      <c r="AE3" s="35"/>
      <c r="AF3" s="3" t="s">
        <v>69</v>
      </c>
      <c r="AG3" s="4"/>
      <c r="AH3" s="33"/>
      <c r="AI3" s="47" t="s">
        <v>14</v>
      </c>
      <c r="AJ3" s="47"/>
      <c r="AK3" s="49"/>
      <c r="AL3" s="46" t="s">
        <v>15</v>
      </c>
      <c r="AM3" s="47"/>
      <c r="AN3" s="48"/>
      <c r="AO3" s="47" t="s">
        <v>16</v>
      </c>
      <c r="AP3" s="47"/>
      <c r="AQ3" s="49"/>
      <c r="AR3" s="46" t="s">
        <v>70</v>
      </c>
      <c r="AS3" s="47"/>
      <c r="AT3" s="48"/>
      <c r="AU3" s="47" t="s">
        <v>63</v>
      </c>
      <c r="AV3" s="47"/>
      <c r="AW3" s="287"/>
      <c r="AX3" s="47" t="s">
        <v>64</v>
      </c>
      <c r="AY3" s="47"/>
      <c r="AZ3" s="49"/>
      <c r="BA3" s="9" t="s">
        <v>36</v>
      </c>
      <c r="BB3" s="7"/>
      <c r="BC3" s="29"/>
      <c r="BD3" s="9" t="s">
        <v>37</v>
      </c>
      <c r="BE3" s="7"/>
      <c r="BF3" s="31"/>
      <c r="BG3" s="7" t="s">
        <v>38</v>
      </c>
      <c r="BH3" s="7"/>
      <c r="BI3" s="29"/>
      <c r="BJ3" s="9" t="s">
        <v>39</v>
      </c>
      <c r="BK3" s="7"/>
      <c r="BL3" s="8"/>
      <c r="BM3" s="7" t="s">
        <v>40</v>
      </c>
      <c r="BN3" s="7"/>
      <c r="BO3" s="31"/>
      <c r="BP3" s="13" t="s">
        <v>24</v>
      </c>
      <c r="BQ3" s="14"/>
      <c r="BR3" s="27"/>
      <c r="BS3" s="14" t="s">
        <v>25</v>
      </c>
      <c r="BT3" s="14"/>
      <c r="BU3" s="55"/>
      <c r="BV3" s="13" t="s">
        <v>26</v>
      </c>
      <c r="BW3" s="14"/>
      <c r="BX3" s="27"/>
      <c r="BY3" s="14" t="s">
        <v>27</v>
      </c>
      <c r="BZ3" s="14"/>
      <c r="CA3" s="55"/>
      <c r="CB3" s="115" t="s">
        <v>28</v>
      </c>
      <c r="CC3" s="115"/>
      <c r="CD3" s="24"/>
    </row>
    <row r="4" spans="1:82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1" t="s">
        <v>7</v>
      </c>
      <c r="AJ4" s="51" t="s">
        <v>30</v>
      </c>
      <c r="AK4" s="53" t="s">
        <v>31</v>
      </c>
      <c r="AL4" s="50" t="s">
        <v>7</v>
      </c>
      <c r="AM4" s="51" t="s">
        <v>30</v>
      </c>
      <c r="AN4" s="52" t="s">
        <v>31</v>
      </c>
      <c r="AO4" s="51" t="s">
        <v>7</v>
      </c>
      <c r="AP4" s="51" t="s">
        <v>30</v>
      </c>
      <c r="AQ4" s="53" t="s">
        <v>31</v>
      </c>
      <c r="AR4" s="50" t="s">
        <v>7</v>
      </c>
      <c r="AS4" s="51" t="s">
        <v>30</v>
      </c>
      <c r="AT4" s="52" t="s">
        <v>31</v>
      </c>
      <c r="AU4" s="51" t="s">
        <v>7</v>
      </c>
      <c r="AV4" s="51" t="s">
        <v>30</v>
      </c>
      <c r="AW4" s="288" t="s">
        <v>31</v>
      </c>
      <c r="AX4" s="51" t="s">
        <v>7</v>
      </c>
      <c r="AY4" s="51" t="s">
        <v>30</v>
      </c>
      <c r="AZ4" s="53" t="s">
        <v>31</v>
      </c>
      <c r="BA4" s="12" t="s">
        <v>7</v>
      </c>
      <c r="BB4" s="10" t="s">
        <v>30</v>
      </c>
      <c r="BC4" s="30" t="s">
        <v>31</v>
      </c>
      <c r="BD4" s="12" t="s">
        <v>7</v>
      </c>
      <c r="BE4" s="10" t="s">
        <v>30</v>
      </c>
      <c r="BF4" s="32" t="s">
        <v>31</v>
      </c>
      <c r="BG4" s="10" t="s">
        <v>7</v>
      </c>
      <c r="BH4" s="10" t="s">
        <v>30</v>
      </c>
      <c r="BI4" s="30" t="s">
        <v>31</v>
      </c>
      <c r="BJ4" s="12" t="s">
        <v>7</v>
      </c>
      <c r="BK4" s="10" t="s">
        <v>30</v>
      </c>
      <c r="BL4" s="11" t="s">
        <v>31</v>
      </c>
      <c r="BM4" s="10" t="s">
        <v>7</v>
      </c>
      <c r="BN4" s="10" t="s">
        <v>30</v>
      </c>
      <c r="BO4" s="32" t="s">
        <v>31</v>
      </c>
      <c r="BP4" s="15" t="s">
        <v>7</v>
      </c>
      <c r="BQ4" s="16" t="s">
        <v>30</v>
      </c>
      <c r="BR4" s="28" t="s">
        <v>31</v>
      </c>
      <c r="BS4" s="16" t="s">
        <v>7</v>
      </c>
      <c r="BT4" s="16" t="s">
        <v>30</v>
      </c>
      <c r="BU4" s="57" t="s">
        <v>31</v>
      </c>
      <c r="BV4" s="15" t="s">
        <v>7</v>
      </c>
      <c r="BW4" s="16" t="s">
        <v>30</v>
      </c>
      <c r="BX4" s="28" t="s">
        <v>31</v>
      </c>
      <c r="BY4" s="16" t="s">
        <v>7</v>
      </c>
      <c r="BZ4" s="16" t="s">
        <v>30</v>
      </c>
      <c r="CA4" s="57" t="s">
        <v>31</v>
      </c>
      <c r="CB4" s="116" t="s">
        <v>7</v>
      </c>
      <c r="CC4" s="116" t="s">
        <v>30</v>
      </c>
      <c r="CD4" s="146" t="s">
        <v>31</v>
      </c>
    </row>
    <row r="5" spans="1:82" ht="15" thickBot="1" x14ac:dyDescent="0.35">
      <c r="A5" s="294">
        <v>45505</v>
      </c>
      <c r="B5" s="125">
        <v>40</v>
      </c>
      <c r="C5" s="126">
        <v>5</v>
      </c>
      <c r="D5" s="276">
        <f t="shared" ref="D5:D35" si="0">IF(C5=0,"-",B5/C5)</f>
        <v>8</v>
      </c>
      <c r="E5" s="125">
        <v>0</v>
      </c>
      <c r="F5" s="126">
        <v>0</v>
      </c>
      <c r="G5" s="276" t="str">
        <f t="shared" ref="G5:G35" si="1">IF(F5=0,"-",E5/F5)</f>
        <v>-</v>
      </c>
      <c r="H5" s="125"/>
      <c r="I5" s="126"/>
      <c r="J5" s="276" t="str">
        <f t="shared" ref="J5:J6" si="2">IF(I5=0,"-",H5/I5)</f>
        <v>-</v>
      </c>
      <c r="K5" s="125">
        <v>35</v>
      </c>
      <c r="L5" s="126">
        <v>4</v>
      </c>
      <c r="M5" s="276">
        <f t="shared" ref="M5:M35" si="3">IF(L5=0,"-",K5/L5)</f>
        <v>8.75</v>
      </c>
      <c r="N5" s="125">
        <v>0</v>
      </c>
      <c r="O5" s="126">
        <v>0</v>
      </c>
      <c r="P5" s="276" t="str">
        <f t="shared" ref="P5:P28" si="4">IF(O5=0,"-",N5/O5)</f>
        <v>-</v>
      </c>
      <c r="Q5" s="125">
        <v>54</v>
      </c>
      <c r="R5" s="126">
        <v>10</v>
      </c>
      <c r="S5" s="276">
        <f t="shared" ref="S5:S35" si="5">IF(R5=0,"-",Q5/R5)</f>
        <v>5.4</v>
      </c>
      <c r="T5" s="125">
        <v>0</v>
      </c>
      <c r="U5" s="126">
        <v>0</v>
      </c>
      <c r="V5" s="276" t="str">
        <f t="shared" ref="V5:V35" si="6">IF(U5=0,"-",T5/U5)</f>
        <v>-</v>
      </c>
      <c r="W5" s="125">
        <v>15</v>
      </c>
      <c r="X5" s="126">
        <v>3</v>
      </c>
      <c r="Y5" s="298">
        <f t="shared" ref="Y5:Y33" si="7">IF(X5=0,"-",W5/X5)</f>
        <v>5</v>
      </c>
      <c r="Z5" s="125">
        <v>5</v>
      </c>
      <c r="AA5" s="126">
        <v>1</v>
      </c>
      <c r="AB5" s="298">
        <f t="shared" ref="AB5:AB6" si="8">IF(AA5=0,"-",Z5/AA5)</f>
        <v>5</v>
      </c>
      <c r="AC5" s="125">
        <v>6</v>
      </c>
      <c r="AD5" s="126">
        <v>1</v>
      </c>
      <c r="AE5" s="298">
        <f t="shared" ref="AE5:AE6" si="9">IF(AD5=0,"-",AC5/AD5)</f>
        <v>6</v>
      </c>
      <c r="AF5" s="20">
        <v>8</v>
      </c>
      <c r="AG5" s="21">
        <v>1</v>
      </c>
      <c r="AH5" s="280">
        <f t="shared" ref="AH5:AH22" si="10">IF(AG5=0,"-",AF5/AG5)</f>
        <v>8</v>
      </c>
      <c r="AI5" s="279">
        <v>0</v>
      </c>
      <c r="AJ5" s="126">
        <v>0</v>
      </c>
      <c r="AK5" s="276" t="str">
        <f t="shared" ref="AK5:AK31" si="11">IF(AJ5=0,"-",AI5/AJ5)</f>
        <v>-</v>
      </c>
      <c r="AL5" s="125">
        <v>0</v>
      </c>
      <c r="AM5" s="126">
        <v>0</v>
      </c>
      <c r="AN5" s="276" t="str">
        <f t="shared" ref="AN5:AN6" si="12">IF(AM5=0,"-",AL5/AM5)</f>
        <v>-</v>
      </c>
      <c r="AO5" s="125">
        <v>1</v>
      </c>
      <c r="AP5" s="126">
        <v>1</v>
      </c>
      <c r="AQ5" s="276">
        <f t="shared" ref="AQ5:AQ25" si="13">IF(AP5=0,"-",AO5/AP5)</f>
        <v>1</v>
      </c>
      <c r="AR5" s="125">
        <v>0</v>
      </c>
      <c r="AS5" s="126">
        <v>0</v>
      </c>
      <c r="AT5" s="276" t="str">
        <f t="shared" ref="AT5:AT19" si="14">IF(AS5=0,"-",AR5/AS5)</f>
        <v>-</v>
      </c>
      <c r="AU5" s="125">
        <v>0</v>
      </c>
      <c r="AV5" s="126">
        <v>0</v>
      </c>
      <c r="AW5" s="276" t="str">
        <f t="shared" ref="AW5:AW34" si="15">IF(AV5=0,"-",AU5/AV5)</f>
        <v>-</v>
      </c>
      <c r="AX5" s="125">
        <v>0</v>
      </c>
      <c r="AY5" s="126">
        <v>0</v>
      </c>
      <c r="AZ5" s="276" t="str">
        <f t="shared" ref="AZ5:AZ25" si="16">IF(AY5=0,"-",AX5/AY5)</f>
        <v>-</v>
      </c>
      <c r="BA5" s="125">
        <v>13</v>
      </c>
      <c r="BB5" s="126">
        <v>2</v>
      </c>
      <c r="BC5" s="276">
        <f t="shared" ref="BC5:BC35" si="17">IF(BB5=0,"-",BA5/BB5)</f>
        <v>6.5</v>
      </c>
      <c r="BD5" s="125">
        <v>0</v>
      </c>
      <c r="BE5" s="126">
        <v>0</v>
      </c>
      <c r="BF5" s="276" t="str">
        <f t="shared" ref="BF5:BF29" si="18">IF(BE5=0,"-",BD5/BE5)</f>
        <v>-</v>
      </c>
      <c r="BG5" s="125">
        <v>0</v>
      </c>
      <c r="BH5" s="126">
        <v>0</v>
      </c>
      <c r="BI5" s="276" t="str">
        <f t="shared" ref="BI5:BI35" si="19">IF(BH5=0,"-",BG5/BH5)</f>
        <v>-</v>
      </c>
      <c r="BJ5" s="125">
        <v>0</v>
      </c>
      <c r="BK5" s="126">
        <v>0</v>
      </c>
      <c r="BL5" s="276" t="str">
        <f t="shared" ref="BL5:BL30" si="20">IF(BK5=0,"-",BJ5/BK5)</f>
        <v>-</v>
      </c>
      <c r="BM5" s="125">
        <v>0</v>
      </c>
      <c r="BN5" s="126">
        <v>0</v>
      </c>
      <c r="BO5" s="276" t="str">
        <f t="shared" ref="BO5:BO34" si="21">IF(BN5=0,"-",BM5/BN5)</f>
        <v>-</v>
      </c>
      <c r="BP5" s="125">
        <v>7</v>
      </c>
      <c r="BQ5" s="126">
        <v>1</v>
      </c>
      <c r="BR5" s="276">
        <f t="shared" ref="BR5:BR34" si="22">IF(BQ5=0,"-",BP5/BQ5)</f>
        <v>7</v>
      </c>
      <c r="BS5" s="125">
        <v>0</v>
      </c>
      <c r="BT5" s="126">
        <v>0</v>
      </c>
      <c r="BU5" s="276" t="str">
        <f t="shared" ref="BU5:BU27" si="23">IF(BT5=0,"-",BS5/BT5)</f>
        <v>-</v>
      </c>
      <c r="BV5" s="125">
        <v>0</v>
      </c>
      <c r="BW5" s="126">
        <v>0</v>
      </c>
      <c r="BX5" s="276" t="str">
        <f t="shared" ref="BX5:BX27" si="24">IF(BW5=0,"-",BV5/BW5)</f>
        <v>-</v>
      </c>
      <c r="BY5" s="125">
        <v>0</v>
      </c>
      <c r="BZ5" s="126">
        <v>0</v>
      </c>
      <c r="CA5" s="276" t="str">
        <f t="shared" ref="CA5:CA27" si="25">IF(BZ5=0,"-",BY5/BZ5)</f>
        <v>-</v>
      </c>
      <c r="CB5" s="117">
        <f>B5+E5+K5+N5+Q5+T5+W5+Z5+AC5+AF5+AI5+AL5+AO5+AR5+AU5+AX5+BA5+BD5+BG5+BJ5+BP5+BS5+BV5+BY5</f>
        <v>184</v>
      </c>
      <c r="CC5" s="120">
        <f t="shared" ref="CC5:CC10" si="26">BZ5+BW5+BT5+BQ5+BN5+BK5+BH5+BE5+BB5+L5+U5+R5+I5+F5+AV5+AS5+AP5+AM5+AJ5+C5</f>
        <v>23</v>
      </c>
      <c r="CD5" s="147">
        <f t="shared" ref="CD5:CD36" si="27">IF(CC5=0,"",CB5/CC5)</f>
        <v>8</v>
      </c>
    </row>
    <row r="6" spans="1:82" ht="15" thickBot="1" x14ac:dyDescent="0.35">
      <c r="A6" s="294">
        <v>45506</v>
      </c>
      <c r="B6" s="20">
        <v>107</v>
      </c>
      <c r="C6" s="21">
        <v>13</v>
      </c>
      <c r="D6" s="139">
        <f t="shared" si="0"/>
        <v>8.2307692307692299</v>
      </c>
      <c r="E6" s="20">
        <v>0</v>
      </c>
      <c r="F6" s="21">
        <v>0</v>
      </c>
      <c r="G6" s="139" t="str">
        <f t="shared" si="1"/>
        <v>-</v>
      </c>
      <c r="H6" s="20"/>
      <c r="I6" s="21"/>
      <c r="J6" s="139" t="str">
        <f t="shared" si="2"/>
        <v>-</v>
      </c>
      <c r="K6" s="20">
        <v>30</v>
      </c>
      <c r="L6" s="21">
        <v>4</v>
      </c>
      <c r="M6" s="139">
        <f t="shared" si="3"/>
        <v>7.5</v>
      </c>
      <c r="N6" s="125">
        <v>0</v>
      </c>
      <c r="O6" s="126">
        <v>0</v>
      </c>
      <c r="P6" s="139" t="str">
        <f t="shared" si="4"/>
        <v>-</v>
      </c>
      <c r="Q6" s="20">
        <v>37</v>
      </c>
      <c r="R6" s="21">
        <v>7</v>
      </c>
      <c r="S6" s="139">
        <f t="shared" si="5"/>
        <v>5.2857142857142856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278" t="str">
        <f t="shared" si="7"/>
        <v>-</v>
      </c>
      <c r="Z6" s="20">
        <v>0</v>
      </c>
      <c r="AA6" s="21">
        <v>0</v>
      </c>
      <c r="AB6" s="278" t="str">
        <f t="shared" si="8"/>
        <v>-</v>
      </c>
      <c r="AC6" s="20">
        <v>0</v>
      </c>
      <c r="AD6" s="21">
        <v>0</v>
      </c>
      <c r="AE6" s="278" t="str">
        <f t="shared" si="9"/>
        <v>-</v>
      </c>
      <c r="AF6" s="20">
        <v>0</v>
      </c>
      <c r="AG6" s="21">
        <v>0</v>
      </c>
      <c r="AH6" s="139" t="str">
        <f t="shared" si="10"/>
        <v>-</v>
      </c>
      <c r="AI6" s="23">
        <v>4</v>
      </c>
      <c r="AJ6" s="21">
        <v>1</v>
      </c>
      <c r="AK6" s="139">
        <f t="shared" si="11"/>
        <v>4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276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6</v>
      </c>
      <c r="BB6" s="21">
        <v>1</v>
      </c>
      <c r="BC6" s="139">
        <f t="shared" si="17"/>
        <v>6</v>
      </c>
      <c r="BD6" s="20">
        <v>9</v>
      </c>
      <c r="BE6" s="21">
        <v>1</v>
      </c>
      <c r="BF6" s="139">
        <f t="shared" si="18"/>
        <v>9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20">
        <v>0</v>
      </c>
      <c r="BN6" s="21">
        <v>0</v>
      </c>
      <c r="BO6" s="139" t="str">
        <f t="shared" si="21"/>
        <v>-</v>
      </c>
      <c r="BP6" s="20">
        <v>4</v>
      </c>
      <c r="BQ6" s="21">
        <v>1</v>
      </c>
      <c r="BR6" s="139">
        <f t="shared" si="22"/>
        <v>4</v>
      </c>
      <c r="BS6" s="256">
        <v>0</v>
      </c>
      <c r="BT6" s="253">
        <v>0</v>
      </c>
      <c r="BU6" s="139" t="str">
        <f t="shared" ref="BU6" si="28">IF(BT6=0,"-",BS6/BT6)</f>
        <v>-</v>
      </c>
      <c r="BV6" s="256">
        <v>0</v>
      </c>
      <c r="BW6" s="253">
        <v>0</v>
      </c>
      <c r="BX6" s="139" t="str">
        <f t="shared" ref="BX6" si="29">IF(BW6=0,"-",BV6/BW6)</f>
        <v>-</v>
      </c>
      <c r="BY6" s="256">
        <v>0</v>
      </c>
      <c r="BZ6" s="253">
        <v>0</v>
      </c>
      <c r="CA6" s="139" t="str">
        <f t="shared" ref="CA6" si="30">IF(BZ6=0,"-",BY6/BZ6)</f>
        <v>-</v>
      </c>
      <c r="CB6" s="117">
        <f t="shared" ref="CB6:CB35" si="31">B6+E6+K6+N6+Q6+T6+W6+Z6+AC6+AF6+AI6+AL6+AO6+AR6+AU6+AX6+BA6+BD6+BG6+BJ6+BP6+BS6+BV6+BY6</f>
        <v>197</v>
      </c>
      <c r="CC6" s="120">
        <f t="shared" si="26"/>
        <v>28</v>
      </c>
      <c r="CD6" s="147">
        <f t="shared" si="27"/>
        <v>7.0357142857142856</v>
      </c>
    </row>
    <row r="7" spans="1:82" ht="15" thickBot="1" x14ac:dyDescent="0.35">
      <c r="A7" s="294">
        <v>45507</v>
      </c>
      <c r="B7" s="20">
        <v>25</v>
      </c>
      <c r="C7" s="21">
        <v>3</v>
      </c>
      <c r="D7" s="139">
        <f t="shared" si="0"/>
        <v>8.3333333333333339</v>
      </c>
      <c r="E7" s="23">
        <v>16</v>
      </c>
      <c r="F7" s="21">
        <v>2</v>
      </c>
      <c r="G7" s="139">
        <f t="shared" si="1"/>
        <v>8</v>
      </c>
      <c r="H7" s="20"/>
      <c r="I7" s="21"/>
      <c r="J7" s="139" t="str">
        <f>IF(I7=0,"-",H7/I7)</f>
        <v>-</v>
      </c>
      <c r="K7" s="20">
        <v>40</v>
      </c>
      <c r="L7" s="21">
        <v>5</v>
      </c>
      <c r="M7" s="139">
        <f t="shared" si="3"/>
        <v>8</v>
      </c>
      <c r="N7" s="125">
        <v>0</v>
      </c>
      <c r="O7" s="126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si="5"/>
        <v>-</v>
      </c>
      <c r="T7" s="20">
        <v>0</v>
      </c>
      <c r="U7" s="21">
        <v>0</v>
      </c>
      <c r="V7" s="139" t="str">
        <f t="shared" si="6"/>
        <v>-</v>
      </c>
      <c r="W7" s="20">
        <v>12</v>
      </c>
      <c r="X7" s="21">
        <v>2</v>
      </c>
      <c r="Y7" s="278">
        <f t="shared" si="7"/>
        <v>6</v>
      </c>
      <c r="Z7" s="20">
        <v>0</v>
      </c>
      <c r="AA7" s="21">
        <v>0</v>
      </c>
      <c r="AB7" s="278" t="str">
        <f t="shared" ref="AB7:AB32" si="32">IF(AA7=0,"-",Z7/AA7)</f>
        <v>-</v>
      </c>
      <c r="AC7" s="20">
        <v>0</v>
      </c>
      <c r="AD7" s="21">
        <v>0</v>
      </c>
      <c r="AE7" s="278" t="str">
        <f t="shared" ref="AE7:AE34" si="33">IF(AD7=0,"-",AC7/AD7)</f>
        <v>-</v>
      </c>
      <c r="AF7" s="20">
        <v>0</v>
      </c>
      <c r="AG7" s="21">
        <v>0</v>
      </c>
      <c r="AH7" s="139" t="str">
        <f t="shared" si="10"/>
        <v>-</v>
      </c>
      <c r="AI7" s="23">
        <v>0</v>
      </c>
      <c r="AJ7" s="21">
        <v>0</v>
      </c>
      <c r="AK7" s="139" t="str">
        <f t="shared" si="11"/>
        <v>-</v>
      </c>
      <c r="AL7" s="20">
        <v>0</v>
      </c>
      <c r="AM7" s="21">
        <v>0</v>
      </c>
      <c r="AN7" s="139" t="str">
        <f t="shared" ref="AN7:AN8" si="34">IF(AM7=0,"-",AL7/AM7)</f>
        <v>-</v>
      </c>
      <c r="AO7" s="20">
        <v>0</v>
      </c>
      <c r="AP7" s="21">
        <v>0</v>
      </c>
      <c r="AQ7" s="139" t="str">
        <f t="shared" ref="AQ7:AQ8" si="35">IF(AP7=0,"-",AO7/AP7)</f>
        <v>-</v>
      </c>
      <c r="AR7" s="20">
        <v>0</v>
      </c>
      <c r="AS7" s="21">
        <v>0</v>
      </c>
      <c r="AT7" s="276" t="str">
        <f t="shared" ref="AT7:AT8" si="36">IF(AS7=0,"-",AR7/AS7)</f>
        <v>-</v>
      </c>
      <c r="AU7" s="20">
        <v>0</v>
      </c>
      <c r="AV7" s="21">
        <v>0</v>
      </c>
      <c r="AW7" s="139" t="str">
        <f t="shared" ref="AW7:AW8" si="37">IF(AV7=0,"-",AU7/AV7)</f>
        <v>-</v>
      </c>
      <c r="AX7" s="20">
        <v>0</v>
      </c>
      <c r="AY7" s="21">
        <v>0</v>
      </c>
      <c r="AZ7" s="139" t="str">
        <f t="shared" ref="AZ7:AZ8" si="38">IF(AY7=0,"-",AX7/AY7)</f>
        <v>-</v>
      </c>
      <c r="BA7" s="252">
        <v>18</v>
      </c>
      <c r="BB7" s="253">
        <v>4</v>
      </c>
      <c r="BC7" s="139">
        <f t="shared" si="17"/>
        <v>4.5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139" t="str">
        <f t="shared" si="19"/>
        <v>-</v>
      </c>
      <c r="BJ7" s="256">
        <v>0</v>
      </c>
      <c r="BK7" s="253">
        <v>0</v>
      </c>
      <c r="BL7" s="139" t="str">
        <f t="shared" si="20"/>
        <v>-</v>
      </c>
      <c r="BM7" s="256">
        <v>0</v>
      </c>
      <c r="BN7" s="253">
        <v>0</v>
      </c>
      <c r="BO7" s="139" t="str">
        <f t="shared" si="21"/>
        <v>-</v>
      </c>
      <c r="BP7" s="256">
        <v>0</v>
      </c>
      <c r="BQ7" s="253">
        <v>0</v>
      </c>
      <c r="BR7" s="139" t="str">
        <f t="shared" si="22"/>
        <v>-</v>
      </c>
      <c r="BS7" s="256">
        <v>0</v>
      </c>
      <c r="BT7" s="253">
        <v>0</v>
      </c>
      <c r="BU7" s="139" t="str">
        <f t="shared" si="23"/>
        <v>-</v>
      </c>
      <c r="BV7" s="256">
        <v>0</v>
      </c>
      <c r="BW7" s="253">
        <v>0</v>
      </c>
      <c r="BX7" s="139" t="str">
        <f t="shared" si="24"/>
        <v>-</v>
      </c>
      <c r="BY7" s="256">
        <v>0</v>
      </c>
      <c r="BZ7" s="253">
        <v>0</v>
      </c>
      <c r="CA7" s="139" t="str">
        <f t="shared" si="25"/>
        <v>-</v>
      </c>
      <c r="CB7" s="117">
        <f t="shared" si="31"/>
        <v>111</v>
      </c>
      <c r="CC7" s="120">
        <f t="shared" si="26"/>
        <v>14</v>
      </c>
      <c r="CD7" s="147">
        <f t="shared" si="27"/>
        <v>7.9285714285714288</v>
      </c>
    </row>
    <row r="8" spans="1:82" ht="15" thickBot="1" x14ac:dyDescent="0.35">
      <c r="A8" s="294">
        <v>45508</v>
      </c>
      <c r="B8" s="20">
        <v>0</v>
      </c>
      <c r="C8" s="21">
        <v>0</v>
      </c>
      <c r="D8" s="139" t="str">
        <f t="shared" si="0"/>
        <v>-</v>
      </c>
      <c r="E8" s="23">
        <v>0</v>
      </c>
      <c r="F8" s="21">
        <v>0</v>
      </c>
      <c r="G8" s="139">
        <v>0</v>
      </c>
      <c r="H8" s="20"/>
      <c r="I8" s="21"/>
      <c r="J8" s="139" t="str">
        <f t="shared" ref="J8:J29" si="39">IF(I8=0,"-",H8/I8)</f>
        <v>-</v>
      </c>
      <c r="K8" s="20">
        <v>0</v>
      </c>
      <c r="L8" s="21">
        <v>0</v>
      </c>
      <c r="M8" s="139" t="str">
        <f t="shared" si="3"/>
        <v>-</v>
      </c>
      <c r="N8" s="125">
        <v>0</v>
      </c>
      <c r="O8" s="126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0</v>
      </c>
      <c r="U8" s="21">
        <v>0</v>
      </c>
      <c r="V8" s="139">
        <v>0</v>
      </c>
      <c r="W8" s="20">
        <v>0</v>
      </c>
      <c r="X8" s="21">
        <v>0</v>
      </c>
      <c r="Y8" s="278" t="str">
        <f t="shared" si="7"/>
        <v>-</v>
      </c>
      <c r="Z8" s="20">
        <v>0</v>
      </c>
      <c r="AA8" s="21">
        <v>0</v>
      </c>
      <c r="AB8" s="278" t="str">
        <f t="shared" si="32"/>
        <v>-</v>
      </c>
      <c r="AC8" s="20">
        <v>6</v>
      </c>
      <c r="AD8" s="21">
        <v>1</v>
      </c>
      <c r="AE8" s="278">
        <f t="shared" si="33"/>
        <v>6</v>
      </c>
      <c r="AF8" s="20">
        <v>0</v>
      </c>
      <c r="AG8" s="21">
        <v>0</v>
      </c>
      <c r="AH8" s="139" t="str">
        <f t="shared" si="10"/>
        <v>-</v>
      </c>
      <c r="AI8" s="23">
        <v>0</v>
      </c>
      <c r="AJ8" s="21">
        <v>0</v>
      </c>
      <c r="AK8" s="139" t="str">
        <f t="shared" si="11"/>
        <v>-</v>
      </c>
      <c r="AL8" s="20">
        <v>0</v>
      </c>
      <c r="AM8" s="21">
        <v>0</v>
      </c>
      <c r="AN8" s="139" t="str">
        <f t="shared" si="34"/>
        <v>-</v>
      </c>
      <c r="AO8" s="20">
        <v>0</v>
      </c>
      <c r="AP8" s="21">
        <v>0</v>
      </c>
      <c r="AQ8" s="139" t="str">
        <f t="shared" si="35"/>
        <v>-</v>
      </c>
      <c r="AR8" s="20">
        <v>0</v>
      </c>
      <c r="AS8" s="21">
        <v>0</v>
      </c>
      <c r="AT8" s="276" t="str">
        <f t="shared" si="36"/>
        <v>-</v>
      </c>
      <c r="AU8" s="20">
        <v>0</v>
      </c>
      <c r="AV8" s="21">
        <v>0</v>
      </c>
      <c r="AW8" s="139" t="str">
        <f t="shared" si="37"/>
        <v>-</v>
      </c>
      <c r="AX8" s="20">
        <v>0</v>
      </c>
      <c r="AY8" s="21">
        <v>0</v>
      </c>
      <c r="AZ8" s="139" t="str">
        <f t="shared" si="38"/>
        <v>-</v>
      </c>
      <c r="BA8" s="252">
        <v>20</v>
      </c>
      <c r="BB8" s="253">
        <v>4</v>
      </c>
      <c r="BC8" s="139">
        <f t="shared" si="17"/>
        <v>5</v>
      </c>
      <c r="BD8" s="20">
        <v>7</v>
      </c>
      <c r="BE8" s="21">
        <v>1</v>
      </c>
      <c r="BF8" s="139">
        <f t="shared" si="18"/>
        <v>7</v>
      </c>
      <c r="BG8" s="20">
        <v>22</v>
      </c>
      <c r="BH8" s="21">
        <v>3</v>
      </c>
      <c r="BI8" s="139">
        <f t="shared" si="19"/>
        <v>7.333333333333333</v>
      </c>
      <c r="BJ8" s="256">
        <v>0</v>
      </c>
      <c r="BK8" s="253">
        <v>0</v>
      </c>
      <c r="BL8" s="139" t="str">
        <f t="shared" si="20"/>
        <v>-</v>
      </c>
      <c r="BM8" s="256">
        <v>0</v>
      </c>
      <c r="BN8" s="253">
        <v>0</v>
      </c>
      <c r="BO8" s="139" t="str">
        <f t="shared" si="21"/>
        <v>-</v>
      </c>
      <c r="BP8" s="256">
        <v>0</v>
      </c>
      <c r="BQ8" s="253">
        <v>0</v>
      </c>
      <c r="BR8" s="139" t="str">
        <f t="shared" si="22"/>
        <v>-</v>
      </c>
      <c r="BS8" s="256">
        <v>0</v>
      </c>
      <c r="BT8" s="253">
        <v>0</v>
      </c>
      <c r="BU8" s="139" t="str">
        <f t="shared" si="23"/>
        <v>-</v>
      </c>
      <c r="BV8" s="256">
        <v>0</v>
      </c>
      <c r="BW8" s="253">
        <v>0</v>
      </c>
      <c r="BX8" s="139" t="str">
        <f t="shared" si="24"/>
        <v>-</v>
      </c>
      <c r="BY8" s="256">
        <v>0</v>
      </c>
      <c r="BZ8" s="253">
        <v>0</v>
      </c>
      <c r="CA8" s="139" t="str">
        <f t="shared" si="25"/>
        <v>-</v>
      </c>
      <c r="CB8" s="117">
        <f t="shared" si="31"/>
        <v>55</v>
      </c>
      <c r="CC8" s="120">
        <f t="shared" si="26"/>
        <v>8</v>
      </c>
      <c r="CD8" s="147">
        <f t="shared" si="27"/>
        <v>6.875</v>
      </c>
    </row>
    <row r="9" spans="1:82" ht="15" thickBot="1" x14ac:dyDescent="0.35">
      <c r="A9" s="294">
        <v>45509</v>
      </c>
      <c r="B9" s="20">
        <v>25</v>
      </c>
      <c r="C9" s="21">
        <v>3</v>
      </c>
      <c r="D9" s="139">
        <f t="shared" si="0"/>
        <v>8.3333333333333339</v>
      </c>
      <c r="E9" s="23">
        <v>8</v>
      </c>
      <c r="F9" s="21">
        <v>1</v>
      </c>
      <c r="G9" s="139">
        <f t="shared" ref="G9:G12" si="40">IF(F9=0,"-",E9/F9)</f>
        <v>8</v>
      </c>
      <c r="H9" s="20"/>
      <c r="I9" s="21"/>
      <c r="J9" s="139" t="str">
        <f t="shared" si="39"/>
        <v>-</v>
      </c>
      <c r="K9" s="20">
        <v>8</v>
      </c>
      <c r="L9" s="21">
        <v>1</v>
      </c>
      <c r="M9" s="139">
        <f t="shared" si="3"/>
        <v>8</v>
      </c>
      <c r="N9" s="125">
        <v>0</v>
      </c>
      <c r="O9" s="126">
        <v>0</v>
      </c>
      <c r="P9" s="139" t="str">
        <f t="shared" si="4"/>
        <v>-</v>
      </c>
      <c r="Q9" s="20">
        <v>43</v>
      </c>
      <c r="R9" s="21">
        <v>8</v>
      </c>
      <c r="S9" s="139">
        <f t="shared" si="5"/>
        <v>5.375</v>
      </c>
      <c r="T9" s="20">
        <v>26</v>
      </c>
      <c r="U9" s="21">
        <v>6</v>
      </c>
      <c r="V9" s="139">
        <f t="shared" si="6"/>
        <v>4.333333333333333</v>
      </c>
      <c r="W9" s="20">
        <v>50</v>
      </c>
      <c r="X9" s="21">
        <v>10</v>
      </c>
      <c r="Y9" s="278">
        <f t="shared" si="7"/>
        <v>5</v>
      </c>
      <c r="Z9" s="20">
        <v>0</v>
      </c>
      <c r="AA9" s="21">
        <v>0</v>
      </c>
      <c r="AB9" s="278" t="str">
        <f t="shared" ref="AB9" si="41">IF(AA9=0,"-",Z9/AA9)</f>
        <v>-</v>
      </c>
      <c r="AC9" s="20">
        <v>0</v>
      </c>
      <c r="AD9" s="21">
        <v>0</v>
      </c>
      <c r="AE9" s="278" t="str">
        <f t="shared" si="33"/>
        <v>-</v>
      </c>
      <c r="AF9" s="20">
        <v>0</v>
      </c>
      <c r="AG9" s="21">
        <v>0</v>
      </c>
      <c r="AH9" s="139" t="str">
        <f t="shared" si="10"/>
        <v>-</v>
      </c>
      <c r="AI9" s="20">
        <v>3</v>
      </c>
      <c r="AJ9" s="21">
        <v>1</v>
      </c>
      <c r="AK9" s="280">
        <f>IF(AJ9=0,"-",AI9/AJ9)</f>
        <v>3</v>
      </c>
      <c r="AL9" s="20">
        <v>0</v>
      </c>
      <c r="AM9" s="21">
        <v>0</v>
      </c>
      <c r="AN9" s="139" t="str">
        <f t="shared" ref="AN9:AN10" si="42">IF(AM9=0,"-",AL9/AM9)</f>
        <v>-</v>
      </c>
      <c r="AO9" s="20">
        <v>1</v>
      </c>
      <c r="AP9" s="21">
        <v>1</v>
      </c>
      <c r="AQ9" s="280">
        <f>IF(AP9=0,"-",AO9/AP9)</f>
        <v>1</v>
      </c>
      <c r="AR9" s="20">
        <v>0</v>
      </c>
      <c r="AS9" s="21">
        <v>0</v>
      </c>
      <c r="AT9" s="276" t="str">
        <f t="shared" ref="AT9:AT10" si="43">IF(AS9=0,"-",AR9/AS9)</f>
        <v>-</v>
      </c>
      <c r="AU9" s="20">
        <v>0</v>
      </c>
      <c r="AV9" s="21">
        <v>0</v>
      </c>
      <c r="AW9" s="139" t="str">
        <f t="shared" ref="AW9:AW10" si="44">IF(AV9=0,"-",AU9/AV9)</f>
        <v>-</v>
      </c>
      <c r="AX9" s="20">
        <v>0</v>
      </c>
      <c r="AY9" s="21">
        <v>0</v>
      </c>
      <c r="AZ9" s="139" t="str">
        <f t="shared" ref="AZ9:AZ10" si="45">IF(AY9=0,"-",AX9/AY9)</f>
        <v>-</v>
      </c>
      <c r="BA9" s="252">
        <v>20</v>
      </c>
      <c r="BB9" s="253">
        <v>3</v>
      </c>
      <c r="BC9" s="139">
        <f>IF(BB9=0,"-",BA9/BB9)</f>
        <v>6.666666666666667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139" t="str">
        <f>IF(BH9=0,"-",BG9/BH9)</f>
        <v>-</v>
      </c>
      <c r="BJ9" s="256">
        <v>0</v>
      </c>
      <c r="BK9" s="253">
        <v>0</v>
      </c>
      <c r="BL9" s="139" t="str">
        <f t="shared" si="20"/>
        <v>-</v>
      </c>
      <c r="BM9" s="20">
        <v>0</v>
      </c>
      <c r="BN9" s="21">
        <v>0</v>
      </c>
      <c r="BO9" s="139" t="str">
        <f t="shared" si="21"/>
        <v>-</v>
      </c>
      <c r="BP9" s="20">
        <v>19</v>
      </c>
      <c r="BQ9" s="21">
        <v>3</v>
      </c>
      <c r="BR9" s="139">
        <f t="shared" si="22"/>
        <v>6.333333333333333</v>
      </c>
      <c r="BS9" s="256">
        <v>0</v>
      </c>
      <c r="BT9" s="253">
        <v>0</v>
      </c>
      <c r="BU9" s="139" t="str">
        <f t="shared" ref="BU9:BU10" si="46">IF(BT9=0,"-",BS9/BT9)</f>
        <v>-</v>
      </c>
      <c r="BV9" s="256">
        <v>0</v>
      </c>
      <c r="BW9" s="253">
        <v>0</v>
      </c>
      <c r="BX9" s="139" t="str">
        <f t="shared" ref="BX9:BX10" si="47">IF(BW9=0,"-",BV9/BW9)</f>
        <v>-</v>
      </c>
      <c r="BY9" s="256">
        <v>0</v>
      </c>
      <c r="BZ9" s="253">
        <v>0</v>
      </c>
      <c r="CA9" s="139" t="str">
        <f t="shared" ref="CA9:CA10" si="48">IF(BZ9=0,"-",BY9/BZ9)</f>
        <v>-</v>
      </c>
      <c r="CB9" s="117">
        <f t="shared" si="31"/>
        <v>203</v>
      </c>
      <c r="CC9" s="120">
        <f t="shared" si="26"/>
        <v>27</v>
      </c>
      <c r="CD9" s="147">
        <f t="shared" si="27"/>
        <v>7.5185185185185182</v>
      </c>
    </row>
    <row r="10" spans="1:82" ht="15" thickBot="1" x14ac:dyDescent="0.35">
      <c r="A10" s="294">
        <v>45510</v>
      </c>
      <c r="B10" s="20">
        <v>67</v>
      </c>
      <c r="C10" s="21">
        <v>8</v>
      </c>
      <c r="D10" s="139">
        <f t="shared" si="0"/>
        <v>8.375</v>
      </c>
      <c r="E10" s="23">
        <v>5</v>
      </c>
      <c r="F10" s="21">
        <v>1</v>
      </c>
      <c r="G10" s="139">
        <f t="shared" si="40"/>
        <v>5</v>
      </c>
      <c r="H10" s="20"/>
      <c r="I10" s="21"/>
      <c r="J10" s="139" t="str">
        <f t="shared" si="39"/>
        <v>-</v>
      </c>
      <c r="K10" s="20">
        <v>27</v>
      </c>
      <c r="L10" s="21">
        <v>4</v>
      </c>
      <c r="M10" s="139">
        <f t="shared" si="3"/>
        <v>6.75</v>
      </c>
      <c r="N10" s="125">
        <v>0</v>
      </c>
      <c r="O10" s="126">
        <v>0</v>
      </c>
      <c r="P10" s="139" t="str">
        <f t="shared" si="4"/>
        <v>-</v>
      </c>
      <c r="Q10" s="20">
        <v>60</v>
      </c>
      <c r="R10" s="21">
        <v>10</v>
      </c>
      <c r="S10" s="139">
        <f t="shared" si="5"/>
        <v>6</v>
      </c>
      <c r="T10" s="20">
        <v>0</v>
      </c>
      <c r="U10" s="21">
        <v>0</v>
      </c>
      <c r="V10" s="139">
        <v>0</v>
      </c>
      <c r="W10" s="20">
        <v>0</v>
      </c>
      <c r="X10" s="21">
        <v>0</v>
      </c>
      <c r="Y10" s="278">
        <v>0</v>
      </c>
      <c r="Z10" s="20">
        <v>0</v>
      </c>
      <c r="AA10" s="21">
        <v>0</v>
      </c>
      <c r="AB10" s="278" t="str">
        <f t="shared" si="32"/>
        <v>-</v>
      </c>
      <c r="AC10" s="20">
        <v>0</v>
      </c>
      <c r="AD10" s="21">
        <v>0</v>
      </c>
      <c r="AE10" s="278" t="str">
        <f t="shared" si="33"/>
        <v>-</v>
      </c>
      <c r="AF10" s="20">
        <v>0</v>
      </c>
      <c r="AG10" s="21">
        <v>0</v>
      </c>
      <c r="AH10" s="139" t="str">
        <f t="shared" si="10"/>
        <v>-</v>
      </c>
      <c r="AI10" s="20">
        <v>0</v>
      </c>
      <c r="AJ10" s="21">
        <v>0</v>
      </c>
      <c r="AK10" s="280" t="str">
        <f>IF(AJ10=0,"-",AI10/AJ10)</f>
        <v>-</v>
      </c>
      <c r="AL10" s="20">
        <v>0</v>
      </c>
      <c r="AM10" s="21">
        <v>0</v>
      </c>
      <c r="AN10" s="139" t="str">
        <f t="shared" si="42"/>
        <v>-</v>
      </c>
      <c r="AO10" s="20">
        <v>0</v>
      </c>
      <c r="AP10" s="21">
        <v>0</v>
      </c>
      <c r="AQ10" s="280" t="str">
        <f>IF(AP10=0,"-",AO10/AP10)</f>
        <v>-</v>
      </c>
      <c r="AR10" s="20">
        <v>0</v>
      </c>
      <c r="AS10" s="21">
        <v>0</v>
      </c>
      <c r="AT10" s="276" t="str">
        <f t="shared" si="43"/>
        <v>-</v>
      </c>
      <c r="AU10" s="20">
        <v>0</v>
      </c>
      <c r="AV10" s="21">
        <v>0</v>
      </c>
      <c r="AW10" s="139" t="str">
        <f t="shared" si="44"/>
        <v>-</v>
      </c>
      <c r="AX10" s="20">
        <v>0</v>
      </c>
      <c r="AY10" s="21">
        <v>0</v>
      </c>
      <c r="AZ10" s="139" t="str">
        <f t="shared" si="45"/>
        <v>-</v>
      </c>
      <c r="BA10" s="252">
        <v>61</v>
      </c>
      <c r="BB10" s="253">
        <v>9</v>
      </c>
      <c r="BC10" s="139">
        <f>IF(BB10=0,"-",BA10/BB10)</f>
        <v>6.7777777777777777</v>
      </c>
      <c r="BD10" s="20">
        <v>0</v>
      </c>
      <c r="BE10" s="21">
        <v>0</v>
      </c>
      <c r="BF10" s="139" t="str">
        <f t="shared" ref="BF10" si="49">IF(BE10=0,"-",BD10/BE10)</f>
        <v>-</v>
      </c>
      <c r="BG10" s="20">
        <v>0</v>
      </c>
      <c r="BH10" s="21">
        <v>0</v>
      </c>
      <c r="BI10" s="139" t="str">
        <f>IF(BH10=0,"-",BG10/BH10)</f>
        <v>-</v>
      </c>
      <c r="BJ10" s="256">
        <v>0</v>
      </c>
      <c r="BK10" s="253">
        <v>0</v>
      </c>
      <c r="BL10" s="139" t="str">
        <f t="shared" ref="BL10" si="50">IF(BK10=0,"-",BJ10/BK10)</f>
        <v>-</v>
      </c>
      <c r="BM10" s="20">
        <v>0</v>
      </c>
      <c r="BN10" s="21">
        <v>0</v>
      </c>
      <c r="BO10" s="139" t="str">
        <f t="shared" si="21"/>
        <v>-</v>
      </c>
      <c r="BP10" s="20">
        <v>0</v>
      </c>
      <c r="BQ10" s="21">
        <v>0</v>
      </c>
      <c r="BR10" s="139" t="str">
        <f t="shared" si="22"/>
        <v>-</v>
      </c>
      <c r="BS10" s="256">
        <v>0</v>
      </c>
      <c r="BT10" s="253">
        <v>0</v>
      </c>
      <c r="BU10" s="139" t="str">
        <f t="shared" si="46"/>
        <v>-</v>
      </c>
      <c r="BV10" s="256">
        <v>0</v>
      </c>
      <c r="BW10" s="253">
        <v>0</v>
      </c>
      <c r="BX10" s="139" t="str">
        <f t="shared" si="47"/>
        <v>-</v>
      </c>
      <c r="BY10" s="256">
        <v>0</v>
      </c>
      <c r="BZ10" s="253">
        <v>0</v>
      </c>
      <c r="CA10" s="139" t="str">
        <f t="shared" si="48"/>
        <v>-</v>
      </c>
      <c r="CB10" s="117">
        <f t="shared" si="31"/>
        <v>220</v>
      </c>
      <c r="CC10" s="120">
        <f t="shared" si="26"/>
        <v>32</v>
      </c>
      <c r="CD10" s="147">
        <f t="shared" si="27"/>
        <v>6.875</v>
      </c>
    </row>
    <row r="11" spans="1:82" ht="15" thickBot="1" x14ac:dyDescent="0.35">
      <c r="A11" s="294">
        <v>45511</v>
      </c>
      <c r="B11" s="20">
        <v>48</v>
      </c>
      <c r="C11" s="21">
        <v>6</v>
      </c>
      <c r="D11" s="139">
        <f t="shared" si="0"/>
        <v>8</v>
      </c>
      <c r="E11" s="23">
        <v>17</v>
      </c>
      <c r="F11" s="21">
        <v>2</v>
      </c>
      <c r="G11" s="139">
        <f t="shared" si="40"/>
        <v>8.5</v>
      </c>
      <c r="H11" s="20"/>
      <c r="I11" s="21"/>
      <c r="J11" s="139" t="str">
        <f t="shared" si="39"/>
        <v>-</v>
      </c>
      <c r="K11" s="20">
        <v>32</v>
      </c>
      <c r="L11" s="21">
        <v>4</v>
      </c>
      <c r="M11" s="139">
        <f t="shared" si="3"/>
        <v>8</v>
      </c>
      <c r="N11" s="125">
        <v>0</v>
      </c>
      <c r="O11" s="126">
        <v>0</v>
      </c>
      <c r="P11" s="139" t="str">
        <f t="shared" si="4"/>
        <v>-</v>
      </c>
      <c r="Q11" s="20">
        <v>49</v>
      </c>
      <c r="R11" s="21">
        <v>9</v>
      </c>
      <c r="S11" s="139">
        <f t="shared" si="5"/>
        <v>5.4444444444444446</v>
      </c>
      <c r="T11" s="20">
        <v>2</v>
      </c>
      <c r="U11" s="21">
        <v>1</v>
      </c>
      <c r="V11" s="139">
        <f t="shared" si="6"/>
        <v>2</v>
      </c>
      <c r="W11" s="20">
        <v>30</v>
      </c>
      <c r="X11" s="21">
        <v>6</v>
      </c>
      <c r="Y11" s="278">
        <f t="shared" si="7"/>
        <v>5</v>
      </c>
      <c r="Z11" s="20">
        <v>0</v>
      </c>
      <c r="AA11" s="21">
        <v>0</v>
      </c>
      <c r="AB11" s="278" t="str">
        <f t="shared" si="32"/>
        <v>-</v>
      </c>
      <c r="AC11" s="20">
        <v>0</v>
      </c>
      <c r="AD11" s="21">
        <v>0</v>
      </c>
      <c r="AE11" s="278" t="str">
        <f t="shared" si="33"/>
        <v>-</v>
      </c>
      <c r="AF11" s="20">
        <v>0</v>
      </c>
      <c r="AG11" s="21">
        <v>0</v>
      </c>
      <c r="AH11" s="139" t="str">
        <f t="shared" si="10"/>
        <v>-</v>
      </c>
      <c r="AI11" s="23">
        <v>3</v>
      </c>
      <c r="AJ11" s="21">
        <v>1</v>
      </c>
      <c r="AK11" s="139">
        <f t="shared" si="11"/>
        <v>3</v>
      </c>
      <c r="AL11" s="20">
        <v>0</v>
      </c>
      <c r="AM11" s="21">
        <v>0</v>
      </c>
      <c r="AN11" s="280" t="str">
        <f t="shared" ref="AN11:AN15" si="51">IF(AM11=0,"-",AL11/AM11)</f>
        <v>-</v>
      </c>
      <c r="AO11" s="289">
        <v>0</v>
      </c>
      <c r="AP11" s="20">
        <v>0</v>
      </c>
      <c r="AQ11" s="139" t="str">
        <f t="shared" si="13"/>
        <v>-</v>
      </c>
      <c r="AR11" s="20">
        <v>0</v>
      </c>
      <c r="AS11" s="21">
        <v>0</v>
      </c>
      <c r="AT11" s="280" t="str">
        <f>IF(AS11=0,"-",AR11/AS11)</f>
        <v>-</v>
      </c>
      <c r="AU11" s="20">
        <v>0</v>
      </c>
      <c r="AV11" s="21">
        <v>0</v>
      </c>
      <c r="AW11" s="280" t="str">
        <f>IF(AV11=0,"-",AU11/AV11)</f>
        <v>-</v>
      </c>
      <c r="AX11" s="20">
        <v>0</v>
      </c>
      <c r="AY11" s="21">
        <v>0</v>
      </c>
      <c r="AZ11" s="280" t="str">
        <f>IF(AY11=0,"-",AX11/AY11)</f>
        <v>-</v>
      </c>
      <c r="BA11" s="252">
        <v>0</v>
      </c>
      <c r="BB11" s="253">
        <v>0</v>
      </c>
      <c r="BC11" s="139" t="str">
        <f t="shared" si="17"/>
        <v>-</v>
      </c>
      <c r="BD11" s="252">
        <v>0</v>
      </c>
      <c r="BE11" s="253">
        <v>0</v>
      </c>
      <c r="BF11" s="139" t="str">
        <f t="shared" si="18"/>
        <v>-</v>
      </c>
      <c r="BG11" s="252">
        <v>0</v>
      </c>
      <c r="BH11" s="253">
        <v>0</v>
      </c>
      <c r="BI11" s="139" t="str">
        <f t="shared" si="19"/>
        <v>-</v>
      </c>
      <c r="BJ11" s="257">
        <v>6</v>
      </c>
      <c r="BK11" s="253">
        <v>1</v>
      </c>
      <c r="BL11" s="139">
        <f t="shared" si="20"/>
        <v>6</v>
      </c>
      <c r="BM11" s="20">
        <v>0</v>
      </c>
      <c r="BN11" s="21">
        <v>0</v>
      </c>
      <c r="BO11" s="139" t="str">
        <f t="shared" si="21"/>
        <v>-</v>
      </c>
      <c r="BP11" s="20">
        <v>0</v>
      </c>
      <c r="BQ11" s="21">
        <v>0</v>
      </c>
      <c r="BR11" s="139" t="str">
        <f t="shared" si="22"/>
        <v>-</v>
      </c>
      <c r="BS11" s="20">
        <v>0</v>
      </c>
      <c r="BT11" s="21">
        <v>0</v>
      </c>
      <c r="BU11" s="139" t="str">
        <f t="shared" si="23"/>
        <v>-</v>
      </c>
      <c r="BV11" s="20">
        <v>0</v>
      </c>
      <c r="BW11" s="21">
        <v>0</v>
      </c>
      <c r="BX11" s="139" t="str">
        <f t="shared" si="24"/>
        <v>-</v>
      </c>
      <c r="BY11" s="20">
        <v>0</v>
      </c>
      <c r="BZ11" s="21">
        <v>0</v>
      </c>
      <c r="CA11" s="139" t="str">
        <f t="shared" si="25"/>
        <v>-</v>
      </c>
      <c r="CB11" s="117">
        <f t="shared" si="31"/>
        <v>187</v>
      </c>
      <c r="CC11" s="120">
        <f t="shared" ref="CC11:CC35" si="52">BZ11+BW11+BT11+BQ11+BN11+BK11+BH11+BE11+BB11+L11+U11+R11+I11+F11+AV11+AS11+AP11+AM11+AJ11+C11</f>
        <v>24</v>
      </c>
      <c r="CD11" s="147">
        <f t="shared" si="27"/>
        <v>7.791666666666667</v>
      </c>
    </row>
    <row r="12" spans="1:82" ht="15" thickBot="1" x14ac:dyDescent="0.35">
      <c r="A12" s="294">
        <v>45512</v>
      </c>
      <c r="B12" s="20">
        <v>32</v>
      </c>
      <c r="C12" s="21">
        <v>4</v>
      </c>
      <c r="D12" s="139">
        <f t="shared" si="0"/>
        <v>8</v>
      </c>
      <c r="E12" s="23">
        <v>0</v>
      </c>
      <c r="F12" s="21">
        <v>0</v>
      </c>
      <c r="G12" s="139" t="str">
        <f t="shared" si="40"/>
        <v>-</v>
      </c>
      <c r="H12" s="20"/>
      <c r="I12" s="21"/>
      <c r="J12" s="139" t="str">
        <f t="shared" si="39"/>
        <v>-</v>
      </c>
      <c r="K12" s="20">
        <v>16</v>
      </c>
      <c r="L12" s="21">
        <v>2</v>
      </c>
      <c r="M12" s="139">
        <f t="shared" si="3"/>
        <v>8</v>
      </c>
      <c r="N12" s="125">
        <v>0</v>
      </c>
      <c r="O12" s="126">
        <v>0</v>
      </c>
      <c r="P12" s="139" t="str">
        <f t="shared" si="4"/>
        <v>-</v>
      </c>
      <c r="Q12" s="23">
        <v>23</v>
      </c>
      <c r="R12" s="21">
        <v>4</v>
      </c>
      <c r="S12" s="139">
        <f t="shared" si="5"/>
        <v>5.75</v>
      </c>
      <c r="T12" s="20">
        <v>2</v>
      </c>
      <c r="U12" s="21">
        <v>1</v>
      </c>
      <c r="V12" s="139">
        <f t="shared" si="6"/>
        <v>2</v>
      </c>
      <c r="W12" s="20">
        <v>0</v>
      </c>
      <c r="X12" s="21">
        <v>0</v>
      </c>
      <c r="Y12" s="278" t="str">
        <f t="shared" si="7"/>
        <v>-</v>
      </c>
      <c r="Z12" s="20">
        <v>0</v>
      </c>
      <c r="AA12" s="21">
        <v>0</v>
      </c>
      <c r="AB12" s="278" t="str">
        <f t="shared" si="32"/>
        <v>-</v>
      </c>
      <c r="AC12" s="20">
        <v>0</v>
      </c>
      <c r="AD12" s="21">
        <v>0</v>
      </c>
      <c r="AE12" s="278" t="str">
        <f t="shared" si="33"/>
        <v>-</v>
      </c>
      <c r="AF12" s="20">
        <v>0</v>
      </c>
      <c r="AG12" s="21">
        <v>0</v>
      </c>
      <c r="AH12" s="139" t="str">
        <f t="shared" si="10"/>
        <v>-</v>
      </c>
      <c r="AI12" s="20">
        <v>0</v>
      </c>
      <c r="AJ12" s="21">
        <v>0</v>
      </c>
      <c r="AK12" s="280" t="str">
        <f t="shared" si="11"/>
        <v>-</v>
      </c>
      <c r="AL12" s="20">
        <v>0</v>
      </c>
      <c r="AM12" s="21">
        <v>0</v>
      </c>
      <c r="AN12" s="280" t="str">
        <f t="shared" si="51"/>
        <v>-</v>
      </c>
      <c r="AO12" s="20">
        <v>0</v>
      </c>
      <c r="AP12" s="21">
        <v>0</v>
      </c>
      <c r="AQ12" s="280" t="str">
        <f t="shared" si="13"/>
        <v>-</v>
      </c>
      <c r="AR12" s="20">
        <v>0</v>
      </c>
      <c r="AS12" s="21">
        <v>0</v>
      </c>
      <c r="AT12" s="280" t="str">
        <f t="shared" ref="AT12:AT15" si="53">IF(AS12=0,"-",AR12/AS12)</f>
        <v>-</v>
      </c>
      <c r="AU12" s="20">
        <v>0</v>
      </c>
      <c r="AV12" s="21">
        <v>0</v>
      </c>
      <c r="AW12" s="280" t="str">
        <f t="shared" ref="AW12:AW15" si="54">IF(AV12=0,"-",AU12/AV12)</f>
        <v>-</v>
      </c>
      <c r="AX12" s="20">
        <v>0</v>
      </c>
      <c r="AY12" s="21">
        <v>0</v>
      </c>
      <c r="AZ12" s="280" t="str">
        <f t="shared" ref="AZ12:AZ15" si="55">IF(AY12=0,"-",AX12/AY12)</f>
        <v>-</v>
      </c>
      <c r="BA12" s="252">
        <v>31</v>
      </c>
      <c r="BB12" s="253">
        <v>5</v>
      </c>
      <c r="BC12" s="139">
        <f t="shared" si="17"/>
        <v>6.2</v>
      </c>
      <c r="BD12" s="252">
        <v>0</v>
      </c>
      <c r="BE12" s="253">
        <v>0</v>
      </c>
      <c r="BF12" s="139" t="str">
        <f t="shared" ref="BF12:BF15" si="56">IF(BE12=0,"-",BD12/BE12)</f>
        <v>-</v>
      </c>
      <c r="BG12" s="252">
        <v>0</v>
      </c>
      <c r="BH12" s="253">
        <v>0</v>
      </c>
      <c r="BI12" s="139" t="str">
        <f t="shared" ref="BI12:BI15" si="57">IF(BH12=0,"-",BG12/BH12)</f>
        <v>-</v>
      </c>
      <c r="BJ12" s="257">
        <v>0</v>
      </c>
      <c r="BK12" s="253">
        <v>0</v>
      </c>
      <c r="BL12" s="139" t="str">
        <f t="shared" ref="BL12:BL15" si="58">IF(BK12=0,"-",BJ12/BK12)</f>
        <v>-</v>
      </c>
      <c r="BM12" s="20">
        <v>0</v>
      </c>
      <c r="BN12" s="21">
        <v>0</v>
      </c>
      <c r="BO12" s="139" t="str">
        <f t="shared" si="21"/>
        <v>-</v>
      </c>
      <c r="BP12" s="20">
        <v>6</v>
      </c>
      <c r="BQ12" s="21">
        <v>1</v>
      </c>
      <c r="BR12" s="139">
        <f t="shared" si="22"/>
        <v>6</v>
      </c>
      <c r="BS12" s="20">
        <v>0</v>
      </c>
      <c r="BT12" s="21">
        <v>0</v>
      </c>
      <c r="BU12" s="139" t="str">
        <f t="shared" ref="BU12:BU15" si="59">IF(BT12=0,"-",BS12/BT12)</f>
        <v>-</v>
      </c>
      <c r="BV12" s="20">
        <v>0</v>
      </c>
      <c r="BW12" s="21">
        <v>0</v>
      </c>
      <c r="BX12" s="139" t="str">
        <f t="shared" ref="BX12:BX15" si="60">IF(BW12=0,"-",BV12/BW12)</f>
        <v>-</v>
      </c>
      <c r="BY12" s="20">
        <v>0</v>
      </c>
      <c r="BZ12" s="21">
        <v>0</v>
      </c>
      <c r="CA12" s="139" t="str">
        <f t="shared" ref="CA12:CA15" si="61">IF(BZ12=0,"-",BY12/BZ12)</f>
        <v>-</v>
      </c>
      <c r="CB12" s="117">
        <f t="shared" si="31"/>
        <v>110</v>
      </c>
      <c r="CC12" s="120">
        <f t="shared" si="52"/>
        <v>17</v>
      </c>
      <c r="CD12" s="147">
        <f t="shared" si="27"/>
        <v>6.4705882352941178</v>
      </c>
    </row>
    <row r="13" spans="1:82" ht="15" thickBot="1" x14ac:dyDescent="0.35">
      <c r="A13" s="294">
        <v>45513</v>
      </c>
      <c r="B13" s="20">
        <v>0</v>
      </c>
      <c r="C13" s="21">
        <v>0</v>
      </c>
      <c r="D13" s="139" t="str">
        <f t="shared" si="0"/>
        <v>-</v>
      </c>
      <c r="E13" s="20">
        <v>0</v>
      </c>
      <c r="F13" s="21">
        <v>0</v>
      </c>
      <c r="G13" s="139" t="str">
        <f t="shared" si="1"/>
        <v>-</v>
      </c>
      <c r="H13" s="20"/>
      <c r="I13" s="21"/>
      <c r="J13" s="139" t="str">
        <f t="shared" si="39"/>
        <v>-</v>
      </c>
      <c r="K13" s="20">
        <v>16</v>
      </c>
      <c r="L13" s="21">
        <v>2</v>
      </c>
      <c r="M13" s="139">
        <f t="shared" si="3"/>
        <v>8</v>
      </c>
      <c r="N13" s="125">
        <v>0</v>
      </c>
      <c r="O13" s="126">
        <v>0</v>
      </c>
      <c r="P13" s="139" t="str">
        <f t="shared" si="4"/>
        <v>-</v>
      </c>
      <c r="Q13" s="20">
        <v>6</v>
      </c>
      <c r="R13" s="21">
        <v>1</v>
      </c>
      <c r="S13" s="139">
        <f t="shared" si="5"/>
        <v>6</v>
      </c>
      <c r="T13" s="20">
        <v>0</v>
      </c>
      <c r="U13" s="21">
        <v>0</v>
      </c>
      <c r="V13" s="139" t="str">
        <f t="shared" si="6"/>
        <v>-</v>
      </c>
      <c r="W13" s="20">
        <v>0</v>
      </c>
      <c r="X13" s="21">
        <v>0</v>
      </c>
      <c r="Y13" s="278" t="str">
        <f t="shared" si="7"/>
        <v>-</v>
      </c>
      <c r="Z13" s="20">
        <v>0</v>
      </c>
      <c r="AA13" s="21">
        <v>0</v>
      </c>
      <c r="AB13" s="278" t="str">
        <f t="shared" si="32"/>
        <v>-</v>
      </c>
      <c r="AC13" s="20">
        <v>0</v>
      </c>
      <c r="AD13" s="21">
        <v>0</v>
      </c>
      <c r="AE13" s="278" t="str">
        <f t="shared" si="33"/>
        <v>-</v>
      </c>
      <c r="AF13" s="20">
        <v>0</v>
      </c>
      <c r="AG13" s="21">
        <v>0</v>
      </c>
      <c r="AH13" s="139" t="str">
        <f t="shared" si="10"/>
        <v>-</v>
      </c>
      <c r="AI13" s="20">
        <v>1</v>
      </c>
      <c r="AJ13" s="21">
        <v>1</v>
      </c>
      <c r="AK13" s="280">
        <f t="shared" si="11"/>
        <v>1</v>
      </c>
      <c r="AL13" s="20">
        <v>0</v>
      </c>
      <c r="AM13" s="21">
        <v>0</v>
      </c>
      <c r="AN13" s="280" t="str">
        <f t="shared" si="51"/>
        <v>-</v>
      </c>
      <c r="AO13" s="20">
        <v>0</v>
      </c>
      <c r="AP13" s="21">
        <v>0</v>
      </c>
      <c r="AQ13" s="280" t="str">
        <f t="shared" si="13"/>
        <v>-</v>
      </c>
      <c r="AR13" s="20">
        <v>0</v>
      </c>
      <c r="AS13" s="21">
        <v>0</v>
      </c>
      <c r="AT13" s="280" t="str">
        <f t="shared" si="53"/>
        <v>-</v>
      </c>
      <c r="AU13" s="20">
        <v>0</v>
      </c>
      <c r="AV13" s="21">
        <v>0</v>
      </c>
      <c r="AW13" s="280" t="str">
        <f t="shared" si="54"/>
        <v>-</v>
      </c>
      <c r="AX13" s="20">
        <v>0</v>
      </c>
      <c r="AY13" s="21">
        <v>0</v>
      </c>
      <c r="AZ13" s="280" t="str">
        <f t="shared" si="55"/>
        <v>-</v>
      </c>
      <c r="BA13" s="252">
        <v>26</v>
      </c>
      <c r="BB13" s="253">
        <v>4</v>
      </c>
      <c r="BC13" s="139">
        <f t="shared" si="17"/>
        <v>6.5</v>
      </c>
      <c r="BD13" s="252">
        <v>0</v>
      </c>
      <c r="BE13" s="253">
        <v>0</v>
      </c>
      <c r="BF13" s="139" t="str">
        <f t="shared" si="56"/>
        <v>-</v>
      </c>
      <c r="BG13" s="252">
        <v>0</v>
      </c>
      <c r="BH13" s="253">
        <v>0</v>
      </c>
      <c r="BI13" s="139" t="str">
        <f t="shared" si="57"/>
        <v>-</v>
      </c>
      <c r="BJ13" s="257">
        <v>0</v>
      </c>
      <c r="BK13" s="253">
        <v>0</v>
      </c>
      <c r="BL13" s="139" t="str">
        <f t="shared" si="58"/>
        <v>-</v>
      </c>
      <c r="BM13" s="20">
        <v>0</v>
      </c>
      <c r="BN13" s="21">
        <v>0</v>
      </c>
      <c r="BO13" s="139" t="str">
        <f t="shared" si="21"/>
        <v>-</v>
      </c>
      <c r="BP13" s="20">
        <v>0</v>
      </c>
      <c r="BQ13" s="21">
        <v>0</v>
      </c>
      <c r="BR13" s="139" t="str">
        <f t="shared" si="22"/>
        <v>-</v>
      </c>
      <c r="BS13" s="20">
        <v>0</v>
      </c>
      <c r="BT13" s="21">
        <v>0</v>
      </c>
      <c r="BU13" s="139" t="str">
        <f t="shared" si="59"/>
        <v>-</v>
      </c>
      <c r="BV13" s="20">
        <v>0</v>
      </c>
      <c r="BW13" s="21">
        <v>0</v>
      </c>
      <c r="BX13" s="139" t="str">
        <f t="shared" si="60"/>
        <v>-</v>
      </c>
      <c r="BY13" s="20">
        <v>0</v>
      </c>
      <c r="BZ13" s="21">
        <v>0</v>
      </c>
      <c r="CA13" s="139" t="str">
        <f t="shared" si="61"/>
        <v>-</v>
      </c>
      <c r="CB13" s="117">
        <f t="shared" si="31"/>
        <v>49</v>
      </c>
      <c r="CC13" s="120">
        <f t="shared" si="52"/>
        <v>8</v>
      </c>
      <c r="CD13" s="147">
        <f t="shared" si="27"/>
        <v>6.125</v>
      </c>
    </row>
    <row r="14" spans="1:82" ht="15" thickBot="1" x14ac:dyDescent="0.35">
      <c r="A14" s="294">
        <v>45514</v>
      </c>
      <c r="B14" s="20">
        <v>0</v>
      </c>
      <c r="C14" s="21">
        <v>0</v>
      </c>
      <c r="D14" s="139" t="str">
        <f t="shared" si="0"/>
        <v>-</v>
      </c>
      <c r="E14" s="20">
        <v>7</v>
      </c>
      <c r="F14" s="21">
        <v>1</v>
      </c>
      <c r="G14" s="139">
        <f t="shared" si="1"/>
        <v>7</v>
      </c>
      <c r="H14" s="20"/>
      <c r="I14" s="21"/>
      <c r="J14" s="139" t="str">
        <f t="shared" si="39"/>
        <v>-</v>
      </c>
      <c r="K14" s="20">
        <v>0</v>
      </c>
      <c r="L14" s="21">
        <v>0</v>
      </c>
      <c r="M14" s="139" t="str">
        <f t="shared" si="3"/>
        <v>-</v>
      </c>
      <c r="N14" s="125">
        <v>0</v>
      </c>
      <c r="O14" s="126">
        <v>0</v>
      </c>
      <c r="P14" s="139" t="str">
        <f t="shared" si="4"/>
        <v>-</v>
      </c>
      <c r="Q14" s="20">
        <v>0</v>
      </c>
      <c r="R14" s="21">
        <v>0</v>
      </c>
      <c r="S14" s="139" t="str">
        <f t="shared" si="5"/>
        <v>-</v>
      </c>
      <c r="T14" s="20">
        <v>0</v>
      </c>
      <c r="U14" s="21">
        <v>0</v>
      </c>
      <c r="V14" s="139" t="str">
        <f t="shared" si="6"/>
        <v>-</v>
      </c>
      <c r="W14" s="20">
        <v>6</v>
      </c>
      <c r="X14" s="21">
        <v>1</v>
      </c>
      <c r="Y14" s="278">
        <f t="shared" si="7"/>
        <v>6</v>
      </c>
      <c r="Z14" s="20">
        <v>0</v>
      </c>
      <c r="AA14" s="21">
        <v>0</v>
      </c>
      <c r="AB14" s="278" t="str">
        <f t="shared" si="32"/>
        <v>-</v>
      </c>
      <c r="AC14" s="20">
        <v>0</v>
      </c>
      <c r="AD14" s="21">
        <v>0</v>
      </c>
      <c r="AE14" s="278" t="str">
        <f t="shared" si="33"/>
        <v>-</v>
      </c>
      <c r="AF14" s="20">
        <v>0</v>
      </c>
      <c r="AG14" s="21">
        <v>0</v>
      </c>
      <c r="AH14" s="139" t="str">
        <f t="shared" si="10"/>
        <v>-</v>
      </c>
      <c r="AI14" s="20">
        <v>0</v>
      </c>
      <c r="AJ14" s="21">
        <v>0</v>
      </c>
      <c r="AK14" s="280" t="str">
        <f t="shared" si="11"/>
        <v>-</v>
      </c>
      <c r="AL14" s="20">
        <v>0</v>
      </c>
      <c r="AM14" s="21">
        <v>0</v>
      </c>
      <c r="AN14" s="280" t="str">
        <f t="shared" si="51"/>
        <v>-</v>
      </c>
      <c r="AO14" s="20">
        <v>0</v>
      </c>
      <c r="AP14" s="21">
        <v>0</v>
      </c>
      <c r="AQ14" s="280" t="str">
        <f t="shared" si="13"/>
        <v>-</v>
      </c>
      <c r="AR14" s="20">
        <v>0</v>
      </c>
      <c r="AS14" s="21">
        <v>0</v>
      </c>
      <c r="AT14" s="280" t="str">
        <f t="shared" si="53"/>
        <v>-</v>
      </c>
      <c r="AU14" s="20">
        <v>0</v>
      </c>
      <c r="AV14" s="21">
        <v>0</v>
      </c>
      <c r="AW14" s="280" t="str">
        <f t="shared" si="54"/>
        <v>-</v>
      </c>
      <c r="AX14" s="20">
        <v>0</v>
      </c>
      <c r="AY14" s="21">
        <v>0</v>
      </c>
      <c r="AZ14" s="280" t="str">
        <f t="shared" si="55"/>
        <v>-</v>
      </c>
      <c r="BA14" s="252">
        <v>0</v>
      </c>
      <c r="BB14" s="253">
        <v>0</v>
      </c>
      <c r="BC14" s="139" t="str">
        <f t="shared" si="17"/>
        <v>-</v>
      </c>
      <c r="BD14" s="252">
        <v>0</v>
      </c>
      <c r="BE14" s="253">
        <v>0</v>
      </c>
      <c r="BF14" s="139" t="str">
        <f t="shared" si="56"/>
        <v>-</v>
      </c>
      <c r="BG14" s="252">
        <v>0</v>
      </c>
      <c r="BH14" s="253">
        <v>0</v>
      </c>
      <c r="BI14" s="139" t="str">
        <f t="shared" si="57"/>
        <v>-</v>
      </c>
      <c r="BJ14" s="257">
        <v>0</v>
      </c>
      <c r="BK14" s="253">
        <v>0</v>
      </c>
      <c r="BL14" s="139" t="str">
        <f t="shared" si="58"/>
        <v>-</v>
      </c>
      <c r="BM14" s="252">
        <v>0</v>
      </c>
      <c r="BN14" s="253">
        <v>0</v>
      </c>
      <c r="BO14" s="139" t="str">
        <f t="shared" si="21"/>
        <v>-</v>
      </c>
      <c r="BP14" s="20">
        <v>0</v>
      </c>
      <c r="BQ14" s="21">
        <v>0</v>
      </c>
      <c r="BR14" s="139" t="str">
        <f t="shared" si="22"/>
        <v>-</v>
      </c>
      <c r="BS14" s="20">
        <v>0</v>
      </c>
      <c r="BT14" s="21">
        <v>0</v>
      </c>
      <c r="BU14" s="139" t="str">
        <f t="shared" si="59"/>
        <v>-</v>
      </c>
      <c r="BV14" s="20">
        <v>0</v>
      </c>
      <c r="BW14" s="21">
        <v>0</v>
      </c>
      <c r="BX14" s="139" t="str">
        <f t="shared" si="60"/>
        <v>-</v>
      </c>
      <c r="BY14" s="20">
        <v>0</v>
      </c>
      <c r="BZ14" s="21">
        <v>0</v>
      </c>
      <c r="CA14" s="139" t="str">
        <f t="shared" si="61"/>
        <v>-</v>
      </c>
      <c r="CB14" s="117">
        <f t="shared" si="31"/>
        <v>13</v>
      </c>
      <c r="CC14" s="120">
        <f t="shared" si="52"/>
        <v>1</v>
      </c>
      <c r="CD14" s="147">
        <f t="shared" si="27"/>
        <v>13</v>
      </c>
    </row>
    <row r="15" spans="1:82" ht="15" thickBot="1" x14ac:dyDescent="0.35">
      <c r="A15" s="294">
        <v>45515</v>
      </c>
      <c r="B15" s="20">
        <v>0</v>
      </c>
      <c r="C15" s="21">
        <v>0</v>
      </c>
      <c r="D15" s="139" t="str">
        <f t="shared" si="0"/>
        <v>-</v>
      </c>
      <c r="E15" s="23">
        <v>0</v>
      </c>
      <c r="F15" s="21">
        <v>0</v>
      </c>
      <c r="G15" s="139" t="str">
        <f t="shared" si="1"/>
        <v>-</v>
      </c>
      <c r="H15" s="20"/>
      <c r="I15" s="21"/>
      <c r="J15" s="139" t="str">
        <f t="shared" si="39"/>
        <v>-</v>
      </c>
      <c r="K15" s="20">
        <v>0</v>
      </c>
      <c r="L15" s="21">
        <v>0</v>
      </c>
      <c r="M15" s="139" t="str">
        <f t="shared" si="3"/>
        <v>-</v>
      </c>
      <c r="N15" s="125">
        <v>0</v>
      </c>
      <c r="O15" s="126">
        <v>0</v>
      </c>
      <c r="P15" s="139" t="str">
        <f t="shared" si="4"/>
        <v>-</v>
      </c>
      <c r="Q15" s="20">
        <v>0</v>
      </c>
      <c r="R15" s="21">
        <v>0</v>
      </c>
      <c r="S15" s="139" t="str">
        <f t="shared" si="5"/>
        <v>-</v>
      </c>
      <c r="T15" s="20">
        <v>0</v>
      </c>
      <c r="U15" s="21">
        <v>0</v>
      </c>
      <c r="V15" s="139" t="str">
        <f t="shared" si="6"/>
        <v>-</v>
      </c>
      <c r="W15" s="125">
        <v>0</v>
      </c>
      <c r="X15" s="126">
        <v>0</v>
      </c>
      <c r="Y15" s="278" t="str">
        <f t="shared" si="7"/>
        <v>-</v>
      </c>
      <c r="Z15" s="20">
        <v>0</v>
      </c>
      <c r="AA15" s="21">
        <v>0</v>
      </c>
      <c r="AB15" s="278" t="str">
        <f t="shared" si="32"/>
        <v>-</v>
      </c>
      <c r="AC15" s="20">
        <v>0</v>
      </c>
      <c r="AD15" s="21">
        <v>0</v>
      </c>
      <c r="AE15" s="278" t="str">
        <f t="shared" si="33"/>
        <v>-</v>
      </c>
      <c r="AF15" s="20">
        <v>0</v>
      </c>
      <c r="AG15" s="21">
        <v>0</v>
      </c>
      <c r="AH15" s="139" t="str">
        <f t="shared" si="10"/>
        <v>-</v>
      </c>
      <c r="AI15" s="20">
        <v>0</v>
      </c>
      <c r="AJ15" s="21">
        <v>0</v>
      </c>
      <c r="AK15" s="280" t="str">
        <f t="shared" si="11"/>
        <v>-</v>
      </c>
      <c r="AL15" s="20">
        <v>0</v>
      </c>
      <c r="AM15" s="21">
        <v>0</v>
      </c>
      <c r="AN15" s="280" t="str">
        <f t="shared" si="51"/>
        <v>-</v>
      </c>
      <c r="AO15" s="20">
        <v>0</v>
      </c>
      <c r="AP15" s="21">
        <v>0</v>
      </c>
      <c r="AQ15" s="280" t="str">
        <f t="shared" si="13"/>
        <v>-</v>
      </c>
      <c r="AR15" s="20">
        <v>0</v>
      </c>
      <c r="AS15" s="21">
        <v>0</v>
      </c>
      <c r="AT15" s="280" t="str">
        <f t="shared" si="53"/>
        <v>-</v>
      </c>
      <c r="AU15" s="20">
        <v>0</v>
      </c>
      <c r="AV15" s="21">
        <v>0</v>
      </c>
      <c r="AW15" s="280" t="str">
        <f t="shared" si="54"/>
        <v>-</v>
      </c>
      <c r="AX15" s="20">
        <v>0</v>
      </c>
      <c r="AY15" s="21">
        <v>0</v>
      </c>
      <c r="AZ15" s="280" t="str">
        <f t="shared" si="55"/>
        <v>-</v>
      </c>
      <c r="BA15" s="252">
        <v>0</v>
      </c>
      <c r="BB15" s="253">
        <v>0</v>
      </c>
      <c r="BC15" s="139" t="str">
        <f t="shared" si="17"/>
        <v>-</v>
      </c>
      <c r="BD15" s="252">
        <v>0</v>
      </c>
      <c r="BE15" s="253">
        <v>0</v>
      </c>
      <c r="BF15" s="139" t="str">
        <f t="shared" si="56"/>
        <v>-</v>
      </c>
      <c r="BG15" s="252">
        <v>0</v>
      </c>
      <c r="BH15" s="253">
        <v>0</v>
      </c>
      <c r="BI15" s="139" t="str">
        <f t="shared" si="57"/>
        <v>-</v>
      </c>
      <c r="BJ15" s="257">
        <v>0</v>
      </c>
      <c r="BK15" s="253">
        <v>0</v>
      </c>
      <c r="BL15" s="139" t="str">
        <f t="shared" si="58"/>
        <v>-</v>
      </c>
      <c r="BM15" s="252">
        <v>0</v>
      </c>
      <c r="BN15" s="253">
        <v>0</v>
      </c>
      <c r="BO15" s="139" t="str">
        <f t="shared" si="21"/>
        <v>-</v>
      </c>
      <c r="BP15" s="20">
        <v>0</v>
      </c>
      <c r="BQ15" s="21">
        <v>0</v>
      </c>
      <c r="BR15" s="139" t="str">
        <f t="shared" si="22"/>
        <v>-</v>
      </c>
      <c r="BS15" s="20">
        <v>0</v>
      </c>
      <c r="BT15" s="21">
        <v>0</v>
      </c>
      <c r="BU15" s="139" t="str">
        <f t="shared" si="59"/>
        <v>-</v>
      </c>
      <c r="BV15" s="20">
        <v>0</v>
      </c>
      <c r="BW15" s="21">
        <v>0</v>
      </c>
      <c r="BX15" s="139" t="str">
        <f t="shared" si="60"/>
        <v>-</v>
      </c>
      <c r="BY15" s="20">
        <v>0</v>
      </c>
      <c r="BZ15" s="21">
        <v>0</v>
      </c>
      <c r="CA15" s="139" t="str">
        <f t="shared" si="61"/>
        <v>-</v>
      </c>
      <c r="CB15" s="117">
        <f t="shared" si="31"/>
        <v>0</v>
      </c>
      <c r="CC15" s="120">
        <f t="shared" si="52"/>
        <v>0</v>
      </c>
      <c r="CD15" s="147" t="str">
        <f t="shared" si="27"/>
        <v/>
      </c>
    </row>
    <row r="16" spans="1:82" ht="15" thickBot="1" x14ac:dyDescent="0.35">
      <c r="A16" s="294">
        <v>45516</v>
      </c>
      <c r="B16" s="20">
        <v>4</v>
      </c>
      <c r="C16" s="21">
        <v>8</v>
      </c>
      <c r="D16" s="139">
        <f t="shared" si="0"/>
        <v>0.5</v>
      </c>
      <c r="E16" s="20">
        <v>0</v>
      </c>
      <c r="F16" s="21">
        <v>0</v>
      </c>
      <c r="G16" s="139" t="str">
        <f t="shared" si="1"/>
        <v>-</v>
      </c>
      <c r="H16" s="20"/>
      <c r="I16" s="21"/>
      <c r="J16" s="139" t="str">
        <f t="shared" si="39"/>
        <v>-</v>
      </c>
      <c r="K16" s="20">
        <v>24</v>
      </c>
      <c r="L16" s="21">
        <v>3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23">
        <v>59</v>
      </c>
      <c r="R16" s="21">
        <v>10</v>
      </c>
      <c r="S16" s="139">
        <f t="shared" si="5"/>
        <v>5.9</v>
      </c>
      <c r="T16" s="20">
        <v>112</v>
      </c>
      <c r="U16" s="21">
        <v>22</v>
      </c>
      <c r="V16" s="139">
        <f t="shared" si="6"/>
        <v>5.0909090909090908</v>
      </c>
      <c r="W16" s="125">
        <v>0</v>
      </c>
      <c r="X16" s="126">
        <v>0</v>
      </c>
      <c r="Y16" s="278" t="str">
        <f t="shared" ref="Y16" si="62">IF(X16=0,"-",W16/X16)</f>
        <v>-</v>
      </c>
      <c r="Z16" s="20">
        <v>0</v>
      </c>
      <c r="AA16" s="21">
        <v>0</v>
      </c>
      <c r="AB16" s="278" t="str">
        <f t="shared" ref="AB16" si="63">IF(AA16=0,"-",Z16/AA16)</f>
        <v>-</v>
      </c>
      <c r="AC16" s="20">
        <v>0</v>
      </c>
      <c r="AD16" s="21">
        <v>0</v>
      </c>
      <c r="AE16" s="278" t="str">
        <f t="shared" ref="AE16" si="64">IF(AD16=0,"-",AC16/AD16)</f>
        <v>-</v>
      </c>
      <c r="AF16" s="20">
        <v>0</v>
      </c>
      <c r="AG16" s="21">
        <v>0</v>
      </c>
      <c r="AH16" s="139" t="str">
        <f t="shared" si="10"/>
        <v>-</v>
      </c>
      <c r="AI16" s="20">
        <v>0</v>
      </c>
      <c r="AJ16" s="21">
        <v>0</v>
      </c>
      <c r="AK16" s="280" t="str">
        <f t="shared" ref="AK16" si="65">IF(AJ16=0,"-",AI16/AJ16)</f>
        <v>-</v>
      </c>
      <c r="AL16" s="20">
        <v>0</v>
      </c>
      <c r="AM16" s="21">
        <v>0</v>
      </c>
      <c r="AN16" s="280" t="str">
        <f t="shared" ref="AN16:AN17" si="66">IF(AM16=0,"-",AL16/AM16)</f>
        <v>-</v>
      </c>
      <c r="AO16" s="20">
        <v>0</v>
      </c>
      <c r="AP16" s="21">
        <v>0</v>
      </c>
      <c r="AQ16" s="280" t="str">
        <f t="shared" ref="AQ16:AQ17" si="67">IF(AP16=0,"-",AO16/AP16)</f>
        <v>-</v>
      </c>
      <c r="AR16" s="20">
        <v>0</v>
      </c>
      <c r="AS16" s="21">
        <v>0</v>
      </c>
      <c r="AT16" s="280" t="str">
        <f t="shared" ref="AT16:AT17" si="68">IF(AS16=0,"-",AR16/AS16)</f>
        <v>-</v>
      </c>
      <c r="AU16" s="20">
        <v>0</v>
      </c>
      <c r="AV16" s="21">
        <v>0</v>
      </c>
      <c r="AW16" s="280" t="str">
        <f t="shared" ref="AW16:AW17" si="69">IF(AV16=0,"-",AU16/AV16)</f>
        <v>-</v>
      </c>
      <c r="AX16" s="20">
        <v>0</v>
      </c>
      <c r="AY16" s="21">
        <v>0</v>
      </c>
      <c r="AZ16" s="280" t="str">
        <f t="shared" ref="AZ16:AZ17" si="70">IF(AY16=0,"-",AX16/AY16)</f>
        <v>-</v>
      </c>
      <c r="BA16" s="252">
        <v>8</v>
      </c>
      <c r="BB16" s="253">
        <v>1</v>
      </c>
      <c r="BC16" s="139">
        <f t="shared" si="17"/>
        <v>8</v>
      </c>
      <c r="BD16" s="252">
        <v>0</v>
      </c>
      <c r="BE16" s="253">
        <v>0</v>
      </c>
      <c r="BF16" s="139" t="str">
        <f t="shared" ref="BF16" si="71">IF(BE16=0,"-",BD16/BE16)</f>
        <v>-</v>
      </c>
      <c r="BG16" s="252">
        <v>0</v>
      </c>
      <c r="BH16" s="253">
        <v>0</v>
      </c>
      <c r="BI16" s="139" t="str">
        <f t="shared" ref="BI16" si="72">IF(BH16=0,"-",BG16/BH16)</f>
        <v>-</v>
      </c>
      <c r="BJ16" s="257">
        <v>0</v>
      </c>
      <c r="BK16" s="253">
        <v>0</v>
      </c>
      <c r="BL16" s="139" t="str">
        <f t="shared" ref="BL16" si="73">IF(BK16=0,"-",BJ16/BK16)</f>
        <v>-</v>
      </c>
      <c r="BM16" s="252">
        <v>0</v>
      </c>
      <c r="BN16" s="253">
        <v>0</v>
      </c>
      <c r="BO16" s="139" t="str">
        <f t="shared" si="21"/>
        <v>-</v>
      </c>
      <c r="BP16" s="20">
        <v>0</v>
      </c>
      <c r="BQ16" s="21">
        <v>0</v>
      </c>
      <c r="BR16" s="139" t="str">
        <f t="shared" ref="BR16" si="74">IF(BQ16=0,"-",BP16/BQ16)</f>
        <v>-</v>
      </c>
      <c r="BS16" s="20">
        <v>0</v>
      </c>
      <c r="BT16" s="21">
        <v>0</v>
      </c>
      <c r="BU16" s="139" t="str">
        <f t="shared" ref="BU16" si="75">IF(BT16=0,"-",BS16/BT16)</f>
        <v>-</v>
      </c>
      <c r="BV16" s="20">
        <v>0</v>
      </c>
      <c r="BW16" s="21">
        <v>0</v>
      </c>
      <c r="BX16" s="139" t="str">
        <f t="shared" ref="BX16" si="76">IF(BW16=0,"-",BV16/BW16)</f>
        <v>-</v>
      </c>
      <c r="BY16" s="20">
        <v>0</v>
      </c>
      <c r="BZ16" s="21">
        <v>0</v>
      </c>
      <c r="CA16" s="139" t="str">
        <f t="shared" ref="CA16" si="77">IF(BZ16=0,"-",BY16/BZ16)</f>
        <v>-</v>
      </c>
      <c r="CB16" s="117">
        <f t="shared" si="31"/>
        <v>207</v>
      </c>
      <c r="CC16" s="120">
        <f t="shared" si="52"/>
        <v>44</v>
      </c>
      <c r="CD16" s="147">
        <f t="shared" si="27"/>
        <v>4.7045454545454541</v>
      </c>
    </row>
    <row r="17" spans="1:82" ht="15" thickBot="1" x14ac:dyDescent="0.35">
      <c r="A17" s="294">
        <v>45517</v>
      </c>
      <c r="B17" s="20">
        <v>36</v>
      </c>
      <c r="C17" s="21">
        <v>8</v>
      </c>
      <c r="D17" s="139">
        <f t="shared" si="0"/>
        <v>4.5</v>
      </c>
      <c r="E17" s="20">
        <v>7</v>
      </c>
      <c r="F17" s="21">
        <v>1</v>
      </c>
      <c r="G17" s="139">
        <f t="shared" si="1"/>
        <v>7</v>
      </c>
      <c r="H17" s="20"/>
      <c r="I17" s="21"/>
      <c r="J17" s="139" t="str">
        <f t="shared" si="39"/>
        <v>-</v>
      </c>
      <c r="K17" s="20">
        <v>13</v>
      </c>
      <c r="L17" s="21">
        <v>2</v>
      </c>
      <c r="M17" s="139">
        <f t="shared" si="3"/>
        <v>6.5</v>
      </c>
      <c r="N17" s="125">
        <v>0</v>
      </c>
      <c r="O17" s="126">
        <v>0</v>
      </c>
      <c r="P17" s="139" t="str">
        <f t="shared" si="4"/>
        <v>-</v>
      </c>
      <c r="Q17" s="20">
        <v>67</v>
      </c>
      <c r="R17" s="21">
        <v>13</v>
      </c>
      <c r="S17" s="139">
        <f t="shared" si="5"/>
        <v>5.1538461538461542</v>
      </c>
      <c r="T17" s="20">
        <v>32</v>
      </c>
      <c r="U17" s="21">
        <v>6</v>
      </c>
      <c r="V17" s="139">
        <f t="shared" si="6"/>
        <v>5.333333333333333</v>
      </c>
      <c r="W17" s="125">
        <v>0</v>
      </c>
      <c r="X17" s="126">
        <v>0</v>
      </c>
      <c r="Y17" s="278" t="str">
        <f t="shared" ref="Y17" si="78">IF(X17=0,"-",W17/X17)</f>
        <v>-</v>
      </c>
      <c r="Z17" s="20">
        <v>0</v>
      </c>
      <c r="AA17" s="21">
        <v>0</v>
      </c>
      <c r="AB17" s="278" t="str">
        <f t="shared" ref="AB17" si="79">IF(AA17=0,"-",Z17/AA17)</f>
        <v>-</v>
      </c>
      <c r="AC17" s="20">
        <v>0</v>
      </c>
      <c r="AD17" s="21">
        <v>0</v>
      </c>
      <c r="AE17" s="278" t="str">
        <f t="shared" ref="AE17" si="80">IF(AD17=0,"-",AC17/AD17)</f>
        <v>-</v>
      </c>
      <c r="AF17" s="20">
        <v>0</v>
      </c>
      <c r="AG17" s="21">
        <v>0</v>
      </c>
      <c r="AH17" s="139" t="str">
        <f t="shared" si="10"/>
        <v>-</v>
      </c>
      <c r="AI17" s="20">
        <v>0</v>
      </c>
      <c r="AJ17" s="21">
        <v>0</v>
      </c>
      <c r="AK17" s="280" t="str">
        <f t="shared" ref="AK17" si="81">IF(AJ17=0,"-",AI17/AJ17)</f>
        <v>-</v>
      </c>
      <c r="AL17" s="20">
        <v>0</v>
      </c>
      <c r="AM17" s="21">
        <v>0</v>
      </c>
      <c r="AN17" s="280" t="str">
        <f t="shared" si="66"/>
        <v>-</v>
      </c>
      <c r="AO17" s="20">
        <v>0</v>
      </c>
      <c r="AP17" s="21">
        <v>0</v>
      </c>
      <c r="AQ17" s="280" t="str">
        <f t="shared" si="67"/>
        <v>-</v>
      </c>
      <c r="AR17" s="20">
        <v>0</v>
      </c>
      <c r="AS17" s="21">
        <v>0</v>
      </c>
      <c r="AT17" s="280" t="str">
        <f t="shared" si="68"/>
        <v>-</v>
      </c>
      <c r="AU17" s="20">
        <v>0</v>
      </c>
      <c r="AV17" s="21">
        <v>0</v>
      </c>
      <c r="AW17" s="280" t="str">
        <f t="shared" si="69"/>
        <v>-</v>
      </c>
      <c r="AX17" s="20">
        <v>0</v>
      </c>
      <c r="AY17" s="21">
        <v>0</v>
      </c>
      <c r="AZ17" s="280" t="str">
        <f t="shared" si="70"/>
        <v>-</v>
      </c>
      <c r="BA17" s="252">
        <v>30</v>
      </c>
      <c r="BB17" s="253">
        <v>5</v>
      </c>
      <c r="BC17" s="139">
        <f t="shared" si="17"/>
        <v>6</v>
      </c>
      <c r="BD17" s="252">
        <v>0</v>
      </c>
      <c r="BE17" s="253">
        <v>0</v>
      </c>
      <c r="BF17" s="139" t="str">
        <f t="shared" ref="BF17:BF18" si="82">IF(BE17=0,"-",BD17/BE17)</f>
        <v>-</v>
      </c>
      <c r="BG17" s="252">
        <v>0</v>
      </c>
      <c r="BH17" s="253">
        <v>0</v>
      </c>
      <c r="BI17" s="139" t="str">
        <f t="shared" ref="BI17:BI18" si="83">IF(BH17=0,"-",BG17/BH17)</f>
        <v>-</v>
      </c>
      <c r="BJ17" s="257">
        <v>0</v>
      </c>
      <c r="BK17" s="253">
        <v>0</v>
      </c>
      <c r="BL17" s="139" t="str">
        <f t="shared" ref="BL17:BL19" si="84">IF(BK17=0,"-",BJ17/BK17)</f>
        <v>-</v>
      </c>
      <c r="BM17" s="252">
        <v>0</v>
      </c>
      <c r="BN17" s="253">
        <v>0</v>
      </c>
      <c r="BO17" s="139" t="str">
        <f t="shared" si="21"/>
        <v>-</v>
      </c>
      <c r="BP17" s="20">
        <v>0</v>
      </c>
      <c r="BQ17" s="21">
        <v>0</v>
      </c>
      <c r="BR17" s="139" t="str">
        <f t="shared" ref="BR17" si="85">IF(BQ17=0,"-",BP17/BQ17)</f>
        <v>-</v>
      </c>
      <c r="BS17" s="20">
        <v>0</v>
      </c>
      <c r="BT17" s="21">
        <v>0</v>
      </c>
      <c r="BU17" s="139" t="str">
        <f t="shared" ref="BU17" si="86">IF(BT17=0,"-",BS17/BT17)</f>
        <v>-</v>
      </c>
      <c r="BV17" s="20">
        <v>0</v>
      </c>
      <c r="BW17" s="21">
        <v>0</v>
      </c>
      <c r="BX17" s="139" t="str">
        <f t="shared" ref="BX17" si="87">IF(BW17=0,"-",BV17/BW17)</f>
        <v>-</v>
      </c>
      <c r="BY17" s="20">
        <v>0</v>
      </c>
      <c r="BZ17" s="21">
        <v>0</v>
      </c>
      <c r="CA17" s="139" t="str">
        <f t="shared" ref="CA17" si="88">IF(BZ17=0,"-",BY17/BZ17)</f>
        <v>-</v>
      </c>
      <c r="CB17" s="117">
        <f t="shared" si="31"/>
        <v>185</v>
      </c>
      <c r="CC17" s="120">
        <f t="shared" si="52"/>
        <v>35</v>
      </c>
      <c r="CD17" s="147">
        <f t="shared" si="27"/>
        <v>5.2857142857142856</v>
      </c>
    </row>
    <row r="18" spans="1:82" ht="15" thickBot="1" x14ac:dyDescent="0.35">
      <c r="A18" s="294">
        <v>45518</v>
      </c>
      <c r="B18" s="20">
        <v>32</v>
      </c>
      <c r="C18" s="21">
        <v>4</v>
      </c>
      <c r="D18" s="139">
        <f t="shared" si="0"/>
        <v>8</v>
      </c>
      <c r="E18" s="20">
        <v>5</v>
      </c>
      <c r="F18" s="21">
        <v>1</v>
      </c>
      <c r="G18" s="139">
        <f t="shared" si="1"/>
        <v>5</v>
      </c>
      <c r="H18" s="20"/>
      <c r="I18" s="21"/>
      <c r="J18" s="139" t="str">
        <f t="shared" si="39"/>
        <v>-</v>
      </c>
      <c r="K18" s="20">
        <v>8</v>
      </c>
      <c r="L18" s="21">
        <v>1</v>
      </c>
      <c r="M18" s="139">
        <f t="shared" si="3"/>
        <v>8</v>
      </c>
      <c r="N18" s="125">
        <v>0</v>
      </c>
      <c r="O18" s="126">
        <v>0</v>
      </c>
      <c r="P18" s="139" t="str">
        <f t="shared" si="4"/>
        <v>-</v>
      </c>
      <c r="Q18" s="20">
        <v>104</v>
      </c>
      <c r="R18" s="21">
        <v>20</v>
      </c>
      <c r="S18" s="139">
        <f t="shared" si="5"/>
        <v>5.2</v>
      </c>
      <c r="T18" s="20">
        <v>0</v>
      </c>
      <c r="U18" s="21">
        <v>0</v>
      </c>
      <c r="V18" s="139" t="str">
        <f t="shared" si="6"/>
        <v>-</v>
      </c>
      <c r="W18" s="20">
        <v>0</v>
      </c>
      <c r="X18" s="21">
        <v>0</v>
      </c>
      <c r="Y18" s="278" t="str">
        <f t="shared" si="7"/>
        <v>-</v>
      </c>
      <c r="Z18" s="20">
        <v>0</v>
      </c>
      <c r="AA18" s="21">
        <v>0</v>
      </c>
      <c r="AB18" s="278" t="str">
        <f t="shared" si="32"/>
        <v>-</v>
      </c>
      <c r="AC18" s="20">
        <v>0</v>
      </c>
      <c r="AD18" s="21">
        <v>0</v>
      </c>
      <c r="AE18" s="278" t="str">
        <f t="shared" si="33"/>
        <v>-</v>
      </c>
      <c r="AF18" s="20">
        <v>0</v>
      </c>
      <c r="AG18" s="21">
        <v>0</v>
      </c>
      <c r="AH18" s="139" t="str">
        <f t="shared" si="10"/>
        <v>-</v>
      </c>
      <c r="AI18" s="23">
        <v>10</v>
      </c>
      <c r="AJ18" s="21">
        <v>1</v>
      </c>
      <c r="AK18" s="139">
        <f t="shared" si="11"/>
        <v>10</v>
      </c>
      <c r="AL18" s="20">
        <v>0</v>
      </c>
      <c r="AM18" s="21">
        <v>0</v>
      </c>
      <c r="AN18" s="280" t="str">
        <f t="shared" ref="AN18" si="89">IF(AM18=0,"-",AL18/AM18)</f>
        <v>-</v>
      </c>
      <c r="AO18" s="20">
        <v>4</v>
      </c>
      <c r="AP18" s="21">
        <v>2</v>
      </c>
      <c r="AQ18" s="139">
        <f t="shared" si="13"/>
        <v>2</v>
      </c>
      <c r="AR18" s="20">
        <v>0</v>
      </c>
      <c r="AS18" s="21">
        <v>0</v>
      </c>
      <c r="AT18" s="280" t="str">
        <f t="shared" ref="AT18" si="90">IF(AS18=0,"-",AR18/AS18)</f>
        <v>-</v>
      </c>
      <c r="AU18" s="20">
        <v>0</v>
      </c>
      <c r="AV18" s="21">
        <v>0</v>
      </c>
      <c r="AW18" s="280" t="str">
        <f t="shared" ref="AW18" si="91">IF(AV18=0,"-",AU18/AV18)</f>
        <v>-</v>
      </c>
      <c r="AX18" s="20">
        <v>0</v>
      </c>
      <c r="AY18" s="21">
        <v>0</v>
      </c>
      <c r="AZ18" s="280" t="str">
        <f t="shared" ref="AZ18" si="92">IF(AY18=0,"-",AX18/AY18)</f>
        <v>-</v>
      </c>
      <c r="BA18" s="252">
        <v>13</v>
      </c>
      <c r="BB18" s="253">
        <v>2</v>
      </c>
      <c r="BC18" s="139">
        <f t="shared" si="17"/>
        <v>6.5</v>
      </c>
      <c r="BD18" s="252">
        <v>0</v>
      </c>
      <c r="BE18" s="253">
        <v>0</v>
      </c>
      <c r="BF18" s="139" t="str">
        <f t="shared" si="82"/>
        <v>-</v>
      </c>
      <c r="BG18" s="252">
        <v>0</v>
      </c>
      <c r="BH18" s="253">
        <v>0</v>
      </c>
      <c r="BI18" s="139" t="str">
        <f t="shared" si="83"/>
        <v>-</v>
      </c>
      <c r="BJ18" s="257">
        <v>6</v>
      </c>
      <c r="BK18" s="253">
        <v>1</v>
      </c>
      <c r="BL18" s="139">
        <f t="shared" si="84"/>
        <v>6</v>
      </c>
      <c r="BM18" s="252">
        <v>0</v>
      </c>
      <c r="BN18" s="253">
        <v>0</v>
      </c>
      <c r="BO18" s="139" t="str">
        <f t="shared" si="21"/>
        <v>-</v>
      </c>
      <c r="BP18" s="20">
        <v>12</v>
      </c>
      <c r="BQ18" s="21">
        <v>2</v>
      </c>
      <c r="BR18" s="139">
        <f t="shared" si="22"/>
        <v>6</v>
      </c>
      <c r="BS18" s="20">
        <v>0</v>
      </c>
      <c r="BT18" s="21">
        <v>0</v>
      </c>
      <c r="BU18" s="139" t="str">
        <f t="shared" ref="BU18" si="93">IF(BT18=0,"-",BS18/BT18)</f>
        <v>-</v>
      </c>
      <c r="BV18" s="20">
        <v>0</v>
      </c>
      <c r="BW18" s="21">
        <v>0</v>
      </c>
      <c r="BX18" s="139" t="str">
        <f t="shared" ref="BX18" si="94">IF(BW18=0,"-",BV18/BW18)</f>
        <v>-</v>
      </c>
      <c r="BY18" s="20">
        <v>0</v>
      </c>
      <c r="BZ18" s="21">
        <v>0</v>
      </c>
      <c r="CA18" s="139" t="str">
        <f t="shared" ref="CA18" si="95">IF(BZ18=0,"-",BY18/BZ18)</f>
        <v>-</v>
      </c>
      <c r="CB18" s="117">
        <f t="shared" si="31"/>
        <v>194</v>
      </c>
      <c r="CC18" s="120">
        <f t="shared" si="52"/>
        <v>34</v>
      </c>
      <c r="CD18" s="147">
        <f t="shared" si="27"/>
        <v>5.7058823529411766</v>
      </c>
    </row>
    <row r="19" spans="1:82" ht="15" thickBot="1" x14ac:dyDescent="0.35">
      <c r="A19" s="294">
        <v>45519</v>
      </c>
      <c r="B19" s="20">
        <v>24</v>
      </c>
      <c r="C19" s="21">
        <v>3</v>
      </c>
      <c r="D19" s="139">
        <f t="shared" si="0"/>
        <v>8</v>
      </c>
      <c r="E19" s="20">
        <v>8</v>
      </c>
      <c r="F19" s="21">
        <v>1</v>
      </c>
      <c r="G19" s="139">
        <f t="shared" si="1"/>
        <v>8</v>
      </c>
      <c r="H19" s="20"/>
      <c r="I19" s="21"/>
      <c r="J19" s="139" t="str">
        <f t="shared" si="39"/>
        <v>-</v>
      </c>
      <c r="K19" s="20">
        <v>19</v>
      </c>
      <c r="L19" s="21">
        <v>2</v>
      </c>
      <c r="M19" s="139">
        <f t="shared" si="3"/>
        <v>9.5</v>
      </c>
      <c r="N19" s="125">
        <v>0</v>
      </c>
      <c r="O19" s="126">
        <v>0</v>
      </c>
      <c r="P19" s="139" t="str">
        <f t="shared" si="4"/>
        <v>-</v>
      </c>
      <c r="Q19" s="20">
        <v>68</v>
      </c>
      <c r="R19" s="21">
        <v>13</v>
      </c>
      <c r="S19" s="139">
        <f t="shared" si="5"/>
        <v>5.2307692307692308</v>
      </c>
      <c r="T19" s="20">
        <v>5</v>
      </c>
      <c r="U19" s="21">
        <v>1</v>
      </c>
      <c r="V19" s="139">
        <f t="shared" si="6"/>
        <v>5</v>
      </c>
      <c r="W19" s="20">
        <v>3</v>
      </c>
      <c r="X19" s="21">
        <v>1</v>
      </c>
      <c r="Y19" s="278">
        <f t="shared" si="7"/>
        <v>3</v>
      </c>
      <c r="Z19" s="20">
        <v>0</v>
      </c>
      <c r="AA19" s="21">
        <v>0</v>
      </c>
      <c r="AB19" s="278" t="str">
        <f t="shared" si="32"/>
        <v>-</v>
      </c>
      <c r="AC19" s="20">
        <v>0</v>
      </c>
      <c r="AD19" s="21">
        <v>0</v>
      </c>
      <c r="AE19" s="278" t="str">
        <f t="shared" si="33"/>
        <v>-</v>
      </c>
      <c r="AF19" s="20">
        <v>0</v>
      </c>
      <c r="AG19" s="21">
        <v>0</v>
      </c>
      <c r="AH19" s="139" t="str">
        <f t="shared" si="10"/>
        <v>-</v>
      </c>
      <c r="AI19" s="23">
        <v>0</v>
      </c>
      <c r="AJ19" s="21">
        <v>0</v>
      </c>
      <c r="AK19" s="139" t="str">
        <f t="shared" si="11"/>
        <v>-</v>
      </c>
      <c r="AL19" s="20">
        <v>0</v>
      </c>
      <c r="AM19" s="21">
        <v>0</v>
      </c>
      <c r="AN19" s="139" t="str">
        <f t="shared" ref="AN19" si="96">IF(AM19=0,"-",AL19/AM19)</f>
        <v>-</v>
      </c>
      <c r="AO19" s="20">
        <v>0</v>
      </c>
      <c r="AP19" s="21">
        <v>0</v>
      </c>
      <c r="AQ19" s="139" t="str">
        <f t="shared" si="13"/>
        <v>-</v>
      </c>
      <c r="AR19" s="20">
        <v>0</v>
      </c>
      <c r="AS19" s="21">
        <v>0</v>
      </c>
      <c r="AT19" s="139" t="str">
        <f t="shared" si="14"/>
        <v>-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52">
        <v>7</v>
      </c>
      <c r="BB19" s="253">
        <v>1</v>
      </c>
      <c r="BC19" s="139">
        <f t="shared" si="17"/>
        <v>7</v>
      </c>
      <c r="BD19" s="252">
        <v>0</v>
      </c>
      <c r="BE19" s="253">
        <v>0</v>
      </c>
      <c r="BF19" s="139" t="str">
        <f t="shared" ref="BF19" si="97">IF(BE19=0,"-",BD19/BE19)</f>
        <v>-</v>
      </c>
      <c r="BG19" s="252">
        <v>0</v>
      </c>
      <c r="BH19" s="253">
        <v>0</v>
      </c>
      <c r="BI19" s="139" t="str">
        <f t="shared" ref="BI19" si="98">IF(BH19=0,"-",BG19/BH19)</f>
        <v>-</v>
      </c>
      <c r="BJ19" s="252">
        <v>0</v>
      </c>
      <c r="BK19" s="253">
        <v>0</v>
      </c>
      <c r="BL19" s="139" t="str">
        <f t="shared" si="84"/>
        <v>-</v>
      </c>
      <c r="BM19" s="252">
        <v>0</v>
      </c>
      <c r="BN19" s="253">
        <v>0</v>
      </c>
      <c r="BO19" s="139" t="str">
        <f t="shared" si="21"/>
        <v>-</v>
      </c>
      <c r="BP19" s="289">
        <v>5</v>
      </c>
      <c r="BQ19" s="253">
        <v>1</v>
      </c>
      <c r="BR19" s="139">
        <f t="shared" si="22"/>
        <v>5</v>
      </c>
      <c r="BS19" s="252">
        <v>0</v>
      </c>
      <c r="BT19" s="253">
        <v>0</v>
      </c>
      <c r="BU19" s="139" t="str">
        <f t="shared" si="23"/>
        <v>-</v>
      </c>
      <c r="BV19" s="252">
        <v>0</v>
      </c>
      <c r="BW19" s="253">
        <v>0</v>
      </c>
      <c r="BX19" s="139" t="str">
        <f t="shared" si="24"/>
        <v>-</v>
      </c>
      <c r="BY19" s="252">
        <v>0</v>
      </c>
      <c r="BZ19" s="253">
        <v>0</v>
      </c>
      <c r="CA19" s="139" t="str">
        <f t="shared" si="25"/>
        <v>-</v>
      </c>
      <c r="CB19" s="117">
        <f t="shared" si="31"/>
        <v>139</v>
      </c>
      <c r="CC19" s="120">
        <f t="shared" si="52"/>
        <v>22</v>
      </c>
      <c r="CD19" s="147">
        <f t="shared" si="27"/>
        <v>6.3181818181818183</v>
      </c>
    </row>
    <row r="20" spans="1:82" ht="15" thickBot="1" x14ac:dyDescent="0.35">
      <c r="A20" s="294">
        <v>45520</v>
      </c>
      <c r="B20" s="20">
        <v>106</v>
      </c>
      <c r="C20" s="21">
        <v>13</v>
      </c>
      <c r="D20" s="139">
        <f t="shared" si="0"/>
        <v>8.1538461538461533</v>
      </c>
      <c r="E20" s="20">
        <v>8</v>
      </c>
      <c r="F20" s="21">
        <v>1</v>
      </c>
      <c r="G20" s="139">
        <f t="shared" si="1"/>
        <v>8</v>
      </c>
      <c r="H20" s="20"/>
      <c r="I20" s="21"/>
      <c r="J20" s="139" t="str">
        <f t="shared" si="39"/>
        <v>-</v>
      </c>
      <c r="K20" s="20">
        <v>26</v>
      </c>
      <c r="L20" s="21">
        <v>3</v>
      </c>
      <c r="M20" s="139">
        <f t="shared" si="3"/>
        <v>8.6666666666666661</v>
      </c>
      <c r="N20" s="125">
        <v>0</v>
      </c>
      <c r="O20" s="126">
        <v>0</v>
      </c>
      <c r="P20" s="139" t="str">
        <f t="shared" si="4"/>
        <v>-</v>
      </c>
      <c r="Q20" s="20">
        <v>22</v>
      </c>
      <c r="R20" s="21">
        <v>4</v>
      </c>
      <c r="S20" s="139">
        <f t="shared" si="5"/>
        <v>5.5</v>
      </c>
      <c r="T20" s="20">
        <v>0</v>
      </c>
      <c r="U20" s="21">
        <v>0</v>
      </c>
      <c r="V20" s="139" t="str">
        <f t="shared" si="6"/>
        <v>-</v>
      </c>
      <c r="W20" s="20">
        <v>10</v>
      </c>
      <c r="X20" s="21">
        <v>2</v>
      </c>
      <c r="Y20" s="278">
        <f t="shared" si="7"/>
        <v>5</v>
      </c>
      <c r="Z20" s="20">
        <v>0</v>
      </c>
      <c r="AA20" s="21">
        <v>0</v>
      </c>
      <c r="AB20" s="278" t="str">
        <f t="shared" si="32"/>
        <v>-</v>
      </c>
      <c r="AC20" s="20">
        <v>1</v>
      </c>
      <c r="AD20" s="21">
        <v>1</v>
      </c>
      <c r="AE20" s="278">
        <f t="shared" si="33"/>
        <v>1</v>
      </c>
      <c r="AF20" s="20">
        <v>0</v>
      </c>
      <c r="AG20" s="21">
        <v>0</v>
      </c>
      <c r="AH20" s="139" t="str">
        <f t="shared" si="10"/>
        <v>-</v>
      </c>
      <c r="AI20" s="23">
        <v>0</v>
      </c>
      <c r="AJ20" s="21">
        <v>0</v>
      </c>
      <c r="AK20" s="139" t="str">
        <f t="shared" ref="AK20:AK22" si="99">IF(AJ20=0,"-",AI20/AJ20)</f>
        <v>-</v>
      </c>
      <c r="AL20" s="20">
        <v>0</v>
      </c>
      <c r="AM20" s="21">
        <v>0</v>
      </c>
      <c r="AN20" s="139" t="str">
        <f t="shared" ref="AN20:AN22" si="100">IF(AM20=0,"-",AL20/AM20)</f>
        <v>-</v>
      </c>
      <c r="AO20" s="20">
        <v>0</v>
      </c>
      <c r="AP20" s="21">
        <v>0</v>
      </c>
      <c r="AQ20" s="139" t="str">
        <f t="shared" ref="AQ20:AQ22" si="101">IF(AP20=0,"-",AO20/AP20)</f>
        <v>-</v>
      </c>
      <c r="AR20" s="20">
        <v>0</v>
      </c>
      <c r="AS20" s="21">
        <v>0</v>
      </c>
      <c r="AT20" s="139" t="str">
        <f t="shared" ref="AT20:AT22" si="102">IF(AS20=0,"-",AR20/AS20)</f>
        <v>-</v>
      </c>
      <c r="AU20" s="20">
        <v>1</v>
      </c>
      <c r="AV20" s="21">
        <v>1</v>
      </c>
      <c r="AW20" s="139">
        <f t="shared" ref="AW20:AW22" si="103">IF(AV20=0,"-",AU20/AV20)</f>
        <v>1</v>
      </c>
      <c r="AX20" s="20">
        <v>0</v>
      </c>
      <c r="AY20" s="21">
        <v>0</v>
      </c>
      <c r="AZ20" s="139" t="str">
        <f t="shared" ref="AZ20:AZ22" si="104">IF(AY20=0,"-",AX20/AY20)</f>
        <v>-</v>
      </c>
      <c r="BA20" s="20">
        <v>13</v>
      </c>
      <c r="BB20" s="21">
        <v>2</v>
      </c>
      <c r="BC20" s="139">
        <f t="shared" si="17"/>
        <v>6.5</v>
      </c>
      <c r="BD20" s="252">
        <v>0</v>
      </c>
      <c r="BE20" s="253">
        <v>0</v>
      </c>
      <c r="BF20" s="139" t="str">
        <f t="shared" ref="BF20:BF22" si="105">IF(BE20=0,"-",BD20/BE20)</f>
        <v>-</v>
      </c>
      <c r="BG20" s="252">
        <v>0</v>
      </c>
      <c r="BH20" s="253">
        <v>0</v>
      </c>
      <c r="BI20" s="139" t="str">
        <f t="shared" ref="BI20:BI22" si="106">IF(BH20=0,"-",BG20/BH20)</f>
        <v>-</v>
      </c>
      <c r="BJ20" s="252">
        <v>0</v>
      </c>
      <c r="BK20" s="253">
        <v>0</v>
      </c>
      <c r="BL20" s="139" t="str">
        <f t="shared" ref="BL20:BL21" si="107">IF(BK20=0,"-",BJ20/BK20)</f>
        <v>-</v>
      </c>
      <c r="BM20" s="20">
        <v>0</v>
      </c>
      <c r="BN20" s="21">
        <v>0</v>
      </c>
      <c r="BO20" s="139" t="str">
        <f t="shared" si="21"/>
        <v>-</v>
      </c>
      <c r="BP20" s="252">
        <v>5</v>
      </c>
      <c r="BQ20" s="21">
        <v>1</v>
      </c>
      <c r="BR20" s="139">
        <f t="shared" si="22"/>
        <v>5</v>
      </c>
      <c r="BS20" s="252">
        <v>0</v>
      </c>
      <c r="BT20" s="253">
        <v>0</v>
      </c>
      <c r="BU20" s="139" t="str">
        <f t="shared" ref="BU20:BU22" si="108">IF(BT20=0,"-",BS20/BT20)</f>
        <v>-</v>
      </c>
      <c r="BV20" s="252">
        <v>0</v>
      </c>
      <c r="BW20" s="253">
        <v>0</v>
      </c>
      <c r="BX20" s="139" t="str">
        <f t="shared" ref="BX20:BX22" si="109">IF(BW20=0,"-",BV20/BW20)</f>
        <v>-</v>
      </c>
      <c r="BY20" s="20">
        <v>1</v>
      </c>
      <c r="BZ20" s="21">
        <v>1</v>
      </c>
      <c r="CA20" s="139">
        <f t="shared" si="25"/>
        <v>1</v>
      </c>
      <c r="CB20" s="117">
        <f t="shared" si="31"/>
        <v>193</v>
      </c>
      <c r="CC20" s="120">
        <f t="shared" si="52"/>
        <v>26</v>
      </c>
      <c r="CD20" s="147">
        <f t="shared" si="27"/>
        <v>7.4230769230769234</v>
      </c>
    </row>
    <row r="21" spans="1:82" ht="15" thickBot="1" x14ac:dyDescent="0.35">
      <c r="A21" s="294">
        <v>45521</v>
      </c>
      <c r="B21" s="20">
        <v>26</v>
      </c>
      <c r="C21" s="21">
        <v>3</v>
      </c>
      <c r="D21" s="139">
        <f t="shared" si="0"/>
        <v>8.6666666666666661</v>
      </c>
      <c r="E21" s="20">
        <v>17</v>
      </c>
      <c r="F21" s="21">
        <v>2</v>
      </c>
      <c r="G21" s="139">
        <f t="shared" si="1"/>
        <v>8.5</v>
      </c>
      <c r="H21" s="20"/>
      <c r="I21" s="21"/>
      <c r="J21" s="139" t="str">
        <f t="shared" si="39"/>
        <v>-</v>
      </c>
      <c r="K21" s="20">
        <v>8</v>
      </c>
      <c r="L21" s="21">
        <v>1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20">
        <v>0</v>
      </c>
      <c r="R21" s="21">
        <v>0</v>
      </c>
      <c r="S21" s="139" t="str">
        <f t="shared" si="5"/>
        <v>-</v>
      </c>
      <c r="T21" s="20">
        <v>0</v>
      </c>
      <c r="U21" s="21">
        <v>0</v>
      </c>
      <c r="V21" s="139" t="str">
        <f t="shared" si="6"/>
        <v>-</v>
      </c>
      <c r="W21" s="20">
        <v>0</v>
      </c>
      <c r="X21" s="21">
        <v>0</v>
      </c>
      <c r="Y21" s="139" t="str">
        <f t="shared" si="7"/>
        <v>-</v>
      </c>
      <c r="Z21" s="20">
        <v>0</v>
      </c>
      <c r="AA21" s="21">
        <v>0</v>
      </c>
      <c r="AB21" s="139" t="str">
        <f t="shared" si="32"/>
        <v>-</v>
      </c>
      <c r="AC21" s="20">
        <v>0</v>
      </c>
      <c r="AD21" s="21">
        <v>0</v>
      </c>
      <c r="AE21" s="139" t="str">
        <f t="shared" si="33"/>
        <v>-</v>
      </c>
      <c r="AF21" s="20">
        <v>0</v>
      </c>
      <c r="AG21" s="21">
        <v>0</v>
      </c>
      <c r="AH21" s="139" t="str">
        <f t="shared" si="10"/>
        <v>-</v>
      </c>
      <c r="AI21" s="23">
        <v>0</v>
      </c>
      <c r="AJ21" s="21">
        <v>0</v>
      </c>
      <c r="AK21" s="139" t="str">
        <f t="shared" si="99"/>
        <v>-</v>
      </c>
      <c r="AL21" s="20">
        <v>0</v>
      </c>
      <c r="AM21" s="21">
        <v>0</v>
      </c>
      <c r="AN21" s="139" t="str">
        <f t="shared" si="100"/>
        <v>-</v>
      </c>
      <c r="AO21" s="20">
        <v>7</v>
      </c>
      <c r="AP21" s="21">
        <v>1</v>
      </c>
      <c r="AQ21" s="139">
        <f t="shared" si="101"/>
        <v>7</v>
      </c>
      <c r="AR21" s="20">
        <v>0</v>
      </c>
      <c r="AS21" s="21">
        <v>0</v>
      </c>
      <c r="AT21" s="139" t="str">
        <f t="shared" si="102"/>
        <v>-</v>
      </c>
      <c r="AU21" s="20">
        <v>0</v>
      </c>
      <c r="AV21" s="21">
        <v>0</v>
      </c>
      <c r="AW21" s="139" t="str">
        <f t="shared" si="103"/>
        <v>-</v>
      </c>
      <c r="AX21" s="20">
        <v>0</v>
      </c>
      <c r="AY21" s="21">
        <v>0</v>
      </c>
      <c r="AZ21" s="139" t="str">
        <f t="shared" si="104"/>
        <v>-</v>
      </c>
      <c r="BA21" s="20">
        <v>7</v>
      </c>
      <c r="BB21" s="21">
        <v>2</v>
      </c>
      <c r="BC21" s="139">
        <f t="shared" si="17"/>
        <v>3.5</v>
      </c>
      <c r="BD21" s="252">
        <v>0</v>
      </c>
      <c r="BE21" s="253">
        <v>0</v>
      </c>
      <c r="BF21" s="139" t="str">
        <f t="shared" si="105"/>
        <v>-</v>
      </c>
      <c r="BG21" s="252">
        <v>0</v>
      </c>
      <c r="BH21" s="253">
        <v>0</v>
      </c>
      <c r="BI21" s="139" t="str">
        <f t="shared" si="106"/>
        <v>-</v>
      </c>
      <c r="BJ21" s="252">
        <v>0</v>
      </c>
      <c r="BK21" s="253">
        <v>0</v>
      </c>
      <c r="BL21" s="139" t="str">
        <f t="shared" si="107"/>
        <v>-</v>
      </c>
      <c r="BM21" s="20">
        <v>0</v>
      </c>
      <c r="BN21" s="21">
        <v>0</v>
      </c>
      <c r="BO21" s="139" t="str">
        <f t="shared" si="21"/>
        <v>-</v>
      </c>
      <c r="BP21" s="252">
        <v>0</v>
      </c>
      <c r="BQ21" s="253">
        <v>0</v>
      </c>
      <c r="BR21" s="139" t="str">
        <f t="shared" si="22"/>
        <v>-</v>
      </c>
      <c r="BS21" s="252">
        <v>0</v>
      </c>
      <c r="BT21" s="253">
        <v>0</v>
      </c>
      <c r="BU21" s="139" t="str">
        <f t="shared" si="108"/>
        <v>-</v>
      </c>
      <c r="BV21" s="252">
        <v>0</v>
      </c>
      <c r="BW21" s="253">
        <v>0</v>
      </c>
      <c r="BX21" s="139" t="str">
        <f t="shared" si="109"/>
        <v>-</v>
      </c>
      <c r="BY21" s="252">
        <v>0</v>
      </c>
      <c r="BZ21" s="253">
        <v>0</v>
      </c>
      <c r="CA21" s="139" t="str">
        <f t="shared" si="25"/>
        <v>-</v>
      </c>
      <c r="CB21" s="117">
        <f t="shared" si="31"/>
        <v>65</v>
      </c>
      <c r="CC21" s="120">
        <f t="shared" si="52"/>
        <v>9</v>
      </c>
      <c r="CD21" s="147">
        <f t="shared" si="27"/>
        <v>7.2222222222222223</v>
      </c>
    </row>
    <row r="22" spans="1:82" ht="15" thickBot="1" x14ac:dyDescent="0.35">
      <c r="A22" s="294">
        <v>45522</v>
      </c>
      <c r="B22" s="20">
        <v>0</v>
      </c>
      <c r="C22" s="21">
        <v>0</v>
      </c>
      <c r="D22" s="139" t="str">
        <f t="shared" si="0"/>
        <v>-</v>
      </c>
      <c r="E22" s="20">
        <v>0</v>
      </c>
      <c r="F22" s="21">
        <v>0</v>
      </c>
      <c r="G22" s="139" t="str">
        <f t="shared" si="1"/>
        <v>-</v>
      </c>
      <c r="H22" s="20"/>
      <c r="I22" s="21"/>
      <c r="J22" s="139" t="str">
        <f t="shared" si="39"/>
        <v>-</v>
      </c>
      <c r="K22" s="20">
        <v>0</v>
      </c>
      <c r="L22" s="21">
        <v>0</v>
      </c>
      <c r="M22" s="139" t="str">
        <f t="shared" si="3"/>
        <v>-</v>
      </c>
      <c r="N22" s="125">
        <v>0</v>
      </c>
      <c r="O22" s="126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0</v>
      </c>
      <c r="U22" s="21">
        <v>0</v>
      </c>
      <c r="V22" s="139" t="str">
        <f t="shared" si="6"/>
        <v>-</v>
      </c>
      <c r="W22" s="20">
        <v>0</v>
      </c>
      <c r="X22" s="21">
        <v>0</v>
      </c>
      <c r="Y22" s="139" t="str">
        <f t="shared" si="7"/>
        <v>-</v>
      </c>
      <c r="Z22" s="20">
        <v>0</v>
      </c>
      <c r="AA22" s="21">
        <v>0</v>
      </c>
      <c r="AB22" s="139" t="str">
        <f t="shared" si="32"/>
        <v>-</v>
      </c>
      <c r="AC22" s="20">
        <v>0</v>
      </c>
      <c r="AD22" s="21">
        <v>0</v>
      </c>
      <c r="AE22" s="139" t="str">
        <f t="shared" si="33"/>
        <v>-</v>
      </c>
      <c r="AF22" s="20">
        <v>0</v>
      </c>
      <c r="AG22" s="21">
        <v>0</v>
      </c>
      <c r="AH22" s="139" t="str">
        <f t="shared" si="10"/>
        <v>-</v>
      </c>
      <c r="AI22" s="23">
        <v>0</v>
      </c>
      <c r="AJ22" s="21">
        <v>0</v>
      </c>
      <c r="AK22" s="139" t="str">
        <f t="shared" si="99"/>
        <v>-</v>
      </c>
      <c r="AL22" s="20">
        <v>0</v>
      </c>
      <c r="AM22" s="21">
        <v>0</v>
      </c>
      <c r="AN22" s="139" t="str">
        <f t="shared" si="100"/>
        <v>-</v>
      </c>
      <c r="AO22" s="20">
        <v>0</v>
      </c>
      <c r="AP22" s="21">
        <v>0</v>
      </c>
      <c r="AQ22" s="139" t="str">
        <f t="shared" si="101"/>
        <v>-</v>
      </c>
      <c r="AR22" s="20">
        <v>0</v>
      </c>
      <c r="AS22" s="21">
        <v>0</v>
      </c>
      <c r="AT22" s="139" t="str">
        <f t="shared" si="102"/>
        <v>-</v>
      </c>
      <c r="AU22" s="20">
        <v>0</v>
      </c>
      <c r="AV22" s="21">
        <v>0</v>
      </c>
      <c r="AW22" s="139" t="str">
        <f t="shared" si="103"/>
        <v>-</v>
      </c>
      <c r="AX22" s="20">
        <v>0</v>
      </c>
      <c r="AY22" s="21">
        <v>0</v>
      </c>
      <c r="AZ22" s="139" t="str">
        <f t="shared" si="104"/>
        <v>-</v>
      </c>
      <c r="BA22" s="252">
        <v>16</v>
      </c>
      <c r="BB22" s="253">
        <v>3</v>
      </c>
      <c r="BC22" s="139">
        <f t="shared" si="17"/>
        <v>5.333333333333333</v>
      </c>
      <c r="BD22" s="252">
        <v>0</v>
      </c>
      <c r="BE22" s="253">
        <v>0</v>
      </c>
      <c r="BF22" s="139" t="str">
        <f t="shared" si="105"/>
        <v>-</v>
      </c>
      <c r="BG22" s="252">
        <v>0</v>
      </c>
      <c r="BH22" s="253">
        <v>0</v>
      </c>
      <c r="BI22" s="139" t="str">
        <f t="shared" si="106"/>
        <v>-</v>
      </c>
      <c r="BJ22" s="20">
        <v>6</v>
      </c>
      <c r="BK22" s="21">
        <v>1</v>
      </c>
      <c r="BL22" s="139">
        <f t="shared" si="20"/>
        <v>6</v>
      </c>
      <c r="BM22" s="20">
        <v>0</v>
      </c>
      <c r="BN22" s="21">
        <v>0</v>
      </c>
      <c r="BO22" s="139" t="str">
        <f t="shared" si="21"/>
        <v>-</v>
      </c>
      <c r="BP22" s="252">
        <v>0</v>
      </c>
      <c r="BQ22" s="253">
        <v>0</v>
      </c>
      <c r="BR22" s="139" t="str">
        <f t="shared" si="22"/>
        <v>-</v>
      </c>
      <c r="BS22" s="252">
        <v>0</v>
      </c>
      <c r="BT22" s="253">
        <v>0</v>
      </c>
      <c r="BU22" s="139" t="str">
        <f t="shared" si="108"/>
        <v>-</v>
      </c>
      <c r="BV22" s="252">
        <v>0</v>
      </c>
      <c r="BW22" s="253">
        <v>0</v>
      </c>
      <c r="BX22" s="139" t="str">
        <f t="shared" si="109"/>
        <v>-</v>
      </c>
      <c r="BY22" s="252">
        <v>0</v>
      </c>
      <c r="BZ22" s="253">
        <v>0</v>
      </c>
      <c r="CA22" s="139" t="str">
        <f t="shared" si="25"/>
        <v>-</v>
      </c>
      <c r="CB22" s="117">
        <f t="shared" si="31"/>
        <v>22</v>
      </c>
      <c r="CC22" s="120">
        <f t="shared" si="52"/>
        <v>4</v>
      </c>
      <c r="CD22" s="147">
        <f t="shared" si="27"/>
        <v>5.5</v>
      </c>
    </row>
    <row r="23" spans="1:82" ht="15" thickBot="1" x14ac:dyDescent="0.35">
      <c r="A23" s="294">
        <v>45523</v>
      </c>
      <c r="B23" s="20">
        <v>24</v>
      </c>
      <c r="C23" s="21">
        <v>3</v>
      </c>
      <c r="D23" s="139">
        <f t="shared" si="0"/>
        <v>8</v>
      </c>
      <c r="E23" s="20">
        <v>0</v>
      </c>
      <c r="F23" s="21">
        <v>0</v>
      </c>
      <c r="G23" s="139" t="str">
        <f t="shared" si="1"/>
        <v>-</v>
      </c>
      <c r="H23" s="20"/>
      <c r="I23" s="21"/>
      <c r="J23" s="139" t="str">
        <f t="shared" si="39"/>
        <v>-</v>
      </c>
      <c r="K23" s="20">
        <v>17</v>
      </c>
      <c r="L23" s="21">
        <v>2</v>
      </c>
      <c r="M23" s="139">
        <f t="shared" si="3"/>
        <v>8.5</v>
      </c>
      <c r="N23" s="125">
        <v>0</v>
      </c>
      <c r="O23" s="126">
        <v>0</v>
      </c>
      <c r="P23" s="139" t="str">
        <f t="shared" si="4"/>
        <v>-</v>
      </c>
      <c r="Q23" s="20">
        <v>104</v>
      </c>
      <c r="R23" s="21">
        <v>18</v>
      </c>
      <c r="S23" s="139">
        <f t="shared" si="5"/>
        <v>5.7777777777777777</v>
      </c>
      <c r="T23" s="20">
        <v>0</v>
      </c>
      <c r="U23" s="21">
        <v>0</v>
      </c>
      <c r="V23" s="139" t="str">
        <f t="shared" ref="V23:V24" si="110">IF(U23=0,"-",T23/U23)</f>
        <v>-</v>
      </c>
      <c r="W23" s="20">
        <v>2</v>
      </c>
      <c r="X23" s="21">
        <v>1</v>
      </c>
      <c r="Y23" s="278">
        <f t="shared" si="7"/>
        <v>2</v>
      </c>
      <c r="Z23" s="20">
        <v>0</v>
      </c>
      <c r="AA23" s="21">
        <v>0</v>
      </c>
      <c r="AB23" s="139" t="str">
        <f t="shared" ref="AB23:AB24" si="111">IF(AA23=0,"-",Z23/AA23)</f>
        <v>-</v>
      </c>
      <c r="AC23" s="20">
        <v>6</v>
      </c>
      <c r="AD23" s="21">
        <v>1</v>
      </c>
      <c r="AE23" s="278">
        <f t="shared" si="33"/>
        <v>6</v>
      </c>
      <c r="AF23" s="20">
        <v>0</v>
      </c>
      <c r="AG23" s="21">
        <v>0</v>
      </c>
      <c r="AH23" s="139" t="str">
        <f t="shared" ref="AH23:AH32" si="112">IF(AG23=0,"-",AF23/AG23)</f>
        <v>-</v>
      </c>
      <c r="AI23" s="23">
        <v>3</v>
      </c>
      <c r="AJ23" s="21">
        <v>1</v>
      </c>
      <c r="AK23" s="139">
        <f t="shared" si="11"/>
        <v>3</v>
      </c>
      <c r="AL23" s="20">
        <v>0</v>
      </c>
      <c r="AM23" s="21">
        <v>0</v>
      </c>
      <c r="AN23" s="139" t="str">
        <f t="shared" ref="AN23" si="113">IF(AM23=0,"-",AL23/AM23)</f>
        <v>-</v>
      </c>
      <c r="AO23" s="20">
        <v>0</v>
      </c>
      <c r="AP23" s="21">
        <v>0</v>
      </c>
      <c r="AQ23" s="139" t="str">
        <f t="shared" ref="AQ23" si="114">IF(AP23=0,"-",AO23/AP23)</f>
        <v>-</v>
      </c>
      <c r="AR23" s="20">
        <v>0</v>
      </c>
      <c r="AS23" s="21">
        <v>0</v>
      </c>
      <c r="AT23" s="139" t="str">
        <f t="shared" ref="AT23" si="115">IF(AS23=0,"-",AR23/AS23)</f>
        <v>-</v>
      </c>
      <c r="AU23" s="20">
        <v>0</v>
      </c>
      <c r="AV23" s="21">
        <v>0</v>
      </c>
      <c r="AW23" s="139" t="str">
        <f t="shared" ref="AW23" si="116">IF(AV23=0,"-",AU23/AV23)</f>
        <v>-</v>
      </c>
      <c r="AX23" s="20">
        <v>5</v>
      </c>
      <c r="AY23" s="21">
        <v>1</v>
      </c>
      <c r="AZ23" s="139">
        <f t="shared" si="16"/>
        <v>5</v>
      </c>
      <c r="BA23" s="252">
        <v>27</v>
      </c>
      <c r="BB23" s="253">
        <v>4</v>
      </c>
      <c r="BC23" s="139">
        <f t="shared" si="17"/>
        <v>6.75</v>
      </c>
      <c r="BD23" s="252">
        <v>0</v>
      </c>
      <c r="BE23" s="253">
        <v>0</v>
      </c>
      <c r="BF23" s="139" t="str">
        <f t="shared" ref="BF23:BF24" si="117">IF(BE23=0,"-",BD23/BE23)</f>
        <v>-</v>
      </c>
      <c r="BG23" s="252">
        <v>0</v>
      </c>
      <c r="BH23" s="253">
        <v>0</v>
      </c>
      <c r="BI23" s="139" t="str">
        <f t="shared" ref="BI23" si="118">IF(BH23=0,"-",BG23/BH23)</f>
        <v>-</v>
      </c>
      <c r="BJ23" s="257">
        <v>0</v>
      </c>
      <c r="BK23" s="253">
        <v>0</v>
      </c>
      <c r="BL23" s="139" t="str">
        <f t="shared" si="20"/>
        <v>-</v>
      </c>
      <c r="BM23" s="20">
        <v>0</v>
      </c>
      <c r="BN23" s="21">
        <v>0</v>
      </c>
      <c r="BO23" s="139" t="str">
        <f t="shared" si="21"/>
        <v>-</v>
      </c>
      <c r="BP23" s="252">
        <v>0</v>
      </c>
      <c r="BQ23" s="253">
        <v>0</v>
      </c>
      <c r="BR23" s="139" t="str">
        <f t="shared" ref="BR23:BR24" si="119">IF(BQ23=0,"-",BP23/BQ23)</f>
        <v>-</v>
      </c>
      <c r="BS23" s="252">
        <v>0</v>
      </c>
      <c r="BT23" s="253">
        <v>0</v>
      </c>
      <c r="BU23" s="139" t="str">
        <f t="shared" ref="BU23:BU24" si="120">IF(BT23=0,"-",BS23/BT23)</f>
        <v>-</v>
      </c>
      <c r="BV23" s="252">
        <v>0</v>
      </c>
      <c r="BW23" s="253">
        <v>0</v>
      </c>
      <c r="BX23" s="139" t="str">
        <f t="shared" ref="BX23:BX24" si="121">IF(BW23=0,"-",BV23/BW23)</f>
        <v>-</v>
      </c>
      <c r="BY23" s="252">
        <v>0</v>
      </c>
      <c r="BZ23" s="253">
        <v>0</v>
      </c>
      <c r="CA23" s="139" t="str">
        <f t="shared" ref="CA23:CA24" si="122">IF(BZ23=0,"-",BY23/BZ23)</f>
        <v>-</v>
      </c>
      <c r="CB23" s="117">
        <f t="shared" si="31"/>
        <v>188</v>
      </c>
      <c r="CC23" s="120">
        <f t="shared" si="52"/>
        <v>28</v>
      </c>
      <c r="CD23" s="147">
        <f t="shared" si="27"/>
        <v>6.7142857142857144</v>
      </c>
    </row>
    <row r="24" spans="1:82" ht="15" thickBot="1" x14ac:dyDescent="0.35">
      <c r="A24" s="294">
        <v>45524</v>
      </c>
      <c r="B24" s="20">
        <v>34</v>
      </c>
      <c r="C24" s="21">
        <v>4</v>
      </c>
      <c r="D24" s="139">
        <f t="shared" si="0"/>
        <v>8.5</v>
      </c>
      <c r="E24" s="20">
        <v>0</v>
      </c>
      <c r="F24" s="21">
        <v>0</v>
      </c>
      <c r="G24" s="139" t="str">
        <f t="shared" si="1"/>
        <v>-</v>
      </c>
      <c r="H24" s="20"/>
      <c r="I24" s="21"/>
      <c r="J24" s="139" t="str">
        <f t="shared" si="39"/>
        <v>-</v>
      </c>
      <c r="K24" s="20">
        <v>16</v>
      </c>
      <c r="L24" s="21">
        <v>2</v>
      </c>
      <c r="M24" s="139">
        <f t="shared" si="3"/>
        <v>8</v>
      </c>
      <c r="N24" s="125">
        <v>0</v>
      </c>
      <c r="O24" s="126">
        <v>0</v>
      </c>
      <c r="P24" s="139" t="str">
        <f t="shared" si="4"/>
        <v>-</v>
      </c>
      <c r="Q24" s="20">
        <v>31</v>
      </c>
      <c r="R24" s="21">
        <v>6</v>
      </c>
      <c r="S24" s="139">
        <f t="shared" si="5"/>
        <v>5.166666666666667</v>
      </c>
      <c r="T24" s="20">
        <v>0</v>
      </c>
      <c r="U24" s="21">
        <v>0</v>
      </c>
      <c r="V24" s="139" t="str">
        <f t="shared" si="110"/>
        <v>-</v>
      </c>
      <c r="W24" s="20">
        <v>0</v>
      </c>
      <c r="X24" s="21">
        <v>0</v>
      </c>
      <c r="Y24" s="278" t="str">
        <f>IF(X24=0,"-",W24/X24)</f>
        <v>-</v>
      </c>
      <c r="Z24" s="20">
        <v>0</v>
      </c>
      <c r="AA24" s="21">
        <v>0</v>
      </c>
      <c r="AB24" s="139" t="str">
        <f t="shared" si="111"/>
        <v>-</v>
      </c>
      <c r="AC24" s="20">
        <v>0</v>
      </c>
      <c r="AD24" s="21">
        <v>0</v>
      </c>
      <c r="AE24" s="278" t="str">
        <f t="shared" si="33"/>
        <v>-</v>
      </c>
      <c r="AF24" s="20">
        <v>0</v>
      </c>
      <c r="AG24" s="21">
        <v>0</v>
      </c>
      <c r="AH24" s="139" t="str">
        <f t="shared" si="112"/>
        <v>-</v>
      </c>
      <c r="AI24" s="23">
        <v>1</v>
      </c>
      <c r="AJ24" s="21">
        <v>1</v>
      </c>
      <c r="AK24" s="139">
        <f t="shared" si="11"/>
        <v>1</v>
      </c>
      <c r="AL24" s="20">
        <v>0</v>
      </c>
      <c r="AM24" s="21">
        <v>0</v>
      </c>
      <c r="AN24" s="139" t="str">
        <f t="shared" ref="AN24" si="123">IF(AM24=0,"-",AL24/AM24)</f>
        <v>-</v>
      </c>
      <c r="AO24" s="20">
        <v>20</v>
      </c>
      <c r="AP24" s="21">
        <v>4</v>
      </c>
      <c r="AQ24" s="139">
        <f t="shared" si="13"/>
        <v>5</v>
      </c>
      <c r="AR24" s="20">
        <v>0</v>
      </c>
      <c r="AS24" s="21">
        <v>0</v>
      </c>
      <c r="AT24" s="139" t="str">
        <f t="shared" ref="AT24:AT25" si="124">IF(AS24=0,"-",AR24/AS24)</f>
        <v>-</v>
      </c>
      <c r="AU24" s="20">
        <v>0</v>
      </c>
      <c r="AV24" s="21">
        <v>0</v>
      </c>
      <c r="AW24" s="139" t="str">
        <f t="shared" ref="AW24:AW25" si="125">IF(AV24=0,"-",AU24/AV24)</f>
        <v>-</v>
      </c>
      <c r="AX24" s="20">
        <v>0</v>
      </c>
      <c r="AY24" s="21">
        <v>0</v>
      </c>
      <c r="AZ24" s="139" t="str">
        <f t="shared" si="16"/>
        <v>-</v>
      </c>
      <c r="BA24" s="252">
        <v>7</v>
      </c>
      <c r="BB24" s="253">
        <v>1</v>
      </c>
      <c r="BC24" s="139">
        <f t="shared" si="17"/>
        <v>7</v>
      </c>
      <c r="BD24" s="252">
        <v>0</v>
      </c>
      <c r="BE24" s="253">
        <v>0</v>
      </c>
      <c r="BF24" s="139" t="str">
        <f t="shared" si="117"/>
        <v>-</v>
      </c>
      <c r="BG24" s="20">
        <v>7</v>
      </c>
      <c r="BH24" s="21">
        <v>1</v>
      </c>
      <c r="BI24" s="139">
        <f t="shared" si="19"/>
        <v>7</v>
      </c>
      <c r="BJ24" s="257">
        <v>0</v>
      </c>
      <c r="BK24" s="253">
        <v>0</v>
      </c>
      <c r="BL24" s="139" t="str">
        <f t="shared" ref="BL24" si="126">IF(BK24=0,"-",BJ24/BK24)</f>
        <v>-</v>
      </c>
      <c r="BM24" s="20">
        <v>0</v>
      </c>
      <c r="BN24" s="21">
        <v>0</v>
      </c>
      <c r="BO24" s="139" t="str">
        <f t="shared" si="21"/>
        <v>-</v>
      </c>
      <c r="BP24" s="252">
        <v>0</v>
      </c>
      <c r="BQ24" s="253">
        <v>0</v>
      </c>
      <c r="BR24" s="139" t="str">
        <f t="shared" si="119"/>
        <v>-</v>
      </c>
      <c r="BS24" s="252">
        <v>0</v>
      </c>
      <c r="BT24" s="253">
        <v>0</v>
      </c>
      <c r="BU24" s="139" t="str">
        <f t="shared" si="120"/>
        <v>-</v>
      </c>
      <c r="BV24" s="252">
        <v>0</v>
      </c>
      <c r="BW24" s="253">
        <v>0</v>
      </c>
      <c r="BX24" s="139" t="str">
        <f t="shared" si="121"/>
        <v>-</v>
      </c>
      <c r="BY24" s="252">
        <v>0</v>
      </c>
      <c r="BZ24" s="253">
        <v>0</v>
      </c>
      <c r="CA24" s="139" t="str">
        <f t="shared" si="122"/>
        <v>-</v>
      </c>
      <c r="CB24" s="117">
        <f t="shared" si="31"/>
        <v>116</v>
      </c>
      <c r="CC24" s="120">
        <f t="shared" si="52"/>
        <v>19</v>
      </c>
      <c r="CD24" s="147">
        <f t="shared" si="27"/>
        <v>6.1052631578947372</v>
      </c>
    </row>
    <row r="25" spans="1:82" ht="15" thickBot="1" x14ac:dyDescent="0.35">
      <c r="A25" s="294">
        <v>45525</v>
      </c>
      <c r="B25" s="20">
        <v>34</v>
      </c>
      <c r="C25" s="21">
        <v>5</v>
      </c>
      <c r="D25" s="139">
        <f t="shared" si="0"/>
        <v>6.8</v>
      </c>
      <c r="E25" s="20">
        <v>8</v>
      </c>
      <c r="F25" s="21">
        <v>1</v>
      </c>
      <c r="G25" s="139">
        <f t="shared" si="1"/>
        <v>8</v>
      </c>
      <c r="H25" s="20"/>
      <c r="I25" s="21"/>
      <c r="J25" s="139" t="str">
        <f t="shared" si="39"/>
        <v>-</v>
      </c>
      <c r="K25" s="20">
        <v>6</v>
      </c>
      <c r="L25" s="21">
        <v>1</v>
      </c>
      <c r="M25" s="139">
        <f t="shared" si="3"/>
        <v>6</v>
      </c>
      <c r="N25" s="125">
        <v>0</v>
      </c>
      <c r="O25" s="126">
        <v>0</v>
      </c>
      <c r="P25" s="139" t="str">
        <f t="shared" si="4"/>
        <v>-</v>
      </c>
      <c r="Q25" s="20">
        <v>29</v>
      </c>
      <c r="R25" s="21">
        <v>5</v>
      </c>
      <c r="S25" s="139">
        <f t="shared" si="5"/>
        <v>5.8</v>
      </c>
      <c r="T25" s="20">
        <v>96</v>
      </c>
      <c r="U25" s="21">
        <v>21</v>
      </c>
      <c r="V25" s="139">
        <f t="shared" si="6"/>
        <v>4.5714285714285712</v>
      </c>
      <c r="W25" s="20">
        <v>20</v>
      </c>
      <c r="X25" s="21">
        <v>4</v>
      </c>
      <c r="Y25" s="278">
        <f t="shared" si="7"/>
        <v>5</v>
      </c>
      <c r="Z25" s="20">
        <v>0</v>
      </c>
      <c r="AA25" s="21">
        <v>0</v>
      </c>
      <c r="AB25" s="278" t="str">
        <f t="shared" si="32"/>
        <v>-</v>
      </c>
      <c r="AC25" s="20">
        <v>2</v>
      </c>
      <c r="AD25" s="21">
        <v>1</v>
      </c>
      <c r="AE25" s="278">
        <f t="shared" si="33"/>
        <v>2</v>
      </c>
      <c r="AF25" s="20">
        <v>0</v>
      </c>
      <c r="AG25" s="21">
        <v>0</v>
      </c>
      <c r="AH25" s="139" t="str">
        <f t="shared" si="112"/>
        <v>-</v>
      </c>
      <c r="AI25" s="23">
        <v>2</v>
      </c>
      <c r="AJ25" s="21">
        <v>1</v>
      </c>
      <c r="AK25" s="139">
        <f t="shared" si="11"/>
        <v>2</v>
      </c>
      <c r="AL25" s="20">
        <v>0</v>
      </c>
      <c r="AM25" s="21">
        <v>0</v>
      </c>
      <c r="AN25" s="139" t="str">
        <f t="shared" ref="AN25" si="127">IF(AM25=0,"-",AL25/AM25)</f>
        <v>-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si="124"/>
        <v>-</v>
      </c>
      <c r="AU25" s="20">
        <v>0</v>
      </c>
      <c r="AV25" s="21">
        <v>0</v>
      </c>
      <c r="AW25" s="139" t="str">
        <f t="shared" si="125"/>
        <v>-</v>
      </c>
      <c r="AX25" s="20">
        <v>21</v>
      </c>
      <c r="AY25" s="21">
        <v>4</v>
      </c>
      <c r="AZ25" s="139">
        <f t="shared" si="16"/>
        <v>5.25</v>
      </c>
      <c r="BA25" s="252">
        <v>15</v>
      </c>
      <c r="BB25" s="253">
        <v>2</v>
      </c>
      <c r="BC25" s="139">
        <f t="shared" si="17"/>
        <v>7.5</v>
      </c>
      <c r="BD25" s="20">
        <v>8</v>
      </c>
      <c r="BE25" s="21">
        <v>1</v>
      </c>
      <c r="BF25" s="139">
        <f t="shared" si="18"/>
        <v>8</v>
      </c>
      <c r="BG25" s="20">
        <v>14</v>
      </c>
      <c r="BH25" s="21">
        <v>2</v>
      </c>
      <c r="BI25" s="139">
        <f t="shared" si="19"/>
        <v>7</v>
      </c>
      <c r="BJ25" s="256">
        <v>6</v>
      </c>
      <c r="BK25" s="253">
        <v>1</v>
      </c>
      <c r="BL25" s="139">
        <f t="shared" si="20"/>
        <v>6</v>
      </c>
      <c r="BM25" s="20">
        <v>0</v>
      </c>
      <c r="BN25" s="21">
        <v>0</v>
      </c>
      <c r="BO25" s="139" t="str">
        <f t="shared" si="21"/>
        <v>-</v>
      </c>
      <c r="BP25" s="20">
        <v>5</v>
      </c>
      <c r="BQ25" s="21">
        <v>1</v>
      </c>
      <c r="BR25" s="139">
        <f t="shared" si="22"/>
        <v>5</v>
      </c>
      <c r="BS25" s="252">
        <v>0</v>
      </c>
      <c r="BT25" s="253">
        <v>0</v>
      </c>
      <c r="BU25" s="139" t="str">
        <f t="shared" ref="BU25" si="128">IF(BT25=0,"-",BS25/BT25)</f>
        <v>-</v>
      </c>
      <c r="BV25" s="252">
        <v>0</v>
      </c>
      <c r="BW25" s="253">
        <v>0</v>
      </c>
      <c r="BX25" s="139" t="str">
        <f t="shared" ref="BX25" si="129">IF(BW25=0,"-",BV25/BW25)</f>
        <v>-</v>
      </c>
      <c r="BY25" s="20">
        <v>2</v>
      </c>
      <c r="BZ25" s="21">
        <v>1</v>
      </c>
      <c r="CA25" s="139">
        <f t="shared" si="25"/>
        <v>2</v>
      </c>
      <c r="CB25" s="117">
        <f t="shared" si="31"/>
        <v>268</v>
      </c>
      <c r="CC25" s="120">
        <f t="shared" si="52"/>
        <v>42</v>
      </c>
      <c r="CD25" s="147">
        <f t="shared" si="27"/>
        <v>6.3809523809523814</v>
      </c>
    </row>
    <row r="26" spans="1:82" ht="15" thickBot="1" x14ac:dyDescent="0.35">
      <c r="A26" s="294">
        <v>45526</v>
      </c>
      <c r="B26" s="20">
        <v>24</v>
      </c>
      <c r="C26" s="21">
        <v>4</v>
      </c>
      <c r="D26" s="139">
        <f t="shared" si="0"/>
        <v>6</v>
      </c>
      <c r="E26" s="20">
        <v>0</v>
      </c>
      <c r="F26" s="21">
        <v>0</v>
      </c>
      <c r="G26" s="139" t="str">
        <f t="shared" si="1"/>
        <v>-</v>
      </c>
      <c r="H26" s="20"/>
      <c r="I26" s="21"/>
      <c r="J26" s="139" t="str">
        <f t="shared" si="39"/>
        <v>-</v>
      </c>
      <c r="K26" s="20">
        <v>15</v>
      </c>
      <c r="L26" s="21">
        <v>2</v>
      </c>
      <c r="M26" s="139">
        <f t="shared" si="3"/>
        <v>7.5</v>
      </c>
      <c r="N26" s="125">
        <v>0</v>
      </c>
      <c r="O26" s="126">
        <v>0</v>
      </c>
      <c r="P26" s="139" t="str">
        <f t="shared" si="4"/>
        <v>-</v>
      </c>
      <c r="Q26" s="20">
        <v>40</v>
      </c>
      <c r="R26" s="21">
        <v>8</v>
      </c>
      <c r="S26" s="139">
        <f t="shared" si="5"/>
        <v>5</v>
      </c>
      <c r="T26" s="20">
        <v>0</v>
      </c>
      <c r="U26" s="21">
        <v>0</v>
      </c>
      <c r="V26" s="139">
        <v>0</v>
      </c>
      <c r="W26" s="20">
        <v>0</v>
      </c>
      <c r="X26" s="21">
        <v>0</v>
      </c>
      <c r="Y26" s="278" t="str">
        <f t="shared" si="7"/>
        <v>-</v>
      </c>
      <c r="Z26" s="20">
        <v>0</v>
      </c>
      <c r="AA26" s="21">
        <v>0</v>
      </c>
      <c r="AB26" s="278" t="str">
        <f t="shared" si="32"/>
        <v>-</v>
      </c>
      <c r="AC26" s="20">
        <v>6</v>
      </c>
      <c r="AD26" s="21">
        <v>1</v>
      </c>
      <c r="AE26" s="278">
        <f t="shared" si="33"/>
        <v>6</v>
      </c>
      <c r="AF26" s="20">
        <v>0</v>
      </c>
      <c r="AG26" s="21">
        <v>0</v>
      </c>
      <c r="AH26" s="139" t="str">
        <f t="shared" si="112"/>
        <v>-</v>
      </c>
      <c r="AI26" s="23">
        <v>4</v>
      </c>
      <c r="AJ26" s="21">
        <v>1</v>
      </c>
      <c r="AK26" s="139" t="s">
        <v>32</v>
      </c>
      <c r="AL26" s="20">
        <v>0</v>
      </c>
      <c r="AM26" s="21">
        <v>0</v>
      </c>
      <c r="AN26" s="139" t="str">
        <f t="shared" ref="AN26" si="130">IF(AM26=0,"-",AL26/AM26)</f>
        <v>-</v>
      </c>
      <c r="AO26" s="20">
        <v>0</v>
      </c>
      <c r="AP26" s="21">
        <v>0</v>
      </c>
      <c r="AQ26" s="139" t="str">
        <f t="shared" ref="AQ26" si="131">IF(AP26=0,"-",AO26/AP26)</f>
        <v>-</v>
      </c>
      <c r="AR26" s="20">
        <v>0</v>
      </c>
      <c r="AS26" s="21">
        <v>0</v>
      </c>
      <c r="AT26" s="139" t="str">
        <f t="shared" ref="AT26" si="132">IF(AS26=0,"-",AR26/AS26)</f>
        <v>-</v>
      </c>
      <c r="AU26" s="20">
        <v>0</v>
      </c>
      <c r="AV26" s="21">
        <v>0</v>
      </c>
      <c r="AW26" s="139" t="str">
        <f t="shared" ref="AW26" si="133">IF(AV26=0,"-",AU26/AV26)</f>
        <v>-</v>
      </c>
      <c r="AX26" s="20">
        <v>27</v>
      </c>
      <c r="AY26" s="21">
        <v>5</v>
      </c>
      <c r="AZ26" s="139" t="s">
        <v>32</v>
      </c>
      <c r="BA26" s="252">
        <v>0</v>
      </c>
      <c r="BB26" s="253">
        <v>0</v>
      </c>
      <c r="BC26" s="139" t="str">
        <f t="shared" si="17"/>
        <v>-</v>
      </c>
      <c r="BD26" s="20">
        <v>15</v>
      </c>
      <c r="BE26" s="21">
        <v>2</v>
      </c>
      <c r="BF26" s="139">
        <f t="shared" si="18"/>
        <v>7.5</v>
      </c>
      <c r="BG26" s="20">
        <v>36</v>
      </c>
      <c r="BH26" s="21">
        <v>5</v>
      </c>
      <c r="BI26" s="139">
        <f t="shared" si="19"/>
        <v>7.2</v>
      </c>
      <c r="BJ26" s="256">
        <v>0</v>
      </c>
      <c r="BK26" s="253">
        <v>0</v>
      </c>
      <c r="BL26" s="139" t="str">
        <f t="shared" si="20"/>
        <v>-</v>
      </c>
      <c r="BM26" s="20"/>
      <c r="BN26" s="21"/>
      <c r="BO26" s="139" t="str">
        <f t="shared" si="21"/>
        <v>-</v>
      </c>
      <c r="BP26" s="20">
        <v>7</v>
      </c>
      <c r="BQ26" s="21">
        <v>1</v>
      </c>
      <c r="BR26" s="139">
        <f t="shared" si="22"/>
        <v>7</v>
      </c>
      <c r="BS26" s="252">
        <v>0</v>
      </c>
      <c r="BT26" s="253">
        <v>0</v>
      </c>
      <c r="BU26" s="139" t="str">
        <f t="shared" ref="BU26" si="134">IF(BT26=0,"-",BS26/BT26)</f>
        <v>-</v>
      </c>
      <c r="BV26" s="252">
        <v>0</v>
      </c>
      <c r="BW26" s="253">
        <v>0</v>
      </c>
      <c r="BX26" s="139" t="str">
        <f t="shared" ref="BX26" si="135">IF(BW26=0,"-",BV26/BW26)</f>
        <v>-</v>
      </c>
      <c r="BY26" s="252">
        <v>0</v>
      </c>
      <c r="BZ26" s="253">
        <v>0</v>
      </c>
      <c r="CA26" s="139" t="str">
        <f t="shared" si="25"/>
        <v>-</v>
      </c>
      <c r="CB26" s="117">
        <f t="shared" si="31"/>
        <v>174</v>
      </c>
      <c r="CC26" s="120">
        <f t="shared" si="52"/>
        <v>23</v>
      </c>
      <c r="CD26" s="147">
        <f t="shared" si="27"/>
        <v>7.5652173913043477</v>
      </c>
    </row>
    <row r="27" spans="1:82" ht="15" thickBot="1" x14ac:dyDescent="0.35">
      <c r="A27" s="294">
        <v>45527</v>
      </c>
      <c r="B27" s="20">
        <v>19</v>
      </c>
      <c r="C27" s="21">
        <v>2</v>
      </c>
      <c r="D27" s="139">
        <f t="shared" si="0"/>
        <v>9.5</v>
      </c>
      <c r="E27" s="20">
        <v>0</v>
      </c>
      <c r="F27" s="21">
        <v>0</v>
      </c>
      <c r="G27" s="139" t="str">
        <f t="shared" si="1"/>
        <v>-</v>
      </c>
      <c r="H27" s="20"/>
      <c r="I27" s="21"/>
      <c r="J27" s="139" t="str">
        <f t="shared" si="39"/>
        <v>-</v>
      </c>
      <c r="K27" s="20">
        <v>6</v>
      </c>
      <c r="L27" s="21">
        <v>1</v>
      </c>
      <c r="M27" s="139">
        <f t="shared" si="3"/>
        <v>6</v>
      </c>
      <c r="N27" s="125">
        <v>0</v>
      </c>
      <c r="O27" s="126">
        <v>0</v>
      </c>
      <c r="P27" s="139" t="str">
        <f t="shared" si="4"/>
        <v>-</v>
      </c>
      <c r="Q27" s="20">
        <v>26</v>
      </c>
      <c r="R27" s="21">
        <v>5</v>
      </c>
      <c r="S27" s="139">
        <f t="shared" si="5"/>
        <v>5.2</v>
      </c>
      <c r="T27" s="20">
        <v>0</v>
      </c>
      <c r="U27" s="21">
        <v>0</v>
      </c>
      <c r="V27" s="139" t="str">
        <f t="shared" si="6"/>
        <v>-</v>
      </c>
      <c r="W27" s="20">
        <v>6</v>
      </c>
      <c r="X27" s="21">
        <v>1</v>
      </c>
      <c r="Y27" s="278">
        <v>0</v>
      </c>
      <c r="Z27" s="20">
        <v>0</v>
      </c>
      <c r="AA27" s="21">
        <v>0</v>
      </c>
      <c r="AB27" s="278" t="str">
        <f t="shared" si="32"/>
        <v>-</v>
      </c>
      <c r="AC27" s="20">
        <v>0</v>
      </c>
      <c r="AD27" s="21">
        <v>0</v>
      </c>
      <c r="AE27" s="278" t="str">
        <f t="shared" si="33"/>
        <v>-</v>
      </c>
      <c r="AF27" s="20">
        <v>0</v>
      </c>
      <c r="AG27" s="21">
        <v>0</v>
      </c>
      <c r="AH27" s="139" t="str">
        <f t="shared" si="112"/>
        <v>-</v>
      </c>
      <c r="AI27" s="23">
        <v>0</v>
      </c>
      <c r="AJ27" s="21">
        <v>0</v>
      </c>
      <c r="AK27" s="139" t="s">
        <v>32</v>
      </c>
      <c r="AL27" s="23">
        <v>0</v>
      </c>
      <c r="AM27" s="21">
        <v>0</v>
      </c>
      <c r="AN27" s="139" t="s">
        <v>32</v>
      </c>
      <c r="AO27" s="23">
        <v>0</v>
      </c>
      <c r="AP27" s="21">
        <v>0</v>
      </c>
      <c r="AQ27" s="139" t="s">
        <v>32</v>
      </c>
      <c r="AR27" s="23">
        <v>0</v>
      </c>
      <c r="AS27" s="21">
        <v>0</v>
      </c>
      <c r="AT27" s="139" t="s">
        <v>32</v>
      </c>
      <c r="AU27" s="23">
        <v>0</v>
      </c>
      <c r="AV27" s="21">
        <v>0</v>
      </c>
      <c r="AW27" s="139" t="s">
        <v>32</v>
      </c>
      <c r="AX27" s="20">
        <v>10</v>
      </c>
      <c r="AY27" s="21">
        <v>2</v>
      </c>
      <c r="AZ27" s="139" t="s">
        <v>32</v>
      </c>
      <c r="BA27" s="252">
        <v>6</v>
      </c>
      <c r="BB27" s="253">
        <v>1</v>
      </c>
      <c r="BC27" s="139">
        <f t="shared" si="17"/>
        <v>6</v>
      </c>
      <c r="BD27" s="20">
        <v>0</v>
      </c>
      <c r="BE27" s="21">
        <v>0</v>
      </c>
      <c r="BF27" s="139" t="str">
        <f t="shared" si="18"/>
        <v>-</v>
      </c>
      <c r="BG27" s="20">
        <v>28</v>
      </c>
      <c r="BH27" s="21">
        <v>4</v>
      </c>
      <c r="BI27" s="139">
        <f t="shared" si="19"/>
        <v>7</v>
      </c>
      <c r="BJ27" s="257">
        <v>0</v>
      </c>
      <c r="BK27" s="253">
        <v>0</v>
      </c>
      <c r="BL27" s="139" t="s">
        <v>32</v>
      </c>
      <c r="BM27" s="20"/>
      <c r="BN27" s="21"/>
      <c r="BO27" s="139" t="str">
        <f t="shared" si="21"/>
        <v>-</v>
      </c>
      <c r="BP27" s="20">
        <v>34</v>
      </c>
      <c r="BQ27" s="21">
        <v>5</v>
      </c>
      <c r="BR27" s="139">
        <f t="shared" si="22"/>
        <v>6.8</v>
      </c>
      <c r="BS27" s="20">
        <v>0</v>
      </c>
      <c r="BT27" s="21">
        <v>0</v>
      </c>
      <c r="BU27" s="139" t="str">
        <f t="shared" si="23"/>
        <v>-</v>
      </c>
      <c r="BV27" s="20">
        <v>0</v>
      </c>
      <c r="BW27" s="21">
        <v>0</v>
      </c>
      <c r="BX27" s="139" t="str">
        <f t="shared" si="24"/>
        <v>-</v>
      </c>
      <c r="BY27" s="20">
        <v>0</v>
      </c>
      <c r="BZ27" s="21">
        <v>0</v>
      </c>
      <c r="CA27" s="139" t="str">
        <f t="shared" si="25"/>
        <v>-</v>
      </c>
      <c r="CB27" s="117">
        <f t="shared" si="31"/>
        <v>135</v>
      </c>
      <c r="CC27" s="120">
        <f t="shared" si="52"/>
        <v>18</v>
      </c>
      <c r="CD27" s="147">
        <f t="shared" si="27"/>
        <v>7.5</v>
      </c>
    </row>
    <row r="28" spans="1:82" ht="15" thickBot="1" x14ac:dyDescent="0.35">
      <c r="A28" s="294">
        <v>45528</v>
      </c>
      <c r="B28" s="20">
        <v>0</v>
      </c>
      <c r="C28" s="21">
        <v>0</v>
      </c>
      <c r="D28" s="139" t="str">
        <f t="shared" si="0"/>
        <v>-</v>
      </c>
      <c r="E28" s="20">
        <v>0</v>
      </c>
      <c r="F28" s="21">
        <v>0</v>
      </c>
      <c r="G28" s="139" t="str">
        <f t="shared" si="1"/>
        <v>-</v>
      </c>
      <c r="H28" s="20"/>
      <c r="I28" s="21"/>
      <c r="J28" s="139" t="str">
        <f t="shared" si="39"/>
        <v>-</v>
      </c>
      <c r="K28" s="20">
        <v>0</v>
      </c>
      <c r="L28" s="21">
        <v>0</v>
      </c>
      <c r="M28" s="139" t="str">
        <f t="shared" si="3"/>
        <v>-</v>
      </c>
      <c r="N28" s="125">
        <v>0</v>
      </c>
      <c r="O28" s="126">
        <v>0</v>
      </c>
      <c r="P28" s="139" t="str">
        <f t="shared" si="4"/>
        <v>-</v>
      </c>
      <c r="Q28" s="20">
        <v>0</v>
      </c>
      <c r="R28" s="21">
        <v>0</v>
      </c>
      <c r="S28" s="139" t="str">
        <f t="shared" si="5"/>
        <v>-</v>
      </c>
      <c r="T28" s="20">
        <v>0</v>
      </c>
      <c r="U28" s="21">
        <v>0</v>
      </c>
      <c r="V28" s="139" t="str">
        <f t="shared" si="6"/>
        <v>-</v>
      </c>
      <c r="W28" s="20">
        <v>6</v>
      </c>
      <c r="X28" s="21">
        <v>1</v>
      </c>
      <c r="Y28" s="278">
        <v>0</v>
      </c>
      <c r="Z28" s="20">
        <v>0</v>
      </c>
      <c r="AA28" s="21">
        <v>0</v>
      </c>
      <c r="AB28" s="278" t="str">
        <f t="shared" si="32"/>
        <v>-</v>
      </c>
      <c r="AC28" s="20">
        <v>0</v>
      </c>
      <c r="AD28" s="21">
        <v>0</v>
      </c>
      <c r="AE28" s="278" t="str">
        <f t="shared" si="33"/>
        <v>-</v>
      </c>
      <c r="AF28" s="20">
        <v>0</v>
      </c>
      <c r="AG28" s="21">
        <v>0</v>
      </c>
      <c r="AH28" s="139" t="str">
        <f t="shared" si="112"/>
        <v>-</v>
      </c>
      <c r="AI28" s="23">
        <v>5</v>
      </c>
      <c r="AJ28" s="21">
        <v>1</v>
      </c>
      <c r="AK28" s="139" t="s">
        <v>32</v>
      </c>
      <c r="AL28" s="23">
        <v>0</v>
      </c>
      <c r="AM28" s="21">
        <v>0</v>
      </c>
      <c r="AN28" s="139" t="s">
        <v>32</v>
      </c>
      <c r="AO28" s="23">
        <v>0</v>
      </c>
      <c r="AP28" s="21">
        <v>0</v>
      </c>
      <c r="AQ28" s="139" t="s">
        <v>32</v>
      </c>
      <c r="AR28" s="23">
        <v>0</v>
      </c>
      <c r="AS28" s="21">
        <v>0</v>
      </c>
      <c r="AT28" s="139" t="s">
        <v>32</v>
      </c>
      <c r="AU28" s="23">
        <v>0</v>
      </c>
      <c r="AV28" s="21">
        <v>0</v>
      </c>
      <c r="AW28" s="139" t="s">
        <v>32</v>
      </c>
      <c r="AX28" s="23">
        <v>0</v>
      </c>
      <c r="AY28" s="21">
        <v>0</v>
      </c>
      <c r="AZ28" s="139" t="s">
        <v>32</v>
      </c>
      <c r="BA28" s="20">
        <v>25</v>
      </c>
      <c r="BB28" s="21">
        <v>4</v>
      </c>
      <c r="BC28" s="139">
        <f t="shared" si="17"/>
        <v>6.25</v>
      </c>
      <c r="BD28" s="20">
        <v>0</v>
      </c>
      <c r="BE28" s="21">
        <v>0</v>
      </c>
      <c r="BF28" s="139" t="str">
        <f t="shared" si="18"/>
        <v>-</v>
      </c>
      <c r="BG28" s="20">
        <v>7</v>
      </c>
      <c r="BH28" s="21">
        <v>1</v>
      </c>
      <c r="BI28" s="139">
        <f t="shared" si="19"/>
        <v>7</v>
      </c>
      <c r="BJ28" s="257">
        <v>0</v>
      </c>
      <c r="BK28" s="253">
        <v>0</v>
      </c>
      <c r="BL28" s="139" t="s">
        <v>32</v>
      </c>
      <c r="BM28" s="20"/>
      <c r="BN28" s="21"/>
      <c r="BO28" s="139" t="s">
        <v>32</v>
      </c>
      <c r="BP28" s="20">
        <v>49</v>
      </c>
      <c r="BQ28" s="21">
        <v>7</v>
      </c>
      <c r="BR28" s="139">
        <f t="shared" si="22"/>
        <v>7</v>
      </c>
      <c r="BS28" s="20">
        <v>0</v>
      </c>
      <c r="BT28" s="21">
        <v>0</v>
      </c>
      <c r="BU28" s="139" t="str">
        <f t="shared" ref="BU28:BU29" si="136">IF(BT28=0,"-",BS28/BT28)</f>
        <v>-</v>
      </c>
      <c r="BV28" s="20">
        <v>0</v>
      </c>
      <c r="BW28" s="21">
        <v>0</v>
      </c>
      <c r="BX28" s="139" t="str">
        <f t="shared" ref="BX28:BX29" si="137">IF(BW28=0,"-",BV28/BW28)</f>
        <v>-</v>
      </c>
      <c r="BY28" s="20">
        <v>0</v>
      </c>
      <c r="BZ28" s="21">
        <v>0</v>
      </c>
      <c r="CA28" s="139" t="str">
        <f t="shared" ref="CA28:CA29" si="138">IF(BZ28=0,"-",BY28/BZ28)</f>
        <v>-</v>
      </c>
      <c r="CB28" s="117">
        <f t="shared" si="31"/>
        <v>92</v>
      </c>
      <c r="CC28" s="120">
        <f t="shared" si="52"/>
        <v>13</v>
      </c>
      <c r="CD28" s="147">
        <f t="shared" si="27"/>
        <v>7.0769230769230766</v>
      </c>
    </row>
    <row r="29" spans="1:82" ht="15" thickBot="1" x14ac:dyDescent="0.35">
      <c r="A29" s="294">
        <v>45529</v>
      </c>
      <c r="B29" s="20">
        <v>16</v>
      </c>
      <c r="C29" s="21">
        <v>2</v>
      </c>
      <c r="D29" s="139">
        <f t="shared" si="0"/>
        <v>8</v>
      </c>
      <c r="E29" s="20">
        <v>0</v>
      </c>
      <c r="F29" s="21">
        <v>0</v>
      </c>
      <c r="G29" s="139" t="str">
        <f t="shared" si="1"/>
        <v>-</v>
      </c>
      <c r="H29" s="20"/>
      <c r="I29" s="21"/>
      <c r="J29" s="139" t="str">
        <f t="shared" si="39"/>
        <v>-</v>
      </c>
      <c r="K29" s="20">
        <v>8</v>
      </c>
      <c r="L29" s="21">
        <v>1</v>
      </c>
      <c r="M29" s="139">
        <f t="shared" si="3"/>
        <v>8</v>
      </c>
      <c r="N29" s="125">
        <v>0</v>
      </c>
      <c r="O29" s="126">
        <v>0</v>
      </c>
      <c r="P29" s="139" t="s">
        <v>32</v>
      </c>
      <c r="Q29" s="23">
        <v>0</v>
      </c>
      <c r="R29" s="21">
        <v>0</v>
      </c>
      <c r="S29" s="139" t="str">
        <f t="shared" si="5"/>
        <v>-</v>
      </c>
      <c r="T29" s="20">
        <v>0</v>
      </c>
      <c r="U29" s="21">
        <v>0</v>
      </c>
      <c r="V29" s="139" t="str">
        <f t="shared" si="6"/>
        <v>-</v>
      </c>
      <c r="W29" s="20">
        <v>0</v>
      </c>
      <c r="X29" s="21">
        <v>0</v>
      </c>
      <c r="Y29" s="278" t="str">
        <f t="shared" si="7"/>
        <v>-</v>
      </c>
      <c r="Z29" s="20">
        <v>0</v>
      </c>
      <c r="AA29" s="21">
        <v>0</v>
      </c>
      <c r="AB29" s="278" t="str">
        <f t="shared" si="32"/>
        <v>-</v>
      </c>
      <c r="AC29" s="20">
        <v>0</v>
      </c>
      <c r="AD29" s="21">
        <v>0</v>
      </c>
      <c r="AE29" s="278" t="str">
        <f t="shared" si="33"/>
        <v>-</v>
      </c>
      <c r="AF29" s="20">
        <v>0</v>
      </c>
      <c r="AG29" s="21">
        <v>0</v>
      </c>
      <c r="AH29" s="139" t="str">
        <f t="shared" si="112"/>
        <v>-</v>
      </c>
      <c r="AI29" s="23">
        <v>0</v>
      </c>
      <c r="AJ29" s="21">
        <v>0</v>
      </c>
      <c r="AK29" s="139" t="s">
        <v>32</v>
      </c>
      <c r="AL29" s="23">
        <v>0</v>
      </c>
      <c r="AM29" s="21">
        <v>0</v>
      </c>
      <c r="AN29" s="139" t="s">
        <v>32</v>
      </c>
      <c r="AO29" s="23">
        <v>0</v>
      </c>
      <c r="AP29" s="21">
        <v>0</v>
      </c>
      <c r="AQ29" s="139" t="s">
        <v>32</v>
      </c>
      <c r="AR29" s="23">
        <v>0</v>
      </c>
      <c r="AS29" s="21">
        <v>0</v>
      </c>
      <c r="AT29" s="139" t="s">
        <v>32</v>
      </c>
      <c r="AU29" s="23">
        <v>0</v>
      </c>
      <c r="AV29" s="21">
        <v>0</v>
      </c>
      <c r="AW29" s="139" t="s">
        <v>32</v>
      </c>
      <c r="AX29" s="23">
        <v>0</v>
      </c>
      <c r="AY29" s="21">
        <v>0</v>
      </c>
      <c r="AZ29" s="139" t="s">
        <v>32</v>
      </c>
      <c r="BA29" s="20">
        <v>12</v>
      </c>
      <c r="BB29" s="21">
        <v>2</v>
      </c>
      <c r="BC29" s="139">
        <f t="shared" si="17"/>
        <v>6</v>
      </c>
      <c r="BD29" s="20">
        <v>0</v>
      </c>
      <c r="BE29" s="21">
        <v>0</v>
      </c>
      <c r="BF29" s="139" t="str">
        <f t="shared" si="18"/>
        <v>-</v>
      </c>
      <c r="BG29" s="20">
        <v>0</v>
      </c>
      <c r="BH29" s="21">
        <v>0</v>
      </c>
      <c r="BI29" s="139" t="str">
        <f t="shared" si="19"/>
        <v>-</v>
      </c>
      <c r="BJ29" s="20">
        <v>14</v>
      </c>
      <c r="BK29" s="21">
        <v>2</v>
      </c>
      <c r="BL29" s="139">
        <f t="shared" si="20"/>
        <v>7</v>
      </c>
      <c r="BM29" s="20"/>
      <c r="BN29" s="21"/>
      <c r="BO29" s="139" t="s">
        <v>32</v>
      </c>
      <c r="BP29" s="20">
        <v>0</v>
      </c>
      <c r="BQ29" s="21">
        <v>0</v>
      </c>
      <c r="BR29" s="139" t="s">
        <v>32</v>
      </c>
      <c r="BS29" s="20">
        <v>0</v>
      </c>
      <c r="BT29" s="21">
        <v>0</v>
      </c>
      <c r="BU29" s="139" t="str">
        <f t="shared" si="136"/>
        <v>-</v>
      </c>
      <c r="BV29" s="20">
        <v>0</v>
      </c>
      <c r="BW29" s="21">
        <v>0</v>
      </c>
      <c r="BX29" s="139" t="str">
        <f t="shared" si="137"/>
        <v>-</v>
      </c>
      <c r="BY29" s="20">
        <v>0</v>
      </c>
      <c r="BZ29" s="21">
        <v>0</v>
      </c>
      <c r="CA29" s="139" t="str">
        <f t="shared" si="138"/>
        <v>-</v>
      </c>
      <c r="CB29" s="117">
        <f t="shared" si="31"/>
        <v>50</v>
      </c>
      <c r="CC29" s="120">
        <f t="shared" si="52"/>
        <v>7</v>
      </c>
      <c r="CD29" s="147">
        <f t="shared" si="27"/>
        <v>7.1428571428571432</v>
      </c>
    </row>
    <row r="30" spans="1:82" ht="15" thickBot="1" x14ac:dyDescent="0.35">
      <c r="A30" s="294">
        <v>45530</v>
      </c>
      <c r="B30" s="20">
        <v>24</v>
      </c>
      <c r="C30" s="21">
        <v>3</v>
      </c>
      <c r="D30" s="139">
        <f t="shared" si="0"/>
        <v>8</v>
      </c>
      <c r="E30" s="20">
        <v>8</v>
      </c>
      <c r="F30" s="21">
        <v>1</v>
      </c>
      <c r="G30" s="139">
        <f t="shared" si="1"/>
        <v>8</v>
      </c>
      <c r="H30" s="20"/>
      <c r="I30" s="21"/>
      <c r="J30" s="139" t="s">
        <v>32</v>
      </c>
      <c r="K30" s="20">
        <v>41</v>
      </c>
      <c r="L30" s="21">
        <v>5</v>
      </c>
      <c r="M30" s="139">
        <f t="shared" si="3"/>
        <v>8.1999999999999993</v>
      </c>
      <c r="N30" s="125">
        <v>0</v>
      </c>
      <c r="O30" s="126">
        <v>0</v>
      </c>
      <c r="P30" s="139" t="s">
        <v>32</v>
      </c>
      <c r="Q30" s="23">
        <v>54</v>
      </c>
      <c r="R30" s="21">
        <v>9</v>
      </c>
      <c r="S30" s="139">
        <f t="shared" si="5"/>
        <v>6</v>
      </c>
      <c r="T30" s="20">
        <v>108</v>
      </c>
      <c r="U30" s="21">
        <v>28</v>
      </c>
      <c r="V30" s="139">
        <f t="shared" si="6"/>
        <v>3.8571428571428572</v>
      </c>
      <c r="W30" s="20">
        <v>0</v>
      </c>
      <c r="X30" s="21">
        <v>0</v>
      </c>
      <c r="Y30" s="278" t="str">
        <f t="shared" si="7"/>
        <v>-</v>
      </c>
      <c r="Z30" s="20">
        <v>0</v>
      </c>
      <c r="AA30" s="21">
        <v>0</v>
      </c>
      <c r="AB30" s="278" t="str">
        <f t="shared" si="32"/>
        <v>-</v>
      </c>
      <c r="AC30" s="20">
        <v>0</v>
      </c>
      <c r="AD30" s="21">
        <v>0</v>
      </c>
      <c r="AE30" s="278" t="str">
        <f t="shared" si="33"/>
        <v>-</v>
      </c>
      <c r="AF30" s="20">
        <v>0</v>
      </c>
      <c r="AG30" s="21">
        <v>0</v>
      </c>
      <c r="AH30" s="139" t="str">
        <f t="shared" si="112"/>
        <v>-</v>
      </c>
      <c r="AI30" s="23">
        <v>2</v>
      </c>
      <c r="AJ30" s="21">
        <v>1</v>
      </c>
      <c r="AK30" s="139">
        <f t="shared" si="11"/>
        <v>2</v>
      </c>
      <c r="AL30" s="23">
        <v>0</v>
      </c>
      <c r="AM30" s="21">
        <v>0</v>
      </c>
      <c r="AN30" s="139" t="s">
        <v>32</v>
      </c>
      <c r="AO30" s="23">
        <v>0</v>
      </c>
      <c r="AP30" s="21">
        <v>0</v>
      </c>
      <c r="AQ30" s="139" t="s">
        <v>32</v>
      </c>
      <c r="AR30" s="23">
        <v>0</v>
      </c>
      <c r="AS30" s="21">
        <v>0</v>
      </c>
      <c r="AT30" s="139" t="s">
        <v>32</v>
      </c>
      <c r="AU30" s="23">
        <v>0</v>
      </c>
      <c r="AV30" s="21">
        <v>0</v>
      </c>
      <c r="AW30" s="139" t="s">
        <v>32</v>
      </c>
      <c r="AX30" s="23">
        <v>15</v>
      </c>
      <c r="AY30" s="21">
        <v>3</v>
      </c>
      <c r="AZ30" s="139">
        <f t="shared" ref="AZ30:AZ33" si="139">IF(AY30=0,"-",AX30/AY30)</f>
        <v>5</v>
      </c>
      <c r="BA30" s="20">
        <v>6</v>
      </c>
      <c r="BB30" s="21">
        <v>1</v>
      </c>
      <c r="BC30" s="139">
        <f t="shared" si="17"/>
        <v>6</v>
      </c>
      <c r="BD30" s="20">
        <v>0</v>
      </c>
      <c r="BE30" s="21">
        <v>0</v>
      </c>
      <c r="BF30" s="139" t="s">
        <v>32</v>
      </c>
      <c r="BG30" s="20">
        <v>5</v>
      </c>
      <c r="BH30" s="21">
        <v>1</v>
      </c>
      <c r="BI30" s="139">
        <f t="shared" si="19"/>
        <v>5</v>
      </c>
      <c r="BJ30" s="20">
        <v>0</v>
      </c>
      <c r="BK30" s="21">
        <v>0</v>
      </c>
      <c r="BL30" s="139" t="str">
        <f t="shared" si="20"/>
        <v>-</v>
      </c>
      <c r="BM30" s="20"/>
      <c r="BN30" s="21"/>
      <c r="BO30" s="139" t="s">
        <v>32</v>
      </c>
      <c r="BP30" s="20">
        <v>7</v>
      </c>
      <c r="BQ30" s="21">
        <v>1</v>
      </c>
      <c r="BR30" s="139" t="s">
        <v>32</v>
      </c>
      <c r="BS30" s="20">
        <v>0</v>
      </c>
      <c r="BT30" s="21">
        <v>0</v>
      </c>
      <c r="BU30" s="139" t="s">
        <v>32</v>
      </c>
      <c r="BV30" s="20">
        <v>0</v>
      </c>
      <c r="BW30" s="21">
        <v>0</v>
      </c>
      <c r="BX30" s="139" t="s">
        <v>32</v>
      </c>
      <c r="BY30" s="20">
        <v>0</v>
      </c>
      <c r="BZ30" s="21">
        <v>0</v>
      </c>
      <c r="CA30" s="139" t="s">
        <v>32</v>
      </c>
      <c r="CB30" s="117">
        <f t="shared" si="31"/>
        <v>270</v>
      </c>
      <c r="CC30" s="120">
        <f t="shared" si="52"/>
        <v>50</v>
      </c>
      <c r="CD30" s="147">
        <f t="shared" si="27"/>
        <v>5.4</v>
      </c>
    </row>
    <row r="31" spans="1:82" ht="15" thickBot="1" x14ac:dyDescent="0.35">
      <c r="A31" s="294">
        <v>45531</v>
      </c>
      <c r="B31" s="20">
        <v>56</v>
      </c>
      <c r="C31" s="21">
        <v>7</v>
      </c>
      <c r="D31" s="139">
        <f t="shared" si="0"/>
        <v>8</v>
      </c>
      <c r="E31" s="20">
        <v>8</v>
      </c>
      <c r="F31" s="21">
        <v>1</v>
      </c>
      <c r="G31" s="139">
        <f t="shared" si="1"/>
        <v>8</v>
      </c>
      <c r="H31" s="20"/>
      <c r="I31" s="21"/>
      <c r="J31" s="139">
        <v>0</v>
      </c>
      <c r="K31" s="20">
        <v>23</v>
      </c>
      <c r="L31" s="21">
        <v>3</v>
      </c>
      <c r="M31" s="139">
        <f t="shared" si="3"/>
        <v>7.666666666666667</v>
      </c>
      <c r="N31" s="125">
        <v>0</v>
      </c>
      <c r="O31" s="126">
        <v>0</v>
      </c>
      <c r="P31" s="139" t="s">
        <v>32</v>
      </c>
      <c r="Q31" s="20">
        <v>53</v>
      </c>
      <c r="R31" s="21">
        <v>9</v>
      </c>
      <c r="S31" s="139">
        <f t="shared" si="5"/>
        <v>5.8888888888888893</v>
      </c>
      <c r="T31" s="20">
        <v>17</v>
      </c>
      <c r="U31" s="21">
        <v>4</v>
      </c>
      <c r="V31" s="139">
        <f t="shared" si="6"/>
        <v>4.25</v>
      </c>
      <c r="W31" s="20">
        <v>0</v>
      </c>
      <c r="X31" s="21">
        <v>0</v>
      </c>
      <c r="Y31" s="278" t="str">
        <f t="shared" ref="Y31" si="140">IF(X31=0,"-",W31/X31)</f>
        <v>-</v>
      </c>
      <c r="Z31" s="20">
        <v>0</v>
      </c>
      <c r="AA31" s="21">
        <v>0</v>
      </c>
      <c r="AB31" s="278" t="str">
        <f t="shared" ref="AB31" si="141">IF(AA31=0,"-",Z31/AA31)</f>
        <v>-</v>
      </c>
      <c r="AC31" s="20">
        <v>0</v>
      </c>
      <c r="AD31" s="21">
        <v>0</v>
      </c>
      <c r="AE31" s="278" t="str">
        <f t="shared" ref="AE31" si="142">IF(AD31=0,"-",AC31/AD31)</f>
        <v>-</v>
      </c>
      <c r="AF31" s="20">
        <v>0</v>
      </c>
      <c r="AG31" s="21">
        <v>0</v>
      </c>
      <c r="AH31" s="139" t="str">
        <f t="shared" ref="AH31" si="143">IF(AG31=0,"-",AF31/AG31)</f>
        <v>-</v>
      </c>
      <c r="AI31" s="23">
        <v>0</v>
      </c>
      <c r="AJ31" s="21">
        <v>0</v>
      </c>
      <c r="AK31" s="139" t="str">
        <f t="shared" si="11"/>
        <v>-</v>
      </c>
      <c r="AL31" s="23">
        <v>0</v>
      </c>
      <c r="AM31" s="21">
        <v>0</v>
      </c>
      <c r="AN31" s="139" t="str">
        <f t="shared" ref="AN31" si="144">IF(AM31=0,"-",AL31/AM31)</f>
        <v>-</v>
      </c>
      <c r="AO31" s="23">
        <v>0</v>
      </c>
      <c r="AP31" s="21">
        <v>0</v>
      </c>
      <c r="AQ31" s="139" t="str">
        <f t="shared" ref="AQ31:AQ35" si="145">IF(AP31=0,"-",AO31/AP31)</f>
        <v>-</v>
      </c>
      <c r="AR31" s="23">
        <v>0</v>
      </c>
      <c r="AS31" s="21">
        <v>0</v>
      </c>
      <c r="AT31" s="139" t="str">
        <f t="shared" ref="AT31:AT34" si="146">IF(AS31=0,"-",AR31/AS31)</f>
        <v>-</v>
      </c>
      <c r="AU31" s="23">
        <v>0</v>
      </c>
      <c r="AV31" s="21">
        <v>0</v>
      </c>
      <c r="AW31" s="139" t="str">
        <f t="shared" si="15"/>
        <v>-</v>
      </c>
      <c r="AX31" s="23">
        <v>18</v>
      </c>
      <c r="AY31" s="21">
        <v>3</v>
      </c>
      <c r="AZ31" s="139">
        <f t="shared" si="139"/>
        <v>6</v>
      </c>
      <c r="BA31" s="20">
        <v>7</v>
      </c>
      <c r="BB31" s="21">
        <v>1</v>
      </c>
      <c r="BC31" s="139">
        <f t="shared" si="17"/>
        <v>7</v>
      </c>
      <c r="BD31" s="20">
        <v>0</v>
      </c>
      <c r="BE31" s="21">
        <v>0</v>
      </c>
      <c r="BF31" s="139" t="s">
        <v>32</v>
      </c>
      <c r="BG31" s="20">
        <v>5</v>
      </c>
      <c r="BH31" s="21">
        <v>1</v>
      </c>
      <c r="BI31" s="139">
        <f t="shared" ref="BI31" si="147">IF(BH31=0,"-",BG31/BH31)</f>
        <v>5</v>
      </c>
      <c r="BJ31" s="20">
        <v>0</v>
      </c>
      <c r="BK31" s="21">
        <v>0</v>
      </c>
      <c r="BL31" s="139" t="str">
        <f t="shared" ref="BL31" si="148">IF(BK31=0,"-",BJ31/BK31)</f>
        <v>-</v>
      </c>
      <c r="BM31" s="20"/>
      <c r="BN31" s="21"/>
      <c r="BO31" s="139" t="s">
        <v>32</v>
      </c>
      <c r="BP31" s="20">
        <v>0</v>
      </c>
      <c r="BQ31" s="21">
        <v>0</v>
      </c>
      <c r="BR31" s="139" t="s">
        <v>32</v>
      </c>
      <c r="BS31" s="20">
        <v>0</v>
      </c>
      <c r="BT31" s="21">
        <v>0</v>
      </c>
      <c r="BU31" s="139" t="s">
        <v>32</v>
      </c>
      <c r="BV31" s="20">
        <v>0</v>
      </c>
      <c r="BW31" s="21">
        <v>0</v>
      </c>
      <c r="BX31" s="139" t="s">
        <v>32</v>
      </c>
      <c r="BY31" s="20">
        <v>0</v>
      </c>
      <c r="BZ31" s="21">
        <v>0</v>
      </c>
      <c r="CA31" s="139" t="s">
        <v>32</v>
      </c>
      <c r="CB31" s="117">
        <f t="shared" si="31"/>
        <v>187</v>
      </c>
      <c r="CC31" s="120">
        <f t="shared" si="52"/>
        <v>26</v>
      </c>
      <c r="CD31" s="147">
        <f t="shared" si="27"/>
        <v>7.1923076923076925</v>
      </c>
    </row>
    <row r="32" spans="1:82" ht="15" thickBot="1" x14ac:dyDescent="0.35">
      <c r="A32" s="294">
        <v>45532</v>
      </c>
      <c r="B32" s="20">
        <v>22</v>
      </c>
      <c r="C32" s="21">
        <v>3</v>
      </c>
      <c r="D32" s="139">
        <f t="shared" si="0"/>
        <v>7.333333333333333</v>
      </c>
      <c r="E32" s="20">
        <v>8</v>
      </c>
      <c r="F32" s="21">
        <v>1</v>
      </c>
      <c r="G32" s="139">
        <f t="shared" si="1"/>
        <v>8</v>
      </c>
      <c r="H32" s="20"/>
      <c r="I32" s="21"/>
      <c r="J32" s="139" t="s">
        <v>32</v>
      </c>
      <c r="K32" s="20">
        <v>8</v>
      </c>
      <c r="L32" s="21">
        <v>1</v>
      </c>
      <c r="M32" s="139">
        <f t="shared" si="3"/>
        <v>8</v>
      </c>
      <c r="N32" s="125">
        <v>0</v>
      </c>
      <c r="O32" s="126">
        <v>0</v>
      </c>
      <c r="P32" s="139" t="s">
        <v>32</v>
      </c>
      <c r="Q32" s="20">
        <v>33</v>
      </c>
      <c r="R32" s="21">
        <v>6</v>
      </c>
      <c r="S32" s="139">
        <f t="shared" si="5"/>
        <v>5.5</v>
      </c>
      <c r="T32" s="20">
        <v>0</v>
      </c>
      <c r="U32" s="21">
        <v>0</v>
      </c>
      <c r="V32" s="139" t="str">
        <f t="shared" si="6"/>
        <v>-</v>
      </c>
      <c r="W32" s="20">
        <v>0</v>
      </c>
      <c r="X32" s="21">
        <v>0</v>
      </c>
      <c r="Y32" s="278" t="str">
        <f t="shared" si="7"/>
        <v>-</v>
      </c>
      <c r="Z32" s="20">
        <v>0</v>
      </c>
      <c r="AA32" s="21">
        <v>0</v>
      </c>
      <c r="AB32" s="278" t="str">
        <f t="shared" si="32"/>
        <v>-</v>
      </c>
      <c r="AC32" s="20">
        <v>6</v>
      </c>
      <c r="AD32" s="21">
        <v>1</v>
      </c>
      <c r="AE32" s="278">
        <f t="shared" si="33"/>
        <v>6</v>
      </c>
      <c r="AF32" s="20">
        <v>0</v>
      </c>
      <c r="AG32" s="21">
        <v>0</v>
      </c>
      <c r="AH32" s="139" t="str">
        <f t="shared" si="112"/>
        <v>-</v>
      </c>
      <c r="AI32" s="23">
        <v>0</v>
      </c>
      <c r="AJ32" s="21">
        <v>0</v>
      </c>
      <c r="AK32" s="139" t="str">
        <f t="shared" ref="AK32" si="149">IF(AJ32=0,"-",AI32/AJ32)</f>
        <v>-</v>
      </c>
      <c r="AL32" s="23">
        <v>0</v>
      </c>
      <c r="AM32" s="21">
        <v>0</v>
      </c>
      <c r="AN32" s="139" t="str">
        <f t="shared" ref="AN32" si="150">IF(AM32=0,"-",AL32/AM32)</f>
        <v>-</v>
      </c>
      <c r="AO32" s="23">
        <v>3</v>
      </c>
      <c r="AP32" s="21">
        <v>1</v>
      </c>
      <c r="AQ32" s="139">
        <f t="shared" si="145"/>
        <v>3</v>
      </c>
      <c r="AR32" s="23">
        <v>0</v>
      </c>
      <c r="AS32" s="21">
        <v>0</v>
      </c>
      <c r="AT32" s="139" t="str">
        <f t="shared" ref="AT32" si="151">IF(AS32=0,"-",AR32/AS32)</f>
        <v>-</v>
      </c>
      <c r="AU32" s="23">
        <v>0</v>
      </c>
      <c r="AV32" s="21">
        <v>0</v>
      </c>
      <c r="AW32" s="139" t="str">
        <f t="shared" ref="AW32" si="152">IF(AV32=0,"-",AU32/AV32)</f>
        <v>-</v>
      </c>
      <c r="AX32" s="23">
        <v>5</v>
      </c>
      <c r="AY32" s="21">
        <v>1</v>
      </c>
      <c r="AZ32" s="139">
        <f t="shared" si="139"/>
        <v>5</v>
      </c>
      <c r="BA32" s="20">
        <v>20</v>
      </c>
      <c r="BB32" s="21">
        <v>4</v>
      </c>
      <c r="BC32" s="139">
        <f t="shared" si="17"/>
        <v>5</v>
      </c>
      <c r="BD32" s="20">
        <v>0</v>
      </c>
      <c r="BE32" s="21">
        <v>0</v>
      </c>
      <c r="BF32" s="139" t="str">
        <f t="shared" ref="BF32" si="153">IF(BE32=0,"-",BD32/BE32)</f>
        <v>-</v>
      </c>
      <c r="BG32" s="20">
        <v>7</v>
      </c>
      <c r="BH32" s="21">
        <v>1</v>
      </c>
      <c r="BI32" s="139">
        <f t="shared" si="19"/>
        <v>7</v>
      </c>
      <c r="BJ32" s="20">
        <v>0</v>
      </c>
      <c r="BK32" s="21">
        <v>0</v>
      </c>
      <c r="BL32" s="139" t="str">
        <f t="shared" ref="BL32" si="154">IF(BK32=0,"-",BJ32/BK32)</f>
        <v>-</v>
      </c>
      <c r="BM32" s="20"/>
      <c r="BN32" s="21"/>
      <c r="BO32" s="139" t="s">
        <v>32</v>
      </c>
      <c r="BP32" s="20">
        <v>13</v>
      </c>
      <c r="BQ32" s="21">
        <v>2</v>
      </c>
      <c r="BR32" s="139" t="s">
        <v>32</v>
      </c>
      <c r="BS32" s="20">
        <v>0</v>
      </c>
      <c r="BT32" s="21">
        <v>0</v>
      </c>
      <c r="BU32" s="139" t="s">
        <v>32</v>
      </c>
      <c r="BV32" s="20">
        <v>0</v>
      </c>
      <c r="BW32" s="21">
        <v>0</v>
      </c>
      <c r="BX32" s="139" t="s">
        <v>32</v>
      </c>
      <c r="BY32" s="20">
        <v>0</v>
      </c>
      <c r="BZ32" s="21">
        <v>0</v>
      </c>
      <c r="CA32" s="139" t="s">
        <v>32</v>
      </c>
      <c r="CB32" s="117">
        <f t="shared" si="31"/>
        <v>125</v>
      </c>
      <c r="CC32" s="120">
        <f t="shared" si="52"/>
        <v>19</v>
      </c>
      <c r="CD32" s="147">
        <f t="shared" si="27"/>
        <v>6.5789473684210522</v>
      </c>
    </row>
    <row r="33" spans="1:82" ht="15" thickBot="1" x14ac:dyDescent="0.35">
      <c r="A33" s="294">
        <v>45533</v>
      </c>
      <c r="B33" s="270">
        <v>31</v>
      </c>
      <c r="C33" s="271">
        <v>4</v>
      </c>
      <c r="D33" s="272">
        <f t="shared" si="0"/>
        <v>7.75</v>
      </c>
      <c r="E33" s="270">
        <v>0</v>
      </c>
      <c r="F33" s="271">
        <v>0</v>
      </c>
      <c r="G33" s="272" t="str">
        <f t="shared" si="1"/>
        <v>-</v>
      </c>
      <c r="H33" s="270"/>
      <c r="I33" s="271"/>
      <c r="J33" s="272" t="s">
        <v>32</v>
      </c>
      <c r="K33" s="270">
        <v>8</v>
      </c>
      <c r="L33" s="271">
        <v>1</v>
      </c>
      <c r="M33" s="139">
        <f t="shared" si="3"/>
        <v>8</v>
      </c>
      <c r="N33" s="125">
        <v>6</v>
      </c>
      <c r="O33" s="126">
        <v>2</v>
      </c>
      <c r="P33" s="139">
        <f t="shared" ref="P33:P34" si="155">IF(O33=0,"-",N33/O33)</f>
        <v>3</v>
      </c>
      <c r="Q33" s="270">
        <v>17</v>
      </c>
      <c r="R33" s="271">
        <v>3</v>
      </c>
      <c r="S33" s="139">
        <f t="shared" si="5"/>
        <v>5.666666666666667</v>
      </c>
      <c r="T33" s="270">
        <v>30</v>
      </c>
      <c r="U33" s="271">
        <v>6</v>
      </c>
      <c r="V33" s="139">
        <f t="shared" si="6"/>
        <v>5</v>
      </c>
      <c r="W33" s="270">
        <v>4</v>
      </c>
      <c r="X33" s="271">
        <v>1</v>
      </c>
      <c r="Y33" s="278">
        <f t="shared" si="7"/>
        <v>4</v>
      </c>
      <c r="Z33" s="20">
        <v>0</v>
      </c>
      <c r="AA33" s="21">
        <v>0</v>
      </c>
      <c r="AB33" s="278" t="str">
        <f t="shared" ref="AB33:AB35" si="156">IF(AA33=0,"-",Z33/AA33)</f>
        <v>-</v>
      </c>
      <c r="AC33" s="20">
        <v>33</v>
      </c>
      <c r="AD33" s="21">
        <v>11</v>
      </c>
      <c r="AE33" s="278">
        <f t="shared" si="33"/>
        <v>3</v>
      </c>
      <c r="AF33" s="20">
        <v>0</v>
      </c>
      <c r="AG33" s="21">
        <v>0</v>
      </c>
      <c r="AH33" s="139" t="str">
        <f t="shared" ref="AH33:AH34" si="157">IF(AG33=0,"-",AF33/AG33)</f>
        <v>-</v>
      </c>
      <c r="AI33" s="270">
        <v>8</v>
      </c>
      <c r="AJ33" s="271">
        <v>1</v>
      </c>
      <c r="AK33" s="272" t="s">
        <v>32</v>
      </c>
      <c r="AL33" s="270">
        <v>0</v>
      </c>
      <c r="AM33" s="271">
        <v>0</v>
      </c>
      <c r="AN33" s="272" t="s">
        <v>32</v>
      </c>
      <c r="AO33" s="270">
        <v>0</v>
      </c>
      <c r="AP33" s="271">
        <v>0</v>
      </c>
      <c r="AQ33" s="139" t="str">
        <f t="shared" si="145"/>
        <v>-</v>
      </c>
      <c r="AR33" s="23">
        <v>3</v>
      </c>
      <c r="AS33" s="21">
        <v>1</v>
      </c>
      <c r="AT33" s="139">
        <f t="shared" si="146"/>
        <v>3</v>
      </c>
      <c r="AU33" s="23">
        <v>0</v>
      </c>
      <c r="AV33" s="21">
        <v>0</v>
      </c>
      <c r="AW33" s="139" t="str">
        <f t="shared" si="15"/>
        <v>-</v>
      </c>
      <c r="AX33" s="23">
        <v>12</v>
      </c>
      <c r="AY33" s="21">
        <v>2</v>
      </c>
      <c r="AZ33" s="139">
        <f t="shared" si="139"/>
        <v>6</v>
      </c>
      <c r="BA33" s="270">
        <v>26</v>
      </c>
      <c r="BB33" s="271">
        <v>4</v>
      </c>
      <c r="BC33" s="272">
        <f t="shared" si="17"/>
        <v>6.5</v>
      </c>
      <c r="BD33" s="20">
        <v>0</v>
      </c>
      <c r="BE33" s="21">
        <v>0</v>
      </c>
      <c r="BF33" s="139" t="str">
        <f t="shared" ref="BF33:BF35" si="158">IF(BE33=0,"-",BD33/BE33)</f>
        <v>-</v>
      </c>
      <c r="BG33" s="270">
        <v>6</v>
      </c>
      <c r="BH33" s="271">
        <v>1</v>
      </c>
      <c r="BI33" s="272">
        <f t="shared" si="19"/>
        <v>6</v>
      </c>
      <c r="BJ33" s="20">
        <v>0</v>
      </c>
      <c r="BK33" s="21">
        <v>0</v>
      </c>
      <c r="BL33" s="139" t="str">
        <f t="shared" ref="BL33:BL35" si="159">IF(BK33=0,"-",BJ33/BK33)</f>
        <v>-</v>
      </c>
      <c r="BM33" s="20"/>
      <c r="BN33" s="21"/>
      <c r="BO33" s="139" t="str">
        <f t="shared" si="21"/>
        <v>-</v>
      </c>
      <c r="BP33" s="20">
        <v>0</v>
      </c>
      <c r="BQ33" s="21">
        <v>0</v>
      </c>
      <c r="BR33" s="139" t="s">
        <v>32</v>
      </c>
      <c r="BS33" s="20">
        <v>0</v>
      </c>
      <c r="BT33" s="21">
        <v>0</v>
      </c>
      <c r="BU33" s="139" t="s">
        <v>32</v>
      </c>
      <c r="BV33" s="20">
        <v>0</v>
      </c>
      <c r="BW33" s="21">
        <v>0</v>
      </c>
      <c r="BX33" s="139" t="s">
        <v>32</v>
      </c>
      <c r="BY33" s="20">
        <v>0</v>
      </c>
      <c r="BZ33" s="21">
        <v>0</v>
      </c>
      <c r="CA33" s="139" t="s">
        <v>32</v>
      </c>
      <c r="CB33" s="117">
        <f t="shared" si="31"/>
        <v>184</v>
      </c>
      <c r="CC33" s="120">
        <f t="shared" si="52"/>
        <v>21</v>
      </c>
      <c r="CD33" s="147">
        <f t="shared" si="27"/>
        <v>8.7619047619047628</v>
      </c>
    </row>
    <row r="34" spans="1:82" ht="15" thickBot="1" x14ac:dyDescent="0.35">
      <c r="A34" s="294">
        <v>45534</v>
      </c>
      <c r="B34" s="20">
        <v>34</v>
      </c>
      <c r="C34" s="21">
        <v>4</v>
      </c>
      <c r="D34" s="139">
        <f t="shared" si="0"/>
        <v>8.5</v>
      </c>
      <c r="E34" s="20">
        <v>0</v>
      </c>
      <c r="F34" s="21">
        <v>0</v>
      </c>
      <c r="G34" s="139" t="str">
        <f t="shared" si="1"/>
        <v>-</v>
      </c>
      <c r="H34" s="20"/>
      <c r="I34" s="21"/>
      <c r="J34" s="139" t="s">
        <v>32</v>
      </c>
      <c r="K34" s="20">
        <v>23</v>
      </c>
      <c r="L34" s="21">
        <v>3</v>
      </c>
      <c r="M34" s="139">
        <f t="shared" si="3"/>
        <v>7.666666666666667</v>
      </c>
      <c r="N34" s="125">
        <v>3</v>
      </c>
      <c r="O34" s="126">
        <v>1</v>
      </c>
      <c r="P34" s="139">
        <f t="shared" si="155"/>
        <v>3</v>
      </c>
      <c r="Q34" s="20">
        <v>31</v>
      </c>
      <c r="R34" s="21">
        <v>6</v>
      </c>
      <c r="S34" s="139">
        <f t="shared" si="5"/>
        <v>5.166666666666667</v>
      </c>
      <c r="T34" s="20">
        <v>20</v>
      </c>
      <c r="U34" s="21">
        <v>3</v>
      </c>
      <c r="V34" s="139">
        <f t="shared" si="6"/>
        <v>6.666666666666667</v>
      </c>
      <c r="W34" s="20">
        <v>0</v>
      </c>
      <c r="X34" s="21">
        <v>0</v>
      </c>
      <c r="Y34" s="139" t="s">
        <v>32</v>
      </c>
      <c r="Z34" s="20">
        <v>0</v>
      </c>
      <c r="AA34" s="21">
        <v>0</v>
      </c>
      <c r="AB34" s="278" t="str">
        <f t="shared" si="156"/>
        <v>-</v>
      </c>
      <c r="AC34" s="20">
        <v>0</v>
      </c>
      <c r="AD34" s="21">
        <v>0</v>
      </c>
      <c r="AE34" s="278" t="str">
        <f t="shared" si="33"/>
        <v>-</v>
      </c>
      <c r="AF34" s="20">
        <v>0</v>
      </c>
      <c r="AG34" s="21">
        <v>0</v>
      </c>
      <c r="AH34" s="139" t="str">
        <f t="shared" si="157"/>
        <v>-</v>
      </c>
      <c r="AI34" s="20">
        <v>0</v>
      </c>
      <c r="AJ34" s="21">
        <v>0</v>
      </c>
      <c r="AK34" s="139" t="s">
        <v>32</v>
      </c>
      <c r="AL34" s="270">
        <v>0</v>
      </c>
      <c r="AM34" s="271">
        <v>0</v>
      </c>
      <c r="AN34" s="272" t="s">
        <v>32</v>
      </c>
      <c r="AO34" s="270">
        <v>0</v>
      </c>
      <c r="AP34" s="271">
        <v>0</v>
      </c>
      <c r="AQ34" s="139" t="str">
        <f t="shared" si="145"/>
        <v>-</v>
      </c>
      <c r="AR34" s="270">
        <v>0</v>
      </c>
      <c r="AS34" s="271">
        <v>0</v>
      </c>
      <c r="AT34" s="139" t="str">
        <f t="shared" si="146"/>
        <v>-</v>
      </c>
      <c r="AU34" s="270">
        <v>0</v>
      </c>
      <c r="AV34" s="271">
        <v>0</v>
      </c>
      <c r="AW34" s="139" t="str">
        <f t="shared" si="15"/>
        <v>-</v>
      </c>
      <c r="AX34" s="270">
        <v>5</v>
      </c>
      <c r="AY34" s="271">
        <v>1</v>
      </c>
      <c r="AZ34" s="272" t="s">
        <v>32</v>
      </c>
      <c r="BA34" s="20">
        <v>7</v>
      </c>
      <c r="BB34" s="21">
        <v>1</v>
      </c>
      <c r="BC34" s="139">
        <f t="shared" si="17"/>
        <v>7</v>
      </c>
      <c r="BD34" s="20">
        <v>0</v>
      </c>
      <c r="BE34" s="21">
        <v>0</v>
      </c>
      <c r="BF34" s="139" t="str">
        <f t="shared" si="158"/>
        <v>-</v>
      </c>
      <c r="BG34" s="20">
        <v>0</v>
      </c>
      <c r="BH34" s="21">
        <v>0</v>
      </c>
      <c r="BI34" s="139" t="str">
        <f t="shared" si="19"/>
        <v>-</v>
      </c>
      <c r="BJ34" s="20">
        <v>0</v>
      </c>
      <c r="BK34" s="21">
        <v>0</v>
      </c>
      <c r="BL34" s="139" t="str">
        <f t="shared" si="159"/>
        <v>-</v>
      </c>
      <c r="BM34" s="20"/>
      <c r="BN34" s="21"/>
      <c r="BO34" s="139" t="str">
        <f t="shared" si="21"/>
        <v>-</v>
      </c>
      <c r="BP34" s="20">
        <v>66</v>
      </c>
      <c r="BQ34" s="21">
        <v>13</v>
      </c>
      <c r="BR34" s="139">
        <f t="shared" si="22"/>
        <v>5.0769230769230766</v>
      </c>
      <c r="BS34" s="20">
        <v>0</v>
      </c>
      <c r="BT34" s="21">
        <v>0</v>
      </c>
      <c r="BU34" s="139" t="s">
        <v>32</v>
      </c>
      <c r="BV34" s="20">
        <v>0</v>
      </c>
      <c r="BW34" s="21">
        <v>0</v>
      </c>
      <c r="BX34" s="139" t="s">
        <v>32</v>
      </c>
      <c r="BY34" s="20">
        <v>0</v>
      </c>
      <c r="BZ34" s="21">
        <v>0</v>
      </c>
      <c r="CA34" s="139" t="s">
        <v>32</v>
      </c>
      <c r="CB34" s="117">
        <f t="shared" si="31"/>
        <v>189</v>
      </c>
      <c r="CC34" s="120">
        <f t="shared" si="52"/>
        <v>30</v>
      </c>
      <c r="CD34" s="147">
        <f t="shared" si="27"/>
        <v>6.3</v>
      </c>
    </row>
    <row r="35" spans="1:82" ht="15" thickBot="1" x14ac:dyDescent="0.35">
      <c r="A35" s="294">
        <v>45535</v>
      </c>
      <c r="B35" s="289">
        <v>17</v>
      </c>
      <c r="C35" s="148">
        <v>2</v>
      </c>
      <c r="D35" s="299">
        <f t="shared" si="0"/>
        <v>8.5</v>
      </c>
      <c r="E35" s="289">
        <v>13</v>
      </c>
      <c r="F35" s="148">
        <v>2</v>
      </c>
      <c r="G35" s="299">
        <f t="shared" si="1"/>
        <v>6.5</v>
      </c>
      <c r="H35"/>
      <c r="I35"/>
      <c r="J35" s="299"/>
      <c r="K35" s="289">
        <v>10</v>
      </c>
      <c r="L35" s="148">
        <v>2</v>
      </c>
      <c r="M35" s="299">
        <f t="shared" si="3"/>
        <v>5</v>
      </c>
      <c r="N35" s="289">
        <v>0</v>
      </c>
      <c r="O35" s="148">
        <v>0</v>
      </c>
      <c r="P35" s="299"/>
      <c r="Q35" s="289">
        <v>12</v>
      </c>
      <c r="R35" s="148">
        <v>2</v>
      </c>
      <c r="S35" s="299">
        <f t="shared" si="5"/>
        <v>6</v>
      </c>
      <c r="T35" s="289">
        <v>0</v>
      </c>
      <c r="U35" s="148">
        <v>0</v>
      </c>
      <c r="V35" s="299" t="str">
        <f t="shared" si="6"/>
        <v>-</v>
      </c>
      <c r="W35" s="289">
        <v>0</v>
      </c>
      <c r="X35" s="148">
        <v>0</v>
      </c>
      <c r="Y35" s="139" t="s">
        <v>32</v>
      </c>
      <c r="Z35" s="20">
        <v>0</v>
      </c>
      <c r="AA35" s="21">
        <v>0</v>
      </c>
      <c r="AB35" s="278" t="str">
        <f t="shared" si="156"/>
        <v>-</v>
      </c>
      <c r="AC35" s="20">
        <v>0</v>
      </c>
      <c r="AD35" s="21">
        <v>0</v>
      </c>
      <c r="AE35" s="278" t="str">
        <f t="shared" ref="AE35" si="160">IF(AD35=0,"-",AC35/AD35)</f>
        <v>-</v>
      </c>
      <c r="AF35" s="20">
        <v>0</v>
      </c>
      <c r="AG35" s="21">
        <v>0</v>
      </c>
      <c r="AH35" s="139" t="str">
        <f t="shared" ref="AH35" si="161">IF(AG35=0,"-",AF35/AG35)</f>
        <v>-</v>
      </c>
      <c r="AI35" s="289">
        <v>0</v>
      </c>
      <c r="AJ35" s="148">
        <v>0</v>
      </c>
      <c r="AK35" s="139" t="s">
        <v>32</v>
      </c>
      <c r="AL35" s="270">
        <v>0</v>
      </c>
      <c r="AM35" s="271">
        <v>0</v>
      </c>
      <c r="AN35" s="272" t="s">
        <v>32</v>
      </c>
      <c r="AO35" s="270">
        <v>3</v>
      </c>
      <c r="AP35" s="271">
        <v>1</v>
      </c>
      <c r="AQ35" s="139">
        <f t="shared" si="145"/>
        <v>3</v>
      </c>
      <c r="AR35" s="270">
        <v>0</v>
      </c>
      <c r="AS35" s="271">
        <v>0</v>
      </c>
      <c r="AT35" s="139" t="str">
        <f t="shared" ref="AT35" si="162">IF(AS35=0,"-",AR35/AS35)</f>
        <v>-</v>
      </c>
      <c r="AU35" s="270">
        <v>0</v>
      </c>
      <c r="AV35" s="271">
        <v>0</v>
      </c>
      <c r="AW35" s="139" t="str">
        <f t="shared" ref="AW35" si="163">IF(AV35=0,"-",AU35/AV35)</f>
        <v>-</v>
      </c>
      <c r="AX35" s="270">
        <v>0</v>
      </c>
      <c r="AY35" s="271">
        <v>0</v>
      </c>
      <c r="AZ35" s="272" t="s">
        <v>32</v>
      </c>
      <c r="BA35" s="289">
        <v>6</v>
      </c>
      <c r="BB35" s="148">
        <v>1</v>
      </c>
      <c r="BC35" s="299">
        <f t="shared" si="17"/>
        <v>6</v>
      </c>
      <c r="BD35" s="20">
        <v>0</v>
      </c>
      <c r="BE35" s="21">
        <v>0</v>
      </c>
      <c r="BF35" s="139" t="str">
        <f t="shared" si="158"/>
        <v>-</v>
      </c>
      <c r="BG35" s="20">
        <v>0</v>
      </c>
      <c r="BH35" s="21">
        <v>0</v>
      </c>
      <c r="BI35" s="139" t="str">
        <f t="shared" si="19"/>
        <v>-</v>
      </c>
      <c r="BJ35" s="20">
        <v>0</v>
      </c>
      <c r="BK35" s="21">
        <v>0</v>
      </c>
      <c r="BL35" s="139" t="str">
        <f t="shared" si="159"/>
        <v>-</v>
      </c>
      <c r="BO35" s="299"/>
      <c r="BP35" s="289">
        <v>13</v>
      </c>
      <c r="BQ35" s="148">
        <v>2</v>
      </c>
      <c r="BR35" s="299">
        <v>0</v>
      </c>
      <c r="BS35" s="20">
        <v>0</v>
      </c>
      <c r="BT35" s="21">
        <v>0</v>
      </c>
      <c r="BU35" s="139" t="s">
        <v>32</v>
      </c>
      <c r="BV35" s="20">
        <v>0</v>
      </c>
      <c r="BW35" s="21">
        <v>0</v>
      </c>
      <c r="BX35" s="139" t="s">
        <v>32</v>
      </c>
      <c r="BY35" s="20">
        <v>0</v>
      </c>
      <c r="BZ35" s="21">
        <v>0</v>
      </c>
      <c r="CA35" s="139" t="s">
        <v>32</v>
      </c>
      <c r="CB35" s="117">
        <f t="shared" si="31"/>
        <v>74</v>
      </c>
      <c r="CC35" s="300">
        <f t="shared" si="52"/>
        <v>12</v>
      </c>
      <c r="CD35" s="301">
        <f t="shared" si="27"/>
        <v>6.166666666666667</v>
      </c>
    </row>
    <row r="36" spans="1:82" s="41" customFormat="1" ht="15.6" customHeight="1" thickBot="1" x14ac:dyDescent="0.35">
      <c r="A36" s="295" t="s">
        <v>33</v>
      </c>
      <c r="B36" s="43">
        <f>SUM(B5:B35)</f>
        <v>907</v>
      </c>
      <c r="C36" s="43">
        <f>SUM(C5:C35)</f>
        <v>124</v>
      </c>
      <c r="D36" s="44">
        <f>B36/C36</f>
        <v>7.314516129032258</v>
      </c>
      <c r="E36" s="43">
        <f>SUM(E5:E35)</f>
        <v>143</v>
      </c>
      <c r="F36" s="43">
        <f>SUM(F5:F35)</f>
        <v>19</v>
      </c>
      <c r="G36" s="44">
        <f>E36/F36</f>
        <v>7.5263157894736841</v>
      </c>
      <c r="H36" s="43">
        <f>SUM(H5:H34)</f>
        <v>0</v>
      </c>
      <c r="I36" s="43">
        <f>SUM(I5:I34)</f>
        <v>0</v>
      </c>
      <c r="J36" s="44" t="e">
        <f>H36/I36</f>
        <v>#DIV/0!</v>
      </c>
      <c r="K36" s="43">
        <f>SUM(K5:K35)</f>
        <v>483</v>
      </c>
      <c r="L36" s="43">
        <f>SUM(L5:L35)</f>
        <v>62</v>
      </c>
      <c r="M36" s="44">
        <f>K36/L36</f>
        <v>7.790322580645161</v>
      </c>
      <c r="N36" s="43">
        <f>SUM(N5:N35)</f>
        <v>9</v>
      </c>
      <c r="O36" s="43">
        <f>SUM(O5:O35)</f>
        <v>3</v>
      </c>
      <c r="P36" s="44">
        <f>N36/O36</f>
        <v>3</v>
      </c>
      <c r="Q36" s="43">
        <f>SUM(Q5:Q35)</f>
        <v>1022</v>
      </c>
      <c r="R36" s="43">
        <f>SUM(R5:R35)</f>
        <v>186</v>
      </c>
      <c r="S36" s="44">
        <f>Q36/R36</f>
        <v>5.4946236559139781</v>
      </c>
      <c r="T36" s="43">
        <f>SUM(T5:T35)</f>
        <v>450</v>
      </c>
      <c r="U36" s="43">
        <f>SUM(U5:U35)</f>
        <v>99</v>
      </c>
      <c r="V36" s="44">
        <f>T36/U36</f>
        <v>4.5454545454545459</v>
      </c>
      <c r="W36" s="43">
        <f>SUM(W5:W35)</f>
        <v>164</v>
      </c>
      <c r="X36" s="43">
        <f>SUM(X5:X35)</f>
        <v>33</v>
      </c>
      <c r="Y36" s="297">
        <f>W36/X36</f>
        <v>4.9696969696969697</v>
      </c>
      <c r="Z36" s="43">
        <f t="shared" ref="Z36:AA36" si="164">SUM(Z5:Z35)</f>
        <v>5</v>
      </c>
      <c r="AA36" s="43">
        <f t="shared" si="164"/>
        <v>1</v>
      </c>
      <c r="AB36" s="297">
        <f t="shared" ref="AB36" si="165">Z36/AA36</f>
        <v>5</v>
      </c>
      <c r="AC36" s="43">
        <f t="shared" ref="AC36:AD36" si="166">SUM(AC5:AC35)</f>
        <v>66</v>
      </c>
      <c r="AD36" s="43">
        <f t="shared" si="166"/>
        <v>18</v>
      </c>
      <c r="AE36" s="297">
        <f t="shared" ref="AE36" si="167">AC36/AD36</f>
        <v>3.6666666666666665</v>
      </c>
      <c r="AF36" s="43">
        <f>SUM(AF5:AF34)</f>
        <v>8</v>
      </c>
      <c r="AG36" s="43">
        <f>SUM(AG5:AG34)</f>
        <v>1</v>
      </c>
      <c r="AH36" s="44">
        <f>AF36/AG36</f>
        <v>8</v>
      </c>
      <c r="AI36" s="43">
        <f>SUM(AI5:AI35)</f>
        <v>46</v>
      </c>
      <c r="AJ36" s="43">
        <f>SUM(AJ5:AJ35)</f>
        <v>12</v>
      </c>
      <c r="AK36" s="44">
        <f>AI36/AJ36</f>
        <v>3.8333333333333335</v>
      </c>
      <c r="AL36" s="43">
        <f>SUM(AL5:AL34)</f>
        <v>0</v>
      </c>
      <c r="AM36" s="43">
        <f>SUM(AM5:AM34)</f>
        <v>0</v>
      </c>
      <c r="AN36" s="44" t="e">
        <f>AL36/AM36</f>
        <v>#DIV/0!</v>
      </c>
      <c r="AO36" s="43">
        <f>SUM(AO5:AO34)</f>
        <v>36</v>
      </c>
      <c r="AP36" s="43">
        <f>SUM(AP5:AP34)</f>
        <v>10</v>
      </c>
      <c r="AQ36" s="44">
        <f>AO36/AP36</f>
        <v>3.6</v>
      </c>
      <c r="AR36" s="43">
        <f>SUM(AR5:AR34)</f>
        <v>3</v>
      </c>
      <c r="AS36" s="43">
        <f>SUM(AS5:AS34)</f>
        <v>1</v>
      </c>
      <c r="AT36" s="44">
        <f>AR36/AS36</f>
        <v>3</v>
      </c>
      <c r="AU36" s="43">
        <f>SUM(AU5:AU34)</f>
        <v>1</v>
      </c>
      <c r="AV36" s="43">
        <f>SUM(AV5:AV34)</f>
        <v>1</v>
      </c>
      <c r="AW36" s="44">
        <f>AU36/AV36</f>
        <v>1</v>
      </c>
      <c r="AX36" s="43">
        <f>SUM(AX5:AX35)</f>
        <v>118</v>
      </c>
      <c r="AY36" s="43">
        <f>SUM(AY5:AY35)</f>
        <v>22</v>
      </c>
      <c r="AZ36" s="44">
        <f>AX36/AY36</f>
        <v>5.3636363636363633</v>
      </c>
      <c r="BA36" s="43">
        <f>SUM(BA5:BA35)</f>
        <v>453</v>
      </c>
      <c r="BB36" s="43">
        <f>SUM(BB5:BB35)</f>
        <v>74</v>
      </c>
      <c r="BC36" s="44">
        <f>BA36/BB36</f>
        <v>6.1216216216216219</v>
      </c>
      <c r="BD36" s="43">
        <f>SUM(BD5:BD34)</f>
        <v>39</v>
      </c>
      <c r="BE36" s="43">
        <f>SUM(BE5:BE34)</f>
        <v>5</v>
      </c>
      <c r="BF36" s="44">
        <f>BD36/BE36</f>
        <v>7.8</v>
      </c>
      <c r="BG36" s="43">
        <f>SUM(BG5:BG34)</f>
        <v>137</v>
      </c>
      <c r="BH36" s="43">
        <f>SUM(BH5:BH34)</f>
        <v>20</v>
      </c>
      <c r="BI36" s="44">
        <f>BG36/BH36</f>
        <v>6.85</v>
      </c>
      <c r="BJ36" s="43">
        <f>SUM(BJ5:BJ34)</f>
        <v>38</v>
      </c>
      <c r="BK36" s="43">
        <f>SUM(BK5:BK34)</f>
        <v>6</v>
      </c>
      <c r="BL36" s="44">
        <f>BJ36/BK36</f>
        <v>6.333333333333333</v>
      </c>
      <c r="BM36" s="43">
        <f>SUM(BM5:BM34)</f>
        <v>0</v>
      </c>
      <c r="BN36" s="43">
        <f>SUM(BN5:BN34)</f>
        <v>0</v>
      </c>
      <c r="BO36" s="140" t="str">
        <f>IF(BN36=0,"-",BM36/BN36)</f>
        <v>-</v>
      </c>
      <c r="BP36" s="43">
        <f>SUM(BP5:BP35)</f>
        <v>252</v>
      </c>
      <c r="BQ36" s="43">
        <f>SUM(BQ5:BQ35)</f>
        <v>42</v>
      </c>
      <c r="BR36" s="44">
        <f>BP36/BQ36</f>
        <v>6</v>
      </c>
      <c r="BS36" s="43">
        <f>SUM(BS5:BS34)</f>
        <v>0</v>
      </c>
      <c r="BT36" s="43">
        <f>SUM(BT5:BT34)</f>
        <v>0</v>
      </c>
      <c r="BU36" s="140" t="str">
        <f>IF(BT36=0,"-",BS36/BT36)</f>
        <v>-</v>
      </c>
      <c r="BV36" s="43">
        <f>SUM(BV5:BV34)</f>
        <v>0</v>
      </c>
      <c r="BW36" s="43">
        <f>SUM(BW5:BW34)</f>
        <v>0</v>
      </c>
      <c r="BX36" s="140" t="str">
        <f>IF(BW36=0,"-",BV36/BW36)</f>
        <v>-</v>
      </c>
      <c r="BY36" s="43">
        <f>SUM(BY5:BY34)</f>
        <v>3</v>
      </c>
      <c r="BZ36" s="43">
        <f>SUM(BZ5:BZ34)</f>
        <v>2</v>
      </c>
      <c r="CA36" s="140">
        <f>IF(BZ36=0,"-",BY36/BZ36)</f>
        <v>1.5</v>
      </c>
      <c r="CB36" s="118">
        <f>SUM(CB5:CB33)</f>
        <v>4123</v>
      </c>
      <c r="CC36" s="145">
        <f>BZ36+BW36+BT36+BQ36+BN36+BK36+BH36+BE36+BB36+L36+U36+R36+I36+F36+AV36+AS36+AP36+AM36+AJ36+C36</f>
        <v>663</v>
      </c>
      <c r="CD36" s="144">
        <f t="shared" si="27"/>
        <v>6.2187028657616894</v>
      </c>
    </row>
    <row r="37" spans="1:82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82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82" x14ac:dyDescent="0.3">
      <c r="A39" s="294"/>
    </row>
    <row r="40" spans="1:82" x14ac:dyDescent="0.3">
      <c r="A40" s="294"/>
    </row>
    <row r="41" spans="1:82" x14ac:dyDescent="0.3">
      <c r="A41" s="294"/>
    </row>
    <row r="42" spans="1:82" x14ac:dyDescent="0.3">
      <c r="A42" s="294"/>
    </row>
    <row r="43" spans="1:82" x14ac:dyDescent="0.3">
      <c r="A43" s="294"/>
    </row>
    <row r="44" spans="1:82" x14ac:dyDescent="0.3">
      <c r="A44" s="294"/>
    </row>
    <row r="45" spans="1:82" x14ac:dyDescent="0.3">
      <c r="A45" s="294"/>
    </row>
    <row r="46" spans="1:82" x14ac:dyDescent="0.3">
      <c r="A46" s="294"/>
    </row>
    <row r="47" spans="1:82" x14ac:dyDescent="0.3">
      <c r="A47" s="294"/>
    </row>
    <row r="48" spans="1:82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F187-C603-4319-B8DE-00E10C37046D}">
  <sheetPr codeName="Sheet21">
    <tabColor rgb="FFFF0000"/>
  </sheetPr>
  <dimension ref="A1:CL40"/>
  <sheetViews>
    <sheetView workbookViewId="0">
      <selection activeCell="B12" sqref="B12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71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'August 2024'!B36</f>
        <v>907</v>
      </c>
      <c r="C4" s="68"/>
      <c r="D4" s="95" t="s">
        <v>19</v>
      </c>
      <c r="E4" s="93">
        <f>'August 2024'!AU36</f>
        <v>1</v>
      </c>
      <c r="F4" s="68"/>
      <c r="G4" s="87" t="s">
        <v>24</v>
      </c>
      <c r="H4" s="81">
        <f>'August 2024'!BJ36</f>
        <v>38</v>
      </c>
    </row>
    <row r="5" spans="1:90" x14ac:dyDescent="0.3">
      <c r="A5" s="80"/>
      <c r="B5" s="81">
        <f>'August 2024'!C36</f>
        <v>124</v>
      </c>
      <c r="C5" s="68"/>
      <c r="D5" s="85"/>
      <c r="E5" s="81">
        <f>'August 2024'!AV36</f>
        <v>1</v>
      </c>
      <c r="F5" s="68"/>
      <c r="G5" s="87"/>
      <c r="H5" s="81">
        <f>'August 2024'!BK36</f>
        <v>6</v>
      </c>
    </row>
    <row r="6" spans="1:90" x14ac:dyDescent="0.3">
      <c r="A6" s="82"/>
      <c r="B6" s="26">
        <f>'August 2024'!D36</f>
        <v>7.314516129032258</v>
      </c>
      <c r="C6" s="68"/>
      <c r="D6" s="86"/>
      <c r="E6" s="26">
        <f>'August 2024'!AW36</f>
        <v>1</v>
      </c>
      <c r="F6" s="68"/>
      <c r="G6" s="88"/>
      <c r="H6" s="26">
        <f>'August 2024'!BL36</f>
        <v>6.333333333333333</v>
      </c>
    </row>
    <row r="7" spans="1:90" x14ac:dyDescent="0.3">
      <c r="A7" s="80" t="s">
        <v>9</v>
      </c>
      <c r="B7" s="81">
        <f>'August 2024'!E36</f>
        <v>143</v>
      </c>
      <c r="C7" s="68"/>
      <c r="D7" s="85" t="s">
        <v>20</v>
      </c>
      <c r="E7" s="81">
        <f>'August 2024'!AX36</f>
        <v>118</v>
      </c>
      <c r="F7" s="68"/>
      <c r="G7" s="87" t="s">
        <v>25</v>
      </c>
      <c r="H7" s="151">
        <f>'August 2024'!BM36</f>
        <v>0</v>
      </c>
    </row>
    <row r="8" spans="1:90" x14ac:dyDescent="0.3">
      <c r="A8" s="80"/>
      <c r="B8" s="81">
        <f>'August 2024'!F36</f>
        <v>19</v>
      </c>
      <c r="C8" s="68"/>
      <c r="D8" s="85"/>
      <c r="E8" s="81">
        <f>'August 2024'!AY36</f>
        <v>22</v>
      </c>
      <c r="F8" s="68"/>
      <c r="G8" s="87"/>
      <c r="H8" s="151">
        <f>'August 2024'!BN36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'August 2024'!G36</f>
        <v>7.5263157894736841</v>
      </c>
      <c r="C9" s="68"/>
      <c r="D9" s="86"/>
      <c r="E9" s="26">
        <f>'August 2024'!AZ36</f>
        <v>5.3636363636363633</v>
      </c>
      <c r="F9" s="68"/>
      <c r="G9" s="88"/>
      <c r="H9" s="151">
        <f>'August 2024'!BN36</f>
        <v>0</v>
      </c>
    </row>
    <row r="10" spans="1:90" x14ac:dyDescent="0.3">
      <c r="A10" s="80" t="s">
        <v>10</v>
      </c>
      <c r="B10" s="81">
        <f>'August 2024'!H36</f>
        <v>0</v>
      </c>
      <c r="C10" s="68"/>
      <c r="D10" s="85" t="s">
        <v>21</v>
      </c>
      <c r="E10" s="81">
        <f>'August 2024'!BA36</f>
        <v>453</v>
      </c>
      <c r="F10" s="68"/>
      <c r="G10" s="87" t="s">
        <v>26</v>
      </c>
      <c r="H10" s="151">
        <f>'August 2024'!BP36</f>
        <v>252</v>
      </c>
    </row>
    <row r="11" spans="1:90" x14ac:dyDescent="0.3">
      <c r="A11" s="80"/>
      <c r="B11" s="81">
        <f>'August 2024'!I36</f>
        <v>0</v>
      </c>
      <c r="C11" s="68"/>
      <c r="D11" s="85"/>
      <c r="E11" s="81">
        <f>'August 2024'!BB36</f>
        <v>74</v>
      </c>
      <c r="F11" s="68"/>
      <c r="G11" s="87"/>
      <c r="H11" s="81">
        <f>'August 2024'!BQ36</f>
        <v>42</v>
      </c>
    </row>
    <row r="12" spans="1:90" x14ac:dyDescent="0.3">
      <c r="A12" s="82"/>
      <c r="B12" s="26" t="e">
        <f>'August 2024'!J36</f>
        <v>#DIV/0!</v>
      </c>
      <c r="C12" s="68"/>
      <c r="D12" s="86"/>
      <c r="E12" s="26">
        <f>'August 2024'!BC36</f>
        <v>6.1216216216216219</v>
      </c>
      <c r="F12" s="68"/>
      <c r="G12" s="88"/>
      <c r="H12" s="26">
        <f>'August 2024'!BR36</f>
        <v>6</v>
      </c>
    </row>
    <row r="13" spans="1:90" x14ac:dyDescent="0.3">
      <c r="A13" s="80" t="s">
        <v>11</v>
      </c>
      <c r="B13" s="81">
        <f>'August 2024'!Q36</f>
        <v>1022</v>
      </c>
      <c r="C13" s="68"/>
      <c r="D13" s="85" t="s">
        <v>22</v>
      </c>
      <c r="E13" s="81">
        <f>'August 2024'!BD36</f>
        <v>39</v>
      </c>
      <c r="F13" s="68"/>
      <c r="G13" s="87" t="s">
        <v>27</v>
      </c>
      <c r="H13" s="81">
        <f>'August 2024'!BS36</f>
        <v>0</v>
      </c>
    </row>
    <row r="14" spans="1:90" x14ac:dyDescent="0.3">
      <c r="A14" s="80"/>
      <c r="B14" s="81">
        <f>'August 2024'!R36</f>
        <v>186</v>
      </c>
      <c r="C14" s="68"/>
      <c r="D14" s="85"/>
      <c r="E14" s="81">
        <f>'August 2024'!BE36</f>
        <v>5</v>
      </c>
      <c r="F14" s="68"/>
      <c r="G14" s="87"/>
      <c r="H14" s="81">
        <f>'August 2024'!BT37</f>
        <v>0</v>
      </c>
    </row>
    <row r="15" spans="1:90" x14ac:dyDescent="0.3">
      <c r="A15" s="82"/>
      <c r="B15" s="26">
        <f>'August 2024'!S36</f>
        <v>5.4946236559139781</v>
      </c>
      <c r="C15" s="68"/>
      <c r="D15" s="85"/>
      <c r="E15" s="26">
        <f>'August 2024'!BF36</f>
        <v>7.8</v>
      </c>
      <c r="F15" s="68"/>
      <c r="G15" s="88"/>
      <c r="H15" s="26" t="str">
        <f>'August 2024'!BU36</f>
        <v>-</v>
      </c>
    </row>
    <row r="16" spans="1:90" x14ac:dyDescent="0.3">
      <c r="A16" s="80" t="s">
        <v>44</v>
      </c>
      <c r="B16" s="81">
        <f>'August 2024'!T36</f>
        <v>450</v>
      </c>
      <c r="C16" s="68"/>
      <c r="D16" s="85" t="s">
        <v>45</v>
      </c>
      <c r="E16" s="26">
        <f>'August 2024'!BG37</f>
        <v>0</v>
      </c>
      <c r="F16" s="68"/>
      <c r="G16" s="96" t="s">
        <v>28</v>
      </c>
      <c r="H16" s="97">
        <f>'August 2024'!CB36</f>
        <v>4123</v>
      </c>
    </row>
    <row r="17" spans="1:8" x14ac:dyDescent="0.3">
      <c r="A17" s="80"/>
      <c r="B17" s="81">
        <f>'August 2024'!U36</f>
        <v>99</v>
      </c>
      <c r="C17" s="68"/>
      <c r="D17" s="85"/>
      <c r="E17" s="81">
        <f>'August 2024'!BH36</f>
        <v>20</v>
      </c>
      <c r="F17" s="68"/>
      <c r="G17" s="96"/>
      <c r="H17" s="97">
        <f>'August 2024'!CC36</f>
        <v>663</v>
      </c>
    </row>
    <row r="18" spans="1:8" ht="15" thickBot="1" x14ac:dyDescent="0.35">
      <c r="A18" s="82"/>
      <c r="B18" s="26">
        <f>'August 2024'!V36</f>
        <v>4.5454545454545459</v>
      </c>
      <c r="C18" s="68"/>
      <c r="D18" s="102"/>
      <c r="E18" s="149">
        <f>'August 2024'!BI36</f>
        <v>6.85</v>
      </c>
      <c r="F18" s="68"/>
      <c r="G18" s="98"/>
      <c r="H18" s="99">
        <f>H16/H17</f>
        <v>6.2187028657616894</v>
      </c>
    </row>
    <row r="19" spans="1:8" x14ac:dyDescent="0.3">
      <c r="A19" s="80" t="s">
        <v>55</v>
      </c>
      <c r="B19" s="81">
        <f>'August 2024'!K36</f>
        <v>483</v>
      </c>
      <c r="C19" s="68"/>
    </row>
    <row r="20" spans="1:8" x14ac:dyDescent="0.3">
      <c r="A20" s="80"/>
      <c r="B20" s="81">
        <f>'August 2024'!L36</f>
        <v>62</v>
      </c>
      <c r="C20" s="68"/>
    </row>
    <row r="21" spans="1:8" x14ac:dyDescent="0.3">
      <c r="A21" s="100"/>
      <c r="B21" s="81">
        <f>'August 2024'!M36</f>
        <v>7.790322580645161</v>
      </c>
      <c r="C21" s="68"/>
    </row>
    <row r="22" spans="1:8" x14ac:dyDescent="0.3">
      <c r="A22" s="80" t="s">
        <v>46</v>
      </c>
      <c r="B22" s="142">
        <f>'August 2024'!X36</f>
        <v>33</v>
      </c>
      <c r="C22" s="68"/>
      <c r="D22" s="68"/>
      <c r="E22" s="68"/>
    </row>
    <row r="23" spans="1:8" x14ac:dyDescent="0.3">
      <c r="A23" s="80"/>
      <c r="B23" s="142">
        <f>'August 2024'!W37</f>
        <v>0</v>
      </c>
      <c r="C23" s="68"/>
      <c r="D23" s="68"/>
      <c r="E23" s="68"/>
    </row>
    <row r="24" spans="1:8" ht="15" thickBot="1" x14ac:dyDescent="0.35">
      <c r="A24" s="141"/>
      <c r="B24" s="143">
        <f>'August 2024'!Y36</f>
        <v>4.9696969696969697</v>
      </c>
      <c r="C24" s="68"/>
      <c r="D24" s="68"/>
      <c r="E24" s="68"/>
    </row>
    <row r="25" spans="1:8" x14ac:dyDescent="0.3">
      <c r="A25" s="101" t="s">
        <v>14</v>
      </c>
      <c r="B25" s="93">
        <f>'August 2024'!AC36</f>
        <v>66</v>
      </c>
      <c r="C25" s="68"/>
      <c r="D25" s="68"/>
      <c r="E25" s="68"/>
    </row>
    <row r="26" spans="1:8" x14ac:dyDescent="0.3">
      <c r="A26" s="83"/>
      <c r="B26" s="81">
        <f>'August 2024'!AD36</f>
        <v>18</v>
      </c>
      <c r="C26" s="68"/>
      <c r="D26" s="68"/>
      <c r="E26" s="68"/>
    </row>
    <row r="27" spans="1:8" x14ac:dyDescent="0.3">
      <c r="A27" s="84"/>
      <c r="B27" s="26">
        <f>'August 2024'!AE36</f>
        <v>3.6666666666666665</v>
      </c>
      <c r="C27" s="68"/>
      <c r="D27" s="68"/>
      <c r="E27" s="68"/>
    </row>
    <row r="28" spans="1:8" x14ac:dyDescent="0.3">
      <c r="A28" s="83" t="s">
        <v>15</v>
      </c>
      <c r="B28" s="81">
        <f>'August 2024'!AF36</f>
        <v>8</v>
      </c>
      <c r="C28" s="68"/>
      <c r="F28" s="68"/>
      <c r="G28" s="68"/>
    </row>
    <row r="29" spans="1:8" x14ac:dyDescent="0.3">
      <c r="A29" s="83"/>
      <c r="B29" s="81">
        <f>'August 2024'!AG36</f>
        <v>1</v>
      </c>
      <c r="C29" s="68"/>
      <c r="F29" s="68"/>
      <c r="G29" s="68"/>
    </row>
    <row r="30" spans="1:8" x14ac:dyDescent="0.3">
      <c r="A30" s="84"/>
      <c r="B30" s="275">
        <f>'August 2024'!AH36</f>
        <v>8</v>
      </c>
      <c r="C30" s="68"/>
      <c r="F30" s="68"/>
      <c r="G30" s="68"/>
    </row>
    <row r="31" spans="1:8" x14ac:dyDescent="0.3">
      <c r="A31" s="83" t="s">
        <v>16</v>
      </c>
      <c r="B31" s="81">
        <f>'August 2024'!AI36</f>
        <v>46</v>
      </c>
      <c r="C31" s="68"/>
      <c r="F31" s="68"/>
      <c r="G31" s="68"/>
    </row>
    <row r="32" spans="1:8" x14ac:dyDescent="0.3">
      <c r="A32" s="83"/>
      <c r="B32" s="81">
        <f>'August 2024'!AJ36</f>
        <v>12</v>
      </c>
      <c r="C32" s="68"/>
      <c r="F32" s="68"/>
      <c r="G32" s="68"/>
    </row>
    <row r="33" spans="1:7" x14ac:dyDescent="0.3">
      <c r="A33" s="84"/>
      <c r="B33" s="26">
        <f>'August 2024'!AK36</f>
        <v>3.8333333333333335</v>
      </c>
      <c r="C33" s="68"/>
      <c r="F33" s="68"/>
      <c r="G33" s="68"/>
    </row>
    <row r="34" spans="1:7" x14ac:dyDescent="0.3">
      <c r="A34" s="83" t="s">
        <v>17</v>
      </c>
      <c r="B34" s="81">
        <f>'August 2024'!AL36</f>
        <v>0</v>
      </c>
      <c r="C34" s="68"/>
      <c r="F34" s="68"/>
      <c r="G34" s="68"/>
    </row>
    <row r="35" spans="1:7" x14ac:dyDescent="0.3">
      <c r="A35" s="83"/>
      <c r="B35" s="81">
        <f>'August 2024'!AM36</f>
        <v>0</v>
      </c>
      <c r="C35" s="68"/>
      <c r="F35" s="68"/>
      <c r="G35" s="68"/>
    </row>
    <row r="36" spans="1:7" x14ac:dyDescent="0.3">
      <c r="A36" s="84"/>
      <c r="B36" s="26" t="e">
        <f>'August 2024'!AN36</f>
        <v>#DIV/0!</v>
      </c>
      <c r="C36" s="68"/>
      <c r="F36" s="68"/>
      <c r="G36" s="68"/>
    </row>
    <row r="37" spans="1:7" x14ac:dyDescent="0.3">
      <c r="A37" s="83" t="s">
        <v>59</v>
      </c>
      <c r="B37" s="81">
        <f>'August 2024'!AO36</f>
        <v>36</v>
      </c>
      <c r="C37" s="68"/>
      <c r="F37" s="68"/>
      <c r="G37" s="68"/>
    </row>
    <row r="38" spans="1:7" x14ac:dyDescent="0.3">
      <c r="A38" s="83"/>
      <c r="B38" s="81">
        <f>'August 2024'!AP36</f>
        <v>10</v>
      </c>
      <c r="C38" s="68"/>
      <c r="F38" s="68"/>
      <c r="G38" s="68"/>
    </row>
    <row r="39" spans="1:7" ht="15" thickBot="1" x14ac:dyDescent="0.35">
      <c r="A39" s="94"/>
      <c r="B39" s="89">
        <f>'August 2024'!AQ36</f>
        <v>3.6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2C1E-DA47-4692-AC2E-C138E4922173}">
  <dimension ref="A1:CG125"/>
  <sheetViews>
    <sheetView workbookViewId="0">
      <pane xSplit="9" ySplit="11" topLeftCell="BO29" activePane="bottomRight" state="frozen"/>
      <selection pane="topRight" activeCell="J1" sqref="J1"/>
      <selection pane="bottomLeft" activeCell="A12" sqref="A12"/>
      <selection pane="bottomRight" activeCell="A2" sqref="A2"/>
    </sheetView>
  </sheetViews>
  <sheetFormatPr defaultRowHeight="14.4" x14ac:dyDescent="0.3"/>
  <cols>
    <col min="1" max="1" width="19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customWidth="1"/>
    <col min="25" max="37" width="9.6640625" style="2" customWidth="1"/>
    <col min="38" max="39" width="8.88671875" customWidth="1"/>
    <col min="40" max="40" width="8.88671875" style="2" customWidth="1"/>
    <col min="41" max="42" width="8.88671875" customWidth="1"/>
    <col min="43" max="43" width="8.88671875" style="2" customWidth="1"/>
    <col min="44" max="45" width="8.88671875" customWidth="1"/>
    <col min="46" max="46" width="8.88671875" style="2" customWidth="1"/>
    <col min="47" max="48" width="8.88671875" customWidth="1"/>
    <col min="49" max="49" width="7.33203125" style="2" customWidth="1"/>
    <col min="50" max="50" width="8.33203125" customWidth="1"/>
    <col min="51" max="51" width="9.6640625" customWidth="1"/>
    <col min="52" max="52" width="11.88671875" style="2" customWidth="1"/>
    <col min="53" max="53" width="8.33203125" customWidth="1"/>
    <col min="54" max="54" width="9.6640625" customWidth="1"/>
    <col min="55" max="55" width="11.88671875" style="2" customWidth="1"/>
    <col min="56" max="57" width="8.88671875" customWidth="1"/>
    <col min="58" max="58" width="8.88671875" style="2" customWidth="1"/>
    <col min="59" max="60" width="8.88671875" customWidth="1"/>
    <col min="61" max="61" width="8.88671875" style="2" customWidth="1"/>
    <col min="62" max="63" width="8.88671875" customWidth="1"/>
    <col min="64" max="64" width="8.88671875" style="2" customWidth="1"/>
    <col min="65" max="67" width="8.88671875" customWidth="1"/>
    <col min="68" max="69" width="8.88671875" hidden="1" customWidth="1"/>
    <col min="70" max="70" width="8.88671875" style="2" hidden="1" customWidth="1"/>
    <col min="73" max="73" width="8.88671875" style="2"/>
    <col min="76" max="76" width="8.88671875" style="2"/>
    <col min="79" max="79" width="9.33203125" style="2" customWidth="1"/>
    <col min="82" max="82" width="8.88671875" style="2"/>
    <col min="83" max="83" width="9.109375" style="79" bestFit="1" customWidth="1"/>
    <col min="84" max="84" width="8.88671875" style="79"/>
    <col min="85" max="85" width="8.88671875" style="2"/>
  </cols>
  <sheetData>
    <row r="1" spans="1:85" ht="18.600000000000001" thickBot="1" x14ac:dyDescent="0.4">
      <c r="A1" s="290" t="s">
        <v>72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8"/>
      <c r="AM1" s="68"/>
      <c r="AN1" s="69"/>
      <c r="AO1" s="68"/>
      <c r="AP1" s="68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8"/>
      <c r="BP1" s="68"/>
      <c r="BQ1" s="68"/>
      <c r="BR1" s="69"/>
      <c r="BS1" s="68"/>
      <c r="BT1" s="68"/>
      <c r="BU1" s="69"/>
      <c r="BV1" s="68"/>
      <c r="BW1" s="68"/>
      <c r="BX1" s="69"/>
      <c r="BY1" s="68"/>
      <c r="BZ1" s="68"/>
      <c r="CA1" s="69"/>
      <c r="CB1" s="68"/>
      <c r="CC1" s="68"/>
      <c r="CD1" s="69"/>
      <c r="CE1" s="113"/>
      <c r="CF1" s="113"/>
      <c r="CG1" s="69"/>
    </row>
    <row r="2" spans="1:85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1"/>
      <c r="AM2" s="72" t="s">
        <v>3</v>
      </c>
      <c r="AN2" s="73"/>
      <c r="AO2" s="71"/>
      <c r="AP2" s="72" t="s">
        <v>3</v>
      </c>
      <c r="AQ2" s="74"/>
      <c r="AR2" s="72"/>
      <c r="AS2" s="72" t="s">
        <v>4</v>
      </c>
      <c r="AT2" s="73"/>
      <c r="AU2" s="71"/>
      <c r="AV2" s="72" t="s">
        <v>4</v>
      </c>
      <c r="AW2" s="74"/>
      <c r="AX2" s="72"/>
      <c r="AY2" s="72" t="s">
        <v>4</v>
      </c>
      <c r="AZ2" s="282"/>
      <c r="BA2" s="72"/>
      <c r="BB2" s="72" t="s">
        <v>4</v>
      </c>
      <c r="BC2" s="74"/>
      <c r="BD2" s="108"/>
      <c r="BE2" s="109" t="s">
        <v>5</v>
      </c>
      <c r="BF2" s="110"/>
      <c r="BG2" s="108"/>
      <c r="BH2" s="109" t="s">
        <v>5</v>
      </c>
      <c r="BI2" s="111"/>
      <c r="BJ2" s="109"/>
      <c r="BK2" s="109" t="s">
        <v>5</v>
      </c>
      <c r="BL2" s="110"/>
      <c r="BM2" s="108"/>
      <c r="BN2" s="109" t="s">
        <v>5</v>
      </c>
      <c r="BO2" s="112"/>
      <c r="BP2" s="109"/>
      <c r="BQ2" s="109" t="s">
        <v>5</v>
      </c>
      <c r="BR2" s="111"/>
      <c r="BS2" s="71"/>
      <c r="BT2" s="72" t="s">
        <v>6</v>
      </c>
      <c r="BU2" s="74"/>
      <c r="BV2" s="75"/>
      <c r="BW2" s="75" t="s">
        <v>6</v>
      </c>
      <c r="BX2" s="76"/>
      <c r="BY2" s="71"/>
      <c r="BZ2" s="72" t="s">
        <v>6</v>
      </c>
      <c r="CA2" s="74"/>
      <c r="CB2" s="75"/>
      <c r="CC2" s="75" t="s">
        <v>6</v>
      </c>
      <c r="CD2" s="76"/>
      <c r="CE2" s="114" t="s">
        <v>7</v>
      </c>
      <c r="CF2" s="119"/>
      <c r="CG2" s="74"/>
    </row>
    <row r="3" spans="1:85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74</v>
      </c>
      <c r="AD3" s="35"/>
      <c r="AE3" s="35"/>
      <c r="AF3" s="3" t="s">
        <v>62</v>
      </c>
      <c r="AG3" s="4"/>
      <c r="AH3" s="33"/>
      <c r="AI3" s="3" t="s">
        <v>75</v>
      </c>
      <c r="AJ3" s="4"/>
      <c r="AK3" s="33"/>
      <c r="AL3" s="47" t="s">
        <v>14</v>
      </c>
      <c r="AM3" s="47"/>
      <c r="AN3" s="49"/>
      <c r="AO3" s="46" t="s">
        <v>15</v>
      </c>
      <c r="AP3" s="47"/>
      <c r="AQ3" s="48"/>
      <c r="AR3" s="47" t="s">
        <v>16</v>
      </c>
      <c r="AS3" s="47"/>
      <c r="AT3" s="49"/>
      <c r="AU3" s="46" t="s">
        <v>17</v>
      </c>
      <c r="AV3" s="47"/>
      <c r="AW3" s="48"/>
      <c r="AX3" s="47" t="s">
        <v>63</v>
      </c>
      <c r="AY3" s="47"/>
      <c r="AZ3" s="287"/>
      <c r="BA3" s="47" t="s">
        <v>64</v>
      </c>
      <c r="BB3" s="47"/>
      <c r="BC3" s="49"/>
      <c r="BD3" s="9" t="s">
        <v>36</v>
      </c>
      <c r="BE3" s="7"/>
      <c r="BF3" s="29"/>
      <c r="BG3" s="9" t="s">
        <v>37</v>
      </c>
      <c r="BH3" s="7"/>
      <c r="BI3" s="31"/>
      <c r="BJ3" s="7" t="s">
        <v>38</v>
      </c>
      <c r="BK3" s="7"/>
      <c r="BL3" s="29"/>
      <c r="BM3" s="9" t="s">
        <v>39</v>
      </c>
      <c r="BN3" s="7"/>
      <c r="BO3" s="8"/>
      <c r="BP3" s="7" t="s">
        <v>40</v>
      </c>
      <c r="BQ3" s="7"/>
      <c r="BR3" s="31"/>
      <c r="BS3" s="13" t="s">
        <v>24</v>
      </c>
      <c r="BT3" s="14"/>
      <c r="BU3" s="27"/>
      <c r="BV3" s="14" t="s">
        <v>25</v>
      </c>
      <c r="BW3" s="14"/>
      <c r="BX3" s="55"/>
      <c r="BY3" s="13" t="s">
        <v>26</v>
      </c>
      <c r="BZ3" s="14"/>
      <c r="CA3" s="27"/>
      <c r="CB3" s="14" t="s">
        <v>27</v>
      </c>
      <c r="CC3" s="14"/>
      <c r="CD3" s="55"/>
      <c r="CE3" s="115" t="s">
        <v>28</v>
      </c>
      <c r="CF3" s="115"/>
      <c r="CG3" s="24"/>
    </row>
    <row r="4" spans="1:85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1" t="s">
        <v>7</v>
      </c>
      <c r="AM4" s="51" t="s">
        <v>30</v>
      </c>
      <c r="AN4" s="53" t="s">
        <v>31</v>
      </c>
      <c r="AO4" s="50" t="s">
        <v>7</v>
      </c>
      <c r="AP4" s="51" t="s">
        <v>30</v>
      </c>
      <c r="AQ4" s="52" t="s">
        <v>31</v>
      </c>
      <c r="AR4" s="51" t="s">
        <v>7</v>
      </c>
      <c r="AS4" s="51" t="s">
        <v>30</v>
      </c>
      <c r="AT4" s="53" t="s">
        <v>31</v>
      </c>
      <c r="AU4" s="50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288" t="s">
        <v>31</v>
      </c>
      <c r="BA4" s="51" t="s">
        <v>7</v>
      </c>
      <c r="BB4" s="51" t="s">
        <v>30</v>
      </c>
      <c r="BC4" s="53" t="s">
        <v>31</v>
      </c>
      <c r="BD4" s="12" t="s">
        <v>7</v>
      </c>
      <c r="BE4" s="10" t="s">
        <v>30</v>
      </c>
      <c r="BF4" s="30" t="s">
        <v>31</v>
      </c>
      <c r="BG4" s="12" t="s">
        <v>7</v>
      </c>
      <c r="BH4" s="10" t="s">
        <v>30</v>
      </c>
      <c r="BI4" s="32" t="s">
        <v>31</v>
      </c>
      <c r="BJ4" s="10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11" t="s">
        <v>31</v>
      </c>
      <c r="BP4" s="10" t="s">
        <v>7</v>
      </c>
      <c r="BQ4" s="10" t="s">
        <v>30</v>
      </c>
      <c r="BR4" s="32" t="s">
        <v>31</v>
      </c>
      <c r="BS4" s="15" t="s">
        <v>7</v>
      </c>
      <c r="BT4" s="16" t="s">
        <v>30</v>
      </c>
      <c r="BU4" s="28" t="s">
        <v>31</v>
      </c>
      <c r="BV4" s="16" t="s">
        <v>7</v>
      </c>
      <c r="BW4" s="16" t="s">
        <v>30</v>
      </c>
      <c r="BX4" s="57" t="s">
        <v>31</v>
      </c>
      <c r="BY4" s="15" t="s">
        <v>7</v>
      </c>
      <c r="BZ4" s="16" t="s">
        <v>30</v>
      </c>
      <c r="CA4" s="28" t="s">
        <v>31</v>
      </c>
      <c r="CB4" s="16" t="s">
        <v>7</v>
      </c>
      <c r="CC4" s="16" t="s">
        <v>30</v>
      </c>
      <c r="CD4" s="57" t="s">
        <v>31</v>
      </c>
      <c r="CE4" s="116" t="s">
        <v>7</v>
      </c>
      <c r="CF4" s="116" t="s">
        <v>30</v>
      </c>
      <c r="CG4" s="146" t="s">
        <v>31</v>
      </c>
    </row>
    <row r="5" spans="1:85" ht="15" thickBot="1" x14ac:dyDescent="0.35">
      <c r="A5" s="294">
        <v>45536</v>
      </c>
      <c r="B5" s="125">
        <v>0</v>
      </c>
      <c r="C5" s="126">
        <v>0</v>
      </c>
      <c r="D5" s="276" t="str">
        <f t="shared" ref="D5:D34" si="0">IF(C5=0,"-",B5/C5)</f>
        <v>-</v>
      </c>
      <c r="E5" s="125">
        <v>0</v>
      </c>
      <c r="F5" s="126">
        <v>0</v>
      </c>
      <c r="G5" s="276" t="str">
        <f t="shared" ref="G5:G34" si="1">IF(F5=0,"-",E5/F5)</f>
        <v>-</v>
      </c>
      <c r="H5" s="125"/>
      <c r="I5" s="126"/>
      <c r="J5" s="276" t="str">
        <f t="shared" ref="J5:J6" si="2">IF(I5=0,"-",H5/I5)</f>
        <v>-</v>
      </c>
      <c r="K5" s="125">
        <v>0</v>
      </c>
      <c r="L5" s="126">
        <v>0</v>
      </c>
      <c r="M5" s="276" t="str">
        <f t="shared" ref="M5:M34" si="3">IF(L5=0,"-",K5/L5)</f>
        <v>-</v>
      </c>
      <c r="N5" s="125">
        <v>0</v>
      </c>
      <c r="O5" s="126">
        <v>0</v>
      </c>
      <c r="P5" s="276" t="str">
        <f t="shared" ref="P5:P28" si="4">IF(O5=0,"-",N5/O5)</f>
        <v>-</v>
      </c>
      <c r="Q5" s="125">
        <v>0</v>
      </c>
      <c r="R5" s="126">
        <v>0</v>
      </c>
      <c r="S5" s="276" t="str">
        <f t="shared" ref="S5:S34" si="5">IF(R5=0,"-",Q5/R5)</f>
        <v>-</v>
      </c>
      <c r="T5" s="125">
        <v>0</v>
      </c>
      <c r="U5" s="126">
        <v>0</v>
      </c>
      <c r="V5" s="276" t="str">
        <f t="shared" ref="V5:V34" si="6">IF(U5=0,"-",T5/U5)</f>
        <v>-</v>
      </c>
      <c r="W5" s="125">
        <v>0</v>
      </c>
      <c r="X5" s="126">
        <v>0</v>
      </c>
      <c r="Y5" s="298" t="str">
        <f t="shared" ref="Y5:Y33" si="7">IF(X5=0,"-",W5/X5)</f>
        <v>-</v>
      </c>
      <c r="Z5" s="125">
        <v>0</v>
      </c>
      <c r="AA5" s="126">
        <v>0</v>
      </c>
      <c r="AB5" s="298" t="str">
        <f t="shared" ref="AB5:AB34" si="8">IF(AA5=0,"-",Z5/AA5)</f>
        <v>-</v>
      </c>
      <c r="AC5" s="125">
        <v>4</v>
      </c>
      <c r="AD5" s="126">
        <v>1</v>
      </c>
      <c r="AE5" s="298">
        <f t="shared" ref="AE5:AE34" si="9">IF(AD5=0,"-",AC5/AD5)</f>
        <v>4</v>
      </c>
      <c r="AF5" s="125">
        <v>0</v>
      </c>
      <c r="AG5" s="126">
        <v>0</v>
      </c>
      <c r="AH5" s="139"/>
      <c r="AI5" s="125">
        <v>0</v>
      </c>
      <c r="AJ5" s="126">
        <v>0</v>
      </c>
      <c r="AK5" s="139"/>
      <c r="AL5" s="279">
        <v>0</v>
      </c>
      <c r="AM5" s="126">
        <v>0</v>
      </c>
      <c r="AN5" s="276">
        <v>0</v>
      </c>
      <c r="AO5" s="125">
        <v>0</v>
      </c>
      <c r="AP5" s="126">
        <v>0</v>
      </c>
      <c r="AQ5" s="276" t="str">
        <f t="shared" ref="AQ5:AQ25" si="10">IF(AP5=0,"-",AO5/AP5)</f>
        <v>-</v>
      </c>
      <c r="AR5" s="125">
        <v>0</v>
      </c>
      <c r="AS5" s="126">
        <v>0</v>
      </c>
      <c r="AT5" s="276" t="str">
        <f t="shared" ref="AT5:AT30" si="11">IF(AS5=0,"-",AR5/AS5)</f>
        <v>-</v>
      </c>
      <c r="AU5" s="125">
        <v>0</v>
      </c>
      <c r="AV5" s="126">
        <v>0</v>
      </c>
      <c r="AW5" s="276" t="str">
        <f t="shared" ref="AW5:AW28" si="12">IF(AV5=0,"-",AU5/AV5)</f>
        <v>-</v>
      </c>
      <c r="AX5" s="125">
        <v>0</v>
      </c>
      <c r="AY5" s="126">
        <v>0</v>
      </c>
      <c r="AZ5" s="276" t="str">
        <f t="shared" ref="AZ5:AZ28" si="13">IF(AY5=0,"-",AX5/AY5)</f>
        <v>-</v>
      </c>
      <c r="BA5" s="125">
        <v>0</v>
      </c>
      <c r="BB5" s="126">
        <v>0</v>
      </c>
      <c r="BC5" s="276" t="str">
        <f t="shared" ref="BC5:BC28" si="14">IF(BB5=0,"-",BA5/BB5)</f>
        <v>-</v>
      </c>
      <c r="BD5" s="125">
        <v>6</v>
      </c>
      <c r="BE5" s="126">
        <v>1</v>
      </c>
      <c r="BF5" s="276">
        <f t="shared" ref="BF5:BF34" si="15">IF(BE5=0,"-",BD5/BE5)</f>
        <v>6</v>
      </c>
      <c r="BG5" s="125">
        <v>0</v>
      </c>
      <c r="BH5" s="126">
        <v>0</v>
      </c>
      <c r="BI5" s="276" t="str">
        <f t="shared" ref="BI5:BI29" si="16">IF(BH5=0,"-",BG5/BH5)</f>
        <v>-</v>
      </c>
      <c r="BJ5" s="125">
        <v>0</v>
      </c>
      <c r="BK5" s="126">
        <v>0</v>
      </c>
      <c r="BL5" s="276" t="str">
        <f t="shared" ref="BL5:BL34" si="17">IF(BK5=0,"-",BJ5/BK5)</f>
        <v>-</v>
      </c>
      <c r="BM5" s="125">
        <v>7</v>
      </c>
      <c r="BN5" s="126">
        <v>1</v>
      </c>
      <c r="BO5" s="276">
        <f t="shared" ref="BO5:BO30" si="18">IF(BN5=0,"-",BM5/BN5)</f>
        <v>7</v>
      </c>
      <c r="BP5" s="125">
        <v>0</v>
      </c>
      <c r="BQ5" s="126">
        <v>0</v>
      </c>
      <c r="BR5" s="276" t="str">
        <f t="shared" ref="BR5:BR34" si="19">IF(BQ5=0,"-",BP5/BQ5)</f>
        <v>-</v>
      </c>
      <c r="BS5" s="125">
        <v>0</v>
      </c>
      <c r="BT5" s="126">
        <v>0</v>
      </c>
      <c r="BU5" s="276" t="str">
        <f t="shared" ref="BU5:BU34" si="20">IF(BT5=0,"-",BS5/BT5)</f>
        <v>-</v>
      </c>
      <c r="BV5" s="125">
        <v>0</v>
      </c>
      <c r="BW5" s="126">
        <v>0</v>
      </c>
      <c r="BX5" s="276">
        <v>0</v>
      </c>
      <c r="BY5" s="125">
        <v>0</v>
      </c>
      <c r="BZ5" s="126">
        <v>0</v>
      </c>
      <c r="CA5" s="276" t="str">
        <f t="shared" ref="CA5:CA29" si="21">IF(BZ5=0,"-",BY5/BZ5)</f>
        <v>-</v>
      </c>
      <c r="CB5" s="125">
        <v>0</v>
      </c>
      <c r="CC5" s="126">
        <v>0</v>
      </c>
      <c r="CD5" s="276" t="str">
        <f t="shared" ref="CD5:CD29" si="22">IF(CC5=0,"-",CB5/CC5)</f>
        <v>-</v>
      </c>
      <c r="CE5" s="117">
        <f>B5+E5+K5+Q5+T5+W5+Z5+AC5+AF5+AI5+AL5+AO5+AR5+AU5+AX5+BA5+BD5+BG5+BJ5+BM5+BS5+BV5+BY5+CB5</f>
        <v>17</v>
      </c>
      <c r="CF5" s="120">
        <f>C5+F5+L5+R5+U5+X5+AA5+AD5+AG5+AJ5+AM5+AP5+AS5+AV5+AY5+BB5+BE5+BH5+BK5+BN5+BT5+BW5+BZ5+CC5</f>
        <v>3</v>
      </c>
      <c r="CG5" s="147">
        <f t="shared" ref="CG5:CG35" si="23">IF(CF5=0,"",CE5/CF5)</f>
        <v>5.666666666666667</v>
      </c>
    </row>
    <row r="6" spans="1:85" ht="15" thickBot="1" x14ac:dyDescent="0.35">
      <c r="A6" s="294">
        <v>45537</v>
      </c>
      <c r="B6" s="20">
        <v>15</v>
      </c>
      <c r="C6" s="21">
        <v>2</v>
      </c>
      <c r="D6" s="139">
        <f t="shared" si="0"/>
        <v>7.5</v>
      </c>
      <c r="E6" s="20">
        <v>8</v>
      </c>
      <c r="F6" s="21">
        <v>1</v>
      </c>
      <c r="G6" s="139">
        <f t="shared" si="1"/>
        <v>8</v>
      </c>
      <c r="H6" s="20"/>
      <c r="I6" s="21"/>
      <c r="J6" s="139" t="str">
        <f t="shared" si="2"/>
        <v>-</v>
      </c>
      <c r="K6" s="125">
        <v>0</v>
      </c>
      <c r="L6" s="126">
        <v>0</v>
      </c>
      <c r="M6" s="276" t="str">
        <f t="shared" ref="M6" si="24">IF(L6=0,"-",K6/L6)</f>
        <v>-</v>
      </c>
      <c r="N6" s="125">
        <v>0</v>
      </c>
      <c r="O6" s="126">
        <v>0</v>
      </c>
      <c r="P6" s="276" t="str">
        <f t="shared" ref="P6" si="25">IF(O6=0,"-",N6/O6)</f>
        <v>-</v>
      </c>
      <c r="Q6" s="20">
        <v>27</v>
      </c>
      <c r="R6" s="21">
        <v>6</v>
      </c>
      <c r="S6" s="139">
        <f t="shared" si="5"/>
        <v>4.5</v>
      </c>
      <c r="T6" s="20">
        <v>55</v>
      </c>
      <c r="U6" s="21">
        <v>11</v>
      </c>
      <c r="V6" s="139">
        <f t="shared" si="6"/>
        <v>5</v>
      </c>
      <c r="W6" s="20">
        <v>18</v>
      </c>
      <c r="X6" s="21">
        <v>3</v>
      </c>
      <c r="Y6" s="278">
        <f t="shared" si="7"/>
        <v>6</v>
      </c>
      <c r="Z6" s="20">
        <v>10</v>
      </c>
      <c r="AA6" s="21">
        <v>2</v>
      </c>
      <c r="AB6" s="278">
        <f t="shared" si="8"/>
        <v>5</v>
      </c>
      <c r="AC6" s="20">
        <v>0</v>
      </c>
      <c r="AD6" s="21">
        <v>0</v>
      </c>
      <c r="AE6" s="278" t="str">
        <f t="shared" si="9"/>
        <v>-</v>
      </c>
      <c r="AF6" s="20">
        <v>0</v>
      </c>
      <c r="AG6" s="21">
        <v>0</v>
      </c>
      <c r="AH6" s="139"/>
      <c r="AI6" s="20">
        <v>0</v>
      </c>
      <c r="AJ6" s="21">
        <v>0</v>
      </c>
      <c r="AK6" s="139"/>
      <c r="AL6" s="23">
        <v>9</v>
      </c>
      <c r="AM6" s="21">
        <v>1</v>
      </c>
      <c r="AN6" s="139">
        <f t="shared" ref="AN6:AN30" si="26">IF(AM6=0,"-",AL6/AM6)</f>
        <v>9</v>
      </c>
      <c r="AO6" s="20">
        <v>0</v>
      </c>
      <c r="AP6" s="21">
        <v>0</v>
      </c>
      <c r="AQ6" s="139" t="str">
        <f t="shared" si="10"/>
        <v>-</v>
      </c>
      <c r="AR6" s="20">
        <v>0</v>
      </c>
      <c r="AS6" s="21">
        <v>0</v>
      </c>
      <c r="AT6" s="139" t="str">
        <f t="shared" si="11"/>
        <v>-</v>
      </c>
      <c r="AU6" s="20">
        <v>0</v>
      </c>
      <c r="AV6" s="21">
        <v>0</v>
      </c>
      <c r="AW6" s="276" t="str">
        <f t="shared" si="12"/>
        <v>-</v>
      </c>
      <c r="AX6" s="20">
        <v>0</v>
      </c>
      <c r="AY6" s="21">
        <v>0</v>
      </c>
      <c r="AZ6" s="139" t="str">
        <f t="shared" si="13"/>
        <v>-</v>
      </c>
      <c r="BA6" s="20">
        <v>0</v>
      </c>
      <c r="BB6" s="21">
        <v>0</v>
      </c>
      <c r="BC6" s="139" t="str">
        <f t="shared" si="14"/>
        <v>-</v>
      </c>
      <c r="BD6" s="20">
        <v>13</v>
      </c>
      <c r="BE6" s="21">
        <v>2</v>
      </c>
      <c r="BF6" s="139">
        <f t="shared" si="15"/>
        <v>6.5</v>
      </c>
      <c r="BG6" s="20">
        <v>0</v>
      </c>
      <c r="BH6" s="21">
        <v>0</v>
      </c>
      <c r="BI6" s="139" t="str">
        <f t="shared" si="16"/>
        <v>-</v>
      </c>
      <c r="BJ6" s="20">
        <v>0</v>
      </c>
      <c r="BK6" s="21">
        <v>0</v>
      </c>
      <c r="BL6" s="139" t="str">
        <f t="shared" si="17"/>
        <v>-</v>
      </c>
      <c r="BM6" s="20">
        <v>7</v>
      </c>
      <c r="BN6" s="21">
        <v>1</v>
      </c>
      <c r="BO6" s="139">
        <f t="shared" si="18"/>
        <v>7</v>
      </c>
      <c r="BP6" s="20">
        <v>0</v>
      </c>
      <c r="BQ6" s="21">
        <v>0</v>
      </c>
      <c r="BR6" s="139" t="str">
        <f t="shared" si="19"/>
        <v>-</v>
      </c>
      <c r="BS6" s="20">
        <v>6</v>
      </c>
      <c r="BT6" s="21">
        <v>1</v>
      </c>
      <c r="BU6" s="139">
        <f t="shared" si="20"/>
        <v>6</v>
      </c>
      <c r="BV6" s="20">
        <v>0</v>
      </c>
      <c r="BW6" s="21">
        <v>0</v>
      </c>
      <c r="BX6" s="139" t="str">
        <f t="shared" ref="BX6:BX7" si="27">IF(BW6=0,"-",BV6/BW6)</f>
        <v>-</v>
      </c>
      <c r="BY6" s="20">
        <v>0</v>
      </c>
      <c r="BZ6" s="21">
        <v>0</v>
      </c>
      <c r="CA6" s="139" t="str">
        <f t="shared" si="21"/>
        <v>-</v>
      </c>
      <c r="CB6" s="20">
        <v>0</v>
      </c>
      <c r="CC6" s="21">
        <v>0</v>
      </c>
      <c r="CD6" s="139" t="str">
        <f t="shared" si="22"/>
        <v>-</v>
      </c>
      <c r="CE6" s="117">
        <f t="shared" ref="CE6:CE34" si="28">B6+E6+K6+Q6+T6+W6+Z6+AC6+AF6+AI6+AL6+AO6+AR6+AU6+AX6+BA6+BD6+BG6+BJ6+BM6+BS6+BV6+BY6+CB6</f>
        <v>168</v>
      </c>
      <c r="CF6" s="120">
        <f t="shared" ref="CF6:CF34" si="29">C6+F6+L6+R6+U6+X6+AA6+AD6+AG6+AJ6+AM6+AP6+AS6+AV6+AY6+BB6+BE6+BH6+BK6+BN6+BT6+BW6+BZ6+CC6</f>
        <v>30</v>
      </c>
      <c r="CG6" s="147">
        <f t="shared" si="23"/>
        <v>5.6</v>
      </c>
    </row>
    <row r="7" spans="1:85" ht="15" thickBot="1" x14ac:dyDescent="0.35">
      <c r="A7" s="294">
        <v>45538</v>
      </c>
      <c r="B7" s="20">
        <v>125</v>
      </c>
      <c r="C7" s="21">
        <v>14</v>
      </c>
      <c r="D7" s="139">
        <f t="shared" si="0"/>
        <v>8.9285714285714288</v>
      </c>
      <c r="E7" s="23">
        <v>0</v>
      </c>
      <c r="F7" s="21">
        <v>0</v>
      </c>
      <c r="G7" s="139" t="str">
        <f t="shared" si="1"/>
        <v>-</v>
      </c>
      <c r="H7" s="20"/>
      <c r="I7" s="21"/>
      <c r="J7" s="139" t="str">
        <f>IF(I7=0,"-",H7/I7)</f>
        <v>-</v>
      </c>
      <c r="K7" s="20">
        <v>4</v>
      </c>
      <c r="L7" s="21">
        <v>1</v>
      </c>
      <c r="M7" s="139">
        <f t="shared" si="3"/>
        <v>4</v>
      </c>
      <c r="N7" s="125">
        <v>0</v>
      </c>
      <c r="O7" s="126">
        <v>0</v>
      </c>
      <c r="P7" s="139" t="str">
        <f t="shared" si="4"/>
        <v>-</v>
      </c>
      <c r="Q7" s="20">
        <v>51</v>
      </c>
      <c r="R7" s="21">
        <v>10</v>
      </c>
      <c r="S7" s="139">
        <f t="shared" si="5"/>
        <v>5.0999999999999996</v>
      </c>
      <c r="T7" s="20">
        <v>0</v>
      </c>
      <c r="U7" s="21">
        <v>0</v>
      </c>
      <c r="V7" s="139" t="str">
        <f t="shared" si="6"/>
        <v>-</v>
      </c>
      <c r="W7" s="20">
        <v>0</v>
      </c>
      <c r="X7" s="21">
        <v>0</v>
      </c>
      <c r="Y7" s="278" t="str">
        <f t="shared" si="7"/>
        <v>-</v>
      </c>
      <c r="Z7" s="20">
        <v>0</v>
      </c>
      <c r="AA7" s="21">
        <v>0</v>
      </c>
      <c r="AB7" s="278" t="str">
        <f t="shared" si="8"/>
        <v>-</v>
      </c>
      <c r="AC7" s="20">
        <v>0</v>
      </c>
      <c r="AD7" s="21">
        <v>0</v>
      </c>
      <c r="AE7" s="278" t="str">
        <f t="shared" si="9"/>
        <v>-</v>
      </c>
      <c r="AF7" s="20">
        <v>0</v>
      </c>
      <c r="AG7" s="21">
        <v>0</v>
      </c>
      <c r="AH7" s="139" t="str">
        <f t="shared" ref="AH7:AH34" si="30">IF(AG7=0,"-",AF7/AG7)</f>
        <v>-</v>
      </c>
      <c r="AI7" s="20">
        <v>0</v>
      </c>
      <c r="AJ7" s="21">
        <v>0</v>
      </c>
      <c r="AK7" s="139" t="str">
        <f t="shared" ref="AK7:AK34" si="31">IF(AJ7=0,"-",AI7/AJ7)</f>
        <v>-</v>
      </c>
      <c r="AL7" s="23">
        <v>0</v>
      </c>
      <c r="AM7" s="21">
        <v>0</v>
      </c>
      <c r="AN7" s="139" t="str">
        <f t="shared" si="26"/>
        <v>-</v>
      </c>
      <c r="AO7" s="20">
        <v>0</v>
      </c>
      <c r="AP7" s="21">
        <v>0</v>
      </c>
      <c r="AQ7" s="139" t="str">
        <f t="shared" si="10"/>
        <v>-</v>
      </c>
      <c r="AR7" s="20">
        <v>0</v>
      </c>
      <c r="AS7" s="21">
        <v>0</v>
      </c>
      <c r="AT7" s="139" t="str">
        <f t="shared" si="11"/>
        <v>-</v>
      </c>
      <c r="AU7" s="20">
        <v>0</v>
      </c>
      <c r="AV7" s="21">
        <v>0</v>
      </c>
      <c r="AW7" s="276" t="str">
        <f t="shared" si="12"/>
        <v>-</v>
      </c>
      <c r="AX7" s="20">
        <v>0</v>
      </c>
      <c r="AY7" s="21">
        <v>0</v>
      </c>
      <c r="AZ7" s="139" t="str">
        <f t="shared" si="13"/>
        <v>-</v>
      </c>
      <c r="BA7" s="20">
        <v>0</v>
      </c>
      <c r="BB7" s="21">
        <v>0</v>
      </c>
      <c r="BC7" s="139" t="str">
        <f t="shared" si="14"/>
        <v>-</v>
      </c>
      <c r="BD7" s="252">
        <v>0</v>
      </c>
      <c r="BE7" s="253">
        <v>0</v>
      </c>
      <c r="BF7" s="139" t="str">
        <f t="shared" si="15"/>
        <v>-</v>
      </c>
      <c r="BG7" s="20">
        <v>0</v>
      </c>
      <c r="BH7" s="21">
        <v>0</v>
      </c>
      <c r="BI7" s="139" t="str">
        <f t="shared" si="16"/>
        <v>-</v>
      </c>
      <c r="BJ7" s="20">
        <v>0</v>
      </c>
      <c r="BK7" s="21">
        <v>0</v>
      </c>
      <c r="BL7" s="139" t="str">
        <f t="shared" si="17"/>
        <v>-</v>
      </c>
      <c r="BM7" s="256">
        <v>0</v>
      </c>
      <c r="BN7" s="253">
        <v>0</v>
      </c>
      <c r="BO7" s="139" t="str">
        <f t="shared" si="18"/>
        <v>-</v>
      </c>
      <c r="BP7" s="256">
        <v>0</v>
      </c>
      <c r="BQ7" s="253">
        <v>0</v>
      </c>
      <c r="BR7" s="139" t="str">
        <f t="shared" si="19"/>
        <v>-</v>
      </c>
      <c r="BS7" s="256">
        <v>0</v>
      </c>
      <c r="BT7" s="253">
        <v>0</v>
      </c>
      <c r="BU7" s="139" t="str">
        <f t="shared" si="20"/>
        <v>-</v>
      </c>
      <c r="BV7" s="256">
        <v>0</v>
      </c>
      <c r="BW7" s="253">
        <v>0</v>
      </c>
      <c r="BX7" s="139" t="str">
        <f t="shared" si="27"/>
        <v>-</v>
      </c>
      <c r="BY7" s="256">
        <v>0</v>
      </c>
      <c r="BZ7" s="253">
        <v>0</v>
      </c>
      <c r="CA7" s="139" t="str">
        <f t="shared" si="21"/>
        <v>-</v>
      </c>
      <c r="CB7" s="256">
        <v>0</v>
      </c>
      <c r="CC7" s="253">
        <v>0</v>
      </c>
      <c r="CD7" s="139" t="str">
        <f t="shared" si="22"/>
        <v>-</v>
      </c>
      <c r="CE7" s="117">
        <f t="shared" si="28"/>
        <v>180</v>
      </c>
      <c r="CF7" s="120">
        <f t="shared" si="29"/>
        <v>25</v>
      </c>
      <c r="CG7" s="147">
        <f t="shared" si="23"/>
        <v>7.2</v>
      </c>
    </row>
    <row r="8" spans="1:85" ht="15" thickBot="1" x14ac:dyDescent="0.35">
      <c r="A8" s="294">
        <v>45539</v>
      </c>
      <c r="B8" s="20">
        <v>105</v>
      </c>
      <c r="C8" s="21">
        <v>12</v>
      </c>
      <c r="D8" s="139">
        <f t="shared" si="0"/>
        <v>8.75</v>
      </c>
      <c r="E8" s="23">
        <v>0</v>
      </c>
      <c r="F8" s="21">
        <v>0</v>
      </c>
      <c r="G8" s="139">
        <v>0</v>
      </c>
      <c r="H8" s="20"/>
      <c r="I8" s="21"/>
      <c r="J8" s="139" t="str">
        <f t="shared" ref="J8:J29" si="32">IF(I8=0,"-",H8/I8)</f>
        <v>-</v>
      </c>
      <c r="K8" s="20">
        <v>7</v>
      </c>
      <c r="L8" s="21">
        <v>1</v>
      </c>
      <c r="M8" s="139">
        <f t="shared" si="3"/>
        <v>7</v>
      </c>
      <c r="N8" s="125">
        <v>0</v>
      </c>
      <c r="O8" s="126">
        <v>0</v>
      </c>
      <c r="P8" s="139" t="str">
        <f t="shared" si="4"/>
        <v>-</v>
      </c>
      <c r="Q8" s="20">
        <v>47</v>
      </c>
      <c r="R8" s="21">
        <v>9</v>
      </c>
      <c r="S8" s="139">
        <f t="shared" si="5"/>
        <v>5.2222222222222223</v>
      </c>
      <c r="T8" s="20">
        <v>0</v>
      </c>
      <c r="U8" s="21">
        <v>0</v>
      </c>
      <c r="V8" s="139" t="str">
        <f t="shared" ref="V8" si="33">IF(U8=0,"-",T8/U8)</f>
        <v>-</v>
      </c>
      <c r="W8" s="20">
        <v>0</v>
      </c>
      <c r="X8" s="21">
        <v>0</v>
      </c>
      <c r="Y8" s="278" t="str">
        <f t="shared" ref="Y8" si="34">IF(X8=0,"-",W8/X8)</f>
        <v>-</v>
      </c>
      <c r="Z8" s="20">
        <v>0</v>
      </c>
      <c r="AA8" s="21">
        <v>0</v>
      </c>
      <c r="AB8" s="278" t="str">
        <f t="shared" ref="AB8" si="35">IF(AA8=0,"-",Z8/AA8)</f>
        <v>-</v>
      </c>
      <c r="AC8" s="20">
        <v>0</v>
      </c>
      <c r="AD8" s="21">
        <v>0</v>
      </c>
      <c r="AE8" s="278" t="str">
        <f t="shared" ref="AE8" si="36">IF(AD8=0,"-",AC8/AD8)</f>
        <v>-</v>
      </c>
      <c r="AF8" s="20">
        <v>12</v>
      </c>
      <c r="AG8" s="21">
        <v>3</v>
      </c>
      <c r="AH8" s="139">
        <f t="shared" si="30"/>
        <v>4</v>
      </c>
      <c r="AI8" s="20">
        <v>0</v>
      </c>
      <c r="AJ8" s="21">
        <v>0</v>
      </c>
      <c r="AK8" s="139" t="str">
        <f t="shared" si="31"/>
        <v>-</v>
      </c>
      <c r="AL8" s="23">
        <v>2</v>
      </c>
      <c r="AM8" s="21">
        <v>1</v>
      </c>
      <c r="AN8" s="139">
        <f t="shared" si="26"/>
        <v>2</v>
      </c>
      <c r="AO8" s="20">
        <v>0</v>
      </c>
      <c r="AP8" s="21">
        <v>0</v>
      </c>
      <c r="AQ8" s="139" t="str">
        <f t="shared" ref="AQ8" si="37">IF(AP8=0,"-",AO8/AP8)</f>
        <v>-</v>
      </c>
      <c r="AR8" s="20">
        <v>0</v>
      </c>
      <c r="AS8" s="21">
        <v>0</v>
      </c>
      <c r="AT8" s="139" t="str">
        <f t="shared" ref="AT8" si="38">IF(AS8=0,"-",AR8/AS8)</f>
        <v>-</v>
      </c>
      <c r="AU8" s="20">
        <v>0</v>
      </c>
      <c r="AV8" s="21">
        <v>0</v>
      </c>
      <c r="AW8" s="276" t="str">
        <f t="shared" ref="AW8" si="39">IF(AV8=0,"-",AU8/AV8)</f>
        <v>-</v>
      </c>
      <c r="AX8" s="20">
        <v>0</v>
      </c>
      <c r="AY8" s="21">
        <v>0</v>
      </c>
      <c r="AZ8" s="139" t="str">
        <f t="shared" ref="AZ8" si="40">IF(AY8=0,"-",AX8/AY8)</f>
        <v>-</v>
      </c>
      <c r="BA8" s="20">
        <v>0</v>
      </c>
      <c r="BB8" s="21">
        <v>0</v>
      </c>
      <c r="BC8" s="139" t="str">
        <f t="shared" ref="BC8" si="41">IF(BB8=0,"-",BA8/BB8)</f>
        <v>-</v>
      </c>
      <c r="BD8" s="252">
        <v>13</v>
      </c>
      <c r="BE8" s="253">
        <v>3</v>
      </c>
      <c r="BF8" s="139">
        <f t="shared" si="15"/>
        <v>4.333333333333333</v>
      </c>
      <c r="BG8" s="20">
        <v>0</v>
      </c>
      <c r="BH8" s="21">
        <v>0</v>
      </c>
      <c r="BI8" s="139" t="str">
        <f t="shared" ref="BI8" si="42">IF(BH8=0,"-",BG8/BH8)</f>
        <v>-</v>
      </c>
      <c r="BJ8" s="20">
        <v>0</v>
      </c>
      <c r="BK8" s="21">
        <v>0</v>
      </c>
      <c r="BL8" s="139" t="str">
        <f t="shared" ref="BL8" si="43">IF(BK8=0,"-",BJ8/BK8)</f>
        <v>-</v>
      </c>
      <c r="BM8" s="256">
        <v>0</v>
      </c>
      <c r="BN8" s="253">
        <v>0</v>
      </c>
      <c r="BO8" s="139" t="str">
        <f t="shared" ref="BO8" si="44">IF(BN8=0,"-",BM8/BN8)</f>
        <v>-</v>
      </c>
      <c r="BP8" s="256">
        <v>0</v>
      </c>
      <c r="BQ8" s="253">
        <v>0</v>
      </c>
      <c r="BR8" s="139" t="str">
        <f t="shared" si="19"/>
        <v>-</v>
      </c>
      <c r="BS8" s="256">
        <v>0</v>
      </c>
      <c r="BT8" s="253">
        <v>0</v>
      </c>
      <c r="BU8" s="139" t="str">
        <f t="shared" ref="BU8" si="45">IF(BT8=0,"-",BS8/BT8)</f>
        <v>-</v>
      </c>
      <c r="BV8" s="256">
        <v>0</v>
      </c>
      <c r="BW8" s="253">
        <v>0</v>
      </c>
      <c r="BX8" s="139" t="str">
        <f t="shared" ref="BX8" si="46">IF(BW8=0,"-",BV8/BW8)</f>
        <v>-</v>
      </c>
      <c r="BY8" s="256">
        <v>0</v>
      </c>
      <c r="BZ8" s="253">
        <v>0</v>
      </c>
      <c r="CA8" s="139" t="str">
        <f t="shared" ref="CA8" si="47">IF(BZ8=0,"-",BY8/BZ8)</f>
        <v>-</v>
      </c>
      <c r="CB8" s="256">
        <v>0</v>
      </c>
      <c r="CC8" s="253">
        <v>0</v>
      </c>
      <c r="CD8" s="139" t="str">
        <f t="shared" ref="CD8" si="48">IF(CC8=0,"-",CB8/CC8)</f>
        <v>-</v>
      </c>
      <c r="CE8" s="117">
        <f t="shared" si="28"/>
        <v>186</v>
      </c>
      <c r="CF8" s="120">
        <f t="shared" si="29"/>
        <v>29</v>
      </c>
      <c r="CG8" s="147">
        <f t="shared" si="23"/>
        <v>6.4137931034482758</v>
      </c>
    </row>
    <row r="9" spans="1:85" ht="15" thickBot="1" x14ac:dyDescent="0.35">
      <c r="A9" s="294">
        <v>45540</v>
      </c>
      <c r="B9" s="20">
        <v>8</v>
      </c>
      <c r="C9" s="21">
        <v>1</v>
      </c>
      <c r="D9" s="139">
        <f t="shared" si="0"/>
        <v>8</v>
      </c>
      <c r="E9" s="23">
        <v>6</v>
      </c>
      <c r="F9" s="21">
        <v>1</v>
      </c>
      <c r="G9" s="139">
        <f t="shared" ref="G9:G12" si="49">IF(F9=0,"-",E9/F9)</f>
        <v>6</v>
      </c>
      <c r="H9" s="20"/>
      <c r="I9" s="21"/>
      <c r="J9" s="139" t="str">
        <f t="shared" si="32"/>
        <v>-</v>
      </c>
      <c r="K9" s="20">
        <v>0</v>
      </c>
      <c r="L9" s="21">
        <v>0</v>
      </c>
      <c r="M9" s="139" t="str">
        <f t="shared" si="3"/>
        <v>-</v>
      </c>
      <c r="N9" s="125">
        <v>0</v>
      </c>
      <c r="O9" s="126">
        <v>0</v>
      </c>
      <c r="P9" s="139" t="str">
        <f t="shared" si="4"/>
        <v>-</v>
      </c>
      <c r="Q9" s="20">
        <v>40</v>
      </c>
      <c r="R9" s="21">
        <v>9</v>
      </c>
      <c r="S9" s="139">
        <f t="shared" si="5"/>
        <v>4.4444444444444446</v>
      </c>
      <c r="T9" s="20">
        <v>0</v>
      </c>
      <c r="U9" s="21">
        <v>0</v>
      </c>
      <c r="V9" s="139" t="str">
        <f t="shared" ref="V9" si="50">IF(U9=0,"-",T9/U9)</f>
        <v>-</v>
      </c>
      <c r="W9" s="20">
        <v>0</v>
      </c>
      <c r="X9" s="21">
        <v>0</v>
      </c>
      <c r="Y9" s="278" t="str">
        <f t="shared" ref="Y9" si="51">IF(X9=0,"-",W9/X9)</f>
        <v>-</v>
      </c>
      <c r="Z9" s="20">
        <v>30</v>
      </c>
      <c r="AA9" s="21">
        <v>6</v>
      </c>
      <c r="AB9" s="278">
        <f t="shared" si="8"/>
        <v>5</v>
      </c>
      <c r="AC9" s="20">
        <v>0</v>
      </c>
      <c r="AD9" s="21">
        <v>0</v>
      </c>
      <c r="AE9" s="278" t="str">
        <f t="shared" ref="AE9" si="52">IF(AD9=0,"-",AC9/AD9)</f>
        <v>-</v>
      </c>
      <c r="AF9" s="20">
        <v>0</v>
      </c>
      <c r="AG9" s="21">
        <v>0</v>
      </c>
      <c r="AH9" s="139" t="str">
        <f t="shared" si="30"/>
        <v>-</v>
      </c>
      <c r="AI9" s="20">
        <v>0</v>
      </c>
      <c r="AJ9" s="21">
        <v>0</v>
      </c>
      <c r="AK9" s="139" t="str">
        <f t="shared" si="31"/>
        <v>-</v>
      </c>
      <c r="AL9" s="20">
        <v>2</v>
      </c>
      <c r="AM9" s="21">
        <v>2</v>
      </c>
      <c r="AN9" s="139">
        <f t="shared" si="26"/>
        <v>1</v>
      </c>
      <c r="AO9" s="20">
        <v>0</v>
      </c>
      <c r="AP9" s="21">
        <v>0</v>
      </c>
      <c r="AQ9" s="139" t="str">
        <f t="shared" ref="AQ9:AQ12" si="53">IF(AP9=0,"-",AO9/AP9)</f>
        <v>-</v>
      </c>
      <c r="AR9" s="20">
        <v>2</v>
      </c>
      <c r="AS9" s="21">
        <v>2</v>
      </c>
      <c r="AT9" s="139">
        <f t="shared" si="11"/>
        <v>1</v>
      </c>
      <c r="AU9" s="20">
        <v>0</v>
      </c>
      <c r="AV9" s="21">
        <v>0</v>
      </c>
      <c r="AW9" s="276" t="str">
        <f t="shared" ref="AW9:AW12" si="54">IF(AV9=0,"-",AU9/AV9)</f>
        <v>-</v>
      </c>
      <c r="AX9" s="20">
        <v>0</v>
      </c>
      <c r="AY9" s="21">
        <v>0</v>
      </c>
      <c r="AZ9" s="139" t="str">
        <f t="shared" ref="AZ9:AZ12" si="55">IF(AY9=0,"-",AX9/AY9)</f>
        <v>-</v>
      </c>
      <c r="BA9" s="20">
        <v>0</v>
      </c>
      <c r="BB9" s="21">
        <v>0</v>
      </c>
      <c r="BC9" s="139" t="str">
        <f t="shared" ref="BC9:BC12" si="56">IF(BB9=0,"-",BA9/BB9)</f>
        <v>-</v>
      </c>
      <c r="BD9" s="252">
        <v>6</v>
      </c>
      <c r="BE9" s="253">
        <v>1</v>
      </c>
      <c r="BF9" s="139">
        <f>IF(BE9=0,"-",BD9/BE9)</f>
        <v>6</v>
      </c>
      <c r="BG9" s="20">
        <v>0</v>
      </c>
      <c r="BH9" s="21">
        <v>0</v>
      </c>
      <c r="BI9" s="139" t="str">
        <f t="shared" si="16"/>
        <v>-</v>
      </c>
      <c r="BJ9" s="20">
        <v>7</v>
      </c>
      <c r="BK9" s="21">
        <v>1</v>
      </c>
      <c r="BL9" s="139">
        <f>IF(BK9=0,"-",BJ9/BK9)</f>
        <v>7</v>
      </c>
      <c r="BM9" s="256">
        <v>0</v>
      </c>
      <c r="BN9" s="253">
        <v>0</v>
      </c>
      <c r="BO9" s="139" t="str">
        <f t="shared" si="18"/>
        <v>-</v>
      </c>
      <c r="BP9" s="20">
        <v>0</v>
      </c>
      <c r="BQ9" s="21">
        <v>0</v>
      </c>
      <c r="BR9" s="139" t="str">
        <f t="shared" si="19"/>
        <v>-</v>
      </c>
      <c r="BS9" s="20">
        <v>15</v>
      </c>
      <c r="BT9" s="21">
        <v>3</v>
      </c>
      <c r="BU9" s="139">
        <f t="shared" si="20"/>
        <v>5</v>
      </c>
      <c r="BV9" s="256">
        <v>0</v>
      </c>
      <c r="BW9" s="253">
        <v>0</v>
      </c>
      <c r="BX9" s="139" t="str">
        <f t="shared" ref="BX9:BX29" si="57">IF(BW9=0,"-",BV9/BW9)</f>
        <v>-</v>
      </c>
      <c r="BY9" s="256">
        <v>0</v>
      </c>
      <c r="BZ9" s="253">
        <v>0</v>
      </c>
      <c r="CA9" s="139" t="str">
        <f t="shared" si="21"/>
        <v>-</v>
      </c>
      <c r="CB9" s="256">
        <v>0</v>
      </c>
      <c r="CC9" s="253">
        <v>0</v>
      </c>
      <c r="CD9" s="139" t="str">
        <f t="shared" si="22"/>
        <v>-</v>
      </c>
      <c r="CE9" s="117">
        <f t="shared" si="28"/>
        <v>116</v>
      </c>
      <c r="CF9" s="120">
        <f t="shared" si="29"/>
        <v>26</v>
      </c>
      <c r="CG9" s="147">
        <f t="shared" si="23"/>
        <v>4.4615384615384617</v>
      </c>
    </row>
    <row r="10" spans="1:85" ht="15" thickBot="1" x14ac:dyDescent="0.35">
      <c r="A10" s="294">
        <v>45541</v>
      </c>
      <c r="B10" s="20">
        <v>48</v>
      </c>
      <c r="C10" s="21">
        <v>6</v>
      </c>
      <c r="D10" s="139">
        <f t="shared" si="0"/>
        <v>8</v>
      </c>
      <c r="E10" s="23">
        <v>7</v>
      </c>
      <c r="F10" s="21">
        <v>1</v>
      </c>
      <c r="G10" s="139">
        <f t="shared" si="49"/>
        <v>7</v>
      </c>
      <c r="H10" s="20"/>
      <c r="I10" s="21"/>
      <c r="J10" s="139" t="str">
        <f t="shared" si="32"/>
        <v>-</v>
      </c>
      <c r="K10" s="20">
        <v>21</v>
      </c>
      <c r="L10" s="21">
        <v>3</v>
      </c>
      <c r="M10" s="139">
        <f t="shared" si="3"/>
        <v>7</v>
      </c>
      <c r="N10" s="125">
        <v>0</v>
      </c>
      <c r="O10" s="126">
        <v>0</v>
      </c>
      <c r="P10" s="139" t="str">
        <f t="shared" si="4"/>
        <v>-</v>
      </c>
      <c r="Q10" s="20">
        <v>32</v>
      </c>
      <c r="R10" s="21">
        <v>6</v>
      </c>
      <c r="S10" s="139">
        <f t="shared" si="5"/>
        <v>5.333333333333333</v>
      </c>
      <c r="T10" s="20">
        <v>0</v>
      </c>
      <c r="U10" s="21">
        <v>0</v>
      </c>
      <c r="V10" s="139">
        <v>0</v>
      </c>
      <c r="W10" s="20">
        <v>0</v>
      </c>
      <c r="X10" s="21">
        <v>0</v>
      </c>
      <c r="Y10" s="278">
        <v>0</v>
      </c>
      <c r="Z10" s="20">
        <v>20</v>
      </c>
      <c r="AA10" s="21">
        <v>4</v>
      </c>
      <c r="AB10" s="278">
        <f t="shared" si="8"/>
        <v>5</v>
      </c>
      <c r="AC10" s="20">
        <v>0</v>
      </c>
      <c r="AD10" s="21">
        <v>0</v>
      </c>
      <c r="AE10" s="278" t="str">
        <f t="shared" si="9"/>
        <v>-</v>
      </c>
      <c r="AF10" s="20">
        <v>0</v>
      </c>
      <c r="AG10" s="21">
        <v>0</v>
      </c>
      <c r="AH10" s="139" t="str">
        <f t="shared" si="30"/>
        <v>-</v>
      </c>
      <c r="AI10" s="20">
        <v>0</v>
      </c>
      <c r="AJ10" s="21">
        <v>0</v>
      </c>
      <c r="AK10" s="139" t="str">
        <f t="shared" si="31"/>
        <v>-</v>
      </c>
      <c r="AL10" s="20">
        <v>0</v>
      </c>
      <c r="AM10" s="21">
        <v>0</v>
      </c>
      <c r="AN10" s="139" t="str">
        <f t="shared" si="26"/>
        <v>-</v>
      </c>
      <c r="AO10" s="20">
        <v>0</v>
      </c>
      <c r="AP10" s="21">
        <v>0</v>
      </c>
      <c r="AQ10" s="139" t="str">
        <f t="shared" si="53"/>
        <v>-</v>
      </c>
      <c r="AR10" s="20">
        <v>0</v>
      </c>
      <c r="AS10" s="21">
        <v>0</v>
      </c>
      <c r="AT10" s="139" t="str">
        <f t="shared" si="11"/>
        <v>-</v>
      </c>
      <c r="AU10" s="20">
        <v>0</v>
      </c>
      <c r="AV10" s="21">
        <v>0</v>
      </c>
      <c r="AW10" s="139" t="str">
        <f t="shared" si="54"/>
        <v>-</v>
      </c>
      <c r="AX10" s="20">
        <v>0</v>
      </c>
      <c r="AY10" s="21">
        <v>0</v>
      </c>
      <c r="AZ10" s="139" t="str">
        <f t="shared" si="55"/>
        <v>-</v>
      </c>
      <c r="BA10" s="20">
        <v>0</v>
      </c>
      <c r="BB10" s="21">
        <v>0</v>
      </c>
      <c r="BC10" s="139" t="str">
        <f t="shared" si="56"/>
        <v>-</v>
      </c>
      <c r="BD10" s="252">
        <v>6</v>
      </c>
      <c r="BE10" s="253">
        <v>1</v>
      </c>
      <c r="BF10" s="139">
        <f>IF(BE10=0,"-",BD10/BE10)</f>
        <v>6</v>
      </c>
      <c r="BG10" s="20">
        <v>0</v>
      </c>
      <c r="BH10" s="21">
        <v>0</v>
      </c>
      <c r="BI10" s="139" t="str">
        <f t="shared" ref="BI10:BI12" si="58">IF(BH10=0,"-",BG10/BH10)</f>
        <v>-</v>
      </c>
      <c r="BJ10" s="20">
        <v>0</v>
      </c>
      <c r="BK10" s="21">
        <v>0</v>
      </c>
      <c r="BL10" s="139" t="str">
        <f t="shared" ref="BL10:BL12" si="59">IF(BK10=0,"-",BJ10/BK10)</f>
        <v>-</v>
      </c>
      <c r="BM10" s="20">
        <v>0</v>
      </c>
      <c r="BN10" s="21">
        <v>0</v>
      </c>
      <c r="BO10" s="139" t="str">
        <f t="shared" si="18"/>
        <v>-</v>
      </c>
      <c r="BP10" s="20">
        <v>0</v>
      </c>
      <c r="BQ10" s="21">
        <v>0</v>
      </c>
      <c r="BR10" s="139" t="str">
        <f t="shared" si="19"/>
        <v>-</v>
      </c>
      <c r="BS10" s="20">
        <v>0</v>
      </c>
      <c r="BT10" s="21">
        <v>0</v>
      </c>
      <c r="BU10" s="139" t="str">
        <f t="shared" si="20"/>
        <v>-</v>
      </c>
      <c r="BV10" s="20">
        <v>0</v>
      </c>
      <c r="BW10" s="21">
        <v>0</v>
      </c>
      <c r="BX10" s="139" t="str">
        <f t="shared" si="57"/>
        <v>-</v>
      </c>
      <c r="BY10" s="20">
        <v>0</v>
      </c>
      <c r="BZ10" s="21">
        <v>0</v>
      </c>
      <c r="CA10" s="139" t="str">
        <f t="shared" si="21"/>
        <v>-</v>
      </c>
      <c r="CB10" s="20">
        <v>0</v>
      </c>
      <c r="CC10" s="21">
        <v>0</v>
      </c>
      <c r="CD10" s="139" t="str">
        <f t="shared" si="22"/>
        <v>-</v>
      </c>
      <c r="CE10" s="117">
        <f t="shared" si="28"/>
        <v>134</v>
      </c>
      <c r="CF10" s="120">
        <f t="shared" si="29"/>
        <v>21</v>
      </c>
      <c r="CG10" s="147">
        <f t="shared" si="23"/>
        <v>6.3809523809523814</v>
      </c>
    </row>
    <row r="11" spans="1:85" ht="15" thickBot="1" x14ac:dyDescent="0.35">
      <c r="A11" s="294">
        <v>45542</v>
      </c>
      <c r="B11" s="20">
        <v>17</v>
      </c>
      <c r="C11" s="21">
        <v>2</v>
      </c>
      <c r="D11" s="139">
        <f t="shared" si="0"/>
        <v>8.5</v>
      </c>
      <c r="E11" s="23">
        <v>0</v>
      </c>
      <c r="F11" s="21">
        <v>0</v>
      </c>
      <c r="G11" s="139" t="str">
        <f t="shared" si="49"/>
        <v>-</v>
      </c>
      <c r="H11" s="20"/>
      <c r="I11" s="21"/>
      <c r="J11" s="139" t="str">
        <f t="shared" si="32"/>
        <v>-</v>
      </c>
      <c r="K11" s="20">
        <v>7</v>
      </c>
      <c r="L11" s="21">
        <v>1</v>
      </c>
      <c r="M11" s="139">
        <f t="shared" si="3"/>
        <v>7</v>
      </c>
      <c r="N11" s="125">
        <v>0</v>
      </c>
      <c r="O11" s="126">
        <v>0</v>
      </c>
      <c r="P11" s="139" t="str">
        <f t="shared" ref="P11:P12" si="60">IF(O11=0,"-",N11/O11)</f>
        <v>-</v>
      </c>
      <c r="Q11" s="20">
        <v>0</v>
      </c>
      <c r="R11" s="21">
        <v>0</v>
      </c>
      <c r="S11" s="139" t="str">
        <f t="shared" si="5"/>
        <v>-</v>
      </c>
      <c r="T11" s="20">
        <v>0</v>
      </c>
      <c r="U11" s="21">
        <v>0</v>
      </c>
      <c r="V11" s="139" t="str">
        <f t="shared" si="6"/>
        <v>-</v>
      </c>
      <c r="W11" s="20">
        <v>18</v>
      </c>
      <c r="X11" s="21">
        <v>3</v>
      </c>
      <c r="Y11" s="278">
        <f t="shared" si="7"/>
        <v>6</v>
      </c>
      <c r="Z11" s="20">
        <v>0</v>
      </c>
      <c r="AA11" s="21">
        <v>0</v>
      </c>
      <c r="AB11" s="278" t="str">
        <f t="shared" si="8"/>
        <v>-</v>
      </c>
      <c r="AC11" s="20">
        <v>0</v>
      </c>
      <c r="AD11" s="21">
        <v>0</v>
      </c>
      <c r="AE11" s="278" t="str">
        <f t="shared" si="9"/>
        <v>-</v>
      </c>
      <c r="AF11" s="20">
        <v>0</v>
      </c>
      <c r="AG11" s="21">
        <v>0</v>
      </c>
      <c r="AH11" s="139" t="str">
        <f t="shared" si="30"/>
        <v>-</v>
      </c>
      <c r="AI11" s="20">
        <v>0</v>
      </c>
      <c r="AJ11" s="21">
        <v>0</v>
      </c>
      <c r="AK11" s="139" t="str">
        <f t="shared" si="31"/>
        <v>-</v>
      </c>
      <c r="AL11" s="23">
        <v>0</v>
      </c>
      <c r="AM11" s="21">
        <v>0</v>
      </c>
      <c r="AN11" s="139" t="str">
        <f t="shared" si="26"/>
        <v>-</v>
      </c>
      <c r="AO11" s="23">
        <v>0</v>
      </c>
      <c r="AP11" s="21">
        <v>0</v>
      </c>
      <c r="AQ11" s="139" t="str">
        <f t="shared" si="53"/>
        <v>-</v>
      </c>
      <c r="AR11" s="23">
        <v>0</v>
      </c>
      <c r="AS11" s="21">
        <v>0</v>
      </c>
      <c r="AT11" s="139" t="str">
        <f t="shared" si="11"/>
        <v>-</v>
      </c>
      <c r="AU11" s="23">
        <v>0</v>
      </c>
      <c r="AV11" s="21">
        <v>0</v>
      </c>
      <c r="AW11" s="139" t="str">
        <f t="shared" si="54"/>
        <v>-</v>
      </c>
      <c r="AX11" s="23">
        <v>0</v>
      </c>
      <c r="AY11" s="21">
        <v>0</v>
      </c>
      <c r="AZ11" s="139" t="str">
        <f t="shared" si="55"/>
        <v>-</v>
      </c>
      <c r="BA11" s="23">
        <v>0</v>
      </c>
      <c r="BB11" s="21">
        <v>0</v>
      </c>
      <c r="BC11" s="139" t="str">
        <f t="shared" si="56"/>
        <v>-</v>
      </c>
      <c r="BD11" s="252">
        <v>12</v>
      </c>
      <c r="BE11" s="253">
        <v>2</v>
      </c>
      <c r="BF11" s="139">
        <f t="shared" si="15"/>
        <v>6</v>
      </c>
      <c r="BG11" s="20">
        <v>0</v>
      </c>
      <c r="BH11" s="21">
        <v>0</v>
      </c>
      <c r="BI11" s="139" t="str">
        <f t="shared" si="58"/>
        <v>-</v>
      </c>
      <c r="BJ11" s="20">
        <v>0</v>
      </c>
      <c r="BK11" s="21">
        <v>0</v>
      </c>
      <c r="BL11" s="139" t="str">
        <f t="shared" si="59"/>
        <v>-</v>
      </c>
      <c r="BM11" s="20">
        <v>0</v>
      </c>
      <c r="BN11" s="21">
        <v>0</v>
      </c>
      <c r="BO11" s="139" t="str">
        <f t="shared" si="18"/>
        <v>-</v>
      </c>
      <c r="BP11" s="20">
        <v>0</v>
      </c>
      <c r="BQ11" s="21">
        <v>0</v>
      </c>
      <c r="BR11" s="139" t="str">
        <f t="shared" si="19"/>
        <v>-</v>
      </c>
      <c r="BS11" s="20">
        <v>0</v>
      </c>
      <c r="BT11" s="21">
        <v>0</v>
      </c>
      <c r="BU11" s="139" t="str">
        <f t="shared" si="20"/>
        <v>-</v>
      </c>
      <c r="BV11" s="20">
        <v>0</v>
      </c>
      <c r="BW11" s="21">
        <v>0</v>
      </c>
      <c r="BX11" s="139" t="str">
        <f t="shared" si="57"/>
        <v>-</v>
      </c>
      <c r="BY11" s="20">
        <v>0</v>
      </c>
      <c r="BZ11" s="21">
        <v>0</v>
      </c>
      <c r="CA11" s="139" t="str">
        <f t="shared" si="21"/>
        <v>-</v>
      </c>
      <c r="CB11" s="20">
        <v>0</v>
      </c>
      <c r="CC11" s="21">
        <v>0</v>
      </c>
      <c r="CD11" s="139" t="str">
        <f t="shared" si="22"/>
        <v>-</v>
      </c>
      <c r="CE11" s="117">
        <f t="shared" si="28"/>
        <v>54</v>
      </c>
      <c r="CF11" s="120">
        <f t="shared" si="29"/>
        <v>8</v>
      </c>
      <c r="CG11" s="147">
        <f t="shared" si="23"/>
        <v>6.75</v>
      </c>
    </row>
    <row r="12" spans="1:85" ht="16.2" customHeight="1" thickBot="1" x14ac:dyDescent="0.35">
      <c r="A12" s="294">
        <v>45543</v>
      </c>
      <c r="B12" s="20">
        <v>0</v>
      </c>
      <c r="C12" s="21">
        <v>0</v>
      </c>
      <c r="D12" s="139" t="str">
        <f t="shared" si="0"/>
        <v>-</v>
      </c>
      <c r="E12" s="23">
        <v>0</v>
      </c>
      <c r="F12" s="21">
        <v>0</v>
      </c>
      <c r="G12" s="139" t="str">
        <f t="shared" si="49"/>
        <v>-</v>
      </c>
      <c r="H12" s="20"/>
      <c r="I12" s="21"/>
      <c r="J12" s="139" t="str">
        <f t="shared" si="32"/>
        <v>-</v>
      </c>
      <c r="K12" s="20">
        <v>0</v>
      </c>
      <c r="L12" s="21">
        <v>0</v>
      </c>
      <c r="M12" s="139" t="str">
        <f t="shared" si="3"/>
        <v>-</v>
      </c>
      <c r="N12" s="125">
        <v>0</v>
      </c>
      <c r="O12" s="126">
        <v>0</v>
      </c>
      <c r="P12" s="139" t="str">
        <f t="shared" si="60"/>
        <v>-</v>
      </c>
      <c r="Q12" s="23">
        <v>0</v>
      </c>
      <c r="R12" s="21">
        <v>0</v>
      </c>
      <c r="S12" s="139" t="str">
        <f t="shared" si="5"/>
        <v>-</v>
      </c>
      <c r="T12" s="20">
        <v>19</v>
      </c>
      <c r="U12" s="21">
        <v>4</v>
      </c>
      <c r="V12" s="139">
        <f t="shared" si="6"/>
        <v>4.75</v>
      </c>
      <c r="W12" s="20">
        <v>0</v>
      </c>
      <c r="X12" s="21">
        <v>0</v>
      </c>
      <c r="Y12" s="278" t="str">
        <f t="shared" si="7"/>
        <v>-</v>
      </c>
      <c r="Z12" s="20">
        <v>0</v>
      </c>
      <c r="AA12" s="21">
        <v>0</v>
      </c>
      <c r="AB12" s="278" t="str">
        <f t="shared" si="8"/>
        <v>-</v>
      </c>
      <c r="AC12" s="20">
        <v>0</v>
      </c>
      <c r="AD12" s="21">
        <v>0</v>
      </c>
      <c r="AE12" s="278" t="str">
        <f t="shared" si="9"/>
        <v>-</v>
      </c>
      <c r="AF12" s="20">
        <v>0</v>
      </c>
      <c r="AG12" s="21">
        <v>0</v>
      </c>
      <c r="AH12" s="139" t="str">
        <f t="shared" si="30"/>
        <v>-</v>
      </c>
      <c r="AI12" s="20">
        <v>0</v>
      </c>
      <c r="AJ12" s="21">
        <v>0</v>
      </c>
      <c r="AK12" s="139" t="str">
        <f t="shared" si="31"/>
        <v>-</v>
      </c>
      <c r="AL12" s="20">
        <v>0</v>
      </c>
      <c r="AM12" s="21">
        <v>0</v>
      </c>
      <c r="AN12" s="139" t="str">
        <f t="shared" si="26"/>
        <v>-</v>
      </c>
      <c r="AO12" s="20">
        <v>0</v>
      </c>
      <c r="AP12" s="21">
        <v>0</v>
      </c>
      <c r="AQ12" s="139" t="str">
        <f t="shared" si="53"/>
        <v>-</v>
      </c>
      <c r="AR12" s="20">
        <v>0</v>
      </c>
      <c r="AS12" s="21">
        <v>0</v>
      </c>
      <c r="AT12" s="139" t="str">
        <f t="shared" si="11"/>
        <v>-</v>
      </c>
      <c r="AU12" s="20">
        <v>0</v>
      </c>
      <c r="AV12" s="21">
        <v>0</v>
      </c>
      <c r="AW12" s="139" t="str">
        <f t="shared" si="54"/>
        <v>-</v>
      </c>
      <c r="AX12" s="20">
        <v>0</v>
      </c>
      <c r="AY12" s="21">
        <v>0</v>
      </c>
      <c r="AZ12" s="139" t="str">
        <f t="shared" si="55"/>
        <v>-</v>
      </c>
      <c r="BA12" s="20">
        <v>0</v>
      </c>
      <c r="BB12" s="21">
        <v>0</v>
      </c>
      <c r="BC12" s="139" t="str">
        <f t="shared" si="56"/>
        <v>-</v>
      </c>
      <c r="BD12" s="252">
        <v>7</v>
      </c>
      <c r="BE12" s="253">
        <v>1</v>
      </c>
      <c r="BF12" s="139">
        <f t="shared" si="15"/>
        <v>7</v>
      </c>
      <c r="BG12" s="20">
        <v>0</v>
      </c>
      <c r="BH12" s="21">
        <v>0</v>
      </c>
      <c r="BI12" s="139" t="str">
        <f t="shared" si="58"/>
        <v>-</v>
      </c>
      <c r="BJ12" s="20">
        <v>0</v>
      </c>
      <c r="BK12" s="21">
        <v>0</v>
      </c>
      <c r="BL12" s="139" t="str">
        <f t="shared" si="59"/>
        <v>-</v>
      </c>
      <c r="BM12" s="20">
        <v>0</v>
      </c>
      <c r="BN12" s="21">
        <v>0</v>
      </c>
      <c r="BO12" s="139" t="str">
        <f t="shared" si="18"/>
        <v>-</v>
      </c>
      <c r="BP12" s="20">
        <v>0</v>
      </c>
      <c r="BQ12" s="21">
        <v>0</v>
      </c>
      <c r="BR12" s="139" t="str">
        <f t="shared" si="19"/>
        <v>-</v>
      </c>
      <c r="BS12" s="20">
        <v>0</v>
      </c>
      <c r="BT12" s="21">
        <v>0</v>
      </c>
      <c r="BU12" s="139" t="str">
        <f t="shared" si="20"/>
        <v>-</v>
      </c>
      <c r="BV12" s="20">
        <v>0</v>
      </c>
      <c r="BW12" s="21">
        <v>0</v>
      </c>
      <c r="BX12" s="139" t="str">
        <f t="shared" si="57"/>
        <v>-</v>
      </c>
      <c r="BY12" s="20">
        <v>0</v>
      </c>
      <c r="BZ12" s="21">
        <v>0</v>
      </c>
      <c r="CA12" s="139" t="str">
        <f t="shared" si="21"/>
        <v>-</v>
      </c>
      <c r="CB12" s="20">
        <v>0</v>
      </c>
      <c r="CC12" s="21">
        <v>0</v>
      </c>
      <c r="CD12" s="139" t="str">
        <f t="shared" si="22"/>
        <v>-</v>
      </c>
      <c r="CE12" s="117">
        <f t="shared" si="28"/>
        <v>26</v>
      </c>
      <c r="CF12" s="120">
        <f t="shared" si="29"/>
        <v>5</v>
      </c>
      <c r="CG12" s="147">
        <f t="shared" si="23"/>
        <v>5.2</v>
      </c>
    </row>
    <row r="13" spans="1:85" ht="15" thickBot="1" x14ac:dyDescent="0.35">
      <c r="A13" s="294">
        <v>45544</v>
      </c>
      <c r="B13" s="20">
        <v>25</v>
      </c>
      <c r="C13" s="21">
        <v>3</v>
      </c>
      <c r="D13" s="139">
        <f t="shared" si="0"/>
        <v>8.3333333333333339</v>
      </c>
      <c r="E13" s="20">
        <v>0</v>
      </c>
      <c r="F13" s="21">
        <v>0</v>
      </c>
      <c r="G13" s="139" t="str">
        <f t="shared" si="1"/>
        <v>-</v>
      </c>
      <c r="H13" s="20"/>
      <c r="I13" s="21"/>
      <c r="J13" s="139" t="str">
        <f t="shared" si="32"/>
        <v>-</v>
      </c>
      <c r="K13" s="20">
        <v>9</v>
      </c>
      <c r="L13" s="21">
        <v>3</v>
      </c>
      <c r="M13" s="139">
        <f t="shared" si="3"/>
        <v>3</v>
      </c>
      <c r="N13" s="125">
        <v>0</v>
      </c>
      <c r="O13" s="126">
        <v>0</v>
      </c>
      <c r="P13" s="139" t="str">
        <f t="shared" si="4"/>
        <v>-</v>
      </c>
      <c r="Q13" s="20">
        <v>0</v>
      </c>
      <c r="R13" s="21">
        <v>0</v>
      </c>
      <c r="S13" s="139" t="str">
        <f t="shared" si="5"/>
        <v>-</v>
      </c>
      <c r="T13" s="20">
        <v>0</v>
      </c>
      <c r="U13" s="21">
        <v>0</v>
      </c>
      <c r="V13" s="139" t="str">
        <f t="shared" si="6"/>
        <v>-</v>
      </c>
      <c r="W13" s="20">
        <v>0</v>
      </c>
      <c r="X13" s="21">
        <v>0</v>
      </c>
      <c r="Y13" s="278" t="str">
        <f t="shared" si="7"/>
        <v>-</v>
      </c>
      <c r="Z13" s="20">
        <v>0</v>
      </c>
      <c r="AA13" s="21">
        <v>0</v>
      </c>
      <c r="AB13" s="278" t="str">
        <f t="shared" si="8"/>
        <v>-</v>
      </c>
      <c r="AC13" s="20">
        <v>0</v>
      </c>
      <c r="AD13" s="21">
        <v>0</v>
      </c>
      <c r="AE13" s="278" t="str">
        <f t="shared" si="9"/>
        <v>-</v>
      </c>
      <c r="AF13" s="20">
        <v>0</v>
      </c>
      <c r="AG13" s="21">
        <v>0</v>
      </c>
      <c r="AH13" s="139" t="str">
        <f t="shared" si="30"/>
        <v>-</v>
      </c>
      <c r="AI13" s="20">
        <v>0</v>
      </c>
      <c r="AJ13" s="21">
        <v>0</v>
      </c>
      <c r="AK13" s="139" t="str">
        <f t="shared" si="31"/>
        <v>-</v>
      </c>
      <c r="AL13" s="20">
        <v>5</v>
      </c>
      <c r="AM13" s="21">
        <v>1</v>
      </c>
      <c r="AN13" s="139">
        <f t="shared" si="26"/>
        <v>5</v>
      </c>
      <c r="AO13" s="20">
        <v>0</v>
      </c>
      <c r="AP13" s="21">
        <v>0</v>
      </c>
      <c r="AQ13" s="139">
        <v>0</v>
      </c>
      <c r="AR13" s="20">
        <v>0</v>
      </c>
      <c r="AS13" s="21">
        <v>0</v>
      </c>
      <c r="AT13" s="139" t="str">
        <f t="shared" si="11"/>
        <v>-</v>
      </c>
      <c r="AU13" s="20">
        <v>20</v>
      </c>
      <c r="AV13" s="21">
        <v>2</v>
      </c>
      <c r="AW13" s="276">
        <f t="shared" si="12"/>
        <v>10</v>
      </c>
      <c r="AX13" s="20">
        <v>0</v>
      </c>
      <c r="AY13" s="21">
        <v>0</v>
      </c>
      <c r="AZ13" s="139" t="str">
        <f t="shared" si="13"/>
        <v>-</v>
      </c>
      <c r="BA13" s="20">
        <v>0</v>
      </c>
      <c r="BB13" s="21">
        <v>0</v>
      </c>
      <c r="BC13" s="139" t="str">
        <f t="shared" si="14"/>
        <v>-</v>
      </c>
      <c r="BD13" s="252">
        <v>13</v>
      </c>
      <c r="BE13" s="253">
        <v>2</v>
      </c>
      <c r="BF13" s="139">
        <f t="shared" si="15"/>
        <v>6.5</v>
      </c>
      <c r="BG13" s="252">
        <v>0</v>
      </c>
      <c r="BH13" s="253">
        <v>0</v>
      </c>
      <c r="BI13" s="139" t="str">
        <f t="shared" si="16"/>
        <v>-</v>
      </c>
      <c r="BJ13" s="252">
        <v>0</v>
      </c>
      <c r="BK13" s="253">
        <v>0</v>
      </c>
      <c r="BL13" s="139" t="str">
        <f t="shared" si="17"/>
        <v>-</v>
      </c>
      <c r="BM13" s="257">
        <v>0</v>
      </c>
      <c r="BN13" s="253">
        <v>0</v>
      </c>
      <c r="BO13" s="139" t="str">
        <f t="shared" si="18"/>
        <v>-</v>
      </c>
      <c r="BP13" s="20">
        <v>0</v>
      </c>
      <c r="BQ13" s="21">
        <v>0</v>
      </c>
      <c r="BR13" s="139" t="str">
        <f t="shared" si="19"/>
        <v>-</v>
      </c>
      <c r="BS13" s="20">
        <v>0</v>
      </c>
      <c r="BT13" s="21">
        <v>0</v>
      </c>
      <c r="BU13" s="139" t="str">
        <f t="shared" ref="BU13" si="61">IF(BT13=0,"-",BS13/BT13)</f>
        <v>-</v>
      </c>
      <c r="BV13" s="20">
        <v>0</v>
      </c>
      <c r="BW13" s="21">
        <v>0</v>
      </c>
      <c r="BX13" s="139" t="str">
        <f t="shared" ref="BX13" si="62">IF(BW13=0,"-",BV13/BW13)</f>
        <v>-</v>
      </c>
      <c r="BY13" s="20">
        <v>0</v>
      </c>
      <c r="BZ13" s="21">
        <v>0</v>
      </c>
      <c r="CA13" s="139" t="str">
        <f t="shared" ref="CA13" si="63">IF(BZ13=0,"-",BY13/BZ13)</f>
        <v>-</v>
      </c>
      <c r="CB13" s="20">
        <v>0</v>
      </c>
      <c r="CC13" s="21">
        <v>0</v>
      </c>
      <c r="CD13" s="139" t="str">
        <f t="shared" ref="CD13:CD14" si="64">IF(CC13=0,"-",CB13/CC13)</f>
        <v>-</v>
      </c>
      <c r="CE13" s="117">
        <f t="shared" si="28"/>
        <v>72</v>
      </c>
      <c r="CF13" s="120">
        <f t="shared" si="29"/>
        <v>11</v>
      </c>
      <c r="CG13" s="147">
        <f t="shared" si="23"/>
        <v>6.5454545454545459</v>
      </c>
    </row>
    <row r="14" spans="1:85" ht="15" thickBot="1" x14ac:dyDescent="0.35">
      <c r="A14" s="294">
        <v>45545</v>
      </c>
      <c r="B14" s="20">
        <v>38</v>
      </c>
      <c r="C14" s="21">
        <v>5</v>
      </c>
      <c r="D14" s="139">
        <f t="shared" si="0"/>
        <v>7.6</v>
      </c>
      <c r="E14" s="20">
        <v>7</v>
      </c>
      <c r="F14" s="21">
        <v>1</v>
      </c>
      <c r="G14" s="139">
        <f t="shared" si="1"/>
        <v>7</v>
      </c>
      <c r="H14" s="20"/>
      <c r="I14" s="21"/>
      <c r="J14" s="139" t="str">
        <f t="shared" si="32"/>
        <v>-</v>
      </c>
      <c r="K14" s="20">
        <v>24</v>
      </c>
      <c r="L14" s="21">
        <v>4</v>
      </c>
      <c r="M14" s="139">
        <f t="shared" si="3"/>
        <v>6</v>
      </c>
      <c r="N14" s="125">
        <v>0</v>
      </c>
      <c r="O14" s="126">
        <v>0</v>
      </c>
      <c r="P14" s="139" t="str">
        <f t="shared" si="4"/>
        <v>-</v>
      </c>
      <c r="Q14" s="20">
        <v>34</v>
      </c>
      <c r="R14" s="21">
        <v>6</v>
      </c>
      <c r="S14" s="139">
        <f t="shared" si="5"/>
        <v>5.666666666666667</v>
      </c>
      <c r="T14" s="20">
        <v>0</v>
      </c>
      <c r="U14" s="21">
        <v>0</v>
      </c>
      <c r="V14" s="139" t="str">
        <f t="shared" si="6"/>
        <v>-</v>
      </c>
      <c r="W14" s="20">
        <v>0</v>
      </c>
      <c r="X14" s="21">
        <v>0</v>
      </c>
      <c r="Y14" s="278" t="str">
        <f t="shared" si="7"/>
        <v>-</v>
      </c>
      <c r="Z14" s="20">
        <v>0</v>
      </c>
      <c r="AA14" s="21">
        <v>0</v>
      </c>
      <c r="AB14" s="278" t="str">
        <f t="shared" si="8"/>
        <v>-</v>
      </c>
      <c r="AC14" s="20">
        <v>0</v>
      </c>
      <c r="AD14" s="21">
        <v>0</v>
      </c>
      <c r="AE14" s="278" t="str">
        <f t="shared" si="9"/>
        <v>-</v>
      </c>
      <c r="AF14" s="20">
        <v>0</v>
      </c>
      <c r="AG14" s="21">
        <v>0</v>
      </c>
      <c r="AH14" s="139" t="str">
        <f t="shared" si="30"/>
        <v>-</v>
      </c>
      <c r="AI14" s="20">
        <v>0</v>
      </c>
      <c r="AJ14" s="21">
        <v>0</v>
      </c>
      <c r="AK14" s="139" t="str">
        <f t="shared" si="31"/>
        <v>-</v>
      </c>
      <c r="AL14" s="20">
        <v>0</v>
      </c>
      <c r="AM14" s="21">
        <v>0</v>
      </c>
      <c r="AN14" s="139" t="str">
        <f t="shared" si="26"/>
        <v>-</v>
      </c>
      <c r="AO14" s="20">
        <v>0</v>
      </c>
      <c r="AP14" s="21">
        <v>0</v>
      </c>
      <c r="AQ14" s="139" t="str">
        <f t="shared" si="10"/>
        <v>-</v>
      </c>
      <c r="AR14" s="20">
        <v>0</v>
      </c>
      <c r="AS14" s="21">
        <v>0</v>
      </c>
      <c r="AT14" s="139" t="str">
        <f t="shared" si="11"/>
        <v>-</v>
      </c>
      <c r="AU14" s="20">
        <v>9</v>
      </c>
      <c r="AV14" s="21">
        <v>1</v>
      </c>
      <c r="AW14" s="276">
        <f t="shared" si="12"/>
        <v>9</v>
      </c>
      <c r="AX14" s="20">
        <v>0</v>
      </c>
      <c r="AY14" s="21">
        <v>0</v>
      </c>
      <c r="AZ14" s="139" t="str">
        <f t="shared" si="13"/>
        <v>-</v>
      </c>
      <c r="BA14" s="20">
        <v>0</v>
      </c>
      <c r="BB14" s="21">
        <v>0</v>
      </c>
      <c r="BC14" s="139" t="str">
        <f t="shared" si="14"/>
        <v>-</v>
      </c>
      <c r="BD14" s="252">
        <v>14</v>
      </c>
      <c r="BE14" s="253">
        <v>2</v>
      </c>
      <c r="BF14" s="139">
        <f t="shared" si="15"/>
        <v>7</v>
      </c>
      <c r="BG14" s="252">
        <v>0</v>
      </c>
      <c r="BH14" s="253">
        <v>0</v>
      </c>
      <c r="BI14" s="139" t="str">
        <f t="shared" si="16"/>
        <v>-</v>
      </c>
      <c r="BJ14" s="252">
        <v>0</v>
      </c>
      <c r="BK14" s="253">
        <v>0</v>
      </c>
      <c r="BL14" s="139" t="str">
        <f t="shared" si="17"/>
        <v>-</v>
      </c>
      <c r="BM14" s="257">
        <v>0</v>
      </c>
      <c r="BN14" s="253">
        <v>0</v>
      </c>
      <c r="BO14" s="139" t="str">
        <f t="shared" si="18"/>
        <v>-</v>
      </c>
      <c r="BP14" s="252">
        <v>0</v>
      </c>
      <c r="BQ14" s="253">
        <v>0</v>
      </c>
      <c r="BR14" s="139" t="str">
        <f t="shared" si="19"/>
        <v>-</v>
      </c>
      <c r="BS14" s="20">
        <v>5</v>
      </c>
      <c r="BT14" s="21">
        <v>1</v>
      </c>
      <c r="BU14" s="139">
        <f t="shared" si="20"/>
        <v>5</v>
      </c>
      <c r="BV14" s="20">
        <v>0</v>
      </c>
      <c r="BW14" s="21">
        <v>0</v>
      </c>
      <c r="BX14" s="139" t="str">
        <f t="shared" si="57"/>
        <v>-</v>
      </c>
      <c r="BY14" s="20">
        <v>0</v>
      </c>
      <c r="BZ14" s="21">
        <v>0</v>
      </c>
      <c r="CA14" s="139" t="str">
        <f t="shared" si="21"/>
        <v>-</v>
      </c>
      <c r="CB14" s="20">
        <v>0</v>
      </c>
      <c r="CC14" s="21">
        <v>0</v>
      </c>
      <c r="CD14" s="139" t="str">
        <f t="shared" si="64"/>
        <v>-</v>
      </c>
      <c r="CE14" s="117">
        <f t="shared" si="28"/>
        <v>131</v>
      </c>
      <c r="CF14" s="120">
        <f t="shared" si="29"/>
        <v>20</v>
      </c>
      <c r="CG14" s="147">
        <f t="shared" si="23"/>
        <v>6.55</v>
      </c>
    </row>
    <row r="15" spans="1:85" ht="15" thickBot="1" x14ac:dyDescent="0.35">
      <c r="A15" s="294">
        <v>45546</v>
      </c>
      <c r="B15" s="20">
        <v>66</v>
      </c>
      <c r="C15" s="21">
        <v>8</v>
      </c>
      <c r="D15" s="139">
        <f t="shared" si="0"/>
        <v>8.25</v>
      </c>
      <c r="E15" s="23">
        <v>0</v>
      </c>
      <c r="F15" s="21">
        <v>0</v>
      </c>
      <c r="G15" s="139" t="str">
        <f t="shared" si="1"/>
        <v>-</v>
      </c>
      <c r="H15" s="20"/>
      <c r="I15" s="21"/>
      <c r="J15" s="139" t="str">
        <f t="shared" si="32"/>
        <v>-</v>
      </c>
      <c r="K15" s="20">
        <v>35</v>
      </c>
      <c r="L15" s="21">
        <v>4</v>
      </c>
      <c r="M15" s="139">
        <f t="shared" si="3"/>
        <v>8.75</v>
      </c>
      <c r="N15" s="125">
        <v>0</v>
      </c>
      <c r="O15" s="126">
        <v>0</v>
      </c>
      <c r="P15" s="139" t="str">
        <f t="shared" si="4"/>
        <v>-</v>
      </c>
      <c r="Q15" s="20">
        <v>72</v>
      </c>
      <c r="R15" s="21">
        <v>12</v>
      </c>
      <c r="S15" s="139">
        <f t="shared" si="5"/>
        <v>6</v>
      </c>
      <c r="T15" s="20">
        <v>25</v>
      </c>
      <c r="U15" s="21">
        <v>5</v>
      </c>
      <c r="V15" s="139">
        <f t="shared" si="6"/>
        <v>5</v>
      </c>
      <c r="W15" s="125">
        <v>0</v>
      </c>
      <c r="X15" s="126">
        <v>0</v>
      </c>
      <c r="Y15" s="278" t="str">
        <f t="shared" si="7"/>
        <v>-</v>
      </c>
      <c r="Z15" s="20">
        <v>0</v>
      </c>
      <c r="AA15" s="21">
        <v>0</v>
      </c>
      <c r="AB15" s="278" t="str">
        <f t="shared" si="8"/>
        <v>-</v>
      </c>
      <c r="AC15" s="20">
        <v>0</v>
      </c>
      <c r="AD15" s="21">
        <v>0</v>
      </c>
      <c r="AE15" s="278" t="str">
        <f t="shared" si="9"/>
        <v>-</v>
      </c>
      <c r="AF15" s="20">
        <v>0</v>
      </c>
      <c r="AG15" s="21">
        <v>0</v>
      </c>
      <c r="AH15" s="139" t="str">
        <f t="shared" si="30"/>
        <v>-</v>
      </c>
      <c r="AI15" s="20">
        <v>0</v>
      </c>
      <c r="AJ15" s="21">
        <v>0</v>
      </c>
      <c r="AK15" s="139" t="str">
        <f t="shared" si="31"/>
        <v>-</v>
      </c>
      <c r="AL15" s="20">
        <v>0</v>
      </c>
      <c r="AM15" s="21">
        <v>0</v>
      </c>
      <c r="AN15" s="139" t="str">
        <f t="shared" ref="AN15" si="65">IF(AM15=0,"-",AL15/AM15)</f>
        <v>-</v>
      </c>
      <c r="AO15" s="20">
        <v>0</v>
      </c>
      <c r="AP15" s="21">
        <v>0</v>
      </c>
      <c r="AQ15" s="139" t="str">
        <f t="shared" ref="AQ15" si="66">IF(AP15=0,"-",AO15/AP15)</f>
        <v>-</v>
      </c>
      <c r="AR15" s="20">
        <v>0</v>
      </c>
      <c r="AS15" s="21">
        <v>0</v>
      </c>
      <c r="AT15" s="139" t="str">
        <f t="shared" ref="AT15" si="67">IF(AS15=0,"-",AR15/AS15)</f>
        <v>-</v>
      </c>
      <c r="AU15" s="20">
        <v>18</v>
      </c>
      <c r="AV15" s="21">
        <v>2</v>
      </c>
      <c r="AW15" s="276">
        <f t="shared" si="12"/>
        <v>9</v>
      </c>
      <c r="AX15" s="20">
        <v>0</v>
      </c>
      <c r="AY15" s="21">
        <v>0</v>
      </c>
      <c r="AZ15" s="139" t="str">
        <f t="shared" ref="AZ15" si="68">IF(AY15=0,"-",AX15/AY15)</f>
        <v>-</v>
      </c>
      <c r="BA15" s="20">
        <v>0</v>
      </c>
      <c r="BB15" s="21">
        <v>0</v>
      </c>
      <c r="BC15" s="139" t="str">
        <f t="shared" ref="BC15" si="69">IF(BB15=0,"-",BA15/BB15)</f>
        <v>-</v>
      </c>
      <c r="BD15" s="252">
        <v>7</v>
      </c>
      <c r="BE15" s="253">
        <v>1</v>
      </c>
      <c r="BF15" s="139">
        <f t="shared" si="15"/>
        <v>7</v>
      </c>
      <c r="BG15" s="252">
        <v>0</v>
      </c>
      <c r="BH15" s="253">
        <v>0</v>
      </c>
      <c r="BI15" s="139" t="str">
        <f t="shared" ref="BI15" si="70">IF(BH15=0,"-",BG15/BH15)</f>
        <v>-</v>
      </c>
      <c r="BJ15" s="252">
        <v>0</v>
      </c>
      <c r="BK15" s="253">
        <v>0</v>
      </c>
      <c r="BL15" s="139" t="str">
        <f t="shared" ref="BL15" si="71">IF(BK15=0,"-",BJ15/BK15)</f>
        <v>-</v>
      </c>
      <c r="BM15" s="257">
        <v>6</v>
      </c>
      <c r="BN15" s="253">
        <v>1</v>
      </c>
      <c r="BO15" s="139">
        <f t="shared" si="18"/>
        <v>6</v>
      </c>
      <c r="BP15" s="252">
        <v>0</v>
      </c>
      <c r="BQ15" s="253">
        <v>0</v>
      </c>
      <c r="BR15" s="139" t="str">
        <f t="shared" si="19"/>
        <v>-</v>
      </c>
      <c r="BS15" s="20">
        <v>11</v>
      </c>
      <c r="BT15" s="21">
        <v>2</v>
      </c>
      <c r="BU15" s="139">
        <f t="shared" si="20"/>
        <v>5.5</v>
      </c>
      <c r="BV15" s="20">
        <v>0</v>
      </c>
      <c r="BW15" s="21">
        <v>0</v>
      </c>
      <c r="BX15" s="139" t="str">
        <f t="shared" ref="BX15" si="72">IF(BW15=0,"-",BV15/BW15)</f>
        <v>-</v>
      </c>
      <c r="BY15" s="20">
        <v>0</v>
      </c>
      <c r="BZ15" s="21">
        <v>0</v>
      </c>
      <c r="CA15" s="139" t="str">
        <f t="shared" ref="CA15" si="73">IF(BZ15=0,"-",BY15/BZ15)</f>
        <v>-</v>
      </c>
      <c r="CB15" s="20">
        <v>0</v>
      </c>
      <c r="CC15" s="21">
        <v>0</v>
      </c>
      <c r="CD15" s="139" t="str">
        <f t="shared" ref="CD15" si="74">IF(CC15=0,"-",CB15/CC15)</f>
        <v>-</v>
      </c>
      <c r="CE15" s="117">
        <f t="shared" si="28"/>
        <v>240</v>
      </c>
      <c r="CF15" s="120">
        <f t="shared" si="29"/>
        <v>35</v>
      </c>
      <c r="CG15" s="147">
        <f t="shared" si="23"/>
        <v>6.8571428571428568</v>
      </c>
    </row>
    <row r="16" spans="1:85" ht="15" thickBot="1" x14ac:dyDescent="0.35">
      <c r="A16" s="294">
        <v>45547</v>
      </c>
      <c r="B16" s="20">
        <v>59</v>
      </c>
      <c r="C16" s="21">
        <v>7</v>
      </c>
      <c r="D16" s="139">
        <f t="shared" si="0"/>
        <v>8.4285714285714288</v>
      </c>
      <c r="E16" s="20">
        <v>8</v>
      </c>
      <c r="F16" s="21">
        <v>1</v>
      </c>
      <c r="G16" s="139">
        <f t="shared" si="1"/>
        <v>8</v>
      </c>
      <c r="H16" s="20"/>
      <c r="I16" s="21"/>
      <c r="J16" s="139" t="str">
        <f t="shared" si="32"/>
        <v>-</v>
      </c>
      <c r="K16" s="20">
        <v>16</v>
      </c>
      <c r="L16" s="21">
        <v>2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23">
        <v>101</v>
      </c>
      <c r="R16" s="21">
        <v>19</v>
      </c>
      <c r="S16" s="139">
        <f t="shared" si="5"/>
        <v>5.3157894736842106</v>
      </c>
      <c r="T16" s="20">
        <v>0</v>
      </c>
      <c r="U16" s="21">
        <v>0</v>
      </c>
      <c r="V16" s="139" t="str">
        <f t="shared" si="6"/>
        <v>-</v>
      </c>
      <c r="W16" s="125">
        <v>0</v>
      </c>
      <c r="X16" s="126">
        <v>0</v>
      </c>
      <c r="Y16" s="278" t="str">
        <f t="shared" si="7"/>
        <v>-</v>
      </c>
      <c r="Z16" s="20">
        <v>0</v>
      </c>
      <c r="AA16" s="21">
        <v>0</v>
      </c>
      <c r="AB16" s="278" t="str">
        <f t="shared" si="8"/>
        <v>-</v>
      </c>
      <c r="AC16" s="20">
        <v>0</v>
      </c>
      <c r="AD16" s="21">
        <v>0</v>
      </c>
      <c r="AE16" s="278" t="str">
        <f t="shared" si="9"/>
        <v>-</v>
      </c>
      <c r="AF16" s="20">
        <v>0</v>
      </c>
      <c r="AG16" s="21">
        <v>0</v>
      </c>
      <c r="AH16" s="139" t="str">
        <f t="shared" si="30"/>
        <v>-</v>
      </c>
      <c r="AI16" s="20">
        <v>0</v>
      </c>
      <c r="AJ16" s="21">
        <v>0</v>
      </c>
      <c r="AK16" s="139" t="str">
        <f t="shared" si="31"/>
        <v>-</v>
      </c>
      <c r="AL16" s="20">
        <v>1</v>
      </c>
      <c r="AM16" s="21">
        <v>1</v>
      </c>
      <c r="AN16" s="139">
        <f t="shared" si="26"/>
        <v>1</v>
      </c>
      <c r="AO16" s="20">
        <v>0</v>
      </c>
      <c r="AP16" s="21">
        <v>0</v>
      </c>
      <c r="AQ16" s="139" t="str">
        <f t="shared" si="10"/>
        <v>-</v>
      </c>
      <c r="AR16" s="20">
        <v>1</v>
      </c>
      <c r="AS16" s="21">
        <v>1</v>
      </c>
      <c r="AT16" s="139">
        <f t="shared" si="11"/>
        <v>1</v>
      </c>
      <c r="AU16" s="20">
        <v>25</v>
      </c>
      <c r="AV16" s="21">
        <v>2</v>
      </c>
      <c r="AW16" s="276">
        <f t="shared" si="12"/>
        <v>12.5</v>
      </c>
      <c r="AX16" s="20">
        <v>0</v>
      </c>
      <c r="AY16" s="21">
        <v>0</v>
      </c>
      <c r="AZ16" s="139" t="str">
        <f t="shared" si="13"/>
        <v>-</v>
      </c>
      <c r="BA16" s="20">
        <v>0</v>
      </c>
      <c r="BB16" s="21">
        <v>0</v>
      </c>
      <c r="BC16" s="139" t="str">
        <f t="shared" si="14"/>
        <v>-</v>
      </c>
      <c r="BD16" s="252">
        <v>24</v>
      </c>
      <c r="BE16" s="253">
        <v>4</v>
      </c>
      <c r="BF16" s="139">
        <f t="shared" si="15"/>
        <v>6</v>
      </c>
      <c r="BG16" s="252">
        <v>0</v>
      </c>
      <c r="BH16" s="253">
        <v>0</v>
      </c>
      <c r="BI16" s="139" t="str">
        <f t="shared" si="16"/>
        <v>-</v>
      </c>
      <c r="BJ16" s="252">
        <v>0</v>
      </c>
      <c r="BK16" s="253">
        <v>0</v>
      </c>
      <c r="BL16" s="139" t="str">
        <f t="shared" si="17"/>
        <v>-</v>
      </c>
      <c r="BM16" s="257">
        <v>0</v>
      </c>
      <c r="BN16" s="253">
        <v>0</v>
      </c>
      <c r="BO16" s="139" t="str">
        <f t="shared" si="18"/>
        <v>-</v>
      </c>
      <c r="BP16" s="252">
        <v>0</v>
      </c>
      <c r="BQ16" s="253">
        <v>0</v>
      </c>
      <c r="BR16" s="139" t="str">
        <f t="shared" si="19"/>
        <v>-</v>
      </c>
      <c r="BS16" s="20">
        <v>12</v>
      </c>
      <c r="BT16" s="21">
        <v>2</v>
      </c>
      <c r="BU16" s="139">
        <f t="shared" si="20"/>
        <v>6</v>
      </c>
      <c r="BV16" s="20">
        <v>0</v>
      </c>
      <c r="BW16" s="21">
        <v>0</v>
      </c>
      <c r="BX16" s="139" t="str">
        <f t="shared" si="57"/>
        <v>-</v>
      </c>
      <c r="BY16" s="20">
        <v>0</v>
      </c>
      <c r="BZ16" s="21">
        <v>0</v>
      </c>
      <c r="CA16" s="139" t="str">
        <f t="shared" si="21"/>
        <v>-</v>
      </c>
      <c r="CB16" s="20">
        <v>0</v>
      </c>
      <c r="CC16" s="21">
        <v>0</v>
      </c>
      <c r="CD16" s="139" t="str">
        <f t="shared" si="22"/>
        <v>-</v>
      </c>
      <c r="CE16" s="117">
        <f t="shared" si="28"/>
        <v>247</v>
      </c>
      <c r="CF16" s="120">
        <f t="shared" si="29"/>
        <v>39</v>
      </c>
      <c r="CG16" s="147">
        <f t="shared" si="23"/>
        <v>6.333333333333333</v>
      </c>
    </row>
    <row r="17" spans="1:85" ht="15" thickBot="1" x14ac:dyDescent="0.35">
      <c r="A17" s="294">
        <v>45548</v>
      </c>
      <c r="B17" s="20">
        <v>47</v>
      </c>
      <c r="C17" s="21">
        <v>6</v>
      </c>
      <c r="D17" s="139">
        <f t="shared" si="0"/>
        <v>7.833333333333333</v>
      </c>
      <c r="E17" s="20">
        <v>0</v>
      </c>
      <c r="F17" s="21">
        <v>0</v>
      </c>
      <c r="G17" s="139" t="str">
        <f t="shared" si="1"/>
        <v>-</v>
      </c>
      <c r="H17" s="20"/>
      <c r="I17" s="21"/>
      <c r="J17" s="139" t="str">
        <f t="shared" si="32"/>
        <v>-</v>
      </c>
      <c r="K17" s="20">
        <v>18</v>
      </c>
      <c r="L17" s="21">
        <v>2</v>
      </c>
      <c r="M17" s="139">
        <f t="shared" si="3"/>
        <v>9</v>
      </c>
      <c r="N17" s="125">
        <v>0</v>
      </c>
      <c r="O17" s="126">
        <v>0</v>
      </c>
      <c r="P17" s="139" t="str">
        <f t="shared" si="4"/>
        <v>-</v>
      </c>
      <c r="Q17" s="20">
        <v>51</v>
      </c>
      <c r="R17" s="21">
        <v>9</v>
      </c>
      <c r="S17" s="139">
        <f t="shared" si="5"/>
        <v>5.666666666666667</v>
      </c>
      <c r="T17" s="20">
        <v>0</v>
      </c>
      <c r="U17" s="21">
        <v>0</v>
      </c>
      <c r="V17" s="139" t="str">
        <f t="shared" si="6"/>
        <v>-</v>
      </c>
      <c r="W17" s="125">
        <v>0</v>
      </c>
      <c r="X17" s="126">
        <v>0</v>
      </c>
      <c r="Y17" s="278" t="str">
        <f t="shared" si="7"/>
        <v>-</v>
      </c>
      <c r="Z17" s="20">
        <v>30</v>
      </c>
      <c r="AA17" s="21">
        <v>6</v>
      </c>
      <c r="AB17" s="278">
        <f t="shared" si="8"/>
        <v>5</v>
      </c>
      <c r="AC17" s="20">
        <v>0</v>
      </c>
      <c r="AD17" s="21">
        <v>0</v>
      </c>
      <c r="AE17" s="278" t="str">
        <f t="shared" si="9"/>
        <v>-</v>
      </c>
      <c r="AF17" s="20">
        <v>12</v>
      </c>
      <c r="AG17" s="21">
        <v>2</v>
      </c>
      <c r="AH17" s="139">
        <f t="shared" si="30"/>
        <v>6</v>
      </c>
      <c r="AI17" s="20">
        <v>16</v>
      </c>
      <c r="AJ17" s="21">
        <v>3</v>
      </c>
      <c r="AK17" s="139">
        <f t="shared" si="31"/>
        <v>5.333333333333333</v>
      </c>
      <c r="AL17" s="20">
        <v>0</v>
      </c>
      <c r="AM17" s="21">
        <v>0</v>
      </c>
      <c r="AN17" s="139" t="str">
        <f t="shared" si="26"/>
        <v>-</v>
      </c>
      <c r="AO17" s="20">
        <v>0</v>
      </c>
      <c r="AP17" s="21">
        <v>0</v>
      </c>
      <c r="AQ17" s="139" t="str">
        <f t="shared" si="10"/>
        <v>-</v>
      </c>
      <c r="AR17" s="20">
        <v>0</v>
      </c>
      <c r="AS17" s="21">
        <v>0</v>
      </c>
      <c r="AT17" s="139" t="str">
        <f t="shared" si="11"/>
        <v>-</v>
      </c>
      <c r="AU17" s="20">
        <v>0</v>
      </c>
      <c r="AV17" s="21">
        <v>0</v>
      </c>
      <c r="AW17" s="276" t="str">
        <f t="shared" si="12"/>
        <v>-</v>
      </c>
      <c r="AX17" s="20">
        <v>1</v>
      </c>
      <c r="AY17" s="21">
        <v>1</v>
      </c>
      <c r="AZ17" s="139">
        <f t="shared" si="13"/>
        <v>1</v>
      </c>
      <c r="BA17" s="20">
        <v>25</v>
      </c>
      <c r="BB17" s="21">
        <v>5</v>
      </c>
      <c r="BC17" s="139">
        <f t="shared" si="14"/>
        <v>5</v>
      </c>
      <c r="BD17" s="252">
        <v>28</v>
      </c>
      <c r="BE17" s="253">
        <v>4</v>
      </c>
      <c r="BF17" s="139">
        <f t="shared" si="15"/>
        <v>7</v>
      </c>
      <c r="BG17" s="252">
        <v>0</v>
      </c>
      <c r="BH17" s="253">
        <v>0</v>
      </c>
      <c r="BI17" s="139" t="str">
        <f t="shared" ref="BI17:BI19" si="75">IF(BH17=0,"-",BG17/BH17)</f>
        <v>-</v>
      </c>
      <c r="BJ17" s="252">
        <v>0</v>
      </c>
      <c r="BK17" s="253">
        <v>0</v>
      </c>
      <c r="BL17" s="139" t="str">
        <f t="shared" ref="BL17:BL19" si="76">IF(BK17=0,"-",BJ17/BK17)</f>
        <v>-</v>
      </c>
      <c r="BM17" s="257">
        <v>0</v>
      </c>
      <c r="BN17" s="253">
        <v>0</v>
      </c>
      <c r="BO17" s="139" t="str">
        <f t="shared" ref="BO17:BO19" si="77">IF(BN17=0,"-",BM17/BN17)</f>
        <v>-</v>
      </c>
      <c r="BP17" s="252">
        <v>0</v>
      </c>
      <c r="BQ17" s="253">
        <v>0</v>
      </c>
      <c r="BR17" s="139" t="str">
        <f t="shared" si="19"/>
        <v>-</v>
      </c>
      <c r="BS17" s="20">
        <v>6</v>
      </c>
      <c r="BT17" s="21">
        <v>1</v>
      </c>
      <c r="BU17" s="139">
        <f t="shared" si="20"/>
        <v>6</v>
      </c>
      <c r="BV17" s="20">
        <v>0</v>
      </c>
      <c r="BW17" s="21">
        <v>0</v>
      </c>
      <c r="BX17" s="139" t="str">
        <f t="shared" ref="BX17" si="78">IF(BW17=0,"-",BV17/BW17)</f>
        <v>-</v>
      </c>
      <c r="BY17" s="20">
        <v>0</v>
      </c>
      <c r="BZ17" s="21">
        <v>0</v>
      </c>
      <c r="CA17" s="139" t="str">
        <f t="shared" ref="CA17" si="79">IF(BZ17=0,"-",BY17/BZ17)</f>
        <v>-</v>
      </c>
      <c r="CB17" s="20">
        <v>0</v>
      </c>
      <c r="CC17" s="21">
        <v>0</v>
      </c>
      <c r="CD17" s="139" t="str">
        <f t="shared" ref="CD17" si="80">IF(CC17=0,"-",CB17/CC17)</f>
        <v>-</v>
      </c>
      <c r="CE17" s="117">
        <f t="shared" si="28"/>
        <v>234</v>
      </c>
      <c r="CF17" s="120">
        <f t="shared" si="29"/>
        <v>39</v>
      </c>
      <c r="CG17" s="147">
        <f t="shared" si="23"/>
        <v>6</v>
      </c>
    </row>
    <row r="18" spans="1:85" ht="15" thickBot="1" x14ac:dyDescent="0.35">
      <c r="A18" s="294">
        <v>45549</v>
      </c>
      <c r="B18" s="20">
        <v>48</v>
      </c>
      <c r="C18" s="21">
        <v>6</v>
      </c>
      <c r="D18" s="139">
        <f t="shared" si="0"/>
        <v>8</v>
      </c>
      <c r="E18" s="20">
        <v>0</v>
      </c>
      <c r="F18" s="21">
        <v>0</v>
      </c>
      <c r="G18" s="139" t="str">
        <f t="shared" si="1"/>
        <v>-</v>
      </c>
      <c r="H18" s="20"/>
      <c r="I18" s="21"/>
      <c r="J18" s="139" t="str">
        <f t="shared" si="32"/>
        <v>-</v>
      </c>
      <c r="K18" s="20">
        <v>17</v>
      </c>
      <c r="L18" s="21">
        <v>2</v>
      </c>
      <c r="M18" s="139">
        <f t="shared" si="3"/>
        <v>8.5</v>
      </c>
      <c r="N18" s="125">
        <v>0</v>
      </c>
      <c r="O18" s="126">
        <v>0</v>
      </c>
      <c r="P18" s="139" t="str">
        <f t="shared" si="4"/>
        <v>-</v>
      </c>
      <c r="Q18" s="20">
        <v>32</v>
      </c>
      <c r="R18" s="21">
        <v>6</v>
      </c>
      <c r="S18" s="139">
        <f t="shared" si="5"/>
        <v>5.333333333333333</v>
      </c>
      <c r="T18" s="20">
        <v>0</v>
      </c>
      <c r="U18" s="21">
        <v>0</v>
      </c>
      <c r="V18" s="139" t="str">
        <f t="shared" si="6"/>
        <v>-</v>
      </c>
      <c r="W18" s="20">
        <v>0</v>
      </c>
      <c r="X18" s="21">
        <v>0</v>
      </c>
      <c r="Y18" s="278" t="str">
        <f t="shared" si="7"/>
        <v>-</v>
      </c>
      <c r="Z18" s="20">
        <v>0</v>
      </c>
      <c r="AA18" s="21">
        <v>0</v>
      </c>
      <c r="AB18" s="278" t="str">
        <f t="shared" si="8"/>
        <v>-</v>
      </c>
      <c r="AC18" s="20">
        <v>0</v>
      </c>
      <c r="AD18" s="21">
        <v>0</v>
      </c>
      <c r="AE18" s="278" t="str">
        <f t="shared" si="9"/>
        <v>-</v>
      </c>
      <c r="AF18" s="20">
        <v>0</v>
      </c>
      <c r="AG18" s="21">
        <v>0</v>
      </c>
      <c r="AH18" s="139" t="str">
        <f t="shared" si="30"/>
        <v>-</v>
      </c>
      <c r="AI18" s="20">
        <v>6</v>
      </c>
      <c r="AJ18" s="21">
        <v>1</v>
      </c>
      <c r="AK18" s="139">
        <f t="shared" si="31"/>
        <v>6</v>
      </c>
      <c r="AL18" s="23">
        <v>2</v>
      </c>
      <c r="AM18" s="21">
        <v>1</v>
      </c>
      <c r="AN18" s="139">
        <f t="shared" si="26"/>
        <v>2</v>
      </c>
      <c r="AO18" s="20">
        <v>0</v>
      </c>
      <c r="AP18" s="21">
        <v>0</v>
      </c>
      <c r="AQ18" s="139" t="str">
        <f t="shared" si="10"/>
        <v>-</v>
      </c>
      <c r="AR18" s="20">
        <v>0</v>
      </c>
      <c r="AS18" s="21">
        <v>0</v>
      </c>
      <c r="AT18" s="139" t="str">
        <f t="shared" si="11"/>
        <v>-</v>
      </c>
      <c r="AU18" s="20">
        <v>0</v>
      </c>
      <c r="AV18" s="21">
        <v>0</v>
      </c>
      <c r="AW18" s="276" t="str">
        <f t="shared" si="12"/>
        <v>-</v>
      </c>
      <c r="AX18" s="20">
        <v>0</v>
      </c>
      <c r="AY18" s="21">
        <v>0</v>
      </c>
      <c r="AZ18" s="139" t="str">
        <f t="shared" si="13"/>
        <v>-</v>
      </c>
      <c r="BA18" s="20">
        <v>28</v>
      </c>
      <c r="BB18" s="21">
        <v>6</v>
      </c>
      <c r="BC18" s="139">
        <f t="shared" si="14"/>
        <v>4.666666666666667</v>
      </c>
      <c r="BD18" s="252">
        <v>13</v>
      </c>
      <c r="BE18" s="253">
        <v>2</v>
      </c>
      <c r="BF18" s="139">
        <f t="shared" si="15"/>
        <v>6.5</v>
      </c>
      <c r="BG18" s="252">
        <v>0</v>
      </c>
      <c r="BH18" s="253">
        <v>0</v>
      </c>
      <c r="BI18" s="139" t="str">
        <f t="shared" si="75"/>
        <v>-</v>
      </c>
      <c r="BJ18" s="252">
        <v>0</v>
      </c>
      <c r="BK18" s="253">
        <v>0</v>
      </c>
      <c r="BL18" s="139" t="str">
        <f t="shared" si="76"/>
        <v>-</v>
      </c>
      <c r="BM18" s="257">
        <v>0</v>
      </c>
      <c r="BN18" s="253">
        <v>0</v>
      </c>
      <c r="BO18" s="139" t="str">
        <f t="shared" si="77"/>
        <v>-</v>
      </c>
      <c r="BP18" s="252">
        <v>0</v>
      </c>
      <c r="BQ18" s="253">
        <v>0</v>
      </c>
      <c r="BR18" s="139" t="str">
        <f t="shared" si="19"/>
        <v>-</v>
      </c>
      <c r="BS18" s="20">
        <v>30</v>
      </c>
      <c r="BT18" s="21">
        <v>5</v>
      </c>
      <c r="BU18" s="139">
        <f t="shared" si="20"/>
        <v>6</v>
      </c>
      <c r="BV18" s="20">
        <v>0</v>
      </c>
      <c r="BW18" s="21">
        <v>0</v>
      </c>
      <c r="BX18" s="139" t="str">
        <f t="shared" ref="BX18:BX19" si="81">IF(BW18=0,"-",BV18/BW18)</f>
        <v>-</v>
      </c>
      <c r="BY18" s="20">
        <v>0</v>
      </c>
      <c r="BZ18" s="21">
        <v>0</v>
      </c>
      <c r="CA18" s="139" t="str">
        <f t="shared" ref="CA18:CA19" si="82">IF(BZ18=0,"-",BY18/BZ18)</f>
        <v>-</v>
      </c>
      <c r="CB18" s="20">
        <v>0</v>
      </c>
      <c r="CC18" s="21">
        <v>0</v>
      </c>
      <c r="CD18" s="139" t="str">
        <f t="shared" ref="CD18:CD19" si="83">IF(CC18=0,"-",CB18/CC18)</f>
        <v>-</v>
      </c>
      <c r="CE18" s="117">
        <f t="shared" si="28"/>
        <v>176</v>
      </c>
      <c r="CF18" s="120">
        <f t="shared" si="29"/>
        <v>29</v>
      </c>
      <c r="CG18" s="147">
        <f t="shared" si="23"/>
        <v>6.068965517241379</v>
      </c>
    </row>
    <row r="19" spans="1:85" ht="15" thickBot="1" x14ac:dyDescent="0.35">
      <c r="A19" s="294">
        <v>45550</v>
      </c>
      <c r="B19" s="20">
        <v>40</v>
      </c>
      <c r="C19" s="21">
        <v>5</v>
      </c>
      <c r="D19" s="139">
        <f t="shared" si="0"/>
        <v>8</v>
      </c>
      <c r="E19" s="20">
        <v>0</v>
      </c>
      <c r="F19" s="21">
        <v>0</v>
      </c>
      <c r="G19" s="139" t="str">
        <f t="shared" si="1"/>
        <v>-</v>
      </c>
      <c r="H19" s="20"/>
      <c r="I19" s="21"/>
      <c r="J19" s="139" t="str">
        <f t="shared" si="32"/>
        <v>-</v>
      </c>
      <c r="K19" s="20">
        <v>16</v>
      </c>
      <c r="L19" s="21">
        <v>2</v>
      </c>
      <c r="M19" s="139">
        <f t="shared" si="3"/>
        <v>8</v>
      </c>
      <c r="N19" s="125">
        <v>0</v>
      </c>
      <c r="O19" s="126">
        <v>0</v>
      </c>
      <c r="P19" s="139" t="str">
        <f t="shared" si="4"/>
        <v>-</v>
      </c>
      <c r="Q19" s="20">
        <v>0</v>
      </c>
      <c r="R19" s="21">
        <v>0</v>
      </c>
      <c r="S19" s="139" t="str">
        <f t="shared" si="5"/>
        <v>-</v>
      </c>
      <c r="T19" s="20">
        <v>0</v>
      </c>
      <c r="U19" s="21">
        <v>0</v>
      </c>
      <c r="V19" s="139" t="str">
        <f t="shared" si="6"/>
        <v>-</v>
      </c>
      <c r="W19" s="20">
        <v>0</v>
      </c>
      <c r="X19" s="21">
        <v>0</v>
      </c>
      <c r="Y19" s="278">
        <v>0</v>
      </c>
      <c r="Z19" s="20">
        <v>0</v>
      </c>
      <c r="AA19" s="21">
        <v>0</v>
      </c>
      <c r="AB19" s="278" t="str">
        <f t="shared" si="8"/>
        <v>-</v>
      </c>
      <c r="AC19" s="20">
        <v>0</v>
      </c>
      <c r="AD19" s="21">
        <v>0</v>
      </c>
      <c r="AE19" s="278" t="str">
        <f t="shared" si="9"/>
        <v>-</v>
      </c>
      <c r="AF19" s="20">
        <v>0</v>
      </c>
      <c r="AG19" s="21">
        <v>0</v>
      </c>
      <c r="AH19" s="139"/>
      <c r="AI19" s="20">
        <v>0</v>
      </c>
      <c r="AJ19" s="21">
        <v>0</v>
      </c>
      <c r="AK19" s="139" t="str">
        <f t="shared" si="31"/>
        <v>-</v>
      </c>
      <c r="AL19" s="23">
        <v>0</v>
      </c>
      <c r="AM19" s="21">
        <v>0</v>
      </c>
      <c r="AN19" s="139" t="str">
        <f t="shared" si="26"/>
        <v>-</v>
      </c>
      <c r="AO19" s="20">
        <v>0</v>
      </c>
      <c r="AP19" s="21">
        <v>0</v>
      </c>
      <c r="AQ19" s="139" t="str">
        <f t="shared" si="10"/>
        <v>-</v>
      </c>
      <c r="AR19" s="20">
        <v>0</v>
      </c>
      <c r="AS19" s="21">
        <v>0</v>
      </c>
      <c r="AT19" s="139" t="str">
        <f t="shared" si="11"/>
        <v>-</v>
      </c>
      <c r="AU19" s="20">
        <v>0</v>
      </c>
      <c r="AV19" s="21">
        <v>0</v>
      </c>
      <c r="AW19" s="276" t="str">
        <f t="shared" si="12"/>
        <v>-</v>
      </c>
      <c r="AX19" s="20">
        <v>0</v>
      </c>
      <c r="AY19" s="21">
        <v>0</v>
      </c>
      <c r="AZ19" s="139" t="str">
        <f t="shared" si="13"/>
        <v>-</v>
      </c>
      <c r="BA19" s="20">
        <v>0</v>
      </c>
      <c r="BB19" s="21">
        <v>0</v>
      </c>
      <c r="BC19" s="139" t="str">
        <f t="shared" si="14"/>
        <v>-</v>
      </c>
      <c r="BD19" s="252">
        <v>6</v>
      </c>
      <c r="BE19" s="253">
        <v>1</v>
      </c>
      <c r="BF19" s="139">
        <f t="shared" si="15"/>
        <v>6</v>
      </c>
      <c r="BG19" s="252">
        <v>0</v>
      </c>
      <c r="BH19" s="253">
        <v>0</v>
      </c>
      <c r="BI19" s="139" t="str">
        <f t="shared" si="75"/>
        <v>-</v>
      </c>
      <c r="BJ19" s="252">
        <v>0</v>
      </c>
      <c r="BK19" s="253">
        <v>0</v>
      </c>
      <c r="BL19" s="139" t="str">
        <f t="shared" si="76"/>
        <v>-</v>
      </c>
      <c r="BM19" s="257">
        <v>14</v>
      </c>
      <c r="BN19" s="253">
        <v>2</v>
      </c>
      <c r="BO19" s="139">
        <f t="shared" si="77"/>
        <v>7</v>
      </c>
      <c r="BP19" s="252">
        <v>0</v>
      </c>
      <c r="BQ19" s="253">
        <v>0</v>
      </c>
      <c r="BR19" s="139" t="str">
        <f t="shared" si="19"/>
        <v>-</v>
      </c>
      <c r="BS19" s="289">
        <v>0</v>
      </c>
      <c r="BT19" s="253">
        <v>0</v>
      </c>
      <c r="BU19" s="139" t="str">
        <f t="shared" si="20"/>
        <v>-</v>
      </c>
      <c r="BV19" s="20">
        <v>0</v>
      </c>
      <c r="BW19" s="21">
        <v>0</v>
      </c>
      <c r="BX19" s="139" t="str">
        <f t="shared" si="81"/>
        <v>-</v>
      </c>
      <c r="BY19" s="20">
        <v>0</v>
      </c>
      <c r="BZ19" s="21">
        <v>0</v>
      </c>
      <c r="CA19" s="139" t="str">
        <f t="shared" si="82"/>
        <v>-</v>
      </c>
      <c r="CB19" s="20">
        <v>0</v>
      </c>
      <c r="CC19" s="21">
        <v>0</v>
      </c>
      <c r="CD19" s="139" t="str">
        <f t="shared" si="83"/>
        <v>-</v>
      </c>
      <c r="CE19" s="117">
        <f t="shared" si="28"/>
        <v>76</v>
      </c>
      <c r="CF19" s="120">
        <f t="shared" si="29"/>
        <v>10</v>
      </c>
      <c r="CG19" s="147">
        <f t="shared" si="23"/>
        <v>7.6</v>
      </c>
    </row>
    <row r="20" spans="1:85" ht="15" thickBot="1" x14ac:dyDescent="0.35">
      <c r="A20" s="294">
        <v>45551</v>
      </c>
      <c r="B20" s="20">
        <v>32</v>
      </c>
      <c r="C20" s="21">
        <v>4</v>
      </c>
      <c r="D20" s="139">
        <f t="shared" si="0"/>
        <v>8</v>
      </c>
      <c r="E20" s="20">
        <v>0</v>
      </c>
      <c r="F20" s="21">
        <v>0</v>
      </c>
      <c r="G20" s="139" t="str">
        <f t="shared" si="1"/>
        <v>-</v>
      </c>
      <c r="H20" s="20"/>
      <c r="I20" s="21"/>
      <c r="J20" s="139" t="str">
        <f t="shared" si="32"/>
        <v>-</v>
      </c>
      <c r="K20" s="20">
        <v>41</v>
      </c>
      <c r="L20" s="21">
        <v>5</v>
      </c>
      <c r="M20" s="139">
        <f t="shared" si="3"/>
        <v>8.1999999999999993</v>
      </c>
      <c r="N20" s="125">
        <v>0</v>
      </c>
      <c r="O20" s="126">
        <v>0</v>
      </c>
      <c r="P20" s="139" t="str">
        <f t="shared" si="4"/>
        <v>-</v>
      </c>
      <c r="Q20" s="20">
        <v>43</v>
      </c>
      <c r="R20" s="21">
        <v>8</v>
      </c>
      <c r="S20" s="139">
        <f t="shared" si="5"/>
        <v>5.375</v>
      </c>
      <c r="T20" s="20">
        <v>0</v>
      </c>
      <c r="U20" s="21">
        <v>0</v>
      </c>
      <c r="V20" s="139" t="str">
        <f t="shared" ref="V20" si="84">IF(U20=0,"-",T20/U20)</f>
        <v>-</v>
      </c>
      <c r="W20" s="20">
        <v>0</v>
      </c>
      <c r="X20" s="21">
        <v>0</v>
      </c>
      <c r="Y20" s="278">
        <v>0</v>
      </c>
      <c r="Z20" s="20">
        <v>30</v>
      </c>
      <c r="AA20" s="21">
        <v>7</v>
      </c>
      <c r="AB20" s="278">
        <f t="shared" si="8"/>
        <v>4.2857142857142856</v>
      </c>
      <c r="AC20" s="20">
        <v>0</v>
      </c>
      <c r="AD20" s="21">
        <v>0</v>
      </c>
      <c r="AE20" s="278" t="str">
        <f t="shared" ref="AE20" si="85">IF(AD20=0,"-",AC20/AD20)</f>
        <v>-</v>
      </c>
      <c r="AF20" s="20">
        <v>0</v>
      </c>
      <c r="AG20" s="21">
        <v>0</v>
      </c>
      <c r="AH20" s="139"/>
      <c r="AI20" s="20">
        <v>0</v>
      </c>
      <c r="AJ20" s="21">
        <v>0</v>
      </c>
      <c r="AK20" s="139" t="str">
        <f t="shared" ref="AK20" si="86">IF(AJ20=0,"-",AI20/AJ20)</f>
        <v>-</v>
      </c>
      <c r="AL20" s="23">
        <v>3</v>
      </c>
      <c r="AM20" s="21">
        <v>2</v>
      </c>
      <c r="AN20" s="139">
        <f t="shared" si="26"/>
        <v>1.5</v>
      </c>
      <c r="AO20" s="20">
        <v>0</v>
      </c>
      <c r="AP20" s="21">
        <v>0</v>
      </c>
      <c r="AQ20" s="139" t="str">
        <f t="shared" ref="AQ20" si="87">IF(AP20=0,"-",AO20/AP20)</f>
        <v>-</v>
      </c>
      <c r="AR20" s="20">
        <v>0</v>
      </c>
      <c r="AS20" s="21">
        <v>0</v>
      </c>
      <c r="AT20" s="139" t="str">
        <f t="shared" ref="AT20" si="88">IF(AS20=0,"-",AR20/AS20)</f>
        <v>-</v>
      </c>
      <c r="AU20" s="20">
        <v>6</v>
      </c>
      <c r="AV20" s="21">
        <v>1</v>
      </c>
      <c r="AW20" s="276">
        <f t="shared" si="12"/>
        <v>6</v>
      </c>
      <c r="AX20" s="20">
        <v>0</v>
      </c>
      <c r="AY20" s="21">
        <v>0</v>
      </c>
      <c r="AZ20" s="139" t="str">
        <f t="shared" ref="AZ20" si="89">IF(AY20=0,"-",AX20/AY20)</f>
        <v>-</v>
      </c>
      <c r="BA20" s="20">
        <v>25</v>
      </c>
      <c r="BB20" s="21">
        <v>5</v>
      </c>
      <c r="BC20" s="139">
        <f t="shared" si="14"/>
        <v>5</v>
      </c>
      <c r="BD20" s="20">
        <v>30</v>
      </c>
      <c r="BE20" s="21">
        <v>5</v>
      </c>
      <c r="BF20" s="139">
        <f t="shared" si="15"/>
        <v>6</v>
      </c>
      <c r="BG20" s="252">
        <v>0</v>
      </c>
      <c r="BH20" s="253">
        <v>0</v>
      </c>
      <c r="BI20" s="139" t="str">
        <f t="shared" ref="BI20" si="90">IF(BH20=0,"-",BG20/BH20)</f>
        <v>-</v>
      </c>
      <c r="BJ20" s="252">
        <v>0</v>
      </c>
      <c r="BK20" s="253">
        <v>0</v>
      </c>
      <c r="BL20" s="139" t="str">
        <f t="shared" ref="BL20" si="91">IF(BK20=0,"-",BJ20/BK20)</f>
        <v>-</v>
      </c>
      <c r="BM20" s="252">
        <v>0</v>
      </c>
      <c r="BN20" s="253">
        <v>0</v>
      </c>
      <c r="BO20" s="139" t="str">
        <f t="shared" si="18"/>
        <v>-</v>
      </c>
      <c r="BP20" s="20">
        <v>0</v>
      </c>
      <c r="BQ20" s="21">
        <v>0</v>
      </c>
      <c r="BR20" s="139" t="str">
        <f t="shared" si="19"/>
        <v>-</v>
      </c>
      <c r="BS20" s="289">
        <v>0</v>
      </c>
      <c r="BT20" s="253">
        <v>0</v>
      </c>
      <c r="BU20" s="139" t="str">
        <f t="shared" ref="BU20" si="92">IF(BT20=0,"-",BS20/BT20)</f>
        <v>-</v>
      </c>
      <c r="BV20" s="20">
        <v>0</v>
      </c>
      <c r="BW20" s="21">
        <v>0</v>
      </c>
      <c r="BX20" s="139" t="str">
        <f t="shared" ref="BX20" si="93">IF(BW20=0,"-",BV20/BW20)</f>
        <v>-</v>
      </c>
      <c r="BY20" s="20">
        <v>0</v>
      </c>
      <c r="BZ20" s="21">
        <v>0</v>
      </c>
      <c r="CA20" s="139" t="str">
        <f t="shared" ref="CA20" si="94">IF(BZ20=0,"-",BY20/BZ20)</f>
        <v>-</v>
      </c>
      <c r="CB20" s="20">
        <v>0</v>
      </c>
      <c r="CC20" s="21">
        <v>0</v>
      </c>
      <c r="CD20" s="139" t="str">
        <f t="shared" ref="CD20" si="95">IF(CC20=0,"-",CB20/CC20)</f>
        <v>-</v>
      </c>
      <c r="CE20" s="117">
        <f t="shared" si="28"/>
        <v>210</v>
      </c>
      <c r="CF20" s="120">
        <f t="shared" si="29"/>
        <v>37</v>
      </c>
      <c r="CG20" s="147">
        <f t="shared" si="23"/>
        <v>5.6756756756756754</v>
      </c>
    </row>
    <row r="21" spans="1:85" ht="15" thickBot="1" x14ac:dyDescent="0.35">
      <c r="A21" s="294">
        <v>45552</v>
      </c>
      <c r="B21" s="20">
        <v>57</v>
      </c>
      <c r="C21" s="21">
        <v>7</v>
      </c>
      <c r="D21" s="139">
        <f t="shared" si="0"/>
        <v>8.1428571428571423</v>
      </c>
      <c r="E21" s="20">
        <v>8</v>
      </c>
      <c r="F21" s="21">
        <v>1</v>
      </c>
      <c r="G21" s="139">
        <f t="shared" si="1"/>
        <v>8</v>
      </c>
      <c r="H21" s="20"/>
      <c r="I21" s="21"/>
      <c r="J21" s="139" t="str">
        <f t="shared" si="32"/>
        <v>-</v>
      </c>
      <c r="K21" s="20">
        <v>16</v>
      </c>
      <c r="L21" s="21">
        <v>2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20">
        <v>58</v>
      </c>
      <c r="R21" s="21">
        <v>10</v>
      </c>
      <c r="S21" s="139">
        <f t="shared" si="5"/>
        <v>5.8</v>
      </c>
      <c r="T21" s="20">
        <v>0</v>
      </c>
      <c r="U21" s="21">
        <v>0</v>
      </c>
      <c r="V21" s="139" t="str">
        <f t="shared" si="6"/>
        <v>-</v>
      </c>
      <c r="W21" s="20">
        <v>6</v>
      </c>
      <c r="X21" s="21">
        <v>1</v>
      </c>
      <c r="Y21" s="139">
        <f t="shared" si="7"/>
        <v>6</v>
      </c>
      <c r="Z21" s="20">
        <v>10</v>
      </c>
      <c r="AA21" s="21">
        <v>2</v>
      </c>
      <c r="AB21" s="139">
        <f t="shared" si="8"/>
        <v>5</v>
      </c>
      <c r="AC21" s="20">
        <v>0</v>
      </c>
      <c r="AD21" s="21">
        <v>0</v>
      </c>
      <c r="AE21" s="278" t="str">
        <f t="shared" ref="AE21" si="96">IF(AD21=0,"-",AC21/AD21)</f>
        <v>-</v>
      </c>
      <c r="AF21" s="20">
        <v>0</v>
      </c>
      <c r="AG21" s="21">
        <v>0</v>
      </c>
      <c r="AH21" s="139"/>
      <c r="AI21" s="20">
        <v>0</v>
      </c>
      <c r="AJ21" s="21">
        <v>0</v>
      </c>
      <c r="AK21" s="139" t="str">
        <f t="shared" ref="AK21" si="97">IF(AJ21=0,"-",AI21/AJ21)</f>
        <v>-</v>
      </c>
      <c r="AL21" s="23">
        <v>0</v>
      </c>
      <c r="AM21" s="21">
        <v>0</v>
      </c>
      <c r="AN21" s="139" t="str">
        <f t="shared" si="26"/>
        <v>-</v>
      </c>
      <c r="AO21" s="20">
        <v>0</v>
      </c>
      <c r="AP21" s="21">
        <v>0</v>
      </c>
      <c r="AQ21" s="139" t="str">
        <f t="shared" si="10"/>
        <v>-</v>
      </c>
      <c r="AR21" s="20">
        <v>2</v>
      </c>
      <c r="AS21" s="21">
        <v>1</v>
      </c>
      <c r="AT21" s="139">
        <f t="shared" si="11"/>
        <v>2</v>
      </c>
      <c r="AU21" s="20">
        <v>9</v>
      </c>
      <c r="AV21" s="21">
        <v>1</v>
      </c>
      <c r="AW21" s="276">
        <f t="shared" si="12"/>
        <v>9</v>
      </c>
      <c r="AX21" s="20">
        <v>0</v>
      </c>
      <c r="AY21" s="21">
        <v>0</v>
      </c>
      <c r="AZ21" s="139" t="str">
        <f t="shared" si="13"/>
        <v>-</v>
      </c>
      <c r="BA21" s="20">
        <v>0</v>
      </c>
      <c r="BB21" s="21">
        <v>0</v>
      </c>
      <c r="BC21" s="139">
        <v>0</v>
      </c>
      <c r="BD21" s="20">
        <v>16</v>
      </c>
      <c r="BE21" s="21">
        <v>3</v>
      </c>
      <c r="BF21" s="139">
        <f t="shared" si="15"/>
        <v>5.333333333333333</v>
      </c>
      <c r="BG21" s="252">
        <v>0</v>
      </c>
      <c r="BH21" s="253">
        <v>0</v>
      </c>
      <c r="BI21" s="139" t="str">
        <f t="shared" si="16"/>
        <v>-</v>
      </c>
      <c r="BJ21" s="252">
        <v>0</v>
      </c>
      <c r="BK21" s="253">
        <v>0</v>
      </c>
      <c r="BL21" s="139" t="str">
        <f t="shared" si="17"/>
        <v>-</v>
      </c>
      <c r="BM21" s="252">
        <v>6</v>
      </c>
      <c r="BN21" s="253">
        <v>1</v>
      </c>
      <c r="BO21" s="139">
        <f t="shared" si="18"/>
        <v>6</v>
      </c>
      <c r="BP21" s="20">
        <v>0</v>
      </c>
      <c r="BQ21" s="21">
        <v>0</v>
      </c>
      <c r="BR21" s="139" t="str">
        <f t="shared" si="19"/>
        <v>-</v>
      </c>
      <c r="BS21" s="252">
        <v>6</v>
      </c>
      <c r="BT21" s="253">
        <v>1</v>
      </c>
      <c r="BU21" s="139">
        <f t="shared" si="20"/>
        <v>6</v>
      </c>
      <c r="BV21" s="252">
        <v>0</v>
      </c>
      <c r="BW21" s="253">
        <v>0</v>
      </c>
      <c r="BX21" s="139" t="str">
        <f t="shared" si="57"/>
        <v>-</v>
      </c>
      <c r="BY21" s="252">
        <v>0</v>
      </c>
      <c r="BZ21" s="253">
        <v>0</v>
      </c>
      <c r="CA21" s="139">
        <v>0</v>
      </c>
      <c r="CB21" s="252">
        <v>0</v>
      </c>
      <c r="CC21" s="253">
        <v>0</v>
      </c>
      <c r="CD21" s="139" t="str">
        <f t="shared" si="22"/>
        <v>-</v>
      </c>
      <c r="CE21" s="117">
        <f t="shared" si="28"/>
        <v>194</v>
      </c>
      <c r="CF21" s="120">
        <f t="shared" si="29"/>
        <v>30</v>
      </c>
      <c r="CG21" s="147">
        <f t="shared" si="23"/>
        <v>6.4666666666666668</v>
      </c>
    </row>
    <row r="22" spans="1:85" ht="15" thickBot="1" x14ac:dyDescent="0.35">
      <c r="A22" s="294">
        <v>45553</v>
      </c>
      <c r="B22" s="20">
        <v>48</v>
      </c>
      <c r="C22" s="21">
        <v>6</v>
      </c>
      <c r="D22" s="139">
        <f t="shared" si="0"/>
        <v>8</v>
      </c>
      <c r="E22" s="20">
        <v>0</v>
      </c>
      <c r="F22" s="21">
        <v>0</v>
      </c>
      <c r="G22" s="139" t="str">
        <f t="shared" si="1"/>
        <v>-</v>
      </c>
      <c r="H22" s="20"/>
      <c r="I22" s="21"/>
      <c r="J22" s="139" t="str">
        <f t="shared" si="32"/>
        <v>-</v>
      </c>
      <c r="K22" s="20">
        <v>0</v>
      </c>
      <c r="L22" s="21">
        <v>0</v>
      </c>
      <c r="M22" s="139" t="str">
        <f t="shared" si="3"/>
        <v>-</v>
      </c>
      <c r="N22" s="125">
        <v>0</v>
      </c>
      <c r="O22" s="126">
        <v>0</v>
      </c>
      <c r="P22" s="139" t="str">
        <f t="shared" si="4"/>
        <v>-</v>
      </c>
      <c r="Q22" s="20">
        <v>39</v>
      </c>
      <c r="R22" s="21">
        <v>7</v>
      </c>
      <c r="S22" s="139">
        <f t="shared" si="5"/>
        <v>5.5714285714285712</v>
      </c>
      <c r="T22" s="20">
        <v>0</v>
      </c>
      <c r="U22" s="21">
        <v>0</v>
      </c>
      <c r="V22" s="139" t="str">
        <f t="shared" si="6"/>
        <v>-</v>
      </c>
      <c r="W22" s="20">
        <v>0</v>
      </c>
      <c r="X22" s="21">
        <v>0</v>
      </c>
      <c r="Y22" s="139" t="str">
        <f t="shared" si="7"/>
        <v>-</v>
      </c>
      <c r="Z22" s="20">
        <v>20</v>
      </c>
      <c r="AA22" s="21">
        <v>4</v>
      </c>
      <c r="AB22" s="139">
        <f t="shared" si="8"/>
        <v>5</v>
      </c>
      <c r="AC22" s="20">
        <v>0</v>
      </c>
      <c r="AD22" s="21">
        <v>0</v>
      </c>
      <c r="AE22" s="139" t="str">
        <f t="shared" si="9"/>
        <v>-</v>
      </c>
      <c r="AF22" s="20">
        <v>11</v>
      </c>
      <c r="AG22" s="21">
        <v>2</v>
      </c>
      <c r="AH22" s="139">
        <f t="shared" si="30"/>
        <v>5.5</v>
      </c>
      <c r="AI22" s="20">
        <v>12</v>
      </c>
      <c r="AJ22" s="21">
        <v>2</v>
      </c>
      <c r="AK22" s="139">
        <f t="shared" si="31"/>
        <v>6</v>
      </c>
      <c r="AL22" s="23">
        <v>8</v>
      </c>
      <c r="AM22" s="21">
        <v>1</v>
      </c>
      <c r="AN22" s="139">
        <f t="shared" si="26"/>
        <v>8</v>
      </c>
      <c r="AO22" s="20">
        <v>0</v>
      </c>
      <c r="AP22" s="21">
        <v>0</v>
      </c>
      <c r="AQ22" s="139" t="str">
        <f t="shared" si="10"/>
        <v>-</v>
      </c>
      <c r="AR22" s="20">
        <v>2</v>
      </c>
      <c r="AS22" s="21">
        <v>1</v>
      </c>
      <c r="AT22" s="139">
        <f t="shared" si="11"/>
        <v>2</v>
      </c>
      <c r="AU22" s="20">
        <v>0</v>
      </c>
      <c r="AV22" s="21">
        <v>0</v>
      </c>
      <c r="AW22" s="276" t="str">
        <f t="shared" si="12"/>
        <v>-</v>
      </c>
      <c r="AX22" s="20">
        <v>0</v>
      </c>
      <c r="AY22" s="21">
        <v>0</v>
      </c>
      <c r="AZ22" s="139" t="str">
        <f t="shared" si="13"/>
        <v>-</v>
      </c>
      <c r="BA22" s="20">
        <v>0</v>
      </c>
      <c r="BB22" s="21">
        <v>0</v>
      </c>
      <c r="BC22" s="139" t="str">
        <f t="shared" si="14"/>
        <v>-</v>
      </c>
      <c r="BD22" s="252">
        <v>21</v>
      </c>
      <c r="BE22" s="253">
        <v>4</v>
      </c>
      <c r="BF22" s="139">
        <f t="shared" si="15"/>
        <v>5.25</v>
      </c>
      <c r="BG22" s="252">
        <v>0</v>
      </c>
      <c r="BH22" s="253">
        <v>0</v>
      </c>
      <c r="BI22" s="139" t="str">
        <f t="shared" si="16"/>
        <v>-</v>
      </c>
      <c r="BJ22" s="252">
        <v>0</v>
      </c>
      <c r="BK22" s="253">
        <v>0</v>
      </c>
      <c r="BL22" s="139" t="str">
        <f t="shared" si="17"/>
        <v>-</v>
      </c>
      <c r="BM22" s="20">
        <v>0</v>
      </c>
      <c r="BN22" s="21">
        <v>0</v>
      </c>
      <c r="BO22" s="139" t="str">
        <f t="shared" si="18"/>
        <v>-</v>
      </c>
      <c r="BP22" s="20">
        <v>0</v>
      </c>
      <c r="BQ22" s="21">
        <v>0</v>
      </c>
      <c r="BR22" s="139" t="str">
        <f t="shared" si="19"/>
        <v>-</v>
      </c>
      <c r="BS22" s="252">
        <v>6</v>
      </c>
      <c r="BT22" s="253">
        <v>1</v>
      </c>
      <c r="BU22" s="139">
        <f t="shared" si="20"/>
        <v>6</v>
      </c>
      <c r="BV22" s="252">
        <v>0</v>
      </c>
      <c r="BW22" s="253">
        <v>0</v>
      </c>
      <c r="BX22" s="139" t="str">
        <f t="shared" si="57"/>
        <v>-</v>
      </c>
      <c r="BY22" s="252">
        <v>0</v>
      </c>
      <c r="BZ22" s="253">
        <v>0</v>
      </c>
      <c r="CA22" s="139" t="str">
        <f t="shared" si="21"/>
        <v>-</v>
      </c>
      <c r="CB22" s="252">
        <v>0</v>
      </c>
      <c r="CC22" s="253">
        <v>0</v>
      </c>
      <c r="CD22" s="139" t="str">
        <f t="shared" si="22"/>
        <v>-</v>
      </c>
      <c r="CE22" s="117">
        <f t="shared" si="28"/>
        <v>167</v>
      </c>
      <c r="CF22" s="120">
        <f t="shared" si="29"/>
        <v>28</v>
      </c>
      <c r="CG22" s="147">
        <f t="shared" si="23"/>
        <v>5.9642857142857144</v>
      </c>
    </row>
    <row r="23" spans="1:85" ht="15" thickBot="1" x14ac:dyDescent="0.35">
      <c r="A23" s="294">
        <v>45554</v>
      </c>
      <c r="B23" s="20">
        <v>57</v>
      </c>
      <c r="C23" s="21">
        <v>7</v>
      </c>
      <c r="D23" s="139">
        <f t="shared" si="0"/>
        <v>8.1428571428571423</v>
      </c>
      <c r="E23" s="20">
        <v>8</v>
      </c>
      <c r="F23" s="21">
        <v>1</v>
      </c>
      <c r="G23" s="139">
        <f t="shared" si="1"/>
        <v>8</v>
      </c>
      <c r="H23" s="20"/>
      <c r="I23" s="21"/>
      <c r="J23" s="139" t="str">
        <f t="shared" si="32"/>
        <v>-</v>
      </c>
      <c r="K23" s="20">
        <v>17</v>
      </c>
      <c r="L23" s="21">
        <v>2</v>
      </c>
      <c r="M23" s="139">
        <f t="shared" si="3"/>
        <v>8.5</v>
      </c>
      <c r="N23" s="125">
        <v>0</v>
      </c>
      <c r="O23" s="126">
        <v>0</v>
      </c>
      <c r="P23" s="139" t="str">
        <f t="shared" si="4"/>
        <v>-</v>
      </c>
      <c r="Q23" s="20">
        <v>21</v>
      </c>
      <c r="R23" s="21">
        <v>4</v>
      </c>
      <c r="S23" s="139">
        <f t="shared" si="5"/>
        <v>5.25</v>
      </c>
      <c r="T23" s="20">
        <v>0</v>
      </c>
      <c r="U23" s="21">
        <v>0</v>
      </c>
      <c r="V23" s="139" t="str">
        <f t="shared" ref="V23" si="98">IF(U23=0,"-",T23/U23)</f>
        <v>-</v>
      </c>
      <c r="W23" s="20">
        <v>0</v>
      </c>
      <c r="X23" s="21">
        <v>0</v>
      </c>
      <c r="Y23" s="139" t="str">
        <f t="shared" ref="Y23" si="99">IF(X23=0,"-",W23/X23)</f>
        <v>-</v>
      </c>
      <c r="Z23" s="20">
        <v>35</v>
      </c>
      <c r="AA23" s="21">
        <v>7</v>
      </c>
      <c r="AB23" s="139">
        <f t="shared" si="8"/>
        <v>5</v>
      </c>
      <c r="AC23" s="20">
        <v>0</v>
      </c>
      <c r="AD23" s="21">
        <v>0</v>
      </c>
      <c r="AE23" s="139" t="str">
        <f t="shared" ref="AE23" si="100">IF(AD23=0,"-",AC23/AD23)</f>
        <v>-</v>
      </c>
      <c r="AF23" s="20">
        <v>0</v>
      </c>
      <c r="AG23" s="21">
        <v>0</v>
      </c>
      <c r="AH23" s="139" t="str">
        <f t="shared" si="30"/>
        <v>-</v>
      </c>
      <c r="AI23" s="20">
        <v>6</v>
      </c>
      <c r="AJ23" s="21">
        <v>1</v>
      </c>
      <c r="AK23" s="139">
        <f t="shared" si="31"/>
        <v>6</v>
      </c>
      <c r="AL23" s="23">
        <v>0</v>
      </c>
      <c r="AM23" s="21">
        <v>0</v>
      </c>
      <c r="AN23" s="139" t="str">
        <f t="shared" si="26"/>
        <v>-</v>
      </c>
      <c r="AO23" s="20">
        <v>0</v>
      </c>
      <c r="AP23" s="21">
        <v>0</v>
      </c>
      <c r="AQ23" s="139" t="str">
        <f t="shared" si="10"/>
        <v>-</v>
      </c>
      <c r="AR23" s="20">
        <v>0</v>
      </c>
      <c r="AS23" s="21">
        <v>0</v>
      </c>
      <c r="AT23" s="139" t="str">
        <f t="shared" si="11"/>
        <v>-</v>
      </c>
      <c r="AU23" s="20">
        <v>0</v>
      </c>
      <c r="AV23" s="21">
        <v>0</v>
      </c>
      <c r="AW23" s="276" t="str">
        <f t="shared" si="12"/>
        <v>-</v>
      </c>
      <c r="AX23" s="20">
        <v>1</v>
      </c>
      <c r="AY23" s="21">
        <v>1</v>
      </c>
      <c r="AZ23" s="139">
        <f t="shared" si="13"/>
        <v>1</v>
      </c>
      <c r="BA23" s="20">
        <v>18</v>
      </c>
      <c r="BB23" s="21">
        <v>3</v>
      </c>
      <c r="BC23" s="139">
        <f t="shared" si="14"/>
        <v>6</v>
      </c>
      <c r="BD23" s="252">
        <v>7</v>
      </c>
      <c r="BE23" s="253">
        <v>1</v>
      </c>
      <c r="BF23" s="139">
        <f t="shared" si="15"/>
        <v>7</v>
      </c>
      <c r="BG23" s="252">
        <v>0</v>
      </c>
      <c r="BH23" s="253">
        <v>0</v>
      </c>
      <c r="BI23" s="139" t="str">
        <f t="shared" si="16"/>
        <v>-</v>
      </c>
      <c r="BJ23" s="302">
        <v>0</v>
      </c>
      <c r="BK23" s="303">
        <v>0</v>
      </c>
      <c r="BL23" s="139" t="str">
        <f t="shared" si="17"/>
        <v>-</v>
      </c>
      <c r="BM23" s="257">
        <v>0</v>
      </c>
      <c r="BN23" s="253">
        <v>0</v>
      </c>
      <c r="BO23" s="139" t="str">
        <f t="shared" si="18"/>
        <v>-</v>
      </c>
      <c r="BP23" s="20">
        <v>0</v>
      </c>
      <c r="BQ23" s="21">
        <v>0</v>
      </c>
      <c r="BR23" s="139" t="str">
        <f t="shared" si="19"/>
        <v>-</v>
      </c>
      <c r="BS23" s="252">
        <v>16</v>
      </c>
      <c r="BT23" s="253">
        <v>3</v>
      </c>
      <c r="BU23" s="139">
        <f t="shared" si="20"/>
        <v>5.333333333333333</v>
      </c>
      <c r="BV23" s="252">
        <v>0</v>
      </c>
      <c r="BW23" s="253">
        <v>0</v>
      </c>
      <c r="BX23" s="139" t="str">
        <f t="shared" ref="BX23:BX28" si="101">IF(BW23=0,"-",BV23/BW23)</f>
        <v>-</v>
      </c>
      <c r="BY23" s="252">
        <v>0</v>
      </c>
      <c r="BZ23" s="253">
        <v>0</v>
      </c>
      <c r="CA23" s="139" t="str">
        <f t="shared" ref="CA23:CA28" si="102">IF(BZ23=0,"-",BY23/BZ23)</f>
        <v>-</v>
      </c>
      <c r="CB23" s="252">
        <v>0</v>
      </c>
      <c r="CC23" s="253">
        <v>0</v>
      </c>
      <c r="CD23" s="139" t="str">
        <f t="shared" ref="CD23:CD28" si="103">IF(CC23=0,"-",CB23/CC23)</f>
        <v>-</v>
      </c>
      <c r="CE23" s="117">
        <f t="shared" si="28"/>
        <v>186</v>
      </c>
      <c r="CF23" s="120">
        <f t="shared" si="29"/>
        <v>30</v>
      </c>
      <c r="CG23" s="147">
        <f t="shared" si="23"/>
        <v>6.2</v>
      </c>
    </row>
    <row r="24" spans="1:85" ht="15" thickBot="1" x14ac:dyDescent="0.35">
      <c r="A24" s="294">
        <v>45555</v>
      </c>
      <c r="B24" s="20">
        <v>32</v>
      </c>
      <c r="C24" s="21">
        <v>4</v>
      </c>
      <c r="D24" s="139">
        <f t="shared" si="0"/>
        <v>8</v>
      </c>
      <c r="E24" s="20">
        <v>0</v>
      </c>
      <c r="F24" s="21">
        <v>0</v>
      </c>
      <c r="G24" s="139" t="str">
        <f t="shared" si="1"/>
        <v>-</v>
      </c>
      <c r="H24" s="20"/>
      <c r="I24" s="21"/>
      <c r="J24" s="139" t="str">
        <f t="shared" si="32"/>
        <v>-</v>
      </c>
      <c r="K24" s="20">
        <v>16</v>
      </c>
      <c r="L24" s="21">
        <v>2</v>
      </c>
      <c r="M24" s="139">
        <f t="shared" si="3"/>
        <v>8</v>
      </c>
      <c r="N24" s="125">
        <v>0</v>
      </c>
      <c r="O24" s="126">
        <v>0</v>
      </c>
      <c r="P24" s="139" t="str">
        <f t="shared" si="4"/>
        <v>-</v>
      </c>
      <c r="Q24" s="20">
        <v>77</v>
      </c>
      <c r="R24" s="21">
        <v>13</v>
      </c>
      <c r="S24" s="139">
        <f t="shared" si="5"/>
        <v>5.9230769230769234</v>
      </c>
      <c r="T24" s="20">
        <v>0</v>
      </c>
      <c r="U24" s="21">
        <v>0</v>
      </c>
      <c r="V24" s="139" t="str">
        <f t="shared" ref="V24" si="104">IF(U24=0,"-",T24/U24)</f>
        <v>-</v>
      </c>
      <c r="W24" s="20">
        <v>0</v>
      </c>
      <c r="X24" s="21">
        <v>0</v>
      </c>
      <c r="Y24" s="139" t="str">
        <f t="shared" ref="Y24" si="105">IF(X24=0,"-",W24/X24)</f>
        <v>-</v>
      </c>
      <c r="Z24" s="20">
        <v>25</v>
      </c>
      <c r="AA24" s="21">
        <v>5</v>
      </c>
      <c r="AB24" s="139">
        <f t="shared" si="8"/>
        <v>5</v>
      </c>
      <c r="AC24" s="20">
        <v>0</v>
      </c>
      <c r="AD24" s="21">
        <v>0</v>
      </c>
      <c r="AE24" s="139" t="str">
        <f t="shared" ref="AE24:AE26" si="106">IF(AD24=0,"-",AC24/AD24)</f>
        <v>-</v>
      </c>
      <c r="AF24" s="20">
        <v>0</v>
      </c>
      <c r="AG24" s="21">
        <v>0</v>
      </c>
      <c r="AH24" s="139" t="str">
        <f t="shared" ref="AH24:AH26" si="107">IF(AG24=0,"-",AF24/AG24)</f>
        <v>-</v>
      </c>
      <c r="AI24" s="20">
        <v>6</v>
      </c>
      <c r="AJ24" s="21">
        <v>1</v>
      </c>
      <c r="AK24" s="139">
        <f t="shared" si="31"/>
        <v>6</v>
      </c>
      <c r="AL24" s="23">
        <v>9</v>
      </c>
      <c r="AM24" s="21">
        <v>2</v>
      </c>
      <c r="AN24" s="139">
        <f t="shared" si="26"/>
        <v>4.5</v>
      </c>
      <c r="AO24" s="20">
        <v>0</v>
      </c>
      <c r="AP24" s="21">
        <v>0</v>
      </c>
      <c r="AQ24" s="139" t="str">
        <f t="shared" si="10"/>
        <v>-</v>
      </c>
      <c r="AR24" s="20">
        <v>8</v>
      </c>
      <c r="AS24" s="21">
        <v>2</v>
      </c>
      <c r="AT24" s="139">
        <f t="shared" si="11"/>
        <v>4</v>
      </c>
      <c r="AU24" s="20">
        <v>0</v>
      </c>
      <c r="AV24" s="21">
        <v>0</v>
      </c>
      <c r="AW24" s="276" t="str">
        <f t="shared" si="12"/>
        <v>-</v>
      </c>
      <c r="AX24" s="20">
        <v>0</v>
      </c>
      <c r="AY24" s="21">
        <v>0</v>
      </c>
      <c r="AZ24" s="139" t="str">
        <f t="shared" si="13"/>
        <v>-</v>
      </c>
      <c r="BA24" s="20">
        <v>34</v>
      </c>
      <c r="BB24" s="21">
        <v>7</v>
      </c>
      <c r="BC24" s="139">
        <f t="shared" si="14"/>
        <v>4.8571428571428568</v>
      </c>
      <c r="BD24" s="252">
        <v>16</v>
      </c>
      <c r="BE24" s="253">
        <v>3</v>
      </c>
      <c r="BF24" s="139">
        <f t="shared" si="15"/>
        <v>5.333333333333333</v>
      </c>
      <c r="BG24" s="252">
        <v>0</v>
      </c>
      <c r="BH24" s="253">
        <v>0</v>
      </c>
      <c r="BI24" s="139" t="str">
        <f t="shared" si="16"/>
        <v>-</v>
      </c>
      <c r="BJ24" s="302">
        <v>0</v>
      </c>
      <c r="BK24" s="303">
        <v>0</v>
      </c>
      <c r="BL24" s="139" t="str">
        <f t="shared" si="17"/>
        <v>-</v>
      </c>
      <c r="BM24" s="256">
        <v>0</v>
      </c>
      <c r="BN24" s="253">
        <v>0</v>
      </c>
      <c r="BO24" s="139" t="str">
        <f t="shared" si="18"/>
        <v>-</v>
      </c>
      <c r="BP24" s="20">
        <v>0</v>
      </c>
      <c r="BQ24" s="21">
        <v>0</v>
      </c>
      <c r="BR24" s="139" t="str">
        <f t="shared" si="19"/>
        <v>-</v>
      </c>
      <c r="BS24" s="252">
        <v>0</v>
      </c>
      <c r="BT24" s="253">
        <v>0</v>
      </c>
      <c r="BU24" s="139" t="str">
        <f t="shared" si="20"/>
        <v>-</v>
      </c>
      <c r="BV24" s="252">
        <v>0</v>
      </c>
      <c r="BW24" s="253">
        <v>0</v>
      </c>
      <c r="BX24" s="139" t="str">
        <f t="shared" si="101"/>
        <v>-</v>
      </c>
      <c r="BY24" s="252">
        <v>0</v>
      </c>
      <c r="BZ24" s="253">
        <v>0</v>
      </c>
      <c r="CA24" s="139" t="str">
        <f t="shared" si="102"/>
        <v>-</v>
      </c>
      <c r="CB24" s="252">
        <v>0</v>
      </c>
      <c r="CC24" s="253">
        <v>0</v>
      </c>
      <c r="CD24" s="139" t="str">
        <f t="shared" si="103"/>
        <v>-</v>
      </c>
      <c r="CE24" s="117">
        <f t="shared" si="28"/>
        <v>223</v>
      </c>
      <c r="CF24" s="120">
        <f t="shared" si="29"/>
        <v>39</v>
      </c>
      <c r="CG24" s="147">
        <f t="shared" si="23"/>
        <v>5.7179487179487181</v>
      </c>
    </row>
    <row r="25" spans="1:85" ht="15" thickBot="1" x14ac:dyDescent="0.35">
      <c r="A25" s="294">
        <v>45556</v>
      </c>
      <c r="B25" s="20">
        <v>19</v>
      </c>
      <c r="C25" s="21">
        <v>2</v>
      </c>
      <c r="D25" s="139">
        <f t="shared" si="0"/>
        <v>9.5</v>
      </c>
      <c r="E25" s="20">
        <v>0</v>
      </c>
      <c r="F25" s="21">
        <v>0</v>
      </c>
      <c r="G25" s="139" t="str">
        <f t="shared" si="1"/>
        <v>-</v>
      </c>
      <c r="H25" s="20"/>
      <c r="I25" s="21"/>
      <c r="J25" s="139" t="str">
        <f t="shared" si="32"/>
        <v>-</v>
      </c>
      <c r="K25" s="20">
        <v>10</v>
      </c>
      <c r="L25" s="21">
        <v>1</v>
      </c>
      <c r="M25" s="139">
        <f t="shared" si="3"/>
        <v>10</v>
      </c>
      <c r="N25" s="125">
        <v>0</v>
      </c>
      <c r="O25" s="126">
        <v>0</v>
      </c>
      <c r="P25" s="139" t="str">
        <f t="shared" si="4"/>
        <v>-</v>
      </c>
      <c r="Q25" s="20">
        <v>18</v>
      </c>
      <c r="R25" s="21">
        <v>3</v>
      </c>
      <c r="S25" s="139">
        <f t="shared" si="5"/>
        <v>6</v>
      </c>
      <c r="T25" s="20">
        <v>0</v>
      </c>
      <c r="U25" s="21">
        <v>0</v>
      </c>
      <c r="V25" s="139" t="str">
        <f t="shared" ref="V25:V26" si="108">IF(U25=0,"-",T25/U25)</f>
        <v>-</v>
      </c>
      <c r="W25" s="20">
        <v>0</v>
      </c>
      <c r="X25" s="21">
        <v>0</v>
      </c>
      <c r="Y25" s="139" t="str">
        <f t="shared" ref="Y25:Y26" si="109">IF(X25=0,"-",W25/X25)</f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106"/>
        <v>-</v>
      </c>
      <c r="AF25" s="20">
        <v>0</v>
      </c>
      <c r="AG25" s="21">
        <v>0</v>
      </c>
      <c r="AH25" s="139" t="str">
        <f t="shared" si="107"/>
        <v>-</v>
      </c>
      <c r="AI25" s="20">
        <v>0</v>
      </c>
      <c r="AJ25" s="21">
        <v>0</v>
      </c>
      <c r="AK25" s="139" t="str">
        <f t="shared" si="31"/>
        <v>-</v>
      </c>
      <c r="AL25" s="23">
        <v>1</v>
      </c>
      <c r="AM25" s="21">
        <v>1</v>
      </c>
      <c r="AN25" s="139">
        <f t="shared" si="26"/>
        <v>1</v>
      </c>
      <c r="AO25" s="20">
        <v>0</v>
      </c>
      <c r="AP25" s="21">
        <v>0</v>
      </c>
      <c r="AQ25" s="139" t="str">
        <f t="shared" si="10"/>
        <v>-</v>
      </c>
      <c r="AR25" s="20">
        <v>1</v>
      </c>
      <c r="AS25" s="21">
        <v>1</v>
      </c>
      <c r="AT25" s="139">
        <f t="shared" si="11"/>
        <v>1</v>
      </c>
      <c r="AU25" s="20">
        <v>0</v>
      </c>
      <c r="AV25" s="21">
        <v>0</v>
      </c>
      <c r="AW25" s="139" t="str">
        <f t="shared" si="12"/>
        <v>-</v>
      </c>
      <c r="AX25" s="20">
        <v>0</v>
      </c>
      <c r="AY25" s="21">
        <v>0</v>
      </c>
      <c r="AZ25" s="139" t="str">
        <f t="shared" si="13"/>
        <v>-</v>
      </c>
      <c r="BA25" s="20">
        <v>0</v>
      </c>
      <c r="BB25" s="21">
        <v>0</v>
      </c>
      <c r="BC25" s="139" t="str">
        <f t="shared" si="14"/>
        <v>-</v>
      </c>
      <c r="BD25" s="252">
        <v>14</v>
      </c>
      <c r="BE25" s="253">
        <v>2</v>
      </c>
      <c r="BF25" s="139">
        <f t="shared" si="15"/>
        <v>7</v>
      </c>
      <c r="BG25" s="252">
        <v>6</v>
      </c>
      <c r="BH25" s="253">
        <v>1</v>
      </c>
      <c r="BI25" s="139">
        <f t="shared" si="16"/>
        <v>6</v>
      </c>
      <c r="BJ25" s="302">
        <v>14</v>
      </c>
      <c r="BK25" s="303">
        <v>2</v>
      </c>
      <c r="BL25" s="139">
        <f t="shared" si="17"/>
        <v>7</v>
      </c>
      <c r="BM25" s="257">
        <v>0</v>
      </c>
      <c r="BN25" s="253">
        <v>0</v>
      </c>
      <c r="BO25" s="139" t="str">
        <f t="shared" si="18"/>
        <v>-</v>
      </c>
      <c r="BP25" s="20">
        <v>0</v>
      </c>
      <c r="BQ25" s="21">
        <v>0</v>
      </c>
      <c r="BR25" s="139" t="str">
        <f t="shared" si="19"/>
        <v>-</v>
      </c>
      <c r="BS25" s="252">
        <v>0</v>
      </c>
      <c r="BT25" s="253">
        <v>0</v>
      </c>
      <c r="BU25" s="139" t="str">
        <f t="shared" ref="BU25:BU26" si="110">IF(BT25=0,"-",BS25/BT25)</f>
        <v>-</v>
      </c>
      <c r="BV25" s="252">
        <v>0</v>
      </c>
      <c r="BW25" s="253">
        <v>0</v>
      </c>
      <c r="BX25" s="139" t="str">
        <f t="shared" si="101"/>
        <v>-</v>
      </c>
      <c r="BY25" s="252">
        <v>0</v>
      </c>
      <c r="BZ25" s="253">
        <v>0</v>
      </c>
      <c r="CA25" s="139" t="str">
        <f t="shared" si="102"/>
        <v>-</v>
      </c>
      <c r="CB25" s="252">
        <v>0</v>
      </c>
      <c r="CC25" s="253">
        <v>0</v>
      </c>
      <c r="CD25" s="139" t="str">
        <f t="shared" si="103"/>
        <v>-</v>
      </c>
      <c r="CE25" s="117">
        <f t="shared" si="28"/>
        <v>83</v>
      </c>
      <c r="CF25" s="120">
        <f t="shared" si="29"/>
        <v>13</v>
      </c>
      <c r="CG25" s="147">
        <f t="shared" si="23"/>
        <v>6.384615384615385</v>
      </c>
    </row>
    <row r="26" spans="1:85" ht="15" thickBot="1" x14ac:dyDescent="0.35">
      <c r="A26" s="294">
        <v>45557</v>
      </c>
      <c r="B26" s="20">
        <v>30</v>
      </c>
      <c r="C26" s="21">
        <v>3</v>
      </c>
      <c r="D26" s="139">
        <f t="shared" si="0"/>
        <v>10</v>
      </c>
      <c r="E26" s="20">
        <v>0</v>
      </c>
      <c r="F26" s="21">
        <v>0</v>
      </c>
      <c r="G26" s="139" t="str">
        <f t="shared" si="1"/>
        <v>-</v>
      </c>
      <c r="H26" s="20"/>
      <c r="I26" s="21"/>
      <c r="J26" s="139" t="str">
        <f t="shared" si="32"/>
        <v>-</v>
      </c>
      <c r="K26" s="20">
        <v>0</v>
      </c>
      <c r="L26" s="21">
        <v>0</v>
      </c>
      <c r="M26" s="139" t="str">
        <f t="shared" si="3"/>
        <v>-</v>
      </c>
      <c r="N26" s="125">
        <v>0</v>
      </c>
      <c r="O26" s="126">
        <v>0</v>
      </c>
      <c r="P26" s="139" t="str">
        <f t="shared" si="4"/>
        <v>-</v>
      </c>
      <c r="Q26" s="20">
        <v>0</v>
      </c>
      <c r="R26" s="21">
        <v>0</v>
      </c>
      <c r="S26" s="139" t="str">
        <f t="shared" si="5"/>
        <v>-</v>
      </c>
      <c r="T26" s="20">
        <v>0</v>
      </c>
      <c r="U26" s="21">
        <v>0</v>
      </c>
      <c r="V26" s="139" t="str">
        <f t="shared" si="108"/>
        <v>-</v>
      </c>
      <c r="W26" s="20">
        <v>0</v>
      </c>
      <c r="X26" s="21">
        <v>0</v>
      </c>
      <c r="Y26" s="139" t="str">
        <f t="shared" si="109"/>
        <v>-</v>
      </c>
      <c r="Z26" s="20">
        <v>0</v>
      </c>
      <c r="AA26" s="21">
        <v>0</v>
      </c>
      <c r="AB26" s="139" t="str">
        <f t="shared" si="8"/>
        <v>-</v>
      </c>
      <c r="AC26" s="20">
        <v>0</v>
      </c>
      <c r="AD26" s="21">
        <v>0</v>
      </c>
      <c r="AE26" s="139" t="str">
        <f t="shared" si="106"/>
        <v>-</v>
      </c>
      <c r="AF26" s="20">
        <v>0</v>
      </c>
      <c r="AG26" s="21">
        <v>0</v>
      </c>
      <c r="AH26" s="139" t="str">
        <f t="shared" si="107"/>
        <v>-</v>
      </c>
      <c r="AI26" s="20">
        <v>0</v>
      </c>
      <c r="AJ26" s="21">
        <v>0</v>
      </c>
      <c r="AK26" s="139" t="str">
        <f t="shared" ref="AK26" si="111">IF(AJ26=0,"-",AI26/AJ26)</f>
        <v>-</v>
      </c>
      <c r="AL26" s="20">
        <v>0</v>
      </c>
      <c r="AM26" s="21">
        <v>0</v>
      </c>
      <c r="AN26" s="139" t="str">
        <f t="shared" si="26"/>
        <v>-</v>
      </c>
      <c r="AO26" s="20">
        <v>0</v>
      </c>
      <c r="AP26" s="21">
        <v>0</v>
      </c>
      <c r="AQ26" s="139" t="str">
        <f t="shared" ref="AQ26:AQ28" si="112">IF(AP26=0,"-",AO26/AP26)</f>
        <v>-</v>
      </c>
      <c r="AR26" s="20">
        <v>0</v>
      </c>
      <c r="AS26" s="21">
        <v>0</v>
      </c>
      <c r="AT26" s="139" t="str">
        <f t="shared" si="11"/>
        <v>-</v>
      </c>
      <c r="AU26" s="20">
        <v>0</v>
      </c>
      <c r="AV26" s="21">
        <v>0</v>
      </c>
      <c r="AW26" s="139" t="str">
        <f t="shared" si="12"/>
        <v>-</v>
      </c>
      <c r="AX26" s="20">
        <v>0</v>
      </c>
      <c r="AY26" s="21">
        <v>0</v>
      </c>
      <c r="AZ26" s="139" t="str">
        <f t="shared" si="13"/>
        <v>-</v>
      </c>
      <c r="BA26" s="20">
        <v>0</v>
      </c>
      <c r="BB26" s="21">
        <v>0</v>
      </c>
      <c r="BC26" s="139" t="str">
        <f t="shared" si="14"/>
        <v>-</v>
      </c>
      <c r="BD26" s="252">
        <v>13</v>
      </c>
      <c r="BE26" s="253">
        <v>2</v>
      </c>
      <c r="BF26" s="139">
        <f t="shared" si="15"/>
        <v>6.5</v>
      </c>
      <c r="BG26" s="252">
        <v>7</v>
      </c>
      <c r="BH26" s="253">
        <v>1</v>
      </c>
      <c r="BI26" s="139">
        <f t="shared" si="16"/>
        <v>7</v>
      </c>
      <c r="BJ26" s="302">
        <v>35</v>
      </c>
      <c r="BK26" s="303">
        <v>5</v>
      </c>
      <c r="BL26" s="139">
        <f t="shared" si="17"/>
        <v>7</v>
      </c>
      <c r="BM26" s="257">
        <v>6</v>
      </c>
      <c r="BN26" s="253">
        <v>1</v>
      </c>
      <c r="BO26" s="139">
        <f t="shared" si="18"/>
        <v>6</v>
      </c>
      <c r="BP26" s="20"/>
      <c r="BQ26" s="21"/>
      <c r="BR26" s="139" t="str">
        <f t="shared" si="19"/>
        <v>-</v>
      </c>
      <c r="BS26" s="252">
        <v>0</v>
      </c>
      <c r="BT26" s="253">
        <v>0</v>
      </c>
      <c r="BU26" s="139" t="str">
        <f t="shared" si="110"/>
        <v>-</v>
      </c>
      <c r="BV26" s="252">
        <v>0</v>
      </c>
      <c r="BW26" s="253">
        <v>0</v>
      </c>
      <c r="BX26" s="139" t="str">
        <f t="shared" si="101"/>
        <v>-</v>
      </c>
      <c r="BY26" s="252">
        <v>0</v>
      </c>
      <c r="BZ26" s="253">
        <v>0</v>
      </c>
      <c r="CA26" s="139" t="str">
        <f t="shared" si="102"/>
        <v>-</v>
      </c>
      <c r="CB26" s="252">
        <v>0</v>
      </c>
      <c r="CC26" s="253">
        <v>0</v>
      </c>
      <c r="CD26" s="139" t="str">
        <f t="shared" si="103"/>
        <v>-</v>
      </c>
      <c r="CE26" s="117">
        <f t="shared" si="28"/>
        <v>91</v>
      </c>
      <c r="CF26" s="120">
        <f t="shared" si="29"/>
        <v>12</v>
      </c>
      <c r="CG26" s="147">
        <f t="shared" si="23"/>
        <v>7.583333333333333</v>
      </c>
    </row>
    <row r="27" spans="1:85" ht="15" thickBot="1" x14ac:dyDescent="0.35">
      <c r="A27" s="294">
        <v>45558</v>
      </c>
      <c r="B27" s="20">
        <v>56</v>
      </c>
      <c r="C27" s="21">
        <v>7</v>
      </c>
      <c r="D27" s="139">
        <f t="shared" si="0"/>
        <v>8</v>
      </c>
      <c r="E27" s="20">
        <v>0</v>
      </c>
      <c r="F27" s="21">
        <v>0</v>
      </c>
      <c r="G27" s="139" t="str">
        <f t="shared" si="1"/>
        <v>-</v>
      </c>
      <c r="H27" s="20"/>
      <c r="I27" s="21"/>
      <c r="J27" s="139" t="str">
        <f t="shared" si="32"/>
        <v>-</v>
      </c>
      <c r="K27" s="20">
        <v>55</v>
      </c>
      <c r="L27" s="21">
        <v>6</v>
      </c>
      <c r="M27" s="139">
        <f t="shared" si="3"/>
        <v>9.1666666666666661</v>
      </c>
      <c r="N27" s="125">
        <v>0</v>
      </c>
      <c r="O27" s="126">
        <v>0</v>
      </c>
      <c r="P27" s="139" t="str">
        <f t="shared" si="4"/>
        <v>-</v>
      </c>
      <c r="Q27" s="20">
        <v>24</v>
      </c>
      <c r="R27" s="21">
        <v>4</v>
      </c>
      <c r="S27" s="139">
        <f t="shared" si="5"/>
        <v>6</v>
      </c>
      <c r="T27" s="20">
        <v>0</v>
      </c>
      <c r="U27" s="21">
        <v>0</v>
      </c>
      <c r="V27" s="139" t="str">
        <f t="shared" ref="V27" si="113">IF(U27=0,"-",T27/U27)</f>
        <v>-</v>
      </c>
      <c r="W27" s="20">
        <v>0</v>
      </c>
      <c r="X27" s="21">
        <v>0</v>
      </c>
      <c r="Y27" s="139" t="str">
        <f t="shared" ref="Y27" si="114">IF(X27=0,"-",W27/X27)</f>
        <v>-</v>
      </c>
      <c r="Z27" s="20">
        <v>15</v>
      </c>
      <c r="AA27" s="21">
        <v>3</v>
      </c>
      <c r="AB27" s="139">
        <f t="shared" ref="AB27" si="115">IF(AA27=0,"-",Z27/AA27)</f>
        <v>5</v>
      </c>
      <c r="AC27" s="20">
        <v>0</v>
      </c>
      <c r="AD27" s="21">
        <v>0</v>
      </c>
      <c r="AE27" s="139" t="str">
        <f t="shared" ref="AE27" si="116">IF(AD27=0,"-",AC27/AD27)</f>
        <v>-</v>
      </c>
      <c r="AF27" s="20">
        <v>0</v>
      </c>
      <c r="AG27" s="21">
        <v>0</v>
      </c>
      <c r="AH27" s="139" t="str">
        <f t="shared" ref="AH27" si="117">IF(AG27=0,"-",AF27/AG27)</f>
        <v>-</v>
      </c>
      <c r="AI27" s="20">
        <v>0</v>
      </c>
      <c r="AJ27" s="21">
        <v>0</v>
      </c>
      <c r="AK27" s="139" t="str">
        <f t="shared" ref="AK27" si="118">IF(AJ27=0,"-",AI27/AJ27)</f>
        <v>-</v>
      </c>
      <c r="AL27" s="20">
        <v>0</v>
      </c>
      <c r="AM27" s="21">
        <v>0</v>
      </c>
      <c r="AN27" s="139" t="str">
        <f t="shared" si="26"/>
        <v>-</v>
      </c>
      <c r="AO27" s="20">
        <v>0</v>
      </c>
      <c r="AP27" s="21">
        <v>0</v>
      </c>
      <c r="AQ27" s="139" t="str">
        <f t="shared" si="112"/>
        <v>-</v>
      </c>
      <c r="AR27" s="20">
        <v>0</v>
      </c>
      <c r="AS27" s="21">
        <v>0</v>
      </c>
      <c r="AT27" s="139" t="str">
        <f t="shared" si="11"/>
        <v>-</v>
      </c>
      <c r="AU27" s="20">
        <v>0</v>
      </c>
      <c r="AV27" s="21">
        <v>0</v>
      </c>
      <c r="AW27" s="139" t="str">
        <f t="shared" si="12"/>
        <v>-</v>
      </c>
      <c r="AX27" s="20">
        <v>0</v>
      </c>
      <c r="AY27" s="21">
        <v>0</v>
      </c>
      <c r="AZ27" s="139" t="str">
        <f t="shared" si="13"/>
        <v>-</v>
      </c>
      <c r="BA27" s="20">
        <v>0</v>
      </c>
      <c r="BB27" s="21">
        <v>0</v>
      </c>
      <c r="BC27" s="139" t="str">
        <f t="shared" si="14"/>
        <v>-</v>
      </c>
      <c r="BD27" s="252">
        <v>13</v>
      </c>
      <c r="BE27" s="253">
        <v>2</v>
      </c>
      <c r="BF27" s="139">
        <f t="shared" si="15"/>
        <v>6.5</v>
      </c>
      <c r="BG27" s="252">
        <v>0</v>
      </c>
      <c r="BH27" s="253">
        <v>0</v>
      </c>
      <c r="BI27" s="139" t="str">
        <f t="shared" si="16"/>
        <v>-</v>
      </c>
      <c r="BJ27" s="302">
        <v>0</v>
      </c>
      <c r="BK27" s="303">
        <v>0</v>
      </c>
      <c r="BL27" s="139" t="str">
        <f t="shared" si="17"/>
        <v>-</v>
      </c>
      <c r="BM27" s="257">
        <v>0</v>
      </c>
      <c r="BN27" s="253">
        <v>0</v>
      </c>
      <c r="BO27" s="139" t="s">
        <v>32</v>
      </c>
      <c r="BP27" s="20"/>
      <c r="BQ27" s="21"/>
      <c r="BR27" s="139" t="str">
        <f t="shared" si="19"/>
        <v>-</v>
      </c>
      <c r="BS27" s="20">
        <v>28</v>
      </c>
      <c r="BT27" s="21">
        <v>4</v>
      </c>
      <c r="BU27" s="139">
        <f t="shared" si="20"/>
        <v>7</v>
      </c>
      <c r="BV27" s="252">
        <v>0</v>
      </c>
      <c r="BW27" s="253">
        <v>0</v>
      </c>
      <c r="BX27" s="139" t="str">
        <f t="shared" si="101"/>
        <v>-</v>
      </c>
      <c r="BY27" s="252">
        <v>0</v>
      </c>
      <c r="BZ27" s="253">
        <v>0</v>
      </c>
      <c r="CA27" s="139" t="str">
        <f t="shared" si="102"/>
        <v>-</v>
      </c>
      <c r="CB27" s="252">
        <v>0</v>
      </c>
      <c r="CC27" s="253">
        <v>0</v>
      </c>
      <c r="CD27" s="139" t="str">
        <f t="shared" si="103"/>
        <v>-</v>
      </c>
      <c r="CE27" s="117">
        <f t="shared" si="28"/>
        <v>191</v>
      </c>
      <c r="CF27" s="120">
        <f t="shared" si="29"/>
        <v>26</v>
      </c>
      <c r="CG27" s="147">
        <f t="shared" si="23"/>
        <v>7.3461538461538458</v>
      </c>
    </row>
    <row r="28" spans="1:85" ht="15" thickBot="1" x14ac:dyDescent="0.35">
      <c r="A28" s="294">
        <v>45559</v>
      </c>
      <c r="B28" s="20">
        <v>24</v>
      </c>
      <c r="C28" s="21">
        <v>3</v>
      </c>
      <c r="D28" s="139">
        <f t="shared" si="0"/>
        <v>8</v>
      </c>
      <c r="E28" s="20">
        <v>8</v>
      </c>
      <c r="F28" s="21">
        <v>1</v>
      </c>
      <c r="G28" s="139">
        <f t="shared" si="1"/>
        <v>8</v>
      </c>
      <c r="H28" s="20"/>
      <c r="I28" s="21"/>
      <c r="J28" s="139" t="str">
        <f t="shared" si="32"/>
        <v>-</v>
      </c>
      <c r="K28" s="20">
        <v>8</v>
      </c>
      <c r="L28" s="21">
        <v>1</v>
      </c>
      <c r="M28" s="139">
        <f t="shared" si="3"/>
        <v>8</v>
      </c>
      <c r="N28" s="125">
        <v>0</v>
      </c>
      <c r="O28" s="126">
        <v>0</v>
      </c>
      <c r="P28" s="139" t="str">
        <f t="shared" si="4"/>
        <v>-</v>
      </c>
      <c r="Q28" s="20">
        <v>0</v>
      </c>
      <c r="R28" s="21">
        <v>0</v>
      </c>
      <c r="S28" s="139" t="str">
        <f t="shared" si="5"/>
        <v>-</v>
      </c>
      <c r="T28" s="20">
        <v>122</v>
      </c>
      <c r="U28" s="21">
        <v>25</v>
      </c>
      <c r="V28" s="139">
        <f t="shared" si="6"/>
        <v>4.88</v>
      </c>
      <c r="W28" s="20">
        <v>12</v>
      </c>
      <c r="X28" s="21">
        <v>2</v>
      </c>
      <c r="Y28" s="278">
        <v>0</v>
      </c>
      <c r="Z28" s="20">
        <v>0</v>
      </c>
      <c r="AA28" s="21">
        <v>0</v>
      </c>
      <c r="AB28" s="278" t="str">
        <f t="shared" si="8"/>
        <v>-</v>
      </c>
      <c r="AC28" s="20">
        <v>0</v>
      </c>
      <c r="AD28" s="21">
        <v>0</v>
      </c>
      <c r="AE28" s="278" t="str">
        <f t="shared" si="9"/>
        <v>-</v>
      </c>
      <c r="AF28" s="20">
        <v>0</v>
      </c>
      <c r="AG28" s="21">
        <v>0</v>
      </c>
      <c r="AH28" s="139" t="str">
        <f t="shared" si="30"/>
        <v>-</v>
      </c>
      <c r="AI28" s="20">
        <v>0</v>
      </c>
      <c r="AJ28" s="21">
        <v>0</v>
      </c>
      <c r="AK28" s="139" t="str">
        <f t="shared" si="31"/>
        <v>-</v>
      </c>
      <c r="AL28" s="20">
        <v>0</v>
      </c>
      <c r="AM28" s="21">
        <v>0</v>
      </c>
      <c r="AN28" s="139" t="str">
        <f t="shared" si="26"/>
        <v>-</v>
      </c>
      <c r="AO28" s="20">
        <v>0</v>
      </c>
      <c r="AP28" s="21">
        <v>0</v>
      </c>
      <c r="AQ28" s="139" t="str">
        <f t="shared" si="112"/>
        <v>-</v>
      </c>
      <c r="AR28" s="20">
        <v>0</v>
      </c>
      <c r="AS28" s="21">
        <v>0</v>
      </c>
      <c r="AT28" s="139" t="str">
        <f t="shared" si="11"/>
        <v>-</v>
      </c>
      <c r="AU28" s="20">
        <v>0</v>
      </c>
      <c r="AV28" s="21">
        <v>0</v>
      </c>
      <c r="AW28" s="139" t="str">
        <f t="shared" si="12"/>
        <v>-</v>
      </c>
      <c r="AX28" s="20">
        <v>0</v>
      </c>
      <c r="AY28" s="21">
        <v>0</v>
      </c>
      <c r="AZ28" s="139" t="str">
        <f t="shared" si="13"/>
        <v>-</v>
      </c>
      <c r="BA28" s="20">
        <v>0</v>
      </c>
      <c r="BB28" s="21">
        <v>0</v>
      </c>
      <c r="BC28" s="139" t="str">
        <f t="shared" si="14"/>
        <v>-</v>
      </c>
      <c r="BD28" s="20">
        <v>27</v>
      </c>
      <c r="BE28" s="21">
        <v>4</v>
      </c>
      <c r="BF28" s="139">
        <f t="shared" si="15"/>
        <v>6.75</v>
      </c>
      <c r="BG28" s="252">
        <v>0</v>
      </c>
      <c r="BH28" s="253">
        <v>0</v>
      </c>
      <c r="BI28" s="139" t="str">
        <f t="shared" si="16"/>
        <v>-</v>
      </c>
      <c r="BJ28" s="302">
        <v>0</v>
      </c>
      <c r="BK28" s="303">
        <v>0</v>
      </c>
      <c r="BL28" s="139" t="str">
        <f t="shared" si="17"/>
        <v>-</v>
      </c>
      <c r="BM28" s="257">
        <v>0</v>
      </c>
      <c r="BN28" s="253">
        <v>0</v>
      </c>
      <c r="BO28" s="139" t="s">
        <v>32</v>
      </c>
      <c r="BP28" s="20"/>
      <c r="BQ28" s="21"/>
      <c r="BR28" s="139" t="s">
        <v>32</v>
      </c>
      <c r="BS28" s="20">
        <v>21</v>
      </c>
      <c r="BT28" s="21">
        <v>3</v>
      </c>
      <c r="BU28" s="139">
        <f t="shared" si="20"/>
        <v>7</v>
      </c>
      <c r="BV28" s="252">
        <v>0</v>
      </c>
      <c r="BW28" s="253">
        <v>0</v>
      </c>
      <c r="BX28" s="139" t="str">
        <f t="shared" si="101"/>
        <v>-</v>
      </c>
      <c r="BY28" s="252">
        <v>0</v>
      </c>
      <c r="BZ28" s="253">
        <v>0</v>
      </c>
      <c r="CA28" s="139" t="str">
        <f t="shared" si="102"/>
        <v>-</v>
      </c>
      <c r="CB28" s="252">
        <v>0</v>
      </c>
      <c r="CC28" s="253">
        <v>0</v>
      </c>
      <c r="CD28" s="139" t="str">
        <f t="shared" si="103"/>
        <v>-</v>
      </c>
      <c r="CE28" s="117">
        <f t="shared" si="28"/>
        <v>222</v>
      </c>
      <c r="CF28" s="120">
        <f t="shared" si="29"/>
        <v>39</v>
      </c>
      <c r="CG28" s="147">
        <f t="shared" si="23"/>
        <v>5.6923076923076925</v>
      </c>
    </row>
    <row r="29" spans="1:85" ht="15" thickBot="1" x14ac:dyDescent="0.35">
      <c r="A29" s="294">
        <v>45560</v>
      </c>
      <c r="B29" s="20">
        <v>48</v>
      </c>
      <c r="C29" s="21">
        <v>6</v>
      </c>
      <c r="D29" s="139">
        <f t="shared" si="0"/>
        <v>8</v>
      </c>
      <c r="E29" s="20">
        <v>0</v>
      </c>
      <c r="F29" s="21">
        <v>0</v>
      </c>
      <c r="G29" s="139" t="str">
        <f t="shared" si="1"/>
        <v>-</v>
      </c>
      <c r="H29" s="20"/>
      <c r="I29" s="21"/>
      <c r="J29" s="139" t="str">
        <f t="shared" si="32"/>
        <v>-</v>
      </c>
      <c r="K29" s="20">
        <v>24</v>
      </c>
      <c r="L29" s="21">
        <v>3</v>
      </c>
      <c r="M29" s="139">
        <f t="shared" si="3"/>
        <v>8</v>
      </c>
      <c r="N29" s="125">
        <v>0</v>
      </c>
      <c r="O29" s="126">
        <v>0</v>
      </c>
      <c r="P29" s="139" t="s">
        <v>32</v>
      </c>
      <c r="Q29" s="23">
        <v>39</v>
      </c>
      <c r="R29" s="21">
        <v>9</v>
      </c>
      <c r="S29" s="139">
        <f t="shared" si="5"/>
        <v>4.333333333333333</v>
      </c>
      <c r="T29" s="20">
        <v>0</v>
      </c>
      <c r="U29" s="21">
        <v>0</v>
      </c>
      <c r="V29" s="139" t="str">
        <f t="shared" si="6"/>
        <v>-</v>
      </c>
      <c r="W29" s="20">
        <v>0</v>
      </c>
      <c r="X29" s="21">
        <v>0</v>
      </c>
      <c r="Y29" s="278" t="str">
        <f t="shared" si="7"/>
        <v>-</v>
      </c>
      <c r="Z29" s="20">
        <v>0</v>
      </c>
      <c r="AA29" s="21">
        <v>0</v>
      </c>
      <c r="AB29" s="278" t="str">
        <f t="shared" si="8"/>
        <v>-</v>
      </c>
      <c r="AC29" s="20">
        <v>0</v>
      </c>
      <c r="AD29" s="21">
        <v>0</v>
      </c>
      <c r="AE29" s="278" t="str">
        <f t="shared" si="9"/>
        <v>-</v>
      </c>
      <c r="AF29" s="20">
        <v>0</v>
      </c>
      <c r="AG29" s="21">
        <v>0</v>
      </c>
      <c r="AH29" s="139" t="str">
        <f t="shared" si="30"/>
        <v>-</v>
      </c>
      <c r="AI29" s="20">
        <v>6</v>
      </c>
      <c r="AJ29" s="21">
        <v>1</v>
      </c>
      <c r="AK29" s="139">
        <f t="shared" si="31"/>
        <v>6</v>
      </c>
      <c r="AL29" s="23">
        <v>0</v>
      </c>
      <c r="AM29" s="21">
        <v>0</v>
      </c>
      <c r="AN29" s="139" t="s">
        <v>32</v>
      </c>
      <c r="AO29" s="23">
        <v>0</v>
      </c>
      <c r="AP29" s="21">
        <v>0</v>
      </c>
      <c r="AQ29" s="139" t="s">
        <v>32</v>
      </c>
      <c r="AR29" s="23">
        <v>0</v>
      </c>
      <c r="AS29" s="21">
        <v>0</v>
      </c>
      <c r="AT29" s="139" t="str">
        <f t="shared" si="11"/>
        <v>-</v>
      </c>
      <c r="AU29" s="23">
        <v>0</v>
      </c>
      <c r="AV29" s="21">
        <v>0</v>
      </c>
      <c r="AW29" s="139" t="s">
        <v>32</v>
      </c>
      <c r="AX29" s="23">
        <v>0</v>
      </c>
      <c r="AY29" s="21">
        <v>0</v>
      </c>
      <c r="AZ29" s="139" t="s">
        <v>32</v>
      </c>
      <c r="BA29" s="23">
        <v>0</v>
      </c>
      <c r="BB29" s="21">
        <v>0</v>
      </c>
      <c r="BC29" s="139" t="s">
        <v>32</v>
      </c>
      <c r="BD29" s="20">
        <v>12</v>
      </c>
      <c r="BE29" s="21">
        <v>4</v>
      </c>
      <c r="BF29" s="139">
        <f t="shared" si="15"/>
        <v>3</v>
      </c>
      <c r="BG29" s="20">
        <v>0</v>
      </c>
      <c r="BH29" s="21">
        <v>0</v>
      </c>
      <c r="BI29" s="139" t="str">
        <f t="shared" si="16"/>
        <v>-</v>
      </c>
      <c r="BJ29" s="20">
        <v>0</v>
      </c>
      <c r="BK29" s="21">
        <v>0</v>
      </c>
      <c r="BL29" s="139" t="str">
        <f t="shared" si="17"/>
        <v>-</v>
      </c>
      <c r="BM29" s="20">
        <v>7</v>
      </c>
      <c r="BN29" s="21">
        <v>1</v>
      </c>
      <c r="BO29" s="139">
        <f t="shared" si="18"/>
        <v>7</v>
      </c>
      <c r="BP29" s="20"/>
      <c r="BQ29" s="21"/>
      <c r="BR29" s="139" t="s">
        <v>32</v>
      </c>
      <c r="BS29" s="20">
        <v>0</v>
      </c>
      <c r="BT29" s="21">
        <v>0</v>
      </c>
      <c r="BU29" s="139" t="s">
        <v>32</v>
      </c>
      <c r="BV29" s="20">
        <v>0</v>
      </c>
      <c r="BW29" s="21">
        <v>0</v>
      </c>
      <c r="BX29" s="139" t="str">
        <f t="shared" si="57"/>
        <v>-</v>
      </c>
      <c r="BY29" s="20">
        <v>0</v>
      </c>
      <c r="BZ29" s="21">
        <v>0</v>
      </c>
      <c r="CA29" s="139" t="str">
        <f t="shared" si="21"/>
        <v>-</v>
      </c>
      <c r="CB29" s="20">
        <v>0</v>
      </c>
      <c r="CC29" s="21">
        <v>0</v>
      </c>
      <c r="CD29" s="139" t="str">
        <f t="shared" si="22"/>
        <v>-</v>
      </c>
      <c r="CE29" s="117">
        <f t="shared" si="28"/>
        <v>136</v>
      </c>
      <c r="CF29" s="120">
        <f t="shared" si="29"/>
        <v>24</v>
      </c>
      <c r="CG29" s="147">
        <f t="shared" si="23"/>
        <v>5.666666666666667</v>
      </c>
    </row>
    <row r="30" spans="1:85" ht="15" thickBot="1" x14ac:dyDescent="0.35">
      <c r="A30" s="294">
        <v>45561</v>
      </c>
      <c r="B30" s="20">
        <v>65</v>
      </c>
      <c r="C30" s="21">
        <v>7</v>
      </c>
      <c r="D30" s="139">
        <f t="shared" si="0"/>
        <v>9.2857142857142865</v>
      </c>
      <c r="E30" s="20">
        <v>0</v>
      </c>
      <c r="F30" s="21">
        <v>0</v>
      </c>
      <c r="G30" s="139" t="str">
        <f t="shared" si="1"/>
        <v>-</v>
      </c>
      <c r="H30" s="20"/>
      <c r="I30" s="21"/>
      <c r="J30" s="139" t="s">
        <v>32</v>
      </c>
      <c r="K30" s="20">
        <v>9</v>
      </c>
      <c r="L30" s="21">
        <v>1</v>
      </c>
      <c r="M30" s="139">
        <f t="shared" si="3"/>
        <v>9</v>
      </c>
      <c r="N30" s="125">
        <v>0</v>
      </c>
      <c r="O30" s="126">
        <v>0</v>
      </c>
      <c r="P30" s="139" t="s">
        <v>32</v>
      </c>
      <c r="Q30" s="23">
        <v>42</v>
      </c>
      <c r="R30" s="21">
        <v>7</v>
      </c>
      <c r="S30" s="139">
        <f t="shared" si="5"/>
        <v>6</v>
      </c>
      <c r="T30" s="20">
        <v>0</v>
      </c>
      <c r="U30" s="21">
        <v>0</v>
      </c>
      <c r="V30" s="139" t="str">
        <f t="shared" ref="V30" si="119">IF(U30=0,"-",T30/U30)</f>
        <v>-</v>
      </c>
      <c r="W30" s="20">
        <v>0</v>
      </c>
      <c r="X30" s="21">
        <v>0</v>
      </c>
      <c r="Y30" s="278" t="str">
        <f t="shared" ref="Y30" si="120">IF(X30=0,"-",W30/X30)</f>
        <v>-</v>
      </c>
      <c r="Z30" s="20">
        <v>20</v>
      </c>
      <c r="AA30" s="21">
        <v>4</v>
      </c>
      <c r="AB30" s="278">
        <f t="shared" si="8"/>
        <v>5</v>
      </c>
      <c r="AC30" s="20">
        <v>0</v>
      </c>
      <c r="AD30" s="21">
        <v>0</v>
      </c>
      <c r="AE30" s="278" t="str">
        <f t="shared" ref="AE30" si="121">IF(AD30=0,"-",AC30/AD30)</f>
        <v>-</v>
      </c>
      <c r="AF30" s="20">
        <v>0</v>
      </c>
      <c r="AG30" s="21">
        <v>0</v>
      </c>
      <c r="AH30" s="139" t="str">
        <f t="shared" ref="AH30" si="122">IF(AG30=0,"-",AF30/AG30)</f>
        <v>-</v>
      </c>
      <c r="AI30" s="20">
        <v>0</v>
      </c>
      <c r="AJ30" s="21">
        <v>0</v>
      </c>
      <c r="AK30" s="139" t="str">
        <f t="shared" si="31"/>
        <v>-</v>
      </c>
      <c r="AL30" s="23">
        <v>0</v>
      </c>
      <c r="AM30" s="21">
        <v>0</v>
      </c>
      <c r="AN30" s="139" t="str">
        <f t="shared" si="26"/>
        <v>-</v>
      </c>
      <c r="AO30" s="23">
        <v>0</v>
      </c>
      <c r="AP30" s="21">
        <v>0</v>
      </c>
      <c r="AQ30" s="139" t="s">
        <v>32</v>
      </c>
      <c r="AR30" s="23">
        <v>1</v>
      </c>
      <c r="AS30" s="21">
        <v>1</v>
      </c>
      <c r="AT30" s="139">
        <f t="shared" si="11"/>
        <v>1</v>
      </c>
      <c r="AU30" s="23">
        <v>0</v>
      </c>
      <c r="AV30" s="21">
        <v>0</v>
      </c>
      <c r="AW30" s="139" t="s">
        <v>32</v>
      </c>
      <c r="AX30" s="23">
        <v>0</v>
      </c>
      <c r="AY30" s="21">
        <v>0</v>
      </c>
      <c r="AZ30" s="139" t="s">
        <v>32</v>
      </c>
      <c r="BA30" s="23">
        <v>4</v>
      </c>
      <c r="BB30" s="21">
        <v>1</v>
      </c>
      <c r="BC30" s="139">
        <f t="shared" ref="BC30" si="123">IF(BB30=0,"-",BA30/BB30)</f>
        <v>4</v>
      </c>
      <c r="BD30" s="20">
        <v>8</v>
      </c>
      <c r="BE30" s="21">
        <v>3</v>
      </c>
      <c r="BF30" s="139">
        <f t="shared" si="15"/>
        <v>2.6666666666666665</v>
      </c>
      <c r="BG30" s="20">
        <v>0</v>
      </c>
      <c r="BH30" s="21">
        <v>0</v>
      </c>
      <c r="BI30" s="139" t="str">
        <f t="shared" ref="BI30" si="124">IF(BH30=0,"-",BG30/BH30)</f>
        <v>-</v>
      </c>
      <c r="BJ30" s="20">
        <v>0</v>
      </c>
      <c r="BK30" s="21">
        <v>0</v>
      </c>
      <c r="BL30" s="139" t="str">
        <f t="shared" ref="BL30" si="125">IF(BK30=0,"-",BJ30/BK30)</f>
        <v>-</v>
      </c>
      <c r="BM30" s="20">
        <v>0</v>
      </c>
      <c r="BN30" s="21">
        <v>0</v>
      </c>
      <c r="BO30" s="139" t="str">
        <f t="shared" si="18"/>
        <v>-</v>
      </c>
      <c r="BP30" s="20"/>
      <c r="BQ30" s="21"/>
      <c r="BR30" s="139" t="s">
        <v>32</v>
      </c>
      <c r="BS30" s="20">
        <v>0</v>
      </c>
      <c r="BT30" s="21">
        <v>0</v>
      </c>
      <c r="BU30" s="139" t="s">
        <v>32</v>
      </c>
      <c r="BV30" s="20">
        <v>0</v>
      </c>
      <c r="BW30" s="21">
        <v>0</v>
      </c>
      <c r="BX30" s="139" t="str">
        <f t="shared" ref="BX30" si="126">IF(BW30=0,"-",BV30/BW30)</f>
        <v>-</v>
      </c>
      <c r="BY30" s="20">
        <v>0</v>
      </c>
      <c r="BZ30" s="21">
        <v>0</v>
      </c>
      <c r="CA30" s="139" t="str">
        <f t="shared" ref="CA30" si="127">IF(BZ30=0,"-",BY30/BZ30)</f>
        <v>-</v>
      </c>
      <c r="CB30" s="20">
        <v>0</v>
      </c>
      <c r="CC30" s="21">
        <v>0</v>
      </c>
      <c r="CD30" s="139" t="str">
        <f t="shared" ref="CD30" si="128">IF(CC30=0,"-",CB30/CC30)</f>
        <v>-</v>
      </c>
      <c r="CE30" s="117">
        <f t="shared" si="28"/>
        <v>149</v>
      </c>
      <c r="CF30" s="120">
        <f t="shared" si="29"/>
        <v>24</v>
      </c>
      <c r="CG30" s="147">
        <f t="shared" si="23"/>
        <v>6.208333333333333</v>
      </c>
    </row>
    <row r="31" spans="1:85" ht="15" thickBot="1" x14ac:dyDescent="0.35">
      <c r="A31" s="294">
        <v>45562</v>
      </c>
      <c r="B31" s="20">
        <v>96</v>
      </c>
      <c r="C31" s="21">
        <v>11</v>
      </c>
      <c r="D31" s="139">
        <f t="shared" si="0"/>
        <v>8.7272727272727266</v>
      </c>
      <c r="E31" s="20">
        <v>0</v>
      </c>
      <c r="F31" s="21">
        <v>0</v>
      </c>
      <c r="G31" s="139" t="str">
        <f t="shared" si="1"/>
        <v>-</v>
      </c>
      <c r="H31" s="20"/>
      <c r="I31" s="21"/>
      <c r="J31" s="139">
        <v>0</v>
      </c>
      <c r="K31" s="20">
        <v>29</v>
      </c>
      <c r="L31" s="21">
        <v>3</v>
      </c>
      <c r="M31" s="139">
        <f t="shared" si="3"/>
        <v>9.6666666666666661</v>
      </c>
      <c r="N31" s="125"/>
      <c r="O31" s="126"/>
      <c r="P31" s="139" t="s">
        <v>32</v>
      </c>
      <c r="Q31" s="20">
        <v>48</v>
      </c>
      <c r="R31" s="21">
        <v>8</v>
      </c>
      <c r="S31" s="139">
        <f t="shared" si="5"/>
        <v>6</v>
      </c>
      <c r="T31" s="20">
        <v>0</v>
      </c>
      <c r="U31" s="21">
        <v>0</v>
      </c>
      <c r="V31" s="139" t="str">
        <f t="shared" ref="V31" si="129">IF(U31=0,"-",T31/U31)</f>
        <v>-</v>
      </c>
      <c r="W31" s="20">
        <v>0</v>
      </c>
      <c r="X31" s="21">
        <v>0</v>
      </c>
      <c r="Y31" s="278" t="str">
        <f t="shared" ref="Y31" si="130">IF(X31=0,"-",W31/X31)</f>
        <v>-</v>
      </c>
      <c r="Z31" s="20">
        <v>20</v>
      </c>
      <c r="AA31" s="21">
        <v>4</v>
      </c>
      <c r="AB31" s="278">
        <f t="shared" si="8"/>
        <v>5</v>
      </c>
      <c r="AC31" s="20">
        <v>0</v>
      </c>
      <c r="AD31" s="21">
        <v>0</v>
      </c>
      <c r="AE31" s="278" t="str">
        <f t="shared" ref="AE31" si="131">IF(AD31=0,"-",AC31/AD31)</f>
        <v>-</v>
      </c>
      <c r="AF31" s="20">
        <v>0</v>
      </c>
      <c r="AG31" s="21">
        <v>0</v>
      </c>
      <c r="AH31" s="139" t="str">
        <f t="shared" ref="AH31" si="132">IF(AG31=0,"-",AF31/AG31)</f>
        <v>-</v>
      </c>
      <c r="AI31" s="20">
        <v>12</v>
      </c>
      <c r="AJ31" s="21">
        <v>2</v>
      </c>
      <c r="AK31" s="139">
        <f t="shared" si="31"/>
        <v>6</v>
      </c>
      <c r="AL31" s="23">
        <v>0</v>
      </c>
      <c r="AM31" s="21">
        <v>0</v>
      </c>
      <c r="AN31" s="139" t="str">
        <f t="shared" ref="AN31:AN33" si="133">IF(AM31=0,"-",AL31/AM31)</f>
        <v>-</v>
      </c>
      <c r="AO31" s="23">
        <v>0</v>
      </c>
      <c r="AP31" s="21">
        <v>0</v>
      </c>
      <c r="AQ31" s="139" t="s">
        <v>32</v>
      </c>
      <c r="AR31" s="23">
        <v>0</v>
      </c>
      <c r="AS31" s="21">
        <v>0</v>
      </c>
      <c r="AT31" s="139" t="s">
        <v>32</v>
      </c>
      <c r="AU31" s="23">
        <v>0</v>
      </c>
      <c r="AV31" s="21">
        <v>0</v>
      </c>
      <c r="AW31" s="139" t="s">
        <v>32</v>
      </c>
      <c r="AX31" s="23">
        <v>0</v>
      </c>
      <c r="AY31" s="21">
        <v>0</v>
      </c>
      <c r="AZ31" s="139" t="s">
        <v>32</v>
      </c>
      <c r="BA31" s="23">
        <v>0</v>
      </c>
      <c r="BB31" s="21">
        <v>0</v>
      </c>
      <c r="BC31" s="139" t="s">
        <v>32</v>
      </c>
      <c r="BD31" s="20">
        <v>7</v>
      </c>
      <c r="BE31" s="21">
        <v>1</v>
      </c>
      <c r="BF31" s="139">
        <f t="shared" si="15"/>
        <v>7</v>
      </c>
      <c r="BG31" s="20">
        <v>0</v>
      </c>
      <c r="BH31" s="21">
        <v>0</v>
      </c>
      <c r="BI31" s="139" t="str">
        <f t="shared" ref="BI31:BI33" si="134">IF(BH31=0,"-",BG31/BH31)</f>
        <v>-</v>
      </c>
      <c r="BJ31" s="20">
        <v>0</v>
      </c>
      <c r="BK31" s="21">
        <v>0</v>
      </c>
      <c r="BL31" s="139" t="str">
        <f t="shared" ref="BL31" si="135">IF(BK31=0,"-",BJ31/BK31)</f>
        <v>-</v>
      </c>
      <c r="BM31" s="20">
        <v>0</v>
      </c>
      <c r="BN31" s="21">
        <v>0</v>
      </c>
      <c r="BO31" s="139" t="str">
        <f t="shared" ref="BO31:BO34" si="136">IF(BN31=0,"-",BM31/BN31)</f>
        <v>-</v>
      </c>
      <c r="BP31" s="20"/>
      <c r="BQ31" s="21"/>
      <c r="BR31" s="139" t="s">
        <v>32</v>
      </c>
      <c r="BS31" s="20">
        <v>0</v>
      </c>
      <c r="BT31" s="21">
        <v>0</v>
      </c>
      <c r="BU31" s="139" t="s">
        <v>32</v>
      </c>
      <c r="BV31" s="20">
        <v>0</v>
      </c>
      <c r="BW31" s="21">
        <v>0</v>
      </c>
      <c r="BX31" s="139" t="str">
        <f t="shared" ref="BX31:BX33" si="137">IF(BW31=0,"-",BV31/BW31)</f>
        <v>-</v>
      </c>
      <c r="BY31" s="20">
        <v>0</v>
      </c>
      <c r="BZ31" s="21">
        <v>0</v>
      </c>
      <c r="CA31" s="139" t="str">
        <f t="shared" ref="CA31:CA33" si="138">IF(BZ31=0,"-",BY31/BZ31)</f>
        <v>-</v>
      </c>
      <c r="CB31" s="20">
        <v>0</v>
      </c>
      <c r="CC31" s="21">
        <v>0</v>
      </c>
      <c r="CD31" s="139" t="str">
        <f t="shared" ref="CD31:CD33" si="139">IF(CC31=0,"-",CB31/CC31)</f>
        <v>-</v>
      </c>
      <c r="CE31" s="117">
        <f t="shared" si="28"/>
        <v>212</v>
      </c>
      <c r="CF31" s="120">
        <f t="shared" si="29"/>
        <v>29</v>
      </c>
      <c r="CG31" s="147">
        <f t="shared" si="23"/>
        <v>7.3103448275862073</v>
      </c>
    </row>
    <row r="32" spans="1:85" ht="15" thickBot="1" x14ac:dyDescent="0.35">
      <c r="A32" s="294">
        <v>45563</v>
      </c>
      <c r="B32" s="20">
        <v>17</v>
      </c>
      <c r="C32" s="21">
        <v>2</v>
      </c>
      <c r="D32" s="139">
        <f t="shared" si="0"/>
        <v>8.5</v>
      </c>
      <c r="E32" s="20">
        <v>0</v>
      </c>
      <c r="F32" s="21">
        <v>0</v>
      </c>
      <c r="G32" s="139" t="str">
        <f t="shared" si="1"/>
        <v>-</v>
      </c>
      <c r="H32" s="20"/>
      <c r="I32" s="21"/>
      <c r="J32" s="139" t="s">
        <v>32</v>
      </c>
      <c r="K32" s="20">
        <v>16</v>
      </c>
      <c r="L32" s="21">
        <v>2</v>
      </c>
      <c r="M32" s="139">
        <f t="shared" si="3"/>
        <v>8</v>
      </c>
      <c r="N32" s="125"/>
      <c r="O32" s="126"/>
      <c r="P32" s="139" t="s">
        <v>32</v>
      </c>
      <c r="Q32" s="20">
        <v>12</v>
      </c>
      <c r="R32" s="21">
        <v>2</v>
      </c>
      <c r="S32" s="139">
        <f t="shared" si="5"/>
        <v>6</v>
      </c>
      <c r="T32" s="20">
        <v>0</v>
      </c>
      <c r="U32" s="21">
        <v>0</v>
      </c>
      <c r="V32" s="139" t="str">
        <f t="shared" ref="V32" si="140">IF(U32=0,"-",T32/U32)</f>
        <v>-</v>
      </c>
      <c r="W32" s="20">
        <v>0</v>
      </c>
      <c r="X32" s="21">
        <v>0</v>
      </c>
      <c r="Y32" s="278" t="str">
        <f t="shared" ref="Y32" si="141">IF(X32=0,"-",W32/X32)</f>
        <v>-</v>
      </c>
      <c r="Z32" s="20">
        <v>66</v>
      </c>
      <c r="AA32" s="21">
        <v>13</v>
      </c>
      <c r="AB32" s="278">
        <f t="shared" si="8"/>
        <v>5.0769230769230766</v>
      </c>
      <c r="AC32" s="20">
        <v>0</v>
      </c>
      <c r="AD32" s="21">
        <v>0</v>
      </c>
      <c r="AE32" s="278" t="str">
        <f t="shared" ref="AE32" si="142">IF(AD32=0,"-",AC32/AD32)</f>
        <v>-</v>
      </c>
      <c r="AF32" s="20">
        <v>0</v>
      </c>
      <c r="AG32" s="21">
        <v>0</v>
      </c>
      <c r="AH32" s="139" t="str">
        <f t="shared" ref="AH32:AH33" si="143">IF(AG32=0,"-",AF32/AG32)</f>
        <v>-</v>
      </c>
      <c r="AI32" s="20">
        <v>0</v>
      </c>
      <c r="AJ32" s="21">
        <v>0</v>
      </c>
      <c r="AK32" s="139" t="str">
        <f t="shared" si="31"/>
        <v>-</v>
      </c>
      <c r="AL32" s="23">
        <v>0</v>
      </c>
      <c r="AM32" s="21">
        <v>0</v>
      </c>
      <c r="AN32" s="139" t="str">
        <f t="shared" si="133"/>
        <v>-</v>
      </c>
      <c r="AO32" s="23">
        <v>0</v>
      </c>
      <c r="AP32" s="21">
        <v>0</v>
      </c>
      <c r="AQ32" s="139" t="s">
        <v>32</v>
      </c>
      <c r="AR32" s="23">
        <v>0</v>
      </c>
      <c r="AS32" s="21">
        <v>0</v>
      </c>
      <c r="AT32" s="139" t="s">
        <v>32</v>
      </c>
      <c r="AU32" s="23">
        <v>0</v>
      </c>
      <c r="AV32" s="21">
        <v>0</v>
      </c>
      <c r="AW32" s="139" t="s">
        <v>32</v>
      </c>
      <c r="AX32" s="23">
        <v>0</v>
      </c>
      <c r="AY32" s="21">
        <v>0</v>
      </c>
      <c r="AZ32" s="139" t="s">
        <v>32</v>
      </c>
      <c r="BA32" s="23">
        <v>0</v>
      </c>
      <c r="BB32" s="21">
        <v>0</v>
      </c>
      <c r="BC32" s="139" t="s">
        <v>32</v>
      </c>
      <c r="BD32" s="20">
        <v>7</v>
      </c>
      <c r="BE32" s="21">
        <v>3</v>
      </c>
      <c r="BF32" s="139">
        <f t="shared" si="15"/>
        <v>2.3333333333333335</v>
      </c>
      <c r="BG32" s="20">
        <v>0</v>
      </c>
      <c r="BH32" s="21">
        <v>0</v>
      </c>
      <c r="BI32" s="139" t="str">
        <f t="shared" si="134"/>
        <v>-</v>
      </c>
      <c r="BJ32" s="20">
        <v>14</v>
      </c>
      <c r="BK32" s="21">
        <v>2</v>
      </c>
      <c r="BL32" s="139">
        <f t="shared" si="17"/>
        <v>7</v>
      </c>
      <c r="BM32" s="20">
        <v>0</v>
      </c>
      <c r="BN32" s="21">
        <v>0</v>
      </c>
      <c r="BO32" s="139" t="str">
        <f t="shared" si="136"/>
        <v>-</v>
      </c>
      <c r="BP32" s="20"/>
      <c r="BQ32" s="21"/>
      <c r="BR32" s="139" t="s">
        <v>32</v>
      </c>
      <c r="BS32" s="20">
        <v>0</v>
      </c>
      <c r="BT32" s="21">
        <v>0</v>
      </c>
      <c r="BU32" s="139" t="s">
        <v>32</v>
      </c>
      <c r="BV32" s="20">
        <v>0</v>
      </c>
      <c r="BW32" s="21">
        <v>0</v>
      </c>
      <c r="BX32" s="139" t="str">
        <f t="shared" si="137"/>
        <v>-</v>
      </c>
      <c r="BY32" s="20">
        <v>0</v>
      </c>
      <c r="BZ32" s="21">
        <v>0</v>
      </c>
      <c r="CA32" s="139" t="str">
        <f t="shared" si="138"/>
        <v>-</v>
      </c>
      <c r="CB32" s="20">
        <v>0</v>
      </c>
      <c r="CC32" s="21">
        <v>0</v>
      </c>
      <c r="CD32" s="139" t="str">
        <f t="shared" si="139"/>
        <v>-</v>
      </c>
      <c r="CE32" s="117">
        <f t="shared" si="28"/>
        <v>132</v>
      </c>
      <c r="CF32" s="120">
        <f t="shared" si="29"/>
        <v>24</v>
      </c>
      <c r="CG32" s="147">
        <f t="shared" si="23"/>
        <v>5.5</v>
      </c>
    </row>
    <row r="33" spans="1:85" ht="15" thickBot="1" x14ac:dyDescent="0.35">
      <c r="A33" s="294">
        <v>45564</v>
      </c>
      <c r="B33" s="270">
        <v>9</v>
      </c>
      <c r="C33" s="271">
        <v>1</v>
      </c>
      <c r="D33" s="272">
        <f t="shared" si="0"/>
        <v>9</v>
      </c>
      <c r="E33" s="270">
        <v>0</v>
      </c>
      <c r="F33" s="271">
        <v>0</v>
      </c>
      <c r="G33" s="272" t="str">
        <f t="shared" si="1"/>
        <v>-</v>
      </c>
      <c r="H33" s="270"/>
      <c r="I33" s="271"/>
      <c r="J33" s="272" t="s">
        <v>32</v>
      </c>
      <c r="K33" s="270">
        <v>0</v>
      </c>
      <c r="L33" s="271">
        <v>0</v>
      </c>
      <c r="M33" s="139" t="str">
        <f t="shared" si="3"/>
        <v>-</v>
      </c>
      <c r="N33" s="125"/>
      <c r="O33" s="126"/>
      <c r="P33" s="139" t="str">
        <f t="shared" ref="P33:P34" si="144">IF(O33=0,"-",N33/O33)</f>
        <v>-</v>
      </c>
      <c r="Q33" s="270">
        <v>0</v>
      </c>
      <c r="R33" s="271">
        <v>0</v>
      </c>
      <c r="S33" s="139" t="str">
        <f t="shared" si="5"/>
        <v>-</v>
      </c>
      <c r="T33" s="270">
        <v>0</v>
      </c>
      <c r="U33" s="271">
        <v>0</v>
      </c>
      <c r="V33" s="139" t="str">
        <f t="shared" si="6"/>
        <v>-</v>
      </c>
      <c r="W33" s="270">
        <v>0</v>
      </c>
      <c r="X33" s="271">
        <v>0</v>
      </c>
      <c r="Y33" s="278" t="str">
        <f t="shared" si="7"/>
        <v>-</v>
      </c>
      <c r="Z33" s="20">
        <v>109</v>
      </c>
      <c r="AA33" s="21">
        <v>5</v>
      </c>
      <c r="AB33" s="278">
        <f t="shared" si="8"/>
        <v>21.8</v>
      </c>
      <c r="AC33" s="20">
        <v>0</v>
      </c>
      <c r="AD33" s="21">
        <v>0</v>
      </c>
      <c r="AE33" s="278" t="str">
        <f t="shared" si="9"/>
        <v>-</v>
      </c>
      <c r="AF33" s="20">
        <v>0</v>
      </c>
      <c r="AG33" s="21">
        <v>0</v>
      </c>
      <c r="AH33" s="139" t="str">
        <f t="shared" si="143"/>
        <v>-</v>
      </c>
      <c r="AI33" s="20">
        <v>0</v>
      </c>
      <c r="AJ33" s="21">
        <v>0</v>
      </c>
      <c r="AK33" s="139" t="str">
        <f t="shared" si="31"/>
        <v>-</v>
      </c>
      <c r="AL33" s="23">
        <v>0</v>
      </c>
      <c r="AM33" s="21">
        <v>0</v>
      </c>
      <c r="AN33" s="139" t="str">
        <f t="shared" si="133"/>
        <v>-</v>
      </c>
      <c r="AO33" s="23">
        <v>0</v>
      </c>
      <c r="AP33" s="21">
        <v>0</v>
      </c>
      <c r="AQ33" s="139" t="s">
        <v>32</v>
      </c>
      <c r="AR33" s="23">
        <v>0</v>
      </c>
      <c r="AS33" s="21">
        <v>0</v>
      </c>
      <c r="AT33" s="139" t="s">
        <v>32</v>
      </c>
      <c r="AU33" s="23">
        <v>0</v>
      </c>
      <c r="AV33" s="21">
        <v>0</v>
      </c>
      <c r="AW33" s="139" t="s">
        <v>32</v>
      </c>
      <c r="AX33" s="23">
        <v>0</v>
      </c>
      <c r="AY33" s="21">
        <v>0</v>
      </c>
      <c r="AZ33" s="139" t="s">
        <v>32</v>
      </c>
      <c r="BA33" s="23">
        <v>0</v>
      </c>
      <c r="BB33" s="21">
        <v>0</v>
      </c>
      <c r="BC33" s="139" t="s">
        <v>32</v>
      </c>
      <c r="BD33" s="270">
        <v>0</v>
      </c>
      <c r="BE33" s="271">
        <v>1</v>
      </c>
      <c r="BF33" s="272">
        <f t="shared" si="15"/>
        <v>0</v>
      </c>
      <c r="BG33" s="20">
        <v>0</v>
      </c>
      <c r="BH33" s="21">
        <v>0</v>
      </c>
      <c r="BI33" s="139" t="str">
        <f t="shared" si="134"/>
        <v>-</v>
      </c>
      <c r="BJ33" s="270">
        <v>6</v>
      </c>
      <c r="BK33" s="271">
        <v>1</v>
      </c>
      <c r="BL33" s="272">
        <f t="shared" si="17"/>
        <v>6</v>
      </c>
      <c r="BM33" s="20">
        <v>0</v>
      </c>
      <c r="BN33" s="21">
        <v>0</v>
      </c>
      <c r="BO33" s="139" t="str">
        <f t="shared" si="136"/>
        <v>-</v>
      </c>
      <c r="BP33" s="20"/>
      <c r="BQ33" s="21"/>
      <c r="BR33" s="139" t="str">
        <f t="shared" si="19"/>
        <v>-</v>
      </c>
      <c r="BS33" s="20">
        <v>0</v>
      </c>
      <c r="BT33" s="21">
        <v>0</v>
      </c>
      <c r="BU33" s="139" t="s">
        <v>32</v>
      </c>
      <c r="BV33" s="20">
        <v>0</v>
      </c>
      <c r="BW33" s="21">
        <v>0</v>
      </c>
      <c r="BX33" s="139" t="str">
        <f t="shared" si="137"/>
        <v>-</v>
      </c>
      <c r="BY33" s="20">
        <v>0</v>
      </c>
      <c r="BZ33" s="21">
        <v>0</v>
      </c>
      <c r="CA33" s="139" t="str">
        <f t="shared" si="138"/>
        <v>-</v>
      </c>
      <c r="CB33" s="20">
        <v>0</v>
      </c>
      <c r="CC33" s="21">
        <v>0</v>
      </c>
      <c r="CD33" s="139" t="str">
        <f t="shared" si="139"/>
        <v>-</v>
      </c>
      <c r="CE33" s="117">
        <f t="shared" si="28"/>
        <v>124</v>
      </c>
      <c r="CF33" s="120">
        <f t="shared" si="29"/>
        <v>8</v>
      </c>
      <c r="CG33" s="147">
        <f t="shared" si="23"/>
        <v>15.5</v>
      </c>
    </row>
    <row r="34" spans="1:85" ht="15" thickBot="1" x14ac:dyDescent="0.35">
      <c r="A34" s="294">
        <v>45565</v>
      </c>
      <c r="B34" s="20">
        <v>66</v>
      </c>
      <c r="C34" s="21">
        <v>8</v>
      </c>
      <c r="D34" s="139">
        <f t="shared" si="0"/>
        <v>8.25</v>
      </c>
      <c r="E34" s="20">
        <v>17</v>
      </c>
      <c r="F34" s="21">
        <v>2</v>
      </c>
      <c r="G34" s="139">
        <f t="shared" si="1"/>
        <v>8.5</v>
      </c>
      <c r="H34" s="20"/>
      <c r="I34" s="21"/>
      <c r="J34" s="139" t="s">
        <v>32</v>
      </c>
      <c r="K34" s="20">
        <v>24</v>
      </c>
      <c r="L34" s="21">
        <v>3</v>
      </c>
      <c r="M34" s="139">
        <f t="shared" si="3"/>
        <v>8</v>
      </c>
      <c r="N34" s="125"/>
      <c r="O34" s="126"/>
      <c r="P34" s="139" t="str">
        <f t="shared" si="144"/>
        <v>-</v>
      </c>
      <c r="Q34" s="20">
        <v>65</v>
      </c>
      <c r="R34" s="21">
        <v>11</v>
      </c>
      <c r="S34" s="139">
        <f t="shared" si="5"/>
        <v>5.9090909090909092</v>
      </c>
      <c r="T34" s="20">
        <v>0</v>
      </c>
      <c r="U34" s="21">
        <v>0</v>
      </c>
      <c r="V34" s="139" t="str">
        <f t="shared" si="6"/>
        <v>-</v>
      </c>
      <c r="W34" s="20">
        <v>6</v>
      </c>
      <c r="X34" s="21">
        <v>1</v>
      </c>
      <c r="Y34" s="139" t="s">
        <v>32</v>
      </c>
      <c r="Z34" s="20">
        <v>24</v>
      </c>
      <c r="AA34" s="21">
        <v>4</v>
      </c>
      <c r="AB34" s="278">
        <f t="shared" si="8"/>
        <v>6</v>
      </c>
      <c r="AC34" s="20">
        <v>0</v>
      </c>
      <c r="AD34" s="21">
        <v>0</v>
      </c>
      <c r="AE34" s="278" t="str">
        <f t="shared" si="9"/>
        <v>-</v>
      </c>
      <c r="AF34" s="20">
        <v>6</v>
      </c>
      <c r="AG34" s="21">
        <v>1</v>
      </c>
      <c r="AH34" s="139">
        <f t="shared" si="30"/>
        <v>6</v>
      </c>
      <c r="AI34" s="20">
        <v>0</v>
      </c>
      <c r="AJ34" s="21">
        <v>0</v>
      </c>
      <c r="AK34" s="139" t="str">
        <f t="shared" si="31"/>
        <v>-</v>
      </c>
      <c r="AL34" s="23">
        <v>0</v>
      </c>
      <c r="AM34" s="21">
        <v>0</v>
      </c>
      <c r="AN34" s="139" t="str">
        <f t="shared" ref="AN34" si="145">IF(AM34=0,"-",AL34/AM34)</f>
        <v>-</v>
      </c>
      <c r="AO34" s="23">
        <v>0</v>
      </c>
      <c r="AP34" s="21">
        <v>0</v>
      </c>
      <c r="AQ34" s="139" t="s">
        <v>32</v>
      </c>
      <c r="AR34" s="23">
        <v>0</v>
      </c>
      <c r="AS34" s="21">
        <v>0</v>
      </c>
      <c r="AT34" s="139" t="s">
        <v>32</v>
      </c>
      <c r="AU34" s="23">
        <v>0</v>
      </c>
      <c r="AV34" s="21">
        <v>0</v>
      </c>
      <c r="AW34" s="139" t="s">
        <v>32</v>
      </c>
      <c r="AX34" s="23">
        <v>0</v>
      </c>
      <c r="AY34" s="21">
        <v>0</v>
      </c>
      <c r="AZ34" s="139" t="s">
        <v>32</v>
      </c>
      <c r="BA34" s="23">
        <v>0</v>
      </c>
      <c r="BB34" s="21">
        <v>0</v>
      </c>
      <c r="BC34" s="139" t="s">
        <v>32</v>
      </c>
      <c r="BD34" s="20">
        <v>7</v>
      </c>
      <c r="BE34" s="21">
        <v>1</v>
      </c>
      <c r="BF34" s="139">
        <f t="shared" si="15"/>
        <v>7</v>
      </c>
      <c r="BG34" s="20">
        <v>0</v>
      </c>
      <c r="BH34" s="21">
        <v>0</v>
      </c>
      <c r="BI34" s="139" t="str">
        <f t="shared" ref="BI34" si="146">IF(BH34=0,"-",BG34/BH34)</f>
        <v>-</v>
      </c>
      <c r="BJ34" s="20">
        <v>0</v>
      </c>
      <c r="BK34" s="21">
        <v>0</v>
      </c>
      <c r="BL34" s="139" t="str">
        <f t="shared" si="17"/>
        <v>-</v>
      </c>
      <c r="BM34" s="20">
        <v>0</v>
      </c>
      <c r="BN34" s="21">
        <v>0</v>
      </c>
      <c r="BO34" s="139" t="str">
        <f t="shared" si="136"/>
        <v>-</v>
      </c>
      <c r="BP34" s="20"/>
      <c r="BQ34" s="21"/>
      <c r="BR34" s="139" t="str">
        <f t="shared" si="19"/>
        <v>-</v>
      </c>
      <c r="BS34" s="20">
        <v>13</v>
      </c>
      <c r="BT34" s="21">
        <v>2</v>
      </c>
      <c r="BU34" s="139">
        <f t="shared" si="20"/>
        <v>6.5</v>
      </c>
      <c r="BV34" s="20">
        <v>0</v>
      </c>
      <c r="BW34" s="21">
        <v>0</v>
      </c>
      <c r="BX34" s="139" t="s">
        <v>32</v>
      </c>
      <c r="BY34" s="20">
        <v>0</v>
      </c>
      <c r="BZ34" s="21">
        <v>0</v>
      </c>
      <c r="CA34" s="139" t="s">
        <v>32</v>
      </c>
      <c r="CB34" s="20">
        <v>0</v>
      </c>
      <c r="CC34" s="21">
        <v>0</v>
      </c>
      <c r="CD34" s="139" t="s">
        <v>32</v>
      </c>
      <c r="CE34" s="117">
        <f t="shared" si="28"/>
        <v>228</v>
      </c>
      <c r="CF34" s="120">
        <f t="shared" si="29"/>
        <v>33</v>
      </c>
      <c r="CG34" s="147">
        <f t="shared" si="23"/>
        <v>6.9090909090909092</v>
      </c>
    </row>
    <row r="35" spans="1:85" s="41" customFormat="1" ht="15.6" customHeight="1" thickBot="1" x14ac:dyDescent="0.35">
      <c r="A35" s="295" t="s">
        <v>33</v>
      </c>
      <c r="B35" s="43">
        <f>SUM(B5:B34)</f>
        <v>1297</v>
      </c>
      <c r="C35" s="43">
        <f>SUM(C5:C34)</f>
        <v>155</v>
      </c>
      <c r="D35" s="44">
        <f>B35/C35</f>
        <v>8.3677419354838705</v>
      </c>
      <c r="E35" s="43">
        <f>SUM(E5:E34)</f>
        <v>77</v>
      </c>
      <c r="F35" s="43">
        <f>SUM(F5:F34)</f>
        <v>10</v>
      </c>
      <c r="G35" s="44">
        <f>E35/F35</f>
        <v>7.7</v>
      </c>
      <c r="H35" s="43">
        <f>SUM(H5:H34)</f>
        <v>0</v>
      </c>
      <c r="I35" s="43">
        <f>SUM(I5:I34)</f>
        <v>0</v>
      </c>
      <c r="J35" s="44" t="e">
        <f>H35/I35</f>
        <v>#DIV/0!</v>
      </c>
      <c r="K35" s="43">
        <f>SUM(K5:K34)</f>
        <v>439</v>
      </c>
      <c r="L35" s="43">
        <f>SUM(L5:L34)</f>
        <v>56</v>
      </c>
      <c r="M35" s="44">
        <f>K35/L35</f>
        <v>7.8392857142857144</v>
      </c>
      <c r="N35" s="43">
        <f>SUM(N5:N34)</f>
        <v>0</v>
      </c>
      <c r="O35" s="43">
        <f>SUM(O5:O34)</f>
        <v>0</v>
      </c>
      <c r="P35" s="44" t="e">
        <f>N35/O35</f>
        <v>#DIV/0!</v>
      </c>
      <c r="Q35" s="43">
        <f>SUM(Q5:Q34)</f>
        <v>973</v>
      </c>
      <c r="R35" s="43">
        <f>SUM(R5:R34)</f>
        <v>178</v>
      </c>
      <c r="S35" s="44">
        <f>Q35/R35</f>
        <v>5.4662921348314608</v>
      </c>
      <c r="T35" s="43">
        <f>SUM(T5:T34)</f>
        <v>221</v>
      </c>
      <c r="U35" s="43">
        <f>SUM(U5:U34)</f>
        <v>45</v>
      </c>
      <c r="V35" s="44">
        <f>T35/U35</f>
        <v>4.9111111111111114</v>
      </c>
      <c r="W35" s="43">
        <f>SUM(W5:W34)</f>
        <v>60</v>
      </c>
      <c r="X35" s="43">
        <f>SUM(X5:X34)</f>
        <v>10</v>
      </c>
      <c r="Y35" s="297">
        <f>W35/X35</f>
        <v>6</v>
      </c>
      <c r="Z35" s="43">
        <f>SUM(Z5:Z34)</f>
        <v>464</v>
      </c>
      <c r="AA35" s="43">
        <f>SUM(AA5:AA34)</f>
        <v>76</v>
      </c>
      <c r="AB35" s="297">
        <f t="shared" ref="AB35" si="147">Z35/AA35</f>
        <v>6.1052631578947372</v>
      </c>
      <c r="AC35" s="43">
        <f>SUM(AC5:AC34)</f>
        <v>4</v>
      </c>
      <c r="AD35" s="43">
        <f>SUM(AD5:AD34)</f>
        <v>1</v>
      </c>
      <c r="AE35" s="297">
        <f t="shared" ref="AE35" si="148">AC35/AD35</f>
        <v>4</v>
      </c>
      <c r="AF35" s="43">
        <f>SUM(AF5:AF34)</f>
        <v>41</v>
      </c>
      <c r="AG35" s="43">
        <f>SUM(AG5:AG34)</f>
        <v>8</v>
      </c>
      <c r="AH35" s="44">
        <f>AF35/AG35</f>
        <v>5.125</v>
      </c>
      <c r="AI35" s="44"/>
      <c r="AJ35" s="44"/>
      <c r="AK35" s="44"/>
      <c r="AL35" s="43">
        <f>SUM(AL5:AL34)</f>
        <v>42</v>
      </c>
      <c r="AM35" s="43">
        <f>SUM(AM5:AM34)</f>
        <v>13</v>
      </c>
      <c r="AN35" s="44">
        <f>AL35/AM35</f>
        <v>3.2307692307692308</v>
      </c>
      <c r="AO35" s="43">
        <f>SUM(AO5:AO34)</f>
        <v>0</v>
      </c>
      <c r="AP35" s="43">
        <f>SUM(AP5:AP34)</f>
        <v>0</v>
      </c>
      <c r="AQ35" s="44" t="e">
        <f>AO35/AP35</f>
        <v>#DIV/0!</v>
      </c>
      <c r="AR35" s="43">
        <f>SUM(AR5:AR34)</f>
        <v>17</v>
      </c>
      <c r="AS35" s="43">
        <f>SUM(AS5:AS34)</f>
        <v>9</v>
      </c>
      <c r="AT35" s="44">
        <f>AR35/AS35</f>
        <v>1.8888888888888888</v>
      </c>
      <c r="AU35" s="43">
        <f>SUM(AU5:AU34)</f>
        <v>87</v>
      </c>
      <c r="AV35" s="43">
        <f>SUM(AV5:AV34)</f>
        <v>9</v>
      </c>
      <c r="AW35" s="44">
        <f>AU35/AV35</f>
        <v>9.6666666666666661</v>
      </c>
      <c r="AX35" s="43">
        <f>SUM(AX5:AX34)</f>
        <v>2</v>
      </c>
      <c r="AY35" s="43">
        <f>SUM(AY5:AY34)</f>
        <v>2</v>
      </c>
      <c r="AZ35" s="44">
        <f>AX35/AY35</f>
        <v>1</v>
      </c>
      <c r="BA35" s="43">
        <f>SUM(BA5:BA34)</f>
        <v>134</v>
      </c>
      <c r="BB35" s="43">
        <f>SUM(BB5:BB34)</f>
        <v>27</v>
      </c>
      <c r="BC35" s="44">
        <f>BA35/BB35</f>
        <v>4.9629629629629628</v>
      </c>
      <c r="BD35" s="43">
        <f>SUM(BD5:BD34)</f>
        <v>366</v>
      </c>
      <c r="BE35" s="43">
        <f>SUM(BE5:BE34)</f>
        <v>66</v>
      </c>
      <c r="BF35" s="44">
        <f>BD35/BE35</f>
        <v>5.5454545454545459</v>
      </c>
      <c r="BG35" s="43">
        <f>SUM(BG5:BG34)</f>
        <v>13</v>
      </c>
      <c r="BH35" s="43">
        <f>SUM(BH5:BH34)</f>
        <v>2</v>
      </c>
      <c r="BI35" s="44">
        <f>BG35/BH35</f>
        <v>6.5</v>
      </c>
      <c r="BJ35" s="43">
        <f>SUM(BJ5:BJ34)</f>
        <v>76</v>
      </c>
      <c r="BK35" s="43">
        <f>SUM(BK5:BK34)</f>
        <v>11</v>
      </c>
      <c r="BL35" s="44">
        <f>BJ35/BK35</f>
        <v>6.9090909090909092</v>
      </c>
      <c r="BM35" s="43">
        <f>SUM(BM5:BM34)</f>
        <v>53</v>
      </c>
      <c r="BN35" s="43">
        <f>SUM(BN5:BN34)</f>
        <v>8</v>
      </c>
      <c r="BO35" s="44">
        <f>BM35/BN35</f>
        <v>6.625</v>
      </c>
      <c r="BP35" s="43">
        <f>SUM(BP5:BP34)</f>
        <v>0</v>
      </c>
      <c r="BQ35" s="43">
        <f>SUM(BQ5:BQ34)</f>
        <v>0</v>
      </c>
      <c r="BR35" s="140" t="str">
        <f>IF(BQ35=0,"-",BP35/BQ35)</f>
        <v>-</v>
      </c>
      <c r="BS35" s="43">
        <f>SUM(BS5:BS34)</f>
        <v>175</v>
      </c>
      <c r="BT35" s="43">
        <f>SUM(BT5:BT34)</f>
        <v>29</v>
      </c>
      <c r="BU35" s="44">
        <f>BS35/BT35</f>
        <v>6.0344827586206895</v>
      </c>
      <c r="BV35" s="43">
        <f>SUM(BV5:BV34)</f>
        <v>0</v>
      </c>
      <c r="BW35" s="43">
        <f>SUM(BW5:BW34)</f>
        <v>0</v>
      </c>
      <c r="BX35" s="140" t="str">
        <f>IF(BW35=0,"-",BV35/BW35)</f>
        <v>-</v>
      </c>
      <c r="BY35" s="43">
        <f>SUM(BY5:BY34)</f>
        <v>0</v>
      </c>
      <c r="BZ35" s="43">
        <f>SUM(BZ5:BZ34)</f>
        <v>0</v>
      </c>
      <c r="CA35" s="140" t="str">
        <f>IF(BZ35=0,"-",BY35/BZ35)</f>
        <v>-</v>
      </c>
      <c r="CB35" s="43">
        <f>SUM(CB5:CB34)</f>
        <v>0</v>
      </c>
      <c r="CC35" s="43">
        <f>SUM(CC5:CC34)</f>
        <v>0</v>
      </c>
      <c r="CD35" s="140" t="str">
        <f>IF(CC35=0,"-",CB35/CC35)</f>
        <v>-</v>
      </c>
      <c r="CE35" s="118">
        <f>SUM(CE5:CE34)</f>
        <v>4605</v>
      </c>
      <c r="CF35" s="118">
        <f>SUM(CF5:CF34)</f>
        <v>726</v>
      </c>
      <c r="CG35" s="144">
        <f t="shared" si="23"/>
        <v>6.3429752066115705</v>
      </c>
    </row>
    <row r="36" spans="1:85" x14ac:dyDescent="0.3">
      <c r="A36" s="294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85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85" x14ac:dyDescent="0.3">
      <c r="A38" s="294"/>
    </row>
    <row r="39" spans="1:85" x14ac:dyDescent="0.3">
      <c r="A39" s="294"/>
    </row>
    <row r="40" spans="1:85" x14ac:dyDescent="0.3">
      <c r="A40" s="294"/>
    </row>
    <row r="41" spans="1:85" x14ac:dyDescent="0.3">
      <c r="A41" s="294"/>
    </row>
    <row r="42" spans="1:85" x14ac:dyDescent="0.3">
      <c r="A42" s="294"/>
    </row>
    <row r="43" spans="1:85" x14ac:dyDescent="0.3">
      <c r="A43" s="294"/>
    </row>
    <row r="44" spans="1:85" x14ac:dyDescent="0.3">
      <c r="A44" s="294"/>
    </row>
    <row r="45" spans="1:85" x14ac:dyDescent="0.3">
      <c r="A45" s="294"/>
    </row>
    <row r="46" spans="1:85" x14ac:dyDescent="0.3">
      <c r="A46" s="294"/>
    </row>
    <row r="47" spans="1:85" x14ac:dyDescent="0.3">
      <c r="A47" s="294"/>
    </row>
    <row r="48" spans="1:85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5BED-0A23-4905-8FF1-F773A7C4E995}">
  <sheetPr>
    <tabColor rgb="FFFF0000"/>
  </sheetPr>
  <dimension ref="A1:CL40"/>
  <sheetViews>
    <sheetView workbookViewId="0">
      <selection activeCell="B4" sqref="B4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76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'September 24'!B35</f>
        <v>1297</v>
      </c>
      <c r="C4" s="68"/>
      <c r="D4" s="95" t="s">
        <v>19</v>
      </c>
      <c r="E4" s="93">
        <f>'September 24'!AX35</f>
        <v>2</v>
      </c>
      <c r="F4" s="68"/>
      <c r="G4" s="87" t="s">
        <v>24</v>
      </c>
      <c r="H4" s="81">
        <f>'September 24'!BM35</f>
        <v>53</v>
      </c>
    </row>
    <row r="5" spans="1:90" x14ac:dyDescent="0.3">
      <c r="A5" s="80"/>
      <c r="B5" s="81">
        <f>'September 24'!C35</f>
        <v>155</v>
      </c>
      <c r="C5" s="68"/>
      <c r="D5" s="85"/>
      <c r="E5" s="81">
        <f>'September 24'!AY35</f>
        <v>2</v>
      </c>
      <c r="F5" s="68"/>
      <c r="G5" s="87"/>
      <c r="H5" s="81">
        <f>'September 24'!BN35</f>
        <v>8</v>
      </c>
    </row>
    <row r="6" spans="1:90" x14ac:dyDescent="0.3">
      <c r="A6" s="82"/>
      <c r="B6" s="26">
        <f>'September 24'!D35</f>
        <v>8.3677419354838705</v>
      </c>
      <c r="C6" s="68"/>
      <c r="D6" s="86"/>
      <c r="E6" s="26">
        <f>'September 24'!AZ35</f>
        <v>1</v>
      </c>
      <c r="F6" s="68"/>
      <c r="G6" s="88"/>
      <c r="H6" s="26">
        <f>'September 24'!BO35</f>
        <v>6.625</v>
      </c>
    </row>
    <row r="7" spans="1:90" x14ac:dyDescent="0.3">
      <c r="A7" s="80" t="s">
        <v>9</v>
      </c>
      <c r="B7" s="81">
        <f>'September 24'!E35</f>
        <v>77</v>
      </c>
      <c r="C7" s="68"/>
      <c r="D7" s="85" t="s">
        <v>20</v>
      </c>
      <c r="E7" s="81">
        <f>'September 24'!BA35</f>
        <v>134</v>
      </c>
      <c r="F7" s="68"/>
      <c r="G7" s="87" t="s">
        <v>25</v>
      </c>
      <c r="H7" s="151">
        <f>'September 24'!BP35</f>
        <v>0</v>
      </c>
    </row>
    <row r="8" spans="1:90" x14ac:dyDescent="0.3">
      <c r="A8" s="80"/>
      <c r="B8" s="81">
        <f>'September 24'!F35</f>
        <v>10</v>
      </c>
      <c r="C8" s="68"/>
      <c r="D8" s="85"/>
      <c r="E8" s="81">
        <f>'September 24'!BB35</f>
        <v>27</v>
      </c>
      <c r="F8" s="68"/>
      <c r="G8" s="87"/>
      <c r="H8" s="151">
        <f>'September 24'!BQ35</f>
        <v>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'September 24'!G35</f>
        <v>7.7</v>
      </c>
      <c r="C9" s="68"/>
      <c r="D9" s="86"/>
      <c r="E9" s="26">
        <f>'September 24'!BC35</f>
        <v>4.9629629629629628</v>
      </c>
      <c r="F9" s="68"/>
      <c r="G9" s="88"/>
      <c r="H9" s="151">
        <f>'September 24'!BQ35</f>
        <v>0</v>
      </c>
    </row>
    <row r="10" spans="1:90" x14ac:dyDescent="0.3">
      <c r="A10" s="80" t="s">
        <v>10</v>
      </c>
      <c r="B10" s="81">
        <f>'September 24'!H35</f>
        <v>0</v>
      </c>
      <c r="C10" s="68"/>
      <c r="D10" s="85" t="s">
        <v>21</v>
      </c>
      <c r="E10" s="81">
        <f>'September 24'!BD35</f>
        <v>366</v>
      </c>
      <c r="F10" s="68"/>
      <c r="G10" s="87" t="s">
        <v>26</v>
      </c>
      <c r="H10" s="151">
        <f>'September 24'!BS35</f>
        <v>175</v>
      </c>
    </row>
    <row r="11" spans="1:90" x14ac:dyDescent="0.3">
      <c r="A11" s="80"/>
      <c r="B11" s="81">
        <f>'September 24'!I35</f>
        <v>0</v>
      </c>
      <c r="C11" s="68"/>
      <c r="D11" s="85"/>
      <c r="E11" s="81">
        <f>'September 24'!BE35</f>
        <v>66</v>
      </c>
      <c r="F11" s="68"/>
      <c r="G11" s="87"/>
      <c r="H11" s="81">
        <f>'September 24'!BT35</f>
        <v>29</v>
      </c>
    </row>
    <row r="12" spans="1:90" x14ac:dyDescent="0.3">
      <c r="A12" s="82"/>
      <c r="B12" s="26" t="e">
        <f>'September 24'!J35</f>
        <v>#DIV/0!</v>
      </c>
      <c r="C12" s="68"/>
      <c r="D12" s="86"/>
      <c r="E12" s="26">
        <f>'September 24'!BF35</f>
        <v>5.5454545454545459</v>
      </c>
      <c r="F12" s="68"/>
      <c r="G12" s="88"/>
      <c r="H12" s="26">
        <f>'September 24'!BU35</f>
        <v>6.0344827586206895</v>
      </c>
    </row>
    <row r="13" spans="1:90" x14ac:dyDescent="0.3">
      <c r="A13" s="80" t="s">
        <v>11</v>
      </c>
      <c r="B13" s="81">
        <f>'September 24'!Q35</f>
        <v>973</v>
      </c>
      <c r="C13" s="68"/>
      <c r="D13" s="85" t="s">
        <v>22</v>
      </c>
      <c r="E13" s="81">
        <f>'September 24'!BG35</f>
        <v>13</v>
      </c>
      <c r="F13" s="68"/>
      <c r="G13" s="87" t="s">
        <v>27</v>
      </c>
      <c r="H13" s="81">
        <f>'September 24'!BV35</f>
        <v>0</v>
      </c>
    </row>
    <row r="14" spans="1:90" x14ac:dyDescent="0.3">
      <c r="A14" s="80"/>
      <c r="B14" s="81">
        <f>'September 24'!R35</f>
        <v>178</v>
      </c>
      <c r="C14" s="68"/>
      <c r="D14" s="85"/>
      <c r="E14" s="81">
        <f>'September 24'!BH35</f>
        <v>2</v>
      </c>
      <c r="F14" s="68"/>
      <c r="G14" s="87"/>
      <c r="H14" s="81">
        <f>'September 24'!BW35</f>
        <v>0</v>
      </c>
    </row>
    <row r="15" spans="1:90" x14ac:dyDescent="0.3">
      <c r="A15" s="82"/>
      <c r="B15" s="26">
        <f>'September 24'!S35</f>
        <v>5.4662921348314608</v>
      </c>
      <c r="C15" s="68"/>
      <c r="D15" s="85"/>
      <c r="E15" s="26">
        <f>'September 24'!BI35</f>
        <v>6.5</v>
      </c>
      <c r="F15" s="68"/>
      <c r="G15" s="88"/>
      <c r="H15" s="26" t="str">
        <f>'September 24'!BX35</f>
        <v>-</v>
      </c>
    </row>
    <row r="16" spans="1:90" x14ac:dyDescent="0.3">
      <c r="A16" s="80" t="s">
        <v>44</v>
      </c>
      <c r="B16" s="81">
        <f>'September 24'!T35</f>
        <v>221</v>
      </c>
      <c r="C16" s="68"/>
      <c r="D16" s="85" t="s">
        <v>45</v>
      </c>
      <c r="E16" s="26">
        <f>'September 24'!BJ35</f>
        <v>76</v>
      </c>
      <c r="F16" s="68"/>
      <c r="G16" s="96" t="s">
        <v>28</v>
      </c>
      <c r="H16" s="97">
        <f>'September 24'!CE35</f>
        <v>4605</v>
      </c>
    </row>
    <row r="17" spans="1:8" x14ac:dyDescent="0.3">
      <c r="A17" s="80"/>
      <c r="B17" s="81">
        <f>'September 24'!U35</f>
        <v>45</v>
      </c>
      <c r="C17" s="68"/>
      <c r="D17" s="85"/>
      <c r="E17" s="81">
        <f>'September 24'!BK35</f>
        <v>11</v>
      </c>
      <c r="F17" s="68"/>
      <c r="G17" s="96"/>
      <c r="H17" s="97">
        <f>'September 24'!CF35</f>
        <v>726</v>
      </c>
    </row>
    <row r="18" spans="1:8" ht="15" thickBot="1" x14ac:dyDescent="0.35">
      <c r="A18" s="82"/>
      <c r="B18" s="26">
        <f>'September 24'!V35</f>
        <v>4.9111111111111114</v>
      </c>
      <c r="C18" s="68"/>
      <c r="D18" s="102"/>
      <c r="E18" s="149">
        <f>'September 24'!BL35</f>
        <v>6.9090909090909092</v>
      </c>
      <c r="F18" s="68"/>
      <c r="G18" s="98"/>
      <c r="H18" s="99">
        <f>H16/H17</f>
        <v>6.3429752066115705</v>
      </c>
    </row>
    <row r="19" spans="1:8" x14ac:dyDescent="0.3">
      <c r="A19" s="80" t="s">
        <v>55</v>
      </c>
      <c r="B19" s="81">
        <f>'September 24'!K35</f>
        <v>439</v>
      </c>
      <c r="C19" s="68"/>
    </row>
    <row r="20" spans="1:8" x14ac:dyDescent="0.3">
      <c r="A20" s="80"/>
      <c r="B20" s="81">
        <f>'September 24'!L35</f>
        <v>56</v>
      </c>
      <c r="C20" s="68"/>
    </row>
    <row r="21" spans="1:8" x14ac:dyDescent="0.3">
      <c r="A21" s="100"/>
      <c r="B21" s="81">
        <f>'September 24'!M35</f>
        <v>7.8392857142857144</v>
      </c>
      <c r="C21" s="68"/>
    </row>
    <row r="22" spans="1:8" x14ac:dyDescent="0.3">
      <c r="A22" s="80" t="s">
        <v>46</v>
      </c>
      <c r="B22" s="142">
        <f>'September 24'!X35</f>
        <v>10</v>
      </c>
      <c r="C22" s="68"/>
      <c r="D22" s="68"/>
      <c r="E22" s="68"/>
    </row>
    <row r="23" spans="1:8" x14ac:dyDescent="0.3">
      <c r="A23" s="80"/>
      <c r="B23" s="142">
        <f>'September 24'!W35</f>
        <v>60</v>
      </c>
      <c r="C23" s="68"/>
      <c r="D23" s="68"/>
      <c r="E23" s="68"/>
    </row>
    <row r="24" spans="1:8" ht="15" thickBot="1" x14ac:dyDescent="0.35">
      <c r="A24" s="141"/>
      <c r="B24" s="143">
        <f>'September 24'!Y35</f>
        <v>6</v>
      </c>
      <c r="C24" s="68"/>
      <c r="D24" s="68"/>
      <c r="E24" s="68"/>
    </row>
    <row r="25" spans="1:8" x14ac:dyDescent="0.3">
      <c r="A25" s="101" t="s">
        <v>14</v>
      </c>
      <c r="B25" s="93">
        <f>'September 24'!AC35</f>
        <v>4</v>
      </c>
      <c r="C25" s="68"/>
      <c r="D25" s="68"/>
      <c r="E25" s="68"/>
    </row>
    <row r="26" spans="1:8" x14ac:dyDescent="0.3">
      <c r="A26" s="83"/>
      <c r="B26" s="81">
        <f>'September 24'!AD35</f>
        <v>1</v>
      </c>
      <c r="C26" s="68"/>
      <c r="D26" s="68"/>
      <c r="E26" s="68"/>
    </row>
    <row r="27" spans="1:8" x14ac:dyDescent="0.3">
      <c r="A27" s="84"/>
      <c r="B27" s="26">
        <f>'September 24'!AE35</f>
        <v>4</v>
      </c>
      <c r="C27" s="68"/>
      <c r="D27" s="68"/>
      <c r="E27" s="68"/>
    </row>
    <row r="28" spans="1:8" x14ac:dyDescent="0.3">
      <c r="A28" s="83" t="s">
        <v>15</v>
      </c>
      <c r="B28" s="81">
        <f>'September 24'!AF35</f>
        <v>41</v>
      </c>
      <c r="C28" s="68"/>
      <c r="F28" s="68"/>
      <c r="G28" s="68"/>
    </row>
    <row r="29" spans="1:8" x14ac:dyDescent="0.3">
      <c r="A29" s="83"/>
      <c r="B29" s="81">
        <f>'September 24'!AG35</f>
        <v>8</v>
      </c>
      <c r="C29" s="68"/>
      <c r="F29" s="68"/>
      <c r="G29" s="68"/>
    </row>
    <row r="30" spans="1:8" x14ac:dyDescent="0.3">
      <c r="A30" s="84"/>
      <c r="B30" s="275">
        <f>'September 24'!AH35</f>
        <v>5.125</v>
      </c>
      <c r="C30" s="68"/>
      <c r="F30" s="68"/>
      <c r="G30" s="68"/>
    </row>
    <row r="31" spans="1:8" x14ac:dyDescent="0.3">
      <c r="A31" s="83" t="s">
        <v>16</v>
      </c>
      <c r="B31" s="81">
        <f>'September 24'!AL35</f>
        <v>42</v>
      </c>
      <c r="C31" s="68"/>
      <c r="F31" s="68"/>
      <c r="G31" s="68"/>
    </row>
    <row r="32" spans="1:8" x14ac:dyDescent="0.3">
      <c r="A32" s="83"/>
      <c r="B32" s="81">
        <f>'September 24'!AM35</f>
        <v>13</v>
      </c>
      <c r="C32" s="68"/>
      <c r="F32" s="68"/>
      <c r="G32" s="68"/>
    </row>
    <row r="33" spans="1:7" x14ac:dyDescent="0.3">
      <c r="A33" s="84"/>
      <c r="B33" s="26">
        <f>'September 24'!AN35</f>
        <v>3.2307692307692308</v>
      </c>
      <c r="C33" s="68"/>
      <c r="F33" s="68"/>
      <c r="G33" s="68"/>
    </row>
    <row r="34" spans="1:7" x14ac:dyDescent="0.3">
      <c r="A34" s="83" t="s">
        <v>17</v>
      </c>
      <c r="B34" s="81">
        <f>'September 24'!AO35</f>
        <v>0</v>
      </c>
      <c r="C34" s="68"/>
      <c r="F34" s="68"/>
      <c r="G34" s="68"/>
    </row>
    <row r="35" spans="1:7" x14ac:dyDescent="0.3">
      <c r="A35" s="83"/>
      <c r="B35" s="81">
        <f>'September 24'!AP35</f>
        <v>0</v>
      </c>
      <c r="C35" s="68"/>
      <c r="F35" s="68"/>
      <c r="G35" s="68"/>
    </row>
    <row r="36" spans="1:7" x14ac:dyDescent="0.3">
      <c r="A36" s="84"/>
      <c r="B36" s="26" t="e">
        <f>'September 24'!AQ35</f>
        <v>#DIV/0!</v>
      </c>
      <c r="C36" s="68"/>
      <c r="F36" s="68"/>
      <c r="G36" s="68"/>
    </row>
    <row r="37" spans="1:7" x14ac:dyDescent="0.3">
      <c r="A37" s="83" t="s">
        <v>59</v>
      </c>
      <c r="B37" s="81">
        <f>'September 24'!AR35</f>
        <v>17</v>
      </c>
      <c r="C37" s="68"/>
      <c r="F37" s="68"/>
      <c r="G37" s="68"/>
    </row>
    <row r="38" spans="1:7" x14ac:dyDescent="0.3">
      <c r="A38" s="83"/>
      <c r="B38" s="81">
        <f>'September 24'!AS35</f>
        <v>9</v>
      </c>
      <c r="C38" s="68"/>
      <c r="F38" s="68"/>
      <c r="G38" s="68"/>
    </row>
    <row r="39" spans="1:7" ht="15" thickBot="1" x14ac:dyDescent="0.35">
      <c r="A39" s="94"/>
      <c r="B39" s="89">
        <f>'September 24'!AT35</f>
        <v>1.8888888888888888</v>
      </c>
      <c r="C39" s="68"/>
      <c r="F39" s="68"/>
      <c r="G39" s="68"/>
    </row>
    <row r="40" spans="1:7" x14ac:dyDescent="0.3">
      <c r="F40" s="68"/>
      <c r="G40" s="6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27B8-EFA9-466B-8C73-3CF503D71765}">
  <dimension ref="A1:CP125"/>
  <sheetViews>
    <sheetView workbookViewId="0">
      <pane xSplit="9" ySplit="11" topLeftCell="CC29" activePane="bottomRight" state="frozen"/>
      <selection pane="topRight" activeCell="J1" sqref="J1"/>
      <selection pane="bottomLeft" activeCell="A12" sqref="A12"/>
      <selection pane="bottomRight" activeCell="G9" sqref="G9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customWidth="1"/>
    <col min="60" max="60" width="9.6640625" customWidth="1"/>
    <col min="61" max="61" width="11.88671875" style="2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customWidth="1"/>
    <col min="79" max="79" width="8.88671875" style="2" customWidth="1"/>
    <col min="82" max="82" width="8.88671875" style="2"/>
    <col min="85" max="85" width="8.88671875" style="2"/>
    <col min="88" max="88" width="9.33203125" style="2" customWidth="1"/>
    <col min="91" max="91" width="8.88671875" style="2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77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73"/>
      <c r="AU2" s="71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69</v>
      </c>
      <c r="AG3" s="4"/>
      <c r="AH3" s="33"/>
      <c r="AI3" s="3" t="s">
        <v>68</v>
      </c>
      <c r="AJ3" s="4"/>
      <c r="AK3" s="33"/>
      <c r="AL3" s="3" t="s">
        <v>62</v>
      </c>
      <c r="AM3" s="4"/>
      <c r="AN3" s="33"/>
      <c r="AO3" s="3" t="s">
        <v>80</v>
      </c>
      <c r="AP3" s="4"/>
      <c r="AQ3" s="33"/>
      <c r="AR3" s="47" t="s">
        <v>14</v>
      </c>
      <c r="AS3" s="47"/>
      <c r="AT3" s="49"/>
      <c r="AU3" s="46" t="s">
        <v>15</v>
      </c>
      <c r="AV3" s="47"/>
      <c r="AW3" s="48"/>
      <c r="AX3" s="47" t="s">
        <v>16</v>
      </c>
      <c r="AY3" s="47"/>
      <c r="AZ3" s="49"/>
      <c r="BA3" s="46" t="s">
        <v>63</v>
      </c>
      <c r="BB3" s="47"/>
      <c r="BC3" s="48"/>
      <c r="BD3" s="47" t="s">
        <v>63</v>
      </c>
      <c r="BE3" s="47"/>
      <c r="BF3" s="287"/>
      <c r="BG3" s="47" t="s">
        <v>17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55"/>
      <c r="CH3" s="13" t="s">
        <v>26</v>
      </c>
      <c r="CI3" s="14"/>
      <c r="CJ3" s="27"/>
      <c r="CK3" s="14" t="s">
        <v>27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53" t="s">
        <v>31</v>
      </c>
      <c r="AU4" s="50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57" t="s">
        <v>31</v>
      </c>
      <c r="CH4" s="15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45597</v>
      </c>
      <c r="B5" s="125">
        <v>50</v>
      </c>
      <c r="C5" s="126">
        <v>6</v>
      </c>
      <c r="D5" s="276">
        <f t="shared" ref="D5:D34" si="0">IF(C5=0,"-",B5/C5)</f>
        <v>8.3333333333333339</v>
      </c>
      <c r="E5" s="125">
        <v>0</v>
      </c>
      <c r="F5" s="126">
        <v>0</v>
      </c>
      <c r="G5" s="276" t="str">
        <f t="shared" ref="G5:G34" si="1">IF(F5=0,"-",E5/F5)</f>
        <v>-</v>
      </c>
      <c r="H5" s="125"/>
      <c r="I5" s="126"/>
      <c r="J5" s="276" t="str">
        <f t="shared" ref="J5:J6" si="2">IF(I5=0,"-",H5/I5)</f>
        <v>-</v>
      </c>
      <c r="K5" s="125">
        <v>17</v>
      </c>
      <c r="L5" s="126">
        <v>2</v>
      </c>
      <c r="M5" s="276">
        <f t="shared" ref="M5:M34" si="3">IF(L5=0,"-",K5/L5)</f>
        <v>8.5</v>
      </c>
      <c r="N5" s="125">
        <v>0</v>
      </c>
      <c r="O5" s="126">
        <v>0</v>
      </c>
      <c r="P5" s="276" t="str">
        <f t="shared" ref="P5:P23" si="4">IF(O5=0,"-",N5/O5)</f>
        <v>-</v>
      </c>
      <c r="Q5" s="125">
        <v>60</v>
      </c>
      <c r="R5" s="126">
        <v>10</v>
      </c>
      <c r="S5" s="276">
        <f t="shared" ref="S5:S34" si="5">IF(R5=0,"-",Q5/R5)</f>
        <v>6</v>
      </c>
      <c r="T5" s="125">
        <v>0</v>
      </c>
      <c r="U5" s="126">
        <v>0</v>
      </c>
      <c r="V5" s="276" t="str">
        <f t="shared" ref="V5:V32" si="6">IF(U5=0,"-",T5/U5)</f>
        <v>-</v>
      </c>
      <c r="W5" s="125">
        <v>0</v>
      </c>
      <c r="X5" s="126">
        <v>0</v>
      </c>
      <c r="Y5" s="276" t="str">
        <f t="shared" ref="Y5:Y6" si="7">IF(X5=0,"-",W5/X5)</f>
        <v>-</v>
      </c>
      <c r="Z5" s="125">
        <v>0</v>
      </c>
      <c r="AA5" s="126">
        <v>0</v>
      </c>
      <c r="AB5" s="276" t="str">
        <f t="shared" ref="AB5" si="8">IF(AA5=0,"-",Z5/AA5)</f>
        <v>-</v>
      </c>
      <c r="AC5" s="125">
        <v>0</v>
      </c>
      <c r="AD5" s="126">
        <v>0</v>
      </c>
      <c r="AE5" s="276" t="str">
        <f t="shared" ref="AE5" si="9">IF(AD5=0,"-",AC5/AD5)</f>
        <v>-</v>
      </c>
      <c r="AF5" s="125">
        <v>0</v>
      </c>
      <c r="AG5" s="126">
        <v>0</v>
      </c>
      <c r="AH5" s="139"/>
      <c r="AI5" s="125">
        <v>0</v>
      </c>
      <c r="AJ5" s="126">
        <v>0</v>
      </c>
      <c r="AK5" s="139"/>
      <c r="AL5" s="125">
        <v>0</v>
      </c>
      <c r="AM5" s="126">
        <v>0</v>
      </c>
      <c r="AN5" s="139"/>
      <c r="AO5" s="125">
        <v>0</v>
      </c>
      <c r="AP5" s="126">
        <v>0</v>
      </c>
      <c r="AQ5" s="139"/>
      <c r="AR5" s="279">
        <v>3</v>
      </c>
      <c r="AS5" s="126">
        <v>1</v>
      </c>
      <c r="AT5" s="276">
        <v>0</v>
      </c>
      <c r="AU5" s="279">
        <v>0</v>
      </c>
      <c r="AV5" s="126">
        <v>0</v>
      </c>
      <c r="AW5" s="276">
        <v>0</v>
      </c>
      <c r="AX5" s="279">
        <v>1</v>
      </c>
      <c r="AY5" s="126">
        <v>1</v>
      </c>
      <c r="AZ5" s="276">
        <v>0</v>
      </c>
      <c r="BA5" s="20">
        <v>0</v>
      </c>
      <c r="BB5" s="21">
        <v>0</v>
      </c>
      <c r="BC5" s="139" t="str">
        <f t="shared" ref="BC5" si="10">IF(BB5=0,"-",BA5/BB5)</f>
        <v>-</v>
      </c>
      <c r="BD5" s="20">
        <v>0</v>
      </c>
      <c r="BE5" s="21">
        <v>0</v>
      </c>
      <c r="BF5" s="139" t="str">
        <f t="shared" ref="BF5" si="11">IF(BE5=0,"-",BD5/BE5)</f>
        <v>-</v>
      </c>
      <c r="BG5" s="20">
        <v>0</v>
      </c>
      <c r="BH5" s="21">
        <v>0</v>
      </c>
      <c r="BI5" s="139" t="str">
        <f t="shared" ref="BI5" si="12">IF(BH5=0,"-",BG5/BH5)</f>
        <v>-</v>
      </c>
      <c r="BJ5" s="125">
        <v>12</v>
      </c>
      <c r="BK5" s="126">
        <v>2</v>
      </c>
      <c r="BL5" s="276">
        <f t="shared" ref="BL5:BL34" si="13">IF(BK5=0,"-",BJ5/BK5)</f>
        <v>6</v>
      </c>
      <c r="BM5" s="125">
        <v>0</v>
      </c>
      <c r="BN5" s="126">
        <v>0</v>
      </c>
      <c r="BO5" s="276" t="str">
        <f t="shared" ref="BO5:BO28" si="14">IF(BN5=0,"-",BM5/BN5)</f>
        <v>-</v>
      </c>
      <c r="BP5" s="125">
        <v>0</v>
      </c>
      <c r="BQ5" s="126">
        <v>0</v>
      </c>
      <c r="BR5" s="276" t="str">
        <f t="shared" ref="BR5" si="15">IF(BQ5=0,"-",BP5/BQ5)</f>
        <v>-</v>
      </c>
      <c r="BS5" s="125">
        <v>0</v>
      </c>
      <c r="BT5" s="126">
        <v>0</v>
      </c>
      <c r="BU5" s="276" t="str">
        <f t="shared" ref="BU5" si="16">IF(BT5=0,"-",BS5/BT5)</f>
        <v>-</v>
      </c>
      <c r="BV5" s="125">
        <v>0</v>
      </c>
      <c r="BW5" s="126">
        <v>0</v>
      </c>
      <c r="BX5" s="276" t="str">
        <f t="shared" ref="BX5:BX6" si="17">IF(BW5=0,"-",BV5/BW5)</f>
        <v>-</v>
      </c>
      <c r="BY5" s="125">
        <v>0</v>
      </c>
      <c r="BZ5" s="126">
        <v>0</v>
      </c>
      <c r="CA5" s="276" t="str">
        <f t="shared" ref="CA5:CA6" si="18">IF(BZ5=0,"-",BY5/BZ5)</f>
        <v>-</v>
      </c>
      <c r="CB5" s="125">
        <v>0</v>
      </c>
      <c r="CC5" s="126">
        <v>0</v>
      </c>
      <c r="CD5" s="276" t="str">
        <f t="shared" ref="CD5:CD6" si="19">IF(CC5=0,"-",CB5/CC5)</f>
        <v>-</v>
      </c>
      <c r="CE5" s="125">
        <v>0</v>
      </c>
      <c r="CF5" s="126">
        <v>0</v>
      </c>
      <c r="CG5" s="276" t="str">
        <f t="shared" ref="CG5:CG8" si="20">IF(CF5=0,"-",CE5/CF5)</f>
        <v>-</v>
      </c>
      <c r="CH5" s="125">
        <v>0</v>
      </c>
      <c r="CI5" s="126">
        <v>0</v>
      </c>
      <c r="CJ5" s="276" t="str">
        <f t="shared" ref="CJ5:CJ8" si="21">IF(CI5=0,"-",CH5/CI5)</f>
        <v>-</v>
      </c>
      <c r="CK5" s="125">
        <v>0</v>
      </c>
      <c r="CL5" s="126">
        <v>0</v>
      </c>
      <c r="CM5" s="276" t="str">
        <f t="shared" ref="CM5:CM8" si="22">IF(CL5=0,"-",CK5/CL5)</f>
        <v>-</v>
      </c>
      <c r="CN5" s="117">
        <f t="shared" ref="CN5:CN34" si="23">SUM(B5,E5,K5,Q5,T5,W5,Z5,AC5,AF5,AI5,AL5,AO5,AR5,AX5,BA5,BG5,BJ5,BM5,BP5,BS5,BV5,BY5,CB5,CE5,CH5,CK5)</f>
        <v>143</v>
      </c>
      <c r="CO5" s="120">
        <f t="shared" ref="CO5:CO34" si="24">C5+F5+L5+R5+U5+X5+AA5+AD5+AG5+AJ5+AS5+AV5+AY5+BB5+BE5+BH5+BK5+BN5+BQ5+BT5+CC5+CF5+CI5+CL5</f>
        <v>22</v>
      </c>
      <c r="CP5" s="147">
        <f t="shared" ref="CP5:CP35" si="25">IF(CO5=0,"",CN5/CO5)</f>
        <v>6.5</v>
      </c>
    </row>
    <row r="6" spans="1:94" ht="15" thickBot="1" x14ac:dyDescent="0.35">
      <c r="A6" s="294">
        <v>45598</v>
      </c>
      <c r="B6" s="20">
        <v>22</v>
      </c>
      <c r="C6" s="21">
        <v>4</v>
      </c>
      <c r="D6" s="139">
        <f t="shared" si="0"/>
        <v>5.5</v>
      </c>
      <c r="E6" s="20">
        <v>0</v>
      </c>
      <c r="F6" s="21">
        <v>0</v>
      </c>
      <c r="G6" s="139" t="str">
        <f t="shared" si="1"/>
        <v>-</v>
      </c>
      <c r="H6" s="20"/>
      <c r="I6" s="21"/>
      <c r="J6" s="139" t="str">
        <f t="shared" si="2"/>
        <v>-</v>
      </c>
      <c r="K6" s="125">
        <v>42</v>
      </c>
      <c r="L6" s="126">
        <v>5</v>
      </c>
      <c r="M6" s="276">
        <f t="shared" si="3"/>
        <v>8.4</v>
      </c>
      <c r="N6" s="125">
        <v>0</v>
      </c>
      <c r="O6" s="126">
        <v>0</v>
      </c>
      <c r="P6" s="276" t="str">
        <f t="shared" si="4"/>
        <v>-</v>
      </c>
      <c r="Q6" s="20">
        <v>6</v>
      </c>
      <c r="R6" s="21">
        <v>1</v>
      </c>
      <c r="S6" s="139">
        <f t="shared" si="5"/>
        <v>6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139" t="str">
        <f t="shared" si="7"/>
        <v>-</v>
      </c>
      <c r="Z6" s="20">
        <v>15</v>
      </c>
      <c r="AA6" s="21">
        <v>3</v>
      </c>
      <c r="AB6" s="278">
        <f t="shared" ref="AB6:AB34" si="26">IF(AA6=0,"-",Z6/AA6)</f>
        <v>5</v>
      </c>
      <c r="AC6" s="125">
        <v>0</v>
      </c>
      <c r="AD6" s="126">
        <v>0</v>
      </c>
      <c r="AE6" s="276" t="str">
        <f t="shared" ref="AE6" si="27">IF(AD6=0,"-",AC6/AD6)</f>
        <v>-</v>
      </c>
      <c r="AF6" s="20">
        <v>6</v>
      </c>
      <c r="AG6" s="21">
        <v>1</v>
      </c>
      <c r="AH6" s="139"/>
      <c r="AI6" s="20">
        <v>6</v>
      </c>
      <c r="AJ6" s="21">
        <v>1</v>
      </c>
      <c r="AK6" s="139"/>
      <c r="AL6" s="125">
        <v>0</v>
      </c>
      <c r="AM6" s="126">
        <v>0</v>
      </c>
      <c r="AN6" s="139"/>
      <c r="AO6" s="20">
        <v>15</v>
      </c>
      <c r="AP6" s="21">
        <v>3</v>
      </c>
      <c r="AQ6" s="139"/>
      <c r="AR6" s="20">
        <v>0</v>
      </c>
      <c r="AS6" s="21">
        <v>0</v>
      </c>
      <c r="AT6" s="139" t="str">
        <f t="shared" ref="AT6" si="28">IF(AS6=0,"-",AR6/AS6)</f>
        <v>-</v>
      </c>
      <c r="AU6" s="20">
        <v>0</v>
      </c>
      <c r="AV6" s="21">
        <v>0</v>
      </c>
      <c r="AW6" s="139" t="str">
        <f t="shared" ref="AW6" si="29">IF(AV6=0,"-",AU6/AV6)</f>
        <v>-</v>
      </c>
      <c r="AX6" s="20">
        <v>0</v>
      </c>
      <c r="AY6" s="21">
        <v>0</v>
      </c>
      <c r="AZ6" s="139" t="str">
        <f t="shared" ref="AZ6" si="30">IF(AY6=0,"-",AX6/AY6)</f>
        <v>-</v>
      </c>
      <c r="BA6" s="20">
        <v>0</v>
      </c>
      <c r="BB6" s="21">
        <v>0</v>
      </c>
      <c r="BC6" s="139" t="str">
        <f t="shared" ref="BC6" si="31">IF(BB6=0,"-",BA6/BB6)</f>
        <v>-</v>
      </c>
      <c r="BD6" s="20">
        <v>0</v>
      </c>
      <c r="BE6" s="21">
        <v>0</v>
      </c>
      <c r="BF6" s="139" t="str">
        <f t="shared" ref="BF6" si="32">IF(BE6=0,"-",BD6/BE6)</f>
        <v>-</v>
      </c>
      <c r="BG6" s="20">
        <v>0</v>
      </c>
      <c r="BH6" s="21">
        <v>0</v>
      </c>
      <c r="BI6" s="139" t="str">
        <f t="shared" ref="BI6" si="33">IF(BH6=0,"-",BG6/BH6)</f>
        <v>-</v>
      </c>
      <c r="BJ6" s="20">
        <v>19</v>
      </c>
      <c r="BK6" s="21">
        <v>3</v>
      </c>
      <c r="BL6" s="139">
        <f t="shared" si="13"/>
        <v>6.333333333333333</v>
      </c>
      <c r="BM6" s="125">
        <v>0</v>
      </c>
      <c r="BN6" s="126">
        <v>0</v>
      </c>
      <c r="BO6" s="276" t="str">
        <f t="shared" ref="BO6:BO7" si="34">IF(BN6=0,"-",BM6/BN6)</f>
        <v>-</v>
      </c>
      <c r="BP6" s="125">
        <v>0</v>
      </c>
      <c r="BQ6" s="126">
        <v>0</v>
      </c>
      <c r="BR6" s="276" t="str">
        <f t="shared" ref="BR6:BR7" si="35">IF(BQ6=0,"-",BP6/BQ6)</f>
        <v>-</v>
      </c>
      <c r="BS6" s="125">
        <v>0</v>
      </c>
      <c r="BT6" s="126">
        <v>0</v>
      </c>
      <c r="BU6" s="276" t="str">
        <f t="shared" ref="BU6:BU7" si="36">IF(BT6=0,"-",BS6/BT6)</f>
        <v>-</v>
      </c>
      <c r="BV6" s="125">
        <v>0</v>
      </c>
      <c r="BW6" s="126">
        <v>0</v>
      </c>
      <c r="BX6" s="276" t="str">
        <f t="shared" si="17"/>
        <v>-</v>
      </c>
      <c r="BY6" s="125">
        <v>0</v>
      </c>
      <c r="BZ6" s="126">
        <v>0</v>
      </c>
      <c r="CA6" s="276" t="str">
        <f t="shared" si="18"/>
        <v>-</v>
      </c>
      <c r="CB6" s="125">
        <v>0</v>
      </c>
      <c r="CC6" s="126">
        <v>0</v>
      </c>
      <c r="CD6" s="276" t="str">
        <f t="shared" si="19"/>
        <v>-</v>
      </c>
      <c r="CE6" s="125">
        <v>0</v>
      </c>
      <c r="CF6" s="126">
        <v>0</v>
      </c>
      <c r="CG6" s="276" t="str">
        <f t="shared" si="20"/>
        <v>-</v>
      </c>
      <c r="CH6" s="125">
        <v>0</v>
      </c>
      <c r="CI6" s="126">
        <v>0</v>
      </c>
      <c r="CJ6" s="276" t="str">
        <f t="shared" si="21"/>
        <v>-</v>
      </c>
      <c r="CK6" s="125">
        <v>0</v>
      </c>
      <c r="CL6" s="126">
        <v>0</v>
      </c>
      <c r="CM6" s="276" t="str">
        <f t="shared" si="22"/>
        <v>-</v>
      </c>
      <c r="CN6" s="117">
        <f t="shared" si="23"/>
        <v>131</v>
      </c>
      <c r="CO6" s="120">
        <f t="shared" si="24"/>
        <v>18</v>
      </c>
      <c r="CP6" s="147">
        <f t="shared" si="25"/>
        <v>7.2777777777777777</v>
      </c>
    </row>
    <row r="7" spans="1:94" ht="15" thickBot="1" x14ac:dyDescent="0.35">
      <c r="A7" s="294">
        <v>45599</v>
      </c>
      <c r="B7" s="20">
        <v>28</v>
      </c>
      <c r="C7" s="21">
        <v>3</v>
      </c>
      <c r="D7" s="139">
        <f t="shared" si="0"/>
        <v>9.3333333333333339</v>
      </c>
      <c r="E7" s="23">
        <v>0</v>
      </c>
      <c r="F7" s="21">
        <v>0</v>
      </c>
      <c r="G7" s="139" t="str">
        <f t="shared" si="1"/>
        <v>-</v>
      </c>
      <c r="H7" s="20"/>
      <c r="I7" s="21"/>
      <c r="J7" s="139" t="str">
        <f>IF(I7=0,"-",H7/I7)</f>
        <v>-</v>
      </c>
      <c r="K7" s="20">
        <v>0</v>
      </c>
      <c r="L7" s="21">
        <v>0</v>
      </c>
      <c r="M7" s="139" t="str">
        <f t="shared" si="3"/>
        <v>-</v>
      </c>
      <c r="N7" s="125">
        <v>0</v>
      </c>
      <c r="O7" s="126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si="5"/>
        <v>-</v>
      </c>
      <c r="T7" s="20">
        <v>0</v>
      </c>
      <c r="U7" s="21">
        <v>0</v>
      </c>
      <c r="V7" s="139" t="str">
        <f t="shared" ref="V7" si="37">IF(U7=0,"-",T7/U7)</f>
        <v>-</v>
      </c>
      <c r="W7" s="20">
        <v>0</v>
      </c>
      <c r="X7" s="21">
        <v>0</v>
      </c>
      <c r="Y7" s="278" t="str">
        <f t="shared" ref="Y7" si="38">IF(X7=0,"-",W7/X7)</f>
        <v>-</v>
      </c>
      <c r="Z7" s="20">
        <v>0</v>
      </c>
      <c r="AA7" s="21">
        <v>0</v>
      </c>
      <c r="AB7" s="278" t="str">
        <f t="shared" si="26"/>
        <v>-</v>
      </c>
      <c r="AC7" s="20">
        <v>0</v>
      </c>
      <c r="AD7" s="21">
        <v>0</v>
      </c>
      <c r="AE7" s="278" t="str">
        <f t="shared" ref="AE7" si="39">IF(AD7=0,"-",AC7/AD7)</f>
        <v>-</v>
      </c>
      <c r="AF7" s="20">
        <v>0</v>
      </c>
      <c r="AG7" s="21">
        <v>0</v>
      </c>
      <c r="AH7" s="139"/>
      <c r="AI7" s="20">
        <v>0</v>
      </c>
      <c r="AJ7" s="21">
        <v>0</v>
      </c>
      <c r="AK7" s="139" t="str">
        <f t="shared" ref="AK7:AK30" si="40">IF(AJ7=0,"-",AI7/AJ7)</f>
        <v>-</v>
      </c>
      <c r="AL7" s="20">
        <v>0</v>
      </c>
      <c r="AM7" s="21">
        <v>0</v>
      </c>
      <c r="AN7" s="139" t="str">
        <f t="shared" ref="AN7:AN34" si="41">IF(AM7=0,"-",AL7/AM7)</f>
        <v>-</v>
      </c>
      <c r="AO7" s="20">
        <v>0</v>
      </c>
      <c r="AP7" s="21">
        <v>0</v>
      </c>
      <c r="AQ7" s="139" t="str">
        <f t="shared" ref="AQ7:AQ9" si="42">IF(AP7=0,"-",AO7/AP7)</f>
        <v>-</v>
      </c>
      <c r="AR7" s="20">
        <v>0</v>
      </c>
      <c r="AS7" s="21">
        <v>0</v>
      </c>
      <c r="AT7" s="139" t="str">
        <f t="shared" ref="AT7:AT34" si="43">IF(AS7=0,"-",AR7/AS7)</f>
        <v>-</v>
      </c>
      <c r="AU7" s="20">
        <v>0</v>
      </c>
      <c r="AV7" s="21">
        <v>0</v>
      </c>
      <c r="AW7" s="139" t="str">
        <f t="shared" ref="AW7:AW8" si="44">IF(AV7=0,"-",AU7/AV7)</f>
        <v>-</v>
      </c>
      <c r="AX7" s="20">
        <v>0</v>
      </c>
      <c r="AY7" s="21">
        <v>0</v>
      </c>
      <c r="AZ7" s="139" t="str">
        <f t="shared" ref="AZ7:AZ8" si="45">IF(AY7=0,"-",AX7/AY7)</f>
        <v>-</v>
      </c>
      <c r="BA7" s="20">
        <v>0</v>
      </c>
      <c r="BB7" s="21">
        <v>0</v>
      </c>
      <c r="BC7" s="139" t="str">
        <f t="shared" ref="BC7:BC8" si="46">IF(BB7=0,"-",BA7/BB7)</f>
        <v>-</v>
      </c>
      <c r="BD7" s="20">
        <v>0</v>
      </c>
      <c r="BE7" s="21">
        <v>0</v>
      </c>
      <c r="BF7" s="139" t="str">
        <f t="shared" ref="BF7:BF8" si="47">IF(BE7=0,"-",BD7/BE7)</f>
        <v>-</v>
      </c>
      <c r="BG7" s="20">
        <v>0</v>
      </c>
      <c r="BH7" s="21">
        <v>0</v>
      </c>
      <c r="BI7" s="139" t="str">
        <f t="shared" ref="BI7:BI8" si="48">IF(BH7=0,"-",BG7/BH7)</f>
        <v>-</v>
      </c>
      <c r="BJ7" s="252">
        <v>62</v>
      </c>
      <c r="BK7" s="253">
        <v>9</v>
      </c>
      <c r="BL7" s="139">
        <f t="shared" si="13"/>
        <v>6.8888888888888893</v>
      </c>
      <c r="BM7" s="125">
        <v>0</v>
      </c>
      <c r="BN7" s="126">
        <v>0</v>
      </c>
      <c r="BO7" s="276" t="str">
        <f t="shared" si="34"/>
        <v>-</v>
      </c>
      <c r="BP7" s="125">
        <v>0</v>
      </c>
      <c r="BQ7" s="126">
        <v>0</v>
      </c>
      <c r="BR7" s="276" t="str">
        <f t="shared" si="35"/>
        <v>-</v>
      </c>
      <c r="BS7" s="125">
        <v>0</v>
      </c>
      <c r="BT7" s="126">
        <v>0</v>
      </c>
      <c r="BU7" s="276" t="str">
        <f t="shared" si="36"/>
        <v>-</v>
      </c>
      <c r="BV7" s="256">
        <v>1</v>
      </c>
      <c r="BW7" s="253">
        <v>1</v>
      </c>
      <c r="BX7" s="139">
        <f t="shared" ref="BX7:BX31" si="49">IF(BW7=0,"-",BV7/BW7)</f>
        <v>1</v>
      </c>
      <c r="BY7" s="125">
        <v>0</v>
      </c>
      <c r="BZ7" s="126">
        <v>0</v>
      </c>
      <c r="CA7" s="276" t="str">
        <f t="shared" ref="CA7:CA8" si="50">IF(BZ7=0,"-",BY7/BZ7)</f>
        <v>-</v>
      </c>
      <c r="CB7" s="125">
        <v>0</v>
      </c>
      <c r="CC7" s="126">
        <v>0</v>
      </c>
      <c r="CD7" s="276" t="str">
        <f t="shared" ref="CD7:CD8" si="51">IF(CC7=0,"-",CB7/CC7)</f>
        <v>-</v>
      </c>
      <c r="CE7" s="125">
        <v>0</v>
      </c>
      <c r="CF7" s="126">
        <v>0</v>
      </c>
      <c r="CG7" s="276" t="str">
        <f t="shared" si="20"/>
        <v>-</v>
      </c>
      <c r="CH7" s="125">
        <v>0</v>
      </c>
      <c r="CI7" s="126">
        <v>0</v>
      </c>
      <c r="CJ7" s="276" t="str">
        <f t="shared" si="21"/>
        <v>-</v>
      </c>
      <c r="CK7" s="125">
        <v>0</v>
      </c>
      <c r="CL7" s="126">
        <v>0</v>
      </c>
      <c r="CM7" s="276" t="str">
        <f t="shared" si="22"/>
        <v>-</v>
      </c>
      <c r="CN7" s="117">
        <f t="shared" si="23"/>
        <v>91</v>
      </c>
      <c r="CO7" s="120">
        <f t="shared" si="24"/>
        <v>12</v>
      </c>
      <c r="CP7" s="147">
        <f t="shared" si="25"/>
        <v>7.583333333333333</v>
      </c>
    </row>
    <row r="8" spans="1:94" ht="15" thickBot="1" x14ac:dyDescent="0.35">
      <c r="A8" s="294">
        <v>45600</v>
      </c>
      <c r="B8" s="20">
        <v>58</v>
      </c>
      <c r="C8" s="21">
        <v>7</v>
      </c>
      <c r="D8" s="139">
        <f t="shared" si="0"/>
        <v>8.2857142857142865</v>
      </c>
      <c r="E8" s="23">
        <v>0</v>
      </c>
      <c r="F8" s="21">
        <v>0</v>
      </c>
      <c r="G8" s="139">
        <v>0</v>
      </c>
      <c r="H8" s="20"/>
      <c r="I8" s="21"/>
      <c r="J8" s="139" t="str">
        <f t="shared" ref="J8:J29" si="52">IF(I8=0,"-",H8/I8)</f>
        <v>-</v>
      </c>
      <c r="K8" s="20">
        <v>0</v>
      </c>
      <c r="L8" s="21">
        <v>0</v>
      </c>
      <c r="M8" s="139" t="str">
        <f t="shared" si="3"/>
        <v>-</v>
      </c>
      <c r="N8" s="125">
        <v>0</v>
      </c>
      <c r="O8" s="126">
        <v>0</v>
      </c>
      <c r="P8" s="139" t="str">
        <f t="shared" si="4"/>
        <v>-</v>
      </c>
      <c r="Q8" s="20">
        <v>26</v>
      </c>
      <c r="R8" s="21">
        <v>5</v>
      </c>
      <c r="S8" s="139">
        <f t="shared" si="5"/>
        <v>5.2</v>
      </c>
      <c r="T8" s="20">
        <v>0</v>
      </c>
      <c r="U8" s="21">
        <v>0</v>
      </c>
      <c r="V8" s="139" t="str">
        <f t="shared" ref="V8" si="53">IF(U8=0,"-",T8/U8)</f>
        <v>-</v>
      </c>
      <c r="W8" s="20">
        <v>0</v>
      </c>
      <c r="X8" s="21">
        <v>0</v>
      </c>
      <c r="Y8" s="278" t="str">
        <f t="shared" ref="Y8" si="54">IF(X8=0,"-",W8/X8)</f>
        <v>-</v>
      </c>
      <c r="Z8" s="20">
        <v>20</v>
      </c>
      <c r="AA8" s="21">
        <v>4</v>
      </c>
      <c r="AB8" s="278">
        <f t="shared" si="26"/>
        <v>5</v>
      </c>
      <c r="AC8" s="20">
        <v>0</v>
      </c>
      <c r="AD8" s="21">
        <v>0</v>
      </c>
      <c r="AE8" s="278" t="str">
        <f t="shared" ref="AE8" si="55">IF(AD8=0,"-",AC8/AD8)</f>
        <v>-</v>
      </c>
      <c r="AF8" s="20">
        <v>0</v>
      </c>
      <c r="AG8" s="21">
        <v>0</v>
      </c>
      <c r="AH8" s="139"/>
      <c r="AI8" s="20">
        <v>0</v>
      </c>
      <c r="AJ8" s="21">
        <v>0</v>
      </c>
      <c r="AK8" s="139" t="str">
        <f t="shared" ref="AK8" si="56">IF(AJ8=0,"-",AI8/AJ8)</f>
        <v>-</v>
      </c>
      <c r="AL8" s="20">
        <v>0</v>
      </c>
      <c r="AM8" s="21">
        <v>0</v>
      </c>
      <c r="AN8" s="139" t="str">
        <f t="shared" ref="AN8" si="57">IF(AM8=0,"-",AL8/AM8)</f>
        <v>-</v>
      </c>
      <c r="AO8" s="20">
        <v>0</v>
      </c>
      <c r="AP8" s="21">
        <v>0</v>
      </c>
      <c r="AQ8" s="139" t="str">
        <f t="shared" ref="AQ8" si="58">IF(AP8=0,"-",AO8/AP8)</f>
        <v>-</v>
      </c>
      <c r="AR8" s="20">
        <v>0</v>
      </c>
      <c r="AS8" s="21">
        <v>0</v>
      </c>
      <c r="AT8" s="139" t="str">
        <f t="shared" si="43"/>
        <v>-</v>
      </c>
      <c r="AU8" s="20">
        <v>0</v>
      </c>
      <c r="AV8" s="21">
        <v>0</v>
      </c>
      <c r="AW8" s="139" t="str">
        <f t="shared" si="44"/>
        <v>-</v>
      </c>
      <c r="AX8" s="20">
        <v>0</v>
      </c>
      <c r="AY8" s="21">
        <v>0</v>
      </c>
      <c r="AZ8" s="139" t="str">
        <f t="shared" si="45"/>
        <v>-</v>
      </c>
      <c r="BA8" s="20">
        <v>0</v>
      </c>
      <c r="BB8" s="21">
        <v>0</v>
      </c>
      <c r="BC8" s="139" t="str">
        <f t="shared" si="46"/>
        <v>-</v>
      </c>
      <c r="BD8" s="20">
        <v>0</v>
      </c>
      <c r="BE8" s="21">
        <v>0</v>
      </c>
      <c r="BF8" s="139" t="str">
        <f t="shared" si="47"/>
        <v>-</v>
      </c>
      <c r="BG8" s="20">
        <v>0</v>
      </c>
      <c r="BH8" s="21">
        <v>0</v>
      </c>
      <c r="BI8" s="139" t="str">
        <f t="shared" si="48"/>
        <v>-</v>
      </c>
      <c r="BJ8" s="252">
        <v>51</v>
      </c>
      <c r="BK8" s="253">
        <v>8</v>
      </c>
      <c r="BL8" s="139">
        <f t="shared" si="13"/>
        <v>6.375</v>
      </c>
      <c r="BM8" s="125">
        <v>0</v>
      </c>
      <c r="BN8" s="126">
        <v>0</v>
      </c>
      <c r="BO8" s="276" t="str">
        <f t="shared" ref="BO8" si="59">IF(BN8=0,"-",BM8/BN8)</f>
        <v>-</v>
      </c>
      <c r="BP8" s="125">
        <v>0</v>
      </c>
      <c r="BQ8" s="126">
        <v>0</v>
      </c>
      <c r="BR8" s="276" t="str">
        <f t="shared" ref="BR8" si="60">IF(BQ8=0,"-",BP8/BQ8)</f>
        <v>-</v>
      </c>
      <c r="BS8" s="256">
        <v>6</v>
      </c>
      <c r="BT8" s="253">
        <v>1</v>
      </c>
      <c r="BU8" s="139">
        <f t="shared" ref="BU8:BU13" si="61">IF(BT8=0,"-",BS8/BT8)</f>
        <v>6</v>
      </c>
      <c r="BV8" s="256">
        <v>3</v>
      </c>
      <c r="BW8" s="253">
        <v>1</v>
      </c>
      <c r="BX8" s="139">
        <f t="shared" ref="BX8:BX9" si="62">IF(BW8=0,"-",BV8/BW8)</f>
        <v>3</v>
      </c>
      <c r="BY8" s="125">
        <v>0</v>
      </c>
      <c r="BZ8" s="126">
        <v>0</v>
      </c>
      <c r="CA8" s="276" t="str">
        <f t="shared" si="50"/>
        <v>-</v>
      </c>
      <c r="CB8" s="125">
        <v>0</v>
      </c>
      <c r="CC8" s="126">
        <v>0</v>
      </c>
      <c r="CD8" s="276" t="str">
        <f t="shared" si="51"/>
        <v>-</v>
      </c>
      <c r="CE8" s="125">
        <v>0</v>
      </c>
      <c r="CF8" s="126">
        <v>0</v>
      </c>
      <c r="CG8" s="276" t="str">
        <f t="shared" si="20"/>
        <v>-</v>
      </c>
      <c r="CH8" s="125">
        <v>0</v>
      </c>
      <c r="CI8" s="126">
        <v>0</v>
      </c>
      <c r="CJ8" s="276" t="str">
        <f t="shared" si="21"/>
        <v>-</v>
      </c>
      <c r="CK8" s="125">
        <v>0</v>
      </c>
      <c r="CL8" s="126">
        <v>0</v>
      </c>
      <c r="CM8" s="276" t="str">
        <f t="shared" si="22"/>
        <v>-</v>
      </c>
      <c r="CN8" s="117">
        <f t="shared" si="23"/>
        <v>164</v>
      </c>
      <c r="CO8" s="120">
        <f t="shared" si="24"/>
        <v>25</v>
      </c>
      <c r="CP8" s="147">
        <f t="shared" si="25"/>
        <v>6.56</v>
      </c>
    </row>
    <row r="9" spans="1:94" ht="15" thickBot="1" x14ac:dyDescent="0.35">
      <c r="A9" s="294">
        <v>45601</v>
      </c>
      <c r="B9" s="20">
        <v>54</v>
      </c>
      <c r="C9" s="21">
        <v>8</v>
      </c>
      <c r="D9" s="139">
        <f t="shared" si="0"/>
        <v>6.75</v>
      </c>
      <c r="E9" s="23">
        <v>0</v>
      </c>
      <c r="F9" s="21">
        <v>0</v>
      </c>
      <c r="G9" s="139" t="str">
        <f t="shared" ref="G9:G12" si="63">IF(F9=0,"-",E9/F9)</f>
        <v>-</v>
      </c>
      <c r="H9" s="20"/>
      <c r="I9" s="21"/>
      <c r="J9" s="139" t="str">
        <f t="shared" si="52"/>
        <v>-</v>
      </c>
      <c r="K9" s="20">
        <v>36</v>
      </c>
      <c r="L9" s="21">
        <v>6</v>
      </c>
      <c r="M9" s="139">
        <f t="shared" si="3"/>
        <v>6</v>
      </c>
      <c r="N9" s="125">
        <v>0</v>
      </c>
      <c r="O9" s="126">
        <v>0</v>
      </c>
      <c r="P9" s="139" t="str">
        <f t="shared" si="4"/>
        <v>-</v>
      </c>
      <c r="Q9" s="20">
        <v>30</v>
      </c>
      <c r="R9" s="21">
        <v>17</v>
      </c>
      <c r="S9" s="139">
        <f t="shared" si="5"/>
        <v>1.7647058823529411</v>
      </c>
      <c r="T9" s="20">
        <v>0</v>
      </c>
      <c r="U9" s="21">
        <v>0</v>
      </c>
      <c r="V9" s="139" t="str">
        <f t="shared" ref="V9" si="64">IF(U9=0,"-",T9/U9)</f>
        <v>-</v>
      </c>
      <c r="W9" s="20">
        <v>0</v>
      </c>
      <c r="X9" s="21">
        <v>0</v>
      </c>
      <c r="Y9" s="278" t="str">
        <f t="shared" ref="Y9" si="65">IF(X9=0,"-",W9/X9)</f>
        <v>-</v>
      </c>
      <c r="Z9" s="20">
        <v>0</v>
      </c>
      <c r="AA9" s="21">
        <v>0</v>
      </c>
      <c r="AB9" s="278" t="str">
        <f t="shared" si="26"/>
        <v>-</v>
      </c>
      <c r="AC9" s="20">
        <v>6</v>
      </c>
      <c r="AD9" s="21">
        <v>0</v>
      </c>
      <c r="AE9" s="278" t="str">
        <f t="shared" ref="AE9:AE32" si="66">IF(AD9=0,"-",AC9/AD9)</f>
        <v>-</v>
      </c>
      <c r="AF9" s="20">
        <v>0</v>
      </c>
      <c r="AG9" s="21">
        <v>0</v>
      </c>
      <c r="AH9" s="139" t="str">
        <f t="shared" ref="AH9:AH28" si="67">IF(AG9=0,"-",AF9/AG9)</f>
        <v>-</v>
      </c>
      <c r="AI9" s="20">
        <v>0</v>
      </c>
      <c r="AJ9" s="21">
        <v>0</v>
      </c>
      <c r="AK9" s="139" t="str">
        <f t="shared" si="40"/>
        <v>-</v>
      </c>
      <c r="AL9" s="20">
        <v>0</v>
      </c>
      <c r="AM9" s="21">
        <v>0</v>
      </c>
      <c r="AN9" s="139" t="str">
        <f t="shared" si="41"/>
        <v>-</v>
      </c>
      <c r="AO9" s="20">
        <v>0</v>
      </c>
      <c r="AP9" s="21">
        <v>0</v>
      </c>
      <c r="AQ9" s="139" t="str">
        <f t="shared" si="42"/>
        <v>-</v>
      </c>
      <c r="AR9" s="20">
        <v>0</v>
      </c>
      <c r="AS9" s="21">
        <v>0</v>
      </c>
      <c r="AT9" s="139" t="str">
        <f t="shared" ref="AT9" si="68">IF(AS9=0,"-",AR9/AS9)</f>
        <v>-</v>
      </c>
      <c r="AU9" s="20">
        <v>0</v>
      </c>
      <c r="AV9" s="21">
        <v>0</v>
      </c>
      <c r="AW9" s="139" t="str">
        <f t="shared" ref="AW9" si="69">IF(AV9=0,"-",AU9/AV9)</f>
        <v>-</v>
      </c>
      <c r="AX9" s="20">
        <v>0</v>
      </c>
      <c r="AY9" s="21">
        <v>0</v>
      </c>
      <c r="AZ9" s="139" t="str">
        <f t="shared" ref="AZ9" si="70">IF(AY9=0,"-",AX9/AY9)</f>
        <v>-</v>
      </c>
      <c r="BA9" s="20">
        <v>0</v>
      </c>
      <c r="BB9" s="21">
        <v>0</v>
      </c>
      <c r="BC9" s="139" t="str">
        <f t="shared" ref="BC9" si="71">IF(BB9=0,"-",BA9/BB9)</f>
        <v>-</v>
      </c>
      <c r="BD9" s="20">
        <v>0</v>
      </c>
      <c r="BE9" s="21">
        <v>0</v>
      </c>
      <c r="BF9" s="139" t="str">
        <f t="shared" ref="BF9" si="72">IF(BE9=0,"-",BD9/BE9)</f>
        <v>-</v>
      </c>
      <c r="BG9" s="20">
        <v>0</v>
      </c>
      <c r="BH9" s="21">
        <v>0</v>
      </c>
      <c r="BI9" s="139" t="str">
        <f t="shared" ref="BI9" si="73">IF(BH9=0,"-",BG9/BH9)</f>
        <v>-</v>
      </c>
      <c r="BJ9" s="252">
        <v>21</v>
      </c>
      <c r="BK9" s="253">
        <v>3</v>
      </c>
      <c r="BL9" s="139">
        <f>IF(BK9=0,"-",BJ9/BK9)</f>
        <v>7</v>
      </c>
      <c r="BM9" s="125">
        <v>0</v>
      </c>
      <c r="BN9" s="126">
        <v>0</v>
      </c>
      <c r="BO9" s="276" t="str">
        <f t="shared" ref="BO9" si="74">IF(BN9=0,"-",BM9/BN9)</f>
        <v>-</v>
      </c>
      <c r="BP9" s="125">
        <v>0</v>
      </c>
      <c r="BQ9" s="126">
        <v>0</v>
      </c>
      <c r="BR9" s="276" t="str">
        <f t="shared" ref="BR9" si="75">IF(BQ9=0,"-",BP9/BQ9)</f>
        <v>-</v>
      </c>
      <c r="BS9" s="125">
        <v>0</v>
      </c>
      <c r="BT9" s="126">
        <v>0</v>
      </c>
      <c r="BU9" s="276" t="str">
        <f t="shared" si="61"/>
        <v>-</v>
      </c>
      <c r="BV9" s="256">
        <v>0</v>
      </c>
      <c r="BW9" s="253">
        <v>0</v>
      </c>
      <c r="BX9" s="139" t="str">
        <f t="shared" si="62"/>
        <v>-</v>
      </c>
      <c r="BY9" s="256">
        <v>0</v>
      </c>
      <c r="BZ9" s="253">
        <v>0</v>
      </c>
      <c r="CA9" s="139" t="str">
        <f t="shared" ref="CA9" si="76">IF(BZ9=0,"-",BY9/BZ9)</f>
        <v>-</v>
      </c>
      <c r="CB9" s="256">
        <v>2</v>
      </c>
      <c r="CC9" s="253">
        <v>1</v>
      </c>
      <c r="CD9" s="139">
        <f t="shared" ref="CD9:CD17" si="77">IF(CC9=0,"-",CB9/CC9)</f>
        <v>2</v>
      </c>
      <c r="CE9" s="125">
        <v>0</v>
      </c>
      <c r="CF9" s="126">
        <v>0</v>
      </c>
      <c r="CG9" s="276" t="str">
        <f t="shared" ref="CG9" si="78">IF(CF9=0,"-",CE9/CF9)</f>
        <v>-</v>
      </c>
      <c r="CH9" s="125">
        <v>0</v>
      </c>
      <c r="CI9" s="126">
        <v>0</v>
      </c>
      <c r="CJ9" s="276" t="str">
        <f t="shared" ref="CJ9" si="79">IF(CI9=0,"-",CH9/CI9)</f>
        <v>-</v>
      </c>
      <c r="CK9" s="125">
        <v>0</v>
      </c>
      <c r="CL9" s="126">
        <v>0</v>
      </c>
      <c r="CM9" s="276" t="str">
        <f t="shared" ref="CM9" si="80">IF(CL9=0,"-",CK9/CL9)</f>
        <v>-</v>
      </c>
      <c r="CN9" s="117">
        <f t="shared" si="23"/>
        <v>149</v>
      </c>
      <c r="CO9" s="120">
        <f t="shared" si="24"/>
        <v>35</v>
      </c>
      <c r="CP9" s="147">
        <f t="shared" si="25"/>
        <v>4.2571428571428571</v>
      </c>
    </row>
    <row r="10" spans="1:94" ht="15" thickBot="1" x14ac:dyDescent="0.35">
      <c r="A10" s="294">
        <v>45602</v>
      </c>
      <c r="B10" s="20">
        <v>51</v>
      </c>
      <c r="C10" s="21">
        <v>6</v>
      </c>
      <c r="D10" s="139">
        <f t="shared" si="0"/>
        <v>8.5</v>
      </c>
      <c r="E10" s="23">
        <v>6</v>
      </c>
      <c r="F10" s="21">
        <v>1</v>
      </c>
      <c r="G10" s="139">
        <f t="shared" si="63"/>
        <v>6</v>
      </c>
      <c r="H10" s="20"/>
      <c r="I10" s="21"/>
      <c r="J10" s="139" t="str">
        <f t="shared" si="52"/>
        <v>-</v>
      </c>
      <c r="K10" s="20">
        <v>25</v>
      </c>
      <c r="L10" s="21">
        <v>3</v>
      </c>
      <c r="M10" s="139">
        <f t="shared" si="3"/>
        <v>8.3333333333333339</v>
      </c>
      <c r="N10" s="125">
        <v>0</v>
      </c>
      <c r="O10" s="126">
        <v>0</v>
      </c>
      <c r="P10" s="139" t="str">
        <f t="shared" si="4"/>
        <v>-</v>
      </c>
      <c r="Q10" s="20">
        <v>107</v>
      </c>
      <c r="R10" s="21">
        <v>33</v>
      </c>
      <c r="S10" s="139">
        <f t="shared" si="5"/>
        <v>3.2424242424242422</v>
      </c>
      <c r="T10" s="20">
        <v>0</v>
      </c>
      <c r="U10" s="21">
        <v>0</v>
      </c>
      <c r="V10" s="139" t="str">
        <f t="shared" ref="V10" si="81">IF(U10=0,"-",T10/U10)</f>
        <v>-</v>
      </c>
      <c r="W10" s="20">
        <v>0</v>
      </c>
      <c r="X10" s="21">
        <v>0</v>
      </c>
      <c r="Y10" s="278" t="str">
        <f t="shared" ref="Y10" si="82">IF(X10=0,"-",W10/X10)</f>
        <v>-</v>
      </c>
      <c r="Z10" s="20">
        <v>0</v>
      </c>
      <c r="AA10" s="21">
        <v>0</v>
      </c>
      <c r="AB10" s="278" t="str">
        <f t="shared" ref="AB10" si="83">IF(AA10=0,"-",Z10/AA10)</f>
        <v>-</v>
      </c>
      <c r="AC10" s="20">
        <v>0</v>
      </c>
      <c r="AD10" s="21">
        <v>0</v>
      </c>
      <c r="AE10" s="278" t="str">
        <f t="shared" si="66"/>
        <v>-</v>
      </c>
      <c r="AF10" s="20">
        <v>0</v>
      </c>
      <c r="AG10" s="21">
        <v>0</v>
      </c>
      <c r="AH10" s="139" t="str">
        <f t="shared" ref="AH10" si="84">IF(AG10=0,"-",AF10/AG10)</f>
        <v>-</v>
      </c>
      <c r="AI10" s="20">
        <v>0</v>
      </c>
      <c r="AJ10" s="21">
        <v>0</v>
      </c>
      <c r="AK10" s="139" t="str">
        <f t="shared" ref="AK10" si="85">IF(AJ10=0,"-",AI10/AJ10)</f>
        <v>-</v>
      </c>
      <c r="AL10" s="20">
        <v>0</v>
      </c>
      <c r="AM10" s="21">
        <v>0</v>
      </c>
      <c r="AN10" s="139" t="str">
        <f t="shared" ref="AN10" si="86">IF(AM10=0,"-",AL10/AM10)</f>
        <v>-</v>
      </c>
      <c r="AO10" s="20">
        <v>0</v>
      </c>
      <c r="AP10" s="21">
        <v>0</v>
      </c>
      <c r="AQ10" s="139" t="str">
        <f t="shared" ref="AQ10" si="87">IF(AP10=0,"-",AO10/AP10)</f>
        <v>-</v>
      </c>
      <c r="AR10" s="20">
        <v>0</v>
      </c>
      <c r="AS10" s="21">
        <v>0</v>
      </c>
      <c r="AT10" s="139" t="str">
        <f t="shared" ref="AT10" si="88">IF(AS10=0,"-",AR10/AS10)</f>
        <v>-</v>
      </c>
      <c r="AU10" s="20">
        <v>0</v>
      </c>
      <c r="AV10" s="21">
        <v>0</v>
      </c>
      <c r="AW10" s="139" t="str">
        <f t="shared" ref="AW10:AW11" si="89">IF(AV10=0,"-",AU10/AV10)</f>
        <v>-</v>
      </c>
      <c r="AX10" s="20">
        <v>2</v>
      </c>
      <c r="AY10" s="21">
        <v>1</v>
      </c>
      <c r="AZ10" s="139">
        <f t="shared" ref="AZ10:AZ11" si="90">IF(AY10=0,"-",AX10/AY10)</f>
        <v>2</v>
      </c>
      <c r="BA10" s="20">
        <v>0</v>
      </c>
      <c r="BB10" s="21">
        <v>0</v>
      </c>
      <c r="BC10" s="276" t="str">
        <f t="shared" ref="BC10:BC11" si="91">IF(BB10=0,"-",BA10/BB10)</f>
        <v>-</v>
      </c>
      <c r="BD10" s="20">
        <v>0</v>
      </c>
      <c r="BE10" s="21">
        <v>0</v>
      </c>
      <c r="BF10" s="139" t="str">
        <f t="shared" ref="BF10:BF11" si="92">IF(BE10=0,"-",BD10/BE10)</f>
        <v>-</v>
      </c>
      <c r="BG10" s="20">
        <v>0</v>
      </c>
      <c r="BH10" s="21">
        <v>0</v>
      </c>
      <c r="BI10" s="139" t="str">
        <f t="shared" ref="BI10:BI11" si="93">IF(BH10=0,"-",BG10/BH10)</f>
        <v>-</v>
      </c>
      <c r="BJ10" s="252">
        <v>0</v>
      </c>
      <c r="BK10" s="253">
        <v>0</v>
      </c>
      <c r="BL10" s="139" t="str">
        <f>IF(BK10=0,"-",BJ10/BK10)</f>
        <v>-</v>
      </c>
      <c r="BM10" s="125">
        <v>0</v>
      </c>
      <c r="BN10" s="126">
        <v>0</v>
      </c>
      <c r="BO10" s="276" t="str">
        <f t="shared" ref="BO10" si="94">IF(BN10=0,"-",BM10/BN10)</f>
        <v>-</v>
      </c>
      <c r="BP10" s="20">
        <v>0</v>
      </c>
      <c r="BQ10" s="21">
        <v>0</v>
      </c>
      <c r="BR10" s="139" t="str">
        <f t="shared" ref="BR10" si="95">IF(BQ10=0,"-",BP10/BQ10)</f>
        <v>-</v>
      </c>
      <c r="BS10" s="256">
        <v>6</v>
      </c>
      <c r="BT10" s="253">
        <v>1</v>
      </c>
      <c r="BU10" s="139">
        <f t="shared" si="61"/>
        <v>6</v>
      </c>
      <c r="BV10" s="20">
        <v>0</v>
      </c>
      <c r="BW10" s="21">
        <v>0</v>
      </c>
      <c r="BX10" s="139" t="str">
        <f t="shared" si="49"/>
        <v>-</v>
      </c>
      <c r="BY10" s="20">
        <v>0</v>
      </c>
      <c r="BZ10" s="21">
        <v>0</v>
      </c>
      <c r="CA10" s="139" t="str">
        <f t="shared" ref="CA10" si="96">IF(BZ10=0,"-",BY10/BZ10)</f>
        <v>-</v>
      </c>
      <c r="CB10" s="20">
        <v>0</v>
      </c>
      <c r="CC10" s="21">
        <v>0</v>
      </c>
      <c r="CD10" s="139" t="str">
        <f t="shared" si="77"/>
        <v>-</v>
      </c>
      <c r="CE10" s="20">
        <v>0</v>
      </c>
      <c r="CF10" s="21">
        <v>0</v>
      </c>
      <c r="CG10" s="139" t="str">
        <f t="shared" ref="CG10:CG28" si="97">IF(CF10=0,"-",CE10/CF10)</f>
        <v>-</v>
      </c>
      <c r="CH10" s="20">
        <v>0</v>
      </c>
      <c r="CI10" s="21">
        <v>0</v>
      </c>
      <c r="CJ10" s="139" t="str">
        <f t="shared" ref="CJ10:CJ28" si="98">IF(CI10=0,"-",CH10/CI10)</f>
        <v>-</v>
      </c>
      <c r="CK10" s="20">
        <v>0</v>
      </c>
      <c r="CL10" s="21">
        <v>0</v>
      </c>
      <c r="CM10" s="139" t="str">
        <f t="shared" ref="CM10:CM28" si="99">IF(CL10=0,"-",CK10/CL10)</f>
        <v>-</v>
      </c>
      <c r="CN10" s="117">
        <f t="shared" si="23"/>
        <v>197</v>
      </c>
      <c r="CO10" s="120">
        <f t="shared" si="24"/>
        <v>45</v>
      </c>
      <c r="CP10" s="147">
        <f t="shared" si="25"/>
        <v>4.3777777777777782</v>
      </c>
    </row>
    <row r="11" spans="1:94" ht="15" thickBot="1" x14ac:dyDescent="0.35">
      <c r="A11" s="294">
        <v>45603</v>
      </c>
      <c r="B11" s="20">
        <v>25</v>
      </c>
      <c r="C11" s="21">
        <v>3</v>
      </c>
      <c r="D11" s="139">
        <f t="shared" si="0"/>
        <v>8.3333333333333339</v>
      </c>
      <c r="E11" s="23">
        <v>13</v>
      </c>
      <c r="F11" s="21">
        <v>2</v>
      </c>
      <c r="G11" s="139">
        <f t="shared" si="63"/>
        <v>6.5</v>
      </c>
      <c r="H11" s="20"/>
      <c r="I11" s="21"/>
      <c r="J11" s="139" t="str">
        <f t="shared" si="52"/>
        <v>-</v>
      </c>
      <c r="K11" s="20">
        <v>23</v>
      </c>
      <c r="L11" s="21">
        <v>3</v>
      </c>
      <c r="M11" s="139">
        <f t="shared" si="3"/>
        <v>7.666666666666667</v>
      </c>
      <c r="N11" s="125">
        <v>0</v>
      </c>
      <c r="O11" s="126">
        <v>0</v>
      </c>
      <c r="P11" s="139" t="str">
        <f t="shared" si="4"/>
        <v>-</v>
      </c>
      <c r="Q11" s="20">
        <v>78</v>
      </c>
      <c r="R11" s="21">
        <v>22</v>
      </c>
      <c r="S11" s="139">
        <f t="shared" si="5"/>
        <v>3.5454545454545454</v>
      </c>
      <c r="T11" s="20">
        <v>0</v>
      </c>
      <c r="U11" s="21">
        <v>0</v>
      </c>
      <c r="V11" s="139" t="str">
        <f t="shared" ref="V11" si="100">IF(U11=0,"-",T11/U11)</f>
        <v>-</v>
      </c>
      <c r="W11" s="20">
        <v>0</v>
      </c>
      <c r="X11" s="21">
        <v>0</v>
      </c>
      <c r="Y11" s="278" t="str">
        <f t="shared" ref="Y11" si="101">IF(X11=0,"-",W11/X11)</f>
        <v>-</v>
      </c>
      <c r="Z11" s="20">
        <v>0</v>
      </c>
      <c r="AA11" s="21">
        <v>0</v>
      </c>
      <c r="AB11" s="278" t="str">
        <f t="shared" ref="AB11" si="102">IF(AA11=0,"-",Z11/AA11)</f>
        <v>-</v>
      </c>
      <c r="AC11" s="20">
        <v>0</v>
      </c>
      <c r="AD11" s="21">
        <v>0</v>
      </c>
      <c r="AE11" s="278" t="str">
        <f t="shared" ref="AE11" si="103">IF(AD11=0,"-",AC11/AD11)</f>
        <v>-</v>
      </c>
      <c r="AF11" s="20">
        <v>0</v>
      </c>
      <c r="AG11" s="21">
        <v>0</v>
      </c>
      <c r="AH11" s="139" t="str">
        <f t="shared" ref="AH11" si="104">IF(AG11=0,"-",AF11/AG11)</f>
        <v>-</v>
      </c>
      <c r="AI11" s="20">
        <v>0</v>
      </c>
      <c r="AJ11" s="21">
        <v>0</v>
      </c>
      <c r="AK11" s="139" t="str">
        <f t="shared" ref="AK11" si="105">IF(AJ11=0,"-",AI11/AJ11)</f>
        <v>-</v>
      </c>
      <c r="AL11" s="20">
        <v>0</v>
      </c>
      <c r="AM11" s="21">
        <v>0</v>
      </c>
      <c r="AN11" s="139" t="str">
        <f t="shared" ref="AN11" si="106">IF(AM11=0,"-",AL11/AM11)</f>
        <v>-</v>
      </c>
      <c r="AO11" s="20">
        <v>0</v>
      </c>
      <c r="AP11" s="21">
        <v>0</v>
      </c>
      <c r="AQ11" s="139" t="str">
        <f t="shared" ref="AQ11" si="107">IF(AP11=0,"-",AO11/AP11)</f>
        <v>-</v>
      </c>
      <c r="AR11" s="20">
        <v>0</v>
      </c>
      <c r="AS11" s="21">
        <v>0</v>
      </c>
      <c r="AT11" s="139" t="str">
        <f t="shared" ref="AT11" si="108">IF(AS11=0,"-",AR11/AS11)</f>
        <v>-</v>
      </c>
      <c r="AU11" s="20">
        <v>0</v>
      </c>
      <c r="AV11" s="21">
        <v>0</v>
      </c>
      <c r="AW11" s="139" t="str">
        <f t="shared" si="89"/>
        <v>-</v>
      </c>
      <c r="AX11" s="20">
        <v>0</v>
      </c>
      <c r="AY11" s="21">
        <v>0</v>
      </c>
      <c r="AZ11" s="139" t="str">
        <f t="shared" si="90"/>
        <v>-</v>
      </c>
      <c r="BA11" s="20">
        <v>0</v>
      </c>
      <c r="BB11" s="21">
        <v>0</v>
      </c>
      <c r="BC11" s="139" t="str">
        <f t="shared" si="91"/>
        <v>-</v>
      </c>
      <c r="BD11" s="20">
        <v>0</v>
      </c>
      <c r="BE11" s="21">
        <v>0</v>
      </c>
      <c r="BF11" s="139" t="str">
        <f t="shared" si="92"/>
        <v>-</v>
      </c>
      <c r="BG11" s="20">
        <v>0</v>
      </c>
      <c r="BH11" s="21">
        <v>0</v>
      </c>
      <c r="BI11" s="139" t="str">
        <f t="shared" si="93"/>
        <v>-</v>
      </c>
      <c r="BJ11" s="252">
        <v>13</v>
      </c>
      <c r="BK11" s="253">
        <v>3</v>
      </c>
      <c r="BL11" s="139">
        <f t="shared" ref="BL11:BL15" si="109">IF(BK11=0,"-",BJ11/BK11)</f>
        <v>4.333333333333333</v>
      </c>
      <c r="BM11" s="125">
        <v>0</v>
      </c>
      <c r="BN11" s="126">
        <v>0</v>
      </c>
      <c r="BO11" s="276" t="str">
        <f t="shared" ref="BO11:BO14" si="110">IF(BN11=0,"-",BM11/BN11)</f>
        <v>-</v>
      </c>
      <c r="BP11" s="20">
        <v>0</v>
      </c>
      <c r="BQ11" s="21">
        <v>0</v>
      </c>
      <c r="BR11" s="139" t="str">
        <f t="shared" ref="BR11:BR14" si="111">IF(BQ11=0,"-",BP11/BQ11)</f>
        <v>-</v>
      </c>
      <c r="BS11" s="20">
        <v>0</v>
      </c>
      <c r="BT11" s="21">
        <v>0</v>
      </c>
      <c r="BU11" s="139" t="str">
        <f t="shared" si="61"/>
        <v>-</v>
      </c>
      <c r="BV11" s="20">
        <v>0</v>
      </c>
      <c r="BW11" s="21">
        <v>0</v>
      </c>
      <c r="BX11" s="139" t="str">
        <f t="shared" ref="BX11" si="112">IF(BW11=0,"-",BV11/BW11)</f>
        <v>-</v>
      </c>
      <c r="BY11" s="20">
        <v>0</v>
      </c>
      <c r="BZ11" s="21">
        <v>0</v>
      </c>
      <c r="CA11" s="139" t="str">
        <f t="shared" ref="CA11" si="113">IF(BZ11=0,"-",BY11/BZ11)</f>
        <v>-</v>
      </c>
      <c r="CB11" s="20">
        <v>0</v>
      </c>
      <c r="CC11" s="21">
        <v>0</v>
      </c>
      <c r="CD11" s="139" t="str">
        <f t="shared" ref="CD11" si="114">IF(CC11=0,"-",CB11/CC11)</f>
        <v>-</v>
      </c>
      <c r="CE11" s="20">
        <v>0</v>
      </c>
      <c r="CF11" s="21">
        <v>0</v>
      </c>
      <c r="CG11" s="139" t="str">
        <f t="shared" ref="CG11:CG13" si="115">IF(CF11=0,"-",CE11/CF11)</f>
        <v>-</v>
      </c>
      <c r="CH11" s="20">
        <v>0</v>
      </c>
      <c r="CI11" s="21">
        <v>0</v>
      </c>
      <c r="CJ11" s="139" t="str">
        <f t="shared" ref="CJ11:CJ13" si="116">IF(CI11=0,"-",CH11/CI11)</f>
        <v>-</v>
      </c>
      <c r="CK11" s="20">
        <v>0</v>
      </c>
      <c r="CL11" s="21">
        <v>0</v>
      </c>
      <c r="CM11" s="139" t="str">
        <f t="shared" ref="CM11:CM13" si="117">IF(CL11=0,"-",CK11/CL11)</f>
        <v>-</v>
      </c>
      <c r="CN11" s="117">
        <f t="shared" si="23"/>
        <v>152</v>
      </c>
      <c r="CO11" s="120">
        <f t="shared" si="24"/>
        <v>33</v>
      </c>
      <c r="CP11" s="147">
        <f t="shared" si="25"/>
        <v>4.6060606060606064</v>
      </c>
    </row>
    <row r="12" spans="1:94" ht="16.2" customHeight="1" thickBot="1" x14ac:dyDescent="0.35">
      <c r="A12" s="294">
        <v>45604</v>
      </c>
      <c r="B12" s="20">
        <v>29</v>
      </c>
      <c r="C12" s="21">
        <v>4</v>
      </c>
      <c r="D12" s="139">
        <f t="shared" si="0"/>
        <v>7.25</v>
      </c>
      <c r="E12" s="23">
        <v>0</v>
      </c>
      <c r="F12" s="21">
        <v>0</v>
      </c>
      <c r="G12" s="139" t="str">
        <f t="shared" si="63"/>
        <v>-</v>
      </c>
      <c r="H12" s="20"/>
      <c r="I12" s="21"/>
      <c r="J12" s="139" t="str">
        <f t="shared" si="52"/>
        <v>-</v>
      </c>
      <c r="K12" s="20">
        <v>16</v>
      </c>
      <c r="L12" s="21">
        <v>2</v>
      </c>
      <c r="M12" s="139">
        <f t="shared" si="3"/>
        <v>8</v>
      </c>
      <c r="N12" s="125">
        <v>0</v>
      </c>
      <c r="O12" s="126">
        <v>0</v>
      </c>
      <c r="P12" s="139" t="str">
        <f t="shared" si="4"/>
        <v>-</v>
      </c>
      <c r="Q12" s="23">
        <v>77</v>
      </c>
      <c r="R12" s="21">
        <v>25</v>
      </c>
      <c r="S12" s="139">
        <f t="shared" si="5"/>
        <v>3.08</v>
      </c>
      <c r="T12" s="20">
        <v>0</v>
      </c>
      <c r="U12" s="21">
        <v>0</v>
      </c>
      <c r="V12" s="139" t="str">
        <f t="shared" ref="V12" si="118">IF(U12=0,"-",T12/U12)</f>
        <v>-</v>
      </c>
      <c r="W12" s="20">
        <v>0</v>
      </c>
      <c r="X12" s="21">
        <v>0</v>
      </c>
      <c r="Y12" s="278" t="str">
        <f t="shared" ref="Y12" si="119">IF(X12=0,"-",W12/X12)</f>
        <v>-</v>
      </c>
      <c r="Z12" s="20">
        <v>0</v>
      </c>
      <c r="AA12" s="21">
        <v>0</v>
      </c>
      <c r="AB12" s="278" t="str">
        <f t="shared" ref="AB12" si="120">IF(AA12=0,"-",Z12/AA12)</f>
        <v>-</v>
      </c>
      <c r="AC12" s="20">
        <v>0</v>
      </c>
      <c r="AD12" s="21">
        <v>0</v>
      </c>
      <c r="AE12" s="278" t="str">
        <f t="shared" ref="AE12" si="121">IF(AD12=0,"-",AC12/AD12)</f>
        <v>-</v>
      </c>
      <c r="AF12" s="20">
        <v>0</v>
      </c>
      <c r="AG12" s="21">
        <v>0</v>
      </c>
      <c r="AH12" s="139" t="str">
        <f t="shared" ref="AH12" si="122">IF(AG12=0,"-",AF12/AG12)</f>
        <v>-</v>
      </c>
      <c r="AI12" s="20">
        <v>0</v>
      </c>
      <c r="AJ12" s="21">
        <v>0</v>
      </c>
      <c r="AK12" s="139" t="str">
        <f t="shared" ref="AK12" si="123">IF(AJ12=0,"-",AI12/AJ12)</f>
        <v>-</v>
      </c>
      <c r="AL12" s="20">
        <v>0</v>
      </c>
      <c r="AM12" s="21">
        <v>0</v>
      </c>
      <c r="AN12" s="139" t="str">
        <f t="shared" ref="AN12" si="124">IF(AM12=0,"-",AL12/AM12)</f>
        <v>-</v>
      </c>
      <c r="AO12" s="20">
        <v>0</v>
      </c>
      <c r="AP12" s="21">
        <v>0</v>
      </c>
      <c r="AQ12" s="139" t="str">
        <f t="shared" ref="AQ12" si="125">IF(AP12=0,"-",AO12/AP12)</f>
        <v>-</v>
      </c>
      <c r="AR12" s="20">
        <v>6</v>
      </c>
      <c r="AS12" s="21">
        <v>1</v>
      </c>
      <c r="AT12" s="139">
        <f t="shared" ref="AT12" si="126">IF(AS12=0,"-",AR12/AS12)</f>
        <v>6</v>
      </c>
      <c r="AU12" s="20">
        <v>0</v>
      </c>
      <c r="AV12" s="21">
        <v>0</v>
      </c>
      <c r="AW12" s="139" t="str">
        <f t="shared" ref="AW12" si="127">IF(AV12=0,"-",AU12/AV12)</f>
        <v>-</v>
      </c>
      <c r="AX12" s="20">
        <v>0</v>
      </c>
      <c r="AY12" s="21">
        <v>0</v>
      </c>
      <c r="AZ12" s="139" t="str">
        <f t="shared" ref="AZ12:AZ13" si="128">IF(AY12=0,"-",AX12/AY12)</f>
        <v>-</v>
      </c>
      <c r="BA12" s="20">
        <v>0</v>
      </c>
      <c r="BB12" s="21">
        <v>0</v>
      </c>
      <c r="BC12" s="139" t="str">
        <f t="shared" ref="BC12:BC13" si="129">IF(BB12=0,"-",BA12/BB12)</f>
        <v>-</v>
      </c>
      <c r="BD12" s="20">
        <v>0</v>
      </c>
      <c r="BE12" s="21">
        <v>0</v>
      </c>
      <c r="BF12" s="139" t="str">
        <f t="shared" ref="BF12:BF13" si="130">IF(BE12=0,"-",BD12/BE12)</f>
        <v>-</v>
      </c>
      <c r="BG12" s="20">
        <v>0</v>
      </c>
      <c r="BH12" s="21">
        <v>0</v>
      </c>
      <c r="BI12" s="139" t="str">
        <f t="shared" ref="BI12:BI13" si="131">IF(BH12=0,"-",BG12/BH12)</f>
        <v>-</v>
      </c>
      <c r="BJ12" s="252">
        <v>12</v>
      </c>
      <c r="BK12" s="253">
        <v>2</v>
      </c>
      <c r="BL12" s="139">
        <f t="shared" si="109"/>
        <v>6</v>
      </c>
      <c r="BM12" s="125">
        <v>0</v>
      </c>
      <c r="BN12" s="126">
        <v>0</v>
      </c>
      <c r="BO12" s="276" t="str">
        <f t="shared" si="110"/>
        <v>-</v>
      </c>
      <c r="BP12" s="20">
        <v>0</v>
      </c>
      <c r="BQ12" s="21">
        <v>0</v>
      </c>
      <c r="BR12" s="139" t="str">
        <f t="shared" si="111"/>
        <v>-</v>
      </c>
      <c r="BS12" s="20">
        <v>0</v>
      </c>
      <c r="BT12" s="21">
        <v>0</v>
      </c>
      <c r="BU12" s="139" t="str">
        <f t="shared" si="61"/>
        <v>-</v>
      </c>
      <c r="BV12" s="20">
        <v>3</v>
      </c>
      <c r="BW12" s="21">
        <v>1</v>
      </c>
      <c r="BX12" s="139">
        <f t="shared" si="49"/>
        <v>3</v>
      </c>
      <c r="BY12" s="20">
        <v>0</v>
      </c>
      <c r="BZ12" s="21">
        <v>0</v>
      </c>
      <c r="CA12" s="139" t="str">
        <f t="shared" ref="CA12:CA13" si="132">IF(BZ12=0,"-",BY12/BZ12)</f>
        <v>-</v>
      </c>
      <c r="CB12" s="20">
        <v>0</v>
      </c>
      <c r="CC12" s="21">
        <v>0</v>
      </c>
      <c r="CD12" s="139" t="str">
        <f t="shared" ref="CD12:CD13" si="133">IF(CC12=0,"-",CB12/CC12)</f>
        <v>-</v>
      </c>
      <c r="CE12" s="20">
        <v>0</v>
      </c>
      <c r="CF12" s="21">
        <v>0</v>
      </c>
      <c r="CG12" s="139" t="str">
        <f t="shared" si="115"/>
        <v>-</v>
      </c>
      <c r="CH12" s="20">
        <v>0</v>
      </c>
      <c r="CI12" s="21">
        <v>0</v>
      </c>
      <c r="CJ12" s="139" t="str">
        <f t="shared" si="116"/>
        <v>-</v>
      </c>
      <c r="CK12" s="20">
        <v>0</v>
      </c>
      <c r="CL12" s="21">
        <v>0</v>
      </c>
      <c r="CM12" s="139" t="str">
        <f t="shared" si="117"/>
        <v>-</v>
      </c>
      <c r="CN12" s="117">
        <f t="shared" si="23"/>
        <v>143</v>
      </c>
      <c r="CO12" s="120">
        <f t="shared" si="24"/>
        <v>34</v>
      </c>
      <c r="CP12" s="147">
        <f t="shared" si="25"/>
        <v>4.2058823529411766</v>
      </c>
    </row>
    <row r="13" spans="1:94" ht="15" thickBot="1" x14ac:dyDescent="0.35">
      <c r="A13" s="294">
        <v>45605</v>
      </c>
      <c r="B13" s="20">
        <v>18</v>
      </c>
      <c r="C13" s="21">
        <v>2</v>
      </c>
      <c r="D13" s="139">
        <f t="shared" si="0"/>
        <v>9</v>
      </c>
      <c r="E13" s="23">
        <v>0</v>
      </c>
      <c r="F13" s="21">
        <v>0</v>
      </c>
      <c r="G13" s="139" t="str">
        <f t="shared" ref="G13" si="134">IF(F13=0,"-",E13/F13)</f>
        <v>-</v>
      </c>
      <c r="H13" s="20"/>
      <c r="I13" s="21"/>
      <c r="J13" s="139" t="str">
        <f t="shared" ref="J13" si="135">IF(I13=0,"-",H13/I13)</f>
        <v>-</v>
      </c>
      <c r="K13" s="20">
        <v>0</v>
      </c>
      <c r="L13" s="21">
        <v>0</v>
      </c>
      <c r="M13" s="139" t="str">
        <f t="shared" ref="M13" si="136">IF(L13=0,"-",K13/L13)</f>
        <v>-</v>
      </c>
      <c r="N13" s="125">
        <v>0</v>
      </c>
      <c r="O13" s="126">
        <v>0</v>
      </c>
      <c r="P13" s="139" t="str">
        <f t="shared" si="4"/>
        <v>-</v>
      </c>
      <c r="Q13" s="20">
        <v>0</v>
      </c>
      <c r="R13" s="21">
        <v>0</v>
      </c>
      <c r="S13" s="139" t="str">
        <f t="shared" si="5"/>
        <v>-</v>
      </c>
      <c r="T13" s="20">
        <v>7</v>
      </c>
      <c r="U13" s="21">
        <v>1</v>
      </c>
      <c r="V13" s="139">
        <f t="shared" ref="V13:V14" si="137">IF(U13=0,"-",T13/U13)</f>
        <v>7</v>
      </c>
      <c r="W13" s="20">
        <v>0</v>
      </c>
      <c r="X13" s="21">
        <v>0</v>
      </c>
      <c r="Y13" s="278" t="str">
        <f t="shared" ref="Y13" si="138">IF(X13=0,"-",W13/X13)</f>
        <v>-</v>
      </c>
      <c r="Z13" s="20">
        <v>0</v>
      </c>
      <c r="AA13" s="21">
        <v>0</v>
      </c>
      <c r="AB13" s="278" t="str">
        <f t="shared" ref="AB13" si="139">IF(AA13=0,"-",Z13/AA13)</f>
        <v>-</v>
      </c>
      <c r="AC13" s="20">
        <v>0</v>
      </c>
      <c r="AD13" s="21">
        <v>0</v>
      </c>
      <c r="AE13" s="278" t="str">
        <f t="shared" ref="AE13" si="140">IF(AD13=0,"-",AC13/AD13)</f>
        <v>-</v>
      </c>
      <c r="AF13" s="20">
        <v>0</v>
      </c>
      <c r="AG13" s="21">
        <v>0</v>
      </c>
      <c r="AH13" s="139" t="str">
        <f t="shared" ref="AH13" si="141">IF(AG13=0,"-",AF13/AG13)</f>
        <v>-</v>
      </c>
      <c r="AI13" s="20">
        <v>0</v>
      </c>
      <c r="AJ13" s="21">
        <v>0</v>
      </c>
      <c r="AK13" s="139" t="str">
        <f t="shared" ref="AK13" si="142">IF(AJ13=0,"-",AI13/AJ13)</f>
        <v>-</v>
      </c>
      <c r="AL13" s="20">
        <v>0</v>
      </c>
      <c r="AM13" s="21">
        <v>0</v>
      </c>
      <c r="AN13" s="139" t="str">
        <f t="shared" ref="AN13" si="143">IF(AM13=0,"-",AL13/AM13)</f>
        <v>-</v>
      </c>
      <c r="AO13" s="20">
        <v>0</v>
      </c>
      <c r="AP13" s="21">
        <v>0</v>
      </c>
      <c r="AQ13" s="139" t="str">
        <f t="shared" ref="AQ13" si="144">IF(AP13=0,"-",AO13/AP13)</f>
        <v>-</v>
      </c>
      <c r="AR13" s="20">
        <v>0</v>
      </c>
      <c r="AS13" s="21">
        <v>0</v>
      </c>
      <c r="AT13" s="139" t="str">
        <f t="shared" ref="AT13" si="145">IF(AS13=0,"-",AR13/AS13)</f>
        <v>-</v>
      </c>
      <c r="AU13" s="20">
        <v>0</v>
      </c>
      <c r="AV13" s="21">
        <v>0</v>
      </c>
      <c r="AW13" s="139" t="str">
        <f t="shared" ref="AW13" si="146">IF(AV13=0,"-",AU13/AV13)</f>
        <v>-</v>
      </c>
      <c r="AX13" s="20">
        <v>0</v>
      </c>
      <c r="AY13" s="21">
        <v>0</v>
      </c>
      <c r="AZ13" s="139" t="str">
        <f t="shared" si="128"/>
        <v>-</v>
      </c>
      <c r="BA13" s="20">
        <v>0</v>
      </c>
      <c r="BB13" s="21">
        <v>0</v>
      </c>
      <c r="BC13" s="139" t="str">
        <f t="shared" si="129"/>
        <v>-</v>
      </c>
      <c r="BD13" s="20">
        <v>0</v>
      </c>
      <c r="BE13" s="21">
        <v>0</v>
      </c>
      <c r="BF13" s="139" t="str">
        <f t="shared" si="130"/>
        <v>-</v>
      </c>
      <c r="BG13" s="20">
        <v>0</v>
      </c>
      <c r="BH13" s="21">
        <v>0</v>
      </c>
      <c r="BI13" s="139" t="str">
        <f t="shared" si="131"/>
        <v>-</v>
      </c>
      <c r="BJ13" s="252">
        <v>0</v>
      </c>
      <c r="BK13" s="253">
        <v>2</v>
      </c>
      <c r="BL13" s="139">
        <f t="shared" si="109"/>
        <v>0</v>
      </c>
      <c r="BM13" s="125">
        <v>0</v>
      </c>
      <c r="BN13" s="126">
        <v>0</v>
      </c>
      <c r="BO13" s="276" t="str">
        <f t="shared" si="110"/>
        <v>-</v>
      </c>
      <c r="BP13" s="20">
        <v>0</v>
      </c>
      <c r="BQ13" s="21">
        <v>0</v>
      </c>
      <c r="BR13" s="139" t="str">
        <f t="shared" si="111"/>
        <v>-</v>
      </c>
      <c r="BS13" s="20">
        <v>0</v>
      </c>
      <c r="BT13" s="21">
        <v>0</v>
      </c>
      <c r="BU13" s="139" t="str">
        <f t="shared" si="61"/>
        <v>-</v>
      </c>
      <c r="BV13" s="20">
        <v>0</v>
      </c>
      <c r="BW13" s="21">
        <v>0</v>
      </c>
      <c r="BX13" s="139" t="str">
        <f t="shared" ref="BX13:BX15" si="147">IF(BW13=0,"-",BV13/BW13)</f>
        <v>-</v>
      </c>
      <c r="BY13" s="20">
        <v>0</v>
      </c>
      <c r="BZ13" s="21">
        <v>0</v>
      </c>
      <c r="CA13" s="139" t="str">
        <f t="shared" si="132"/>
        <v>-</v>
      </c>
      <c r="CB13" s="20">
        <v>0</v>
      </c>
      <c r="CC13" s="21">
        <v>0</v>
      </c>
      <c r="CD13" s="139" t="str">
        <f t="shared" si="133"/>
        <v>-</v>
      </c>
      <c r="CE13" s="20">
        <v>0</v>
      </c>
      <c r="CF13" s="21">
        <v>0</v>
      </c>
      <c r="CG13" s="139" t="str">
        <f t="shared" si="115"/>
        <v>-</v>
      </c>
      <c r="CH13" s="20">
        <v>0</v>
      </c>
      <c r="CI13" s="21">
        <v>0</v>
      </c>
      <c r="CJ13" s="139" t="str">
        <f t="shared" si="116"/>
        <v>-</v>
      </c>
      <c r="CK13" s="20">
        <v>0</v>
      </c>
      <c r="CL13" s="21">
        <v>0</v>
      </c>
      <c r="CM13" s="139" t="str">
        <f t="shared" si="117"/>
        <v>-</v>
      </c>
      <c r="CN13" s="117">
        <f t="shared" si="23"/>
        <v>25</v>
      </c>
      <c r="CO13" s="120">
        <f t="shared" si="24"/>
        <v>5</v>
      </c>
      <c r="CP13" s="147">
        <f t="shared" si="25"/>
        <v>5</v>
      </c>
    </row>
    <row r="14" spans="1:94" ht="15" thickBot="1" x14ac:dyDescent="0.35">
      <c r="A14" s="294">
        <v>45606</v>
      </c>
      <c r="B14" s="20">
        <v>0</v>
      </c>
      <c r="C14" s="21">
        <v>0</v>
      </c>
      <c r="D14" s="139" t="str">
        <f t="shared" si="0"/>
        <v>-</v>
      </c>
      <c r="E14" s="23">
        <v>0</v>
      </c>
      <c r="F14" s="21">
        <v>0</v>
      </c>
      <c r="G14" s="139" t="str">
        <f t="shared" ref="G14" si="148">IF(F14=0,"-",E14/F14)</f>
        <v>-</v>
      </c>
      <c r="H14" s="20"/>
      <c r="I14" s="21"/>
      <c r="J14" s="139" t="str">
        <f t="shared" ref="J14" si="149">IF(I14=0,"-",H14/I14)</f>
        <v>-</v>
      </c>
      <c r="K14" s="20">
        <v>0</v>
      </c>
      <c r="L14" s="21">
        <v>0</v>
      </c>
      <c r="M14" s="139" t="str">
        <f t="shared" ref="M14" si="150">IF(L14=0,"-",K14/L14)</f>
        <v>-</v>
      </c>
      <c r="N14" s="125">
        <v>0</v>
      </c>
      <c r="O14" s="126">
        <v>0</v>
      </c>
      <c r="P14" s="139" t="str">
        <f t="shared" si="4"/>
        <v>-</v>
      </c>
      <c r="Q14" s="20">
        <v>0</v>
      </c>
      <c r="R14" s="21">
        <v>0</v>
      </c>
      <c r="S14" s="139" t="str">
        <f t="shared" ref="S14" si="151">IF(R14=0,"-",Q14/R14)</f>
        <v>-</v>
      </c>
      <c r="T14" s="20">
        <v>0</v>
      </c>
      <c r="U14" s="21">
        <v>0</v>
      </c>
      <c r="V14" s="139" t="str">
        <f t="shared" si="137"/>
        <v>-</v>
      </c>
      <c r="W14" s="20">
        <v>0</v>
      </c>
      <c r="X14" s="21">
        <v>0</v>
      </c>
      <c r="Y14" s="139" t="str">
        <f t="shared" ref="Y14" si="152">IF(X14=0,"-",W14/X14)</f>
        <v>-</v>
      </c>
      <c r="Z14" s="20">
        <v>0</v>
      </c>
      <c r="AA14" s="21">
        <v>0</v>
      </c>
      <c r="AB14" s="139" t="str">
        <f t="shared" si="26"/>
        <v>-</v>
      </c>
      <c r="AC14" s="20">
        <v>0</v>
      </c>
      <c r="AD14" s="21">
        <v>0</v>
      </c>
      <c r="AE14" s="139" t="str">
        <f t="shared" ref="AE14" si="153">IF(AD14=0,"-",AC14/AD14)</f>
        <v>-</v>
      </c>
      <c r="AF14" s="20">
        <v>0</v>
      </c>
      <c r="AG14" s="21">
        <v>0</v>
      </c>
      <c r="AH14" s="139" t="str">
        <f t="shared" si="67"/>
        <v>-</v>
      </c>
      <c r="AI14" s="20">
        <v>0</v>
      </c>
      <c r="AJ14" s="21">
        <v>0</v>
      </c>
      <c r="AK14" s="139" t="str">
        <f t="shared" si="40"/>
        <v>-</v>
      </c>
      <c r="AL14" s="20">
        <v>0</v>
      </c>
      <c r="AM14" s="21">
        <v>0</v>
      </c>
      <c r="AN14" s="139" t="str">
        <f t="shared" si="41"/>
        <v>-</v>
      </c>
      <c r="AO14" s="20">
        <v>0</v>
      </c>
      <c r="AP14" s="21">
        <v>0</v>
      </c>
      <c r="AQ14" s="139" t="str">
        <f t="shared" ref="AQ14" si="154">IF(AP14=0,"-",AO14/AP14)</f>
        <v>-</v>
      </c>
      <c r="AR14" s="20">
        <v>0</v>
      </c>
      <c r="AS14" s="21">
        <v>0</v>
      </c>
      <c r="AT14" s="139" t="str">
        <f t="shared" ref="AT14" si="155">IF(AS14=0,"-",AR14/AS14)</f>
        <v>-</v>
      </c>
      <c r="AU14" s="20">
        <v>0</v>
      </c>
      <c r="AV14" s="21">
        <v>0</v>
      </c>
      <c r="AW14" s="139" t="str">
        <f t="shared" ref="AW14" si="156">IF(AV14=0,"-",AU14/AV14)</f>
        <v>-</v>
      </c>
      <c r="AX14" s="20">
        <v>0</v>
      </c>
      <c r="AY14" s="21">
        <v>0</v>
      </c>
      <c r="AZ14" s="139" t="str">
        <f t="shared" ref="AZ14" si="157">IF(AY14=0,"-",AX14/AY14)</f>
        <v>-</v>
      </c>
      <c r="BA14" s="20">
        <v>0</v>
      </c>
      <c r="BB14" s="21">
        <v>0</v>
      </c>
      <c r="BC14" s="139" t="str">
        <f t="shared" ref="BC14" si="158">IF(BB14=0,"-",BA14/BB14)</f>
        <v>-</v>
      </c>
      <c r="BD14" s="20">
        <v>0</v>
      </c>
      <c r="BE14" s="21">
        <v>0</v>
      </c>
      <c r="BF14" s="139" t="str">
        <f t="shared" ref="BF14" si="159">IF(BE14=0,"-",BD14/BE14)</f>
        <v>-</v>
      </c>
      <c r="BG14" s="20">
        <v>0</v>
      </c>
      <c r="BH14" s="21">
        <v>0</v>
      </c>
      <c r="BI14" s="139" t="str">
        <f t="shared" ref="BI14" si="160">IF(BH14=0,"-",BG14/BH14)</f>
        <v>-</v>
      </c>
      <c r="BJ14" s="252">
        <v>7</v>
      </c>
      <c r="BK14" s="253">
        <v>2</v>
      </c>
      <c r="BL14" s="139">
        <v>0</v>
      </c>
      <c r="BM14" s="125">
        <v>0</v>
      </c>
      <c r="BN14" s="126">
        <v>0</v>
      </c>
      <c r="BO14" s="276" t="str">
        <f t="shared" si="110"/>
        <v>-</v>
      </c>
      <c r="BP14" s="20">
        <v>0</v>
      </c>
      <c r="BQ14" s="21">
        <v>0</v>
      </c>
      <c r="BR14" s="139" t="str">
        <f t="shared" si="111"/>
        <v>-</v>
      </c>
      <c r="BS14" s="125">
        <v>0</v>
      </c>
      <c r="BT14" s="126">
        <v>0</v>
      </c>
      <c r="BU14" s="276" t="str">
        <f t="shared" ref="BU14:BU33" si="161">IF(BT14=0,"-",BS14/BT14)</f>
        <v>-</v>
      </c>
      <c r="BV14" s="20">
        <v>1</v>
      </c>
      <c r="BW14" s="21">
        <v>1</v>
      </c>
      <c r="BX14" s="139">
        <f t="shared" si="147"/>
        <v>1</v>
      </c>
      <c r="BY14" s="20">
        <v>0</v>
      </c>
      <c r="BZ14" s="21">
        <v>0</v>
      </c>
      <c r="CA14" s="139" t="str">
        <f t="shared" ref="CA14" si="162">IF(BZ14=0,"-",BY14/BZ14)</f>
        <v>-</v>
      </c>
      <c r="CB14" s="20">
        <v>1</v>
      </c>
      <c r="CC14" s="21">
        <v>1</v>
      </c>
      <c r="CD14" s="139">
        <f t="shared" ref="CD14:CD15" si="163">IF(CC14=0,"-",CB14/CC14)</f>
        <v>1</v>
      </c>
      <c r="CE14" s="20">
        <v>0</v>
      </c>
      <c r="CF14" s="21">
        <v>0</v>
      </c>
      <c r="CG14" s="139" t="str">
        <f t="shared" ref="CG14:CG17" si="164">IF(CF14=0,"-",CE14/CF14)</f>
        <v>-</v>
      </c>
      <c r="CH14" s="20">
        <v>0</v>
      </c>
      <c r="CI14" s="21">
        <v>0</v>
      </c>
      <c r="CJ14" s="139" t="str">
        <f t="shared" ref="CJ14:CJ17" si="165">IF(CI14=0,"-",CH14/CI14)</f>
        <v>-</v>
      </c>
      <c r="CK14" s="20">
        <v>0</v>
      </c>
      <c r="CL14" s="21">
        <v>0</v>
      </c>
      <c r="CM14" s="139" t="str">
        <f t="shared" ref="CM14:CM17" si="166">IF(CL14=0,"-",CK14/CL14)</f>
        <v>-</v>
      </c>
      <c r="CN14" s="117">
        <f t="shared" si="23"/>
        <v>9</v>
      </c>
      <c r="CO14" s="120">
        <f t="shared" si="24"/>
        <v>3</v>
      </c>
      <c r="CP14" s="147">
        <f t="shared" si="25"/>
        <v>3</v>
      </c>
    </row>
    <row r="15" spans="1:94" ht="15" thickBot="1" x14ac:dyDescent="0.35">
      <c r="A15" s="294">
        <v>45607</v>
      </c>
      <c r="B15" s="20">
        <v>29</v>
      </c>
      <c r="C15" s="21">
        <v>4</v>
      </c>
      <c r="D15" s="139">
        <f t="shared" si="0"/>
        <v>7.25</v>
      </c>
      <c r="E15" s="23">
        <v>7</v>
      </c>
      <c r="F15" s="21">
        <v>1</v>
      </c>
      <c r="G15" s="139">
        <f t="shared" ref="G15" si="167">IF(F15=0,"-",E15/F15)</f>
        <v>7</v>
      </c>
      <c r="H15" s="20"/>
      <c r="I15" s="21"/>
      <c r="J15" s="139" t="str">
        <f t="shared" ref="J15" si="168">IF(I15=0,"-",H15/I15)</f>
        <v>-</v>
      </c>
      <c r="K15" s="20">
        <v>16</v>
      </c>
      <c r="L15" s="21">
        <v>2</v>
      </c>
      <c r="M15" s="139">
        <f t="shared" ref="M15" si="169">IF(L15=0,"-",K15/L15)</f>
        <v>8</v>
      </c>
      <c r="N15" s="125">
        <v>0</v>
      </c>
      <c r="O15" s="126">
        <v>0</v>
      </c>
      <c r="P15" s="139" t="str">
        <f t="shared" si="4"/>
        <v>-</v>
      </c>
      <c r="Q15" s="20">
        <v>93</v>
      </c>
      <c r="R15" s="21">
        <v>28</v>
      </c>
      <c r="S15" s="139">
        <f t="shared" si="5"/>
        <v>3.3214285714285716</v>
      </c>
      <c r="T15" s="20">
        <v>0</v>
      </c>
      <c r="U15" s="21">
        <v>0</v>
      </c>
      <c r="V15" s="139" t="str">
        <f t="shared" ref="V15" si="170">IF(U15=0,"-",T15/U15)</f>
        <v>-</v>
      </c>
      <c r="W15" s="20">
        <v>0</v>
      </c>
      <c r="X15" s="21">
        <v>0</v>
      </c>
      <c r="Y15" s="139" t="str">
        <f t="shared" ref="Y15" si="171">IF(X15=0,"-",W15/X15)</f>
        <v>-</v>
      </c>
      <c r="Z15" s="20">
        <v>0</v>
      </c>
      <c r="AA15" s="21">
        <v>0</v>
      </c>
      <c r="AB15" s="139" t="str">
        <f t="shared" ref="AB15" si="172">IF(AA15=0,"-",Z15/AA15)</f>
        <v>-</v>
      </c>
      <c r="AC15" s="20">
        <v>0</v>
      </c>
      <c r="AD15" s="21">
        <v>0</v>
      </c>
      <c r="AE15" s="139" t="str">
        <f t="shared" ref="AE15" si="173">IF(AD15=0,"-",AC15/AD15)</f>
        <v>-</v>
      </c>
      <c r="AF15" s="20">
        <v>0</v>
      </c>
      <c r="AG15" s="21">
        <v>0</v>
      </c>
      <c r="AH15" s="139" t="str">
        <f t="shared" ref="AH15" si="174">IF(AG15=0,"-",AF15/AG15)</f>
        <v>-</v>
      </c>
      <c r="AI15" s="20">
        <v>0</v>
      </c>
      <c r="AJ15" s="21">
        <v>0</v>
      </c>
      <c r="AK15" s="139" t="str">
        <f t="shared" ref="AK15" si="175">IF(AJ15=0,"-",AI15/AJ15)</f>
        <v>-</v>
      </c>
      <c r="AL15" s="20">
        <v>0</v>
      </c>
      <c r="AM15" s="21">
        <v>0</v>
      </c>
      <c r="AN15" s="139" t="str">
        <f t="shared" ref="AN15" si="176">IF(AM15=0,"-",AL15/AM15)</f>
        <v>-</v>
      </c>
      <c r="AO15" s="20">
        <v>0</v>
      </c>
      <c r="AP15" s="21">
        <v>0</v>
      </c>
      <c r="AQ15" s="139" t="str">
        <f t="shared" ref="AQ15" si="177">IF(AP15=0,"-",AO15/AP15)</f>
        <v>-</v>
      </c>
      <c r="AR15" s="20">
        <v>3</v>
      </c>
      <c r="AS15" s="21">
        <v>1</v>
      </c>
      <c r="AT15" s="139">
        <f t="shared" ref="AT15" si="178">IF(AS15=0,"-",AR15/AS15)</f>
        <v>3</v>
      </c>
      <c r="AU15" s="20">
        <v>0</v>
      </c>
      <c r="AV15" s="21">
        <v>0</v>
      </c>
      <c r="AW15" s="139" t="str">
        <f t="shared" ref="AW15:AW16" si="179">IF(AV15=0,"-",AU15/AV15)</f>
        <v>-</v>
      </c>
      <c r="AX15" s="20">
        <v>1</v>
      </c>
      <c r="AY15" s="21">
        <v>1</v>
      </c>
      <c r="AZ15" s="139">
        <f t="shared" ref="AZ15:AZ16" si="180">IF(AY15=0,"-",AX15/AY15)</f>
        <v>1</v>
      </c>
      <c r="BA15" s="20">
        <v>0</v>
      </c>
      <c r="BB15" s="21">
        <v>0</v>
      </c>
      <c r="BC15" s="139" t="str">
        <f t="shared" ref="BC15:BC16" si="181">IF(BB15=0,"-",BA15/BB15)</f>
        <v>-</v>
      </c>
      <c r="BD15" s="20">
        <v>0</v>
      </c>
      <c r="BE15" s="21">
        <v>0</v>
      </c>
      <c r="BF15" s="139" t="str">
        <f t="shared" ref="BF15:BF16" si="182">IF(BE15=0,"-",BD15/BE15)</f>
        <v>-</v>
      </c>
      <c r="BG15" s="20">
        <v>0</v>
      </c>
      <c r="BH15" s="21">
        <v>0</v>
      </c>
      <c r="BI15" s="139" t="str">
        <f t="shared" ref="BI15:BI16" si="183">IF(BH15=0,"-",BG15/BH15)</f>
        <v>-</v>
      </c>
      <c r="BJ15" s="252">
        <v>16</v>
      </c>
      <c r="BK15" s="253">
        <v>2</v>
      </c>
      <c r="BL15" s="139">
        <f t="shared" si="109"/>
        <v>8</v>
      </c>
      <c r="BM15" s="125">
        <v>0</v>
      </c>
      <c r="BN15" s="126">
        <v>0</v>
      </c>
      <c r="BO15" s="276" t="str">
        <f t="shared" ref="BO15:BO17" si="184">IF(BN15=0,"-",BM15/BN15)</f>
        <v>-</v>
      </c>
      <c r="BP15" s="20">
        <v>0</v>
      </c>
      <c r="BQ15" s="21">
        <v>0</v>
      </c>
      <c r="BR15" s="139" t="str">
        <f t="shared" ref="BR15:BR17" si="185">IF(BQ15=0,"-",BP15/BQ15)</f>
        <v>-</v>
      </c>
      <c r="BS15" s="20">
        <v>0</v>
      </c>
      <c r="BT15" s="21">
        <v>0</v>
      </c>
      <c r="BU15" s="139" t="str">
        <f t="shared" si="161"/>
        <v>-</v>
      </c>
      <c r="BV15" s="20">
        <v>2</v>
      </c>
      <c r="BW15" s="21">
        <v>1</v>
      </c>
      <c r="BX15" s="139">
        <f t="shared" si="147"/>
        <v>2</v>
      </c>
      <c r="BY15" s="20">
        <v>0</v>
      </c>
      <c r="BZ15" s="21">
        <v>0</v>
      </c>
      <c r="CA15" s="139" t="str">
        <f t="shared" ref="CA15" si="186">IF(BZ15=0,"-",BY15/BZ15)</f>
        <v>-</v>
      </c>
      <c r="CB15" s="20">
        <v>0</v>
      </c>
      <c r="CC15" s="21">
        <v>0</v>
      </c>
      <c r="CD15" s="139" t="str">
        <f t="shared" si="163"/>
        <v>-</v>
      </c>
      <c r="CE15" s="20">
        <v>0</v>
      </c>
      <c r="CF15" s="21">
        <v>0</v>
      </c>
      <c r="CG15" s="139" t="str">
        <f t="shared" si="164"/>
        <v>-</v>
      </c>
      <c r="CH15" s="20">
        <v>0</v>
      </c>
      <c r="CI15" s="21">
        <v>0</v>
      </c>
      <c r="CJ15" s="139" t="str">
        <f t="shared" si="165"/>
        <v>-</v>
      </c>
      <c r="CK15" s="20">
        <v>0</v>
      </c>
      <c r="CL15" s="21">
        <v>0</v>
      </c>
      <c r="CM15" s="139" t="str">
        <f t="shared" si="166"/>
        <v>-</v>
      </c>
      <c r="CN15" s="117">
        <f t="shared" si="23"/>
        <v>167</v>
      </c>
      <c r="CO15" s="120">
        <f t="shared" si="24"/>
        <v>39</v>
      </c>
      <c r="CP15" s="147">
        <f t="shared" si="25"/>
        <v>4.2820512820512819</v>
      </c>
    </row>
    <row r="16" spans="1:94" ht="15" thickBot="1" x14ac:dyDescent="0.35">
      <c r="A16" s="294">
        <v>45608</v>
      </c>
      <c r="B16" s="20">
        <v>75</v>
      </c>
      <c r="C16" s="21">
        <v>12</v>
      </c>
      <c r="D16" s="139">
        <f t="shared" si="0"/>
        <v>6.25</v>
      </c>
      <c r="E16" s="20">
        <v>0</v>
      </c>
      <c r="F16" s="21">
        <v>0</v>
      </c>
      <c r="G16" s="139" t="str">
        <f t="shared" si="1"/>
        <v>-</v>
      </c>
      <c r="H16" s="20"/>
      <c r="I16" s="21"/>
      <c r="J16" s="139" t="str">
        <f t="shared" si="52"/>
        <v>-</v>
      </c>
      <c r="K16" s="20">
        <v>8</v>
      </c>
      <c r="L16" s="21">
        <v>1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23">
        <v>90</v>
      </c>
      <c r="R16" s="21">
        <v>29</v>
      </c>
      <c r="S16" s="139">
        <f t="shared" si="5"/>
        <v>3.103448275862069</v>
      </c>
      <c r="T16" s="20">
        <v>6</v>
      </c>
      <c r="U16" s="21">
        <v>1</v>
      </c>
      <c r="V16" s="139">
        <f t="shared" si="6"/>
        <v>6</v>
      </c>
      <c r="W16" s="20">
        <v>0</v>
      </c>
      <c r="X16" s="21">
        <v>0</v>
      </c>
      <c r="Y16" s="139" t="str">
        <f t="shared" ref="Y16" si="187">IF(X16=0,"-",W16/X16)</f>
        <v>-</v>
      </c>
      <c r="Z16" s="20">
        <v>0</v>
      </c>
      <c r="AA16" s="21">
        <v>0</v>
      </c>
      <c r="AB16" s="139" t="str">
        <f t="shared" ref="AB16" si="188">IF(AA16=0,"-",Z16/AA16)</f>
        <v>-</v>
      </c>
      <c r="AC16" s="20">
        <v>0</v>
      </c>
      <c r="AD16" s="21">
        <v>0</v>
      </c>
      <c r="AE16" s="139" t="str">
        <f t="shared" ref="AE16" si="189">IF(AD16=0,"-",AC16/AD16)</f>
        <v>-</v>
      </c>
      <c r="AF16" s="20">
        <v>0</v>
      </c>
      <c r="AG16" s="21">
        <v>0</v>
      </c>
      <c r="AH16" s="139" t="str">
        <f t="shared" ref="AH16" si="190">IF(AG16=0,"-",AF16/AG16)</f>
        <v>-</v>
      </c>
      <c r="AI16" s="20">
        <v>0</v>
      </c>
      <c r="AJ16" s="21">
        <v>0</v>
      </c>
      <c r="AK16" s="139" t="str">
        <f t="shared" ref="AK16" si="191">IF(AJ16=0,"-",AI16/AJ16)</f>
        <v>-</v>
      </c>
      <c r="AL16" s="20">
        <v>0</v>
      </c>
      <c r="AM16" s="21">
        <v>0</v>
      </c>
      <c r="AN16" s="139" t="str">
        <f t="shared" ref="AN16" si="192">IF(AM16=0,"-",AL16/AM16)</f>
        <v>-</v>
      </c>
      <c r="AO16" s="20">
        <v>0</v>
      </c>
      <c r="AP16" s="21">
        <v>0</v>
      </c>
      <c r="AQ16" s="139" t="str">
        <f t="shared" ref="AQ16" si="193">IF(AP16=0,"-",AO16/AP16)</f>
        <v>-</v>
      </c>
      <c r="AR16" s="20">
        <v>0</v>
      </c>
      <c r="AS16" s="21">
        <v>0</v>
      </c>
      <c r="AT16" s="139" t="str">
        <f t="shared" ref="AT16:AT17" si="194">IF(AS16=0,"-",AR16/AS16)</f>
        <v>-</v>
      </c>
      <c r="AU16" s="20">
        <v>0</v>
      </c>
      <c r="AV16" s="21">
        <v>0</v>
      </c>
      <c r="AW16" s="139" t="str">
        <f t="shared" si="179"/>
        <v>-</v>
      </c>
      <c r="AX16" s="20">
        <v>0</v>
      </c>
      <c r="AY16" s="21">
        <v>0</v>
      </c>
      <c r="AZ16" s="139" t="str">
        <f t="shared" si="180"/>
        <v>-</v>
      </c>
      <c r="BA16" s="20">
        <v>0</v>
      </c>
      <c r="BB16" s="21">
        <v>0</v>
      </c>
      <c r="BC16" s="139" t="str">
        <f t="shared" si="181"/>
        <v>-</v>
      </c>
      <c r="BD16" s="20">
        <v>0</v>
      </c>
      <c r="BE16" s="21">
        <v>0</v>
      </c>
      <c r="BF16" s="139" t="str">
        <f t="shared" si="182"/>
        <v>-</v>
      </c>
      <c r="BG16" s="20">
        <v>0</v>
      </c>
      <c r="BH16" s="21">
        <v>0</v>
      </c>
      <c r="BI16" s="139" t="str">
        <f t="shared" si="183"/>
        <v>-</v>
      </c>
      <c r="BJ16" s="252">
        <v>14</v>
      </c>
      <c r="BK16" s="253">
        <v>2</v>
      </c>
      <c r="BL16" s="139">
        <f t="shared" si="13"/>
        <v>7</v>
      </c>
      <c r="BM16" s="125">
        <v>0</v>
      </c>
      <c r="BN16" s="126">
        <v>0</v>
      </c>
      <c r="BO16" s="276" t="str">
        <f t="shared" si="184"/>
        <v>-</v>
      </c>
      <c r="BP16" s="20">
        <v>0</v>
      </c>
      <c r="BQ16" s="21">
        <v>0</v>
      </c>
      <c r="BR16" s="139" t="str">
        <f t="shared" si="185"/>
        <v>-</v>
      </c>
      <c r="BS16" s="257">
        <v>7</v>
      </c>
      <c r="BT16" s="253">
        <v>1</v>
      </c>
      <c r="BU16" s="139">
        <f t="shared" si="161"/>
        <v>7</v>
      </c>
      <c r="BV16" s="20">
        <v>4</v>
      </c>
      <c r="BW16" s="21">
        <v>1</v>
      </c>
      <c r="BX16" s="139">
        <f t="shared" ref="BX16" si="195">IF(BW16=0,"-",BV16/BW16)</f>
        <v>4</v>
      </c>
      <c r="BY16" s="20">
        <v>0</v>
      </c>
      <c r="BZ16" s="21">
        <v>0</v>
      </c>
      <c r="CA16" s="139" t="str">
        <f t="shared" ref="CA16" si="196">IF(BZ16=0,"-",BY16/BZ16)</f>
        <v>-</v>
      </c>
      <c r="CB16" s="252">
        <v>2</v>
      </c>
      <c r="CC16" s="253">
        <v>1</v>
      </c>
      <c r="CD16" s="139">
        <f t="shared" si="77"/>
        <v>2</v>
      </c>
      <c r="CE16" s="20">
        <v>0</v>
      </c>
      <c r="CF16" s="21">
        <v>0</v>
      </c>
      <c r="CG16" s="139" t="str">
        <f t="shared" si="164"/>
        <v>-</v>
      </c>
      <c r="CH16" s="20">
        <v>0</v>
      </c>
      <c r="CI16" s="21">
        <v>0</v>
      </c>
      <c r="CJ16" s="139" t="str">
        <f t="shared" si="165"/>
        <v>-</v>
      </c>
      <c r="CK16" s="20">
        <v>0</v>
      </c>
      <c r="CL16" s="21">
        <v>0</v>
      </c>
      <c r="CM16" s="139" t="str">
        <f t="shared" si="166"/>
        <v>-</v>
      </c>
      <c r="CN16" s="117">
        <f t="shared" si="23"/>
        <v>206</v>
      </c>
      <c r="CO16" s="120">
        <f t="shared" si="24"/>
        <v>47</v>
      </c>
      <c r="CP16" s="147">
        <f t="shared" si="25"/>
        <v>4.3829787234042552</v>
      </c>
    </row>
    <row r="17" spans="1:94" ht="15" thickBot="1" x14ac:dyDescent="0.35">
      <c r="A17" s="294">
        <v>45609</v>
      </c>
      <c r="B17" s="20">
        <v>27</v>
      </c>
      <c r="C17" s="21">
        <v>3</v>
      </c>
      <c r="D17" s="139">
        <f t="shared" si="0"/>
        <v>9</v>
      </c>
      <c r="E17" s="20">
        <v>0</v>
      </c>
      <c r="F17" s="21">
        <v>0</v>
      </c>
      <c r="G17" s="139" t="str">
        <f t="shared" si="1"/>
        <v>-</v>
      </c>
      <c r="H17" s="20"/>
      <c r="I17" s="21"/>
      <c r="J17" s="139" t="str">
        <f t="shared" si="52"/>
        <v>-</v>
      </c>
      <c r="K17" s="20">
        <v>23</v>
      </c>
      <c r="L17" s="21">
        <v>3</v>
      </c>
      <c r="M17" s="139">
        <f t="shared" si="3"/>
        <v>7.666666666666667</v>
      </c>
      <c r="N17" s="125">
        <v>27</v>
      </c>
      <c r="O17" s="126">
        <v>4</v>
      </c>
      <c r="P17" s="139">
        <f t="shared" si="4"/>
        <v>6.75</v>
      </c>
      <c r="Q17" s="20">
        <v>141</v>
      </c>
      <c r="R17" s="21">
        <v>41</v>
      </c>
      <c r="S17" s="139">
        <f t="shared" si="5"/>
        <v>3.4390243902439024</v>
      </c>
      <c r="T17" s="20">
        <v>15</v>
      </c>
      <c r="U17" s="21">
        <v>3</v>
      </c>
      <c r="V17" s="139">
        <f t="shared" si="6"/>
        <v>5</v>
      </c>
      <c r="W17" s="20">
        <v>0</v>
      </c>
      <c r="X17" s="21">
        <v>0</v>
      </c>
      <c r="Y17" s="139" t="str">
        <f t="shared" ref="Y17" si="197">IF(X17=0,"-",W17/X17)</f>
        <v>-</v>
      </c>
      <c r="Z17" s="20">
        <v>0</v>
      </c>
      <c r="AA17" s="21">
        <v>0</v>
      </c>
      <c r="AB17" s="139" t="str">
        <f t="shared" ref="AB17" si="198">IF(AA17=0,"-",Z17/AA17)</f>
        <v>-</v>
      </c>
      <c r="AC17" s="20">
        <v>0</v>
      </c>
      <c r="AD17" s="21">
        <v>0</v>
      </c>
      <c r="AE17" s="139" t="str">
        <f t="shared" ref="AE17" si="199">IF(AD17=0,"-",AC17/AD17)</f>
        <v>-</v>
      </c>
      <c r="AF17" s="20">
        <v>0</v>
      </c>
      <c r="AG17" s="21">
        <v>0</v>
      </c>
      <c r="AH17" s="139" t="str">
        <f t="shared" ref="AH17" si="200">IF(AG17=0,"-",AF17/AG17)</f>
        <v>-</v>
      </c>
      <c r="AI17" s="20">
        <v>0</v>
      </c>
      <c r="AJ17" s="21">
        <v>0</v>
      </c>
      <c r="AK17" s="139" t="str">
        <f t="shared" ref="AK17" si="201">IF(AJ17=0,"-",AI17/AJ17)</f>
        <v>-</v>
      </c>
      <c r="AL17" s="20">
        <v>0</v>
      </c>
      <c r="AM17" s="21">
        <v>0</v>
      </c>
      <c r="AN17" s="139" t="str">
        <f t="shared" ref="AN17" si="202">IF(AM17=0,"-",AL17/AM17)</f>
        <v>-</v>
      </c>
      <c r="AO17" s="20">
        <v>0</v>
      </c>
      <c r="AP17" s="21">
        <v>0</v>
      </c>
      <c r="AQ17" s="139" t="str">
        <f t="shared" ref="AQ17" si="203">IF(AP17=0,"-",AO17/AP17)</f>
        <v>-</v>
      </c>
      <c r="AR17" s="20">
        <v>5</v>
      </c>
      <c r="AS17" s="21">
        <v>1</v>
      </c>
      <c r="AT17" s="139">
        <f t="shared" si="194"/>
        <v>5</v>
      </c>
      <c r="AU17" s="20">
        <v>0</v>
      </c>
      <c r="AV17" s="21">
        <v>0</v>
      </c>
      <c r="AW17" s="139" t="str">
        <f t="shared" ref="AW17" si="204">IF(AV17=0,"-",AU17/AV17)</f>
        <v>-</v>
      </c>
      <c r="AX17" s="20">
        <v>0</v>
      </c>
      <c r="AY17" s="21">
        <v>0</v>
      </c>
      <c r="AZ17" s="139" t="str">
        <f t="shared" ref="AZ17" si="205">IF(AY17=0,"-",AX17/AY17)</f>
        <v>-</v>
      </c>
      <c r="BA17" s="20">
        <v>0</v>
      </c>
      <c r="BB17" s="21">
        <v>0</v>
      </c>
      <c r="BC17" s="139" t="str">
        <f t="shared" ref="BC17" si="206">IF(BB17=0,"-",BA17/BB17)</f>
        <v>-</v>
      </c>
      <c r="BD17" s="20">
        <v>0</v>
      </c>
      <c r="BE17" s="21">
        <v>0</v>
      </c>
      <c r="BF17" s="139" t="str">
        <f t="shared" ref="BF17" si="207">IF(BE17=0,"-",BD17/BE17)</f>
        <v>-</v>
      </c>
      <c r="BG17" s="20">
        <v>0</v>
      </c>
      <c r="BH17" s="21">
        <v>0</v>
      </c>
      <c r="BI17" s="139" t="str">
        <f t="shared" ref="BI17" si="208">IF(BH17=0,"-",BG17/BH17)</f>
        <v>-</v>
      </c>
      <c r="BJ17" s="252">
        <v>6</v>
      </c>
      <c r="BK17" s="253">
        <v>1</v>
      </c>
      <c r="BL17" s="139">
        <f t="shared" si="13"/>
        <v>6</v>
      </c>
      <c r="BM17" s="125">
        <v>0</v>
      </c>
      <c r="BN17" s="126">
        <v>0</v>
      </c>
      <c r="BO17" s="276" t="str">
        <f t="shared" si="184"/>
        <v>-</v>
      </c>
      <c r="BP17" s="20">
        <v>0</v>
      </c>
      <c r="BQ17" s="21">
        <v>0</v>
      </c>
      <c r="BR17" s="139" t="str">
        <f t="shared" si="185"/>
        <v>-</v>
      </c>
      <c r="BS17" s="257">
        <v>7</v>
      </c>
      <c r="BT17" s="253">
        <v>1</v>
      </c>
      <c r="BU17" s="139">
        <f t="shared" si="161"/>
        <v>7</v>
      </c>
      <c r="BV17" s="20">
        <v>0</v>
      </c>
      <c r="BW17" s="21">
        <v>0</v>
      </c>
      <c r="BX17" s="139" t="str">
        <f t="shared" ref="BX17:BX19" si="209">IF(BW17=0,"-",BV17/BW17)</f>
        <v>-</v>
      </c>
      <c r="BY17" s="20">
        <v>0</v>
      </c>
      <c r="BZ17" s="21">
        <v>0</v>
      </c>
      <c r="CA17" s="139" t="str">
        <f t="shared" ref="CA17" si="210">IF(BZ17=0,"-",BY17/BZ17)</f>
        <v>-</v>
      </c>
      <c r="CB17" s="20">
        <v>0</v>
      </c>
      <c r="CC17" s="21">
        <v>0</v>
      </c>
      <c r="CD17" s="139" t="str">
        <f t="shared" si="77"/>
        <v>-</v>
      </c>
      <c r="CE17" s="20">
        <v>0</v>
      </c>
      <c r="CF17" s="21">
        <v>0</v>
      </c>
      <c r="CG17" s="139" t="str">
        <f t="shared" si="164"/>
        <v>-</v>
      </c>
      <c r="CH17" s="20">
        <v>0</v>
      </c>
      <c r="CI17" s="21">
        <v>0</v>
      </c>
      <c r="CJ17" s="139" t="str">
        <f t="shared" si="165"/>
        <v>-</v>
      </c>
      <c r="CK17" s="20">
        <v>0</v>
      </c>
      <c r="CL17" s="21">
        <v>0</v>
      </c>
      <c r="CM17" s="139" t="str">
        <f t="shared" si="166"/>
        <v>-</v>
      </c>
      <c r="CN17" s="117">
        <f t="shared" si="23"/>
        <v>224</v>
      </c>
      <c r="CO17" s="120">
        <f t="shared" si="24"/>
        <v>53</v>
      </c>
      <c r="CP17" s="147">
        <f t="shared" si="25"/>
        <v>4.2264150943396226</v>
      </c>
    </row>
    <row r="18" spans="1:94" ht="15" thickBot="1" x14ac:dyDescent="0.35">
      <c r="A18" s="294">
        <v>45610</v>
      </c>
      <c r="B18" s="20">
        <v>16</v>
      </c>
      <c r="C18" s="21">
        <v>2</v>
      </c>
      <c r="D18" s="139">
        <f t="shared" si="0"/>
        <v>8</v>
      </c>
      <c r="E18" s="20">
        <v>8</v>
      </c>
      <c r="F18" s="21">
        <v>1</v>
      </c>
      <c r="G18" s="139">
        <f t="shared" si="1"/>
        <v>8</v>
      </c>
      <c r="H18" s="20"/>
      <c r="I18" s="21"/>
      <c r="J18" s="139" t="str">
        <f t="shared" si="52"/>
        <v>-</v>
      </c>
      <c r="K18" s="20">
        <v>16</v>
      </c>
      <c r="L18" s="21">
        <v>2</v>
      </c>
      <c r="M18" s="139">
        <f t="shared" si="3"/>
        <v>8</v>
      </c>
      <c r="N18" s="125">
        <v>0</v>
      </c>
      <c r="O18" s="126">
        <v>0</v>
      </c>
      <c r="P18" s="139" t="str">
        <f t="shared" si="4"/>
        <v>-</v>
      </c>
      <c r="Q18" s="20">
        <v>47</v>
      </c>
      <c r="R18" s="21">
        <v>9</v>
      </c>
      <c r="S18" s="139">
        <f t="shared" si="5"/>
        <v>5.2222222222222223</v>
      </c>
      <c r="T18" s="20">
        <v>48</v>
      </c>
      <c r="U18" s="21">
        <v>16</v>
      </c>
      <c r="V18" s="139">
        <f t="shared" si="6"/>
        <v>3</v>
      </c>
      <c r="W18" s="20">
        <v>0</v>
      </c>
      <c r="X18" s="21">
        <v>0</v>
      </c>
      <c r="Y18" s="139" t="str">
        <f t="shared" ref="Y18" si="211">IF(X18=0,"-",W18/X18)</f>
        <v>-</v>
      </c>
      <c r="Z18" s="20">
        <v>0</v>
      </c>
      <c r="AA18" s="21">
        <v>0</v>
      </c>
      <c r="AB18" s="139" t="str">
        <f t="shared" ref="AB18" si="212">IF(AA18=0,"-",Z18/AA18)</f>
        <v>-</v>
      </c>
      <c r="AC18" s="20">
        <v>0</v>
      </c>
      <c r="AD18" s="21">
        <v>0</v>
      </c>
      <c r="AE18" s="139" t="str">
        <f t="shared" ref="AE18" si="213">IF(AD18=0,"-",AC18/AD18)</f>
        <v>-</v>
      </c>
      <c r="AF18" s="20">
        <v>0</v>
      </c>
      <c r="AG18" s="21">
        <v>0</v>
      </c>
      <c r="AH18" s="139" t="str">
        <f t="shared" ref="AH18" si="214">IF(AG18=0,"-",AF18/AG18)</f>
        <v>-</v>
      </c>
      <c r="AI18" s="20">
        <v>0</v>
      </c>
      <c r="AJ18" s="21">
        <v>0</v>
      </c>
      <c r="AK18" s="139" t="str">
        <f t="shared" ref="AK18" si="215">IF(AJ18=0,"-",AI18/AJ18)</f>
        <v>-</v>
      </c>
      <c r="AL18" s="20">
        <v>0</v>
      </c>
      <c r="AM18" s="21">
        <v>0</v>
      </c>
      <c r="AN18" s="139" t="str">
        <f t="shared" ref="AN18" si="216">IF(AM18=0,"-",AL18/AM18)</f>
        <v>-</v>
      </c>
      <c r="AO18" s="20">
        <v>0</v>
      </c>
      <c r="AP18" s="21">
        <v>0</v>
      </c>
      <c r="AQ18" s="139" t="str">
        <f t="shared" ref="AQ18" si="217">IF(AP18=0,"-",AO18/AP18)</f>
        <v>-</v>
      </c>
      <c r="AR18" s="23">
        <v>0</v>
      </c>
      <c r="AS18" s="21">
        <v>0</v>
      </c>
      <c r="AT18" s="139" t="str">
        <f t="shared" si="43"/>
        <v>-</v>
      </c>
      <c r="AU18" s="20">
        <v>0</v>
      </c>
      <c r="AV18" s="21">
        <v>0</v>
      </c>
      <c r="AW18" s="139" t="str">
        <f t="shared" ref="AW18" si="218">IF(AV18=0,"-",AU18/AV18)</f>
        <v>-</v>
      </c>
      <c r="AX18" s="20">
        <v>5</v>
      </c>
      <c r="AY18" s="21">
        <v>1</v>
      </c>
      <c r="AZ18" s="139">
        <f t="shared" ref="AZ18" si="219">IF(AY18=0,"-",AX18/AY18)</f>
        <v>5</v>
      </c>
      <c r="BA18" s="20">
        <v>1</v>
      </c>
      <c r="BB18" s="21">
        <v>1</v>
      </c>
      <c r="BC18" s="139">
        <f t="shared" ref="BC18" si="220">IF(BB18=0,"-",BA18/BB18)</f>
        <v>1</v>
      </c>
      <c r="BD18" s="20">
        <v>0</v>
      </c>
      <c r="BE18" s="21">
        <v>0</v>
      </c>
      <c r="BF18" s="139" t="str">
        <f t="shared" ref="BF18" si="221">IF(BE18=0,"-",BD18/BE18)</f>
        <v>-</v>
      </c>
      <c r="BG18" s="20">
        <v>0</v>
      </c>
      <c r="BH18" s="21">
        <v>0</v>
      </c>
      <c r="BI18" s="139" t="str">
        <f t="shared" ref="BI18" si="222">IF(BH18=0,"-",BG18/BH18)</f>
        <v>-</v>
      </c>
      <c r="BJ18" s="318">
        <v>38</v>
      </c>
      <c r="BK18" s="303">
        <v>5</v>
      </c>
      <c r="BL18" s="139">
        <f t="shared" si="13"/>
        <v>7.6</v>
      </c>
      <c r="BM18" s="125">
        <v>0</v>
      </c>
      <c r="BN18" s="126">
        <v>0</v>
      </c>
      <c r="BO18" s="276" t="str">
        <f t="shared" ref="BO18:BO22" si="223">IF(BN18=0,"-",BM18/BN18)</f>
        <v>-</v>
      </c>
      <c r="BP18" s="20">
        <v>0</v>
      </c>
      <c r="BQ18" s="21">
        <v>0</v>
      </c>
      <c r="BR18" s="139" t="str">
        <f t="shared" ref="BR18:BR22" si="224">IF(BQ18=0,"-",BP18/BQ18)</f>
        <v>-</v>
      </c>
      <c r="BS18" s="257">
        <v>7</v>
      </c>
      <c r="BT18" s="253">
        <v>1</v>
      </c>
      <c r="BU18" s="139">
        <f t="shared" si="161"/>
        <v>7</v>
      </c>
      <c r="BV18" s="20">
        <v>8</v>
      </c>
      <c r="BW18" s="21">
        <v>1</v>
      </c>
      <c r="BX18" s="139">
        <f t="shared" si="209"/>
        <v>8</v>
      </c>
      <c r="BY18" s="20">
        <v>0</v>
      </c>
      <c r="BZ18" s="21">
        <v>0</v>
      </c>
      <c r="CA18" s="139" t="str">
        <f t="shared" ref="CA18:CA22" si="225">IF(BZ18=0,"-",BY18/BZ18)</f>
        <v>-</v>
      </c>
      <c r="CB18" s="20">
        <v>0</v>
      </c>
      <c r="CC18" s="21">
        <v>0</v>
      </c>
      <c r="CD18" s="139" t="str">
        <f t="shared" ref="CD18:CD22" si="226">IF(CC18=0,"-",CB18/CC18)</f>
        <v>-</v>
      </c>
      <c r="CE18" s="20">
        <v>0</v>
      </c>
      <c r="CF18" s="21">
        <v>0</v>
      </c>
      <c r="CG18" s="139" t="str">
        <f t="shared" si="97"/>
        <v>-</v>
      </c>
      <c r="CH18" s="20">
        <v>0</v>
      </c>
      <c r="CI18" s="21">
        <v>0</v>
      </c>
      <c r="CJ18" s="139" t="str">
        <f t="shared" ref="CJ18:CJ22" si="227">IF(CI18=0,"-",CH18/CI18)</f>
        <v>-</v>
      </c>
      <c r="CK18" s="20">
        <v>0</v>
      </c>
      <c r="CL18" s="21">
        <v>0</v>
      </c>
      <c r="CM18" s="139" t="str">
        <f t="shared" ref="CM18:CM22" si="228">IF(CL18=0,"-",CK18/CL18)</f>
        <v>-</v>
      </c>
      <c r="CN18" s="117">
        <f t="shared" si="23"/>
        <v>194</v>
      </c>
      <c r="CO18" s="120">
        <f t="shared" si="24"/>
        <v>38</v>
      </c>
      <c r="CP18" s="147">
        <f t="shared" si="25"/>
        <v>5.1052631578947372</v>
      </c>
    </row>
    <row r="19" spans="1:94" ht="15" thickBot="1" x14ac:dyDescent="0.35">
      <c r="A19" s="294">
        <v>45611</v>
      </c>
      <c r="B19" s="20">
        <v>107</v>
      </c>
      <c r="C19" s="21">
        <v>13</v>
      </c>
      <c r="D19" s="139">
        <f t="shared" si="0"/>
        <v>8.2307692307692299</v>
      </c>
      <c r="E19" s="20">
        <v>16</v>
      </c>
      <c r="F19" s="21">
        <v>2</v>
      </c>
      <c r="G19" s="139">
        <f t="shared" si="1"/>
        <v>8</v>
      </c>
      <c r="H19" s="20"/>
      <c r="I19" s="21"/>
      <c r="J19" s="139" t="str">
        <f t="shared" si="52"/>
        <v>-</v>
      </c>
      <c r="K19" s="20">
        <v>19</v>
      </c>
      <c r="L19" s="21">
        <v>3</v>
      </c>
      <c r="M19" s="139">
        <f t="shared" si="3"/>
        <v>6.333333333333333</v>
      </c>
      <c r="N19" s="125">
        <v>0</v>
      </c>
      <c r="O19" s="126">
        <v>0</v>
      </c>
      <c r="P19" s="139" t="str">
        <f t="shared" ref="P19:P22" si="229">IF(O19=0,"-",N19/O19)</f>
        <v>-</v>
      </c>
      <c r="Q19" s="20">
        <v>47</v>
      </c>
      <c r="R19" s="21">
        <v>9</v>
      </c>
      <c r="S19" s="139">
        <f t="shared" si="5"/>
        <v>5.2222222222222223</v>
      </c>
      <c r="T19" s="20">
        <v>15</v>
      </c>
      <c r="U19" s="21">
        <v>5</v>
      </c>
      <c r="V19" s="139">
        <f t="shared" si="6"/>
        <v>3</v>
      </c>
      <c r="W19" s="20"/>
      <c r="X19" s="21"/>
      <c r="Y19" s="278">
        <v>0</v>
      </c>
      <c r="Z19" s="20">
        <v>36</v>
      </c>
      <c r="AA19" s="21">
        <v>8</v>
      </c>
      <c r="AB19" s="278">
        <f t="shared" si="26"/>
        <v>4.5</v>
      </c>
      <c r="AC19" s="20">
        <v>0</v>
      </c>
      <c r="AD19" s="21">
        <v>0</v>
      </c>
      <c r="AE19" s="139" t="str">
        <f t="shared" ref="AE19" si="230">IF(AD19=0,"-",AC19/AD19)</f>
        <v>-</v>
      </c>
      <c r="AF19" s="20">
        <v>0</v>
      </c>
      <c r="AG19" s="21">
        <v>0</v>
      </c>
      <c r="AH19" s="139" t="str">
        <f t="shared" ref="AH19" si="231">IF(AG19=0,"-",AF19/AG19)</f>
        <v>-</v>
      </c>
      <c r="AI19" s="20">
        <v>0</v>
      </c>
      <c r="AJ19" s="21">
        <v>0</v>
      </c>
      <c r="AK19" s="139" t="str">
        <f t="shared" ref="AK19" si="232">IF(AJ19=0,"-",AI19/AJ19)</f>
        <v>-</v>
      </c>
      <c r="AL19" s="20">
        <v>0</v>
      </c>
      <c r="AM19" s="21">
        <v>0</v>
      </c>
      <c r="AN19" s="139" t="str">
        <f t="shared" ref="AN19" si="233">IF(AM19=0,"-",AL19/AM19)</f>
        <v>-</v>
      </c>
      <c r="AO19" s="20">
        <v>0</v>
      </c>
      <c r="AP19" s="21">
        <v>0</v>
      </c>
      <c r="AQ19" s="139" t="str">
        <f t="shared" ref="AQ19" si="234">IF(AP19=0,"-",AO19/AP19)</f>
        <v>-</v>
      </c>
      <c r="AR19" s="23">
        <v>5</v>
      </c>
      <c r="AS19" s="21">
        <v>1</v>
      </c>
      <c r="AT19" s="139">
        <f t="shared" si="43"/>
        <v>5</v>
      </c>
      <c r="AU19" s="20">
        <v>0</v>
      </c>
      <c r="AV19" s="21">
        <v>0</v>
      </c>
      <c r="AW19" s="139" t="str">
        <f t="shared" ref="AW19:AW27" si="235">IF(AV19=0,"-",AU19/AV19)</f>
        <v>-</v>
      </c>
      <c r="AX19" s="20">
        <v>0</v>
      </c>
      <c r="AY19" s="21">
        <v>0</v>
      </c>
      <c r="AZ19" s="139" t="str">
        <f t="shared" ref="AZ19:AZ27" si="236">IF(AY19=0,"-",AX19/AY19)</f>
        <v>-</v>
      </c>
      <c r="BA19" s="20">
        <v>0</v>
      </c>
      <c r="BB19" s="21">
        <v>0</v>
      </c>
      <c r="BC19" s="276" t="str">
        <f t="shared" ref="BC19:BC27" si="237">IF(BB19=0,"-",BA19/BB19)</f>
        <v>-</v>
      </c>
      <c r="BD19" s="20">
        <v>0</v>
      </c>
      <c r="BE19" s="21">
        <v>0</v>
      </c>
      <c r="BF19" s="139" t="str">
        <f t="shared" ref="BF19:BF27" si="238">IF(BE19=0,"-",BD19/BE19)</f>
        <v>-</v>
      </c>
      <c r="BG19" s="20">
        <v>0</v>
      </c>
      <c r="BH19" s="21">
        <v>0</v>
      </c>
      <c r="BI19" s="139" t="str">
        <f t="shared" ref="BI19:BI27" si="239">IF(BH19=0,"-",BG19/BH19)</f>
        <v>-</v>
      </c>
      <c r="BJ19" s="252">
        <v>20</v>
      </c>
      <c r="BK19" s="253">
        <v>3</v>
      </c>
      <c r="BL19" s="139">
        <f t="shared" si="13"/>
        <v>6.666666666666667</v>
      </c>
      <c r="BM19" s="125">
        <v>0</v>
      </c>
      <c r="BN19" s="126">
        <v>0</v>
      </c>
      <c r="BO19" s="276" t="str">
        <f t="shared" si="223"/>
        <v>-</v>
      </c>
      <c r="BP19" s="20">
        <v>0</v>
      </c>
      <c r="BQ19" s="21">
        <v>0</v>
      </c>
      <c r="BR19" s="139" t="str">
        <f t="shared" si="224"/>
        <v>-</v>
      </c>
      <c r="BS19" s="257">
        <v>0</v>
      </c>
      <c r="BT19" s="253">
        <v>0</v>
      </c>
      <c r="BU19" s="139" t="str">
        <f t="shared" si="161"/>
        <v>-</v>
      </c>
      <c r="BV19" s="20">
        <v>0</v>
      </c>
      <c r="BW19" s="21">
        <v>0</v>
      </c>
      <c r="BX19" s="139" t="str">
        <f t="shared" si="209"/>
        <v>-</v>
      </c>
      <c r="BY19" s="20">
        <v>0</v>
      </c>
      <c r="BZ19" s="21">
        <v>0</v>
      </c>
      <c r="CA19" s="139" t="str">
        <f t="shared" si="225"/>
        <v>-</v>
      </c>
      <c r="CB19" s="20">
        <v>0</v>
      </c>
      <c r="CC19" s="21">
        <v>0</v>
      </c>
      <c r="CD19" s="139" t="str">
        <f t="shared" si="226"/>
        <v>-</v>
      </c>
      <c r="CE19" s="20">
        <v>0</v>
      </c>
      <c r="CF19" s="21">
        <v>0</v>
      </c>
      <c r="CG19" s="139" t="str">
        <f t="shared" si="97"/>
        <v>-</v>
      </c>
      <c r="CH19" s="20">
        <v>0</v>
      </c>
      <c r="CI19" s="21">
        <v>0</v>
      </c>
      <c r="CJ19" s="139" t="str">
        <f t="shared" si="227"/>
        <v>-</v>
      </c>
      <c r="CK19" s="20">
        <v>0</v>
      </c>
      <c r="CL19" s="21">
        <v>0</v>
      </c>
      <c r="CM19" s="139" t="str">
        <f t="shared" si="228"/>
        <v>-</v>
      </c>
      <c r="CN19" s="117">
        <f t="shared" si="23"/>
        <v>265</v>
      </c>
      <c r="CO19" s="120">
        <f t="shared" si="24"/>
        <v>44</v>
      </c>
      <c r="CP19" s="147">
        <f t="shared" si="25"/>
        <v>6.0227272727272725</v>
      </c>
    </row>
    <row r="20" spans="1:94" ht="15" thickBot="1" x14ac:dyDescent="0.35">
      <c r="A20" s="294">
        <v>45612</v>
      </c>
      <c r="B20" s="20">
        <v>16</v>
      </c>
      <c r="C20" s="21">
        <v>2</v>
      </c>
      <c r="D20" s="139">
        <f t="shared" si="0"/>
        <v>8</v>
      </c>
      <c r="E20" s="20">
        <v>0</v>
      </c>
      <c r="F20" s="21">
        <v>0</v>
      </c>
      <c r="G20" s="139" t="str">
        <f t="shared" si="1"/>
        <v>-</v>
      </c>
      <c r="H20" s="20"/>
      <c r="I20" s="21"/>
      <c r="J20" s="139" t="str">
        <f t="shared" si="52"/>
        <v>-</v>
      </c>
      <c r="K20" s="20">
        <v>17</v>
      </c>
      <c r="L20" s="21">
        <v>2</v>
      </c>
      <c r="M20" s="139">
        <f t="shared" si="3"/>
        <v>8.5</v>
      </c>
      <c r="N20" s="125">
        <v>0</v>
      </c>
      <c r="O20" s="126">
        <v>0</v>
      </c>
      <c r="P20" s="139" t="str">
        <f t="shared" si="229"/>
        <v>-</v>
      </c>
      <c r="Q20" s="20">
        <v>10</v>
      </c>
      <c r="R20" s="21">
        <v>2</v>
      </c>
      <c r="S20" s="139">
        <f t="shared" si="5"/>
        <v>5</v>
      </c>
      <c r="T20" s="20">
        <v>75</v>
      </c>
      <c r="U20" s="21">
        <v>25</v>
      </c>
      <c r="V20" s="139">
        <f t="shared" si="6"/>
        <v>3</v>
      </c>
      <c r="W20" s="20"/>
      <c r="X20" s="21"/>
      <c r="Y20" s="278">
        <v>0</v>
      </c>
      <c r="Z20" s="20">
        <v>0</v>
      </c>
      <c r="AA20" s="21">
        <v>0</v>
      </c>
      <c r="AB20" s="278" t="str">
        <f t="shared" si="26"/>
        <v>-</v>
      </c>
      <c r="AC20" s="20">
        <v>0</v>
      </c>
      <c r="AD20" s="21">
        <v>0</v>
      </c>
      <c r="AE20" s="139" t="str">
        <f t="shared" ref="AE20" si="240">IF(AD20=0,"-",AC20/AD20)</f>
        <v>-</v>
      </c>
      <c r="AF20" s="20">
        <v>0</v>
      </c>
      <c r="AG20" s="21">
        <v>0</v>
      </c>
      <c r="AH20" s="139" t="str">
        <f t="shared" ref="AH20" si="241">IF(AG20=0,"-",AF20/AG20)</f>
        <v>-</v>
      </c>
      <c r="AI20" s="20">
        <v>0</v>
      </c>
      <c r="AJ20" s="21">
        <v>0</v>
      </c>
      <c r="AK20" s="139" t="str">
        <f t="shared" ref="AK20" si="242">IF(AJ20=0,"-",AI20/AJ20)</f>
        <v>-</v>
      </c>
      <c r="AL20" s="20">
        <v>0</v>
      </c>
      <c r="AM20" s="21">
        <v>0</v>
      </c>
      <c r="AN20" s="139" t="str">
        <f t="shared" ref="AN20" si="243">IF(AM20=0,"-",AL20/AM20)</f>
        <v>-</v>
      </c>
      <c r="AO20" s="20">
        <v>0</v>
      </c>
      <c r="AP20" s="21">
        <v>0</v>
      </c>
      <c r="AQ20" s="139" t="str">
        <f t="shared" ref="AQ20" si="244">IF(AP20=0,"-",AO20/AP20)</f>
        <v>-</v>
      </c>
      <c r="AR20" s="23">
        <v>0</v>
      </c>
      <c r="AS20" s="21">
        <v>0</v>
      </c>
      <c r="AT20" s="139" t="str">
        <f t="shared" si="43"/>
        <v>-</v>
      </c>
      <c r="AU20" s="20">
        <v>0</v>
      </c>
      <c r="AV20" s="21">
        <v>0</v>
      </c>
      <c r="AW20" s="139" t="str">
        <f t="shared" si="235"/>
        <v>-</v>
      </c>
      <c r="AX20" s="20">
        <v>0</v>
      </c>
      <c r="AY20" s="21">
        <v>0</v>
      </c>
      <c r="AZ20" s="139">
        <v>0</v>
      </c>
      <c r="BA20" s="20">
        <v>0</v>
      </c>
      <c r="BB20" s="21">
        <v>0</v>
      </c>
      <c r="BC20" s="276" t="str">
        <f t="shared" si="237"/>
        <v>-</v>
      </c>
      <c r="BD20" s="20">
        <v>0</v>
      </c>
      <c r="BE20" s="21">
        <v>0</v>
      </c>
      <c r="BF20" s="139" t="str">
        <f t="shared" si="238"/>
        <v>-</v>
      </c>
      <c r="BG20" s="20">
        <v>0</v>
      </c>
      <c r="BH20" s="21">
        <v>0</v>
      </c>
      <c r="BI20" s="139" t="str">
        <f t="shared" si="239"/>
        <v>-</v>
      </c>
      <c r="BJ20" s="252">
        <v>26</v>
      </c>
      <c r="BK20" s="253">
        <v>4</v>
      </c>
      <c r="BL20" s="139">
        <f t="shared" si="13"/>
        <v>6.5</v>
      </c>
      <c r="BM20" s="125">
        <v>0</v>
      </c>
      <c r="BN20" s="126">
        <v>0</v>
      </c>
      <c r="BO20" s="276" t="str">
        <f t="shared" si="223"/>
        <v>-</v>
      </c>
      <c r="BP20" s="20">
        <v>0</v>
      </c>
      <c r="BQ20" s="21">
        <v>0</v>
      </c>
      <c r="BR20" s="139" t="str">
        <f t="shared" si="224"/>
        <v>-</v>
      </c>
      <c r="BS20" s="257">
        <v>0</v>
      </c>
      <c r="BT20" s="253">
        <v>0</v>
      </c>
      <c r="BU20" s="139" t="str">
        <f t="shared" si="161"/>
        <v>-</v>
      </c>
      <c r="BV20" s="20">
        <v>0</v>
      </c>
      <c r="BW20" s="21">
        <v>0</v>
      </c>
      <c r="BX20" s="139" t="str">
        <f t="shared" ref="BX20:BX22" si="245">IF(BW20=0,"-",BV20/BW20)</f>
        <v>-</v>
      </c>
      <c r="BY20" s="20">
        <v>0</v>
      </c>
      <c r="BZ20" s="21">
        <v>0</v>
      </c>
      <c r="CA20" s="139" t="str">
        <f t="shared" si="225"/>
        <v>-</v>
      </c>
      <c r="CB20" s="20">
        <v>0</v>
      </c>
      <c r="CC20" s="21">
        <v>0</v>
      </c>
      <c r="CD20" s="139" t="str">
        <f t="shared" si="226"/>
        <v>-</v>
      </c>
      <c r="CE20" s="20">
        <v>0</v>
      </c>
      <c r="CF20" s="21">
        <v>0</v>
      </c>
      <c r="CG20" s="139" t="str">
        <f t="shared" si="97"/>
        <v>-</v>
      </c>
      <c r="CH20" s="20">
        <v>0</v>
      </c>
      <c r="CI20" s="21">
        <v>0</v>
      </c>
      <c r="CJ20" s="139" t="str">
        <f t="shared" si="227"/>
        <v>-</v>
      </c>
      <c r="CK20" s="20">
        <v>0</v>
      </c>
      <c r="CL20" s="21">
        <v>0</v>
      </c>
      <c r="CM20" s="139" t="str">
        <f t="shared" si="228"/>
        <v>-</v>
      </c>
      <c r="CN20" s="117">
        <f t="shared" si="23"/>
        <v>144</v>
      </c>
      <c r="CO20" s="120">
        <f t="shared" si="24"/>
        <v>35</v>
      </c>
      <c r="CP20" s="147">
        <f t="shared" si="25"/>
        <v>4.1142857142857139</v>
      </c>
    </row>
    <row r="21" spans="1:94" ht="15" thickBot="1" x14ac:dyDescent="0.35">
      <c r="A21" s="294">
        <v>45613</v>
      </c>
      <c r="B21" s="20">
        <v>17</v>
      </c>
      <c r="C21" s="21">
        <v>2</v>
      </c>
      <c r="D21" s="139">
        <f t="shared" si="0"/>
        <v>8.5</v>
      </c>
      <c r="E21" s="20">
        <v>0</v>
      </c>
      <c r="F21" s="21">
        <v>0</v>
      </c>
      <c r="G21" s="139" t="str">
        <f t="shared" si="1"/>
        <v>-</v>
      </c>
      <c r="H21" s="20"/>
      <c r="I21" s="21"/>
      <c r="J21" s="139" t="str">
        <f t="shared" si="52"/>
        <v>-</v>
      </c>
      <c r="K21" s="20">
        <v>0</v>
      </c>
      <c r="L21" s="21">
        <v>0</v>
      </c>
      <c r="M21" s="139" t="str">
        <f t="shared" si="3"/>
        <v>-</v>
      </c>
      <c r="N21" s="125">
        <v>0</v>
      </c>
      <c r="O21" s="126">
        <v>0</v>
      </c>
      <c r="P21" s="139" t="str">
        <f t="shared" si="229"/>
        <v>-</v>
      </c>
      <c r="Q21" s="20">
        <v>0</v>
      </c>
      <c r="R21" s="21">
        <v>0</v>
      </c>
      <c r="S21" s="139" t="str">
        <f t="shared" si="5"/>
        <v>-</v>
      </c>
      <c r="T21" s="20">
        <v>0</v>
      </c>
      <c r="U21" s="21">
        <v>0</v>
      </c>
      <c r="V21" s="139" t="str">
        <f t="shared" si="6"/>
        <v>-</v>
      </c>
      <c r="W21" s="20"/>
      <c r="X21" s="21"/>
      <c r="Y21" s="139" t="str">
        <f t="shared" ref="Y21:Y32" si="246">IF(X21=0,"-",W21/X21)</f>
        <v>-</v>
      </c>
      <c r="Z21" s="20">
        <v>0</v>
      </c>
      <c r="AA21" s="21">
        <v>0</v>
      </c>
      <c r="AB21" s="139" t="str">
        <f t="shared" si="26"/>
        <v>-</v>
      </c>
      <c r="AC21" s="20">
        <v>0</v>
      </c>
      <c r="AD21" s="21">
        <v>0</v>
      </c>
      <c r="AE21" s="139" t="str">
        <f t="shared" ref="AE21" si="247">IF(AD21=0,"-",AC21/AD21)</f>
        <v>-</v>
      </c>
      <c r="AF21" s="20">
        <v>0</v>
      </c>
      <c r="AG21" s="21">
        <v>0</v>
      </c>
      <c r="AH21" s="139" t="str">
        <f t="shared" ref="AH21" si="248">IF(AG21=0,"-",AF21/AG21)</f>
        <v>-</v>
      </c>
      <c r="AI21" s="20">
        <v>0</v>
      </c>
      <c r="AJ21" s="21">
        <v>0</v>
      </c>
      <c r="AK21" s="139" t="str">
        <f t="shared" ref="AK21" si="249">IF(AJ21=0,"-",AI21/AJ21)</f>
        <v>-</v>
      </c>
      <c r="AL21" s="20">
        <v>0</v>
      </c>
      <c r="AM21" s="21">
        <v>0</v>
      </c>
      <c r="AN21" s="139" t="str">
        <f t="shared" ref="AN21" si="250">IF(AM21=0,"-",AL21/AM21)</f>
        <v>-</v>
      </c>
      <c r="AO21" s="20">
        <v>0</v>
      </c>
      <c r="AP21" s="21">
        <v>0</v>
      </c>
      <c r="AQ21" s="139" t="str">
        <f t="shared" ref="AQ21" si="251">IF(AP21=0,"-",AO21/AP21)</f>
        <v>-</v>
      </c>
      <c r="AR21" s="23">
        <v>0</v>
      </c>
      <c r="AS21" s="21">
        <v>0</v>
      </c>
      <c r="AT21" s="139" t="str">
        <f t="shared" si="43"/>
        <v>-</v>
      </c>
      <c r="AU21" s="20">
        <v>0</v>
      </c>
      <c r="AV21" s="21">
        <v>0</v>
      </c>
      <c r="AW21" s="139" t="str">
        <f t="shared" ref="AW21" si="252">IF(AV21=0,"-",AU21/AV21)</f>
        <v>-</v>
      </c>
      <c r="AX21" s="20">
        <v>0</v>
      </c>
      <c r="AY21" s="21">
        <v>0</v>
      </c>
      <c r="AZ21" s="139" t="str">
        <f t="shared" si="236"/>
        <v>-</v>
      </c>
      <c r="BA21" s="20">
        <v>0</v>
      </c>
      <c r="BB21" s="21">
        <v>0</v>
      </c>
      <c r="BC21" s="139" t="str">
        <f t="shared" si="237"/>
        <v>-</v>
      </c>
      <c r="BD21" s="20">
        <v>0</v>
      </c>
      <c r="BE21" s="21">
        <v>0</v>
      </c>
      <c r="BF21" s="139" t="str">
        <f t="shared" si="238"/>
        <v>-</v>
      </c>
      <c r="BG21" s="20">
        <v>0</v>
      </c>
      <c r="BH21" s="21">
        <v>0</v>
      </c>
      <c r="BI21" s="139" t="str">
        <f t="shared" si="239"/>
        <v>-</v>
      </c>
      <c r="BJ21" s="252">
        <v>12</v>
      </c>
      <c r="BK21" s="253">
        <v>2</v>
      </c>
      <c r="BL21" s="139">
        <f t="shared" si="13"/>
        <v>6</v>
      </c>
      <c r="BM21" s="125">
        <v>0</v>
      </c>
      <c r="BN21" s="126">
        <v>0</v>
      </c>
      <c r="BO21" s="276" t="str">
        <f t="shared" si="223"/>
        <v>-</v>
      </c>
      <c r="BP21" s="20">
        <v>0</v>
      </c>
      <c r="BQ21" s="21">
        <v>0</v>
      </c>
      <c r="BR21" s="139" t="str">
        <f t="shared" si="224"/>
        <v>-</v>
      </c>
      <c r="BS21" s="257">
        <v>6</v>
      </c>
      <c r="BT21" s="253">
        <v>1</v>
      </c>
      <c r="BU21" s="139">
        <f t="shared" si="161"/>
        <v>6</v>
      </c>
      <c r="BV21" s="20">
        <v>0</v>
      </c>
      <c r="BW21" s="21">
        <v>0</v>
      </c>
      <c r="BX21" s="139" t="str">
        <f t="shared" si="245"/>
        <v>-</v>
      </c>
      <c r="BY21" s="20">
        <v>0</v>
      </c>
      <c r="BZ21" s="21">
        <v>0</v>
      </c>
      <c r="CA21" s="139" t="str">
        <f t="shared" si="225"/>
        <v>-</v>
      </c>
      <c r="CB21" s="20">
        <v>0</v>
      </c>
      <c r="CC21" s="21">
        <v>0</v>
      </c>
      <c r="CD21" s="139" t="str">
        <f t="shared" si="226"/>
        <v>-</v>
      </c>
      <c r="CE21" s="20">
        <v>0</v>
      </c>
      <c r="CF21" s="21">
        <v>0</v>
      </c>
      <c r="CG21" s="139" t="str">
        <f t="shared" si="97"/>
        <v>-</v>
      </c>
      <c r="CH21" s="20">
        <v>0</v>
      </c>
      <c r="CI21" s="21">
        <v>0</v>
      </c>
      <c r="CJ21" s="139" t="str">
        <f t="shared" si="227"/>
        <v>-</v>
      </c>
      <c r="CK21" s="20">
        <v>0</v>
      </c>
      <c r="CL21" s="21">
        <v>0</v>
      </c>
      <c r="CM21" s="139" t="str">
        <f t="shared" si="228"/>
        <v>-</v>
      </c>
      <c r="CN21" s="117">
        <f t="shared" si="23"/>
        <v>35</v>
      </c>
      <c r="CO21" s="120">
        <f t="shared" si="24"/>
        <v>5</v>
      </c>
      <c r="CP21" s="147">
        <f t="shared" si="25"/>
        <v>7</v>
      </c>
    </row>
    <row r="22" spans="1:94" ht="15" thickBot="1" x14ac:dyDescent="0.35">
      <c r="A22" s="294">
        <v>45614</v>
      </c>
      <c r="B22" s="20">
        <v>41</v>
      </c>
      <c r="C22" s="21">
        <v>5</v>
      </c>
      <c r="D22" s="139">
        <f t="shared" si="0"/>
        <v>8.1999999999999993</v>
      </c>
      <c r="E22" s="20">
        <v>0</v>
      </c>
      <c r="F22" s="21">
        <v>0</v>
      </c>
      <c r="G22" s="139" t="str">
        <f t="shared" si="1"/>
        <v>-</v>
      </c>
      <c r="H22" s="20"/>
      <c r="I22" s="21"/>
      <c r="J22" s="139" t="str">
        <f t="shared" si="52"/>
        <v>-</v>
      </c>
      <c r="K22" s="20">
        <v>8</v>
      </c>
      <c r="L22" s="21">
        <v>1</v>
      </c>
      <c r="M22" s="139">
        <f t="shared" si="3"/>
        <v>8</v>
      </c>
      <c r="N22" s="125">
        <v>0</v>
      </c>
      <c r="O22" s="126">
        <v>0</v>
      </c>
      <c r="P22" s="139" t="str">
        <f t="shared" si="229"/>
        <v>-</v>
      </c>
      <c r="Q22" s="20">
        <v>37</v>
      </c>
      <c r="R22" s="21">
        <v>8</v>
      </c>
      <c r="S22" s="139">
        <f t="shared" si="5"/>
        <v>4.625</v>
      </c>
      <c r="T22" s="20">
        <v>27</v>
      </c>
      <c r="U22" s="21">
        <v>9</v>
      </c>
      <c r="V22" s="139">
        <f t="shared" si="6"/>
        <v>3</v>
      </c>
      <c r="W22" s="20"/>
      <c r="X22" s="21"/>
      <c r="Y22" s="139" t="str">
        <f t="shared" si="246"/>
        <v>-</v>
      </c>
      <c r="Z22" s="20">
        <v>24</v>
      </c>
      <c r="AA22" s="21">
        <v>8</v>
      </c>
      <c r="AB22" s="139">
        <f t="shared" si="26"/>
        <v>3</v>
      </c>
      <c r="AC22" s="20">
        <v>0</v>
      </c>
      <c r="AD22" s="21">
        <v>0</v>
      </c>
      <c r="AE22" s="139" t="str">
        <f t="shared" ref="AE22" si="253">IF(AD22=0,"-",AC22/AD22)</f>
        <v>-</v>
      </c>
      <c r="AF22" s="20">
        <v>0</v>
      </c>
      <c r="AG22" s="21">
        <v>0</v>
      </c>
      <c r="AH22" s="139" t="str">
        <f t="shared" ref="AH22" si="254">IF(AG22=0,"-",AF22/AG22)</f>
        <v>-</v>
      </c>
      <c r="AI22" s="20">
        <v>0</v>
      </c>
      <c r="AJ22" s="21">
        <v>0</v>
      </c>
      <c r="AK22" s="139" t="str">
        <f t="shared" ref="AK22" si="255">IF(AJ22=0,"-",AI22/AJ22)</f>
        <v>-</v>
      </c>
      <c r="AL22" s="20">
        <v>0</v>
      </c>
      <c r="AM22" s="21">
        <v>0</v>
      </c>
      <c r="AN22" s="139" t="str">
        <f t="shared" ref="AN22" si="256">IF(AM22=0,"-",AL22/AM22)</f>
        <v>-</v>
      </c>
      <c r="AO22" s="20">
        <v>0</v>
      </c>
      <c r="AP22" s="21">
        <v>0</v>
      </c>
      <c r="AQ22" s="139" t="str">
        <f t="shared" ref="AQ22" si="257">IF(AP22=0,"-",AO22/AP22)</f>
        <v>-</v>
      </c>
      <c r="AR22" s="21">
        <v>3</v>
      </c>
      <c r="AS22" s="148">
        <v>1</v>
      </c>
      <c r="AT22" s="139">
        <f t="shared" si="43"/>
        <v>3</v>
      </c>
      <c r="AU22" s="21">
        <v>0</v>
      </c>
      <c r="AV22" s="148">
        <v>0</v>
      </c>
      <c r="AW22" s="139" t="str">
        <f>IF(AU22=0,"-",#REF!/AU22)</f>
        <v>-</v>
      </c>
      <c r="AX22" s="21">
        <v>1</v>
      </c>
      <c r="AY22" s="148">
        <v>1</v>
      </c>
      <c r="AZ22" s="139">
        <f t="shared" si="236"/>
        <v>1</v>
      </c>
      <c r="BA22" s="21">
        <v>0</v>
      </c>
      <c r="BB22" s="148">
        <v>0</v>
      </c>
      <c r="BC22" s="139" t="str">
        <f>IF(BA22=0,"-",#REF!/BA22)</f>
        <v>-</v>
      </c>
      <c r="BD22" s="21">
        <v>0</v>
      </c>
      <c r="BE22" s="148">
        <v>0</v>
      </c>
      <c r="BF22" s="139" t="str">
        <f>IF(BD22=0,"-",#REF!/BD22)</f>
        <v>-</v>
      </c>
      <c r="BG22" s="21">
        <v>27</v>
      </c>
      <c r="BH22" s="148">
        <v>3</v>
      </c>
      <c r="BI22" s="139">
        <f t="shared" si="239"/>
        <v>9</v>
      </c>
      <c r="BJ22" s="252">
        <v>7</v>
      </c>
      <c r="BK22" s="253">
        <v>1</v>
      </c>
      <c r="BL22" s="139">
        <f t="shared" si="13"/>
        <v>7</v>
      </c>
      <c r="BM22" s="125">
        <v>0</v>
      </c>
      <c r="BN22" s="126">
        <v>0</v>
      </c>
      <c r="BO22" s="276" t="str">
        <f t="shared" si="223"/>
        <v>-</v>
      </c>
      <c r="BP22" s="20">
        <v>0</v>
      </c>
      <c r="BQ22" s="21">
        <v>0</v>
      </c>
      <c r="BR22" s="139" t="str">
        <f t="shared" si="224"/>
        <v>-</v>
      </c>
      <c r="BS22" s="257">
        <v>0</v>
      </c>
      <c r="BT22" s="253">
        <v>0</v>
      </c>
      <c r="BU22" s="139" t="str">
        <f t="shared" si="161"/>
        <v>-</v>
      </c>
      <c r="BV22" s="20">
        <v>0</v>
      </c>
      <c r="BW22" s="21">
        <v>0</v>
      </c>
      <c r="BX22" s="139" t="str">
        <f t="shared" si="245"/>
        <v>-</v>
      </c>
      <c r="BY22" s="20">
        <v>0</v>
      </c>
      <c r="BZ22" s="21">
        <v>0</v>
      </c>
      <c r="CA22" s="139" t="str">
        <f t="shared" si="225"/>
        <v>-</v>
      </c>
      <c r="CB22" s="20">
        <v>0</v>
      </c>
      <c r="CC22" s="21">
        <v>0</v>
      </c>
      <c r="CD22" s="139" t="str">
        <f t="shared" si="226"/>
        <v>-</v>
      </c>
      <c r="CE22" s="20">
        <v>0</v>
      </c>
      <c r="CF22" s="21">
        <v>0</v>
      </c>
      <c r="CG22" s="139" t="str">
        <f t="shared" si="97"/>
        <v>-</v>
      </c>
      <c r="CH22" s="20">
        <v>0</v>
      </c>
      <c r="CI22" s="21">
        <v>0</v>
      </c>
      <c r="CJ22" s="139" t="str">
        <f t="shared" si="227"/>
        <v>-</v>
      </c>
      <c r="CK22" s="20">
        <v>0</v>
      </c>
      <c r="CL22" s="21">
        <v>0</v>
      </c>
      <c r="CM22" s="139" t="str">
        <f t="shared" si="228"/>
        <v>-</v>
      </c>
      <c r="CN22" s="117">
        <f t="shared" si="23"/>
        <v>175</v>
      </c>
      <c r="CO22" s="120">
        <f t="shared" si="24"/>
        <v>37</v>
      </c>
      <c r="CP22" s="147">
        <f t="shared" si="25"/>
        <v>4.7297297297297298</v>
      </c>
    </row>
    <row r="23" spans="1:94" ht="15" thickBot="1" x14ac:dyDescent="0.35">
      <c r="A23" s="294">
        <v>45615</v>
      </c>
      <c r="B23" s="20">
        <v>45</v>
      </c>
      <c r="C23" s="21">
        <v>5</v>
      </c>
      <c r="D23" s="139">
        <f t="shared" si="0"/>
        <v>9</v>
      </c>
      <c r="E23" s="20">
        <v>0</v>
      </c>
      <c r="F23" s="21">
        <v>0</v>
      </c>
      <c r="G23" s="139" t="str">
        <f t="shared" si="1"/>
        <v>-</v>
      </c>
      <c r="H23" s="20"/>
      <c r="I23" s="21"/>
      <c r="J23" s="139" t="str">
        <f t="shared" si="52"/>
        <v>-</v>
      </c>
      <c r="K23" s="20">
        <v>18</v>
      </c>
      <c r="L23" s="21">
        <v>2</v>
      </c>
      <c r="M23" s="139">
        <f t="shared" si="3"/>
        <v>9</v>
      </c>
      <c r="N23" s="125">
        <v>0</v>
      </c>
      <c r="O23" s="126">
        <v>0</v>
      </c>
      <c r="P23" s="139" t="str">
        <f t="shared" si="4"/>
        <v>-</v>
      </c>
      <c r="Q23" s="20">
        <v>39</v>
      </c>
      <c r="R23" s="21">
        <v>8</v>
      </c>
      <c r="S23" s="139">
        <f t="shared" si="5"/>
        <v>4.875</v>
      </c>
      <c r="T23" s="20">
        <v>21</v>
      </c>
      <c r="U23" s="21">
        <v>7</v>
      </c>
      <c r="V23" s="139">
        <f t="shared" si="6"/>
        <v>3</v>
      </c>
      <c r="W23" s="20"/>
      <c r="X23" s="21"/>
      <c r="Y23" s="139" t="str">
        <f t="shared" si="246"/>
        <v>-</v>
      </c>
      <c r="Z23" s="20">
        <v>24</v>
      </c>
      <c r="AA23" s="21">
        <v>8</v>
      </c>
      <c r="AB23" s="139">
        <f t="shared" si="26"/>
        <v>3</v>
      </c>
      <c r="AC23" s="20">
        <v>0</v>
      </c>
      <c r="AD23" s="21">
        <v>0</v>
      </c>
      <c r="AE23" s="139" t="str">
        <f t="shared" ref="AE23:AE24" si="258">IF(AD23=0,"-",AC23/AD23)</f>
        <v>-</v>
      </c>
      <c r="AF23" s="20">
        <v>6</v>
      </c>
      <c r="AG23" s="21">
        <v>1</v>
      </c>
      <c r="AH23" s="139">
        <f t="shared" ref="AH23:AH24" si="259">IF(AG23=0,"-",AF23/AG23)</f>
        <v>6</v>
      </c>
      <c r="AI23" s="20">
        <v>0</v>
      </c>
      <c r="AJ23" s="21">
        <v>0</v>
      </c>
      <c r="AK23" s="139" t="str">
        <f t="shared" ref="AK23:AK24" si="260">IF(AJ23=0,"-",AI23/AJ23)</f>
        <v>-</v>
      </c>
      <c r="AL23" s="20">
        <v>7</v>
      </c>
      <c r="AM23" s="21">
        <v>1</v>
      </c>
      <c r="AN23" s="139">
        <f t="shared" si="41"/>
        <v>7</v>
      </c>
      <c r="AO23" s="20">
        <v>0</v>
      </c>
      <c r="AP23" s="21">
        <v>0</v>
      </c>
      <c r="AQ23" s="139" t="str">
        <f t="shared" ref="AQ23:AQ25" si="261">IF(AP23=0,"-",AO23/AP23)</f>
        <v>-</v>
      </c>
      <c r="AR23" s="21">
        <v>0</v>
      </c>
      <c r="AS23" s="148">
        <v>0</v>
      </c>
      <c r="AT23" s="139" t="str">
        <f t="shared" si="43"/>
        <v>-</v>
      </c>
      <c r="AU23" s="21">
        <v>0</v>
      </c>
      <c r="AV23" s="148">
        <v>0</v>
      </c>
      <c r="AW23" s="139" t="str">
        <f>IF(AU23=0,"-",#REF!/AU23)</f>
        <v>-</v>
      </c>
      <c r="AX23" s="21">
        <v>0</v>
      </c>
      <c r="AY23" s="148">
        <v>0</v>
      </c>
      <c r="AZ23" s="139" t="str">
        <f t="shared" si="236"/>
        <v>-</v>
      </c>
      <c r="BA23" s="21">
        <v>0</v>
      </c>
      <c r="BB23" s="148">
        <v>0</v>
      </c>
      <c r="BC23" s="139" t="str">
        <f>IF(BA23=0,"-",#REF!/BA23)</f>
        <v>-</v>
      </c>
      <c r="BD23" s="21">
        <v>0</v>
      </c>
      <c r="BE23" s="148">
        <v>0</v>
      </c>
      <c r="BF23" s="139" t="str">
        <f>IF(BD23=0,"-",#REF!/BD23)</f>
        <v>-</v>
      </c>
      <c r="BG23" s="21">
        <v>0</v>
      </c>
      <c r="BH23" s="148">
        <v>0</v>
      </c>
      <c r="BI23" s="139" t="str">
        <f t="shared" si="239"/>
        <v>-</v>
      </c>
      <c r="BJ23" s="252">
        <v>13</v>
      </c>
      <c r="BK23" s="253">
        <v>2</v>
      </c>
      <c r="BL23" s="139">
        <f t="shared" si="13"/>
        <v>6.5</v>
      </c>
      <c r="BM23" s="252">
        <v>0</v>
      </c>
      <c r="BN23" s="253">
        <v>0</v>
      </c>
      <c r="BO23" s="139" t="str">
        <f t="shared" si="14"/>
        <v>-</v>
      </c>
      <c r="BP23" s="252">
        <v>0</v>
      </c>
      <c r="BQ23" s="253">
        <v>0</v>
      </c>
      <c r="BR23" s="139" t="str">
        <f t="shared" ref="BR23:BR28" si="262">IF(BQ23=0,"-",BP23/BQ23)</f>
        <v>-</v>
      </c>
      <c r="BS23" s="252">
        <v>7</v>
      </c>
      <c r="BT23" s="253">
        <v>1</v>
      </c>
      <c r="BU23" s="139">
        <f t="shared" si="161"/>
        <v>7</v>
      </c>
      <c r="BV23" s="252">
        <v>0</v>
      </c>
      <c r="BW23" s="253">
        <v>0</v>
      </c>
      <c r="BX23" s="139" t="str">
        <f t="shared" si="49"/>
        <v>-</v>
      </c>
      <c r="BY23" s="252">
        <v>0</v>
      </c>
      <c r="BZ23" s="253">
        <v>0</v>
      </c>
      <c r="CA23" s="139" t="str">
        <f t="shared" ref="CA23" si="263">IF(BZ23=0,"-",BY23/BZ23)</f>
        <v>-</v>
      </c>
      <c r="CB23" s="252">
        <v>0</v>
      </c>
      <c r="CC23" s="253">
        <v>0</v>
      </c>
      <c r="CD23" s="139" t="str">
        <f t="shared" ref="CD23" si="264">IF(CC23=0,"-",CB23/CC23)</f>
        <v>-</v>
      </c>
      <c r="CE23" s="252">
        <v>0</v>
      </c>
      <c r="CF23" s="253">
        <v>0</v>
      </c>
      <c r="CG23" s="139" t="str">
        <f t="shared" si="97"/>
        <v>-</v>
      </c>
      <c r="CH23" s="20">
        <v>0</v>
      </c>
      <c r="CI23" s="21">
        <v>0</v>
      </c>
      <c r="CJ23" s="139" t="str">
        <f t="shared" ref="CJ23" si="265">IF(CI23=0,"-",CH23/CI23)</f>
        <v>-</v>
      </c>
      <c r="CK23" s="20">
        <v>0</v>
      </c>
      <c r="CL23" s="21">
        <v>0</v>
      </c>
      <c r="CM23" s="139" t="str">
        <f t="shared" ref="CM23" si="266">IF(CL23=0,"-",CK23/CL23)</f>
        <v>-</v>
      </c>
      <c r="CN23" s="117">
        <f t="shared" si="23"/>
        <v>180</v>
      </c>
      <c r="CO23" s="120">
        <f t="shared" si="24"/>
        <v>34</v>
      </c>
      <c r="CP23" s="147">
        <f t="shared" si="25"/>
        <v>5.2941176470588234</v>
      </c>
    </row>
    <row r="24" spans="1:94" ht="15" thickBot="1" x14ac:dyDescent="0.35">
      <c r="A24" s="294">
        <v>45616</v>
      </c>
      <c r="B24" s="20">
        <v>52</v>
      </c>
      <c r="C24" s="21">
        <v>6</v>
      </c>
      <c r="D24" s="139">
        <f t="shared" si="0"/>
        <v>8.6666666666666661</v>
      </c>
      <c r="E24" s="20">
        <v>8</v>
      </c>
      <c r="F24" s="21">
        <v>1</v>
      </c>
      <c r="G24" s="139">
        <f t="shared" si="1"/>
        <v>8</v>
      </c>
      <c r="H24" s="20"/>
      <c r="I24" s="21"/>
      <c r="J24" s="139" t="str">
        <f t="shared" si="52"/>
        <v>-</v>
      </c>
      <c r="K24" s="20">
        <v>0</v>
      </c>
      <c r="L24" s="21">
        <v>0</v>
      </c>
      <c r="M24" s="139" t="str">
        <f t="shared" si="3"/>
        <v>-</v>
      </c>
      <c r="N24" s="125">
        <v>0</v>
      </c>
      <c r="O24" s="126">
        <v>0</v>
      </c>
      <c r="P24" s="139" t="str">
        <f t="shared" ref="P24:P28" si="267">IF(O24=0,"-",N24/O24)</f>
        <v>-</v>
      </c>
      <c r="Q24" s="20">
        <v>20</v>
      </c>
      <c r="R24" s="21">
        <v>4</v>
      </c>
      <c r="S24" s="139">
        <f t="shared" si="5"/>
        <v>5</v>
      </c>
      <c r="T24" s="20">
        <v>33</v>
      </c>
      <c r="U24" s="21">
        <v>7</v>
      </c>
      <c r="V24" s="139">
        <f t="shared" si="6"/>
        <v>4.7142857142857144</v>
      </c>
      <c r="W24" s="20"/>
      <c r="X24" s="21"/>
      <c r="Y24" s="139" t="str">
        <f t="shared" si="246"/>
        <v>-</v>
      </c>
      <c r="Z24" s="20">
        <v>18</v>
      </c>
      <c r="AA24" s="21">
        <v>6</v>
      </c>
      <c r="AB24" s="139">
        <f t="shared" si="26"/>
        <v>3</v>
      </c>
      <c r="AC24" s="20">
        <v>15</v>
      </c>
      <c r="AD24" s="21">
        <v>3</v>
      </c>
      <c r="AE24" s="139">
        <f t="shared" si="258"/>
        <v>5</v>
      </c>
      <c r="AF24" s="20">
        <v>12</v>
      </c>
      <c r="AG24" s="21">
        <v>2</v>
      </c>
      <c r="AH24" s="139">
        <f t="shared" si="259"/>
        <v>6</v>
      </c>
      <c r="AI24" s="20">
        <v>11</v>
      </c>
      <c r="AJ24" s="21">
        <v>2</v>
      </c>
      <c r="AK24" s="139">
        <f t="shared" si="260"/>
        <v>5.5</v>
      </c>
      <c r="AL24" s="20">
        <v>0</v>
      </c>
      <c r="AM24" s="21">
        <v>0</v>
      </c>
      <c r="AN24" s="139" t="str">
        <f t="shared" si="41"/>
        <v>-</v>
      </c>
      <c r="AO24" s="20">
        <v>0</v>
      </c>
      <c r="AP24" s="21">
        <v>0</v>
      </c>
      <c r="AQ24" s="139" t="str">
        <f t="shared" si="261"/>
        <v>-</v>
      </c>
      <c r="AR24" s="21">
        <v>4</v>
      </c>
      <c r="AS24" s="148">
        <v>1</v>
      </c>
      <c r="AT24" s="139">
        <f t="shared" si="43"/>
        <v>4</v>
      </c>
      <c r="AU24" s="21">
        <v>0</v>
      </c>
      <c r="AV24" s="148">
        <v>0</v>
      </c>
      <c r="AW24" s="139" t="str">
        <f>IF(AU24=0,"-",#REF!/AU24)</f>
        <v>-</v>
      </c>
      <c r="AX24" s="21">
        <v>0</v>
      </c>
      <c r="AY24" s="148">
        <v>0</v>
      </c>
      <c r="AZ24" s="139" t="str">
        <f t="shared" si="236"/>
        <v>-</v>
      </c>
      <c r="BA24" s="21">
        <v>0</v>
      </c>
      <c r="BB24" s="148">
        <v>0</v>
      </c>
      <c r="BC24" s="139" t="str">
        <f>IF(BA24=0,"-",#REF!/BA24)</f>
        <v>-</v>
      </c>
      <c r="BD24" s="21">
        <v>0</v>
      </c>
      <c r="BE24" s="148">
        <v>0</v>
      </c>
      <c r="BF24" s="139" t="str">
        <f>IF(BD24=0,"-",#REF!/BD24)</f>
        <v>-</v>
      </c>
      <c r="BG24" s="21">
        <v>0</v>
      </c>
      <c r="BH24" s="148">
        <v>0</v>
      </c>
      <c r="BI24" s="139" t="str">
        <f t="shared" si="239"/>
        <v>-</v>
      </c>
      <c r="BJ24" s="252">
        <v>14</v>
      </c>
      <c r="BK24" s="253">
        <v>2</v>
      </c>
      <c r="BL24" s="139">
        <f t="shared" si="13"/>
        <v>7</v>
      </c>
      <c r="BM24" s="252">
        <v>14</v>
      </c>
      <c r="BN24" s="253">
        <v>2</v>
      </c>
      <c r="BO24" s="139">
        <f t="shared" si="14"/>
        <v>7</v>
      </c>
      <c r="BP24" s="302">
        <v>28</v>
      </c>
      <c r="BQ24" s="303">
        <v>4</v>
      </c>
      <c r="BR24" s="139">
        <f t="shared" si="262"/>
        <v>7</v>
      </c>
      <c r="BS24" s="256">
        <v>0</v>
      </c>
      <c r="BT24" s="253">
        <v>0</v>
      </c>
      <c r="BU24" s="139" t="str">
        <f t="shared" si="161"/>
        <v>-</v>
      </c>
      <c r="BV24" s="252">
        <v>0</v>
      </c>
      <c r="BW24" s="253">
        <v>0</v>
      </c>
      <c r="BX24" s="139" t="str">
        <f t="shared" ref="BX24:BX27" si="268">IF(BW24=0,"-",BV24/BW24)</f>
        <v>-</v>
      </c>
      <c r="BY24" s="252">
        <v>0</v>
      </c>
      <c r="BZ24" s="253">
        <v>0</v>
      </c>
      <c r="CA24" s="139" t="str">
        <f t="shared" ref="CA24:CA27" si="269">IF(BZ24=0,"-",BY24/BZ24)</f>
        <v>-</v>
      </c>
      <c r="CB24" s="252">
        <v>0</v>
      </c>
      <c r="CC24" s="253">
        <v>0</v>
      </c>
      <c r="CD24" s="139" t="str">
        <f t="shared" ref="CD24:CD27" si="270">IF(CC24=0,"-",CB24/CC24)</f>
        <v>-</v>
      </c>
      <c r="CE24" s="252">
        <v>23</v>
      </c>
      <c r="CF24" s="253">
        <v>4</v>
      </c>
      <c r="CG24" s="139">
        <f t="shared" si="97"/>
        <v>5.75</v>
      </c>
      <c r="CH24" s="20">
        <v>0</v>
      </c>
      <c r="CI24" s="21">
        <v>0</v>
      </c>
      <c r="CJ24" s="139" t="str">
        <f t="shared" ref="CJ24" si="271">IF(CI24=0,"-",CH24/CI24)</f>
        <v>-</v>
      </c>
      <c r="CK24" s="20">
        <v>0</v>
      </c>
      <c r="CL24" s="21">
        <v>0</v>
      </c>
      <c r="CM24" s="139" t="str">
        <f t="shared" ref="CM24" si="272">IF(CL24=0,"-",CK24/CL24)</f>
        <v>-</v>
      </c>
      <c r="CN24" s="117">
        <f t="shared" si="23"/>
        <v>252</v>
      </c>
      <c r="CO24" s="120">
        <f t="shared" si="24"/>
        <v>44</v>
      </c>
      <c r="CP24" s="147">
        <f t="shared" si="25"/>
        <v>5.7272727272727275</v>
      </c>
    </row>
    <row r="25" spans="1:94" ht="15" thickBot="1" x14ac:dyDescent="0.35">
      <c r="A25" s="294">
        <v>45617</v>
      </c>
      <c r="B25" s="20">
        <v>18</v>
      </c>
      <c r="C25" s="21">
        <v>2</v>
      </c>
      <c r="D25" s="139">
        <f t="shared" si="0"/>
        <v>9</v>
      </c>
      <c r="E25" s="20">
        <v>0</v>
      </c>
      <c r="F25" s="21">
        <v>0</v>
      </c>
      <c r="G25" s="139" t="str">
        <f t="shared" si="1"/>
        <v>-</v>
      </c>
      <c r="H25" s="20"/>
      <c r="I25" s="21"/>
      <c r="J25" s="139" t="str">
        <f t="shared" si="52"/>
        <v>-</v>
      </c>
      <c r="K25" s="20">
        <v>0</v>
      </c>
      <c r="L25" s="21">
        <v>0</v>
      </c>
      <c r="M25" s="139" t="str">
        <f t="shared" si="3"/>
        <v>-</v>
      </c>
      <c r="N25" s="125">
        <v>0</v>
      </c>
      <c r="O25" s="126">
        <v>0</v>
      </c>
      <c r="P25" s="139" t="str">
        <f t="shared" si="267"/>
        <v>-</v>
      </c>
      <c r="Q25" s="20">
        <v>16</v>
      </c>
      <c r="R25" s="21">
        <v>3</v>
      </c>
      <c r="S25" s="139">
        <f t="shared" si="5"/>
        <v>5.333333333333333</v>
      </c>
      <c r="T25" s="20">
        <v>0</v>
      </c>
      <c r="U25" s="21">
        <v>0</v>
      </c>
      <c r="V25" s="139" t="str">
        <f t="shared" ref="V25" si="273">IF(U25=0,"-",T25/U25)</f>
        <v>-</v>
      </c>
      <c r="W25" s="20">
        <v>0</v>
      </c>
      <c r="X25" s="21">
        <v>0</v>
      </c>
      <c r="Y25" s="139" t="str">
        <f t="shared" si="246"/>
        <v>-</v>
      </c>
      <c r="Z25" s="20">
        <v>0</v>
      </c>
      <c r="AA25" s="21">
        <v>0</v>
      </c>
      <c r="AB25" s="139" t="str">
        <f t="shared" si="26"/>
        <v>-</v>
      </c>
      <c r="AC25" s="20">
        <v>49</v>
      </c>
      <c r="AD25" s="21">
        <v>10</v>
      </c>
      <c r="AE25" s="139">
        <f t="shared" ref="AE25" si="274">IF(AD25=0,"-",AC25/AD25)</f>
        <v>4.9000000000000004</v>
      </c>
      <c r="AF25" s="20">
        <v>18</v>
      </c>
      <c r="AG25" s="21">
        <v>3</v>
      </c>
      <c r="AH25" s="139">
        <f t="shared" ref="AH25" si="275">IF(AG25=0,"-",AF25/AG25)</f>
        <v>6</v>
      </c>
      <c r="AI25" s="20">
        <v>5</v>
      </c>
      <c r="AJ25" s="21">
        <v>1</v>
      </c>
      <c r="AK25" s="139">
        <f t="shared" ref="AK25" si="276">IF(AJ25=0,"-",AI25/AJ25)</f>
        <v>5</v>
      </c>
      <c r="AL25" s="20">
        <v>0</v>
      </c>
      <c r="AM25" s="21">
        <v>0</v>
      </c>
      <c r="AN25" s="139" t="str">
        <f t="shared" si="41"/>
        <v>-</v>
      </c>
      <c r="AO25" s="20">
        <v>0</v>
      </c>
      <c r="AP25" s="21">
        <v>0</v>
      </c>
      <c r="AQ25" s="139" t="str">
        <f t="shared" si="261"/>
        <v>-</v>
      </c>
      <c r="AR25" s="21">
        <v>0</v>
      </c>
      <c r="AS25" s="148">
        <v>0</v>
      </c>
      <c r="AT25" s="139" t="str">
        <f>IF(AR25=0,"-",#REF!/AR25)</f>
        <v>-</v>
      </c>
      <c r="AU25" s="21">
        <v>0</v>
      </c>
      <c r="AV25" s="148">
        <v>0</v>
      </c>
      <c r="AW25" s="139" t="str">
        <f>IF(AU25=0,"-",#REF!/AU25)</f>
        <v>-</v>
      </c>
      <c r="AX25" s="21">
        <v>2</v>
      </c>
      <c r="AY25" s="148">
        <v>1</v>
      </c>
      <c r="AZ25" s="139">
        <f t="shared" si="236"/>
        <v>2</v>
      </c>
      <c r="BA25" s="21">
        <v>0</v>
      </c>
      <c r="BB25" s="148">
        <v>0</v>
      </c>
      <c r="BC25" s="139" t="str">
        <f>IF(BA25=0,"-",#REF!/BA25)</f>
        <v>-</v>
      </c>
      <c r="BD25" s="21">
        <v>0</v>
      </c>
      <c r="BE25" s="148">
        <v>0</v>
      </c>
      <c r="BF25" s="139" t="str">
        <f>IF(BD25=0,"-",#REF!/BD25)</f>
        <v>-</v>
      </c>
      <c r="BG25" s="21">
        <v>18</v>
      </c>
      <c r="BH25" s="148">
        <v>2</v>
      </c>
      <c r="BI25" s="139">
        <f t="shared" si="239"/>
        <v>9</v>
      </c>
      <c r="BJ25" s="252">
        <v>7</v>
      </c>
      <c r="BK25" s="253">
        <v>1</v>
      </c>
      <c r="BL25" s="139">
        <f t="shared" si="13"/>
        <v>7</v>
      </c>
      <c r="BM25" s="252">
        <v>0</v>
      </c>
      <c r="BN25" s="253">
        <v>0</v>
      </c>
      <c r="BO25" s="139" t="str">
        <f t="shared" si="14"/>
        <v>-</v>
      </c>
      <c r="BP25" s="302">
        <v>42</v>
      </c>
      <c r="BQ25" s="303">
        <v>6</v>
      </c>
      <c r="BR25" s="139">
        <f t="shared" si="262"/>
        <v>7</v>
      </c>
      <c r="BS25" s="257">
        <v>0</v>
      </c>
      <c r="BT25" s="253">
        <v>0</v>
      </c>
      <c r="BU25" s="139" t="str">
        <f t="shared" si="161"/>
        <v>-</v>
      </c>
      <c r="BV25" s="252">
        <v>0</v>
      </c>
      <c r="BW25" s="253">
        <v>0</v>
      </c>
      <c r="BX25" s="139" t="str">
        <f t="shared" si="268"/>
        <v>-</v>
      </c>
      <c r="BY25" s="252">
        <v>0</v>
      </c>
      <c r="BZ25" s="253">
        <v>0</v>
      </c>
      <c r="CA25" s="139" t="str">
        <f t="shared" si="269"/>
        <v>-</v>
      </c>
      <c r="CB25" s="252">
        <v>0</v>
      </c>
      <c r="CC25" s="253">
        <v>0</v>
      </c>
      <c r="CD25" s="139" t="str">
        <f t="shared" si="270"/>
        <v>-</v>
      </c>
      <c r="CE25" s="252">
        <v>0</v>
      </c>
      <c r="CF25" s="253">
        <v>0</v>
      </c>
      <c r="CG25" s="139" t="str">
        <f t="shared" si="97"/>
        <v>-</v>
      </c>
      <c r="CH25" s="20">
        <v>0</v>
      </c>
      <c r="CI25" s="21">
        <v>0</v>
      </c>
      <c r="CJ25" s="139" t="str">
        <f t="shared" ref="CJ25:CJ26" si="277">IF(CI25=0,"-",CH25/CI25)</f>
        <v>-</v>
      </c>
      <c r="CK25" s="252">
        <v>3</v>
      </c>
      <c r="CL25" s="253">
        <v>1</v>
      </c>
      <c r="CM25" s="139">
        <f t="shared" si="99"/>
        <v>3</v>
      </c>
      <c r="CN25" s="117">
        <f t="shared" si="23"/>
        <v>178</v>
      </c>
      <c r="CO25" s="120">
        <f t="shared" si="24"/>
        <v>30</v>
      </c>
      <c r="CP25" s="147">
        <f t="shared" si="25"/>
        <v>5.9333333333333336</v>
      </c>
    </row>
    <row r="26" spans="1:94" ht="15" thickBot="1" x14ac:dyDescent="0.35">
      <c r="A26" s="294">
        <v>45618</v>
      </c>
      <c r="B26" s="20">
        <v>72</v>
      </c>
      <c r="C26" s="21">
        <v>8</v>
      </c>
      <c r="D26" s="139">
        <f t="shared" si="0"/>
        <v>9</v>
      </c>
      <c r="E26" s="20">
        <v>0</v>
      </c>
      <c r="F26" s="21">
        <v>0</v>
      </c>
      <c r="G26" s="139" t="str">
        <f t="shared" ref="G26" si="278">IF(F26=0,"-",E26/F26)</f>
        <v>-</v>
      </c>
      <c r="H26" s="20">
        <v>0</v>
      </c>
      <c r="I26" s="21">
        <v>0</v>
      </c>
      <c r="J26" s="139" t="str">
        <f t="shared" si="52"/>
        <v>-</v>
      </c>
      <c r="K26" s="20">
        <v>25</v>
      </c>
      <c r="L26" s="21">
        <v>3</v>
      </c>
      <c r="M26" s="139">
        <f t="shared" si="3"/>
        <v>8.3333333333333339</v>
      </c>
      <c r="N26" s="125">
        <v>0</v>
      </c>
      <c r="O26" s="126">
        <v>0</v>
      </c>
      <c r="P26" s="139" t="str">
        <f t="shared" si="267"/>
        <v>-</v>
      </c>
      <c r="Q26" s="20">
        <v>18</v>
      </c>
      <c r="R26" s="21">
        <v>3</v>
      </c>
      <c r="S26" s="139">
        <f t="shared" si="5"/>
        <v>6</v>
      </c>
      <c r="T26" s="20">
        <v>0</v>
      </c>
      <c r="U26" s="21">
        <v>0</v>
      </c>
      <c r="V26" s="139" t="str">
        <f t="shared" si="6"/>
        <v>-</v>
      </c>
      <c r="W26" s="20">
        <v>0</v>
      </c>
      <c r="X26" s="21">
        <v>0</v>
      </c>
      <c r="Y26" s="139" t="str">
        <f t="shared" si="246"/>
        <v>-</v>
      </c>
      <c r="Z26" s="20">
        <v>0</v>
      </c>
      <c r="AA26" s="21">
        <v>0</v>
      </c>
      <c r="AB26" s="139" t="str">
        <f t="shared" si="26"/>
        <v>-</v>
      </c>
      <c r="AC26" s="20">
        <v>4</v>
      </c>
      <c r="AD26" s="21">
        <v>1</v>
      </c>
      <c r="AE26" s="139">
        <f t="shared" ref="AE26:AE28" si="279">IF(AD26=0,"-",AC26/AD26)</f>
        <v>4</v>
      </c>
      <c r="AF26" s="20">
        <v>30</v>
      </c>
      <c r="AG26" s="21">
        <v>5</v>
      </c>
      <c r="AH26" s="139">
        <f t="shared" ref="AH26" si="280">IF(AG26=0,"-",AF26/AG26)</f>
        <v>6</v>
      </c>
      <c r="AI26" s="20">
        <v>0</v>
      </c>
      <c r="AJ26" s="21">
        <v>0</v>
      </c>
      <c r="AK26" s="139" t="str">
        <f t="shared" si="40"/>
        <v>-</v>
      </c>
      <c r="AL26" s="20">
        <v>0</v>
      </c>
      <c r="AM26" s="21">
        <v>0</v>
      </c>
      <c r="AN26" s="139" t="str">
        <f t="shared" ref="AN26:AN28" si="281">IF(AM26=0,"-",AL26/AM26)</f>
        <v>-</v>
      </c>
      <c r="AO26" s="20">
        <v>0</v>
      </c>
      <c r="AP26" s="21">
        <v>0</v>
      </c>
      <c r="AQ26" s="139" t="str">
        <f t="shared" ref="AQ26:AQ28" si="282">IF(AP26=0,"-",AO26/AP26)</f>
        <v>-</v>
      </c>
      <c r="AR26" s="20">
        <v>5</v>
      </c>
      <c r="AS26" s="21">
        <v>1</v>
      </c>
      <c r="AT26" s="139">
        <f t="shared" si="43"/>
        <v>5</v>
      </c>
      <c r="AU26" s="20">
        <v>0</v>
      </c>
      <c r="AV26" s="21">
        <v>0</v>
      </c>
      <c r="AW26" s="139" t="str">
        <f t="shared" si="235"/>
        <v>-</v>
      </c>
      <c r="AX26" s="20">
        <v>0</v>
      </c>
      <c r="AY26" s="21">
        <v>0</v>
      </c>
      <c r="AZ26" s="139" t="str">
        <f t="shared" si="236"/>
        <v>-</v>
      </c>
      <c r="BA26" s="20">
        <v>0</v>
      </c>
      <c r="BB26" s="21">
        <v>0</v>
      </c>
      <c r="BC26" s="139" t="str">
        <f t="shared" si="237"/>
        <v>-</v>
      </c>
      <c r="BD26" s="20">
        <v>0</v>
      </c>
      <c r="BE26" s="21">
        <v>0</v>
      </c>
      <c r="BF26" s="139" t="str">
        <f t="shared" si="238"/>
        <v>-</v>
      </c>
      <c r="BG26" s="20">
        <v>9</v>
      </c>
      <c r="BH26" s="21">
        <v>1</v>
      </c>
      <c r="BI26" s="139">
        <f t="shared" si="239"/>
        <v>9</v>
      </c>
      <c r="BJ26" s="252">
        <v>17</v>
      </c>
      <c r="BK26" s="253">
        <v>3</v>
      </c>
      <c r="BL26" s="139">
        <f t="shared" si="13"/>
        <v>5.666666666666667</v>
      </c>
      <c r="BM26" s="252">
        <v>0</v>
      </c>
      <c r="BN26" s="253">
        <v>0</v>
      </c>
      <c r="BO26" s="139" t="str">
        <f t="shared" si="14"/>
        <v>-</v>
      </c>
      <c r="BP26" s="302">
        <v>0</v>
      </c>
      <c r="BQ26" s="303">
        <v>0</v>
      </c>
      <c r="BR26" s="139" t="str">
        <f t="shared" si="262"/>
        <v>-</v>
      </c>
      <c r="BS26" s="257">
        <v>0</v>
      </c>
      <c r="BT26" s="253">
        <v>0</v>
      </c>
      <c r="BU26" s="139" t="str">
        <f t="shared" si="161"/>
        <v>-</v>
      </c>
      <c r="BV26" s="252">
        <v>0</v>
      </c>
      <c r="BW26" s="253">
        <v>0</v>
      </c>
      <c r="BX26" s="139" t="str">
        <f t="shared" si="268"/>
        <v>-</v>
      </c>
      <c r="BY26" s="252">
        <v>0</v>
      </c>
      <c r="BZ26" s="253">
        <v>0</v>
      </c>
      <c r="CA26" s="139" t="str">
        <f t="shared" si="269"/>
        <v>-</v>
      </c>
      <c r="CB26" s="252">
        <v>0</v>
      </c>
      <c r="CC26" s="253">
        <v>0</v>
      </c>
      <c r="CD26" s="139" t="str">
        <f t="shared" si="270"/>
        <v>-</v>
      </c>
      <c r="CE26" s="252">
        <v>12</v>
      </c>
      <c r="CF26" s="253">
        <v>2</v>
      </c>
      <c r="CG26" s="139">
        <f t="shared" si="97"/>
        <v>6</v>
      </c>
      <c r="CH26" s="20">
        <v>0</v>
      </c>
      <c r="CI26" s="21">
        <v>0</v>
      </c>
      <c r="CJ26" s="139" t="str">
        <f t="shared" si="277"/>
        <v>-</v>
      </c>
      <c r="CK26" s="252">
        <v>2</v>
      </c>
      <c r="CL26" s="253">
        <v>1</v>
      </c>
      <c r="CM26" s="139">
        <f t="shared" si="99"/>
        <v>2</v>
      </c>
      <c r="CN26" s="117">
        <f t="shared" si="23"/>
        <v>194</v>
      </c>
      <c r="CO26" s="120">
        <f t="shared" si="24"/>
        <v>28</v>
      </c>
      <c r="CP26" s="147">
        <f t="shared" si="25"/>
        <v>6.9285714285714288</v>
      </c>
    </row>
    <row r="27" spans="1:94" ht="15" thickBot="1" x14ac:dyDescent="0.35">
      <c r="A27" s="294">
        <v>45619</v>
      </c>
      <c r="B27" s="20">
        <v>160</v>
      </c>
      <c r="C27" s="21">
        <v>18</v>
      </c>
      <c r="D27" s="139">
        <f t="shared" si="0"/>
        <v>8.8888888888888893</v>
      </c>
      <c r="E27" s="20">
        <v>0</v>
      </c>
      <c r="F27" s="21">
        <v>0</v>
      </c>
      <c r="G27" s="139" t="str">
        <f t="shared" si="1"/>
        <v>-</v>
      </c>
      <c r="H27" s="20"/>
      <c r="I27" s="21"/>
      <c r="J27" s="139" t="str">
        <f t="shared" si="52"/>
        <v>-</v>
      </c>
      <c r="K27" s="20">
        <v>18</v>
      </c>
      <c r="L27" s="21">
        <v>2</v>
      </c>
      <c r="M27" s="139">
        <f t="shared" si="3"/>
        <v>9</v>
      </c>
      <c r="N27" s="125">
        <v>0</v>
      </c>
      <c r="O27" s="126">
        <v>0</v>
      </c>
      <c r="P27" s="139" t="str">
        <f t="shared" si="267"/>
        <v>-</v>
      </c>
      <c r="Q27" s="20">
        <v>0</v>
      </c>
      <c r="R27" s="21">
        <v>0</v>
      </c>
      <c r="S27" s="139" t="str">
        <f t="shared" si="5"/>
        <v>-</v>
      </c>
      <c r="T27" s="20">
        <v>0</v>
      </c>
      <c r="U27" s="21">
        <v>0</v>
      </c>
      <c r="V27" s="139" t="str">
        <f t="shared" si="6"/>
        <v>-</v>
      </c>
      <c r="W27" s="20">
        <v>0</v>
      </c>
      <c r="X27" s="21">
        <v>0</v>
      </c>
      <c r="Y27" s="139" t="str">
        <f t="shared" ref="Y27:Y28" si="283">IF(X27=0,"-",W27/X27)</f>
        <v>-</v>
      </c>
      <c r="Z27" s="20">
        <v>0</v>
      </c>
      <c r="AA27" s="21">
        <v>0</v>
      </c>
      <c r="AB27" s="139" t="str">
        <f t="shared" si="26"/>
        <v>-</v>
      </c>
      <c r="AC27" s="20">
        <v>0</v>
      </c>
      <c r="AD27" s="21">
        <v>0</v>
      </c>
      <c r="AE27" s="139" t="str">
        <f t="shared" si="279"/>
        <v>-</v>
      </c>
      <c r="AF27" s="20">
        <v>18</v>
      </c>
      <c r="AG27" s="21">
        <v>3</v>
      </c>
      <c r="AH27" s="139">
        <f t="shared" si="67"/>
        <v>6</v>
      </c>
      <c r="AI27" s="20">
        <v>0</v>
      </c>
      <c r="AJ27" s="21">
        <v>0</v>
      </c>
      <c r="AK27" s="139" t="str">
        <f t="shared" ref="AK27:AK28" si="284">IF(AJ27=0,"-",AI27/AJ27)</f>
        <v>-</v>
      </c>
      <c r="AL27" s="20">
        <v>0</v>
      </c>
      <c r="AM27" s="21">
        <v>0</v>
      </c>
      <c r="AN27" s="139" t="str">
        <f t="shared" si="281"/>
        <v>-</v>
      </c>
      <c r="AO27" s="20">
        <v>0</v>
      </c>
      <c r="AP27" s="21">
        <v>0</v>
      </c>
      <c r="AQ27" s="139" t="str">
        <f t="shared" si="282"/>
        <v>-</v>
      </c>
      <c r="AR27" s="20">
        <v>0</v>
      </c>
      <c r="AS27" s="21">
        <v>0</v>
      </c>
      <c r="AT27" s="139" t="str">
        <f t="shared" si="43"/>
        <v>-</v>
      </c>
      <c r="AU27" s="20">
        <v>0</v>
      </c>
      <c r="AV27" s="21">
        <v>0</v>
      </c>
      <c r="AW27" s="139" t="str">
        <f t="shared" si="235"/>
        <v>-</v>
      </c>
      <c r="AX27" s="20">
        <v>0</v>
      </c>
      <c r="AY27" s="21">
        <v>0</v>
      </c>
      <c r="AZ27" s="139" t="str">
        <f t="shared" si="236"/>
        <v>-</v>
      </c>
      <c r="BA27" s="20">
        <v>0</v>
      </c>
      <c r="BB27" s="21">
        <v>0</v>
      </c>
      <c r="BC27" s="139" t="str">
        <f t="shared" si="237"/>
        <v>-</v>
      </c>
      <c r="BD27" s="20">
        <v>0</v>
      </c>
      <c r="BE27" s="21">
        <v>0</v>
      </c>
      <c r="BF27" s="139" t="str">
        <f t="shared" si="238"/>
        <v>-</v>
      </c>
      <c r="BG27" s="20">
        <v>0</v>
      </c>
      <c r="BH27" s="21">
        <v>0</v>
      </c>
      <c r="BI27" s="139" t="str">
        <f t="shared" si="239"/>
        <v>-</v>
      </c>
      <c r="BJ27" s="252">
        <v>22</v>
      </c>
      <c r="BK27" s="253">
        <v>3</v>
      </c>
      <c r="BL27" s="139">
        <f t="shared" si="13"/>
        <v>7.333333333333333</v>
      </c>
      <c r="BM27" s="252">
        <v>0</v>
      </c>
      <c r="BN27" s="253">
        <v>0</v>
      </c>
      <c r="BO27" s="139" t="str">
        <f t="shared" si="14"/>
        <v>-</v>
      </c>
      <c r="BP27" s="302">
        <v>0</v>
      </c>
      <c r="BQ27" s="303">
        <v>0</v>
      </c>
      <c r="BR27" s="139" t="str">
        <f t="shared" si="262"/>
        <v>-</v>
      </c>
      <c r="BS27" s="257">
        <v>0</v>
      </c>
      <c r="BT27" s="253">
        <v>0</v>
      </c>
      <c r="BU27" s="139" t="s">
        <v>32</v>
      </c>
      <c r="BV27" s="252">
        <v>0</v>
      </c>
      <c r="BW27" s="253">
        <v>0</v>
      </c>
      <c r="BX27" s="139" t="str">
        <f t="shared" si="268"/>
        <v>-</v>
      </c>
      <c r="BY27" s="252">
        <v>0</v>
      </c>
      <c r="BZ27" s="253">
        <v>0</v>
      </c>
      <c r="CA27" s="139" t="str">
        <f t="shared" si="269"/>
        <v>-</v>
      </c>
      <c r="CB27" s="252">
        <v>0</v>
      </c>
      <c r="CC27" s="253">
        <v>0</v>
      </c>
      <c r="CD27" s="139" t="str">
        <f t="shared" si="270"/>
        <v>-</v>
      </c>
      <c r="CE27" s="252">
        <v>18</v>
      </c>
      <c r="CF27" s="253">
        <v>3</v>
      </c>
      <c r="CG27" s="139">
        <f t="shared" si="97"/>
        <v>6</v>
      </c>
      <c r="CH27" s="20">
        <v>0</v>
      </c>
      <c r="CI27" s="21">
        <v>0</v>
      </c>
      <c r="CJ27" s="139" t="str">
        <f t="shared" ref="CJ27" si="285">IF(CI27=0,"-",CH27/CI27)</f>
        <v>-</v>
      </c>
      <c r="CK27" s="20">
        <v>0</v>
      </c>
      <c r="CL27" s="21">
        <v>0</v>
      </c>
      <c r="CM27" s="139" t="str">
        <f t="shared" si="99"/>
        <v>-</v>
      </c>
      <c r="CN27" s="117">
        <f t="shared" si="23"/>
        <v>236</v>
      </c>
      <c r="CO27" s="120">
        <f t="shared" si="24"/>
        <v>29</v>
      </c>
      <c r="CP27" s="147">
        <f t="shared" si="25"/>
        <v>8.137931034482758</v>
      </c>
    </row>
    <row r="28" spans="1:94" ht="15" thickBot="1" x14ac:dyDescent="0.35">
      <c r="A28" s="294">
        <v>45620</v>
      </c>
      <c r="B28" s="20">
        <v>107</v>
      </c>
      <c r="C28" s="21">
        <v>12</v>
      </c>
      <c r="D28" s="139">
        <f t="shared" si="0"/>
        <v>8.9166666666666661</v>
      </c>
      <c r="E28" s="20">
        <v>0</v>
      </c>
      <c r="F28" s="21">
        <v>0</v>
      </c>
      <c r="G28" s="139" t="str">
        <f t="shared" si="1"/>
        <v>-</v>
      </c>
      <c r="H28" s="20"/>
      <c r="I28" s="21"/>
      <c r="J28" s="139" t="str">
        <f t="shared" si="52"/>
        <v>-</v>
      </c>
      <c r="K28" s="20">
        <v>53</v>
      </c>
      <c r="L28" s="21">
        <v>6</v>
      </c>
      <c r="M28" s="139">
        <f t="shared" si="3"/>
        <v>8.8333333333333339</v>
      </c>
      <c r="N28" s="125">
        <v>0</v>
      </c>
      <c r="O28" s="126">
        <v>0</v>
      </c>
      <c r="P28" s="139" t="str">
        <f t="shared" si="267"/>
        <v>-</v>
      </c>
      <c r="Q28" s="20">
        <v>0</v>
      </c>
      <c r="R28" s="21">
        <v>0</v>
      </c>
      <c r="S28" s="139" t="str">
        <f t="shared" si="5"/>
        <v>-</v>
      </c>
      <c r="T28" s="20">
        <v>0</v>
      </c>
      <c r="U28" s="21">
        <v>0</v>
      </c>
      <c r="V28" s="139" t="str">
        <f t="shared" si="6"/>
        <v>-</v>
      </c>
      <c r="W28" s="20">
        <v>0</v>
      </c>
      <c r="X28" s="21">
        <v>0</v>
      </c>
      <c r="Y28" s="139" t="str">
        <f t="shared" si="283"/>
        <v>-</v>
      </c>
      <c r="Z28" s="20">
        <v>0</v>
      </c>
      <c r="AA28" s="21">
        <v>0</v>
      </c>
      <c r="AB28" s="139" t="str">
        <f t="shared" si="26"/>
        <v>-</v>
      </c>
      <c r="AC28" s="20">
        <v>0</v>
      </c>
      <c r="AD28" s="21">
        <v>0</v>
      </c>
      <c r="AE28" s="139" t="str">
        <f t="shared" si="279"/>
        <v>-</v>
      </c>
      <c r="AF28" s="20">
        <v>0</v>
      </c>
      <c r="AG28" s="21">
        <v>0</v>
      </c>
      <c r="AH28" s="139" t="str">
        <f t="shared" si="67"/>
        <v>-</v>
      </c>
      <c r="AI28" s="20">
        <v>0</v>
      </c>
      <c r="AJ28" s="21">
        <v>0</v>
      </c>
      <c r="AK28" s="139" t="str">
        <f t="shared" si="284"/>
        <v>-</v>
      </c>
      <c r="AL28" s="20">
        <v>0</v>
      </c>
      <c r="AM28" s="21">
        <v>0</v>
      </c>
      <c r="AN28" s="139" t="str">
        <f t="shared" si="281"/>
        <v>-</v>
      </c>
      <c r="AO28" s="20">
        <v>0</v>
      </c>
      <c r="AP28" s="21">
        <v>0</v>
      </c>
      <c r="AQ28" s="139" t="str">
        <f t="shared" si="282"/>
        <v>-</v>
      </c>
      <c r="AR28" s="20">
        <v>0</v>
      </c>
      <c r="AS28" s="21">
        <v>0</v>
      </c>
      <c r="AT28" s="139" t="str">
        <f t="shared" ref="AT28" si="286">IF(AS28=0,"-",AR28/AS28)</f>
        <v>-</v>
      </c>
      <c r="AU28" s="20">
        <v>0</v>
      </c>
      <c r="AV28" s="21">
        <v>0</v>
      </c>
      <c r="AW28" s="139" t="str">
        <f t="shared" ref="AW28" si="287">IF(AV28=0,"-",AU28/AV28)</f>
        <v>-</v>
      </c>
      <c r="AX28" s="20">
        <v>0</v>
      </c>
      <c r="AY28" s="21">
        <v>0</v>
      </c>
      <c r="AZ28" s="139" t="str">
        <f t="shared" ref="AZ28" si="288">IF(AY28=0,"-",AX28/AY28)</f>
        <v>-</v>
      </c>
      <c r="BA28" s="20">
        <v>0</v>
      </c>
      <c r="BB28" s="21">
        <v>0</v>
      </c>
      <c r="BC28" s="139" t="str">
        <f t="shared" ref="BC28" si="289">IF(BB28=0,"-",BA28/BB28)</f>
        <v>-</v>
      </c>
      <c r="BD28" s="20">
        <v>0</v>
      </c>
      <c r="BE28" s="21">
        <v>0</v>
      </c>
      <c r="BF28" s="139" t="str">
        <f t="shared" ref="BF28" si="290">IF(BE28=0,"-",BD28/BE28)</f>
        <v>-</v>
      </c>
      <c r="BG28" s="20">
        <v>0</v>
      </c>
      <c r="BH28" s="21">
        <v>0</v>
      </c>
      <c r="BI28" s="139" t="str">
        <f t="shared" ref="BI28" si="291">IF(BH28=0,"-",BG28/BH28)</f>
        <v>-</v>
      </c>
      <c r="BJ28" s="252">
        <v>73</v>
      </c>
      <c r="BK28" s="253">
        <v>10</v>
      </c>
      <c r="BL28" s="139">
        <f t="shared" si="13"/>
        <v>7.3</v>
      </c>
      <c r="BM28" s="252">
        <v>0</v>
      </c>
      <c r="BN28" s="253">
        <v>0</v>
      </c>
      <c r="BO28" s="139" t="str">
        <f t="shared" si="14"/>
        <v>-</v>
      </c>
      <c r="BP28" s="302">
        <v>0</v>
      </c>
      <c r="BQ28" s="303">
        <v>0</v>
      </c>
      <c r="BR28" s="139" t="str">
        <f t="shared" si="262"/>
        <v>-</v>
      </c>
      <c r="BS28" s="257">
        <v>8</v>
      </c>
      <c r="BT28" s="253">
        <v>1</v>
      </c>
      <c r="BU28" s="139" t="s">
        <v>32</v>
      </c>
      <c r="BV28" s="20">
        <v>3</v>
      </c>
      <c r="BW28" s="21">
        <v>1</v>
      </c>
      <c r="BX28" s="139">
        <f t="shared" si="49"/>
        <v>3</v>
      </c>
      <c r="BY28" s="252">
        <v>0</v>
      </c>
      <c r="BZ28" s="253">
        <v>0</v>
      </c>
      <c r="CA28" s="139" t="str">
        <f t="shared" ref="CA28" si="292">IF(BZ28=0,"-",BY28/BZ28)</f>
        <v>-</v>
      </c>
      <c r="CB28" s="252">
        <v>0</v>
      </c>
      <c r="CC28" s="253">
        <v>0</v>
      </c>
      <c r="CD28" s="139" t="str">
        <f t="shared" ref="CD28" si="293">IF(CC28=0,"-",CB28/CC28)</f>
        <v>-</v>
      </c>
      <c r="CE28" s="252">
        <v>0</v>
      </c>
      <c r="CF28" s="253">
        <v>0</v>
      </c>
      <c r="CG28" s="139" t="str">
        <f t="shared" si="97"/>
        <v>-</v>
      </c>
      <c r="CH28" s="252">
        <v>0</v>
      </c>
      <c r="CI28" s="253">
        <v>0</v>
      </c>
      <c r="CJ28" s="139" t="str">
        <f t="shared" si="98"/>
        <v>-</v>
      </c>
      <c r="CK28" s="252">
        <v>0</v>
      </c>
      <c r="CL28" s="253">
        <v>0</v>
      </c>
      <c r="CM28" s="139" t="str">
        <f t="shared" si="99"/>
        <v>-</v>
      </c>
      <c r="CN28" s="117">
        <f t="shared" si="23"/>
        <v>244</v>
      </c>
      <c r="CO28" s="120">
        <f t="shared" si="24"/>
        <v>29</v>
      </c>
      <c r="CP28" s="147">
        <f t="shared" si="25"/>
        <v>8.4137931034482758</v>
      </c>
    </row>
    <row r="29" spans="1:94" ht="15" thickBot="1" x14ac:dyDescent="0.35">
      <c r="A29" s="294">
        <v>45621</v>
      </c>
      <c r="B29" s="20">
        <v>41</v>
      </c>
      <c r="C29" s="21">
        <v>5</v>
      </c>
      <c r="D29" s="139">
        <f t="shared" si="0"/>
        <v>8.1999999999999993</v>
      </c>
      <c r="E29" s="20">
        <v>0</v>
      </c>
      <c r="F29" s="21">
        <v>0</v>
      </c>
      <c r="G29" s="139" t="str">
        <f t="shared" si="1"/>
        <v>-</v>
      </c>
      <c r="H29" s="20"/>
      <c r="I29" s="21"/>
      <c r="J29" s="139" t="str">
        <f t="shared" si="52"/>
        <v>-</v>
      </c>
      <c r="K29" s="20">
        <v>9</v>
      </c>
      <c r="L29" s="21">
        <v>1</v>
      </c>
      <c r="M29" s="139">
        <f t="shared" si="3"/>
        <v>9</v>
      </c>
      <c r="N29" s="125">
        <v>0</v>
      </c>
      <c r="O29" s="126">
        <v>0</v>
      </c>
      <c r="P29" s="139" t="s">
        <v>32</v>
      </c>
      <c r="Q29" s="23">
        <v>41</v>
      </c>
      <c r="R29" s="21">
        <v>7</v>
      </c>
      <c r="S29" s="139">
        <f t="shared" si="5"/>
        <v>5.8571428571428568</v>
      </c>
      <c r="T29" s="20">
        <v>0</v>
      </c>
      <c r="U29" s="21">
        <v>0</v>
      </c>
      <c r="V29" s="139" t="str">
        <f t="shared" ref="V29" si="294">IF(U29=0,"-",T29/U29)</f>
        <v>-</v>
      </c>
      <c r="W29" s="20">
        <v>0</v>
      </c>
      <c r="X29" s="21">
        <v>0</v>
      </c>
      <c r="Y29" s="139" t="str">
        <f t="shared" ref="Y29" si="295">IF(X29=0,"-",W29/X29)</f>
        <v>-</v>
      </c>
      <c r="Z29" s="20">
        <v>0</v>
      </c>
      <c r="AA29" s="21">
        <v>0</v>
      </c>
      <c r="AB29" s="139" t="str">
        <f t="shared" ref="AB29" si="296">IF(AA29=0,"-",Z29/AA29)</f>
        <v>-</v>
      </c>
      <c r="AC29" s="20">
        <v>34</v>
      </c>
      <c r="AD29" s="21">
        <v>8</v>
      </c>
      <c r="AE29" s="278">
        <f t="shared" si="66"/>
        <v>4.25</v>
      </c>
      <c r="AF29" s="20">
        <v>0</v>
      </c>
      <c r="AG29" s="21">
        <v>0</v>
      </c>
      <c r="AH29" s="139" t="str">
        <f t="shared" ref="AH29" si="297">IF(AG29=0,"-",AF29/AG29)</f>
        <v>-</v>
      </c>
      <c r="AI29" s="20">
        <v>0</v>
      </c>
      <c r="AJ29" s="21">
        <v>0</v>
      </c>
      <c r="AK29" s="139" t="str">
        <f t="shared" ref="AK29" si="298">IF(AJ29=0,"-",AI29/AJ29)</f>
        <v>-</v>
      </c>
      <c r="AL29" s="20">
        <v>0</v>
      </c>
      <c r="AM29" s="21">
        <v>0</v>
      </c>
      <c r="AN29" s="139" t="str">
        <f t="shared" ref="AN29" si="299">IF(AM29=0,"-",AL29/AM29)</f>
        <v>-</v>
      </c>
      <c r="AO29" s="20">
        <v>0</v>
      </c>
      <c r="AP29" s="21">
        <v>0</v>
      </c>
      <c r="AQ29" s="139" t="str">
        <f t="shared" ref="AQ29" si="300">IF(AP29=0,"-",AO29/AP29)</f>
        <v>-</v>
      </c>
      <c r="AR29" s="20">
        <v>4</v>
      </c>
      <c r="AS29" s="21">
        <v>1</v>
      </c>
      <c r="AT29" s="139">
        <v>0</v>
      </c>
      <c r="AU29" s="20">
        <v>0</v>
      </c>
      <c r="AV29" s="21">
        <v>0</v>
      </c>
      <c r="AW29" s="139" t="str">
        <f t="shared" ref="AW29:AW31" si="301">IF(AV29=0,"-",AU29/AV29)</f>
        <v>-</v>
      </c>
      <c r="AX29" s="20">
        <v>2</v>
      </c>
      <c r="AY29" s="21">
        <v>1</v>
      </c>
      <c r="AZ29" s="139">
        <f t="shared" ref="AZ29:AZ31" si="302">IF(AY29=0,"-",AX29/AY29)</f>
        <v>2</v>
      </c>
      <c r="BA29" s="20">
        <v>0</v>
      </c>
      <c r="BB29" s="21">
        <v>0</v>
      </c>
      <c r="BC29" s="139" t="str">
        <f t="shared" ref="BC29:BC31" si="303">IF(BB29=0,"-",BA29/BB29)</f>
        <v>-</v>
      </c>
      <c r="BD29" s="20">
        <v>0</v>
      </c>
      <c r="BE29" s="21">
        <v>0</v>
      </c>
      <c r="BF29" s="139" t="str">
        <f t="shared" ref="BF29:BF31" si="304">IF(BE29=0,"-",BD29/BE29)</f>
        <v>-</v>
      </c>
      <c r="BG29" s="20">
        <v>0</v>
      </c>
      <c r="BH29" s="21">
        <v>0</v>
      </c>
      <c r="BI29" s="139" t="str">
        <f t="shared" ref="BI29:BI31" si="305">IF(BH29=0,"-",BG29/BH29)</f>
        <v>-</v>
      </c>
      <c r="BJ29" s="252">
        <v>32</v>
      </c>
      <c r="BK29" s="253">
        <v>4</v>
      </c>
      <c r="BL29" s="139">
        <f t="shared" si="13"/>
        <v>8</v>
      </c>
      <c r="BM29" s="252">
        <v>0</v>
      </c>
      <c r="BN29" s="253">
        <v>0</v>
      </c>
      <c r="BO29" s="139" t="str">
        <f t="shared" ref="BO29" si="306">IF(BN29=0,"-",BM29/BN29)</f>
        <v>-</v>
      </c>
      <c r="BP29" s="302">
        <v>0</v>
      </c>
      <c r="BQ29" s="303">
        <v>0</v>
      </c>
      <c r="BR29" s="139" t="str">
        <f t="shared" ref="BR29:BR30" si="307">IF(BQ29=0,"-",BP29/BQ29)</f>
        <v>-</v>
      </c>
      <c r="BS29" s="257">
        <v>0</v>
      </c>
      <c r="BT29" s="253">
        <v>0</v>
      </c>
      <c r="BU29" s="139" t="str">
        <f t="shared" ref="BU29:BU30" si="308">IF(BT29=0,"-",BS29/BT29)</f>
        <v>-</v>
      </c>
      <c r="BV29" s="20">
        <v>1</v>
      </c>
      <c r="BW29" s="21">
        <v>1</v>
      </c>
      <c r="BX29" s="139">
        <f t="shared" si="49"/>
        <v>1</v>
      </c>
      <c r="BY29" s="20">
        <v>0</v>
      </c>
      <c r="BZ29" s="21">
        <v>0</v>
      </c>
      <c r="CA29" s="139" t="s">
        <v>32</v>
      </c>
      <c r="CB29" s="20">
        <v>0</v>
      </c>
      <c r="CC29" s="21">
        <v>0</v>
      </c>
      <c r="CD29" s="139" t="s">
        <v>32</v>
      </c>
      <c r="CE29" s="20">
        <v>0</v>
      </c>
      <c r="CF29" s="21">
        <v>0</v>
      </c>
      <c r="CG29" s="139" t="s">
        <v>32</v>
      </c>
      <c r="CH29" s="20">
        <v>0</v>
      </c>
      <c r="CI29" s="21">
        <v>0</v>
      </c>
      <c r="CJ29" s="139" t="s">
        <v>32</v>
      </c>
      <c r="CK29" s="20">
        <v>0</v>
      </c>
      <c r="CL29" s="21">
        <v>0</v>
      </c>
      <c r="CM29" s="139" t="s">
        <v>32</v>
      </c>
      <c r="CN29" s="117">
        <f t="shared" si="23"/>
        <v>164</v>
      </c>
      <c r="CO29" s="120">
        <f t="shared" si="24"/>
        <v>27</v>
      </c>
      <c r="CP29" s="147">
        <f t="shared" si="25"/>
        <v>6.0740740740740744</v>
      </c>
    </row>
    <row r="30" spans="1:94" ht="15" thickBot="1" x14ac:dyDescent="0.35">
      <c r="A30" s="294">
        <v>45622</v>
      </c>
      <c r="B30" s="20">
        <v>43</v>
      </c>
      <c r="C30" s="21">
        <v>4</v>
      </c>
      <c r="D30" s="139">
        <f t="shared" si="0"/>
        <v>10.75</v>
      </c>
      <c r="E30" s="20">
        <v>0</v>
      </c>
      <c r="F30" s="21">
        <v>0</v>
      </c>
      <c r="G30" s="139" t="str">
        <f t="shared" si="1"/>
        <v>-</v>
      </c>
      <c r="H30" s="20"/>
      <c r="I30" s="21"/>
      <c r="J30" s="139" t="s">
        <v>32</v>
      </c>
      <c r="K30" s="20">
        <v>9</v>
      </c>
      <c r="L30" s="21">
        <v>1</v>
      </c>
      <c r="M30" s="139">
        <f t="shared" si="3"/>
        <v>9</v>
      </c>
      <c r="N30" s="125">
        <v>0</v>
      </c>
      <c r="O30" s="126">
        <v>0</v>
      </c>
      <c r="P30" s="139" t="s">
        <v>32</v>
      </c>
      <c r="Q30" s="23">
        <v>18</v>
      </c>
      <c r="R30" s="21">
        <v>3</v>
      </c>
      <c r="S30" s="139">
        <f t="shared" si="5"/>
        <v>6</v>
      </c>
      <c r="T30" s="20">
        <v>0</v>
      </c>
      <c r="U30" s="21">
        <v>0</v>
      </c>
      <c r="V30" s="139" t="str">
        <f t="shared" ref="V30" si="309">IF(U30=0,"-",T30/U30)</f>
        <v>-</v>
      </c>
      <c r="W30" s="20"/>
      <c r="X30" s="21"/>
      <c r="Y30" s="278">
        <v>0</v>
      </c>
      <c r="Z30" s="20">
        <v>0</v>
      </c>
      <c r="AA30" s="21">
        <v>0</v>
      </c>
      <c r="AB30" s="278" t="str">
        <f t="shared" si="26"/>
        <v>-</v>
      </c>
      <c r="AC30" s="20">
        <v>208</v>
      </c>
      <c r="AD30" s="21">
        <v>37</v>
      </c>
      <c r="AE30" s="278">
        <f t="shared" si="66"/>
        <v>5.6216216216216219</v>
      </c>
      <c r="AF30" s="20">
        <v>0</v>
      </c>
      <c r="AG30" s="21">
        <v>0</v>
      </c>
      <c r="AH30" s="139" t="str">
        <f t="shared" ref="AH30" si="310">IF(AG30=0,"-",AF30/AG30)</f>
        <v>-</v>
      </c>
      <c r="AI30" s="20">
        <v>0</v>
      </c>
      <c r="AJ30" s="21">
        <v>0</v>
      </c>
      <c r="AK30" s="139" t="str">
        <f t="shared" si="40"/>
        <v>-</v>
      </c>
      <c r="AL30" s="20">
        <v>0</v>
      </c>
      <c r="AM30" s="21">
        <v>0</v>
      </c>
      <c r="AN30" s="139" t="str">
        <f t="shared" ref="AN30" si="311">IF(AM30=0,"-",AL30/AM30)</f>
        <v>-</v>
      </c>
      <c r="AO30" s="20">
        <v>0</v>
      </c>
      <c r="AP30" s="21">
        <v>0</v>
      </c>
      <c r="AQ30" s="139" t="str">
        <f t="shared" ref="AQ30" si="312">IF(AP30=0,"-",AO30/AP30)</f>
        <v>-</v>
      </c>
      <c r="AR30" s="20">
        <v>4</v>
      </c>
      <c r="AS30" s="21">
        <v>1</v>
      </c>
      <c r="AT30" s="139">
        <v>0</v>
      </c>
      <c r="AU30" s="20">
        <v>0</v>
      </c>
      <c r="AV30" s="21">
        <v>0</v>
      </c>
      <c r="AW30" s="139" t="str">
        <f t="shared" si="301"/>
        <v>-</v>
      </c>
      <c r="AX30" s="20">
        <v>0</v>
      </c>
      <c r="AY30" s="21">
        <v>0</v>
      </c>
      <c r="AZ30" s="139" t="str">
        <f t="shared" si="302"/>
        <v>-</v>
      </c>
      <c r="BA30" s="20">
        <v>0</v>
      </c>
      <c r="BB30" s="21">
        <v>0</v>
      </c>
      <c r="BC30" s="139" t="str">
        <f t="shared" si="303"/>
        <v>-</v>
      </c>
      <c r="BD30" s="20">
        <v>0</v>
      </c>
      <c r="BE30" s="21">
        <v>0</v>
      </c>
      <c r="BF30" s="139" t="str">
        <f t="shared" si="304"/>
        <v>-</v>
      </c>
      <c r="BG30" s="20">
        <v>0</v>
      </c>
      <c r="BH30" s="21">
        <v>0</v>
      </c>
      <c r="BI30" s="139" t="str">
        <f t="shared" si="305"/>
        <v>-</v>
      </c>
      <c r="BJ30" s="20">
        <v>44</v>
      </c>
      <c r="BK30" s="21">
        <v>5</v>
      </c>
      <c r="BL30" s="139">
        <f t="shared" si="13"/>
        <v>8.8000000000000007</v>
      </c>
      <c r="BM30" s="252">
        <v>0</v>
      </c>
      <c r="BN30" s="253">
        <v>0</v>
      </c>
      <c r="BO30" s="139">
        <v>0</v>
      </c>
      <c r="BP30" s="302">
        <v>0</v>
      </c>
      <c r="BQ30" s="303">
        <v>0</v>
      </c>
      <c r="BR30" s="139" t="str">
        <f t="shared" si="307"/>
        <v>-</v>
      </c>
      <c r="BS30" s="302">
        <v>7</v>
      </c>
      <c r="BT30" s="303">
        <v>1</v>
      </c>
      <c r="BU30" s="139">
        <f t="shared" si="308"/>
        <v>7</v>
      </c>
      <c r="BV30" s="20">
        <v>4</v>
      </c>
      <c r="BW30" s="21">
        <v>1</v>
      </c>
      <c r="BX30" s="139">
        <f t="shared" si="49"/>
        <v>4</v>
      </c>
      <c r="BY30" s="20">
        <v>0</v>
      </c>
      <c r="BZ30" s="21">
        <v>0</v>
      </c>
      <c r="CA30" s="139" t="s">
        <v>32</v>
      </c>
      <c r="CB30" s="20">
        <v>0</v>
      </c>
      <c r="CC30" s="21">
        <v>0</v>
      </c>
      <c r="CD30" s="139" t="s">
        <v>32</v>
      </c>
      <c r="CE30" s="20">
        <v>0</v>
      </c>
      <c r="CF30" s="21">
        <v>0</v>
      </c>
      <c r="CG30" s="139" t="s">
        <v>32</v>
      </c>
      <c r="CH30" s="20">
        <v>0</v>
      </c>
      <c r="CI30" s="21">
        <v>0</v>
      </c>
      <c r="CJ30" s="139" t="s">
        <v>32</v>
      </c>
      <c r="CK30" s="20">
        <v>0</v>
      </c>
      <c r="CL30" s="21">
        <v>0</v>
      </c>
      <c r="CM30" s="139" t="s">
        <v>32</v>
      </c>
      <c r="CN30" s="117">
        <f t="shared" si="23"/>
        <v>337</v>
      </c>
      <c r="CO30" s="120">
        <f t="shared" si="24"/>
        <v>52</v>
      </c>
      <c r="CP30" s="147">
        <f t="shared" si="25"/>
        <v>6.4807692307692308</v>
      </c>
    </row>
    <row r="31" spans="1:94" ht="15" thickBot="1" x14ac:dyDescent="0.35">
      <c r="A31" s="294">
        <v>45623</v>
      </c>
      <c r="B31" s="20">
        <v>80</v>
      </c>
      <c r="C31" s="21">
        <v>9</v>
      </c>
      <c r="D31" s="139">
        <f t="shared" si="0"/>
        <v>8.8888888888888893</v>
      </c>
      <c r="E31" s="20">
        <v>8</v>
      </c>
      <c r="F31" s="21">
        <v>1</v>
      </c>
      <c r="G31" s="139">
        <f t="shared" si="1"/>
        <v>8</v>
      </c>
      <c r="H31" s="20"/>
      <c r="I31" s="21"/>
      <c r="J31" s="139">
        <v>0</v>
      </c>
      <c r="K31" s="20">
        <v>45</v>
      </c>
      <c r="L31" s="21">
        <v>5</v>
      </c>
      <c r="M31" s="139">
        <f t="shared" si="3"/>
        <v>9</v>
      </c>
      <c r="N31" s="125">
        <v>0</v>
      </c>
      <c r="O31" s="126">
        <v>0</v>
      </c>
      <c r="P31" s="139" t="s">
        <v>32</v>
      </c>
      <c r="Q31" s="20">
        <v>49</v>
      </c>
      <c r="R31" s="21">
        <v>8</v>
      </c>
      <c r="S31" s="139">
        <f t="shared" si="5"/>
        <v>6.125</v>
      </c>
      <c r="T31" s="20">
        <v>0</v>
      </c>
      <c r="U31" s="21">
        <v>0</v>
      </c>
      <c r="V31" s="139" t="str">
        <f t="shared" ref="V31" si="313">IF(U31=0,"-",T31/U31)</f>
        <v>-</v>
      </c>
      <c r="W31" s="20"/>
      <c r="X31" s="21"/>
      <c r="Y31" s="278">
        <v>0</v>
      </c>
      <c r="Z31" s="20">
        <v>0</v>
      </c>
      <c r="AA31" s="21">
        <v>0</v>
      </c>
      <c r="AB31" s="278" t="str">
        <f t="shared" ref="AB31" si="314">IF(AA31=0,"-",Z31/AA31)</f>
        <v>-</v>
      </c>
      <c r="AC31" s="20">
        <v>246</v>
      </c>
      <c r="AD31" s="21">
        <v>43</v>
      </c>
      <c r="AE31" s="278">
        <f t="shared" si="66"/>
        <v>5.7209302325581399</v>
      </c>
      <c r="AF31" s="20">
        <v>0</v>
      </c>
      <c r="AG31" s="21">
        <v>0</v>
      </c>
      <c r="AH31" s="139" t="str">
        <f t="shared" ref="AH31:AH32" si="315">IF(AG31=0,"-",AF31/AG31)</f>
        <v>-</v>
      </c>
      <c r="AI31" s="20">
        <v>0</v>
      </c>
      <c r="AJ31" s="21">
        <v>0</v>
      </c>
      <c r="AK31" s="139" t="str">
        <f t="shared" ref="AK31:AK32" si="316">IF(AJ31=0,"-",AI31/AJ31)</f>
        <v>-</v>
      </c>
      <c r="AL31" s="20">
        <v>0</v>
      </c>
      <c r="AM31" s="21">
        <v>0</v>
      </c>
      <c r="AN31" s="139" t="str">
        <f t="shared" ref="AN31:AN32" si="317">IF(AM31=0,"-",AL31/AM31)</f>
        <v>-</v>
      </c>
      <c r="AO31" s="20">
        <v>0</v>
      </c>
      <c r="AP31" s="21">
        <v>0</v>
      </c>
      <c r="AQ31" s="139" t="str">
        <f t="shared" ref="AQ31" si="318">IF(AP31=0,"-",AO31/AP31)</f>
        <v>-</v>
      </c>
      <c r="AR31" s="20">
        <v>0</v>
      </c>
      <c r="AS31" s="21">
        <v>0</v>
      </c>
      <c r="AT31" s="139">
        <v>0</v>
      </c>
      <c r="AU31" s="20">
        <v>0</v>
      </c>
      <c r="AV31" s="21">
        <v>0</v>
      </c>
      <c r="AW31" s="139" t="str">
        <f t="shared" si="301"/>
        <v>-</v>
      </c>
      <c r="AX31" s="20">
        <v>0</v>
      </c>
      <c r="AY31" s="21">
        <v>0</v>
      </c>
      <c r="AZ31" s="139" t="str">
        <f t="shared" si="302"/>
        <v>-</v>
      </c>
      <c r="BA31" s="20">
        <v>0</v>
      </c>
      <c r="BB31" s="21">
        <v>0</v>
      </c>
      <c r="BC31" s="139" t="str">
        <f t="shared" si="303"/>
        <v>-</v>
      </c>
      <c r="BD31" s="20">
        <v>0</v>
      </c>
      <c r="BE31" s="21">
        <v>0</v>
      </c>
      <c r="BF31" s="139" t="str">
        <f t="shared" si="304"/>
        <v>-</v>
      </c>
      <c r="BG31" s="20">
        <v>0</v>
      </c>
      <c r="BH31" s="21">
        <v>0</v>
      </c>
      <c r="BI31" s="139" t="str">
        <f t="shared" si="305"/>
        <v>-</v>
      </c>
      <c r="BJ31" s="20">
        <v>46</v>
      </c>
      <c r="BK31" s="21">
        <v>5</v>
      </c>
      <c r="BL31" s="139">
        <f t="shared" si="13"/>
        <v>9.1999999999999993</v>
      </c>
      <c r="BM31" s="252">
        <v>0</v>
      </c>
      <c r="BN31" s="253">
        <v>0</v>
      </c>
      <c r="BO31" s="139">
        <v>0</v>
      </c>
      <c r="BP31" s="302">
        <v>0</v>
      </c>
      <c r="BQ31" s="303">
        <v>0</v>
      </c>
      <c r="BR31" s="139" t="str">
        <f t="shared" ref="BR31:BR32" si="319">IF(BQ31=0,"-",BP31/BQ31)</f>
        <v>-</v>
      </c>
      <c r="BS31" s="20">
        <v>8</v>
      </c>
      <c r="BT31" s="21">
        <v>1</v>
      </c>
      <c r="BU31" s="139">
        <f t="shared" si="161"/>
        <v>8</v>
      </c>
      <c r="BV31" s="20">
        <v>0</v>
      </c>
      <c r="BW31" s="21">
        <v>0</v>
      </c>
      <c r="BX31" s="139" t="str">
        <f t="shared" si="49"/>
        <v>-</v>
      </c>
      <c r="BY31" s="20">
        <v>0</v>
      </c>
      <c r="BZ31" s="21">
        <v>0</v>
      </c>
      <c r="CA31" s="139" t="s">
        <v>32</v>
      </c>
      <c r="CB31" s="20">
        <v>3</v>
      </c>
      <c r="CC31" s="21">
        <v>1</v>
      </c>
      <c r="CD31" s="139" t="s">
        <v>32</v>
      </c>
      <c r="CE31" s="20">
        <v>0</v>
      </c>
      <c r="CF31" s="21">
        <v>0</v>
      </c>
      <c r="CG31" s="139" t="s">
        <v>32</v>
      </c>
      <c r="CH31" s="20">
        <v>0</v>
      </c>
      <c r="CI31" s="21">
        <v>0</v>
      </c>
      <c r="CJ31" s="139" t="s">
        <v>32</v>
      </c>
      <c r="CK31" s="20">
        <v>0</v>
      </c>
      <c r="CL31" s="21">
        <v>0</v>
      </c>
      <c r="CM31" s="139" t="s">
        <v>32</v>
      </c>
      <c r="CN31" s="117">
        <f t="shared" si="23"/>
        <v>485</v>
      </c>
      <c r="CO31" s="120">
        <f t="shared" si="24"/>
        <v>73</v>
      </c>
      <c r="CP31" s="147">
        <f t="shared" si="25"/>
        <v>6.6438356164383565</v>
      </c>
    </row>
    <row r="32" spans="1:94" ht="15" thickBot="1" x14ac:dyDescent="0.35">
      <c r="A32" s="294">
        <v>45624</v>
      </c>
      <c r="B32" s="20">
        <v>43</v>
      </c>
      <c r="C32" s="21">
        <v>5</v>
      </c>
      <c r="D32" s="139">
        <f t="shared" si="0"/>
        <v>8.6</v>
      </c>
      <c r="E32" s="20">
        <v>8</v>
      </c>
      <c r="F32" s="21">
        <v>1</v>
      </c>
      <c r="G32" s="139">
        <f t="shared" si="1"/>
        <v>8</v>
      </c>
      <c r="H32" s="20"/>
      <c r="I32" s="21"/>
      <c r="J32" s="139" t="s">
        <v>32</v>
      </c>
      <c r="K32" s="20">
        <v>24</v>
      </c>
      <c r="L32" s="21">
        <v>3</v>
      </c>
      <c r="M32" s="139">
        <f t="shared" si="3"/>
        <v>8</v>
      </c>
      <c r="N32" s="125">
        <v>0</v>
      </c>
      <c r="O32" s="126">
        <v>0</v>
      </c>
      <c r="P32" s="139" t="s">
        <v>32</v>
      </c>
      <c r="Q32" s="20">
        <v>51</v>
      </c>
      <c r="R32" s="21">
        <v>9</v>
      </c>
      <c r="S32" s="139">
        <f t="shared" si="5"/>
        <v>5.666666666666667</v>
      </c>
      <c r="T32" s="20">
        <v>188</v>
      </c>
      <c r="U32" s="21">
        <v>33</v>
      </c>
      <c r="V32" s="139">
        <f t="shared" si="6"/>
        <v>5.6969696969696972</v>
      </c>
      <c r="W32" s="20"/>
      <c r="X32" s="21"/>
      <c r="Y32" s="278" t="str">
        <f t="shared" si="246"/>
        <v>-</v>
      </c>
      <c r="Z32" s="20">
        <v>60</v>
      </c>
      <c r="AA32" s="21">
        <v>12</v>
      </c>
      <c r="AB32" s="278">
        <f t="shared" si="26"/>
        <v>5</v>
      </c>
      <c r="AC32" s="20">
        <v>0</v>
      </c>
      <c r="AD32" s="21">
        <v>0</v>
      </c>
      <c r="AE32" s="278" t="str">
        <f t="shared" si="66"/>
        <v>-</v>
      </c>
      <c r="AF32" s="20">
        <v>0</v>
      </c>
      <c r="AG32" s="21">
        <v>0</v>
      </c>
      <c r="AH32" s="278" t="str">
        <f t="shared" si="315"/>
        <v>-</v>
      </c>
      <c r="AI32" s="20">
        <v>0</v>
      </c>
      <c r="AJ32" s="21">
        <v>0</v>
      </c>
      <c r="AK32" s="278" t="str">
        <f t="shared" si="316"/>
        <v>-</v>
      </c>
      <c r="AL32" s="20">
        <v>0</v>
      </c>
      <c r="AM32" s="21">
        <v>0</v>
      </c>
      <c r="AN32" s="278" t="str">
        <f t="shared" si="317"/>
        <v>-</v>
      </c>
      <c r="AO32" s="20">
        <v>0</v>
      </c>
      <c r="AP32" s="21">
        <v>0</v>
      </c>
      <c r="AQ32" s="139" t="str">
        <f t="shared" ref="AQ32:AQ34" si="320">IF(AP32=0,"-",AO32/AP32)</f>
        <v>-</v>
      </c>
      <c r="AR32" s="20">
        <v>3</v>
      </c>
      <c r="AS32" s="21">
        <v>1</v>
      </c>
      <c r="AT32" s="139">
        <v>0</v>
      </c>
      <c r="AU32" s="20">
        <v>0</v>
      </c>
      <c r="AV32" s="21">
        <v>0</v>
      </c>
      <c r="AW32" s="139" t="str">
        <f t="shared" ref="AW32" si="321">IF(AV32=0,"-",AU32/AV32)</f>
        <v>-</v>
      </c>
      <c r="AX32" s="20">
        <v>0</v>
      </c>
      <c r="AY32" s="21">
        <v>0</v>
      </c>
      <c r="AZ32" s="139" t="str">
        <f t="shared" ref="AZ32" si="322">IF(AY32=0,"-",AX32/AY32)</f>
        <v>-</v>
      </c>
      <c r="BA32" s="20">
        <v>0</v>
      </c>
      <c r="BB32" s="21">
        <v>0</v>
      </c>
      <c r="BC32" s="139" t="str">
        <f t="shared" ref="BC32" si="323">IF(BB32=0,"-",BA32/BB32)</f>
        <v>-</v>
      </c>
      <c r="BD32" s="20">
        <v>0</v>
      </c>
      <c r="BE32" s="21">
        <v>0</v>
      </c>
      <c r="BF32" s="139" t="str">
        <f t="shared" ref="BF32" si="324">IF(BE32=0,"-",BD32/BE32)</f>
        <v>-</v>
      </c>
      <c r="BG32" s="20">
        <v>0</v>
      </c>
      <c r="BH32" s="21">
        <v>0</v>
      </c>
      <c r="BI32" s="139" t="str">
        <f t="shared" ref="BI32" si="325">IF(BH32=0,"-",BG32/BH32)</f>
        <v>-</v>
      </c>
      <c r="BJ32" s="20">
        <v>19</v>
      </c>
      <c r="BK32" s="21">
        <v>2</v>
      </c>
      <c r="BL32" s="139">
        <f t="shared" si="13"/>
        <v>9.5</v>
      </c>
      <c r="BM32" s="252">
        <v>0</v>
      </c>
      <c r="BN32" s="253">
        <v>0</v>
      </c>
      <c r="BO32" s="139">
        <v>0</v>
      </c>
      <c r="BP32" s="302">
        <v>0</v>
      </c>
      <c r="BQ32" s="303">
        <v>0</v>
      </c>
      <c r="BR32" s="139" t="str">
        <f t="shared" si="319"/>
        <v>-</v>
      </c>
      <c r="BS32" s="20">
        <v>0</v>
      </c>
      <c r="BT32" s="21">
        <v>0</v>
      </c>
      <c r="BU32" s="139" t="str">
        <f t="shared" si="161"/>
        <v>-</v>
      </c>
      <c r="BV32" s="20">
        <v>0</v>
      </c>
      <c r="BW32" s="21">
        <v>0</v>
      </c>
      <c r="BX32" s="139" t="str">
        <f t="shared" ref="BX32" si="326">IF(BW32=0,"-",BV32/BW32)</f>
        <v>-</v>
      </c>
      <c r="BY32" s="20">
        <v>0</v>
      </c>
      <c r="BZ32" s="21">
        <v>0</v>
      </c>
      <c r="CA32" s="139" t="s">
        <v>32</v>
      </c>
      <c r="CB32" s="20">
        <v>0</v>
      </c>
      <c r="CC32" s="21">
        <v>0</v>
      </c>
      <c r="CD32" s="139" t="s">
        <v>32</v>
      </c>
      <c r="CE32" s="20">
        <v>0</v>
      </c>
      <c r="CF32" s="21">
        <v>0</v>
      </c>
      <c r="CG32" s="139" t="s">
        <v>32</v>
      </c>
      <c r="CH32" s="20">
        <v>0</v>
      </c>
      <c r="CI32" s="21">
        <v>0</v>
      </c>
      <c r="CJ32" s="139" t="s">
        <v>32</v>
      </c>
      <c r="CK32" s="20">
        <v>0</v>
      </c>
      <c r="CL32" s="21">
        <v>0</v>
      </c>
      <c r="CM32" s="139" t="s">
        <v>32</v>
      </c>
      <c r="CN32" s="117">
        <f t="shared" si="23"/>
        <v>396</v>
      </c>
      <c r="CO32" s="120">
        <f t="shared" si="24"/>
        <v>66</v>
      </c>
      <c r="CP32" s="147">
        <f t="shared" si="25"/>
        <v>6</v>
      </c>
    </row>
    <row r="33" spans="1:94" ht="15" thickBot="1" x14ac:dyDescent="0.35">
      <c r="A33" s="294">
        <v>45625</v>
      </c>
      <c r="B33" s="270">
        <v>78</v>
      </c>
      <c r="C33" s="271">
        <v>9</v>
      </c>
      <c r="D33" s="272">
        <f t="shared" si="0"/>
        <v>8.6666666666666661</v>
      </c>
      <c r="E33" s="270">
        <v>8</v>
      </c>
      <c r="F33" s="271">
        <v>1</v>
      </c>
      <c r="G33" s="272">
        <f t="shared" si="1"/>
        <v>8</v>
      </c>
      <c r="H33" s="270"/>
      <c r="I33" s="271"/>
      <c r="J33" s="272" t="s">
        <v>32</v>
      </c>
      <c r="K33" s="270">
        <v>17</v>
      </c>
      <c r="L33" s="271">
        <v>2</v>
      </c>
      <c r="M33" s="139">
        <f t="shared" si="3"/>
        <v>8.5</v>
      </c>
      <c r="N33" s="125">
        <v>0</v>
      </c>
      <c r="O33" s="126">
        <v>0</v>
      </c>
      <c r="P33" s="139" t="s">
        <v>32</v>
      </c>
      <c r="Q33" s="270">
        <v>48</v>
      </c>
      <c r="R33" s="271">
        <v>8</v>
      </c>
      <c r="S33" s="139">
        <f t="shared" si="5"/>
        <v>6</v>
      </c>
      <c r="T33" s="20">
        <v>214</v>
      </c>
      <c r="U33" s="21">
        <v>37</v>
      </c>
      <c r="V33" s="139">
        <f t="shared" ref="V33" si="327">IF(U33=0,"-",T33/U33)</f>
        <v>5.7837837837837842</v>
      </c>
      <c r="W33" s="20"/>
      <c r="X33" s="21"/>
      <c r="Y33" s="278" t="str">
        <f t="shared" ref="Y33" si="328">IF(X33=0,"-",W33/X33)</f>
        <v>-</v>
      </c>
      <c r="Z33" s="20">
        <v>25</v>
      </c>
      <c r="AA33" s="21">
        <v>5</v>
      </c>
      <c r="AB33" s="278">
        <f t="shared" si="26"/>
        <v>5</v>
      </c>
      <c r="AC33" s="20">
        <v>0</v>
      </c>
      <c r="AD33" s="21">
        <v>0</v>
      </c>
      <c r="AE33" s="278" t="str">
        <f t="shared" ref="AE33:AE34" si="329">IF(AD33=0,"-",AC33/AD33)</f>
        <v>-</v>
      </c>
      <c r="AF33" s="20">
        <v>0</v>
      </c>
      <c r="AG33" s="21">
        <v>0</v>
      </c>
      <c r="AH33" s="278" t="str">
        <f t="shared" ref="AH33:AH34" si="330">IF(AG33=0,"-",AF33/AG33)</f>
        <v>-</v>
      </c>
      <c r="AI33" s="20">
        <v>0</v>
      </c>
      <c r="AJ33" s="21">
        <v>0</v>
      </c>
      <c r="AK33" s="278" t="str">
        <f t="shared" ref="AK33:AK34" si="331">IF(AJ33=0,"-",AI33/AJ33)</f>
        <v>-</v>
      </c>
      <c r="AL33" s="20">
        <v>0</v>
      </c>
      <c r="AM33" s="21">
        <v>0</v>
      </c>
      <c r="AN33" s="278" t="str">
        <f t="shared" ref="AN33" si="332">IF(AM33=0,"-",AL33/AM33)</f>
        <v>-</v>
      </c>
      <c r="AO33" s="20">
        <v>0</v>
      </c>
      <c r="AP33" s="21">
        <v>0</v>
      </c>
      <c r="AQ33" s="139" t="str">
        <f t="shared" si="320"/>
        <v>-</v>
      </c>
      <c r="AR33" s="23">
        <v>0</v>
      </c>
      <c r="AS33" s="21">
        <v>0</v>
      </c>
      <c r="AT33" s="139" t="str">
        <f t="shared" si="43"/>
        <v>-</v>
      </c>
      <c r="AU33" s="23">
        <v>0</v>
      </c>
      <c r="AV33" s="21">
        <v>0</v>
      </c>
      <c r="AW33" s="139" t="s">
        <v>32</v>
      </c>
      <c r="AX33" s="20">
        <v>0</v>
      </c>
      <c r="AY33" s="21">
        <v>0</v>
      </c>
      <c r="AZ33" s="139" t="str">
        <f t="shared" ref="AZ33:AZ34" si="333">IF(AY33=0,"-",AX33/AY33)</f>
        <v>-</v>
      </c>
      <c r="BA33" s="20">
        <v>0</v>
      </c>
      <c r="BB33" s="21">
        <v>0</v>
      </c>
      <c r="BC33" s="139" t="str">
        <f t="shared" ref="BC33:BC34" si="334">IF(BB33=0,"-",BA33/BB33)</f>
        <v>-</v>
      </c>
      <c r="BD33" s="20">
        <v>0</v>
      </c>
      <c r="BE33" s="21">
        <v>0</v>
      </c>
      <c r="BF33" s="139" t="str">
        <f t="shared" ref="BF33:BF34" si="335">IF(BE33=0,"-",BD33/BE33)</f>
        <v>-</v>
      </c>
      <c r="BG33" s="20">
        <v>0</v>
      </c>
      <c r="BH33" s="21">
        <v>0</v>
      </c>
      <c r="BI33" s="139" t="str">
        <f t="shared" ref="BI33:BI34" si="336">IF(BH33=0,"-",BG33/BH33)</f>
        <v>-</v>
      </c>
      <c r="BJ33" s="270">
        <v>14</v>
      </c>
      <c r="BK33" s="271">
        <v>2</v>
      </c>
      <c r="BL33" s="272">
        <f t="shared" si="13"/>
        <v>7</v>
      </c>
      <c r="BM33" s="252">
        <v>0</v>
      </c>
      <c r="BN33" s="253">
        <v>0</v>
      </c>
      <c r="BO33" s="139">
        <v>0</v>
      </c>
      <c r="BP33" s="302">
        <v>0</v>
      </c>
      <c r="BQ33" s="303">
        <v>0</v>
      </c>
      <c r="BR33" s="139" t="str">
        <f t="shared" ref="BR33:BR34" si="337">IF(BQ33=0,"-",BP33/BQ33)</f>
        <v>-</v>
      </c>
      <c r="BS33" s="20">
        <v>15</v>
      </c>
      <c r="BT33" s="21">
        <v>2</v>
      </c>
      <c r="BU33" s="139">
        <f t="shared" si="161"/>
        <v>7.5</v>
      </c>
      <c r="BV33" s="20">
        <v>0</v>
      </c>
      <c r="BW33" s="21">
        <v>0</v>
      </c>
      <c r="BX33" s="139" t="str">
        <f t="shared" ref="BX33:BX34" si="338">IF(BW33=0,"-",BV33/BW33)</f>
        <v>-</v>
      </c>
      <c r="BY33" s="20">
        <v>0</v>
      </c>
      <c r="BZ33" s="21">
        <v>0</v>
      </c>
      <c r="CA33" s="139" t="s">
        <v>32</v>
      </c>
      <c r="CB33" s="20">
        <v>0</v>
      </c>
      <c r="CC33" s="21">
        <v>0</v>
      </c>
      <c r="CD33" s="139" t="s">
        <v>32</v>
      </c>
      <c r="CE33" s="20">
        <v>0</v>
      </c>
      <c r="CF33" s="21">
        <v>0</v>
      </c>
      <c r="CG33" s="139" t="s">
        <v>32</v>
      </c>
      <c r="CH33" s="20">
        <v>0</v>
      </c>
      <c r="CI33" s="21">
        <v>0</v>
      </c>
      <c r="CJ33" s="139" t="s">
        <v>32</v>
      </c>
      <c r="CK33" s="20">
        <v>0</v>
      </c>
      <c r="CL33" s="21">
        <v>0</v>
      </c>
      <c r="CM33" s="139" t="s">
        <v>32</v>
      </c>
      <c r="CN33" s="117">
        <f t="shared" si="23"/>
        <v>419</v>
      </c>
      <c r="CO33" s="120">
        <f t="shared" si="24"/>
        <v>66</v>
      </c>
      <c r="CP33" s="147">
        <f t="shared" si="25"/>
        <v>6.3484848484848486</v>
      </c>
    </row>
    <row r="34" spans="1:94" ht="15" thickBot="1" x14ac:dyDescent="0.35">
      <c r="A34" s="294">
        <v>45626</v>
      </c>
      <c r="B34" s="20">
        <v>42</v>
      </c>
      <c r="C34" s="21">
        <v>6</v>
      </c>
      <c r="D34" s="139">
        <f t="shared" si="0"/>
        <v>7</v>
      </c>
      <c r="E34" s="20">
        <v>0</v>
      </c>
      <c r="F34" s="21">
        <v>0</v>
      </c>
      <c r="G34" s="139" t="str">
        <f t="shared" si="1"/>
        <v>-</v>
      </c>
      <c r="H34" s="20"/>
      <c r="I34" s="21"/>
      <c r="J34" s="139" t="s">
        <v>32</v>
      </c>
      <c r="K34" s="20">
        <v>26</v>
      </c>
      <c r="L34" s="21">
        <v>3</v>
      </c>
      <c r="M34" s="139">
        <f t="shared" si="3"/>
        <v>8.6666666666666661</v>
      </c>
      <c r="N34" s="125">
        <v>0</v>
      </c>
      <c r="O34" s="126">
        <v>0</v>
      </c>
      <c r="P34" s="139" t="s">
        <v>32</v>
      </c>
      <c r="Q34" s="20">
        <v>82</v>
      </c>
      <c r="R34" s="21">
        <v>14</v>
      </c>
      <c r="S34" s="139">
        <f t="shared" si="5"/>
        <v>5.8571428571428568</v>
      </c>
      <c r="T34" s="20">
        <v>120</v>
      </c>
      <c r="U34" s="21">
        <v>22</v>
      </c>
      <c r="V34" s="139">
        <f t="shared" ref="V34" si="339">IF(U34=0,"-",T34/U34)</f>
        <v>5.4545454545454541</v>
      </c>
      <c r="W34" s="20"/>
      <c r="X34" s="21"/>
      <c r="Y34" s="278" t="str">
        <f t="shared" ref="Y34" si="340">IF(X34=0,"-",W34/X34)</f>
        <v>-</v>
      </c>
      <c r="Z34" s="20"/>
      <c r="AA34" s="21"/>
      <c r="AB34" s="278" t="str">
        <f t="shared" si="26"/>
        <v>-</v>
      </c>
      <c r="AC34" s="20">
        <v>0</v>
      </c>
      <c r="AD34" s="21">
        <v>0</v>
      </c>
      <c r="AE34" s="278" t="str">
        <f t="shared" si="329"/>
        <v>-</v>
      </c>
      <c r="AF34" s="20">
        <v>0</v>
      </c>
      <c r="AG34" s="21">
        <v>0</v>
      </c>
      <c r="AH34" s="278" t="str">
        <f t="shared" si="330"/>
        <v>-</v>
      </c>
      <c r="AI34" s="20">
        <v>0</v>
      </c>
      <c r="AJ34" s="21">
        <v>0</v>
      </c>
      <c r="AK34" s="278" t="str">
        <f t="shared" si="331"/>
        <v>-</v>
      </c>
      <c r="AL34" s="20">
        <v>19</v>
      </c>
      <c r="AM34" s="21">
        <v>3</v>
      </c>
      <c r="AN34" s="139">
        <f t="shared" si="41"/>
        <v>6.333333333333333</v>
      </c>
      <c r="AO34" s="20">
        <v>0</v>
      </c>
      <c r="AP34" s="21">
        <v>0</v>
      </c>
      <c r="AQ34" s="139" t="str">
        <f t="shared" si="320"/>
        <v>-</v>
      </c>
      <c r="AR34" s="23">
        <v>1</v>
      </c>
      <c r="AS34" s="21">
        <v>1</v>
      </c>
      <c r="AT34" s="139">
        <f t="shared" si="43"/>
        <v>1</v>
      </c>
      <c r="AU34" s="23"/>
      <c r="AV34" s="21"/>
      <c r="AW34" s="139" t="s">
        <v>32</v>
      </c>
      <c r="AX34" s="20">
        <v>0</v>
      </c>
      <c r="AY34" s="21">
        <v>0</v>
      </c>
      <c r="AZ34" s="139" t="str">
        <f t="shared" si="333"/>
        <v>-</v>
      </c>
      <c r="BA34" s="20">
        <v>0</v>
      </c>
      <c r="BB34" s="21">
        <v>0</v>
      </c>
      <c r="BC34" s="139" t="str">
        <f t="shared" si="334"/>
        <v>-</v>
      </c>
      <c r="BD34" s="20">
        <v>0</v>
      </c>
      <c r="BE34" s="21">
        <v>0</v>
      </c>
      <c r="BF34" s="139" t="str">
        <f t="shared" si="335"/>
        <v>-</v>
      </c>
      <c r="BG34" s="20">
        <v>0</v>
      </c>
      <c r="BH34" s="21">
        <v>0</v>
      </c>
      <c r="BI34" s="139" t="str">
        <f t="shared" si="336"/>
        <v>-</v>
      </c>
      <c r="BJ34" s="20">
        <v>7</v>
      </c>
      <c r="BK34" s="21">
        <v>1</v>
      </c>
      <c r="BL34" s="139">
        <f t="shared" si="13"/>
        <v>7</v>
      </c>
      <c r="BM34" s="252">
        <v>0</v>
      </c>
      <c r="BN34" s="253">
        <v>0</v>
      </c>
      <c r="BO34" s="139">
        <v>0</v>
      </c>
      <c r="BP34" s="302">
        <v>0</v>
      </c>
      <c r="BQ34" s="303">
        <v>0</v>
      </c>
      <c r="BR34" s="139" t="str">
        <f t="shared" si="337"/>
        <v>-</v>
      </c>
      <c r="BS34" s="20">
        <v>12</v>
      </c>
      <c r="BT34" s="21">
        <v>2</v>
      </c>
      <c r="BU34" s="139">
        <f t="shared" ref="BU34" si="341">IF(BT34=0,"-",BS34/BT34)</f>
        <v>6</v>
      </c>
      <c r="BV34" s="20">
        <v>0</v>
      </c>
      <c r="BW34" s="21">
        <v>0</v>
      </c>
      <c r="BX34" s="139" t="str">
        <f t="shared" si="338"/>
        <v>-</v>
      </c>
      <c r="BY34" s="20">
        <v>0</v>
      </c>
      <c r="BZ34" s="21">
        <v>0</v>
      </c>
      <c r="CA34" s="139" t="s">
        <v>32</v>
      </c>
      <c r="CB34" s="20">
        <v>0</v>
      </c>
      <c r="CC34" s="21">
        <v>0</v>
      </c>
      <c r="CD34" s="139" t="s">
        <v>32</v>
      </c>
      <c r="CE34" s="20">
        <v>0</v>
      </c>
      <c r="CF34" s="21">
        <v>0</v>
      </c>
      <c r="CG34" s="139" t="s">
        <v>32</v>
      </c>
      <c r="CH34" s="20">
        <v>0</v>
      </c>
      <c r="CI34" s="21">
        <v>0</v>
      </c>
      <c r="CJ34" s="139" t="s">
        <v>32</v>
      </c>
      <c r="CK34" s="20">
        <v>0</v>
      </c>
      <c r="CL34" s="21">
        <v>0</v>
      </c>
      <c r="CM34" s="139" t="s">
        <v>32</v>
      </c>
      <c r="CN34" s="117">
        <f t="shared" si="23"/>
        <v>309</v>
      </c>
      <c r="CO34" s="120">
        <f t="shared" si="24"/>
        <v>49</v>
      </c>
      <c r="CP34" s="147">
        <f t="shared" si="25"/>
        <v>6.3061224489795915</v>
      </c>
    </row>
    <row r="35" spans="1:94" s="41" customFormat="1" ht="15.6" customHeight="1" thickBot="1" x14ac:dyDescent="0.35">
      <c r="A35" s="295" t="s">
        <v>33</v>
      </c>
      <c r="B35" s="43">
        <f>SUM(B5:B34)</f>
        <v>1444</v>
      </c>
      <c r="C35" s="43">
        <f>SUM(C5:C34)</f>
        <v>175</v>
      </c>
      <c r="D35" s="44">
        <f>B35/C35</f>
        <v>8.2514285714285709</v>
      </c>
      <c r="E35" s="43">
        <f>SUM(E5:E34)</f>
        <v>82</v>
      </c>
      <c r="F35" s="43">
        <f>SUM(F5:F34)</f>
        <v>11</v>
      </c>
      <c r="G35" s="44">
        <f>E35/F35</f>
        <v>7.4545454545454541</v>
      </c>
      <c r="H35" s="43">
        <f>SUM(H5:H34)</f>
        <v>0</v>
      </c>
      <c r="I35" s="43">
        <f>SUM(I5:I34)</f>
        <v>0</v>
      </c>
      <c r="J35" s="44" t="e">
        <f>H35/I35</f>
        <v>#DIV/0!</v>
      </c>
      <c r="K35" s="43">
        <f>SUM(K5:K34)</f>
        <v>510</v>
      </c>
      <c r="L35" s="43">
        <f>SUM(L5:L34)</f>
        <v>63</v>
      </c>
      <c r="M35" s="44">
        <f>K35/L35</f>
        <v>8.0952380952380949</v>
      </c>
      <c r="N35" s="43">
        <f>SUM(N5:N34)</f>
        <v>27</v>
      </c>
      <c r="O35" s="43">
        <f>SUM(O5:O34)</f>
        <v>4</v>
      </c>
      <c r="P35" s="44">
        <f>N35/O35</f>
        <v>6.75</v>
      </c>
      <c r="Q35" s="43">
        <f>SUM(Q5:Q34)</f>
        <v>1231</v>
      </c>
      <c r="R35" s="43">
        <f>SUM(R5:R34)</f>
        <v>306</v>
      </c>
      <c r="S35" s="44">
        <f>Q35/R35</f>
        <v>4.022875816993464</v>
      </c>
      <c r="T35" s="43">
        <f>SUM(T5:T34)</f>
        <v>769</v>
      </c>
      <c r="U35" s="43">
        <f>SUM(U5:U34)</f>
        <v>166</v>
      </c>
      <c r="V35" s="44">
        <f>T35/U35</f>
        <v>4.6325301204819276</v>
      </c>
      <c r="W35" s="43">
        <f>SUM(W5:W34)</f>
        <v>0</v>
      </c>
      <c r="X35" s="43">
        <f>SUM(X5:X34)</f>
        <v>0</v>
      </c>
      <c r="Y35" s="297" t="e">
        <f>W35/X35</f>
        <v>#DIV/0!</v>
      </c>
      <c r="Z35" s="43">
        <f>SUM(Z5:Z34)</f>
        <v>222</v>
      </c>
      <c r="AA35" s="43">
        <f>SUM(AA5:AA34)</f>
        <v>54</v>
      </c>
      <c r="AB35" s="297">
        <f t="shared" ref="AB35" si="342">Z35/AA35</f>
        <v>4.1111111111111107</v>
      </c>
      <c r="AC35" s="43">
        <f>SUM(AC5:AC34)</f>
        <v>562</v>
      </c>
      <c r="AD35" s="43">
        <f>SUM(AD5:AD34)</f>
        <v>102</v>
      </c>
      <c r="AE35" s="297">
        <f t="shared" ref="AE35" si="343">AC35/AD35</f>
        <v>5.5098039215686274</v>
      </c>
      <c r="AF35" s="43">
        <f>SUM(AF5:AF34)</f>
        <v>90</v>
      </c>
      <c r="AG35" s="43">
        <f>SUM(AG5:AG34)</f>
        <v>15</v>
      </c>
      <c r="AH35" s="44">
        <f>AF35/AG35</f>
        <v>6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3">
        <f>SUM(AR5:AR34)</f>
        <v>46</v>
      </c>
      <c r="AS35" s="43">
        <f>SUM(AS5:AS34)</f>
        <v>12</v>
      </c>
      <c r="AT35" s="44">
        <f>AR35/AS35</f>
        <v>3.8333333333333335</v>
      </c>
      <c r="AU35" s="43">
        <f>SUM(AU5:AU34)</f>
        <v>0</v>
      </c>
      <c r="AV35" s="43">
        <f>SUM(AV5:AV34)</f>
        <v>0</v>
      </c>
      <c r="AW35" s="44" t="e">
        <f>AU35/AV35</f>
        <v>#DIV/0!</v>
      </c>
      <c r="AX35" s="43">
        <f>SUM(AX5:AX34)</f>
        <v>14</v>
      </c>
      <c r="AY35" s="43">
        <f>SUM(AY5:AY34)</f>
        <v>7</v>
      </c>
      <c r="AZ35" s="44">
        <f>AX35/AY35</f>
        <v>2</v>
      </c>
      <c r="BA35" s="43">
        <f>SUM(BA5:BA34)</f>
        <v>1</v>
      </c>
      <c r="BB35" s="43">
        <f>SUM(BB5:BB34)</f>
        <v>1</v>
      </c>
      <c r="BC35" s="44">
        <f>BA35/BB35</f>
        <v>1</v>
      </c>
      <c r="BD35" s="43">
        <f>SUM(BD5:BD34)</f>
        <v>0</v>
      </c>
      <c r="BE35" s="43">
        <f>SUM(BE5:BE34)</f>
        <v>0</v>
      </c>
      <c r="BF35" s="44" t="e">
        <f>BD35/BE35</f>
        <v>#DIV/0!</v>
      </c>
      <c r="BG35" s="43">
        <f>SUM(BG5:BG34)</f>
        <v>54</v>
      </c>
      <c r="BH35" s="43">
        <f>SUM(BH5:BH34)</f>
        <v>6</v>
      </c>
      <c r="BI35" s="44">
        <f>BG35/BH35</f>
        <v>9</v>
      </c>
      <c r="BJ35" s="43">
        <f>SUM(BJ5:BJ34)</f>
        <v>644</v>
      </c>
      <c r="BK35" s="43">
        <f>SUM(BK5:BK34)</f>
        <v>94</v>
      </c>
      <c r="BL35" s="44">
        <f>BJ35/BK35</f>
        <v>6.8510638297872344</v>
      </c>
      <c r="BM35" s="43">
        <f>SUM(BM5:BM34)</f>
        <v>14</v>
      </c>
      <c r="BN35" s="43">
        <f>SUM(BN5:BN34)</f>
        <v>2</v>
      </c>
      <c r="BO35" s="44">
        <f>BM35/BN35</f>
        <v>7</v>
      </c>
      <c r="BP35" s="43">
        <f>SUM(BP5:BP34)</f>
        <v>70</v>
      </c>
      <c r="BQ35" s="43">
        <f>SUM(BQ5:BQ34)</f>
        <v>10</v>
      </c>
      <c r="BR35" s="44">
        <f>BP35/BQ35</f>
        <v>7</v>
      </c>
      <c r="BS35" s="43">
        <f>SUM(BS5:BS34)</f>
        <v>96</v>
      </c>
      <c r="BT35" s="43">
        <f>SUM(BT5:BT34)</f>
        <v>14</v>
      </c>
      <c r="BU35" s="44">
        <f>BS35/BT35</f>
        <v>6.8571428571428568</v>
      </c>
      <c r="BV35" s="43">
        <f>SUM(BV5:BV34)</f>
        <v>30</v>
      </c>
      <c r="BW35" s="43">
        <f>SUM(BW5:BW34)</f>
        <v>10</v>
      </c>
      <c r="BX35" s="140">
        <f>IF(BW35=0,"-",BV35/BW35)</f>
        <v>3</v>
      </c>
      <c r="BY35" s="43">
        <f>SUM(BY5:BY34)</f>
        <v>0</v>
      </c>
      <c r="BZ35" s="43">
        <f>SUM(BZ5:BZ34)</f>
        <v>0</v>
      </c>
      <c r="CA35" s="140" t="str">
        <f>IF(BZ35=0,"-",BY35/BZ35)</f>
        <v>-</v>
      </c>
      <c r="CB35" s="43">
        <f>SUM(CB5:CB34)</f>
        <v>8</v>
      </c>
      <c r="CC35" s="43">
        <f>SUM(CC5:CC34)</f>
        <v>4</v>
      </c>
      <c r="CD35" s="140">
        <f>IF(CC35=0,"-",CB35/CC35)</f>
        <v>2</v>
      </c>
      <c r="CE35" s="43">
        <f>SUM(CE5:CE34)</f>
        <v>53</v>
      </c>
      <c r="CF35" s="43">
        <f>SUM(CF5:CF34)</f>
        <v>9</v>
      </c>
      <c r="CG35" s="140">
        <f>IF(CF35=0,"-",CE35/CF35)</f>
        <v>5.8888888888888893</v>
      </c>
      <c r="CH35" s="43">
        <f>SUM(CH5:CH34)</f>
        <v>0</v>
      </c>
      <c r="CI35" s="43">
        <f>SUM(CI5:CI34)</f>
        <v>0</v>
      </c>
      <c r="CJ35" s="140" t="str">
        <f>IF(CI35=0,"-",CH35/CI35)</f>
        <v>-</v>
      </c>
      <c r="CK35" s="43">
        <f>SUM(CK5:CK34)</f>
        <v>5</v>
      </c>
      <c r="CL35" s="43">
        <f>SUM(CL5:CL34)</f>
        <v>2</v>
      </c>
      <c r="CM35" s="140">
        <f>IF(CL35=0,"-",CK35/CL35)</f>
        <v>2.5</v>
      </c>
      <c r="CN35" s="118">
        <f>SUM(CN5:CN34)</f>
        <v>6008</v>
      </c>
      <c r="CO35" s="118">
        <f>SUM(CO5:CO34)</f>
        <v>1057</v>
      </c>
      <c r="CP35" s="144">
        <f t="shared" si="25"/>
        <v>5.6840113528855252</v>
      </c>
    </row>
    <row r="36" spans="1:94" x14ac:dyDescent="0.3">
      <c r="A36" s="294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E52F-0D12-4DE0-A378-928769CEE75C}">
  <sheetPr>
    <tabColor rgb="FFFF0000"/>
  </sheetPr>
  <dimension ref="A1:CL43"/>
  <sheetViews>
    <sheetView workbookViewId="0"/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76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'November 2024'!B35</f>
        <v>1444</v>
      </c>
      <c r="C4" s="68"/>
      <c r="D4" s="95" t="s">
        <v>19</v>
      </c>
      <c r="E4" s="93">
        <f>'November 2024'!AX35</f>
        <v>14</v>
      </c>
      <c r="F4" s="68"/>
      <c r="G4" s="87" t="s">
        <v>24</v>
      </c>
      <c r="H4" s="81">
        <f>'November 2024'!BM35</f>
        <v>14</v>
      </c>
    </row>
    <row r="5" spans="1:90" x14ac:dyDescent="0.3">
      <c r="A5" s="80"/>
      <c r="B5" s="81">
        <f>'November 2024'!C35</f>
        <v>175</v>
      </c>
      <c r="C5" s="68"/>
      <c r="D5" s="85"/>
      <c r="E5" s="81">
        <f>'November 2024'!AY35</f>
        <v>7</v>
      </c>
      <c r="F5" s="68"/>
      <c r="G5" s="87"/>
      <c r="H5" s="81">
        <f>'November 2024'!BN35</f>
        <v>2</v>
      </c>
    </row>
    <row r="6" spans="1:90" x14ac:dyDescent="0.3">
      <c r="A6" s="82"/>
      <c r="B6" s="26">
        <f>'November 2024'!D35</f>
        <v>8.2514285714285709</v>
      </c>
      <c r="C6" s="68"/>
      <c r="D6" s="86"/>
      <c r="E6" s="26">
        <f>'November 2024'!AZ35</f>
        <v>2</v>
      </c>
      <c r="F6" s="68"/>
      <c r="G6" s="88"/>
      <c r="H6" s="26">
        <f>'November 2024'!BO35</f>
        <v>7</v>
      </c>
    </row>
    <row r="7" spans="1:90" x14ac:dyDescent="0.3">
      <c r="A7" s="80" t="s">
        <v>9</v>
      </c>
      <c r="B7" s="81">
        <f>'November 2024'!E35</f>
        <v>82</v>
      </c>
      <c r="C7" s="68"/>
      <c r="D7" s="85" t="s">
        <v>20</v>
      </c>
      <c r="E7" s="81">
        <f>'November 2024'!BA35</f>
        <v>1</v>
      </c>
      <c r="F7" s="68"/>
      <c r="G7" s="87" t="s">
        <v>25</v>
      </c>
      <c r="H7" s="151">
        <f>'November 2024'!BP35</f>
        <v>70</v>
      </c>
    </row>
    <row r="8" spans="1:90" x14ac:dyDescent="0.3">
      <c r="A8" s="80"/>
      <c r="B8" s="81">
        <f>'November 2024'!F35</f>
        <v>11</v>
      </c>
      <c r="C8" s="68"/>
      <c r="D8" s="85"/>
      <c r="E8" s="81">
        <f>'November 2024'!BB35</f>
        <v>1</v>
      </c>
      <c r="F8" s="68"/>
      <c r="G8" s="87"/>
      <c r="H8" s="151">
        <f>'November 2024'!BQ35</f>
        <v>10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'November 2024'!G35</f>
        <v>7.4545454545454541</v>
      </c>
      <c r="C9" s="68"/>
      <c r="D9" s="86"/>
      <c r="E9" s="26">
        <f>'November 2024'!BC35</f>
        <v>1</v>
      </c>
      <c r="F9" s="68"/>
      <c r="G9" s="88"/>
      <c r="H9" s="151">
        <f>'November 2024'!BQ35</f>
        <v>10</v>
      </c>
    </row>
    <row r="10" spans="1:90" x14ac:dyDescent="0.3">
      <c r="A10" s="80" t="s">
        <v>55</v>
      </c>
      <c r="B10" s="81">
        <f>'November 2024'!K35</f>
        <v>510</v>
      </c>
      <c r="C10" s="68"/>
      <c r="D10" s="85" t="s">
        <v>21</v>
      </c>
      <c r="E10" s="81">
        <f>'November 2024'!BD35</f>
        <v>0</v>
      </c>
      <c r="F10" s="68"/>
      <c r="G10" s="87" t="s">
        <v>26</v>
      </c>
      <c r="H10" s="151">
        <f>'November 2024'!BS35</f>
        <v>96</v>
      </c>
    </row>
    <row r="11" spans="1:90" x14ac:dyDescent="0.3">
      <c r="A11" s="80"/>
      <c r="B11" s="81">
        <f>'November 2024'!L35</f>
        <v>63</v>
      </c>
      <c r="C11" s="68"/>
      <c r="D11" s="85"/>
      <c r="E11" s="81">
        <f>'November 2024'!BE35</f>
        <v>0</v>
      </c>
      <c r="F11" s="68"/>
      <c r="G11" s="87"/>
      <c r="H11" s="81">
        <f>'November 2024'!BT35</f>
        <v>14</v>
      </c>
    </row>
    <row r="12" spans="1:90" x14ac:dyDescent="0.3">
      <c r="A12" s="82"/>
      <c r="B12" s="26">
        <f>'November 2024'!M35</f>
        <v>8.0952380952380949</v>
      </c>
      <c r="C12" s="68"/>
      <c r="D12" s="86"/>
      <c r="E12" s="26" t="e">
        <f>'November 2024'!BF35</f>
        <v>#DIV/0!</v>
      </c>
      <c r="F12" s="68"/>
      <c r="G12" s="88"/>
      <c r="H12" s="26">
        <f>'November 2024'!BU35</f>
        <v>6.8571428571428568</v>
      </c>
    </row>
    <row r="13" spans="1:90" x14ac:dyDescent="0.3">
      <c r="A13" s="80" t="s">
        <v>11</v>
      </c>
      <c r="B13" s="81">
        <f>'November 2024'!Q35</f>
        <v>1231</v>
      </c>
      <c r="C13" s="68"/>
      <c r="D13" s="85" t="s">
        <v>22</v>
      </c>
      <c r="E13" s="81">
        <f>'November 2024'!BG35</f>
        <v>54</v>
      </c>
      <c r="F13" s="68"/>
      <c r="G13" s="87" t="s">
        <v>27</v>
      </c>
      <c r="H13" s="81">
        <f>'November 2024'!BV35</f>
        <v>30</v>
      </c>
    </row>
    <row r="14" spans="1:90" x14ac:dyDescent="0.3">
      <c r="A14" s="80"/>
      <c r="B14" s="81">
        <f>'November 2024'!R35</f>
        <v>306</v>
      </c>
      <c r="C14" s="68"/>
      <c r="D14" s="85"/>
      <c r="E14" s="81">
        <f>'November 2024'!BH35</f>
        <v>6</v>
      </c>
      <c r="F14" s="68"/>
      <c r="G14" s="87"/>
      <c r="H14" s="81">
        <f>'November 2024'!BW35</f>
        <v>10</v>
      </c>
    </row>
    <row r="15" spans="1:90" x14ac:dyDescent="0.3">
      <c r="A15" s="82"/>
      <c r="B15" s="26">
        <f>'November 2024'!S35</f>
        <v>4.022875816993464</v>
      </c>
      <c r="C15" s="68"/>
      <c r="D15" s="85"/>
      <c r="E15" s="26">
        <f>'November 2024'!BI35</f>
        <v>9</v>
      </c>
      <c r="F15" s="68"/>
      <c r="G15" s="88"/>
      <c r="H15" s="26">
        <f>'November 2024'!BX35</f>
        <v>3</v>
      </c>
    </row>
    <row r="16" spans="1:90" x14ac:dyDescent="0.3">
      <c r="A16" s="80" t="s">
        <v>44</v>
      </c>
      <c r="B16" s="81">
        <f>'November 2024'!T35</f>
        <v>769</v>
      </c>
      <c r="C16" s="68"/>
      <c r="D16" s="85" t="s">
        <v>45</v>
      </c>
      <c r="E16" s="26">
        <f>'November 2024'!BJ35</f>
        <v>644</v>
      </c>
      <c r="F16" s="68"/>
      <c r="G16" s="96" t="s">
        <v>28</v>
      </c>
      <c r="H16" s="97">
        <f>'November 2024'!CE35</f>
        <v>53</v>
      </c>
    </row>
    <row r="17" spans="1:8" x14ac:dyDescent="0.3">
      <c r="A17" s="80"/>
      <c r="B17" s="81">
        <f>'November 2024'!U35</f>
        <v>166</v>
      </c>
      <c r="C17" s="68"/>
      <c r="D17" s="85"/>
      <c r="E17" s="81">
        <f>'November 2024'!BK35</f>
        <v>94</v>
      </c>
      <c r="F17" s="68"/>
      <c r="G17" s="96"/>
      <c r="H17" s="97">
        <f>'November 2024'!CF35</f>
        <v>9</v>
      </c>
    </row>
    <row r="18" spans="1:8" ht="15" thickBot="1" x14ac:dyDescent="0.35">
      <c r="A18" s="82"/>
      <c r="B18" s="26">
        <f>'November 2024'!V35</f>
        <v>4.6325301204819276</v>
      </c>
      <c r="C18" s="68"/>
      <c r="D18" s="102"/>
      <c r="E18" s="149">
        <f>'November 2024'!BL35</f>
        <v>6.8510638297872344</v>
      </c>
      <c r="F18" s="68"/>
      <c r="G18" s="98"/>
      <c r="H18" s="99">
        <f>H16/H17</f>
        <v>5.8888888888888893</v>
      </c>
    </row>
    <row r="19" spans="1:8" x14ac:dyDescent="0.3">
      <c r="A19" s="80" t="s">
        <v>85</v>
      </c>
      <c r="B19" s="81">
        <f>'November 2024'!W35</f>
        <v>0</v>
      </c>
      <c r="C19" s="68"/>
    </row>
    <row r="20" spans="1:8" x14ac:dyDescent="0.3">
      <c r="A20" s="80"/>
      <c r="B20" s="81">
        <f>'November 2024'!X35</f>
        <v>0</v>
      </c>
      <c r="C20" s="68"/>
    </row>
    <row r="21" spans="1:8" x14ac:dyDescent="0.3">
      <c r="A21" s="100"/>
      <c r="B21" s="81" t="e">
        <f>'November 2024'!Y35</f>
        <v>#DIV/0!</v>
      </c>
      <c r="C21" s="68"/>
    </row>
    <row r="22" spans="1:8" x14ac:dyDescent="0.3">
      <c r="A22" s="310" t="s">
        <v>86</v>
      </c>
      <c r="B22" s="311">
        <f>'November 2024'!Z35</f>
        <v>222</v>
      </c>
      <c r="C22" s="68"/>
      <c r="D22" s="68"/>
      <c r="E22" s="68"/>
    </row>
    <row r="23" spans="1:8" x14ac:dyDescent="0.3">
      <c r="A23" s="315"/>
      <c r="B23" s="312">
        <f>'November 2024'!AA35</f>
        <v>54</v>
      </c>
      <c r="C23" s="68"/>
      <c r="D23" s="68"/>
      <c r="E23" s="68"/>
    </row>
    <row r="24" spans="1:8" x14ac:dyDescent="0.3">
      <c r="A24" s="313"/>
      <c r="B24" s="316">
        <f>'November 2024'!AB35</f>
        <v>4.1111111111111107</v>
      </c>
      <c r="C24" s="68"/>
      <c r="D24" s="68"/>
      <c r="E24" s="68"/>
    </row>
    <row r="25" spans="1:8" x14ac:dyDescent="0.3">
      <c r="A25" s="313" t="s">
        <v>79</v>
      </c>
      <c r="B25" s="316">
        <f>'November 2024'!AC35</f>
        <v>562</v>
      </c>
      <c r="C25" s="68"/>
      <c r="D25" s="68"/>
      <c r="E25" s="68"/>
    </row>
    <row r="26" spans="1:8" x14ac:dyDescent="0.3">
      <c r="A26" s="313"/>
      <c r="B26" s="316">
        <f>'November 2024'!AD35</f>
        <v>102</v>
      </c>
      <c r="C26" s="68"/>
      <c r="D26" s="68"/>
      <c r="E26" s="68"/>
    </row>
    <row r="27" spans="1:8" x14ac:dyDescent="0.3">
      <c r="A27" s="314"/>
      <c r="B27" s="317">
        <f>'November 2024'!AE35</f>
        <v>5.5098039215686274</v>
      </c>
      <c r="C27" s="68"/>
      <c r="D27" s="68"/>
      <c r="E27" s="68"/>
    </row>
    <row r="28" spans="1:8" x14ac:dyDescent="0.3">
      <c r="A28" s="308" t="s">
        <v>14</v>
      </c>
      <c r="B28" s="309">
        <f>'November 2024'!AC35</f>
        <v>562</v>
      </c>
      <c r="C28" s="68"/>
      <c r="D28" s="68"/>
      <c r="E28" s="68"/>
    </row>
    <row r="29" spans="1:8" x14ac:dyDescent="0.3">
      <c r="A29" s="83"/>
      <c r="B29" s="81">
        <f>'November 2024'!AD35</f>
        <v>102</v>
      </c>
      <c r="C29" s="68"/>
      <c r="D29" s="68"/>
      <c r="E29" s="68"/>
    </row>
    <row r="30" spans="1:8" x14ac:dyDescent="0.3">
      <c r="A30" s="84"/>
      <c r="B30" s="26">
        <f>'November 2024'!AE35</f>
        <v>5.5098039215686274</v>
      </c>
      <c r="C30" s="68"/>
      <c r="D30" s="68"/>
      <c r="E30" s="68"/>
    </row>
    <row r="31" spans="1:8" x14ac:dyDescent="0.3">
      <c r="A31" s="83" t="s">
        <v>15</v>
      </c>
      <c r="B31" s="81">
        <f>'November 2024'!AF35</f>
        <v>90</v>
      </c>
      <c r="C31" s="68"/>
      <c r="F31" s="68"/>
      <c r="G31" s="68"/>
    </row>
    <row r="32" spans="1:8" x14ac:dyDescent="0.3">
      <c r="A32" s="83"/>
      <c r="B32" s="81">
        <f>'November 2024'!AG35</f>
        <v>15</v>
      </c>
      <c r="C32" s="68"/>
      <c r="F32" s="68"/>
      <c r="G32" s="68"/>
    </row>
    <row r="33" spans="1:7" x14ac:dyDescent="0.3">
      <c r="A33" s="84"/>
      <c r="B33" s="275">
        <f>'November 2024'!AH35</f>
        <v>6</v>
      </c>
      <c r="C33" s="68"/>
      <c r="F33" s="68"/>
      <c r="G33" s="68"/>
    </row>
    <row r="34" spans="1:7" x14ac:dyDescent="0.3">
      <c r="A34" s="83" t="s">
        <v>16</v>
      </c>
      <c r="B34" s="81">
        <f>'November 2024'!AL35</f>
        <v>0</v>
      </c>
      <c r="C34" s="68"/>
      <c r="F34" s="68"/>
      <c r="G34" s="68"/>
    </row>
    <row r="35" spans="1:7" x14ac:dyDescent="0.3">
      <c r="A35" s="83"/>
      <c r="B35" s="81">
        <f>'November 2024'!AM35</f>
        <v>0</v>
      </c>
      <c r="C35" s="68"/>
      <c r="F35" s="68"/>
      <c r="G35" s="68"/>
    </row>
    <row r="36" spans="1:7" x14ac:dyDescent="0.3">
      <c r="A36" s="84"/>
      <c r="B36" s="26">
        <f>'November 2024'!AN35</f>
        <v>0</v>
      </c>
      <c r="C36" s="68"/>
      <c r="F36" s="68"/>
      <c r="G36" s="68"/>
    </row>
    <row r="37" spans="1:7" x14ac:dyDescent="0.3">
      <c r="A37" s="83" t="s">
        <v>17</v>
      </c>
      <c r="B37" s="81">
        <f>'November 2024'!AO35</f>
        <v>0</v>
      </c>
      <c r="C37" s="68"/>
      <c r="F37" s="68"/>
      <c r="G37" s="68"/>
    </row>
    <row r="38" spans="1:7" x14ac:dyDescent="0.3">
      <c r="A38" s="83"/>
      <c r="B38" s="81">
        <f>'November 2024'!AP35</f>
        <v>0</v>
      </c>
      <c r="C38" s="68"/>
      <c r="F38" s="68"/>
      <c r="G38" s="68"/>
    </row>
    <row r="39" spans="1:7" x14ac:dyDescent="0.3">
      <c r="A39" s="84"/>
      <c r="B39" s="26">
        <f>'November 2024'!AQ35</f>
        <v>0</v>
      </c>
      <c r="C39" s="68"/>
      <c r="F39" s="68"/>
      <c r="G39" s="68"/>
    </row>
    <row r="40" spans="1:7" x14ac:dyDescent="0.3">
      <c r="A40" s="83" t="s">
        <v>59</v>
      </c>
      <c r="B40" s="81">
        <f>'November 2024'!AR35</f>
        <v>46</v>
      </c>
      <c r="C40" s="68"/>
      <c r="F40" s="68"/>
      <c r="G40" s="68"/>
    </row>
    <row r="41" spans="1:7" x14ac:dyDescent="0.3">
      <c r="A41" s="83"/>
      <c r="B41" s="81">
        <f>'November 2024'!AS35</f>
        <v>12</v>
      </c>
      <c r="C41" s="68"/>
      <c r="F41" s="68"/>
      <c r="G41" s="68"/>
    </row>
    <row r="42" spans="1:7" ht="15" thickBot="1" x14ac:dyDescent="0.35">
      <c r="A42" s="94"/>
      <c r="B42" s="89">
        <f>'November 2024'!AT35</f>
        <v>3.8333333333333335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E7C5-679C-4B91-B647-CEC177FA11CA}">
  <dimension ref="A1:CP125"/>
  <sheetViews>
    <sheetView workbookViewId="0">
      <pane xSplit="9" ySplit="11" topLeftCell="CC28" activePane="bottomRight" state="frozen"/>
      <selection pane="topRight" activeCell="J1" sqref="J1"/>
      <selection pane="bottomLeft" activeCell="A12" sqref="A12"/>
      <selection pane="bottomRight" activeCell="CN25" sqref="CN25:CN34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0" width="9.6640625" style="2" customWidth="1"/>
    <col min="41" max="43" width="9.6640625" style="2" hidden="1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customWidth="1"/>
    <col min="60" max="60" width="9.6640625" customWidth="1"/>
    <col min="61" max="61" width="11.88671875" style="2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customWidth="1"/>
    <col min="79" max="79" width="8.88671875" style="2" customWidth="1"/>
    <col min="82" max="82" width="8.88671875" style="2"/>
    <col min="85" max="85" width="8.88671875" style="2"/>
    <col min="88" max="88" width="9.33203125" style="2" customWidth="1"/>
    <col min="91" max="91" width="8.88671875" style="2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87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73"/>
      <c r="AU2" s="71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69</v>
      </c>
      <c r="AG3" s="4"/>
      <c r="AH3" s="33"/>
      <c r="AI3" s="3" t="s">
        <v>68</v>
      </c>
      <c r="AJ3" s="4"/>
      <c r="AK3" s="33"/>
      <c r="AL3" s="3" t="s">
        <v>62</v>
      </c>
      <c r="AM3" s="4"/>
      <c r="AN3" s="33"/>
      <c r="AO3" s="3" t="s">
        <v>80</v>
      </c>
      <c r="AP3" s="4"/>
      <c r="AQ3" s="33"/>
      <c r="AR3" s="47" t="s">
        <v>14</v>
      </c>
      <c r="AS3" s="47"/>
      <c r="AT3" s="49"/>
      <c r="AU3" s="46" t="s">
        <v>15</v>
      </c>
      <c r="AV3" s="47"/>
      <c r="AW3" s="48"/>
      <c r="AX3" s="47" t="s">
        <v>16</v>
      </c>
      <c r="AY3" s="47"/>
      <c r="AZ3" s="49"/>
      <c r="BA3" s="46" t="s">
        <v>63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55"/>
      <c r="CH3" s="13" t="s">
        <v>26</v>
      </c>
      <c r="CI3" s="14"/>
      <c r="CJ3" s="27"/>
      <c r="CK3" s="14" t="s">
        <v>27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53" t="s">
        <v>31</v>
      </c>
      <c r="AU4" s="50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57" t="s">
        <v>31</v>
      </c>
      <c r="CH4" s="15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45627</v>
      </c>
      <c r="B5" s="125">
        <v>58</v>
      </c>
      <c r="C5" s="126">
        <v>7</v>
      </c>
      <c r="D5" s="276">
        <f t="shared" ref="D5:D24" si="0">IF(C5=0,"-",B5/C5)</f>
        <v>8.2857142857142865</v>
      </c>
      <c r="E5" s="125">
        <v>0</v>
      </c>
      <c r="F5" s="126">
        <v>0</v>
      </c>
      <c r="G5" s="276" t="str">
        <f t="shared" ref="G5:G24" si="1">IF(F5=0,"-",E5/F5)</f>
        <v>-</v>
      </c>
      <c r="H5" s="125"/>
      <c r="I5" s="126"/>
      <c r="J5" s="276" t="str">
        <f t="shared" ref="J5:J6" si="2">IF(I5=0,"-",H5/I5)</f>
        <v>-</v>
      </c>
      <c r="K5" s="125">
        <v>24</v>
      </c>
      <c r="L5" s="126">
        <v>3</v>
      </c>
      <c r="M5" s="276">
        <f t="shared" ref="M5:M24" si="3">IF(L5=0,"-",K5/L5)</f>
        <v>8</v>
      </c>
      <c r="N5" s="125">
        <v>0</v>
      </c>
      <c r="O5" s="126">
        <v>0</v>
      </c>
      <c r="P5" s="276" t="str">
        <f t="shared" ref="P5:P25" si="4">IF(O5=0,"-",N5/O5)</f>
        <v>-</v>
      </c>
      <c r="Q5" s="125">
        <v>0</v>
      </c>
      <c r="R5" s="126">
        <v>0</v>
      </c>
      <c r="S5" s="276" t="str">
        <f t="shared" ref="S5" si="5">IF(R5=0,"-",Q5/R5)</f>
        <v>-</v>
      </c>
      <c r="T5" s="125">
        <v>0</v>
      </c>
      <c r="U5" s="126">
        <v>0</v>
      </c>
      <c r="V5" s="276" t="str">
        <f t="shared" ref="V5" si="6">IF(U5=0,"-",T5/U5)</f>
        <v>-</v>
      </c>
      <c r="W5" s="125">
        <v>0</v>
      </c>
      <c r="X5" s="126">
        <v>0</v>
      </c>
      <c r="Y5" s="276" t="str">
        <f t="shared" ref="Y5" si="7">IF(X5=0,"-",W5/X5)</f>
        <v>-</v>
      </c>
      <c r="Z5" s="125">
        <v>0</v>
      </c>
      <c r="AA5" s="126">
        <v>0</v>
      </c>
      <c r="AB5" s="276" t="str">
        <f t="shared" ref="AB5" si="8">IF(AA5=0,"-",Z5/AA5)</f>
        <v>-</v>
      </c>
      <c r="AC5" s="125">
        <v>0</v>
      </c>
      <c r="AD5" s="126">
        <v>0</v>
      </c>
      <c r="AE5" s="276" t="str">
        <f t="shared" ref="AE5" si="9">IF(AD5=0,"-",AC5/AD5)</f>
        <v>-</v>
      </c>
      <c r="AF5" s="125">
        <v>0</v>
      </c>
      <c r="AG5" s="126">
        <v>0</v>
      </c>
      <c r="AH5" s="276" t="str">
        <f t="shared" ref="AH5" si="10">IF(AG5=0,"-",AF5/AG5)</f>
        <v>-</v>
      </c>
      <c r="AI5" s="125">
        <v>0</v>
      </c>
      <c r="AJ5" s="126">
        <v>0</v>
      </c>
      <c r="AK5" s="276" t="str">
        <f t="shared" ref="AK5" si="11">IF(AJ5=0,"-",AI5/AJ5)</f>
        <v>-</v>
      </c>
      <c r="AL5" s="125">
        <v>0</v>
      </c>
      <c r="AM5" s="126">
        <v>0</v>
      </c>
      <c r="AN5" s="276" t="str">
        <f t="shared" ref="AN5" si="12">IF(AM5=0,"-",AL5/AM5)</f>
        <v>-</v>
      </c>
      <c r="AO5" s="125">
        <v>0</v>
      </c>
      <c r="AP5" s="126">
        <v>0</v>
      </c>
      <c r="AQ5" s="276" t="str">
        <f t="shared" ref="AQ5" si="13">IF(AP5=0,"-",AO5/AP5)</f>
        <v>-</v>
      </c>
      <c r="AR5" s="125">
        <v>0</v>
      </c>
      <c r="AS5" s="126">
        <v>0</v>
      </c>
      <c r="AT5" s="276" t="str">
        <f t="shared" ref="AT5" si="14">IF(AS5=0,"-",AR5/AS5)</f>
        <v>-</v>
      </c>
      <c r="AU5" s="125">
        <v>0</v>
      </c>
      <c r="AV5" s="126">
        <v>0</v>
      </c>
      <c r="AW5" s="276" t="str">
        <f t="shared" ref="AW5" si="15">IF(AV5=0,"-",AU5/AV5)</f>
        <v>-</v>
      </c>
      <c r="AX5" s="125">
        <v>0</v>
      </c>
      <c r="AY5" s="126">
        <v>0</v>
      </c>
      <c r="AZ5" s="276" t="str">
        <f t="shared" ref="AZ5" si="16">IF(AY5=0,"-",AX5/AY5)</f>
        <v>-</v>
      </c>
      <c r="BA5" s="125">
        <v>0</v>
      </c>
      <c r="BB5" s="126">
        <v>0</v>
      </c>
      <c r="BC5" s="276" t="str">
        <f t="shared" ref="BC5" si="17">IF(BB5=0,"-",BA5/BB5)</f>
        <v>-</v>
      </c>
      <c r="BD5" s="125">
        <v>0</v>
      </c>
      <c r="BE5" s="126">
        <v>0</v>
      </c>
      <c r="BF5" s="276" t="str">
        <f t="shared" ref="BF5" si="18">IF(BE5=0,"-",BD5/BE5)</f>
        <v>-</v>
      </c>
      <c r="BG5" s="125">
        <v>0</v>
      </c>
      <c r="BH5" s="126">
        <v>0</v>
      </c>
      <c r="BI5" s="276" t="str">
        <f t="shared" ref="BI5" si="19">IF(BH5=0,"-",BG5/BH5)</f>
        <v>-</v>
      </c>
      <c r="BJ5" s="250">
        <v>26</v>
      </c>
      <c r="BK5" s="251">
        <v>4</v>
      </c>
      <c r="BL5" s="276">
        <f t="shared" ref="BL5:BL34" si="20">IF(BK5=0,"-",BJ5/BK5)</f>
        <v>6.5</v>
      </c>
      <c r="BM5" s="250">
        <v>0</v>
      </c>
      <c r="BN5" s="251">
        <v>0</v>
      </c>
      <c r="BO5" s="276" t="str">
        <f t="shared" ref="BO5:BO34" si="21">IF(BN5=0,"-",BM5/BN5)</f>
        <v>-</v>
      </c>
      <c r="BP5" s="250">
        <v>0</v>
      </c>
      <c r="BQ5" s="251">
        <v>0</v>
      </c>
      <c r="BR5" s="276" t="str">
        <f t="shared" ref="BR5:BR34" si="22">IF(BQ5=0,"-",BP5/BQ5)</f>
        <v>-</v>
      </c>
      <c r="BS5" s="254">
        <v>7</v>
      </c>
      <c r="BT5" s="255">
        <v>1</v>
      </c>
      <c r="BU5" s="276">
        <f t="shared" ref="BU5:BU34" si="23">IF(BT5=0,"-",BS5/BT5)</f>
        <v>7</v>
      </c>
      <c r="BV5" s="125">
        <v>0</v>
      </c>
      <c r="BW5" s="126">
        <v>0</v>
      </c>
      <c r="BX5" s="276" t="str">
        <f t="shared" ref="BX5:BX34" si="24">IF(BW5=0,"-",BV5/BW5)</f>
        <v>-</v>
      </c>
      <c r="BY5" s="125">
        <v>0</v>
      </c>
      <c r="BZ5" s="126">
        <v>0</v>
      </c>
      <c r="CA5" s="276" t="str">
        <f t="shared" ref="CA5" si="25">IF(BZ5=0,"-",BY5/BZ5)</f>
        <v>-</v>
      </c>
      <c r="CB5" s="125">
        <v>0</v>
      </c>
      <c r="CC5" s="126">
        <v>0</v>
      </c>
      <c r="CD5" s="276" t="str">
        <f t="shared" ref="CD5" si="26">IF(CC5=0,"-",CB5/CC5)</f>
        <v>-</v>
      </c>
      <c r="CE5" s="125">
        <v>0</v>
      </c>
      <c r="CF5" s="126">
        <v>0</v>
      </c>
      <c r="CG5" s="276" t="str">
        <f t="shared" ref="CG5" si="27">IF(CF5=0,"-",CE5/CF5)</f>
        <v>-</v>
      </c>
      <c r="CH5" s="125">
        <v>0</v>
      </c>
      <c r="CI5" s="126">
        <v>0</v>
      </c>
      <c r="CJ5" s="276" t="str">
        <f t="shared" ref="CJ5" si="28">IF(CI5=0,"-",CH5/CI5)</f>
        <v>-</v>
      </c>
      <c r="CK5" s="125">
        <v>0</v>
      </c>
      <c r="CL5" s="126">
        <v>0</v>
      </c>
      <c r="CM5" s="276" t="str">
        <f t="shared" ref="CM5" si="29">IF(CL5=0,"-",CK5/CL5)</f>
        <v>-</v>
      </c>
      <c r="CN5" s="117">
        <f t="shared" ref="CN5:CN34" si="30">SUM(B5,E5,K5,Q5,T5,W5,Z5,AC5,AF5,AI5,AL5,AO5,AR5,AX5,BA5,BG5,BJ5,BM5,BP5,BS5,BV5,BY5,CB5,CE5,CH5,CK5)</f>
        <v>115</v>
      </c>
      <c r="CO5" s="120">
        <f t="shared" ref="CO5:CO34" si="31">C5+F5+L5+R5+U5+X5+AA5+AD5+AG5+AJ5+AS5+AV5+AY5+BB5+BE5+BH5+BK5+BN5+BQ5+BT5+CC5+CF5+CI5+CL5</f>
        <v>15</v>
      </c>
      <c r="CP5" s="147">
        <f t="shared" ref="CP5:CP35" si="32">IF(CO5=0,"",CN5/CO5)</f>
        <v>7.666666666666667</v>
      </c>
    </row>
    <row r="6" spans="1:94" ht="15" thickBot="1" x14ac:dyDescent="0.35">
      <c r="A6" s="294">
        <v>45628</v>
      </c>
      <c r="B6" s="20">
        <v>31</v>
      </c>
      <c r="C6" s="21">
        <v>5</v>
      </c>
      <c r="D6" s="139">
        <f t="shared" si="0"/>
        <v>6.2</v>
      </c>
      <c r="E6" s="20">
        <v>8</v>
      </c>
      <c r="F6" s="21">
        <v>1</v>
      </c>
      <c r="G6" s="139">
        <f t="shared" si="1"/>
        <v>8</v>
      </c>
      <c r="H6" s="20"/>
      <c r="I6" s="21"/>
      <c r="J6" s="139" t="str">
        <f t="shared" si="2"/>
        <v>-</v>
      </c>
      <c r="K6" s="125">
        <v>0</v>
      </c>
      <c r="L6" s="126">
        <v>0</v>
      </c>
      <c r="M6" s="276" t="str">
        <f t="shared" si="3"/>
        <v>-</v>
      </c>
      <c r="N6" s="125">
        <v>0</v>
      </c>
      <c r="O6" s="126">
        <v>0</v>
      </c>
      <c r="P6" s="276" t="str">
        <f t="shared" si="4"/>
        <v>-</v>
      </c>
      <c r="Q6" s="20">
        <v>88</v>
      </c>
      <c r="R6" s="21">
        <v>21</v>
      </c>
      <c r="S6" s="139">
        <f t="shared" ref="S6:S34" si="33">IF(R6=0,"-",Q6/R6)</f>
        <v>4.1904761904761907</v>
      </c>
      <c r="T6" s="20">
        <v>0</v>
      </c>
      <c r="U6" s="21">
        <v>0</v>
      </c>
      <c r="V6" s="139" t="str">
        <f t="shared" ref="V6:V34" si="34">IF(U6=0,"-",T6/U6)</f>
        <v>-</v>
      </c>
      <c r="W6" s="20">
        <v>0</v>
      </c>
      <c r="X6" s="21">
        <v>0</v>
      </c>
      <c r="Y6" s="139" t="str">
        <f t="shared" ref="Y6:Y20" si="35">IF(X6=0,"-",W6/X6)</f>
        <v>-</v>
      </c>
      <c r="Z6" s="20">
        <v>30</v>
      </c>
      <c r="AA6" s="21">
        <v>6</v>
      </c>
      <c r="AB6" s="278">
        <f t="shared" ref="AB6:AB34" si="36">IF(AA6=0,"-",Z6/AA6)</f>
        <v>5</v>
      </c>
      <c r="AC6" s="125">
        <v>0</v>
      </c>
      <c r="AD6" s="126">
        <v>0</v>
      </c>
      <c r="AE6" s="276" t="str">
        <f t="shared" ref="AE6:AE34" si="37">IF(AD6=0,"-",AC6/AD6)</f>
        <v>-</v>
      </c>
      <c r="AF6" s="20">
        <v>30</v>
      </c>
      <c r="AG6" s="21">
        <v>5</v>
      </c>
      <c r="AH6" s="139"/>
      <c r="AI6" s="20">
        <v>0</v>
      </c>
      <c r="AJ6" s="21">
        <v>0</v>
      </c>
      <c r="AK6" s="139"/>
      <c r="AL6" s="125">
        <v>0</v>
      </c>
      <c r="AM6" s="126">
        <v>0</v>
      </c>
      <c r="AN6" s="139"/>
      <c r="AO6" s="20">
        <v>0</v>
      </c>
      <c r="AP6" s="21">
        <v>0</v>
      </c>
      <c r="AQ6" s="139"/>
      <c r="AR6" s="125">
        <v>0</v>
      </c>
      <c r="AS6" s="126">
        <v>0</v>
      </c>
      <c r="AT6" s="276" t="str">
        <f t="shared" ref="AT6" si="38">IF(AS6=0,"-",AR6/AS6)</f>
        <v>-</v>
      </c>
      <c r="AU6" s="20">
        <v>0</v>
      </c>
      <c r="AV6" s="21">
        <v>0</v>
      </c>
      <c r="AW6" s="139" t="str">
        <f t="shared" ref="AW6:AW21" si="39">IF(AV6=0,"-",AU6/AV6)</f>
        <v>-</v>
      </c>
      <c r="AX6" s="20">
        <v>2</v>
      </c>
      <c r="AY6" s="21">
        <v>1</v>
      </c>
      <c r="AZ6" s="139">
        <f t="shared" ref="AZ6:AZ34" si="40">IF(AY6=0,"-",AX6/AY6)</f>
        <v>2</v>
      </c>
      <c r="BA6" s="125">
        <v>0</v>
      </c>
      <c r="BB6" s="126">
        <v>0</v>
      </c>
      <c r="BC6" s="276" t="str">
        <f t="shared" ref="BC6" si="41">IF(BB6=0,"-",BA6/BB6)</f>
        <v>-</v>
      </c>
      <c r="BD6" s="125">
        <v>0</v>
      </c>
      <c r="BE6" s="126">
        <v>0</v>
      </c>
      <c r="BF6" s="276" t="str">
        <f t="shared" ref="BF6" si="42">IF(BE6=0,"-",BD6/BE6)</f>
        <v>-</v>
      </c>
      <c r="BG6" s="125">
        <v>0</v>
      </c>
      <c r="BH6" s="126">
        <v>0</v>
      </c>
      <c r="BI6" s="276" t="str">
        <f t="shared" ref="BI6" si="43">IF(BH6=0,"-",BG6/BH6)</f>
        <v>-</v>
      </c>
      <c r="BJ6" s="252">
        <v>46</v>
      </c>
      <c r="BK6" s="253">
        <v>7</v>
      </c>
      <c r="BL6" s="139">
        <f t="shared" si="20"/>
        <v>6.5714285714285712</v>
      </c>
      <c r="BM6" s="252">
        <v>0</v>
      </c>
      <c r="BN6" s="253">
        <v>0</v>
      </c>
      <c r="BO6" s="276" t="str">
        <f t="shared" si="21"/>
        <v>-</v>
      </c>
      <c r="BP6" s="252">
        <v>0</v>
      </c>
      <c r="BQ6" s="253">
        <v>0</v>
      </c>
      <c r="BR6" s="276" t="str">
        <f t="shared" si="22"/>
        <v>-</v>
      </c>
      <c r="BS6" s="256">
        <v>7</v>
      </c>
      <c r="BT6" s="253">
        <v>1</v>
      </c>
      <c r="BU6" s="276">
        <f t="shared" si="23"/>
        <v>7</v>
      </c>
      <c r="BV6" s="125">
        <v>8</v>
      </c>
      <c r="BW6" s="126">
        <v>3</v>
      </c>
      <c r="BX6" s="276">
        <f t="shared" si="24"/>
        <v>2.6666666666666665</v>
      </c>
      <c r="BY6" s="125">
        <v>0</v>
      </c>
      <c r="BZ6" s="126">
        <v>0</v>
      </c>
      <c r="CA6" s="276" t="str">
        <f t="shared" ref="CA6" si="44">IF(BZ6=0,"-",BY6/BZ6)</f>
        <v>-</v>
      </c>
      <c r="CB6" s="125">
        <v>0</v>
      </c>
      <c r="CC6" s="126">
        <v>0</v>
      </c>
      <c r="CD6" s="276" t="str">
        <f t="shared" ref="CD6" si="45">IF(CC6=0,"-",CB6/CC6)</f>
        <v>-</v>
      </c>
      <c r="CE6" s="125">
        <v>12</v>
      </c>
      <c r="CF6" s="126">
        <v>2</v>
      </c>
      <c r="CG6" s="276">
        <f t="shared" ref="CG6:CG34" si="46">IF(CF6=0,"-",CE6/CF6)</f>
        <v>6</v>
      </c>
      <c r="CH6" s="125">
        <v>0</v>
      </c>
      <c r="CI6" s="126">
        <v>0</v>
      </c>
      <c r="CJ6" s="276" t="str">
        <f t="shared" ref="CJ6:CJ7" si="47">IF(CI6=0,"-",CH6/CI6)</f>
        <v>-</v>
      </c>
      <c r="CK6" s="125">
        <v>0</v>
      </c>
      <c r="CL6" s="126">
        <v>0</v>
      </c>
      <c r="CM6" s="276" t="str">
        <f t="shared" ref="CM6:CM7" si="48">IF(CL6=0,"-",CK6/CL6)</f>
        <v>-</v>
      </c>
      <c r="CN6" s="117">
        <f t="shared" si="30"/>
        <v>262</v>
      </c>
      <c r="CO6" s="120">
        <f t="shared" si="31"/>
        <v>49</v>
      </c>
      <c r="CP6" s="147">
        <f t="shared" si="32"/>
        <v>5.3469387755102042</v>
      </c>
    </row>
    <row r="7" spans="1:94" ht="15" thickBot="1" x14ac:dyDescent="0.35">
      <c r="A7" s="294">
        <v>45629</v>
      </c>
      <c r="B7" s="20">
        <v>33</v>
      </c>
      <c r="C7" s="21">
        <v>6</v>
      </c>
      <c r="D7" s="139">
        <f t="shared" si="0"/>
        <v>5.5</v>
      </c>
      <c r="E7" s="23">
        <v>16</v>
      </c>
      <c r="F7" s="21">
        <v>2</v>
      </c>
      <c r="G7" s="139">
        <f t="shared" si="1"/>
        <v>8</v>
      </c>
      <c r="H7" s="20"/>
      <c r="I7" s="21"/>
      <c r="J7" s="139" t="str">
        <f>IF(I7=0,"-",H7/I7)</f>
        <v>-</v>
      </c>
      <c r="K7" s="20">
        <v>18</v>
      </c>
      <c r="L7" s="21">
        <v>2</v>
      </c>
      <c r="M7" s="139">
        <f t="shared" si="3"/>
        <v>9</v>
      </c>
      <c r="N7" s="125">
        <v>0</v>
      </c>
      <c r="O7" s="126">
        <v>0</v>
      </c>
      <c r="P7" s="276" t="str">
        <f t="shared" ref="P7" si="49">IF(O7=0,"-",N7/O7)</f>
        <v>-</v>
      </c>
      <c r="Q7" s="20">
        <v>63</v>
      </c>
      <c r="R7" s="21">
        <v>11</v>
      </c>
      <c r="S7" s="139">
        <f t="shared" si="33"/>
        <v>5.7272727272727275</v>
      </c>
      <c r="T7" s="20">
        <v>0</v>
      </c>
      <c r="U7" s="21">
        <v>0</v>
      </c>
      <c r="V7" s="139" t="str">
        <f t="shared" si="34"/>
        <v>-</v>
      </c>
      <c r="W7" s="20">
        <v>0</v>
      </c>
      <c r="X7" s="21">
        <v>0</v>
      </c>
      <c r="Y7" s="278" t="str">
        <f t="shared" si="35"/>
        <v>-</v>
      </c>
      <c r="Z7" s="20">
        <v>30</v>
      </c>
      <c r="AA7" s="21">
        <v>6</v>
      </c>
      <c r="AB7" s="278">
        <f t="shared" si="36"/>
        <v>5</v>
      </c>
      <c r="AC7" s="125">
        <v>0</v>
      </c>
      <c r="AD7" s="126">
        <v>0</v>
      </c>
      <c r="AE7" s="276" t="str">
        <f t="shared" ref="AE7" si="50">IF(AD7=0,"-",AC7/AD7)</f>
        <v>-</v>
      </c>
      <c r="AF7" s="125">
        <v>0</v>
      </c>
      <c r="AG7" s="126">
        <v>0</v>
      </c>
      <c r="AH7" s="276" t="str">
        <f t="shared" ref="AH7" si="51">IF(AG7=0,"-",AF7/AG7)</f>
        <v>-</v>
      </c>
      <c r="AI7" s="125">
        <v>0</v>
      </c>
      <c r="AJ7" s="126">
        <v>0</v>
      </c>
      <c r="AK7" s="276" t="str">
        <f t="shared" ref="AK7" si="52">IF(AJ7=0,"-",AI7/AJ7)</f>
        <v>-</v>
      </c>
      <c r="AL7" s="125">
        <v>0</v>
      </c>
      <c r="AM7" s="126">
        <v>0</v>
      </c>
      <c r="AN7" s="276" t="str">
        <f t="shared" ref="AN7" si="53">IF(AM7=0,"-",AL7/AM7)</f>
        <v>-</v>
      </c>
      <c r="AO7" s="125">
        <v>0</v>
      </c>
      <c r="AP7" s="126">
        <v>0</v>
      </c>
      <c r="AQ7" s="276" t="str">
        <f t="shared" ref="AQ7" si="54">IF(AP7=0,"-",AO7/AP7)</f>
        <v>-</v>
      </c>
      <c r="AR7" s="20">
        <v>5</v>
      </c>
      <c r="AS7" s="21">
        <v>1</v>
      </c>
      <c r="AT7" s="139">
        <f t="shared" ref="AT7:AT34" si="55">IF(AS7=0,"-",AR7/AS7)</f>
        <v>5</v>
      </c>
      <c r="AU7" s="20">
        <v>0</v>
      </c>
      <c r="AV7" s="21">
        <v>0</v>
      </c>
      <c r="AW7" s="139" t="str">
        <f t="shared" si="39"/>
        <v>-</v>
      </c>
      <c r="AX7" s="20">
        <v>7</v>
      </c>
      <c r="AY7" s="21">
        <v>2</v>
      </c>
      <c r="AZ7" s="139">
        <f t="shared" si="40"/>
        <v>3.5</v>
      </c>
      <c r="BA7" s="125">
        <v>0</v>
      </c>
      <c r="BB7" s="126">
        <v>0</v>
      </c>
      <c r="BC7" s="276" t="str">
        <f t="shared" ref="BC7" si="56">IF(BB7=0,"-",BA7/BB7)</f>
        <v>-</v>
      </c>
      <c r="BD7" s="125">
        <v>0</v>
      </c>
      <c r="BE7" s="126">
        <v>0</v>
      </c>
      <c r="BF7" s="276" t="str">
        <f t="shared" ref="BF7" si="57">IF(BE7=0,"-",BD7/BE7)</f>
        <v>-</v>
      </c>
      <c r="BG7" s="125">
        <v>0</v>
      </c>
      <c r="BH7" s="126">
        <v>0</v>
      </c>
      <c r="BI7" s="276" t="str">
        <f t="shared" ref="BI7" si="58">IF(BH7=0,"-",BG7/BH7)</f>
        <v>-</v>
      </c>
      <c r="BJ7" s="252">
        <v>44</v>
      </c>
      <c r="BK7" s="253">
        <v>7</v>
      </c>
      <c r="BL7" s="139">
        <f t="shared" si="20"/>
        <v>6.2857142857142856</v>
      </c>
      <c r="BM7" s="252">
        <v>0</v>
      </c>
      <c r="BN7" s="253">
        <v>0</v>
      </c>
      <c r="BO7" s="276" t="str">
        <f t="shared" si="21"/>
        <v>-</v>
      </c>
      <c r="BP7" s="252">
        <v>0</v>
      </c>
      <c r="BQ7" s="253">
        <v>0</v>
      </c>
      <c r="BR7" s="276" t="str">
        <f t="shared" si="22"/>
        <v>-</v>
      </c>
      <c r="BS7" s="256">
        <v>6</v>
      </c>
      <c r="BT7" s="253">
        <v>1</v>
      </c>
      <c r="BU7" s="276">
        <f t="shared" si="23"/>
        <v>6</v>
      </c>
      <c r="BV7" s="256">
        <v>0</v>
      </c>
      <c r="BW7" s="253">
        <v>0</v>
      </c>
      <c r="BX7" s="139" t="str">
        <f t="shared" si="24"/>
        <v>-</v>
      </c>
      <c r="BY7" s="256">
        <v>0</v>
      </c>
      <c r="BZ7" s="253">
        <v>0</v>
      </c>
      <c r="CA7" s="139" t="str">
        <f t="shared" ref="CA7:CA34" si="59">IF(BZ7=0,"-",BY7/BZ7)</f>
        <v>-</v>
      </c>
      <c r="CB7" s="256">
        <v>0</v>
      </c>
      <c r="CC7" s="253">
        <v>0</v>
      </c>
      <c r="CD7" s="139" t="str">
        <f t="shared" ref="CD7:CD34" si="60">IF(CC7=0,"-",CB7/CC7)</f>
        <v>-</v>
      </c>
      <c r="CE7" s="256">
        <v>0</v>
      </c>
      <c r="CF7" s="253">
        <v>0</v>
      </c>
      <c r="CG7" s="139" t="str">
        <f t="shared" si="46"/>
        <v>-</v>
      </c>
      <c r="CH7" s="125">
        <v>0</v>
      </c>
      <c r="CI7" s="126">
        <v>0</v>
      </c>
      <c r="CJ7" s="276" t="str">
        <f t="shared" si="47"/>
        <v>-</v>
      </c>
      <c r="CK7" s="125">
        <v>0</v>
      </c>
      <c r="CL7" s="126">
        <v>0</v>
      </c>
      <c r="CM7" s="276" t="str">
        <f t="shared" si="48"/>
        <v>-</v>
      </c>
      <c r="CN7" s="117">
        <f t="shared" si="30"/>
        <v>222</v>
      </c>
      <c r="CO7" s="120">
        <f t="shared" si="31"/>
        <v>38</v>
      </c>
      <c r="CP7" s="147">
        <f t="shared" si="32"/>
        <v>5.8421052631578947</v>
      </c>
    </row>
    <row r="8" spans="1:94" ht="15" thickBot="1" x14ac:dyDescent="0.35">
      <c r="A8" s="294">
        <v>45630</v>
      </c>
      <c r="B8" s="20">
        <v>33</v>
      </c>
      <c r="C8" s="21">
        <v>4</v>
      </c>
      <c r="D8" s="139">
        <f t="shared" si="0"/>
        <v>8.25</v>
      </c>
      <c r="E8" s="23">
        <v>23</v>
      </c>
      <c r="F8" s="21">
        <v>3</v>
      </c>
      <c r="G8" s="139">
        <v>0</v>
      </c>
      <c r="H8" s="20"/>
      <c r="I8" s="21"/>
      <c r="J8" s="139" t="str">
        <f t="shared" ref="J8:J25" si="61">IF(I8=0,"-",H8/I8)</f>
        <v>-</v>
      </c>
      <c r="K8" s="20">
        <v>9</v>
      </c>
      <c r="L8" s="21">
        <v>1</v>
      </c>
      <c r="M8" s="139">
        <f t="shared" si="3"/>
        <v>9</v>
      </c>
      <c r="N8" s="125">
        <v>0</v>
      </c>
      <c r="O8" s="126">
        <v>0</v>
      </c>
      <c r="P8" s="139" t="str">
        <f t="shared" si="4"/>
        <v>-</v>
      </c>
      <c r="Q8" s="20">
        <v>57</v>
      </c>
      <c r="R8" s="21">
        <v>10</v>
      </c>
      <c r="S8" s="139">
        <f t="shared" si="33"/>
        <v>5.7</v>
      </c>
      <c r="T8" s="20">
        <v>0</v>
      </c>
      <c r="U8" s="21">
        <v>0</v>
      </c>
      <c r="V8" s="139" t="str">
        <f t="shared" si="34"/>
        <v>-</v>
      </c>
      <c r="W8" s="20">
        <v>0</v>
      </c>
      <c r="X8" s="21">
        <v>0</v>
      </c>
      <c r="Y8" s="278" t="str">
        <f t="shared" si="35"/>
        <v>-</v>
      </c>
      <c r="Z8" s="20">
        <v>30</v>
      </c>
      <c r="AA8" s="21">
        <v>6</v>
      </c>
      <c r="AB8" s="278">
        <f t="shared" si="36"/>
        <v>5</v>
      </c>
      <c r="AC8" s="20">
        <v>7</v>
      </c>
      <c r="AD8" s="21">
        <v>2</v>
      </c>
      <c r="AE8" s="278">
        <f t="shared" si="37"/>
        <v>3.5</v>
      </c>
      <c r="AF8" s="20">
        <v>6</v>
      </c>
      <c r="AG8" s="21">
        <v>1</v>
      </c>
      <c r="AH8" s="139"/>
      <c r="AI8" s="20">
        <v>0</v>
      </c>
      <c r="AJ8" s="21">
        <v>0</v>
      </c>
      <c r="AK8" s="139" t="str">
        <f t="shared" ref="AK8:AK34" si="62">IF(AJ8=0,"-",AI8/AJ8)</f>
        <v>-</v>
      </c>
      <c r="AL8" s="20">
        <v>0</v>
      </c>
      <c r="AM8" s="21">
        <v>0</v>
      </c>
      <c r="AN8" s="139" t="str">
        <f t="shared" ref="AN8:AN34" si="63">IF(AM8=0,"-",AL8/AM8)</f>
        <v>-</v>
      </c>
      <c r="AO8" s="20">
        <v>0</v>
      </c>
      <c r="AP8" s="21">
        <v>0</v>
      </c>
      <c r="AQ8" s="139" t="str">
        <f t="shared" ref="AQ8:AQ34" si="64">IF(AP8=0,"-",AO8/AP8)</f>
        <v>-</v>
      </c>
      <c r="AR8" s="20">
        <v>0</v>
      </c>
      <c r="AS8" s="21">
        <v>0</v>
      </c>
      <c r="AT8" s="139" t="str">
        <f t="shared" si="55"/>
        <v>-</v>
      </c>
      <c r="AU8" s="20">
        <v>0</v>
      </c>
      <c r="AV8" s="21">
        <v>0</v>
      </c>
      <c r="AW8" s="139" t="str">
        <f t="shared" si="39"/>
        <v>-</v>
      </c>
      <c r="AX8" s="20">
        <v>0</v>
      </c>
      <c r="AY8" s="21">
        <v>0</v>
      </c>
      <c r="AZ8" s="139" t="str">
        <f t="shared" si="40"/>
        <v>-</v>
      </c>
      <c r="BA8" s="20">
        <v>0</v>
      </c>
      <c r="BB8" s="21">
        <v>0</v>
      </c>
      <c r="BC8" s="139" t="str">
        <f t="shared" ref="BC8:BC15" si="65">IF(BB8=0,"-",BA8/BB8)</f>
        <v>-</v>
      </c>
      <c r="BD8" s="20">
        <v>0</v>
      </c>
      <c r="BE8" s="21">
        <v>0</v>
      </c>
      <c r="BF8" s="139" t="str">
        <f t="shared" ref="BF8:BF15" si="66">IF(BE8=0,"-",BD8/BE8)</f>
        <v>-</v>
      </c>
      <c r="BG8" s="20">
        <v>0</v>
      </c>
      <c r="BH8" s="21">
        <v>0</v>
      </c>
      <c r="BI8" s="139" t="str">
        <f t="shared" ref="BI8:BI34" si="67">IF(BH8=0,"-",BG8/BH8)</f>
        <v>-</v>
      </c>
      <c r="BJ8" s="252">
        <v>6</v>
      </c>
      <c r="BK8" s="253">
        <v>1</v>
      </c>
      <c r="BL8" s="139">
        <f t="shared" si="20"/>
        <v>6</v>
      </c>
      <c r="BM8" s="252">
        <v>0</v>
      </c>
      <c r="BN8" s="253">
        <v>0</v>
      </c>
      <c r="BO8" s="276" t="str">
        <f t="shared" ref="BO8" si="68">IF(BN8=0,"-",BM8/BN8)</f>
        <v>-</v>
      </c>
      <c r="BP8" s="252">
        <v>0</v>
      </c>
      <c r="BQ8" s="253">
        <v>0</v>
      </c>
      <c r="BR8" s="276" t="str">
        <f t="shared" ref="BR8" si="69">IF(BQ8=0,"-",BP8/BQ8)</f>
        <v>-</v>
      </c>
      <c r="BS8" s="252">
        <v>0</v>
      </c>
      <c r="BT8" s="253">
        <v>0</v>
      </c>
      <c r="BU8" s="276" t="str">
        <f t="shared" si="23"/>
        <v>-</v>
      </c>
      <c r="BV8" s="256">
        <v>5</v>
      </c>
      <c r="BW8" s="253">
        <v>1</v>
      </c>
      <c r="BX8" s="139">
        <f t="shared" si="24"/>
        <v>5</v>
      </c>
      <c r="BY8" s="125">
        <v>0</v>
      </c>
      <c r="BZ8" s="126">
        <v>0</v>
      </c>
      <c r="CA8" s="276" t="str">
        <f t="shared" si="59"/>
        <v>-</v>
      </c>
      <c r="CB8" s="125">
        <v>0</v>
      </c>
      <c r="CC8" s="126">
        <v>0</v>
      </c>
      <c r="CD8" s="276" t="str">
        <f t="shared" si="60"/>
        <v>-</v>
      </c>
      <c r="CE8" s="125">
        <v>0</v>
      </c>
      <c r="CF8" s="126">
        <v>0</v>
      </c>
      <c r="CG8" s="276" t="str">
        <f t="shared" si="46"/>
        <v>-</v>
      </c>
      <c r="CH8" s="125">
        <v>0</v>
      </c>
      <c r="CI8" s="126">
        <v>0</v>
      </c>
      <c r="CJ8" s="276" t="str">
        <f t="shared" ref="CJ8:CJ9" si="70">IF(CI8=0,"-",CH8/CI8)</f>
        <v>-</v>
      </c>
      <c r="CK8" s="125">
        <v>0</v>
      </c>
      <c r="CL8" s="126">
        <v>0</v>
      </c>
      <c r="CM8" s="276" t="str">
        <f t="shared" ref="CM8:CM20" si="71">IF(CL8=0,"-",CK8/CL8)</f>
        <v>-</v>
      </c>
      <c r="CN8" s="117">
        <f t="shared" si="30"/>
        <v>176</v>
      </c>
      <c r="CO8" s="120">
        <f t="shared" si="31"/>
        <v>28</v>
      </c>
      <c r="CP8" s="147">
        <f t="shared" si="32"/>
        <v>6.2857142857142856</v>
      </c>
    </row>
    <row r="9" spans="1:94" ht="15" thickBot="1" x14ac:dyDescent="0.35">
      <c r="A9" s="294">
        <v>45631</v>
      </c>
      <c r="B9" s="20">
        <v>100</v>
      </c>
      <c r="C9" s="21">
        <v>12</v>
      </c>
      <c r="D9" s="139">
        <f t="shared" si="0"/>
        <v>8.3333333333333339</v>
      </c>
      <c r="E9" s="23">
        <v>0</v>
      </c>
      <c r="F9" s="21">
        <v>0</v>
      </c>
      <c r="G9" s="139" t="str">
        <f t="shared" ref="G9:G15" si="72">IF(F9=0,"-",E9/F9)</f>
        <v>-</v>
      </c>
      <c r="H9" s="20"/>
      <c r="I9" s="21"/>
      <c r="J9" s="139" t="str">
        <f t="shared" si="61"/>
        <v>-</v>
      </c>
      <c r="K9" s="20">
        <v>18</v>
      </c>
      <c r="L9" s="21">
        <v>2</v>
      </c>
      <c r="M9" s="139">
        <f t="shared" si="3"/>
        <v>9</v>
      </c>
      <c r="N9" s="125">
        <v>0</v>
      </c>
      <c r="O9" s="126">
        <v>0</v>
      </c>
      <c r="P9" s="139" t="str">
        <f t="shared" si="4"/>
        <v>-</v>
      </c>
      <c r="Q9" s="20">
        <v>53</v>
      </c>
      <c r="R9" s="21">
        <v>9</v>
      </c>
      <c r="S9" s="139">
        <f t="shared" si="33"/>
        <v>5.8888888888888893</v>
      </c>
      <c r="T9" s="20">
        <v>36</v>
      </c>
      <c r="U9" s="21">
        <v>8</v>
      </c>
      <c r="V9" s="139">
        <f t="shared" si="34"/>
        <v>4.5</v>
      </c>
      <c r="W9" s="20">
        <v>0</v>
      </c>
      <c r="X9" s="21">
        <v>0</v>
      </c>
      <c r="Y9" s="278" t="str">
        <f t="shared" si="35"/>
        <v>-</v>
      </c>
      <c r="Z9" s="20">
        <v>30</v>
      </c>
      <c r="AA9" s="21">
        <v>6</v>
      </c>
      <c r="AB9" s="278">
        <f t="shared" si="36"/>
        <v>5</v>
      </c>
      <c r="AC9" s="20">
        <v>0</v>
      </c>
      <c r="AD9" s="21">
        <v>0</v>
      </c>
      <c r="AE9" s="278" t="str">
        <f t="shared" si="37"/>
        <v>-</v>
      </c>
      <c r="AF9" s="20">
        <v>12</v>
      </c>
      <c r="AG9" s="21">
        <v>2</v>
      </c>
      <c r="AH9" s="139">
        <f t="shared" ref="AH9:AH34" si="73">IF(AG9=0,"-",AF9/AG9)</f>
        <v>6</v>
      </c>
      <c r="AI9" s="20">
        <v>0</v>
      </c>
      <c r="AJ9" s="21">
        <v>0</v>
      </c>
      <c r="AK9" s="139" t="str">
        <f t="shared" si="62"/>
        <v>-</v>
      </c>
      <c r="AL9" s="20">
        <v>0</v>
      </c>
      <c r="AM9" s="21">
        <v>0</v>
      </c>
      <c r="AN9" s="139" t="str">
        <f t="shared" si="63"/>
        <v>-</v>
      </c>
      <c r="AO9" s="20">
        <v>0</v>
      </c>
      <c r="AP9" s="21">
        <v>0</v>
      </c>
      <c r="AQ9" s="139" t="str">
        <f t="shared" si="64"/>
        <v>-</v>
      </c>
      <c r="AR9" s="20">
        <v>0</v>
      </c>
      <c r="AS9" s="21">
        <v>0</v>
      </c>
      <c r="AT9" s="139" t="str">
        <f t="shared" si="55"/>
        <v>-</v>
      </c>
      <c r="AU9" s="20">
        <v>0</v>
      </c>
      <c r="AV9" s="21">
        <v>0</v>
      </c>
      <c r="AW9" s="139" t="str">
        <f t="shared" si="39"/>
        <v>-</v>
      </c>
      <c r="AX9" s="20">
        <v>6</v>
      </c>
      <c r="AY9" s="21">
        <v>1</v>
      </c>
      <c r="AZ9" s="139">
        <f t="shared" si="40"/>
        <v>6</v>
      </c>
      <c r="BA9" s="20">
        <v>1</v>
      </c>
      <c r="BB9" s="21">
        <v>1</v>
      </c>
      <c r="BC9" s="139">
        <f t="shared" si="65"/>
        <v>1</v>
      </c>
      <c r="BD9" s="20">
        <v>0</v>
      </c>
      <c r="BE9" s="21">
        <v>0</v>
      </c>
      <c r="BF9" s="139" t="str">
        <f t="shared" si="66"/>
        <v>-</v>
      </c>
      <c r="BG9" s="20">
        <v>0</v>
      </c>
      <c r="BH9" s="21">
        <v>0</v>
      </c>
      <c r="BI9" s="139" t="str">
        <f t="shared" si="67"/>
        <v>-</v>
      </c>
      <c r="BJ9" s="252">
        <v>29</v>
      </c>
      <c r="BK9" s="253">
        <v>4</v>
      </c>
      <c r="BL9" s="139">
        <f>IF(BK9=0,"-",BJ9/BK9)</f>
        <v>7.25</v>
      </c>
      <c r="BM9" s="125">
        <v>0</v>
      </c>
      <c r="BN9" s="126">
        <v>0</v>
      </c>
      <c r="BO9" s="276">
        <v>0</v>
      </c>
      <c r="BP9" s="125">
        <v>0</v>
      </c>
      <c r="BQ9" s="126">
        <v>0</v>
      </c>
      <c r="BR9" s="276" t="str">
        <f t="shared" si="22"/>
        <v>-</v>
      </c>
      <c r="BS9" s="125">
        <v>0</v>
      </c>
      <c r="BT9" s="126">
        <v>0</v>
      </c>
      <c r="BU9" s="276" t="str">
        <f t="shared" si="23"/>
        <v>-</v>
      </c>
      <c r="BV9" s="256">
        <v>0</v>
      </c>
      <c r="BW9" s="253">
        <v>0</v>
      </c>
      <c r="BX9" s="139" t="str">
        <f t="shared" si="24"/>
        <v>-</v>
      </c>
      <c r="BY9" s="256">
        <v>0</v>
      </c>
      <c r="BZ9" s="253">
        <v>0</v>
      </c>
      <c r="CA9" s="139" t="str">
        <f t="shared" si="59"/>
        <v>-</v>
      </c>
      <c r="CB9" s="256">
        <v>0</v>
      </c>
      <c r="CC9" s="253">
        <v>0</v>
      </c>
      <c r="CD9" s="139" t="str">
        <f t="shared" si="60"/>
        <v>-</v>
      </c>
      <c r="CE9" s="125">
        <v>0</v>
      </c>
      <c r="CF9" s="126">
        <v>0</v>
      </c>
      <c r="CG9" s="276" t="str">
        <f t="shared" si="46"/>
        <v>-</v>
      </c>
      <c r="CH9" s="125">
        <v>0</v>
      </c>
      <c r="CI9" s="126">
        <v>0</v>
      </c>
      <c r="CJ9" s="276" t="str">
        <f t="shared" si="70"/>
        <v>-</v>
      </c>
      <c r="CK9" s="125">
        <v>0</v>
      </c>
      <c r="CL9" s="126">
        <v>0</v>
      </c>
      <c r="CM9" s="276" t="str">
        <f t="shared" si="71"/>
        <v>-</v>
      </c>
      <c r="CN9" s="117">
        <f t="shared" si="30"/>
        <v>285</v>
      </c>
      <c r="CO9" s="120">
        <f t="shared" si="31"/>
        <v>45</v>
      </c>
      <c r="CP9" s="147">
        <f t="shared" si="32"/>
        <v>6.333333333333333</v>
      </c>
    </row>
    <row r="10" spans="1:94" ht="15" thickBot="1" x14ac:dyDescent="0.35">
      <c r="A10" s="294">
        <v>45632</v>
      </c>
      <c r="B10" s="20">
        <v>87</v>
      </c>
      <c r="C10" s="21">
        <v>9</v>
      </c>
      <c r="D10" s="139">
        <f t="shared" si="0"/>
        <v>9.6666666666666661</v>
      </c>
      <c r="E10" s="23">
        <v>0</v>
      </c>
      <c r="F10" s="21">
        <v>0</v>
      </c>
      <c r="G10" s="139" t="str">
        <f t="shared" si="72"/>
        <v>-</v>
      </c>
      <c r="H10" s="20"/>
      <c r="I10" s="21"/>
      <c r="J10" s="139" t="str">
        <f t="shared" si="61"/>
        <v>-</v>
      </c>
      <c r="K10" s="20">
        <v>0</v>
      </c>
      <c r="L10" s="21">
        <v>0</v>
      </c>
      <c r="M10" s="139" t="str">
        <f t="shared" si="3"/>
        <v>-</v>
      </c>
      <c r="N10" s="125">
        <v>0</v>
      </c>
      <c r="O10" s="126">
        <v>0</v>
      </c>
      <c r="P10" s="139" t="str">
        <f t="shared" si="4"/>
        <v>-</v>
      </c>
      <c r="Q10" s="20">
        <v>54</v>
      </c>
      <c r="R10" s="21">
        <v>9</v>
      </c>
      <c r="S10" s="139">
        <f t="shared" si="33"/>
        <v>6</v>
      </c>
      <c r="T10" s="20">
        <v>0</v>
      </c>
      <c r="U10" s="21">
        <v>0</v>
      </c>
      <c r="V10" s="139" t="str">
        <f t="shared" si="34"/>
        <v>-</v>
      </c>
      <c r="W10" s="20">
        <v>0</v>
      </c>
      <c r="X10" s="21">
        <v>0</v>
      </c>
      <c r="Y10" s="278" t="str">
        <f t="shared" si="35"/>
        <v>-</v>
      </c>
      <c r="Z10" s="20">
        <v>30</v>
      </c>
      <c r="AA10" s="21">
        <v>6</v>
      </c>
      <c r="AB10" s="278">
        <f t="shared" si="36"/>
        <v>5</v>
      </c>
      <c r="AC10" s="20">
        <v>0</v>
      </c>
      <c r="AD10" s="21">
        <v>0</v>
      </c>
      <c r="AE10" s="278" t="str">
        <f t="shared" si="37"/>
        <v>-</v>
      </c>
      <c r="AF10" s="20">
        <v>36</v>
      </c>
      <c r="AG10" s="21">
        <v>6</v>
      </c>
      <c r="AH10" s="139">
        <f t="shared" si="73"/>
        <v>6</v>
      </c>
      <c r="AI10" s="20">
        <v>0</v>
      </c>
      <c r="AJ10" s="21">
        <v>0</v>
      </c>
      <c r="AK10" s="139" t="str">
        <f t="shared" si="62"/>
        <v>-</v>
      </c>
      <c r="AL10" s="20">
        <v>0</v>
      </c>
      <c r="AM10" s="21">
        <v>0</v>
      </c>
      <c r="AN10" s="139" t="str">
        <f t="shared" si="63"/>
        <v>-</v>
      </c>
      <c r="AO10" s="20">
        <v>0</v>
      </c>
      <c r="AP10" s="21">
        <v>0</v>
      </c>
      <c r="AQ10" s="139" t="str">
        <f t="shared" si="64"/>
        <v>-</v>
      </c>
      <c r="AR10" s="20">
        <v>0</v>
      </c>
      <c r="AS10" s="21">
        <v>0</v>
      </c>
      <c r="AT10" s="139" t="str">
        <f t="shared" si="55"/>
        <v>-</v>
      </c>
      <c r="AU10" s="20">
        <v>0</v>
      </c>
      <c r="AV10" s="21">
        <v>0</v>
      </c>
      <c r="AW10" s="139" t="str">
        <f t="shared" si="39"/>
        <v>-</v>
      </c>
      <c r="AX10" s="20">
        <v>0</v>
      </c>
      <c r="AY10" s="21">
        <v>0</v>
      </c>
      <c r="AZ10" s="139" t="str">
        <f t="shared" si="40"/>
        <v>-</v>
      </c>
      <c r="BA10" s="20">
        <v>0</v>
      </c>
      <c r="BB10" s="21">
        <v>0</v>
      </c>
      <c r="BC10" s="139" t="str">
        <f t="shared" si="65"/>
        <v>-</v>
      </c>
      <c r="BD10" s="20">
        <v>0</v>
      </c>
      <c r="BE10" s="21">
        <v>0</v>
      </c>
      <c r="BF10" s="139" t="str">
        <f t="shared" si="66"/>
        <v>-</v>
      </c>
      <c r="BG10" s="20">
        <v>0</v>
      </c>
      <c r="BH10" s="21">
        <v>0</v>
      </c>
      <c r="BI10" s="139" t="str">
        <f t="shared" si="67"/>
        <v>-</v>
      </c>
      <c r="BJ10" s="252">
        <v>24</v>
      </c>
      <c r="BK10" s="253">
        <v>4</v>
      </c>
      <c r="BL10" s="139">
        <f>IF(BK10=0,"-",BJ10/BK10)</f>
        <v>6</v>
      </c>
      <c r="BM10" s="125">
        <v>0</v>
      </c>
      <c r="BN10" s="126">
        <v>0</v>
      </c>
      <c r="BO10" s="276">
        <v>0</v>
      </c>
      <c r="BP10" s="125">
        <v>0</v>
      </c>
      <c r="BQ10" s="126">
        <v>0</v>
      </c>
      <c r="BR10" s="276" t="str">
        <f t="shared" ref="BR10:BR11" si="74">IF(BQ10=0,"-",BP10/BQ10)</f>
        <v>-</v>
      </c>
      <c r="BS10" s="125">
        <v>0</v>
      </c>
      <c r="BT10" s="126">
        <v>0</v>
      </c>
      <c r="BU10" s="276" t="str">
        <f t="shared" ref="BU10:BU11" si="75">IF(BT10=0,"-",BS10/BT10)</f>
        <v>-</v>
      </c>
      <c r="BV10" s="20">
        <v>6</v>
      </c>
      <c r="BW10" s="21">
        <v>2</v>
      </c>
      <c r="BX10" s="139">
        <f t="shared" si="24"/>
        <v>3</v>
      </c>
      <c r="BY10" s="20">
        <v>0</v>
      </c>
      <c r="BZ10" s="21">
        <v>0</v>
      </c>
      <c r="CA10" s="139" t="str">
        <f t="shared" si="59"/>
        <v>-</v>
      </c>
      <c r="CB10" s="20">
        <v>1</v>
      </c>
      <c r="CC10" s="21">
        <v>1</v>
      </c>
      <c r="CD10" s="139">
        <f t="shared" si="60"/>
        <v>1</v>
      </c>
      <c r="CE10" s="125">
        <v>0</v>
      </c>
      <c r="CF10" s="126">
        <v>0</v>
      </c>
      <c r="CG10" s="276" t="str">
        <f t="shared" ref="CG10:CG13" si="76">IF(CF10=0,"-",CE10/CF10)</f>
        <v>-</v>
      </c>
      <c r="CH10" s="125">
        <v>0</v>
      </c>
      <c r="CI10" s="126">
        <v>0</v>
      </c>
      <c r="CJ10" s="276" t="str">
        <f t="shared" ref="CJ10:CJ13" si="77">IF(CI10=0,"-",CH10/CI10)</f>
        <v>-</v>
      </c>
      <c r="CK10" s="125">
        <v>0</v>
      </c>
      <c r="CL10" s="126">
        <v>0</v>
      </c>
      <c r="CM10" s="276" t="str">
        <f t="shared" ref="CM10:CM13" si="78">IF(CL10=0,"-",CK10/CL10)</f>
        <v>-</v>
      </c>
      <c r="CN10" s="117">
        <f t="shared" si="30"/>
        <v>238</v>
      </c>
      <c r="CO10" s="120">
        <f t="shared" si="31"/>
        <v>35</v>
      </c>
      <c r="CP10" s="147">
        <f t="shared" si="32"/>
        <v>6.8</v>
      </c>
    </row>
    <row r="11" spans="1:94" ht="15" thickBot="1" x14ac:dyDescent="0.35">
      <c r="A11" s="294">
        <v>45633</v>
      </c>
      <c r="B11" s="20">
        <v>74</v>
      </c>
      <c r="C11" s="21">
        <v>9</v>
      </c>
      <c r="D11" s="139">
        <f t="shared" si="0"/>
        <v>8.2222222222222214</v>
      </c>
      <c r="E11" s="23">
        <v>0</v>
      </c>
      <c r="F11" s="21">
        <v>0</v>
      </c>
      <c r="G11" s="139" t="str">
        <f t="shared" si="72"/>
        <v>-</v>
      </c>
      <c r="H11" s="20"/>
      <c r="I11" s="21"/>
      <c r="J11" s="139" t="str">
        <f t="shared" si="61"/>
        <v>-</v>
      </c>
      <c r="K11" s="20">
        <v>0</v>
      </c>
      <c r="L11" s="21">
        <v>0</v>
      </c>
      <c r="M11" s="139" t="str">
        <f t="shared" si="3"/>
        <v>-</v>
      </c>
      <c r="N11" s="125">
        <v>0</v>
      </c>
      <c r="O11" s="126">
        <v>0</v>
      </c>
      <c r="P11" s="139" t="str">
        <f t="shared" si="4"/>
        <v>-</v>
      </c>
      <c r="Q11" s="20">
        <v>28</v>
      </c>
      <c r="R11" s="21">
        <v>5</v>
      </c>
      <c r="S11" s="139">
        <f t="shared" si="33"/>
        <v>5.6</v>
      </c>
      <c r="T11" s="20">
        <v>0</v>
      </c>
      <c r="U11" s="21">
        <v>0</v>
      </c>
      <c r="V11" s="139" t="str">
        <f t="shared" si="34"/>
        <v>-</v>
      </c>
      <c r="W11" s="20">
        <v>0</v>
      </c>
      <c r="X11" s="21">
        <v>0</v>
      </c>
      <c r="Y11" s="278" t="str">
        <f t="shared" si="35"/>
        <v>-</v>
      </c>
      <c r="Z11" s="20">
        <v>0</v>
      </c>
      <c r="AA11" s="21">
        <v>0</v>
      </c>
      <c r="AB11" s="278" t="str">
        <f t="shared" si="36"/>
        <v>-</v>
      </c>
      <c r="AC11" s="20">
        <v>17</v>
      </c>
      <c r="AD11" s="21">
        <v>4</v>
      </c>
      <c r="AE11" s="278">
        <f t="shared" si="37"/>
        <v>4.25</v>
      </c>
      <c r="AF11" s="20">
        <v>6</v>
      </c>
      <c r="AG11" s="21">
        <v>1</v>
      </c>
      <c r="AH11" s="139">
        <f t="shared" si="73"/>
        <v>6</v>
      </c>
      <c r="AI11" s="20">
        <v>23</v>
      </c>
      <c r="AJ11" s="21">
        <v>4</v>
      </c>
      <c r="AK11" s="139">
        <f t="shared" si="62"/>
        <v>5.75</v>
      </c>
      <c r="AL11" s="20">
        <v>0</v>
      </c>
      <c r="AM11" s="21">
        <v>0</v>
      </c>
      <c r="AN11" s="139" t="str">
        <f t="shared" si="63"/>
        <v>-</v>
      </c>
      <c r="AO11" s="20">
        <v>0</v>
      </c>
      <c r="AP11" s="21">
        <v>0</v>
      </c>
      <c r="AQ11" s="139" t="str">
        <f t="shared" si="64"/>
        <v>-</v>
      </c>
      <c r="AR11" s="20">
        <v>5</v>
      </c>
      <c r="AS11" s="21">
        <v>2</v>
      </c>
      <c r="AT11" s="139">
        <f t="shared" si="55"/>
        <v>2.5</v>
      </c>
      <c r="AU11" s="20">
        <v>0</v>
      </c>
      <c r="AV11" s="21">
        <v>0</v>
      </c>
      <c r="AW11" s="139" t="str">
        <f t="shared" si="39"/>
        <v>-</v>
      </c>
      <c r="AX11" s="20">
        <v>0</v>
      </c>
      <c r="AY11" s="21">
        <v>0</v>
      </c>
      <c r="AZ11" s="139" t="str">
        <f t="shared" ref="AZ11" si="79">IF(AY11=0,"-",AX11/AY11)</f>
        <v>-</v>
      </c>
      <c r="BA11" s="20">
        <v>0</v>
      </c>
      <c r="BB11" s="21">
        <v>0</v>
      </c>
      <c r="BC11" s="139" t="str">
        <f t="shared" ref="BC11" si="80">IF(BB11=0,"-",BA11/BB11)</f>
        <v>-</v>
      </c>
      <c r="BD11" s="20">
        <v>0</v>
      </c>
      <c r="BE11" s="21">
        <v>0</v>
      </c>
      <c r="BF11" s="139" t="str">
        <f t="shared" ref="BF11" si="81">IF(BE11=0,"-",BD11/BE11)</f>
        <v>-</v>
      </c>
      <c r="BG11" s="20">
        <v>0</v>
      </c>
      <c r="BH11" s="21">
        <v>0</v>
      </c>
      <c r="BI11" s="139" t="str">
        <f t="shared" ref="BI11" si="82">IF(BH11=0,"-",BG11/BH11)</f>
        <v>-</v>
      </c>
      <c r="BJ11" s="252">
        <v>20</v>
      </c>
      <c r="BK11" s="253">
        <v>3</v>
      </c>
      <c r="BL11" s="139">
        <f t="shared" ref="BL11:BL15" si="83">IF(BK11=0,"-",BJ11/BK11)</f>
        <v>6.666666666666667</v>
      </c>
      <c r="BM11" s="125">
        <v>0</v>
      </c>
      <c r="BN11" s="126">
        <v>0</v>
      </c>
      <c r="BO11" s="276">
        <v>0</v>
      </c>
      <c r="BP11" s="125">
        <v>0</v>
      </c>
      <c r="BQ11" s="126">
        <v>0</v>
      </c>
      <c r="BR11" s="276" t="str">
        <f t="shared" si="74"/>
        <v>-</v>
      </c>
      <c r="BS11" s="125">
        <v>0</v>
      </c>
      <c r="BT11" s="126">
        <v>0</v>
      </c>
      <c r="BU11" s="276" t="str">
        <f t="shared" si="75"/>
        <v>-</v>
      </c>
      <c r="BV11" s="20">
        <v>7</v>
      </c>
      <c r="BW11" s="21">
        <v>1</v>
      </c>
      <c r="BX11" s="139">
        <f t="shared" si="24"/>
        <v>7</v>
      </c>
      <c r="BY11" s="20">
        <v>0</v>
      </c>
      <c r="BZ11" s="21">
        <v>0</v>
      </c>
      <c r="CA11" s="139" t="str">
        <f t="shared" ref="CA11:CA13" si="84">IF(BZ11=0,"-",BY11/BZ11)</f>
        <v>-</v>
      </c>
      <c r="CB11" s="20">
        <v>0</v>
      </c>
      <c r="CC11" s="21">
        <v>0</v>
      </c>
      <c r="CD11" s="139" t="str">
        <f t="shared" si="60"/>
        <v>-</v>
      </c>
      <c r="CE11" s="125">
        <v>0</v>
      </c>
      <c r="CF11" s="126">
        <v>0</v>
      </c>
      <c r="CG11" s="276" t="str">
        <f t="shared" si="76"/>
        <v>-</v>
      </c>
      <c r="CH11" s="125">
        <v>0</v>
      </c>
      <c r="CI11" s="126">
        <v>0</v>
      </c>
      <c r="CJ11" s="276" t="str">
        <f t="shared" si="77"/>
        <v>-</v>
      </c>
      <c r="CK11" s="125">
        <v>0</v>
      </c>
      <c r="CL11" s="126">
        <v>0</v>
      </c>
      <c r="CM11" s="276" t="str">
        <f t="shared" si="78"/>
        <v>-</v>
      </c>
      <c r="CN11" s="117">
        <f t="shared" si="30"/>
        <v>180</v>
      </c>
      <c r="CO11" s="120">
        <f t="shared" si="31"/>
        <v>28</v>
      </c>
      <c r="CP11" s="147">
        <f t="shared" si="32"/>
        <v>6.4285714285714288</v>
      </c>
    </row>
    <row r="12" spans="1:94" ht="16.2" customHeight="1" thickBot="1" x14ac:dyDescent="0.35">
      <c r="A12" s="294">
        <v>45634</v>
      </c>
      <c r="B12" s="20">
        <v>47</v>
      </c>
      <c r="C12" s="21">
        <v>6</v>
      </c>
      <c r="D12" s="139">
        <f t="shared" si="0"/>
        <v>7.833333333333333</v>
      </c>
      <c r="E12" s="23">
        <v>16</v>
      </c>
      <c r="F12" s="21">
        <v>2</v>
      </c>
      <c r="G12" s="139">
        <f t="shared" si="72"/>
        <v>8</v>
      </c>
      <c r="H12" s="20"/>
      <c r="I12" s="21"/>
      <c r="J12" s="139" t="str">
        <f t="shared" si="61"/>
        <v>-</v>
      </c>
      <c r="K12" s="20">
        <v>40</v>
      </c>
      <c r="L12" s="21">
        <v>5</v>
      </c>
      <c r="M12" s="139">
        <f t="shared" si="3"/>
        <v>8</v>
      </c>
      <c r="N12" s="125">
        <v>0</v>
      </c>
      <c r="O12" s="126">
        <v>0</v>
      </c>
      <c r="P12" s="139" t="str">
        <f t="shared" si="4"/>
        <v>-</v>
      </c>
      <c r="Q12" s="23">
        <v>0</v>
      </c>
      <c r="R12" s="21">
        <v>0</v>
      </c>
      <c r="S12" s="139" t="str">
        <f t="shared" si="33"/>
        <v>-</v>
      </c>
      <c r="T12" s="20">
        <v>0</v>
      </c>
      <c r="U12" s="21">
        <v>0</v>
      </c>
      <c r="V12" s="139" t="str">
        <f t="shared" si="34"/>
        <v>-</v>
      </c>
      <c r="W12" s="20">
        <v>0</v>
      </c>
      <c r="X12" s="21">
        <v>0</v>
      </c>
      <c r="Y12" s="278" t="str">
        <f t="shared" si="35"/>
        <v>-</v>
      </c>
      <c r="Z12" s="20">
        <v>0</v>
      </c>
      <c r="AA12" s="21">
        <v>0</v>
      </c>
      <c r="AB12" s="278" t="str">
        <f t="shared" si="36"/>
        <v>-</v>
      </c>
      <c r="AC12" s="20">
        <v>0</v>
      </c>
      <c r="AD12" s="21">
        <v>0</v>
      </c>
      <c r="AE12" s="278" t="str">
        <f t="shared" si="37"/>
        <v>-</v>
      </c>
      <c r="AF12" s="20">
        <v>0</v>
      </c>
      <c r="AG12" s="21">
        <v>0</v>
      </c>
      <c r="AH12" s="139" t="str">
        <f t="shared" si="73"/>
        <v>-</v>
      </c>
      <c r="AI12" s="20">
        <v>0</v>
      </c>
      <c r="AJ12" s="21">
        <v>0</v>
      </c>
      <c r="AK12" s="139" t="str">
        <f t="shared" si="62"/>
        <v>-</v>
      </c>
      <c r="AL12" s="20">
        <v>0</v>
      </c>
      <c r="AM12" s="21">
        <v>0</v>
      </c>
      <c r="AN12" s="139" t="str">
        <f t="shared" si="63"/>
        <v>-</v>
      </c>
      <c r="AO12" s="20">
        <v>0</v>
      </c>
      <c r="AP12" s="21">
        <v>0</v>
      </c>
      <c r="AQ12" s="139" t="str">
        <f t="shared" si="64"/>
        <v>-</v>
      </c>
      <c r="AR12" s="20">
        <v>0</v>
      </c>
      <c r="AS12" s="21">
        <v>0</v>
      </c>
      <c r="AT12" s="139" t="str">
        <f t="shared" si="55"/>
        <v>-</v>
      </c>
      <c r="AU12" s="20">
        <v>0</v>
      </c>
      <c r="AV12" s="21">
        <v>0</v>
      </c>
      <c r="AW12" s="139" t="str">
        <f t="shared" si="39"/>
        <v>-</v>
      </c>
      <c r="AX12" s="20">
        <v>0</v>
      </c>
      <c r="AY12" s="21">
        <v>0</v>
      </c>
      <c r="AZ12" s="139" t="str">
        <f t="shared" si="40"/>
        <v>-</v>
      </c>
      <c r="BA12" s="20">
        <v>0</v>
      </c>
      <c r="BB12" s="21">
        <v>0</v>
      </c>
      <c r="BC12" s="139" t="str">
        <f t="shared" si="65"/>
        <v>-</v>
      </c>
      <c r="BD12" s="20">
        <v>0</v>
      </c>
      <c r="BE12" s="21">
        <v>0</v>
      </c>
      <c r="BF12" s="139" t="str">
        <f t="shared" si="66"/>
        <v>-</v>
      </c>
      <c r="BG12" s="20">
        <v>0</v>
      </c>
      <c r="BH12" s="21">
        <v>0</v>
      </c>
      <c r="BI12" s="139" t="str">
        <f t="shared" si="67"/>
        <v>-</v>
      </c>
      <c r="BJ12" s="252">
        <v>32</v>
      </c>
      <c r="BK12" s="253">
        <v>6</v>
      </c>
      <c r="BL12" s="139">
        <f t="shared" si="83"/>
        <v>5.333333333333333</v>
      </c>
      <c r="BM12" s="125">
        <v>0</v>
      </c>
      <c r="BN12" s="126">
        <v>0</v>
      </c>
      <c r="BO12" s="276">
        <v>0</v>
      </c>
      <c r="BP12" s="125">
        <v>0</v>
      </c>
      <c r="BQ12" s="126">
        <v>0</v>
      </c>
      <c r="BR12" s="276" t="str">
        <f t="shared" ref="BR12:BR13" si="85">IF(BQ12=0,"-",BP12/BQ12)</f>
        <v>-</v>
      </c>
      <c r="BS12" s="20">
        <v>13</v>
      </c>
      <c r="BT12" s="21">
        <v>2</v>
      </c>
      <c r="BU12" s="139">
        <f t="shared" si="23"/>
        <v>6.5</v>
      </c>
      <c r="BV12" s="20">
        <v>9</v>
      </c>
      <c r="BW12" s="21">
        <v>2</v>
      </c>
      <c r="BX12" s="139">
        <f t="shared" si="24"/>
        <v>4.5</v>
      </c>
      <c r="BY12" s="20">
        <v>0</v>
      </c>
      <c r="BZ12" s="21">
        <v>0</v>
      </c>
      <c r="CA12" s="139" t="str">
        <f t="shared" si="84"/>
        <v>-</v>
      </c>
      <c r="CB12" s="20">
        <v>7</v>
      </c>
      <c r="CC12" s="21">
        <v>1</v>
      </c>
      <c r="CD12" s="139">
        <f t="shared" si="60"/>
        <v>7</v>
      </c>
      <c r="CE12" s="125">
        <v>0</v>
      </c>
      <c r="CF12" s="126">
        <v>0</v>
      </c>
      <c r="CG12" s="276" t="str">
        <f t="shared" si="76"/>
        <v>-</v>
      </c>
      <c r="CH12" s="125">
        <v>0</v>
      </c>
      <c r="CI12" s="126">
        <v>0</v>
      </c>
      <c r="CJ12" s="276" t="str">
        <f t="shared" si="77"/>
        <v>-</v>
      </c>
      <c r="CK12" s="125">
        <v>0</v>
      </c>
      <c r="CL12" s="126">
        <v>0</v>
      </c>
      <c r="CM12" s="276" t="str">
        <f t="shared" si="78"/>
        <v>-</v>
      </c>
      <c r="CN12" s="117">
        <f t="shared" si="30"/>
        <v>164</v>
      </c>
      <c r="CO12" s="120">
        <f t="shared" si="31"/>
        <v>22</v>
      </c>
      <c r="CP12" s="147">
        <f t="shared" si="32"/>
        <v>7.4545454545454541</v>
      </c>
    </row>
    <row r="13" spans="1:94" ht="15" thickBot="1" x14ac:dyDescent="0.35">
      <c r="A13" s="294">
        <v>45635</v>
      </c>
      <c r="B13" s="20">
        <v>40</v>
      </c>
      <c r="C13" s="21">
        <v>5</v>
      </c>
      <c r="D13" s="139">
        <f t="shared" si="0"/>
        <v>8</v>
      </c>
      <c r="E13" s="23">
        <v>0</v>
      </c>
      <c r="F13" s="21">
        <v>0</v>
      </c>
      <c r="G13" s="139" t="str">
        <f t="shared" si="72"/>
        <v>-</v>
      </c>
      <c r="H13" s="20"/>
      <c r="I13" s="21"/>
      <c r="J13" s="139" t="str">
        <f t="shared" si="61"/>
        <v>-</v>
      </c>
      <c r="K13" s="20">
        <v>24</v>
      </c>
      <c r="L13" s="21">
        <v>3</v>
      </c>
      <c r="M13" s="139">
        <f t="shared" si="3"/>
        <v>8</v>
      </c>
      <c r="N13" s="125">
        <v>0</v>
      </c>
      <c r="O13" s="126">
        <v>0</v>
      </c>
      <c r="P13" s="139" t="str">
        <f t="shared" ref="P13" si="86">IF(O13=0,"-",N13/O13)</f>
        <v>-</v>
      </c>
      <c r="Q13" s="20">
        <v>64</v>
      </c>
      <c r="R13" s="21">
        <v>16</v>
      </c>
      <c r="S13" s="139">
        <f t="shared" si="33"/>
        <v>4</v>
      </c>
      <c r="T13" s="20">
        <v>0</v>
      </c>
      <c r="U13" s="21">
        <v>0</v>
      </c>
      <c r="V13" s="139" t="str">
        <f t="shared" si="34"/>
        <v>-</v>
      </c>
      <c r="W13" s="20">
        <v>0</v>
      </c>
      <c r="X13" s="21">
        <v>0</v>
      </c>
      <c r="Y13" s="278" t="str">
        <f t="shared" si="35"/>
        <v>-</v>
      </c>
      <c r="Z13" s="20">
        <v>50</v>
      </c>
      <c r="AA13" s="21">
        <v>10</v>
      </c>
      <c r="AB13" s="278">
        <f t="shared" si="36"/>
        <v>5</v>
      </c>
      <c r="AC13" s="20">
        <v>0</v>
      </c>
      <c r="AD13" s="21">
        <v>0</v>
      </c>
      <c r="AE13" s="278" t="str">
        <f t="shared" si="37"/>
        <v>-</v>
      </c>
      <c r="AF13" s="20">
        <v>0</v>
      </c>
      <c r="AG13" s="21">
        <v>0</v>
      </c>
      <c r="AH13" s="139" t="str">
        <f t="shared" si="73"/>
        <v>-</v>
      </c>
      <c r="AI13" s="20">
        <v>0</v>
      </c>
      <c r="AJ13" s="21">
        <v>0</v>
      </c>
      <c r="AK13" s="139" t="str">
        <f t="shared" si="62"/>
        <v>-</v>
      </c>
      <c r="AL13" s="20">
        <v>0</v>
      </c>
      <c r="AM13" s="21">
        <v>0</v>
      </c>
      <c r="AN13" s="139" t="str">
        <f t="shared" si="63"/>
        <v>-</v>
      </c>
      <c r="AO13" s="20">
        <v>0</v>
      </c>
      <c r="AP13" s="21">
        <v>0</v>
      </c>
      <c r="AQ13" s="139" t="str">
        <f t="shared" si="64"/>
        <v>-</v>
      </c>
      <c r="AR13" s="20">
        <v>2</v>
      </c>
      <c r="AS13" s="21">
        <v>1</v>
      </c>
      <c r="AT13" s="139">
        <f t="shared" si="55"/>
        <v>2</v>
      </c>
      <c r="AU13" s="20">
        <v>0</v>
      </c>
      <c r="AV13" s="21">
        <v>0</v>
      </c>
      <c r="AW13" s="139" t="str">
        <f t="shared" si="39"/>
        <v>-</v>
      </c>
      <c r="AX13" s="20">
        <v>0</v>
      </c>
      <c r="AY13" s="21">
        <v>0</v>
      </c>
      <c r="AZ13" s="139" t="str">
        <f t="shared" si="40"/>
        <v>-</v>
      </c>
      <c r="BA13" s="20">
        <v>0</v>
      </c>
      <c r="BB13" s="21">
        <v>0</v>
      </c>
      <c r="BC13" s="139" t="str">
        <f t="shared" si="65"/>
        <v>-</v>
      </c>
      <c r="BD13" s="20">
        <v>0</v>
      </c>
      <c r="BE13" s="21">
        <v>0</v>
      </c>
      <c r="BF13" s="139" t="str">
        <f t="shared" si="66"/>
        <v>-</v>
      </c>
      <c r="BG13" s="20">
        <v>0</v>
      </c>
      <c r="BH13" s="21">
        <v>0</v>
      </c>
      <c r="BI13" s="139" t="str">
        <f t="shared" si="67"/>
        <v>-</v>
      </c>
      <c r="BJ13" s="252">
        <v>7</v>
      </c>
      <c r="BK13" s="253">
        <v>1</v>
      </c>
      <c r="BL13" s="139">
        <f t="shared" si="83"/>
        <v>7</v>
      </c>
      <c r="BM13" s="125">
        <v>4</v>
      </c>
      <c r="BN13" s="126">
        <v>1</v>
      </c>
      <c r="BO13" s="276">
        <f t="shared" si="21"/>
        <v>4</v>
      </c>
      <c r="BP13" s="125">
        <v>0</v>
      </c>
      <c r="BQ13" s="126">
        <v>0</v>
      </c>
      <c r="BR13" s="276" t="str">
        <f t="shared" si="85"/>
        <v>-</v>
      </c>
      <c r="BS13" s="20">
        <v>7</v>
      </c>
      <c r="BT13" s="21">
        <v>1</v>
      </c>
      <c r="BU13" s="139">
        <f t="shared" si="23"/>
        <v>7</v>
      </c>
      <c r="BV13" s="20">
        <v>12</v>
      </c>
      <c r="BW13" s="21">
        <v>2</v>
      </c>
      <c r="BX13" s="139">
        <f t="shared" si="24"/>
        <v>6</v>
      </c>
      <c r="BY13" s="20">
        <v>0</v>
      </c>
      <c r="BZ13" s="21">
        <v>0</v>
      </c>
      <c r="CA13" s="139" t="str">
        <f t="shared" si="84"/>
        <v>-</v>
      </c>
      <c r="CB13" s="20">
        <v>0</v>
      </c>
      <c r="CC13" s="21">
        <v>0</v>
      </c>
      <c r="CD13" s="139" t="str">
        <f t="shared" si="60"/>
        <v>-</v>
      </c>
      <c r="CE13" s="125">
        <v>0</v>
      </c>
      <c r="CF13" s="126">
        <v>0</v>
      </c>
      <c r="CG13" s="276" t="str">
        <f t="shared" si="76"/>
        <v>-</v>
      </c>
      <c r="CH13" s="125">
        <v>0</v>
      </c>
      <c r="CI13" s="126">
        <v>0</v>
      </c>
      <c r="CJ13" s="276" t="str">
        <f t="shared" si="77"/>
        <v>-</v>
      </c>
      <c r="CK13" s="125">
        <v>0</v>
      </c>
      <c r="CL13" s="126">
        <v>0</v>
      </c>
      <c r="CM13" s="276" t="str">
        <f t="shared" si="78"/>
        <v>-</v>
      </c>
      <c r="CN13" s="117">
        <f t="shared" si="30"/>
        <v>210</v>
      </c>
      <c r="CO13" s="120">
        <f t="shared" si="31"/>
        <v>38</v>
      </c>
      <c r="CP13" s="147">
        <f t="shared" si="32"/>
        <v>5.5263157894736841</v>
      </c>
    </row>
    <row r="14" spans="1:94" ht="15" thickBot="1" x14ac:dyDescent="0.35">
      <c r="A14" s="294">
        <v>45636</v>
      </c>
      <c r="B14" s="20">
        <v>51</v>
      </c>
      <c r="C14" s="21">
        <v>6</v>
      </c>
      <c r="D14" s="139">
        <f t="shared" si="0"/>
        <v>8.5</v>
      </c>
      <c r="E14" s="23">
        <v>0</v>
      </c>
      <c r="F14" s="21">
        <v>0</v>
      </c>
      <c r="G14" s="139" t="str">
        <f t="shared" si="72"/>
        <v>-</v>
      </c>
      <c r="H14" s="20"/>
      <c r="I14" s="21"/>
      <c r="J14" s="139" t="str">
        <f t="shared" si="61"/>
        <v>-</v>
      </c>
      <c r="K14" s="20">
        <v>33</v>
      </c>
      <c r="L14" s="21">
        <v>4</v>
      </c>
      <c r="M14" s="139">
        <f t="shared" si="3"/>
        <v>8.25</v>
      </c>
      <c r="N14" s="125">
        <v>0</v>
      </c>
      <c r="O14" s="126">
        <v>0</v>
      </c>
      <c r="P14" s="139" t="str">
        <f t="shared" ref="P14" si="87">IF(O14=0,"-",N14/O14)</f>
        <v>-</v>
      </c>
      <c r="Q14" s="20">
        <v>66</v>
      </c>
      <c r="R14" s="21">
        <v>12</v>
      </c>
      <c r="S14" s="139">
        <f t="shared" si="33"/>
        <v>5.5</v>
      </c>
      <c r="T14" s="20">
        <v>0</v>
      </c>
      <c r="U14" s="21">
        <v>0</v>
      </c>
      <c r="V14" s="139" t="str">
        <f t="shared" si="34"/>
        <v>-</v>
      </c>
      <c r="W14" s="20">
        <v>0</v>
      </c>
      <c r="X14" s="21">
        <v>0</v>
      </c>
      <c r="Y14" s="139" t="str">
        <f t="shared" si="35"/>
        <v>-</v>
      </c>
      <c r="Z14" s="20">
        <v>40</v>
      </c>
      <c r="AA14" s="21">
        <v>8</v>
      </c>
      <c r="AB14" s="139">
        <f t="shared" si="36"/>
        <v>5</v>
      </c>
      <c r="AC14" s="20">
        <v>62</v>
      </c>
      <c r="AD14" s="21">
        <v>14</v>
      </c>
      <c r="AE14" s="139">
        <f t="shared" si="37"/>
        <v>4.4285714285714288</v>
      </c>
      <c r="AF14" s="20">
        <v>0</v>
      </c>
      <c r="AG14" s="21">
        <v>0</v>
      </c>
      <c r="AH14" s="139" t="str">
        <f t="shared" ref="AH14" si="88">IF(AG14=0,"-",AF14/AG14)</f>
        <v>-</v>
      </c>
      <c r="AI14" s="20">
        <v>0</v>
      </c>
      <c r="AJ14" s="21">
        <v>0</v>
      </c>
      <c r="AK14" s="139" t="str">
        <f t="shared" ref="AK14" si="89">IF(AJ14=0,"-",AI14/AJ14)</f>
        <v>-</v>
      </c>
      <c r="AL14" s="20">
        <v>0</v>
      </c>
      <c r="AM14" s="21">
        <v>0</v>
      </c>
      <c r="AN14" s="139" t="str">
        <f t="shared" ref="AN14" si="90">IF(AM14=0,"-",AL14/AM14)</f>
        <v>-</v>
      </c>
      <c r="AO14" s="20">
        <v>0</v>
      </c>
      <c r="AP14" s="21">
        <v>0</v>
      </c>
      <c r="AQ14" s="139" t="str">
        <f t="shared" si="64"/>
        <v>-</v>
      </c>
      <c r="AR14" s="20">
        <v>5</v>
      </c>
      <c r="AS14" s="21">
        <v>1</v>
      </c>
      <c r="AT14" s="139">
        <f t="shared" si="55"/>
        <v>5</v>
      </c>
      <c r="AU14" s="20">
        <v>0</v>
      </c>
      <c r="AV14" s="21">
        <v>0</v>
      </c>
      <c r="AW14" s="139" t="str">
        <f t="shared" si="39"/>
        <v>-</v>
      </c>
      <c r="AX14" s="20">
        <v>3</v>
      </c>
      <c r="AY14" s="21">
        <v>1</v>
      </c>
      <c r="AZ14" s="139">
        <f t="shared" si="40"/>
        <v>3</v>
      </c>
      <c r="BA14" s="20">
        <v>0</v>
      </c>
      <c r="BB14" s="21">
        <v>0</v>
      </c>
      <c r="BC14" s="139" t="str">
        <f t="shared" si="65"/>
        <v>-</v>
      </c>
      <c r="BD14" s="20">
        <v>0</v>
      </c>
      <c r="BE14" s="21">
        <v>0</v>
      </c>
      <c r="BF14" s="139" t="str">
        <f t="shared" si="66"/>
        <v>-</v>
      </c>
      <c r="BG14" s="20">
        <v>1</v>
      </c>
      <c r="BH14" s="21">
        <v>1</v>
      </c>
      <c r="BI14" s="139">
        <f t="shared" si="67"/>
        <v>1</v>
      </c>
      <c r="BJ14" s="252">
        <v>14</v>
      </c>
      <c r="BK14" s="253">
        <v>2</v>
      </c>
      <c r="BL14" s="139">
        <v>0</v>
      </c>
      <c r="BM14" s="125">
        <v>0</v>
      </c>
      <c r="BN14" s="126">
        <v>0</v>
      </c>
      <c r="BO14" s="276" t="str">
        <f t="shared" si="21"/>
        <v>-</v>
      </c>
      <c r="BP14" s="20">
        <v>0</v>
      </c>
      <c r="BQ14" s="21">
        <v>0</v>
      </c>
      <c r="BR14" s="139" t="str">
        <f t="shared" si="22"/>
        <v>-</v>
      </c>
      <c r="BS14" s="125">
        <v>6</v>
      </c>
      <c r="BT14" s="126">
        <v>1</v>
      </c>
      <c r="BU14" s="276">
        <f t="shared" si="23"/>
        <v>6</v>
      </c>
      <c r="BV14" s="20">
        <v>7</v>
      </c>
      <c r="BW14" s="21">
        <v>2</v>
      </c>
      <c r="BX14" s="139">
        <f t="shared" si="24"/>
        <v>3.5</v>
      </c>
      <c r="BY14" s="20">
        <v>0</v>
      </c>
      <c r="BZ14" s="21">
        <v>0</v>
      </c>
      <c r="CA14" s="139" t="str">
        <f t="shared" si="59"/>
        <v>-</v>
      </c>
      <c r="CB14" s="20">
        <v>5</v>
      </c>
      <c r="CC14" s="21">
        <v>1</v>
      </c>
      <c r="CD14" s="139">
        <f t="shared" si="60"/>
        <v>5</v>
      </c>
      <c r="CE14" s="125">
        <v>0</v>
      </c>
      <c r="CF14" s="126">
        <v>0</v>
      </c>
      <c r="CG14" s="276" t="str">
        <f t="shared" ref="CG14" si="91">IF(CF14=0,"-",CE14/CF14)</f>
        <v>-</v>
      </c>
      <c r="CH14" s="125">
        <v>0</v>
      </c>
      <c r="CI14" s="126">
        <v>0</v>
      </c>
      <c r="CJ14" s="276" t="str">
        <f t="shared" ref="CJ14" si="92">IF(CI14=0,"-",CH14/CI14)</f>
        <v>-</v>
      </c>
      <c r="CK14" s="125">
        <v>0</v>
      </c>
      <c r="CL14" s="126">
        <v>0</v>
      </c>
      <c r="CM14" s="276" t="str">
        <f t="shared" ref="CM14" si="93">IF(CL14=0,"-",CK14/CL14)</f>
        <v>-</v>
      </c>
      <c r="CN14" s="117">
        <f t="shared" si="30"/>
        <v>293</v>
      </c>
      <c r="CO14" s="120">
        <f t="shared" si="31"/>
        <v>51</v>
      </c>
      <c r="CP14" s="147">
        <f t="shared" si="32"/>
        <v>5.7450980392156863</v>
      </c>
    </row>
    <row r="15" spans="1:94" ht="15" thickBot="1" x14ac:dyDescent="0.35">
      <c r="A15" s="294">
        <v>45637</v>
      </c>
      <c r="B15" s="20">
        <v>62</v>
      </c>
      <c r="C15" s="21">
        <v>7</v>
      </c>
      <c r="D15" s="139">
        <f t="shared" si="0"/>
        <v>8.8571428571428577</v>
      </c>
      <c r="E15" s="23">
        <v>0</v>
      </c>
      <c r="F15" s="21">
        <v>0</v>
      </c>
      <c r="G15" s="139" t="str">
        <f t="shared" si="72"/>
        <v>-</v>
      </c>
      <c r="H15" s="20"/>
      <c r="I15" s="21"/>
      <c r="J15" s="139" t="str">
        <f t="shared" si="61"/>
        <v>-</v>
      </c>
      <c r="K15" s="20">
        <v>55</v>
      </c>
      <c r="L15" s="21">
        <v>7</v>
      </c>
      <c r="M15" s="139">
        <f t="shared" si="3"/>
        <v>7.8571428571428568</v>
      </c>
      <c r="N15" s="125">
        <v>10</v>
      </c>
      <c r="O15" s="126">
        <v>2</v>
      </c>
      <c r="P15" s="139">
        <f t="shared" si="4"/>
        <v>5</v>
      </c>
      <c r="Q15" s="20">
        <v>64</v>
      </c>
      <c r="R15" s="21">
        <v>12</v>
      </c>
      <c r="S15" s="139">
        <f t="shared" si="33"/>
        <v>5.333333333333333</v>
      </c>
      <c r="T15" s="20">
        <v>13</v>
      </c>
      <c r="U15" s="21">
        <v>2</v>
      </c>
      <c r="V15" s="139">
        <f t="shared" si="34"/>
        <v>6.5</v>
      </c>
      <c r="W15" s="20">
        <v>0</v>
      </c>
      <c r="X15" s="21">
        <v>0</v>
      </c>
      <c r="Y15" s="139" t="str">
        <f t="shared" si="35"/>
        <v>-</v>
      </c>
      <c r="Z15" s="20">
        <v>46</v>
      </c>
      <c r="AA15" s="21">
        <v>9</v>
      </c>
      <c r="AB15" s="139">
        <f t="shared" si="36"/>
        <v>5.1111111111111107</v>
      </c>
      <c r="AC15" s="20">
        <v>60</v>
      </c>
      <c r="AD15" s="21">
        <v>13</v>
      </c>
      <c r="AE15" s="139">
        <f t="shared" si="37"/>
        <v>4.615384615384615</v>
      </c>
      <c r="AF15" s="20">
        <v>0</v>
      </c>
      <c r="AG15" s="21">
        <v>0</v>
      </c>
      <c r="AH15" s="139" t="str">
        <f t="shared" ref="AH15:AH20" si="94">IF(AG15=0,"-",AF15/AG15)</f>
        <v>-</v>
      </c>
      <c r="AI15" s="20">
        <v>0</v>
      </c>
      <c r="AJ15" s="21">
        <v>0</v>
      </c>
      <c r="AK15" s="139" t="str">
        <f t="shared" ref="AK15:AK20" si="95">IF(AJ15=0,"-",AI15/AJ15)</f>
        <v>-</v>
      </c>
      <c r="AL15" s="20">
        <v>0</v>
      </c>
      <c r="AM15" s="21">
        <v>0</v>
      </c>
      <c r="AN15" s="139" t="str">
        <f t="shared" ref="AN15:AN20" si="96">IF(AM15=0,"-",AL15/AM15)</f>
        <v>-</v>
      </c>
      <c r="AO15" s="20">
        <v>0</v>
      </c>
      <c r="AP15" s="21">
        <v>0</v>
      </c>
      <c r="AQ15" s="139" t="str">
        <f t="shared" si="64"/>
        <v>-</v>
      </c>
      <c r="AR15" s="20">
        <v>7</v>
      </c>
      <c r="AS15" s="21">
        <v>1</v>
      </c>
      <c r="AT15" s="139">
        <f t="shared" si="55"/>
        <v>7</v>
      </c>
      <c r="AU15" s="20">
        <v>0</v>
      </c>
      <c r="AV15" s="21">
        <v>0</v>
      </c>
      <c r="AW15" s="139" t="str">
        <f t="shared" si="39"/>
        <v>-</v>
      </c>
      <c r="AX15" s="20">
        <v>2</v>
      </c>
      <c r="AY15" s="21">
        <v>1</v>
      </c>
      <c r="AZ15" s="139">
        <f t="shared" si="40"/>
        <v>2</v>
      </c>
      <c r="BA15" s="20">
        <v>0</v>
      </c>
      <c r="BB15" s="21">
        <v>0</v>
      </c>
      <c r="BC15" s="139" t="str">
        <f t="shared" si="65"/>
        <v>-</v>
      </c>
      <c r="BD15" s="20">
        <v>0</v>
      </c>
      <c r="BE15" s="21">
        <v>0</v>
      </c>
      <c r="BF15" s="139" t="str">
        <f t="shared" si="66"/>
        <v>-</v>
      </c>
      <c r="BG15" s="20">
        <v>0</v>
      </c>
      <c r="BH15" s="21">
        <v>0</v>
      </c>
      <c r="BI15" s="139" t="str">
        <f t="shared" si="67"/>
        <v>-</v>
      </c>
      <c r="BJ15" s="252">
        <v>14</v>
      </c>
      <c r="BK15" s="253">
        <v>2</v>
      </c>
      <c r="BL15" s="139">
        <f t="shared" si="83"/>
        <v>7</v>
      </c>
      <c r="BM15" s="125">
        <v>0</v>
      </c>
      <c r="BN15" s="126">
        <v>0</v>
      </c>
      <c r="BO15" s="276" t="str">
        <f t="shared" si="21"/>
        <v>-</v>
      </c>
      <c r="BP15" s="20">
        <v>0</v>
      </c>
      <c r="BQ15" s="21">
        <v>0</v>
      </c>
      <c r="BR15" s="139" t="str">
        <f t="shared" si="22"/>
        <v>-</v>
      </c>
      <c r="BS15" s="20">
        <v>0</v>
      </c>
      <c r="BT15" s="21">
        <v>0</v>
      </c>
      <c r="BU15" s="139" t="str">
        <f t="shared" si="23"/>
        <v>-</v>
      </c>
      <c r="BV15" s="20">
        <v>0</v>
      </c>
      <c r="BW15" s="21">
        <v>0</v>
      </c>
      <c r="BX15" s="139">
        <v>0</v>
      </c>
      <c r="BY15" s="20">
        <v>0</v>
      </c>
      <c r="BZ15" s="21">
        <v>0</v>
      </c>
      <c r="CA15" s="139" t="str">
        <f t="shared" si="59"/>
        <v>-</v>
      </c>
      <c r="CB15" s="20">
        <v>0</v>
      </c>
      <c r="CC15" s="21">
        <v>0</v>
      </c>
      <c r="CD15" s="139" t="str">
        <f t="shared" si="60"/>
        <v>-</v>
      </c>
      <c r="CE15" s="125">
        <v>0</v>
      </c>
      <c r="CF15" s="126">
        <v>0</v>
      </c>
      <c r="CG15" s="276" t="str">
        <f t="shared" ref="CG15" si="97">IF(CF15=0,"-",CE15/CF15)</f>
        <v>-</v>
      </c>
      <c r="CH15" s="125">
        <v>0</v>
      </c>
      <c r="CI15" s="126">
        <v>0</v>
      </c>
      <c r="CJ15" s="276" t="str">
        <f t="shared" ref="CJ15" si="98">IF(CI15=0,"-",CH15/CI15)</f>
        <v>-</v>
      </c>
      <c r="CK15" s="125">
        <v>0</v>
      </c>
      <c r="CL15" s="126">
        <v>0</v>
      </c>
      <c r="CM15" s="276" t="str">
        <f t="shared" ref="CM15" si="99">IF(CL15=0,"-",CK15/CL15)</f>
        <v>-</v>
      </c>
      <c r="CN15" s="117">
        <f t="shared" si="30"/>
        <v>323</v>
      </c>
      <c r="CO15" s="120">
        <f t="shared" si="31"/>
        <v>54</v>
      </c>
      <c r="CP15" s="147">
        <f t="shared" si="32"/>
        <v>5.9814814814814818</v>
      </c>
    </row>
    <row r="16" spans="1:94" ht="15" thickBot="1" x14ac:dyDescent="0.35">
      <c r="A16" s="294">
        <v>45638</v>
      </c>
      <c r="B16" s="20">
        <v>49</v>
      </c>
      <c r="C16" s="21">
        <v>6</v>
      </c>
      <c r="D16" s="139">
        <f t="shared" si="0"/>
        <v>8.1666666666666661</v>
      </c>
      <c r="E16" s="20">
        <v>26</v>
      </c>
      <c r="F16" s="21">
        <v>4</v>
      </c>
      <c r="G16" s="139">
        <f t="shared" si="1"/>
        <v>6.5</v>
      </c>
      <c r="H16" s="20"/>
      <c r="I16" s="21"/>
      <c r="J16" s="139" t="str">
        <f t="shared" si="61"/>
        <v>-</v>
      </c>
      <c r="K16" s="20">
        <v>18</v>
      </c>
      <c r="L16" s="21">
        <v>2</v>
      </c>
      <c r="M16" s="139">
        <f t="shared" si="3"/>
        <v>9</v>
      </c>
      <c r="N16" s="125">
        <v>0</v>
      </c>
      <c r="O16" s="126">
        <v>0</v>
      </c>
      <c r="P16" s="139" t="str">
        <f t="shared" si="4"/>
        <v>-</v>
      </c>
      <c r="Q16" s="125">
        <v>0</v>
      </c>
      <c r="R16" s="126">
        <v>0</v>
      </c>
      <c r="S16" s="139" t="str">
        <f t="shared" si="33"/>
        <v>-</v>
      </c>
      <c r="T16" s="125">
        <v>0</v>
      </c>
      <c r="U16" s="126">
        <v>0</v>
      </c>
      <c r="V16" s="139" t="str">
        <f t="shared" si="34"/>
        <v>-</v>
      </c>
      <c r="W16" s="125">
        <v>0</v>
      </c>
      <c r="X16" s="126">
        <v>0</v>
      </c>
      <c r="Y16" s="139" t="str">
        <f t="shared" si="35"/>
        <v>-</v>
      </c>
      <c r="Z16" s="125">
        <v>0</v>
      </c>
      <c r="AA16" s="126">
        <v>0</v>
      </c>
      <c r="AB16" s="139" t="str">
        <f t="shared" si="36"/>
        <v>-</v>
      </c>
      <c r="AC16" s="125">
        <v>0</v>
      </c>
      <c r="AD16" s="126">
        <v>0</v>
      </c>
      <c r="AE16" s="139" t="str">
        <f t="shared" si="37"/>
        <v>-</v>
      </c>
      <c r="AF16" s="125">
        <v>0</v>
      </c>
      <c r="AG16" s="126">
        <v>0</v>
      </c>
      <c r="AH16" s="139" t="str">
        <f t="shared" si="94"/>
        <v>-</v>
      </c>
      <c r="AI16" s="125">
        <v>0</v>
      </c>
      <c r="AJ16" s="126">
        <v>0</v>
      </c>
      <c r="AK16" s="139" t="str">
        <f t="shared" si="95"/>
        <v>-</v>
      </c>
      <c r="AL16" s="20">
        <v>0</v>
      </c>
      <c r="AM16" s="21">
        <v>0</v>
      </c>
      <c r="AN16" s="139" t="str">
        <f t="shared" si="96"/>
        <v>-</v>
      </c>
      <c r="AO16" s="20">
        <v>0</v>
      </c>
      <c r="AP16" s="21">
        <v>0</v>
      </c>
      <c r="AQ16" s="139" t="str">
        <f t="shared" si="64"/>
        <v>-</v>
      </c>
      <c r="AR16" s="20">
        <v>0</v>
      </c>
      <c r="AS16" s="21">
        <v>0</v>
      </c>
      <c r="AT16" s="139" t="str">
        <f t="shared" si="55"/>
        <v>-</v>
      </c>
      <c r="AU16" s="20">
        <v>0</v>
      </c>
      <c r="AV16" s="21">
        <v>0</v>
      </c>
      <c r="AW16" s="139" t="str">
        <f t="shared" si="39"/>
        <v>-</v>
      </c>
      <c r="AX16" s="20">
        <v>4</v>
      </c>
      <c r="AY16" s="21">
        <v>1</v>
      </c>
      <c r="AZ16" s="139">
        <f t="shared" si="40"/>
        <v>4</v>
      </c>
      <c r="BA16" s="20">
        <v>0</v>
      </c>
      <c r="BB16" s="21">
        <v>0</v>
      </c>
      <c r="BC16" s="139" t="str">
        <f t="shared" ref="BC16" si="100">IF(BB16=0,"-",BA16/BB16)</f>
        <v>-</v>
      </c>
      <c r="BD16" s="20">
        <v>0</v>
      </c>
      <c r="BE16" s="21">
        <v>0</v>
      </c>
      <c r="BF16" s="139" t="str">
        <f t="shared" ref="BF16" si="101">IF(BE16=0,"-",BD16/BE16)</f>
        <v>-</v>
      </c>
      <c r="BG16" s="20">
        <v>0</v>
      </c>
      <c r="BH16" s="21">
        <v>0</v>
      </c>
      <c r="BI16" s="139" t="str">
        <f t="shared" ref="BI16" si="102">IF(BH16=0,"-",BG16/BH16)</f>
        <v>-</v>
      </c>
      <c r="BJ16" s="252">
        <v>13</v>
      </c>
      <c r="BK16" s="253">
        <v>2</v>
      </c>
      <c r="BL16" s="139">
        <f t="shared" si="20"/>
        <v>6.5</v>
      </c>
      <c r="BM16" s="125">
        <v>0</v>
      </c>
      <c r="BN16" s="126">
        <v>0</v>
      </c>
      <c r="BO16" s="276" t="str">
        <f t="shared" ref="BO16:BO18" si="103">IF(BN16=0,"-",BM16/BN16)</f>
        <v>-</v>
      </c>
      <c r="BP16" s="20">
        <v>0</v>
      </c>
      <c r="BQ16" s="21">
        <v>0</v>
      </c>
      <c r="BR16" s="139" t="str">
        <f t="shared" ref="BR16:BR18" si="104">IF(BQ16=0,"-",BP16/BQ16)</f>
        <v>-</v>
      </c>
      <c r="BS16" s="20">
        <v>0</v>
      </c>
      <c r="BT16" s="21">
        <v>0</v>
      </c>
      <c r="BU16" s="139" t="str">
        <f t="shared" ref="BU16:BU20" si="105">IF(BT16=0,"-",BS16/BT16)</f>
        <v>-</v>
      </c>
      <c r="BV16" s="20">
        <v>10</v>
      </c>
      <c r="BW16" s="21">
        <v>3</v>
      </c>
      <c r="BX16" s="139">
        <f t="shared" si="24"/>
        <v>3.3333333333333335</v>
      </c>
      <c r="BY16" s="20">
        <v>0</v>
      </c>
      <c r="BZ16" s="21">
        <v>0</v>
      </c>
      <c r="CA16" s="139" t="str">
        <f t="shared" si="59"/>
        <v>-</v>
      </c>
      <c r="CB16" s="252">
        <v>4</v>
      </c>
      <c r="CC16" s="253">
        <v>1</v>
      </c>
      <c r="CD16" s="139">
        <f t="shared" si="60"/>
        <v>4</v>
      </c>
      <c r="CE16" s="125">
        <v>0</v>
      </c>
      <c r="CF16" s="126">
        <v>0</v>
      </c>
      <c r="CG16" s="276" t="str">
        <f t="shared" ref="CG16" si="106">IF(CF16=0,"-",CE16/CF16)</f>
        <v>-</v>
      </c>
      <c r="CH16" s="125">
        <v>0</v>
      </c>
      <c r="CI16" s="126">
        <v>0</v>
      </c>
      <c r="CJ16" s="276" t="str">
        <f t="shared" ref="CJ16" si="107">IF(CI16=0,"-",CH16/CI16)</f>
        <v>-</v>
      </c>
      <c r="CK16" s="20">
        <v>6</v>
      </c>
      <c r="CL16" s="21">
        <v>2</v>
      </c>
      <c r="CM16" s="139">
        <f t="shared" si="71"/>
        <v>3</v>
      </c>
      <c r="CN16" s="117">
        <f t="shared" si="30"/>
        <v>130</v>
      </c>
      <c r="CO16" s="120">
        <f t="shared" si="31"/>
        <v>18</v>
      </c>
      <c r="CP16" s="147">
        <f t="shared" si="32"/>
        <v>7.2222222222222223</v>
      </c>
    </row>
    <row r="17" spans="1:94" ht="15" thickBot="1" x14ac:dyDescent="0.35">
      <c r="A17" s="294">
        <v>45639</v>
      </c>
      <c r="B17" s="20">
        <v>57</v>
      </c>
      <c r="C17" s="21">
        <v>7</v>
      </c>
      <c r="D17" s="139">
        <f t="shared" si="0"/>
        <v>8.1428571428571423</v>
      </c>
      <c r="E17" s="20">
        <v>0</v>
      </c>
      <c r="F17" s="21">
        <v>0</v>
      </c>
      <c r="G17" s="139" t="str">
        <f t="shared" si="1"/>
        <v>-</v>
      </c>
      <c r="H17" s="20"/>
      <c r="I17" s="21"/>
      <c r="J17" s="139" t="str">
        <f t="shared" si="61"/>
        <v>-</v>
      </c>
      <c r="K17" s="20">
        <v>32</v>
      </c>
      <c r="L17" s="21">
        <v>4</v>
      </c>
      <c r="M17" s="139">
        <f t="shared" si="3"/>
        <v>8</v>
      </c>
      <c r="N17" s="125">
        <v>0</v>
      </c>
      <c r="O17" s="126">
        <v>0</v>
      </c>
      <c r="P17" s="139" t="str">
        <f t="shared" ref="P17:P19" si="108">IF(O17=0,"-",N17/O17)</f>
        <v>-</v>
      </c>
      <c r="Q17" s="125">
        <v>0</v>
      </c>
      <c r="R17" s="126">
        <v>0</v>
      </c>
      <c r="S17" s="139" t="str">
        <f t="shared" si="33"/>
        <v>-</v>
      </c>
      <c r="T17" s="125">
        <v>0</v>
      </c>
      <c r="U17" s="126">
        <v>0</v>
      </c>
      <c r="V17" s="139" t="str">
        <f t="shared" si="34"/>
        <v>-</v>
      </c>
      <c r="W17" s="125">
        <v>0</v>
      </c>
      <c r="X17" s="126">
        <v>0</v>
      </c>
      <c r="Y17" s="139" t="str">
        <f t="shared" si="35"/>
        <v>-</v>
      </c>
      <c r="Z17" s="125">
        <v>0</v>
      </c>
      <c r="AA17" s="126">
        <v>0</v>
      </c>
      <c r="AB17" s="139" t="str">
        <f t="shared" si="36"/>
        <v>-</v>
      </c>
      <c r="AC17" s="125">
        <v>0</v>
      </c>
      <c r="AD17" s="126">
        <v>0</v>
      </c>
      <c r="AE17" s="139" t="str">
        <f t="shared" si="37"/>
        <v>-</v>
      </c>
      <c r="AF17" s="125">
        <v>0</v>
      </c>
      <c r="AG17" s="126">
        <v>0</v>
      </c>
      <c r="AH17" s="139" t="str">
        <f t="shared" si="94"/>
        <v>-</v>
      </c>
      <c r="AI17" s="125">
        <v>0</v>
      </c>
      <c r="AJ17" s="126">
        <v>0</v>
      </c>
      <c r="AK17" s="139" t="str">
        <f t="shared" si="95"/>
        <v>-</v>
      </c>
      <c r="AL17" s="20">
        <v>0</v>
      </c>
      <c r="AM17" s="21">
        <v>0</v>
      </c>
      <c r="AN17" s="139" t="str">
        <f t="shared" si="96"/>
        <v>-</v>
      </c>
      <c r="AO17" s="20">
        <v>0</v>
      </c>
      <c r="AP17" s="21">
        <v>0</v>
      </c>
      <c r="AQ17" s="139" t="str">
        <f t="shared" si="64"/>
        <v>-</v>
      </c>
      <c r="AR17" s="20">
        <v>0</v>
      </c>
      <c r="AS17" s="21">
        <v>0</v>
      </c>
      <c r="AT17" s="139" t="str">
        <f t="shared" si="55"/>
        <v>-</v>
      </c>
      <c r="AU17" s="20">
        <v>0</v>
      </c>
      <c r="AV17" s="21">
        <v>0</v>
      </c>
      <c r="AW17" s="139" t="str">
        <f t="shared" si="39"/>
        <v>-</v>
      </c>
      <c r="AX17" s="20">
        <v>2</v>
      </c>
      <c r="AY17" s="21">
        <v>1</v>
      </c>
      <c r="AZ17" s="139">
        <f t="shared" si="40"/>
        <v>2</v>
      </c>
      <c r="BA17" s="20">
        <v>0</v>
      </c>
      <c r="BB17" s="21">
        <v>0</v>
      </c>
      <c r="BC17" s="139" t="str">
        <f t="shared" ref="BC17" si="109">IF(BB17=0,"-",BA17/BB17)</f>
        <v>-</v>
      </c>
      <c r="BD17" s="20">
        <v>0</v>
      </c>
      <c r="BE17" s="21">
        <v>0</v>
      </c>
      <c r="BF17" s="139" t="str">
        <f t="shared" ref="BF17" si="110">IF(BE17=0,"-",BD17/BE17)</f>
        <v>-</v>
      </c>
      <c r="BG17" s="20">
        <v>0</v>
      </c>
      <c r="BH17" s="21">
        <v>0</v>
      </c>
      <c r="BI17" s="139" t="str">
        <f t="shared" ref="BI17" si="111">IF(BH17=0,"-",BG17/BH17)</f>
        <v>-</v>
      </c>
      <c r="BJ17" s="252">
        <v>0</v>
      </c>
      <c r="BK17" s="253">
        <v>0</v>
      </c>
      <c r="BL17" s="139" t="str">
        <f t="shared" si="20"/>
        <v>-</v>
      </c>
      <c r="BM17" s="125">
        <v>0</v>
      </c>
      <c r="BN17" s="126">
        <v>0</v>
      </c>
      <c r="BO17" s="276" t="str">
        <f t="shared" si="103"/>
        <v>-</v>
      </c>
      <c r="BP17" s="20">
        <v>0</v>
      </c>
      <c r="BQ17" s="21">
        <v>0</v>
      </c>
      <c r="BR17" s="139" t="str">
        <f t="shared" si="104"/>
        <v>-</v>
      </c>
      <c r="BS17" s="20">
        <v>0</v>
      </c>
      <c r="BT17" s="21">
        <v>0</v>
      </c>
      <c r="BU17" s="139" t="str">
        <f t="shared" si="105"/>
        <v>-</v>
      </c>
      <c r="BV17" s="20">
        <v>0</v>
      </c>
      <c r="BW17" s="21">
        <v>0</v>
      </c>
      <c r="BX17" s="139" t="str">
        <f t="shared" si="24"/>
        <v>-</v>
      </c>
      <c r="BY17" s="20">
        <v>0</v>
      </c>
      <c r="BZ17" s="21">
        <v>0</v>
      </c>
      <c r="CA17" s="139" t="str">
        <f t="shared" si="59"/>
        <v>-</v>
      </c>
      <c r="CB17" s="20">
        <v>0</v>
      </c>
      <c r="CC17" s="21">
        <v>0</v>
      </c>
      <c r="CD17" s="139" t="str">
        <f t="shared" si="60"/>
        <v>-</v>
      </c>
      <c r="CE17" s="20">
        <v>3</v>
      </c>
      <c r="CF17" s="21">
        <v>1</v>
      </c>
      <c r="CG17" s="139">
        <f t="shared" si="46"/>
        <v>3</v>
      </c>
      <c r="CH17" s="125">
        <v>0</v>
      </c>
      <c r="CI17" s="126">
        <v>0</v>
      </c>
      <c r="CJ17" s="276" t="str">
        <f t="shared" ref="CJ17:CJ20" si="112">IF(CI17=0,"-",CH17/CI17)</f>
        <v>-</v>
      </c>
      <c r="CK17" s="125">
        <v>0</v>
      </c>
      <c r="CL17" s="126">
        <v>0</v>
      </c>
      <c r="CM17" s="276" t="str">
        <f t="shared" si="71"/>
        <v>-</v>
      </c>
      <c r="CN17" s="117">
        <f t="shared" si="30"/>
        <v>94</v>
      </c>
      <c r="CO17" s="120">
        <f t="shared" si="31"/>
        <v>13</v>
      </c>
      <c r="CP17" s="147">
        <f t="shared" si="32"/>
        <v>7.2307692307692308</v>
      </c>
    </row>
    <row r="18" spans="1:94" ht="15" thickBot="1" x14ac:dyDescent="0.35">
      <c r="A18" s="294">
        <v>45640</v>
      </c>
      <c r="B18" s="20">
        <v>25</v>
      </c>
      <c r="C18" s="21">
        <v>3</v>
      </c>
      <c r="D18" s="139">
        <f t="shared" si="0"/>
        <v>8.3333333333333339</v>
      </c>
      <c r="E18" s="20">
        <v>0</v>
      </c>
      <c r="F18" s="21">
        <v>0</v>
      </c>
      <c r="G18" s="139" t="str">
        <f t="shared" si="1"/>
        <v>-</v>
      </c>
      <c r="H18" s="20"/>
      <c r="I18" s="21"/>
      <c r="J18" s="139" t="str">
        <f t="shared" si="61"/>
        <v>-</v>
      </c>
      <c r="K18" s="20">
        <v>40</v>
      </c>
      <c r="L18" s="21">
        <v>5</v>
      </c>
      <c r="M18" s="139">
        <f t="shared" si="3"/>
        <v>8</v>
      </c>
      <c r="N18" s="125">
        <v>0</v>
      </c>
      <c r="O18" s="126">
        <v>0</v>
      </c>
      <c r="P18" s="139" t="str">
        <f t="shared" si="108"/>
        <v>-</v>
      </c>
      <c r="Q18" s="125">
        <v>0</v>
      </c>
      <c r="R18" s="126">
        <v>0</v>
      </c>
      <c r="S18" s="139" t="str">
        <f t="shared" si="33"/>
        <v>-</v>
      </c>
      <c r="T18" s="125">
        <v>0</v>
      </c>
      <c r="U18" s="126">
        <v>0</v>
      </c>
      <c r="V18" s="139" t="str">
        <f t="shared" si="34"/>
        <v>-</v>
      </c>
      <c r="W18" s="125">
        <v>0</v>
      </c>
      <c r="X18" s="126">
        <v>0</v>
      </c>
      <c r="Y18" s="139" t="str">
        <f t="shared" si="35"/>
        <v>-</v>
      </c>
      <c r="Z18" s="125">
        <v>0</v>
      </c>
      <c r="AA18" s="126">
        <v>0</v>
      </c>
      <c r="AB18" s="139" t="str">
        <f t="shared" si="36"/>
        <v>-</v>
      </c>
      <c r="AC18" s="125">
        <v>0</v>
      </c>
      <c r="AD18" s="126">
        <v>0</v>
      </c>
      <c r="AE18" s="139" t="str">
        <f t="shared" si="37"/>
        <v>-</v>
      </c>
      <c r="AF18" s="125">
        <v>0</v>
      </c>
      <c r="AG18" s="126">
        <v>0</v>
      </c>
      <c r="AH18" s="139" t="str">
        <f t="shared" si="94"/>
        <v>-</v>
      </c>
      <c r="AI18" s="125">
        <v>0</v>
      </c>
      <c r="AJ18" s="126">
        <v>0</v>
      </c>
      <c r="AK18" s="139" t="str">
        <f t="shared" si="95"/>
        <v>-</v>
      </c>
      <c r="AL18" s="20">
        <v>0</v>
      </c>
      <c r="AM18" s="21">
        <v>0</v>
      </c>
      <c r="AN18" s="139" t="str">
        <f t="shared" si="96"/>
        <v>-</v>
      </c>
      <c r="AO18" s="20">
        <v>0</v>
      </c>
      <c r="AP18" s="21">
        <v>0</v>
      </c>
      <c r="AQ18" s="139" t="str">
        <f t="shared" si="64"/>
        <v>-</v>
      </c>
      <c r="AR18" s="20">
        <v>5</v>
      </c>
      <c r="AS18" s="21">
        <v>1</v>
      </c>
      <c r="AT18" s="139">
        <f t="shared" si="55"/>
        <v>5</v>
      </c>
      <c r="AU18" s="20">
        <v>0</v>
      </c>
      <c r="AV18" s="21">
        <v>0</v>
      </c>
      <c r="AW18" s="139" t="str">
        <f t="shared" si="39"/>
        <v>-</v>
      </c>
      <c r="AX18" s="20">
        <v>1</v>
      </c>
      <c r="AY18" s="21">
        <v>1</v>
      </c>
      <c r="AZ18" s="139">
        <f t="shared" si="40"/>
        <v>1</v>
      </c>
      <c r="BA18" s="20">
        <v>0</v>
      </c>
      <c r="BB18" s="21">
        <v>0</v>
      </c>
      <c r="BC18" s="139" t="str">
        <f t="shared" ref="BC18:BC20" si="113">IF(BB18=0,"-",BA18/BB18)</f>
        <v>-</v>
      </c>
      <c r="BD18" s="20">
        <v>0</v>
      </c>
      <c r="BE18" s="21">
        <v>0</v>
      </c>
      <c r="BF18" s="139" t="str">
        <f t="shared" ref="BF18:BF20" si="114">IF(BE18=0,"-",BD18/BE18)</f>
        <v>-</v>
      </c>
      <c r="BG18" s="20">
        <v>0</v>
      </c>
      <c r="BH18" s="21">
        <v>0</v>
      </c>
      <c r="BI18" s="139" t="str">
        <f t="shared" ref="BI18:BI20" si="115">IF(BH18=0,"-",BG18/BH18)</f>
        <v>-</v>
      </c>
      <c r="BJ18" s="318">
        <v>0</v>
      </c>
      <c r="BK18" s="303">
        <v>0</v>
      </c>
      <c r="BL18" s="139" t="str">
        <f t="shared" si="20"/>
        <v>-</v>
      </c>
      <c r="BM18" s="125">
        <v>0</v>
      </c>
      <c r="BN18" s="126">
        <v>0</v>
      </c>
      <c r="BO18" s="276" t="str">
        <f t="shared" si="103"/>
        <v>-</v>
      </c>
      <c r="BP18" s="20">
        <v>0</v>
      </c>
      <c r="BQ18" s="21">
        <v>0</v>
      </c>
      <c r="BR18" s="139" t="str">
        <f t="shared" si="104"/>
        <v>-</v>
      </c>
      <c r="BS18" s="20">
        <v>0</v>
      </c>
      <c r="BT18" s="21">
        <v>0</v>
      </c>
      <c r="BU18" s="139" t="str">
        <f t="shared" si="105"/>
        <v>-</v>
      </c>
      <c r="BV18" s="20">
        <v>0</v>
      </c>
      <c r="BW18" s="21">
        <v>0</v>
      </c>
      <c r="BX18" s="139" t="str">
        <f t="shared" si="24"/>
        <v>-</v>
      </c>
      <c r="BY18" s="20">
        <v>0</v>
      </c>
      <c r="BZ18" s="21">
        <v>0</v>
      </c>
      <c r="CA18" s="139" t="str">
        <f t="shared" si="59"/>
        <v>-</v>
      </c>
      <c r="CB18" s="20">
        <v>0</v>
      </c>
      <c r="CC18" s="21">
        <v>0</v>
      </c>
      <c r="CD18" s="139" t="str">
        <f t="shared" si="60"/>
        <v>-</v>
      </c>
      <c r="CE18" s="20">
        <v>0</v>
      </c>
      <c r="CF18" s="21">
        <v>0</v>
      </c>
      <c r="CG18" s="139" t="str">
        <f t="shared" si="46"/>
        <v>-</v>
      </c>
      <c r="CH18" s="20">
        <v>0</v>
      </c>
      <c r="CI18" s="21">
        <v>0</v>
      </c>
      <c r="CJ18" s="139" t="str">
        <f t="shared" si="112"/>
        <v>-</v>
      </c>
      <c r="CK18" s="20">
        <v>0</v>
      </c>
      <c r="CL18" s="21">
        <v>0</v>
      </c>
      <c r="CM18" s="139" t="str">
        <f t="shared" si="71"/>
        <v>-</v>
      </c>
      <c r="CN18" s="117">
        <f t="shared" si="30"/>
        <v>71</v>
      </c>
      <c r="CO18" s="120">
        <f t="shared" si="31"/>
        <v>10</v>
      </c>
      <c r="CP18" s="147">
        <f t="shared" si="32"/>
        <v>7.1</v>
      </c>
    </row>
    <row r="19" spans="1:94" ht="15" thickBot="1" x14ac:dyDescent="0.35">
      <c r="A19" s="294">
        <v>45641</v>
      </c>
      <c r="B19" s="20">
        <v>30</v>
      </c>
      <c r="C19" s="21">
        <v>3</v>
      </c>
      <c r="D19" s="139">
        <f t="shared" si="0"/>
        <v>10</v>
      </c>
      <c r="E19" s="20">
        <v>0</v>
      </c>
      <c r="F19" s="21">
        <v>0</v>
      </c>
      <c r="G19" s="139" t="str">
        <f t="shared" si="1"/>
        <v>-</v>
      </c>
      <c r="H19" s="20"/>
      <c r="I19" s="21"/>
      <c r="J19" s="139" t="str">
        <f t="shared" si="61"/>
        <v>-</v>
      </c>
      <c r="K19" s="20">
        <v>0</v>
      </c>
      <c r="L19" s="21">
        <v>0</v>
      </c>
      <c r="M19" s="139" t="str">
        <f t="shared" si="3"/>
        <v>-</v>
      </c>
      <c r="N19" s="125">
        <v>0</v>
      </c>
      <c r="O19" s="126">
        <v>0</v>
      </c>
      <c r="P19" s="139" t="str">
        <f t="shared" si="108"/>
        <v>-</v>
      </c>
      <c r="Q19" s="125">
        <v>0</v>
      </c>
      <c r="R19" s="126">
        <v>0</v>
      </c>
      <c r="S19" s="139" t="str">
        <f t="shared" si="33"/>
        <v>-</v>
      </c>
      <c r="T19" s="125">
        <v>0</v>
      </c>
      <c r="U19" s="126">
        <v>0</v>
      </c>
      <c r="V19" s="139" t="str">
        <f t="shared" si="34"/>
        <v>-</v>
      </c>
      <c r="W19" s="125">
        <v>0</v>
      </c>
      <c r="X19" s="126">
        <v>0</v>
      </c>
      <c r="Y19" s="139" t="str">
        <f t="shared" si="35"/>
        <v>-</v>
      </c>
      <c r="Z19" s="125">
        <v>0</v>
      </c>
      <c r="AA19" s="126">
        <v>0</v>
      </c>
      <c r="AB19" s="139" t="str">
        <f t="shared" si="36"/>
        <v>-</v>
      </c>
      <c r="AC19" s="125">
        <v>0</v>
      </c>
      <c r="AD19" s="126">
        <v>0</v>
      </c>
      <c r="AE19" s="139" t="str">
        <f t="shared" si="37"/>
        <v>-</v>
      </c>
      <c r="AF19" s="125">
        <v>0</v>
      </c>
      <c r="AG19" s="126">
        <v>0</v>
      </c>
      <c r="AH19" s="139" t="str">
        <f t="shared" si="94"/>
        <v>-</v>
      </c>
      <c r="AI19" s="125">
        <v>0</v>
      </c>
      <c r="AJ19" s="126">
        <v>0</v>
      </c>
      <c r="AK19" s="139" t="str">
        <f t="shared" si="95"/>
        <v>-</v>
      </c>
      <c r="AL19" s="20">
        <v>0</v>
      </c>
      <c r="AM19" s="21">
        <v>0</v>
      </c>
      <c r="AN19" s="139" t="str">
        <f t="shared" si="96"/>
        <v>-</v>
      </c>
      <c r="AO19" s="20">
        <v>0</v>
      </c>
      <c r="AP19" s="21">
        <v>0</v>
      </c>
      <c r="AQ19" s="139" t="str">
        <f t="shared" si="64"/>
        <v>-</v>
      </c>
      <c r="AR19" s="20">
        <v>0</v>
      </c>
      <c r="AS19" s="21">
        <v>0</v>
      </c>
      <c r="AT19" s="139" t="str">
        <f t="shared" si="55"/>
        <v>-</v>
      </c>
      <c r="AU19" s="20">
        <v>0</v>
      </c>
      <c r="AV19" s="21">
        <v>0</v>
      </c>
      <c r="AW19" s="139" t="str">
        <f t="shared" si="39"/>
        <v>-</v>
      </c>
      <c r="AX19" s="20">
        <v>0</v>
      </c>
      <c r="AY19" s="21">
        <v>0</v>
      </c>
      <c r="AZ19" s="139" t="str">
        <f t="shared" si="40"/>
        <v>-</v>
      </c>
      <c r="BA19" s="20">
        <v>0</v>
      </c>
      <c r="BB19" s="21">
        <v>0</v>
      </c>
      <c r="BC19" s="139" t="str">
        <f t="shared" si="113"/>
        <v>-</v>
      </c>
      <c r="BD19" s="20">
        <v>0</v>
      </c>
      <c r="BE19" s="21">
        <v>0</v>
      </c>
      <c r="BF19" s="139" t="str">
        <f t="shared" si="114"/>
        <v>-</v>
      </c>
      <c r="BG19" s="20">
        <v>0</v>
      </c>
      <c r="BH19" s="21">
        <v>0</v>
      </c>
      <c r="BI19" s="139" t="str">
        <f t="shared" si="115"/>
        <v>-</v>
      </c>
      <c r="BJ19" s="252">
        <v>7</v>
      </c>
      <c r="BK19" s="253">
        <v>1</v>
      </c>
      <c r="BL19" s="139">
        <f t="shared" si="20"/>
        <v>7</v>
      </c>
      <c r="BM19" s="125">
        <v>7</v>
      </c>
      <c r="BN19" s="126">
        <v>1</v>
      </c>
      <c r="BO19" s="276">
        <f t="shared" si="21"/>
        <v>7</v>
      </c>
      <c r="BP19" s="20">
        <v>21</v>
      </c>
      <c r="BQ19" s="21">
        <v>3</v>
      </c>
      <c r="BR19" s="139">
        <f t="shared" si="22"/>
        <v>7</v>
      </c>
      <c r="BS19" s="20">
        <v>0</v>
      </c>
      <c r="BT19" s="21">
        <v>0</v>
      </c>
      <c r="BU19" s="139" t="str">
        <f t="shared" si="105"/>
        <v>-</v>
      </c>
      <c r="BV19" s="20">
        <v>0</v>
      </c>
      <c r="BW19" s="21">
        <v>0</v>
      </c>
      <c r="BX19" s="139" t="str">
        <f t="shared" si="24"/>
        <v>-</v>
      </c>
      <c r="BY19" s="20">
        <v>0</v>
      </c>
      <c r="BZ19" s="21">
        <v>0</v>
      </c>
      <c r="CA19" s="139" t="str">
        <f t="shared" si="59"/>
        <v>-</v>
      </c>
      <c r="CB19" s="20">
        <v>0</v>
      </c>
      <c r="CC19" s="21">
        <v>0</v>
      </c>
      <c r="CD19" s="139" t="str">
        <f t="shared" si="60"/>
        <v>-</v>
      </c>
      <c r="CE19" s="20">
        <v>0</v>
      </c>
      <c r="CF19" s="21">
        <v>0</v>
      </c>
      <c r="CG19" s="139" t="str">
        <f t="shared" si="46"/>
        <v>-</v>
      </c>
      <c r="CH19" s="20">
        <v>0</v>
      </c>
      <c r="CI19" s="21">
        <v>0</v>
      </c>
      <c r="CJ19" s="139" t="str">
        <f t="shared" si="112"/>
        <v>-</v>
      </c>
      <c r="CK19" s="20">
        <v>0</v>
      </c>
      <c r="CL19" s="21">
        <v>0</v>
      </c>
      <c r="CM19" s="139" t="str">
        <f t="shared" si="71"/>
        <v>-</v>
      </c>
      <c r="CN19" s="117">
        <f t="shared" si="30"/>
        <v>65</v>
      </c>
      <c r="CO19" s="120">
        <f t="shared" si="31"/>
        <v>8</v>
      </c>
      <c r="CP19" s="147">
        <f t="shared" si="32"/>
        <v>8.125</v>
      </c>
    </row>
    <row r="20" spans="1:94" ht="15" thickBot="1" x14ac:dyDescent="0.35">
      <c r="A20" s="294">
        <v>45642</v>
      </c>
      <c r="B20" s="20">
        <v>20</v>
      </c>
      <c r="C20" s="21">
        <v>2</v>
      </c>
      <c r="D20" s="139">
        <f t="shared" si="0"/>
        <v>10</v>
      </c>
      <c r="E20" s="20">
        <v>0</v>
      </c>
      <c r="F20" s="21">
        <v>0</v>
      </c>
      <c r="G20" s="139" t="str">
        <f t="shared" si="1"/>
        <v>-</v>
      </c>
      <c r="H20" s="20"/>
      <c r="I20" s="21"/>
      <c r="J20" s="139" t="str">
        <f t="shared" si="61"/>
        <v>-</v>
      </c>
      <c r="K20" s="20">
        <v>9</v>
      </c>
      <c r="L20" s="21">
        <v>1</v>
      </c>
      <c r="M20" s="139">
        <f t="shared" si="3"/>
        <v>9</v>
      </c>
      <c r="N20" s="125">
        <v>0</v>
      </c>
      <c r="O20" s="126">
        <v>0</v>
      </c>
      <c r="P20" s="139" t="str">
        <f t="shared" si="4"/>
        <v>-</v>
      </c>
      <c r="Q20" s="125">
        <v>0</v>
      </c>
      <c r="R20" s="126">
        <v>0</v>
      </c>
      <c r="S20" s="139" t="str">
        <f t="shared" si="33"/>
        <v>-</v>
      </c>
      <c r="T20" s="125">
        <v>0</v>
      </c>
      <c r="U20" s="126">
        <v>0</v>
      </c>
      <c r="V20" s="139" t="str">
        <f t="shared" si="34"/>
        <v>-</v>
      </c>
      <c r="W20" s="125">
        <v>0</v>
      </c>
      <c r="X20" s="126">
        <v>0</v>
      </c>
      <c r="Y20" s="139" t="str">
        <f t="shared" si="35"/>
        <v>-</v>
      </c>
      <c r="Z20" s="125">
        <v>0</v>
      </c>
      <c r="AA20" s="126">
        <v>0</v>
      </c>
      <c r="AB20" s="139" t="str">
        <f t="shared" si="36"/>
        <v>-</v>
      </c>
      <c r="AC20" s="125">
        <v>0</v>
      </c>
      <c r="AD20" s="126">
        <v>0</v>
      </c>
      <c r="AE20" s="139" t="str">
        <f t="shared" si="37"/>
        <v>-</v>
      </c>
      <c r="AF20" s="125">
        <v>0</v>
      </c>
      <c r="AG20" s="126">
        <v>0</v>
      </c>
      <c r="AH20" s="139" t="str">
        <f t="shared" si="94"/>
        <v>-</v>
      </c>
      <c r="AI20" s="125">
        <v>0</v>
      </c>
      <c r="AJ20" s="126">
        <v>0</v>
      </c>
      <c r="AK20" s="139" t="str">
        <f t="shared" si="95"/>
        <v>-</v>
      </c>
      <c r="AL20" s="20">
        <v>0</v>
      </c>
      <c r="AM20" s="21">
        <v>0</v>
      </c>
      <c r="AN20" s="139" t="str">
        <f t="shared" si="96"/>
        <v>-</v>
      </c>
      <c r="AO20" s="20">
        <v>0</v>
      </c>
      <c r="AP20" s="21">
        <v>0</v>
      </c>
      <c r="AQ20" s="139" t="str">
        <f t="shared" si="64"/>
        <v>-</v>
      </c>
      <c r="AR20" s="20">
        <v>0</v>
      </c>
      <c r="AS20" s="21">
        <v>0</v>
      </c>
      <c r="AT20" s="139" t="str">
        <f t="shared" si="55"/>
        <v>-</v>
      </c>
      <c r="AU20" s="20">
        <v>0</v>
      </c>
      <c r="AV20" s="21">
        <v>0</v>
      </c>
      <c r="AW20" s="139" t="str">
        <f t="shared" si="39"/>
        <v>-</v>
      </c>
      <c r="AX20" s="20">
        <v>0</v>
      </c>
      <c r="AY20" s="21">
        <v>0</v>
      </c>
      <c r="AZ20" s="139" t="str">
        <f t="shared" si="40"/>
        <v>-</v>
      </c>
      <c r="BA20" s="20">
        <v>0</v>
      </c>
      <c r="BB20" s="21">
        <v>0</v>
      </c>
      <c r="BC20" s="139" t="str">
        <f t="shared" si="113"/>
        <v>-</v>
      </c>
      <c r="BD20" s="20">
        <v>0</v>
      </c>
      <c r="BE20" s="21">
        <v>0</v>
      </c>
      <c r="BF20" s="139" t="str">
        <f t="shared" si="114"/>
        <v>-</v>
      </c>
      <c r="BG20" s="20">
        <v>0</v>
      </c>
      <c r="BH20" s="21">
        <v>0</v>
      </c>
      <c r="BI20" s="139" t="str">
        <f t="shared" si="115"/>
        <v>-</v>
      </c>
      <c r="BJ20" s="252">
        <v>25</v>
      </c>
      <c r="BK20" s="253">
        <v>5</v>
      </c>
      <c r="BL20" s="139">
        <f t="shared" si="20"/>
        <v>5</v>
      </c>
      <c r="BM20" s="125">
        <v>6</v>
      </c>
      <c r="BN20" s="126">
        <v>1</v>
      </c>
      <c r="BO20" s="276">
        <f t="shared" si="21"/>
        <v>6</v>
      </c>
      <c r="BP20" s="20">
        <v>35</v>
      </c>
      <c r="BQ20" s="21">
        <v>5</v>
      </c>
      <c r="BR20" s="139">
        <f t="shared" si="22"/>
        <v>7</v>
      </c>
      <c r="BS20" s="20">
        <v>0</v>
      </c>
      <c r="BT20" s="21">
        <v>0</v>
      </c>
      <c r="BU20" s="139" t="str">
        <f t="shared" si="105"/>
        <v>-</v>
      </c>
      <c r="BV20" s="20">
        <v>5</v>
      </c>
      <c r="BW20" s="21">
        <v>1</v>
      </c>
      <c r="BX20" s="139">
        <f t="shared" si="24"/>
        <v>5</v>
      </c>
      <c r="BY20" s="20">
        <v>0</v>
      </c>
      <c r="BZ20" s="21">
        <v>0</v>
      </c>
      <c r="CA20" s="139" t="str">
        <f t="shared" si="59"/>
        <v>-</v>
      </c>
      <c r="CB20" s="20">
        <v>0</v>
      </c>
      <c r="CC20" s="21">
        <v>0</v>
      </c>
      <c r="CD20" s="139" t="str">
        <f t="shared" si="60"/>
        <v>-</v>
      </c>
      <c r="CE20" s="20">
        <v>0</v>
      </c>
      <c r="CF20" s="21">
        <v>0</v>
      </c>
      <c r="CG20" s="139" t="str">
        <f t="shared" si="46"/>
        <v>-</v>
      </c>
      <c r="CH20" s="20">
        <v>0</v>
      </c>
      <c r="CI20" s="21">
        <v>0</v>
      </c>
      <c r="CJ20" s="139" t="str">
        <f t="shared" si="112"/>
        <v>-</v>
      </c>
      <c r="CK20" s="20">
        <v>0</v>
      </c>
      <c r="CL20" s="21">
        <v>0</v>
      </c>
      <c r="CM20" s="139" t="str">
        <f t="shared" si="71"/>
        <v>-</v>
      </c>
      <c r="CN20" s="117">
        <f t="shared" si="30"/>
        <v>100</v>
      </c>
      <c r="CO20" s="120">
        <f t="shared" si="31"/>
        <v>14</v>
      </c>
      <c r="CP20" s="147">
        <f t="shared" si="32"/>
        <v>7.1428571428571432</v>
      </c>
    </row>
    <row r="21" spans="1:94" ht="15" thickBot="1" x14ac:dyDescent="0.35">
      <c r="A21" s="294">
        <v>45643</v>
      </c>
      <c r="B21" s="20">
        <v>26</v>
      </c>
      <c r="C21" s="21">
        <v>3</v>
      </c>
      <c r="D21" s="139">
        <f t="shared" si="0"/>
        <v>8.6666666666666661</v>
      </c>
      <c r="E21" s="20">
        <v>0</v>
      </c>
      <c r="F21" s="21">
        <v>0</v>
      </c>
      <c r="G21" s="139" t="str">
        <f t="shared" si="1"/>
        <v>-</v>
      </c>
      <c r="H21" s="20"/>
      <c r="I21" s="21"/>
      <c r="J21" s="139" t="str">
        <f t="shared" si="61"/>
        <v>-</v>
      </c>
      <c r="K21" s="20">
        <v>8</v>
      </c>
      <c r="L21" s="21">
        <v>1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20">
        <v>111</v>
      </c>
      <c r="R21" s="21">
        <v>31</v>
      </c>
      <c r="S21" s="139">
        <f t="shared" si="33"/>
        <v>3.5806451612903225</v>
      </c>
      <c r="T21" s="125">
        <v>0</v>
      </c>
      <c r="U21" s="126">
        <v>0</v>
      </c>
      <c r="V21" s="139" t="str">
        <f t="shared" ref="V21" si="116">IF(U21=0,"-",T21/U21)</f>
        <v>-</v>
      </c>
      <c r="W21" s="125">
        <v>0</v>
      </c>
      <c r="X21" s="126">
        <v>0</v>
      </c>
      <c r="Y21" s="139" t="str">
        <f t="shared" ref="Y21" si="117">IF(X21=0,"-",W21/X21)</f>
        <v>-</v>
      </c>
      <c r="Z21" s="125">
        <v>0</v>
      </c>
      <c r="AA21" s="126">
        <v>0</v>
      </c>
      <c r="AB21" s="139" t="str">
        <f t="shared" ref="AB21" si="118">IF(AA21=0,"-",Z21/AA21)</f>
        <v>-</v>
      </c>
      <c r="AC21" s="125">
        <v>0</v>
      </c>
      <c r="AD21" s="126">
        <v>0</v>
      </c>
      <c r="AE21" s="139" t="str">
        <f t="shared" ref="AE21" si="119">IF(AD21=0,"-",AC21/AD21)</f>
        <v>-</v>
      </c>
      <c r="AF21" s="20">
        <v>17</v>
      </c>
      <c r="AG21" s="21">
        <v>3</v>
      </c>
      <c r="AH21" s="139">
        <f t="shared" si="73"/>
        <v>5.666666666666667</v>
      </c>
      <c r="AI21" s="125">
        <v>0</v>
      </c>
      <c r="AJ21" s="126">
        <v>0</v>
      </c>
      <c r="AK21" s="139" t="str">
        <f t="shared" ref="AK21" si="120">IF(AJ21=0,"-",AI21/AJ21)</f>
        <v>-</v>
      </c>
      <c r="AL21" s="20">
        <v>0</v>
      </c>
      <c r="AM21" s="21">
        <v>0</v>
      </c>
      <c r="AN21" s="139" t="str">
        <f t="shared" si="63"/>
        <v>-</v>
      </c>
      <c r="AO21" s="20">
        <v>0</v>
      </c>
      <c r="AP21" s="21">
        <v>0</v>
      </c>
      <c r="AQ21" s="139" t="str">
        <f t="shared" si="64"/>
        <v>-</v>
      </c>
      <c r="AR21" s="23">
        <v>2</v>
      </c>
      <c r="AS21" s="21">
        <v>1</v>
      </c>
      <c r="AT21" s="139">
        <f t="shared" si="55"/>
        <v>2</v>
      </c>
      <c r="AU21" s="20">
        <v>0</v>
      </c>
      <c r="AV21" s="21">
        <v>0</v>
      </c>
      <c r="AW21" s="139" t="str">
        <f t="shared" si="39"/>
        <v>-</v>
      </c>
      <c r="AX21" s="20">
        <v>3</v>
      </c>
      <c r="AY21" s="21">
        <v>1</v>
      </c>
      <c r="AZ21" s="139">
        <f t="shared" si="40"/>
        <v>3</v>
      </c>
      <c r="BA21" s="20">
        <v>0</v>
      </c>
      <c r="BB21" s="21">
        <v>0</v>
      </c>
      <c r="BC21" s="139" t="str">
        <f t="shared" ref="BC21" si="121">IF(BB21=0,"-",BA21/BB21)</f>
        <v>-</v>
      </c>
      <c r="BD21" s="20">
        <v>0</v>
      </c>
      <c r="BE21" s="21">
        <v>0</v>
      </c>
      <c r="BF21" s="139" t="str">
        <f t="shared" ref="BF21" si="122">IF(BE21=0,"-",BD21/BE21)</f>
        <v>-</v>
      </c>
      <c r="BG21" s="20">
        <v>0</v>
      </c>
      <c r="BH21" s="21">
        <v>0</v>
      </c>
      <c r="BI21" s="139" t="str">
        <f t="shared" ref="BI21" si="123">IF(BH21=0,"-",BG21/BH21)</f>
        <v>-</v>
      </c>
      <c r="BJ21" s="252">
        <v>31</v>
      </c>
      <c r="BK21" s="253">
        <v>5</v>
      </c>
      <c r="BL21" s="139">
        <f t="shared" si="20"/>
        <v>6.2</v>
      </c>
      <c r="BM21" s="125">
        <v>0</v>
      </c>
      <c r="BN21" s="126">
        <v>0</v>
      </c>
      <c r="BO21" s="276" t="str">
        <f t="shared" si="21"/>
        <v>-</v>
      </c>
      <c r="BP21" s="20">
        <v>0</v>
      </c>
      <c r="BQ21" s="21">
        <v>0</v>
      </c>
      <c r="BR21" s="139" t="str">
        <f t="shared" si="22"/>
        <v>-</v>
      </c>
      <c r="BS21" s="257">
        <v>6</v>
      </c>
      <c r="BT21" s="253">
        <v>1</v>
      </c>
      <c r="BU21" s="139">
        <f t="shared" si="23"/>
        <v>6</v>
      </c>
      <c r="BV21" s="20">
        <v>1</v>
      </c>
      <c r="BW21" s="21">
        <v>1</v>
      </c>
      <c r="BX21" s="139">
        <f t="shared" si="24"/>
        <v>1</v>
      </c>
      <c r="BY21" s="20">
        <v>0</v>
      </c>
      <c r="BZ21" s="21">
        <v>0</v>
      </c>
      <c r="CA21" s="139" t="str">
        <f t="shared" si="59"/>
        <v>-</v>
      </c>
      <c r="CB21" s="20">
        <v>0</v>
      </c>
      <c r="CC21" s="21">
        <v>0</v>
      </c>
      <c r="CD21" s="139" t="str">
        <f t="shared" si="60"/>
        <v>-</v>
      </c>
      <c r="CE21" s="20">
        <v>0</v>
      </c>
      <c r="CF21" s="21">
        <v>0</v>
      </c>
      <c r="CG21" s="139" t="str">
        <f t="shared" ref="CG21:CG23" si="124">IF(CF21=0,"-",CE21/CF21)</f>
        <v>-</v>
      </c>
      <c r="CH21" s="20">
        <v>0</v>
      </c>
      <c r="CI21" s="21">
        <v>0</v>
      </c>
      <c r="CJ21" s="139" t="str">
        <f t="shared" ref="CJ21:CJ23" si="125">IF(CI21=0,"-",CH21/CI21)</f>
        <v>-</v>
      </c>
      <c r="CK21" s="20">
        <v>0</v>
      </c>
      <c r="CL21" s="21">
        <v>0</v>
      </c>
      <c r="CM21" s="139" t="str">
        <f t="shared" ref="CM21:CM23" si="126">IF(CL21=0,"-",CK21/CL21)</f>
        <v>-</v>
      </c>
      <c r="CN21" s="117">
        <f t="shared" si="30"/>
        <v>205</v>
      </c>
      <c r="CO21" s="120">
        <f t="shared" si="31"/>
        <v>46</v>
      </c>
      <c r="CP21" s="147">
        <f t="shared" si="32"/>
        <v>4.4565217391304346</v>
      </c>
    </row>
    <row r="22" spans="1:94" ht="15" thickBot="1" x14ac:dyDescent="0.35">
      <c r="A22" s="294">
        <v>45644</v>
      </c>
      <c r="B22" s="20">
        <v>70</v>
      </c>
      <c r="C22" s="21">
        <v>8</v>
      </c>
      <c r="D22" s="139">
        <f t="shared" si="0"/>
        <v>8.75</v>
      </c>
      <c r="E22" s="20">
        <v>0</v>
      </c>
      <c r="F22" s="21">
        <v>0</v>
      </c>
      <c r="G22" s="139" t="str">
        <f t="shared" si="1"/>
        <v>-</v>
      </c>
      <c r="H22" s="20"/>
      <c r="I22" s="21"/>
      <c r="J22" s="139" t="str">
        <f t="shared" si="61"/>
        <v>-</v>
      </c>
      <c r="K22" s="20">
        <v>0</v>
      </c>
      <c r="L22" s="21">
        <v>0</v>
      </c>
      <c r="M22" s="139" t="str">
        <f t="shared" si="3"/>
        <v>-</v>
      </c>
      <c r="N22" s="125">
        <v>0</v>
      </c>
      <c r="O22" s="126">
        <v>0</v>
      </c>
      <c r="P22" s="139" t="str">
        <f t="shared" si="4"/>
        <v>-</v>
      </c>
      <c r="Q22" s="20">
        <v>36</v>
      </c>
      <c r="R22" s="21">
        <v>7</v>
      </c>
      <c r="S22" s="139">
        <f t="shared" si="33"/>
        <v>5.1428571428571432</v>
      </c>
      <c r="T22" s="20">
        <v>0</v>
      </c>
      <c r="U22" s="21">
        <v>0</v>
      </c>
      <c r="V22" s="139" t="str">
        <f t="shared" si="34"/>
        <v>-</v>
      </c>
      <c r="W22" s="20"/>
      <c r="X22" s="21"/>
      <c r="Y22" s="139" t="str">
        <f t="shared" ref="Y22:Y34" si="127">IF(X22=0,"-",W22/X22)</f>
        <v>-</v>
      </c>
      <c r="Z22" s="20">
        <v>97</v>
      </c>
      <c r="AA22" s="21">
        <v>20</v>
      </c>
      <c r="AB22" s="139">
        <f t="shared" si="36"/>
        <v>4.8499999999999996</v>
      </c>
      <c r="AC22" s="20">
        <v>0</v>
      </c>
      <c r="AD22" s="21">
        <v>0</v>
      </c>
      <c r="AE22" s="139" t="str">
        <f t="shared" si="37"/>
        <v>-</v>
      </c>
      <c r="AF22" s="20">
        <v>17</v>
      </c>
      <c r="AG22" s="21">
        <v>3</v>
      </c>
      <c r="AH22" s="139">
        <f t="shared" si="73"/>
        <v>5.666666666666667</v>
      </c>
      <c r="AI22" s="20">
        <v>0</v>
      </c>
      <c r="AJ22" s="21">
        <v>0</v>
      </c>
      <c r="AK22" s="139" t="str">
        <f t="shared" si="62"/>
        <v>-</v>
      </c>
      <c r="AL22" s="20">
        <v>0</v>
      </c>
      <c r="AM22" s="21">
        <v>0</v>
      </c>
      <c r="AN22" s="139" t="str">
        <f t="shared" si="63"/>
        <v>-</v>
      </c>
      <c r="AO22" s="20">
        <v>0</v>
      </c>
      <c r="AP22" s="21">
        <v>0</v>
      </c>
      <c r="AQ22" s="139" t="str">
        <f t="shared" si="64"/>
        <v>-</v>
      </c>
      <c r="AR22" s="21">
        <v>0</v>
      </c>
      <c r="AS22" s="148">
        <v>0</v>
      </c>
      <c r="AT22" s="139" t="str">
        <f t="shared" si="55"/>
        <v>-</v>
      </c>
      <c r="AU22" s="21">
        <v>0</v>
      </c>
      <c r="AV22" s="148">
        <v>0</v>
      </c>
      <c r="AW22" s="139" t="str">
        <f>IF(AU22=0,"-",#REF!/AU22)</f>
        <v>-</v>
      </c>
      <c r="AX22" s="21">
        <v>0</v>
      </c>
      <c r="AY22" s="148">
        <v>0</v>
      </c>
      <c r="AZ22" s="139" t="str">
        <f t="shared" si="40"/>
        <v>-</v>
      </c>
      <c r="BA22" s="21">
        <v>0</v>
      </c>
      <c r="BB22" s="148">
        <v>0</v>
      </c>
      <c r="BC22" s="139" t="str">
        <f>IF(BA22=0,"-",#REF!/BA22)</f>
        <v>-</v>
      </c>
      <c r="BD22" s="21">
        <v>0</v>
      </c>
      <c r="BE22" s="148">
        <v>0</v>
      </c>
      <c r="BF22" s="139" t="str">
        <f>IF(BD22=0,"-",#REF!/BD22)</f>
        <v>-</v>
      </c>
      <c r="BG22" s="21">
        <v>0</v>
      </c>
      <c r="BH22" s="148">
        <v>0</v>
      </c>
      <c r="BI22" s="139" t="str">
        <f t="shared" si="67"/>
        <v>-</v>
      </c>
      <c r="BJ22" s="252">
        <v>7</v>
      </c>
      <c r="BK22" s="253">
        <v>1</v>
      </c>
      <c r="BL22" s="139">
        <f t="shared" si="20"/>
        <v>7</v>
      </c>
      <c r="BM22" s="125">
        <v>7</v>
      </c>
      <c r="BN22" s="126">
        <v>1</v>
      </c>
      <c r="BO22" s="276">
        <f t="shared" si="21"/>
        <v>7</v>
      </c>
      <c r="BP22" s="20">
        <v>8</v>
      </c>
      <c r="BQ22" s="21">
        <v>1</v>
      </c>
      <c r="BR22" s="139">
        <f t="shared" si="22"/>
        <v>8</v>
      </c>
      <c r="BS22" s="257">
        <v>6</v>
      </c>
      <c r="BT22" s="253">
        <v>1</v>
      </c>
      <c r="BU22" s="139">
        <f t="shared" si="23"/>
        <v>6</v>
      </c>
      <c r="BV22" s="20">
        <v>3</v>
      </c>
      <c r="BW22" s="21">
        <v>1</v>
      </c>
      <c r="BX22" s="139">
        <f t="shared" si="24"/>
        <v>3</v>
      </c>
      <c r="BY22" s="20">
        <v>0</v>
      </c>
      <c r="BZ22" s="21">
        <v>0</v>
      </c>
      <c r="CA22" s="139" t="str">
        <f t="shared" si="59"/>
        <v>-</v>
      </c>
      <c r="CB22" s="20">
        <v>3</v>
      </c>
      <c r="CC22" s="21">
        <v>1</v>
      </c>
      <c r="CD22" s="139">
        <f t="shared" si="60"/>
        <v>3</v>
      </c>
      <c r="CE22" s="20">
        <v>0</v>
      </c>
      <c r="CF22" s="21">
        <v>0</v>
      </c>
      <c r="CG22" s="139" t="str">
        <f t="shared" si="124"/>
        <v>-</v>
      </c>
      <c r="CH22" s="20">
        <v>0</v>
      </c>
      <c r="CI22" s="21">
        <v>0</v>
      </c>
      <c r="CJ22" s="139" t="str">
        <f t="shared" si="125"/>
        <v>-</v>
      </c>
      <c r="CK22" s="20">
        <v>0</v>
      </c>
      <c r="CL22" s="21">
        <v>0</v>
      </c>
      <c r="CM22" s="139" t="str">
        <f t="shared" si="126"/>
        <v>-</v>
      </c>
      <c r="CN22" s="117">
        <f t="shared" si="30"/>
        <v>254</v>
      </c>
      <c r="CO22" s="120">
        <f t="shared" si="31"/>
        <v>43</v>
      </c>
      <c r="CP22" s="147">
        <f t="shared" si="32"/>
        <v>5.9069767441860463</v>
      </c>
    </row>
    <row r="23" spans="1:94" ht="15" thickBot="1" x14ac:dyDescent="0.35">
      <c r="A23" s="294">
        <v>45645</v>
      </c>
      <c r="B23" s="20">
        <v>36</v>
      </c>
      <c r="C23" s="21">
        <v>4</v>
      </c>
      <c r="D23" s="139">
        <f t="shared" si="0"/>
        <v>9</v>
      </c>
      <c r="E23" s="20">
        <v>6</v>
      </c>
      <c r="F23" s="21">
        <v>1</v>
      </c>
      <c r="G23" s="139">
        <f t="shared" si="1"/>
        <v>6</v>
      </c>
      <c r="H23" s="20"/>
      <c r="I23" s="21"/>
      <c r="J23" s="139" t="str">
        <f t="shared" si="61"/>
        <v>-</v>
      </c>
      <c r="K23" s="20">
        <v>0</v>
      </c>
      <c r="L23" s="21">
        <v>0</v>
      </c>
      <c r="M23" s="139" t="str">
        <f t="shared" ref="M23" si="128">IF(L23=0,"-",K23/L23)</f>
        <v>-</v>
      </c>
      <c r="N23" s="125">
        <v>0</v>
      </c>
      <c r="O23" s="126">
        <v>0</v>
      </c>
      <c r="P23" s="139" t="str">
        <f t="shared" ref="P23" si="129">IF(O23=0,"-",N23/O23)</f>
        <v>-</v>
      </c>
      <c r="Q23" s="20">
        <v>41</v>
      </c>
      <c r="R23" s="21">
        <v>7</v>
      </c>
      <c r="S23" s="139">
        <f t="shared" si="33"/>
        <v>5.8571428571428568</v>
      </c>
      <c r="T23" s="20">
        <v>0</v>
      </c>
      <c r="U23" s="21">
        <v>0</v>
      </c>
      <c r="V23" s="139" t="str">
        <f t="shared" si="34"/>
        <v>-</v>
      </c>
      <c r="W23" s="20"/>
      <c r="X23" s="21"/>
      <c r="Y23" s="139" t="str">
        <f t="shared" si="127"/>
        <v>-</v>
      </c>
      <c r="Z23" s="20">
        <v>22</v>
      </c>
      <c r="AA23" s="21">
        <v>5</v>
      </c>
      <c r="AB23" s="139">
        <f t="shared" si="36"/>
        <v>4.4000000000000004</v>
      </c>
      <c r="AC23" s="20">
        <v>0</v>
      </c>
      <c r="AD23" s="21">
        <v>0</v>
      </c>
      <c r="AE23" s="139" t="str">
        <f t="shared" si="37"/>
        <v>-</v>
      </c>
      <c r="AF23" s="20">
        <v>12</v>
      </c>
      <c r="AG23" s="21">
        <v>2</v>
      </c>
      <c r="AH23" s="139">
        <f t="shared" si="73"/>
        <v>6</v>
      </c>
      <c r="AI23" s="20">
        <v>12</v>
      </c>
      <c r="AJ23" s="21">
        <v>2</v>
      </c>
      <c r="AK23" s="139">
        <f t="shared" si="62"/>
        <v>6</v>
      </c>
      <c r="AL23" s="20">
        <v>6</v>
      </c>
      <c r="AM23" s="21">
        <v>1</v>
      </c>
      <c r="AN23" s="139">
        <f t="shared" si="63"/>
        <v>6</v>
      </c>
      <c r="AO23" s="20">
        <v>0</v>
      </c>
      <c r="AP23" s="21">
        <v>0</v>
      </c>
      <c r="AQ23" s="139" t="str">
        <f t="shared" si="64"/>
        <v>-</v>
      </c>
      <c r="AR23" s="21">
        <v>0</v>
      </c>
      <c r="AS23" s="148">
        <v>0</v>
      </c>
      <c r="AT23" s="139" t="str">
        <f t="shared" si="55"/>
        <v>-</v>
      </c>
      <c r="AU23" s="21">
        <v>0</v>
      </c>
      <c r="AV23" s="148">
        <v>0</v>
      </c>
      <c r="AW23" s="139" t="str">
        <f>IF(AU23=0,"-",#REF!/AU23)</f>
        <v>-</v>
      </c>
      <c r="AX23" s="21">
        <v>2</v>
      </c>
      <c r="AY23" s="148">
        <v>1</v>
      </c>
      <c r="AZ23" s="139">
        <f t="shared" si="40"/>
        <v>2</v>
      </c>
      <c r="BA23" s="21">
        <v>0</v>
      </c>
      <c r="BB23" s="148">
        <v>0</v>
      </c>
      <c r="BC23" s="139" t="str">
        <f>IF(BA23=0,"-",#REF!/BA23)</f>
        <v>-</v>
      </c>
      <c r="BD23" s="21">
        <v>0</v>
      </c>
      <c r="BE23" s="148">
        <v>0</v>
      </c>
      <c r="BF23" s="139" t="str">
        <f>IF(BD23=0,"-",#REF!/BD23)</f>
        <v>-</v>
      </c>
      <c r="BG23" s="21">
        <v>0</v>
      </c>
      <c r="BH23" s="148">
        <v>0</v>
      </c>
      <c r="BI23" s="139" t="str">
        <f t="shared" si="67"/>
        <v>-</v>
      </c>
      <c r="BJ23" s="252">
        <v>10</v>
      </c>
      <c r="BK23" s="253">
        <v>2</v>
      </c>
      <c r="BL23" s="139">
        <f t="shared" si="20"/>
        <v>5</v>
      </c>
      <c r="BM23" s="252">
        <v>0</v>
      </c>
      <c r="BN23" s="253">
        <v>0</v>
      </c>
      <c r="BO23" s="139" t="str">
        <f t="shared" si="21"/>
        <v>-</v>
      </c>
      <c r="BP23" s="252">
        <v>0</v>
      </c>
      <c r="BQ23" s="253">
        <v>0</v>
      </c>
      <c r="BR23" s="139" t="str">
        <f t="shared" si="22"/>
        <v>-</v>
      </c>
      <c r="BS23" s="252">
        <v>0</v>
      </c>
      <c r="BT23" s="253">
        <v>0</v>
      </c>
      <c r="BU23" s="139" t="str">
        <f t="shared" si="23"/>
        <v>-</v>
      </c>
      <c r="BV23" s="252">
        <v>2</v>
      </c>
      <c r="BW23" s="253">
        <v>1</v>
      </c>
      <c r="BX23" s="139">
        <f t="shared" si="24"/>
        <v>2</v>
      </c>
      <c r="BY23" s="252">
        <v>0</v>
      </c>
      <c r="BZ23" s="253">
        <v>0</v>
      </c>
      <c r="CA23" s="139" t="str">
        <f t="shared" si="59"/>
        <v>-</v>
      </c>
      <c r="CB23" s="252">
        <v>0</v>
      </c>
      <c r="CC23" s="253">
        <v>0</v>
      </c>
      <c r="CD23" s="139" t="str">
        <f t="shared" si="60"/>
        <v>-</v>
      </c>
      <c r="CE23" s="20">
        <v>0</v>
      </c>
      <c r="CF23" s="21">
        <v>0</v>
      </c>
      <c r="CG23" s="139" t="str">
        <f t="shared" si="124"/>
        <v>-</v>
      </c>
      <c r="CH23" s="20">
        <v>0</v>
      </c>
      <c r="CI23" s="21">
        <v>0</v>
      </c>
      <c r="CJ23" s="139" t="str">
        <f t="shared" si="125"/>
        <v>-</v>
      </c>
      <c r="CK23" s="20">
        <v>0</v>
      </c>
      <c r="CL23" s="21">
        <v>0</v>
      </c>
      <c r="CM23" s="139" t="str">
        <f t="shared" si="126"/>
        <v>-</v>
      </c>
      <c r="CN23" s="117">
        <f t="shared" si="30"/>
        <v>149</v>
      </c>
      <c r="CO23" s="120">
        <f t="shared" si="31"/>
        <v>24</v>
      </c>
      <c r="CP23" s="147">
        <f t="shared" si="32"/>
        <v>6.208333333333333</v>
      </c>
    </row>
    <row r="24" spans="1:94" ht="15" thickBot="1" x14ac:dyDescent="0.35">
      <c r="A24" s="294">
        <v>45646</v>
      </c>
      <c r="B24" s="20">
        <v>27</v>
      </c>
      <c r="C24" s="21">
        <v>3</v>
      </c>
      <c r="D24" s="139">
        <f t="shared" si="0"/>
        <v>9</v>
      </c>
      <c r="E24" s="20">
        <v>0</v>
      </c>
      <c r="F24" s="21">
        <v>0</v>
      </c>
      <c r="G24" s="139" t="str">
        <f t="shared" si="1"/>
        <v>-</v>
      </c>
      <c r="H24" s="20"/>
      <c r="I24" s="21"/>
      <c r="J24" s="139" t="str">
        <f t="shared" si="61"/>
        <v>-</v>
      </c>
      <c r="K24" s="20">
        <v>0</v>
      </c>
      <c r="L24" s="21">
        <v>0</v>
      </c>
      <c r="M24" s="139" t="str">
        <f t="shared" si="3"/>
        <v>-</v>
      </c>
      <c r="N24" s="125">
        <v>0</v>
      </c>
      <c r="O24" s="126">
        <v>0</v>
      </c>
      <c r="P24" s="139" t="str">
        <f t="shared" si="4"/>
        <v>-</v>
      </c>
      <c r="Q24" s="125">
        <v>0</v>
      </c>
      <c r="R24" s="126">
        <v>0</v>
      </c>
      <c r="S24" s="139" t="str">
        <f t="shared" si="33"/>
        <v>-</v>
      </c>
      <c r="T24" s="125">
        <v>0</v>
      </c>
      <c r="U24" s="126">
        <v>0</v>
      </c>
      <c r="V24" s="139" t="str">
        <f t="shared" si="34"/>
        <v>-</v>
      </c>
      <c r="W24" s="125">
        <v>0</v>
      </c>
      <c r="X24" s="126">
        <v>0</v>
      </c>
      <c r="Y24" s="139" t="str">
        <f t="shared" si="127"/>
        <v>-</v>
      </c>
      <c r="Z24" s="125">
        <v>0</v>
      </c>
      <c r="AA24" s="126">
        <v>0</v>
      </c>
      <c r="AB24" s="139" t="str">
        <f t="shared" si="36"/>
        <v>-</v>
      </c>
      <c r="AC24" s="125">
        <v>0</v>
      </c>
      <c r="AD24" s="126">
        <v>0</v>
      </c>
      <c r="AE24" s="139" t="str">
        <f t="shared" si="37"/>
        <v>-</v>
      </c>
      <c r="AF24" s="125">
        <v>0</v>
      </c>
      <c r="AG24" s="126">
        <v>0</v>
      </c>
      <c r="AH24" s="139" t="str">
        <f t="shared" si="73"/>
        <v>-</v>
      </c>
      <c r="AI24" s="125">
        <v>0</v>
      </c>
      <c r="AJ24" s="126">
        <v>0</v>
      </c>
      <c r="AK24" s="139" t="str">
        <f t="shared" si="62"/>
        <v>-</v>
      </c>
      <c r="AL24" s="125">
        <v>0</v>
      </c>
      <c r="AM24" s="126">
        <v>0</v>
      </c>
      <c r="AN24" s="139" t="str">
        <f t="shared" si="63"/>
        <v>-</v>
      </c>
      <c r="AO24" s="125">
        <v>0</v>
      </c>
      <c r="AP24" s="126">
        <v>0</v>
      </c>
      <c r="AQ24" s="139" t="str">
        <f t="shared" si="64"/>
        <v>-</v>
      </c>
      <c r="AR24" s="125">
        <v>0</v>
      </c>
      <c r="AS24" s="126">
        <v>0</v>
      </c>
      <c r="AT24" s="139" t="str">
        <f t="shared" si="55"/>
        <v>-</v>
      </c>
      <c r="AU24" s="125">
        <v>0</v>
      </c>
      <c r="AV24" s="126">
        <v>0</v>
      </c>
      <c r="AW24" s="139" t="str">
        <f t="shared" ref="AW24:AW34" si="130">IF(AV24=0,"-",AU24/AV24)</f>
        <v>-</v>
      </c>
      <c r="AX24" s="125">
        <v>0</v>
      </c>
      <c r="AY24" s="126">
        <v>0</v>
      </c>
      <c r="AZ24" s="139" t="str">
        <f t="shared" si="40"/>
        <v>-</v>
      </c>
      <c r="BA24" s="125">
        <v>0</v>
      </c>
      <c r="BB24" s="126">
        <v>0</v>
      </c>
      <c r="BC24" s="139" t="str">
        <f t="shared" ref="BC24:BC34" si="131">IF(BB24=0,"-",BA24/BB24)</f>
        <v>-</v>
      </c>
      <c r="BD24" s="125">
        <v>0</v>
      </c>
      <c r="BE24" s="126">
        <v>0</v>
      </c>
      <c r="BF24" s="139" t="str">
        <f t="shared" ref="BF24:BF34" si="132">IF(BE24=0,"-",BD24/BE24)</f>
        <v>-</v>
      </c>
      <c r="BG24" s="125">
        <v>0</v>
      </c>
      <c r="BH24" s="126">
        <v>0</v>
      </c>
      <c r="BI24" s="139" t="str">
        <f t="shared" si="67"/>
        <v>-</v>
      </c>
      <c r="BJ24" s="125">
        <v>0</v>
      </c>
      <c r="BK24" s="126">
        <v>0</v>
      </c>
      <c r="BL24" s="139" t="str">
        <f t="shared" si="20"/>
        <v>-</v>
      </c>
      <c r="BM24" s="125">
        <v>0</v>
      </c>
      <c r="BN24" s="126">
        <v>0</v>
      </c>
      <c r="BO24" s="139" t="str">
        <f t="shared" si="21"/>
        <v>-</v>
      </c>
      <c r="BP24" s="125">
        <v>0</v>
      </c>
      <c r="BQ24" s="126">
        <v>0</v>
      </c>
      <c r="BR24" s="139" t="str">
        <f t="shared" si="22"/>
        <v>-</v>
      </c>
      <c r="BS24" s="125">
        <v>0</v>
      </c>
      <c r="BT24" s="126">
        <v>0</v>
      </c>
      <c r="BU24" s="139" t="str">
        <f t="shared" si="23"/>
        <v>-</v>
      </c>
      <c r="BV24" s="252">
        <v>0</v>
      </c>
      <c r="BW24" s="253">
        <v>0</v>
      </c>
      <c r="BX24" s="139" t="str">
        <f t="shared" si="24"/>
        <v>-</v>
      </c>
      <c r="BY24" s="252">
        <v>0</v>
      </c>
      <c r="BZ24" s="253">
        <v>0</v>
      </c>
      <c r="CA24" s="139">
        <v>0</v>
      </c>
      <c r="CB24" s="252">
        <v>0</v>
      </c>
      <c r="CC24" s="253">
        <v>0</v>
      </c>
      <c r="CD24" s="139" t="str">
        <f t="shared" si="60"/>
        <v>-</v>
      </c>
      <c r="CE24" s="252">
        <v>2</v>
      </c>
      <c r="CF24" s="253">
        <v>1</v>
      </c>
      <c r="CG24" s="139">
        <f t="shared" si="46"/>
        <v>2</v>
      </c>
      <c r="CH24" s="20">
        <v>0</v>
      </c>
      <c r="CI24" s="21">
        <v>0</v>
      </c>
      <c r="CJ24" s="139" t="str">
        <f t="shared" ref="CJ24:CJ34" si="133">IF(CI24=0,"-",CH24/CI24)</f>
        <v>-</v>
      </c>
      <c r="CK24" s="20">
        <v>0</v>
      </c>
      <c r="CL24" s="21">
        <v>0</v>
      </c>
      <c r="CM24" s="139" t="str">
        <f t="shared" ref="CM24:CM34" si="134">IF(CL24=0,"-",CK24/CL24)</f>
        <v>-</v>
      </c>
      <c r="CN24" s="117">
        <f t="shared" si="30"/>
        <v>29</v>
      </c>
      <c r="CO24" s="120">
        <f t="shared" si="31"/>
        <v>4</v>
      </c>
      <c r="CP24" s="147">
        <f t="shared" si="32"/>
        <v>7.25</v>
      </c>
    </row>
    <row r="25" spans="1:94" ht="15" thickBot="1" x14ac:dyDescent="0.35">
      <c r="A25" s="294">
        <v>45647</v>
      </c>
      <c r="B25" s="20">
        <v>0</v>
      </c>
      <c r="C25" s="21">
        <v>0</v>
      </c>
      <c r="D25" s="139">
        <v>0</v>
      </c>
      <c r="E25" s="20">
        <v>0</v>
      </c>
      <c r="F25" s="21">
        <v>0</v>
      </c>
      <c r="G25" s="139">
        <v>0</v>
      </c>
      <c r="H25" s="20"/>
      <c r="I25" s="21"/>
      <c r="J25" s="139" t="str">
        <f t="shared" si="61"/>
        <v>-</v>
      </c>
      <c r="K25" s="20">
        <v>0</v>
      </c>
      <c r="L25" s="21">
        <v>0</v>
      </c>
      <c r="M25" s="139">
        <v>0</v>
      </c>
      <c r="N25" s="125">
        <v>0</v>
      </c>
      <c r="O25" s="126">
        <v>0</v>
      </c>
      <c r="P25" s="139" t="str">
        <f t="shared" si="4"/>
        <v>-</v>
      </c>
      <c r="Q25" s="125">
        <v>0</v>
      </c>
      <c r="R25" s="126">
        <v>0</v>
      </c>
      <c r="S25" s="139" t="str">
        <f t="shared" si="33"/>
        <v>-</v>
      </c>
      <c r="T25" s="125">
        <v>0</v>
      </c>
      <c r="U25" s="126">
        <v>0</v>
      </c>
      <c r="V25" s="139" t="str">
        <f t="shared" si="34"/>
        <v>-</v>
      </c>
      <c r="W25" s="125">
        <v>0</v>
      </c>
      <c r="X25" s="126">
        <v>0</v>
      </c>
      <c r="Y25" s="139" t="str">
        <f t="shared" si="127"/>
        <v>-</v>
      </c>
      <c r="Z25" s="125">
        <v>0</v>
      </c>
      <c r="AA25" s="126">
        <v>0</v>
      </c>
      <c r="AB25" s="139" t="str">
        <f t="shared" si="36"/>
        <v>-</v>
      </c>
      <c r="AC25" s="125">
        <v>0</v>
      </c>
      <c r="AD25" s="126">
        <v>0</v>
      </c>
      <c r="AE25" s="139" t="str">
        <f t="shared" si="37"/>
        <v>-</v>
      </c>
      <c r="AF25" s="125">
        <v>0</v>
      </c>
      <c r="AG25" s="126">
        <v>0</v>
      </c>
      <c r="AH25" s="139" t="str">
        <f t="shared" si="73"/>
        <v>-</v>
      </c>
      <c r="AI25" s="125">
        <v>0</v>
      </c>
      <c r="AJ25" s="126">
        <v>0</v>
      </c>
      <c r="AK25" s="139" t="str">
        <f t="shared" si="62"/>
        <v>-</v>
      </c>
      <c r="AL25" s="125">
        <v>0</v>
      </c>
      <c r="AM25" s="126">
        <v>0</v>
      </c>
      <c r="AN25" s="139" t="str">
        <f t="shared" si="63"/>
        <v>-</v>
      </c>
      <c r="AO25" s="125">
        <v>0</v>
      </c>
      <c r="AP25" s="126">
        <v>0</v>
      </c>
      <c r="AQ25" s="139" t="str">
        <f t="shared" si="64"/>
        <v>-</v>
      </c>
      <c r="AR25" s="125">
        <v>0</v>
      </c>
      <c r="AS25" s="126">
        <v>0</v>
      </c>
      <c r="AT25" s="139" t="str">
        <f t="shared" si="55"/>
        <v>-</v>
      </c>
      <c r="AU25" s="125">
        <v>0</v>
      </c>
      <c r="AV25" s="126">
        <v>0</v>
      </c>
      <c r="AW25" s="139" t="str">
        <f t="shared" si="130"/>
        <v>-</v>
      </c>
      <c r="AX25" s="125">
        <v>0</v>
      </c>
      <c r="AY25" s="126">
        <v>0</v>
      </c>
      <c r="AZ25" s="139" t="str">
        <f t="shared" si="40"/>
        <v>-</v>
      </c>
      <c r="BA25" s="125">
        <v>0</v>
      </c>
      <c r="BB25" s="126">
        <v>0</v>
      </c>
      <c r="BC25" s="139" t="str">
        <f t="shared" si="131"/>
        <v>-</v>
      </c>
      <c r="BD25" s="125">
        <v>0</v>
      </c>
      <c r="BE25" s="126">
        <v>0</v>
      </c>
      <c r="BF25" s="139" t="str">
        <f t="shared" si="132"/>
        <v>-</v>
      </c>
      <c r="BG25" s="125">
        <v>0</v>
      </c>
      <c r="BH25" s="126">
        <v>0</v>
      </c>
      <c r="BI25" s="139" t="str">
        <f t="shared" si="67"/>
        <v>-</v>
      </c>
      <c r="BJ25" s="125">
        <v>0</v>
      </c>
      <c r="BK25" s="126">
        <v>0</v>
      </c>
      <c r="BL25" s="139" t="str">
        <f t="shared" si="20"/>
        <v>-</v>
      </c>
      <c r="BM25" s="125">
        <v>0</v>
      </c>
      <c r="BN25" s="126">
        <v>0</v>
      </c>
      <c r="BO25" s="139" t="str">
        <f t="shared" si="21"/>
        <v>-</v>
      </c>
      <c r="BP25" s="125">
        <v>0</v>
      </c>
      <c r="BQ25" s="126">
        <v>0</v>
      </c>
      <c r="BR25" s="139" t="str">
        <f t="shared" si="22"/>
        <v>-</v>
      </c>
      <c r="BS25" s="125">
        <v>0</v>
      </c>
      <c r="BT25" s="126">
        <v>0</v>
      </c>
      <c r="BU25" s="139" t="str">
        <f t="shared" si="23"/>
        <v>-</v>
      </c>
      <c r="BV25" s="252">
        <v>1</v>
      </c>
      <c r="BW25" s="253">
        <v>1</v>
      </c>
      <c r="BX25" s="139">
        <f t="shared" si="24"/>
        <v>1</v>
      </c>
      <c r="BY25" s="252">
        <v>0</v>
      </c>
      <c r="BZ25" s="253">
        <v>0</v>
      </c>
      <c r="CA25" s="139" t="str">
        <f t="shared" si="59"/>
        <v>-</v>
      </c>
      <c r="CB25" s="252">
        <v>6</v>
      </c>
      <c r="CC25" s="253">
        <v>1</v>
      </c>
      <c r="CD25" s="139">
        <f t="shared" si="60"/>
        <v>6</v>
      </c>
      <c r="CE25" s="252">
        <v>0</v>
      </c>
      <c r="CF25" s="253">
        <v>0</v>
      </c>
      <c r="CG25" s="139" t="str">
        <f t="shared" si="46"/>
        <v>-</v>
      </c>
      <c r="CH25" s="20">
        <v>0</v>
      </c>
      <c r="CI25" s="21">
        <v>0</v>
      </c>
      <c r="CJ25" s="139" t="str">
        <f t="shared" si="133"/>
        <v>-</v>
      </c>
      <c r="CK25" s="20">
        <v>0</v>
      </c>
      <c r="CL25" s="21">
        <v>0</v>
      </c>
      <c r="CM25" s="139" t="str">
        <f t="shared" si="134"/>
        <v>-</v>
      </c>
      <c r="CN25" s="117">
        <f t="shared" si="30"/>
        <v>7</v>
      </c>
      <c r="CO25" s="120">
        <f t="shared" si="31"/>
        <v>1</v>
      </c>
      <c r="CP25" s="147">
        <f t="shared" si="32"/>
        <v>7</v>
      </c>
    </row>
    <row r="26" spans="1:94" ht="15" thickBot="1" x14ac:dyDescent="0.35">
      <c r="A26" s="294">
        <v>45648</v>
      </c>
      <c r="B26" s="20">
        <v>0</v>
      </c>
      <c r="C26" s="21">
        <v>0</v>
      </c>
      <c r="D26" s="139">
        <v>0</v>
      </c>
      <c r="E26" s="20">
        <v>0</v>
      </c>
      <c r="F26" s="21">
        <v>0</v>
      </c>
      <c r="G26" s="139">
        <v>0</v>
      </c>
      <c r="H26" s="20"/>
      <c r="I26" s="21"/>
      <c r="J26" s="139" t="str">
        <f t="shared" ref="J26:J34" si="135">IF(I26=0,"-",H26/I26)</f>
        <v>-</v>
      </c>
      <c r="K26" s="20">
        <v>0</v>
      </c>
      <c r="L26" s="21">
        <v>0</v>
      </c>
      <c r="M26" s="139">
        <v>0</v>
      </c>
      <c r="N26" s="125">
        <v>0</v>
      </c>
      <c r="O26" s="126">
        <v>0</v>
      </c>
      <c r="P26" s="139" t="str">
        <f t="shared" ref="P26:P34" si="136">IF(O26=0,"-",N26/O26)</f>
        <v>-</v>
      </c>
      <c r="Q26" s="125">
        <v>0</v>
      </c>
      <c r="R26" s="126">
        <v>0</v>
      </c>
      <c r="S26" s="139" t="str">
        <f t="shared" si="33"/>
        <v>-</v>
      </c>
      <c r="T26" s="125">
        <v>0</v>
      </c>
      <c r="U26" s="126">
        <v>0</v>
      </c>
      <c r="V26" s="139" t="str">
        <f t="shared" si="34"/>
        <v>-</v>
      </c>
      <c r="W26" s="125">
        <v>0</v>
      </c>
      <c r="X26" s="126">
        <v>0</v>
      </c>
      <c r="Y26" s="139" t="str">
        <f t="shared" si="127"/>
        <v>-</v>
      </c>
      <c r="Z26" s="125">
        <v>0</v>
      </c>
      <c r="AA26" s="126">
        <v>0</v>
      </c>
      <c r="AB26" s="139" t="str">
        <f t="shared" si="36"/>
        <v>-</v>
      </c>
      <c r="AC26" s="125">
        <v>0</v>
      </c>
      <c r="AD26" s="126">
        <v>0</v>
      </c>
      <c r="AE26" s="139" t="str">
        <f t="shared" si="37"/>
        <v>-</v>
      </c>
      <c r="AF26" s="125">
        <v>0</v>
      </c>
      <c r="AG26" s="126">
        <v>0</v>
      </c>
      <c r="AH26" s="139" t="str">
        <f t="shared" si="73"/>
        <v>-</v>
      </c>
      <c r="AI26" s="125">
        <v>0</v>
      </c>
      <c r="AJ26" s="126">
        <v>0</v>
      </c>
      <c r="AK26" s="139" t="str">
        <f t="shared" si="62"/>
        <v>-</v>
      </c>
      <c r="AL26" s="125">
        <v>0</v>
      </c>
      <c r="AM26" s="126">
        <v>0</v>
      </c>
      <c r="AN26" s="139" t="str">
        <f t="shared" si="63"/>
        <v>-</v>
      </c>
      <c r="AO26" s="125">
        <v>0</v>
      </c>
      <c r="AP26" s="126">
        <v>0</v>
      </c>
      <c r="AQ26" s="139" t="str">
        <f t="shared" si="64"/>
        <v>-</v>
      </c>
      <c r="AR26" s="125">
        <v>0</v>
      </c>
      <c r="AS26" s="126">
        <v>0</v>
      </c>
      <c r="AT26" s="139" t="str">
        <f t="shared" si="55"/>
        <v>-</v>
      </c>
      <c r="AU26" s="125">
        <v>0</v>
      </c>
      <c r="AV26" s="126">
        <v>0</v>
      </c>
      <c r="AW26" s="139" t="str">
        <f t="shared" si="130"/>
        <v>-</v>
      </c>
      <c r="AX26" s="125">
        <v>0</v>
      </c>
      <c r="AY26" s="126">
        <v>0</v>
      </c>
      <c r="AZ26" s="139" t="str">
        <f t="shared" si="40"/>
        <v>-</v>
      </c>
      <c r="BA26" s="125">
        <v>0</v>
      </c>
      <c r="BB26" s="126">
        <v>0</v>
      </c>
      <c r="BC26" s="139" t="str">
        <f t="shared" si="131"/>
        <v>-</v>
      </c>
      <c r="BD26" s="125">
        <v>0</v>
      </c>
      <c r="BE26" s="126">
        <v>0</v>
      </c>
      <c r="BF26" s="139" t="str">
        <f t="shared" si="132"/>
        <v>-</v>
      </c>
      <c r="BG26" s="125">
        <v>0</v>
      </c>
      <c r="BH26" s="126">
        <v>0</v>
      </c>
      <c r="BI26" s="139" t="str">
        <f t="shared" si="67"/>
        <v>-</v>
      </c>
      <c r="BJ26" s="125">
        <v>0</v>
      </c>
      <c r="BK26" s="126">
        <v>0</v>
      </c>
      <c r="BL26" s="139" t="str">
        <f t="shared" si="20"/>
        <v>-</v>
      </c>
      <c r="BM26" s="125">
        <v>0</v>
      </c>
      <c r="BN26" s="126">
        <v>0</v>
      </c>
      <c r="BO26" s="139" t="str">
        <f t="shared" si="21"/>
        <v>-</v>
      </c>
      <c r="BP26" s="125">
        <v>0</v>
      </c>
      <c r="BQ26" s="126">
        <v>0</v>
      </c>
      <c r="BR26" s="139" t="str">
        <f t="shared" si="22"/>
        <v>-</v>
      </c>
      <c r="BS26" s="125">
        <v>0</v>
      </c>
      <c r="BT26" s="126">
        <v>0</v>
      </c>
      <c r="BU26" s="139" t="str">
        <f t="shared" si="23"/>
        <v>-</v>
      </c>
      <c r="BV26" s="125">
        <v>0</v>
      </c>
      <c r="BW26" s="126">
        <v>0</v>
      </c>
      <c r="BX26" s="139" t="str">
        <f t="shared" si="24"/>
        <v>-</v>
      </c>
      <c r="BY26" s="125">
        <v>0</v>
      </c>
      <c r="BZ26" s="126">
        <v>0</v>
      </c>
      <c r="CA26" s="139" t="str">
        <f t="shared" si="59"/>
        <v>-</v>
      </c>
      <c r="CB26" s="125">
        <v>0</v>
      </c>
      <c r="CC26" s="126">
        <v>0</v>
      </c>
      <c r="CD26" s="139" t="str">
        <f t="shared" si="60"/>
        <v>-</v>
      </c>
      <c r="CE26" s="125">
        <v>0</v>
      </c>
      <c r="CF26" s="126">
        <v>0</v>
      </c>
      <c r="CG26" s="139" t="str">
        <f t="shared" si="46"/>
        <v>-</v>
      </c>
      <c r="CH26" s="125">
        <v>0</v>
      </c>
      <c r="CI26" s="126">
        <v>0</v>
      </c>
      <c r="CJ26" s="139" t="str">
        <f t="shared" si="133"/>
        <v>-</v>
      </c>
      <c r="CK26" s="125">
        <v>0</v>
      </c>
      <c r="CL26" s="126">
        <v>0</v>
      </c>
      <c r="CM26" s="139" t="str">
        <f t="shared" si="134"/>
        <v>-</v>
      </c>
      <c r="CN26" s="117">
        <f t="shared" si="30"/>
        <v>0</v>
      </c>
      <c r="CO26" s="120">
        <f t="shared" si="31"/>
        <v>0</v>
      </c>
      <c r="CP26" s="147" t="str">
        <f t="shared" si="32"/>
        <v/>
      </c>
    </row>
    <row r="27" spans="1:94" ht="15" thickBot="1" x14ac:dyDescent="0.35">
      <c r="A27" s="294">
        <v>45649</v>
      </c>
      <c r="B27" s="20">
        <v>0</v>
      </c>
      <c r="C27" s="21">
        <v>0</v>
      </c>
      <c r="D27" s="139">
        <v>0</v>
      </c>
      <c r="E27" s="20">
        <v>0</v>
      </c>
      <c r="F27" s="21">
        <v>0</v>
      </c>
      <c r="G27" s="139">
        <v>0</v>
      </c>
      <c r="H27" s="20"/>
      <c r="I27" s="21"/>
      <c r="J27" s="139" t="str">
        <f t="shared" si="135"/>
        <v>-</v>
      </c>
      <c r="K27" s="20">
        <v>0</v>
      </c>
      <c r="L27" s="21">
        <v>0</v>
      </c>
      <c r="M27" s="139">
        <v>0</v>
      </c>
      <c r="N27" s="125">
        <v>0</v>
      </c>
      <c r="O27" s="126">
        <v>0</v>
      </c>
      <c r="P27" s="139" t="str">
        <f t="shared" si="136"/>
        <v>-</v>
      </c>
      <c r="Q27" s="125">
        <v>0</v>
      </c>
      <c r="R27" s="126">
        <v>0</v>
      </c>
      <c r="S27" s="139" t="str">
        <f t="shared" si="33"/>
        <v>-</v>
      </c>
      <c r="T27" s="125">
        <v>0</v>
      </c>
      <c r="U27" s="126">
        <v>0</v>
      </c>
      <c r="V27" s="139" t="str">
        <f t="shared" si="34"/>
        <v>-</v>
      </c>
      <c r="W27" s="125">
        <v>0</v>
      </c>
      <c r="X27" s="126">
        <v>0</v>
      </c>
      <c r="Y27" s="139" t="str">
        <f t="shared" si="127"/>
        <v>-</v>
      </c>
      <c r="Z27" s="125">
        <v>0</v>
      </c>
      <c r="AA27" s="126">
        <v>0</v>
      </c>
      <c r="AB27" s="139" t="str">
        <f t="shared" si="36"/>
        <v>-</v>
      </c>
      <c r="AC27" s="125">
        <v>0</v>
      </c>
      <c r="AD27" s="126">
        <v>0</v>
      </c>
      <c r="AE27" s="139" t="str">
        <f t="shared" si="37"/>
        <v>-</v>
      </c>
      <c r="AF27" s="125">
        <v>0</v>
      </c>
      <c r="AG27" s="126">
        <v>0</v>
      </c>
      <c r="AH27" s="139" t="str">
        <f t="shared" si="73"/>
        <v>-</v>
      </c>
      <c r="AI27" s="125">
        <v>0</v>
      </c>
      <c r="AJ27" s="126">
        <v>0</v>
      </c>
      <c r="AK27" s="139" t="str">
        <f t="shared" si="62"/>
        <v>-</v>
      </c>
      <c r="AL27" s="125">
        <v>0</v>
      </c>
      <c r="AM27" s="126">
        <v>0</v>
      </c>
      <c r="AN27" s="139" t="str">
        <f t="shared" si="63"/>
        <v>-</v>
      </c>
      <c r="AO27" s="125">
        <v>0</v>
      </c>
      <c r="AP27" s="126">
        <v>0</v>
      </c>
      <c r="AQ27" s="139" t="str">
        <f t="shared" si="64"/>
        <v>-</v>
      </c>
      <c r="AR27" s="125">
        <v>0</v>
      </c>
      <c r="AS27" s="126">
        <v>0</v>
      </c>
      <c r="AT27" s="139" t="str">
        <f t="shared" si="55"/>
        <v>-</v>
      </c>
      <c r="AU27" s="125">
        <v>0</v>
      </c>
      <c r="AV27" s="126">
        <v>0</v>
      </c>
      <c r="AW27" s="139" t="str">
        <f t="shared" si="130"/>
        <v>-</v>
      </c>
      <c r="AX27" s="125">
        <v>0</v>
      </c>
      <c r="AY27" s="126">
        <v>0</v>
      </c>
      <c r="AZ27" s="139" t="str">
        <f t="shared" si="40"/>
        <v>-</v>
      </c>
      <c r="BA27" s="125">
        <v>0</v>
      </c>
      <c r="BB27" s="126">
        <v>0</v>
      </c>
      <c r="BC27" s="139" t="str">
        <f t="shared" si="131"/>
        <v>-</v>
      </c>
      <c r="BD27" s="125">
        <v>0</v>
      </c>
      <c r="BE27" s="126">
        <v>0</v>
      </c>
      <c r="BF27" s="139" t="str">
        <f t="shared" si="132"/>
        <v>-</v>
      </c>
      <c r="BG27" s="125">
        <v>0</v>
      </c>
      <c r="BH27" s="126">
        <v>0</v>
      </c>
      <c r="BI27" s="139" t="str">
        <f t="shared" si="67"/>
        <v>-</v>
      </c>
      <c r="BJ27" s="125">
        <v>0</v>
      </c>
      <c r="BK27" s="126">
        <v>0</v>
      </c>
      <c r="BL27" s="139" t="str">
        <f t="shared" si="20"/>
        <v>-</v>
      </c>
      <c r="BM27" s="125">
        <v>0</v>
      </c>
      <c r="BN27" s="126">
        <v>0</v>
      </c>
      <c r="BO27" s="139" t="str">
        <f t="shared" si="21"/>
        <v>-</v>
      </c>
      <c r="BP27" s="125">
        <v>0</v>
      </c>
      <c r="BQ27" s="126">
        <v>0</v>
      </c>
      <c r="BR27" s="139" t="str">
        <f t="shared" si="22"/>
        <v>-</v>
      </c>
      <c r="BS27" s="125">
        <v>0</v>
      </c>
      <c r="BT27" s="126">
        <v>0</v>
      </c>
      <c r="BU27" s="139" t="str">
        <f t="shared" si="23"/>
        <v>-</v>
      </c>
      <c r="BV27" s="125">
        <v>0</v>
      </c>
      <c r="BW27" s="126">
        <v>0</v>
      </c>
      <c r="BX27" s="139" t="str">
        <f t="shared" si="24"/>
        <v>-</v>
      </c>
      <c r="BY27" s="125">
        <v>0</v>
      </c>
      <c r="BZ27" s="126">
        <v>0</v>
      </c>
      <c r="CA27" s="139" t="str">
        <f t="shared" si="59"/>
        <v>-</v>
      </c>
      <c r="CB27" s="125">
        <v>0</v>
      </c>
      <c r="CC27" s="126">
        <v>0</v>
      </c>
      <c r="CD27" s="139" t="str">
        <f t="shared" si="60"/>
        <v>-</v>
      </c>
      <c r="CE27" s="125">
        <v>0</v>
      </c>
      <c r="CF27" s="126">
        <v>0</v>
      </c>
      <c r="CG27" s="139" t="str">
        <f t="shared" si="46"/>
        <v>-</v>
      </c>
      <c r="CH27" s="125">
        <v>0</v>
      </c>
      <c r="CI27" s="126">
        <v>0</v>
      </c>
      <c r="CJ27" s="139" t="str">
        <f t="shared" si="133"/>
        <v>-</v>
      </c>
      <c r="CK27" s="125">
        <v>0</v>
      </c>
      <c r="CL27" s="126">
        <v>0</v>
      </c>
      <c r="CM27" s="139" t="str">
        <f t="shared" si="134"/>
        <v>-</v>
      </c>
      <c r="CN27" s="117">
        <f t="shared" si="30"/>
        <v>0</v>
      </c>
      <c r="CO27" s="120">
        <f t="shared" si="31"/>
        <v>0</v>
      </c>
      <c r="CP27" s="147" t="str">
        <f t="shared" si="32"/>
        <v/>
      </c>
    </row>
    <row r="28" spans="1:94" ht="15" thickBot="1" x14ac:dyDescent="0.35">
      <c r="A28" s="294">
        <v>45650</v>
      </c>
      <c r="B28" s="20">
        <v>0</v>
      </c>
      <c r="C28" s="21">
        <v>0</v>
      </c>
      <c r="D28" s="139">
        <v>0</v>
      </c>
      <c r="E28" s="20">
        <v>0</v>
      </c>
      <c r="F28" s="21">
        <v>0</v>
      </c>
      <c r="G28" s="139">
        <v>0</v>
      </c>
      <c r="H28" s="20"/>
      <c r="I28" s="21"/>
      <c r="J28" s="139" t="str">
        <f t="shared" si="135"/>
        <v>-</v>
      </c>
      <c r="K28" s="20">
        <v>0</v>
      </c>
      <c r="L28" s="21">
        <v>0</v>
      </c>
      <c r="M28" s="139">
        <v>0</v>
      </c>
      <c r="N28" s="125">
        <v>0</v>
      </c>
      <c r="O28" s="126">
        <v>0</v>
      </c>
      <c r="P28" s="139" t="str">
        <f t="shared" si="136"/>
        <v>-</v>
      </c>
      <c r="Q28" s="125">
        <v>0</v>
      </c>
      <c r="R28" s="126">
        <v>0</v>
      </c>
      <c r="S28" s="139" t="str">
        <f t="shared" si="33"/>
        <v>-</v>
      </c>
      <c r="T28" s="125">
        <v>0</v>
      </c>
      <c r="U28" s="126">
        <v>0</v>
      </c>
      <c r="V28" s="139" t="str">
        <f t="shared" si="34"/>
        <v>-</v>
      </c>
      <c r="W28" s="125">
        <v>0</v>
      </c>
      <c r="X28" s="126">
        <v>0</v>
      </c>
      <c r="Y28" s="139" t="str">
        <f t="shared" si="127"/>
        <v>-</v>
      </c>
      <c r="Z28" s="125">
        <v>0</v>
      </c>
      <c r="AA28" s="126">
        <v>0</v>
      </c>
      <c r="AB28" s="139" t="str">
        <f t="shared" si="36"/>
        <v>-</v>
      </c>
      <c r="AC28" s="125">
        <v>0</v>
      </c>
      <c r="AD28" s="126">
        <v>0</v>
      </c>
      <c r="AE28" s="139" t="str">
        <f t="shared" si="37"/>
        <v>-</v>
      </c>
      <c r="AF28" s="125">
        <v>0</v>
      </c>
      <c r="AG28" s="126">
        <v>0</v>
      </c>
      <c r="AH28" s="139" t="str">
        <f t="shared" si="73"/>
        <v>-</v>
      </c>
      <c r="AI28" s="125">
        <v>0</v>
      </c>
      <c r="AJ28" s="126">
        <v>0</v>
      </c>
      <c r="AK28" s="139" t="str">
        <f t="shared" si="62"/>
        <v>-</v>
      </c>
      <c r="AL28" s="125">
        <v>0</v>
      </c>
      <c r="AM28" s="126">
        <v>0</v>
      </c>
      <c r="AN28" s="139" t="str">
        <f t="shared" si="63"/>
        <v>-</v>
      </c>
      <c r="AO28" s="125">
        <v>0</v>
      </c>
      <c r="AP28" s="126">
        <v>0</v>
      </c>
      <c r="AQ28" s="139" t="str">
        <f t="shared" si="64"/>
        <v>-</v>
      </c>
      <c r="AR28" s="125">
        <v>0</v>
      </c>
      <c r="AS28" s="126">
        <v>0</v>
      </c>
      <c r="AT28" s="139" t="str">
        <f t="shared" si="55"/>
        <v>-</v>
      </c>
      <c r="AU28" s="125">
        <v>0</v>
      </c>
      <c r="AV28" s="126">
        <v>0</v>
      </c>
      <c r="AW28" s="139" t="str">
        <f t="shared" si="130"/>
        <v>-</v>
      </c>
      <c r="AX28" s="125">
        <v>0</v>
      </c>
      <c r="AY28" s="126">
        <v>0</v>
      </c>
      <c r="AZ28" s="139" t="str">
        <f t="shared" si="40"/>
        <v>-</v>
      </c>
      <c r="BA28" s="125">
        <v>0</v>
      </c>
      <c r="BB28" s="126">
        <v>0</v>
      </c>
      <c r="BC28" s="139" t="str">
        <f t="shared" si="131"/>
        <v>-</v>
      </c>
      <c r="BD28" s="125">
        <v>0</v>
      </c>
      <c r="BE28" s="126">
        <v>0</v>
      </c>
      <c r="BF28" s="139" t="str">
        <f t="shared" si="132"/>
        <v>-</v>
      </c>
      <c r="BG28" s="125">
        <v>0</v>
      </c>
      <c r="BH28" s="126">
        <v>0</v>
      </c>
      <c r="BI28" s="139" t="str">
        <f t="shared" si="67"/>
        <v>-</v>
      </c>
      <c r="BJ28" s="125">
        <v>0</v>
      </c>
      <c r="BK28" s="126">
        <v>0</v>
      </c>
      <c r="BL28" s="139" t="str">
        <f t="shared" si="20"/>
        <v>-</v>
      </c>
      <c r="BM28" s="125">
        <v>0</v>
      </c>
      <c r="BN28" s="126">
        <v>0</v>
      </c>
      <c r="BO28" s="139" t="str">
        <f t="shared" si="21"/>
        <v>-</v>
      </c>
      <c r="BP28" s="125">
        <v>0</v>
      </c>
      <c r="BQ28" s="126">
        <v>0</v>
      </c>
      <c r="BR28" s="139" t="str">
        <f t="shared" si="22"/>
        <v>-</v>
      </c>
      <c r="BS28" s="125">
        <v>0</v>
      </c>
      <c r="BT28" s="126">
        <v>0</v>
      </c>
      <c r="BU28" s="139" t="str">
        <f t="shared" si="23"/>
        <v>-</v>
      </c>
      <c r="BV28" s="125">
        <v>0</v>
      </c>
      <c r="BW28" s="126">
        <v>0</v>
      </c>
      <c r="BX28" s="139" t="str">
        <f t="shared" si="24"/>
        <v>-</v>
      </c>
      <c r="BY28" s="125">
        <v>0</v>
      </c>
      <c r="BZ28" s="126">
        <v>0</v>
      </c>
      <c r="CA28" s="139" t="str">
        <f t="shared" si="59"/>
        <v>-</v>
      </c>
      <c r="CB28" s="125">
        <v>0</v>
      </c>
      <c r="CC28" s="126">
        <v>0</v>
      </c>
      <c r="CD28" s="139" t="str">
        <f t="shared" si="60"/>
        <v>-</v>
      </c>
      <c r="CE28" s="125">
        <v>0</v>
      </c>
      <c r="CF28" s="126">
        <v>0</v>
      </c>
      <c r="CG28" s="139" t="str">
        <f t="shared" si="46"/>
        <v>-</v>
      </c>
      <c r="CH28" s="125">
        <v>0</v>
      </c>
      <c r="CI28" s="126">
        <v>0</v>
      </c>
      <c r="CJ28" s="139" t="str">
        <f t="shared" si="133"/>
        <v>-</v>
      </c>
      <c r="CK28" s="125">
        <v>0</v>
      </c>
      <c r="CL28" s="126">
        <v>0</v>
      </c>
      <c r="CM28" s="139" t="str">
        <f t="shared" si="134"/>
        <v>-</v>
      </c>
      <c r="CN28" s="117">
        <f t="shared" si="30"/>
        <v>0</v>
      </c>
      <c r="CO28" s="120">
        <f t="shared" si="31"/>
        <v>0</v>
      </c>
      <c r="CP28" s="147" t="str">
        <f t="shared" si="32"/>
        <v/>
      </c>
    </row>
    <row r="29" spans="1:94" ht="15" thickBot="1" x14ac:dyDescent="0.35">
      <c r="A29" s="294">
        <v>45651</v>
      </c>
      <c r="B29" s="20">
        <v>0</v>
      </c>
      <c r="C29" s="21">
        <v>0</v>
      </c>
      <c r="D29" s="139">
        <v>0</v>
      </c>
      <c r="E29" s="20">
        <v>0</v>
      </c>
      <c r="F29" s="21">
        <v>0</v>
      </c>
      <c r="G29" s="139">
        <v>0</v>
      </c>
      <c r="H29" s="20"/>
      <c r="I29" s="21"/>
      <c r="J29" s="139" t="str">
        <f t="shared" si="135"/>
        <v>-</v>
      </c>
      <c r="K29" s="20">
        <v>0</v>
      </c>
      <c r="L29" s="21">
        <v>0</v>
      </c>
      <c r="M29" s="139">
        <v>0</v>
      </c>
      <c r="N29" s="125">
        <v>0</v>
      </c>
      <c r="O29" s="126">
        <v>0</v>
      </c>
      <c r="P29" s="139" t="str">
        <f t="shared" si="136"/>
        <v>-</v>
      </c>
      <c r="Q29" s="125">
        <v>0</v>
      </c>
      <c r="R29" s="126">
        <v>0</v>
      </c>
      <c r="S29" s="139" t="str">
        <f t="shared" si="33"/>
        <v>-</v>
      </c>
      <c r="T29" s="125">
        <v>0</v>
      </c>
      <c r="U29" s="126">
        <v>0</v>
      </c>
      <c r="V29" s="139" t="str">
        <f t="shared" si="34"/>
        <v>-</v>
      </c>
      <c r="W29" s="125">
        <v>0</v>
      </c>
      <c r="X29" s="126">
        <v>0</v>
      </c>
      <c r="Y29" s="139" t="str">
        <f t="shared" si="127"/>
        <v>-</v>
      </c>
      <c r="Z29" s="125">
        <v>0</v>
      </c>
      <c r="AA29" s="126">
        <v>0</v>
      </c>
      <c r="AB29" s="139" t="str">
        <f t="shared" si="36"/>
        <v>-</v>
      </c>
      <c r="AC29" s="125">
        <v>0</v>
      </c>
      <c r="AD29" s="126">
        <v>0</v>
      </c>
      <c r="AE29" s="139" t="str">
        <f t="shared" si="37"/>
        <v>-</v>
      </c>
      <c r="AF29" s="125">
        <v>0</v>
      </c>
      <c r="AG29" s="126">
        <v>0</v>
      </c>
      <c r="AH29" s="139" t="str">
        <f t="shared" si="73"/>
        <v>-</v>
      </c>
      <c r="AI29" s="125">
        <v>0</v>
      </c>
      <c r="AJ29" s="126">
        <v>0</v>
      </c>
      <c r="AK29" s="139" t="str">
        <f t="shared" si="62"/>
        <v>-</v>
      </c>
      <c r="AL29" s="125">
        <v>0</v>
      </c>
      <c r="AM29" s="126">
        <v>0</v>
      </c>
      <c r="AN29" s="139" t="str">
        <f t="shared" si="63"/>
        <v>-</v>
      </c>
      <c r="AO29" s="125">
        <v>0</v>
      </c>
      <c r="AP29" s="126">
        <v>0</v>
      </c>
      <c r="AQ29" s="139" t="str">
        <f t="shared" si="64"/>
        <v>-</v>
      </c>
      <c r="AR29" s="125">
        <v>0</v>
      </c>
      <c r="AS29" s="126">
        <v>0</v>
      </c>
      <c r="AT29" s="139" t="str">
        <f t="shared" si="55"/>
        <v>-</v>
      </c>
      <c r="AU29" s="125">
        <v>0</v>
      </c>
      <c r="AV29" s="126">
        <v>0</v>
      </c>
      <c r="AW29" s="139" t="str">
        <f t="shared" si="130"/>
        <v>-</v>
      </c>
      <c r="AX29" s="125">
        <v>0</v>
      </c>
      <c r="AY29" s="126">
        <v>0</v>
      </c>
      <c r="AZ29" s="139" t="str">
        <f t="shared" si="40"/>
        <v>-</v>
      </c>
      <c r="BA29" s="125">
        <v>0</v>
      </c>
      <c r="BB29" s="126">
        <v>0</v>
      </c>
      <c r="BC29" s="139" t="str">
        <f t="shared" si="131"/>
        <v>-</v>
      </c>
      <c r="BD29" s="125">
        <v>0</v>
      </c>
      <c r="BE29" s="126">
        <v>0</v>
      </c>
      <c r="BF29" s="139" t="str">
        <f t="shared" si="132"/>
        <v>-</v>
      </c>
      <c r="BG29" s="125">
        <v>0</v>
      </c>
      <c r="BH29" s="126">
        <v>0</v>
      </c>
      <c r="BI29" s="139" t="str">
        <f t="shared" si="67"/>
        <v>-</v>
      </c>
      <c r="BJ29" s="125">
        <v>0</v>
      </c>
      <c r="BK29" s="126">
        <v>0</v>
      </c>
      <c r="BL29" s="139" t="str">
        <f t="shared" si="20"/>
        <v>-</v>
      </c>
      <c r="BM29" s="125">
        <v>0</v>
      </c>
      <c r="BN29" s="126">
        <v>0</v>
      </c>
      <c r="BO29" s="139" t="str">
        <f t="shared" si="21"/>
        <v>-</v>
      </c>
      <c r="BP29" s="125">
        <v>0</v>
      </c>
      <c r="BQ29" s="126">
        <v>0</v>
      </c>
      <c r="BR29" s="139" t="str">
        <f t="shared" si="22"/>
        <v>-</v>
      </c>
      <c r="BS29" s="125">
        <v>0</v>
      </c>
      <c r="BT29" s="126">
        <v>0</v>
      </c>
      <c r="BU29" s="139" t="str">
        <f t="shared" si="23"/>
        <v>-</v>
      </c>
      <c r="BV29" s="125">
        <v>0</v>
      </c>
      <c r="BW29" s="126">
        <v>0</v>
      </c>
      <c r="BX29" s="139" t="str">
        <f t="shared" si="24"/>
        <v>-</v>
      </c>
      <c r="BY29" s="125">
        <v>0</v>
      </c>
      <c r="BZ29" s="126">
        <v>0</v>
      </c>
      <c r="CA29" s="139" t="str">
        <f t="shared" si="59"/>
        <v>-</v>
      </c>
      <c r="CB29" s="125">
        <v>0</v>
      </c>
      <c r="CC29" s="126">
        <v>0</v>
      </c>
      <c r="CD29" s="139" t="str">
        <f t="shared" si="60"/>
        <v>-</v>
      </c>
      <c r="CE29" s="125">
        <v>0</v>
      </c>
      <c r="CF29" s="126">
        <v>0</v>
      </c>
      <c r="CG29" s="139" t="str">
        <f t="shared" si="46"/>
        <v>-</v>
      </c>
      <c r="CH29" s="125">
        <v>0</v>
      </c>
      <c r="CI29" s="126">
        <v>0</v>
      </c>
      <c r="CJ29" s="139" t="str">
        <f t="shared" si="133"/>
        <v>-</v>
      </c>
      <c r="CK29" s="125">
        <v>0</v>
      </c>
      <c r="CL29" s="126">
        <v>0</v>
      </c>
      <c r="CM29" s="139" t="str">
        <f t="shared" si="134"/>
        <v>-</v>
      </c>
      <c r="CN29" s="117">
        <f t="shared" si="30"/>
        <v>0</v>
      </c>
      <c r="CO29" s="120">
        <f t="shared" si="31"/>
        <v>0</v>
      </c>
      <c r="CP29" s="147" t="str">
        <f t="shared" si="32"/>
        <v/>
      </c>
    </row>
    <row r="30" spans="1:94" ht="15" thickBot="1" x14ac:dyDescent="0.35">
      <c r="A30" s="294">
        <v>45652</v>
      </c>
      <c r="B30" s="20">
        <v>0</v>
      </c>
      <c r="C30" s="21">
        <v>0</v>
      </c>
      <c r="D30" s="139">
        <v>0</v>
      </c>
      <c r="E30" s="20">
        <v>0</v>
      </c>
      <c r="F30" s="21">
        <v>0</v>
      </c>
      <c r="G30" s="139">
        <v>0</v>
      </c>
      <c r="H30" s="20"/>
      <c r="I30" s="21"/>
      <c r="J30" s="139" t="str">
        <f t="shared" si="135"/>
        <v>-</v>
      </c>
      <c r="K30" s="20">
        <v>0</v>
      </c>
      <c r="L30" s="21">
        <v>0</v>
      </c>
      <c r="M30" s="139">
        <v>0</v>
      </c>
      <c r="N30" s="125">
        <v>0</v>
      </c>
      <c r="O30" s="126">
        <v>0</v>
      </c>
      <c r="P30" s="139" t="str">
        <f t="shared" si="136"/>
        <v>-</v>
      </c>
      <c r="Q30" s="125">
        <v>0</v>
      </c>
      <c r="R30" s="126">
        <v>0</v>
      </c>
      <c r="S30" s="139" t="str">
        <f t="shared" si="33"/>
        <v>-</v>
      </c>
      <c r="T30" s="125">
        <v>0</v>
      </c>
      <c r="U30" s="126">
        <v>0</v>
      </c>
      <c r="V30" s="139" t="str">
        <f t="shared" si="34"/>
        <v>-</v>
      </c>
      <c r="W30" s="125">
        <v>0</v>
      </c>
      <c r="X30" s="126">
        <v>0</v>
      </c>
      <c r="Y30" s="139" t="str">
        <f t="shared" si="127"/>
        <v>-</v>
      </c>
      <c r="Z30" s="125">
        <v>0</v>
      </c>
      <c r="AA30" s="126">
        <v>0</v>
      </c>
      <c r="AB30" s="139" t="str">
        <f t="shared" si="36"/>
        <v>-</v>
      </c>
      <c r="AC30" s="125">
        <v>0</v>
      </c>
      <c r="AD30" s="126">
        <v>0</v>
      </c>
      <c r="AE30" s="139" t="str">
        <f t="shared" si="37"/>
        <v>-</v>
      </c>
      <c r="AF30" s="125">
        <v>0</v>
      </c>
      <c r="AG30" s="126">
        <v>0</v>
      </c>
      <c r="AH30" s="139" t="str">
        <f t="shared" si="73"/>
        <v>-</v>
      </c>
      <c r="AI30" s="125">
        <v>0</v>
      </c>
      <c r="AJ30" s="126">
        <v>0</v>
      </c>
      <c r="AK30" s="139" t="str">
        <f t="shared" si="62"/>
        <v>-</v>
      </c>
      <c r="AL30" s="125">
        <v>0</v>
      </c>
      <c r="AM30" s="126">
        <v>0</v>
      </c>
      <c r="AN30" s="139" t="str">
        <f t="shared" si="63"/>
        <v>-</v>
      </c>
      <c r="AO30" s="125">
        <v>0</v>
      </c>
      <c r="AP30" s="126">
        <v>0</v>
      </c>
      <c r="AQ30" s="139" t="str">
        <f t="shared" si="64"/>
        <v>-</v>
      </c>
      <c r="AR30" s="125">
        <v>0</v>
      </c>
      <c r="AS30" s="126">
        <v>0</v>
      </c>
      <c r="AT30" s="139" t="str">
        <f t="shared" si="55"/>
        <v>-</v>
      </c>
      <c r="AU30" s="125">
        <v>0</v>
      </c>
      <c r="AV30" s="126">
        <v>0</v>
      </c>
      <c r="AW30" s="139" t="str">
        <f t="shared" si="130"/>
        <v>-</v>
      </c>
      <c r="AX30" s="125">
        <v>0</v>
      </c>
      <c r="AY30" s="126">
        <v>0</v>
      </c>
      <c r="AZ30" s="139" t="str">
        <f t="shared" si="40"/>
        <v>-</v>
      </c>
      <c r="BA30" s="125">
        <v>0</v>
      </c>
      <c r="BB30" s="126">
        <v>0</v>
      </c>
      <c r="BC30" s="139" t="str">
        <f t="shared" si="131"/>
        <v>-</v>
      </c>
      <c r="BD30" s="125">
        <v>0</v>
      </c>
      <c r="BE30" s="126">
        <v>0</v>
      </c>
      <c r="BF30" s="139" t="str">
        <f t="shared" si="132"/>
        <v>-</v>
      </c>
      <c r="BG30" s="125">
        <v>0</v>
      </c>
      <c r="BH30" s="126">
        <v>0</v>
      </c>
      <c r="BI30" s="139" t="str">
        <f t="shared" si="67"/>
        <v>-</v>
      </c>
      <c r="BJ30" s="125">
        <v>0</v>
      </c>
      <c r="BK30" s="126">
        <v>0</v>
      </c>
      <c r="BL30" s="139" t="str">
        <f t="shared" si="20"/>
        <v>-</v>
      </c>
      <c r="BM30" s="125">
        <v>0</v>
      </c>
      <c r="BN30" s="126">
        <v>0</v>
      </c>
      <c r="BO30" s="139" t="str">
        <f t="shared" si="21"/>
        <v>-</v>
      </c>
      <c r="BP30" s="125">
        <v>0</v>
      </c>
      <c r="BQ30" s="126">
        <v>0</v>
      </c>
      <c r="BR30" s="139" t="str">
        <f t="shared" si="22"/>
        <v>-</v>
      </c>
      <c r="BS30" s="125">
        <v>0</v>
      </c>
      <c r="BT30" s="126">
        <v>0</v>
      </c>
      <c r="BU30" s="139" t="str">
        <f t="shared" si="23"/>
        <v>-</v>
      </c>
      <c r="BV30" s="125">
        <v>0</v>
      </c>
      <c r="BW30" s="126">
        <v>0</v>
      </c>
      <c r="BX30" s="139" t="str">
        <f t="shared" si="24"/>
        <v>-</v>
      </c>
      <c r="BY30" s="125">
        <v>0</v>
      </c>
      <c r="BZ30" s="126">
        <v>0</v>
      </c>
      <c r="CA30" s="139" t="str">
        <f t="shared" si="59"/>
        <v>-</v>
      </c>
      <c r="CB30" s="125">
        <v>0</v>
      </c>
      <c r="CC30" s="126">
        <v>0</v>
      </c>
      <c r="CD30" s="139" t="str">
        <f t="shared" si="60"/>
        <v>-</v>
      </c>
      <c r="CE30" s="125">
        <v>0</v>
      </c>
      <c r="CF30" s="126">
        <v>0</v>
      </c>
      <c r="CG30" s="139" t="str">
        <f t="shared" si="46"/>
        <v>-</v>
      </c>
      <c r="CH30" s="125">
        <v>0</v>
      </c>
      <c r="CI30" s="126">
        <v>0</v>
      </c>
      <c r="CJ30" s="139" t="str">
        <f t="shared" si="133"/>
        <v>-</v>
      </c>
      <c r="CK30" s="125">
        <v>0</v>
      </c>
      <c r="CL30" s="126">
        <v>0</v>
      </c>
      <c r="CM30" s="139" t="str">
        <f t="shared" si="134"/>
        <v>-</v>
      </c>
      <c r="CN30" s="117">
        <f t="shared" si="30"/>
        <v>0</v>
      </c>
      <c r="CO30" s="120">
        <f t="shared" si="31"/>
        <v>0</v>
      </c>
      <c r="CP30" s="147" t="str">
        <f t="shared" si="32"/>
        <v/>
      </c>
    </row>
    <row r="31" spans="1:94" ht="15" thickBot="1" x14ac:dyDescent="0.35">
      <c r="A31" s="294">
        <v>45653</v>
      </c>
      <c r="B31" s="20">
        <v>0</v>
      </c>
      <c r="C31" s="21">
        <v>0</v>
      </c>
      <c r="D31" s="139">
        <v>0</v>
      </c>
      <c r="E31" s="20">
        <v>0</v>
      </c>
      <c r="F31" s="21">
        <v>0</v>
      </c>
      <c r="G31" s="139">
        <v>0</v>
      </c>
      <c r="H31" s="20"/>
      <c r="I31" s="21"/>
      <c r="J31" s="139" t="str">
        <f t="shared" si="135"/>
        <v>-</v>
      </c>
      <c r="K31" s="20">
        <v>0</v>
      </c>
      <c r="L31" s="21">
        <v>0</v>
      </c>
      <c r="M31" s="139">
        <v>0</v>
      </c>
      <c r="N31" s="125">
        <v>0</v>
      </c>
      <c r="O31" s="126">
        <v>0</v>
      </c>
      <c r="P31" s="139" t="str">
        <f t="shared" si="136"/>
        <v>-</v>
      </c>
      <c r="Q31" s="125">
        <v>0</v>
      </c>
      <c r="R31" s="126">
        <v>0</v>
      </c>
      <c r="S31" s="139" t="str">
        <f t="shared" si="33"/>
        <v>-</v>
      </c>
      <c r="T31" s="125">
        <v>0</v>
      </c>
      <c r="U31" s="126">
        <v>0</v>
      </c>
      <c r="V31" s="139" t="str">
        <f t="shared" si="34"/>
        <v>-</v>
      </c>
      <c r="W31" s="125">
        <v>0</v>
      </c>
      <c r="X31" s="126">
        <v>0</v>
      </c>
      <c r="Y31" s="139" t="str">
        <f t="shared" si="127"/>
        <v>-</v>
      </c>
      <c r="Z31" s="125">
        <v>0</v>
      </c>
      <c r="AA31" s="126">
        <v>0</v>
      </c>
      <c r="AB31" s="139" t="str">
        <f t="shared" si="36"/>
        <v>-</v>
      </c>
      <c r="AC31" s="125">
        <v>0</v>
      </c>
      <c r="AD31" s="126">
        <v>0</v>
      </c>
      <c r="AE31" s="139" t="str">
        <f t="shared" si="37"/>
        <v>-</v>
      </c>
      <c r="AF31" s="125">
        <v>0</v>
      </c>
      <c r="AG31" s="126">
        <v>0</v>
      </c>
      <c r="AH31" s="139" t="str">
        <f t="shared" si="73"/>
        <v>-</v>
      </c>
      <c r="AI31" s="125">
        <v>0</v>
      </c>
      <c r="AJ31" s="126">
        <v>0</v>
      </c>
      <c r="AK31" s="139" t="str">
        <f t="shared" si="62"/>
        <v>-</v>
      </c>
      <c r="AL31" s="125">
        <v>0</v>
      </c>
      <c r="AM31" s="126">
        <v>0</v>
      </c>
      <c r="AN31" s="139" t="str">
        <f t="shared" si="63"/>
        <v>-</v>
      </c>
      <c r="AO31" s="125">
        <v>0</v>
      </c>
      <c r="AP31" s="126">
        <v>0</v>
      </c>
      <c r="AQ31" s="139" t="str">
        <f t="shared" si="64"/>
        <v>-</v>
      </c>
      <c r="AR31" s="125">
        <v>0</v>
      </c>
      <c r="AS31" s="126">
        <v>0</v>
      </c>
      <c r="AT31" s="139" t="str">
        <f t="shared" si="55"/>
        <v>-</v>
      </c>
      <c r="AU31" s="125">
        <v>0</v>
      </c>
      <c r="AV31" s="126">
        <v>0</v>
      </c>
      <c r="AW31" s="139" t="str">
        <f t="shared" si="130"/>
        <v>-</v>
      </c>
      <c r="AX31" s="125">
        <v>0</v>
      </c>
      <c r="AY31" s="126">
        <v>0</v>
      </c>
      <c r="AZ31" s="139" t="str">
        <f t="shared" si="40"/>
        <v>-</v>
      </c>
      <c r="BA31" s="125">
        <v>0</v>
      </c>
      <c r="BB31" s="126">
        <v>0</v>
      </c>
      <c r="BC31" s="139" t="str">
        <f t="shared" si="131"/>
        <v>-</v>
      </c>
      <c r="BD31" s="125">
        <v>0</v>
      </c>
      <c r="BE31" s="126">
        <v>0</v>
      </c>
      <c r="BF31" s="139" t="str">
        <f t="shared" si="132"/>
        <v>-</v>
      </c>
      <c r="BG31" s="125">
        <v>0</v>
      </c>
      <c r="BH31" s="126">
        <v>0</v>
      </c>
      <c r="BI31" s="139" t="str">
        <f t="shared" si="67"/>
        <v>-</v>
      </c>
      <c r="BJ31" s="125">
        <v>0</v>
      </c>
      <c r="BK31" s="126">
        <v>0</v>
      </c>
      <c r="BL31" s="139" t="str">
        <f t="shared" si="20"/>
        <v>-</v>
      </c>
      <c r="BM31" s="125">
        <v>0</v>
      </c>
      <c r="BN31" s="126">
        <v>0</v>
      </c>
      <c r="BO31" s="139" t="str">
        <f t="shared" si="21"/>
        <v>-</v>
      </c>
      <c r="BP31" s="125">
        <v>0</v>
      </c>
      <c r="BQ31" s="126">
        <v>0</v>
      </c>
      <c r="BR31" s="139" t="str">
        <f t="shared" si="22"/>
        <v>-</v>
      </c>
      <c r="BS31" s="125">
        <v>0</v>
      </c>
      <c r="BT31" s="126">
        <v>0</v>
      </c>
      <c r="BU31" s="139" t="str">
        <f t="shared" si="23"/>
        <v>-</v>
      </c>
      <c r="BV31" s="125">
        <v>0</v>
      </c>
      <c r="BW31" s="126">
        <v>0</v>
      </c>
      <c r="BX31" s="139" t="str">
        <f t="shared" si="24"/>
        <v>-</v>
      </c>
      <c r="BY31" s="125">
        <v>0</v>
      </c>
      <c r="BZ31" s="126">
        <v>0</v>
      </c>
      <c r="CA31" s="139" t="str">
        <f t="shared" si="59"/>
        <v>-</v>
      </c>
      <c r="CB31" s="125">
        <v>0</v>
      </c>
      <c r="CC31" s="126">
        <v>0</v>
      </c>
      <c r="CD31" s="139" t="str">
        <f t="shared" si="60"/>
        <v>-</v>
      </c>
      <c r="CE31" s="125">
        <v>0</v>
      </c>
      <c r="CF31" s="126">
        <v>0</v>
      </c>
      <c r="CG31" s="139" t="str">
        <f t="shared" si="46"/>
        <v>-</v>
      </c>
      <c r="CH31" s="125">
        <v>0</v>
      </c>
      <c r="CI31" s="126">
        <v>0</v>
      </c>
      <c r="CJ31" s="139" t="str">
        <f t="shared" si="133"/>
        <v>-</v>
      </c>
      <c r="CK31" s="125">
        <v>0</v>
      </c>
      <c r="CL31" s="126">
        <v>0</v>
      </c>
      <c r="CM31" s="139" t="str">
        <f t="shared" si="134"/>
        <v>-</v>
      </c>
      <c r="CN31" s="117">
        <f t="shared" si="30"/>
        <v>0</v>
      </c>
      <c r="CO31" s="120">
        <f t="shared" si="31"/>
        <v>0</v>
      </c>
      <c r="CP31" s="147" t="str">
        <f t="shared" si="32"/>
        <v/>
      </c>
    </row>
    <row r="32" spans="1:94" ht="15" thickBot="1" x14ac:dyDescent="0.35">
      <c r="A32" s="294">
        <v>45654</v>
      </c>
      <c r="B32" s="20">
        <v>0</v>
      </c>
      <c r="C32" s="21">
        <v>0</v>
      </c>
      <c r="D32" s="139">
        <v>0</v>
      </c>
      <c r="E32" s="20">
        <v>0</v>
      </c>
      <c r="F32" s="21">
        <v>0</v>
      </c>
      <c r="G32" s="139">
        <v>0</v>
      </c>
      <c r="H32" s="20"/>
      <c r="I32" s="21"/>
      <c r="J32" s="139" t="str">
        <f t="shared" si="135"/>
        <v>-</v>
      </c>
      <c r="K32" s="20">
        <v>0</v>
      </c>
      <c r="L32" s="21">
        <v>0</v>
      </c>
      <c r="M32" s="139">
        <v>0</v>
      </c>
      <c r="N32" s="125">
        <v>0</v>
      </c>
      <c r="O32" s="126">
        <v>0</v>
      </c>
      <c r="P32" s="139" t="str">
        <f t="shared" si="136"/>
        <v>-</v>
      </c>
      <c r="Q32" s="125">
        <v>0</v>
      </c>
      <c r="R32" s="126">
        <v>0</v>
      </c>
      <c r="S32" s="139" t="str">
        <f t="shared" si="33"/>
        <v>-</v>
      </c>
      <c r="T32" s="125">
        <v>0</v>
      </c>
      <c r="U32" s="126">
        <v>0</v>
      </c>
      <c r="V32" s="139" t="str">
        <f t="shared" si="34"/>
        <v>-</v>
      </c>
      <c r="W32" s="125">
        <v>0</v>
      </c>
      <c r="X32" s="126">
        <v>0</v>
      </c>
      <c r="Y32" s="139" t="str">
        <f t="shared" si="127"/>
        <v>-</v>
      </c>
      <c r="Z32" s="125">
        <v>0</v>
      </c>
      <c r="AA32" s="126">
        <v>0</v>
      </c>
      <c r="AB32" s="139" t="str">
        <f t="shared" si="36"/>
        <v>-</v>
      </c>
      <c r="AC32" s="125">
        <v>0</v>
      </c>
      <c r="AD32" s="126">
        <v>0</v>
      </c>
      <c r="AE32" s="139" t="str">
        <f t="shared" si="37"/>
        <v>-</v>
      </c>
      <c r="AF32" s="125">
        <v>0</v>
      </c>
      <c r="AG32" s="126">
        <v>0</v>
      </c>
      <c r="AH32" s="139" t="str">
        <f t="shared" si="73"/>
        <v>-</v>
      </c>
      <c r="AI32" s="125">
        <v>0</v>
      </c>
      <c r="AJ32" s="126">
        <v>0</v>
      </c>
      <c r="AK32" s="139" t="str">
        <f t="shared" si="62"/>
        <v>-</v>
      </c>
      <c r="AL32" s="125">
        <v>0</v>
      </c>
      <c r="AM32" s="126">
        <v>0</v>
      </c>
      <c r="AN32" s="139" t="str">
        <f t="shared" si="63"/>
        <v>-</v>
      </c>
      <c r="AO32" s="125">
        <v>0</v>
      </c>
      <c r="AP32" s="126">
        <v>0</v>
      </c>
      <c r="AQ32" s="139" t="str">
        <f t="shared" si="64"/>
        <v>-</v>
      </c>
      <c r="AR32" s="125">
        <v>0</v>
      </c>
      <c r="AS32" s="126">
        <v>0</v>
      </c>
      <c r="AT32" s="139" t="str">
        <f t="shared" si="55"/>
        <v>-</v>
      </c>
      <c r="AU32" s="125">
        <v>0</v>
      </c>
      <c r="AV32" s="126">
        <v>0</v>
      </c>
      <c r="AW32" s="139" t="str">
        <f t="shared" si="130"/>
        <v>-</v>
      </c>
      <c r="AX32" s="125">
        <v>0</v>
      </c>
      <c r="AY32" s="126">
        <v>0</v>
      </c>
      <c r="AZ32" s="139" t="str">
        <f t="shared" si="40"/>
        <v>-</v>
      </c>
      <c r="BA32" s="125">
        <v>0</v>
      </c>
      <c r="BB32" s="126">
        <v>0</v>
      </c>
      <c r="BC32" s="139" t="str">
        <f t="shared" si="131"/>
        <v>-</v>
      </c>
      <c r="BD32" s="125">
        <v>0</v>
      </c>
      <c r="BE32" s="126">
        <v>0</v>
      </c>
      <c r="BF32" s="139" t="str">
        <f t="shared" si="132"/>
        <v>-</v>
      </c>
      <c r="BG32" s="125">
        <v>0</v>
      </c>
      <c r="BH32" s="126">
        <v>0</v>
      </c>
      <c r="BI32" s="139" t="str">
        <f t="shared" si="67"/>
        <v>-</v>
      </c>
      <c r="BJ32" s="125">
        <v>0</v>
      </c>
      <c r="BK32" s="126">
        <v>0</v>
      </c>
      <c r="BL32" s="139" t="str">
        <f t="shared" si="20"/>
        <v>-</v>
      </c>
      <c r="BM32" s="125">
        <v>0</v>
      </c>
      <c r="BN32" s="126">
        <v>0</v>
      </c>
      <c r="BO32" s="139" t="str">
        <f t="shared" si="21"/>
        <v>-</v>
      </c>
      <c r="BP32" s="125">
        <v>0</v>
      </c>
      <c r="BQ32" s="126">
        <v>0</v>
      </c>
      <c r="BR32" s="139" t="str">
        <f t="shared" si="22"/>
        <v>-</v>
      </c>
      <c r="BS32" s="125">
        <v>0</v>
      </c>
      <c r="BT32" s="126">
        <v>0</v>
      </c>
      <c r="BU32" s="139" t="str">
        <f t="shared" si="23"/>
        <v>-</v>
      </c>
      <c r="BV32" s="125">
        <v>0</v>
      </c>
      <c r="BW32" s="126">
        <v>0</v>
      </c>
      <c r="BX32" s="139" t="str">
        <f t="shared" si="24"/>
        <v>-</v>
      </c>
      <c r="BY32" s="125">
        <v>0</v>
      </c>
      <c r="BZ32" s="126">
        <v>0</v>
      </c>
      <c r="CA32" s="139" t="str">
        <f t="shared" si="59"/>
        <v>-</v>
      </c>
      <c r="CB32" s="125">
        <v>0</v>
      </c>
      <c r="CC32" s="126">
        <v>0</v>
      </c>
      <c r="CD32" s="139" t="str">
        <f t="shared" si="60"/>
        <v>-</v>
      </c>
      <c r="CE32" s="125">
        <v>0</v>
      </c>
      <c r="CF32" s="126">
        <v>0</v>
      </c>
      <c r="CG32" s="139" t="str">
        <f t="shared" si="46"/>
        <v>-</v>
      </c>
      <c r="CH32" s="125">
        <v>0</v>
      </c>
      <c r="CI32" s="126">
        <v>0</v>
      </c>
      <c r="CJ32" s="139" t="str">
        <f t="shared" si="133"/>
        <v>-</v>
      </c>
      <c r="CK32" s="125">
        <v>0</v>
      </c>
      <c r="CL32" s="126">
        <v>0</v>
      </c>
      <c r="CM32" s="139" t="str">
        <f t="shared" si="134"/>
        <v>-</v>
      </c>
      <c r="CN32" s="117">
        <f t="shared" si="30"/>
        <v>0</v>
      </c>
      <c r="CO32" s="120">
        <f t="shared" si="31"/>
        <v>0</v>
      </c>
      <c r="CP32" s="147" t="str">
        <f t="shared" si="32"/>
        <v/>
      </c>
    </row>
    <row r="33" spans="1:94" ht="15" thickBot="1" x14ac:dyDescent="0.35">
      <c r="A33" s="294">
        <v>45655</v>
      </c>
      <c r="B33" s="20">
        <v>0</v>
      </c>
      <c r="C33" s="21">
        <v>0</v>
      </c>
      <c r="D33" s="139">
        <v>0</v>
      </c>
      <c r="E33" s="20">
        <v>0</v>
      </c>
      <c r="F33" s="21">
        <v>0</v>
      </c>
      <c r="G33" s="139">
        <v>0</v>
      </c>
      <c r="H33" s="20"/>
      <c r="I33" s="21"/>
      <c r="J33" s="139" t="str">
        <f t="shared" si="135"/>
        <v>-</v>
      </c>
      <c r="K33" s="20">
        <v>0</v>
      </c>
      <c r="L33" s="21">
        <v>0</v>
      </c>
      <c r="M33" s="139">
        <v>0</v>
      </c>
      <c r="N33" s="125">
        <v>0</v>
      </c>
      <c r="O33" s="126">
        <v>0</v>
      </c>
      <c r="P33" s="139" t="str">
        <f t="shared" si="136"/>
        <v>-</v>
      </c>
      <c r="Q33" s="125">
        <v>0</v>
      </c>
      <c r="R33" s="126">
        <v>0</v>
      </c>
      <c r="S33" s="139" t="str">
        <f t="shared" si="33"/>
        <v>-</v>
      </c>
      <c r="T33" s="125">
        <v>0</v>
      </c>
      <c r="U33" s="126">
        <v>0</v>
      </c>
      <c r="V33" s="139" t="str">
        <f t="shared" si="34"/>
        <v>-</v>
      </c>
      <c r="W33" s="125">
        <v>0</v>
      </c>
      <c r="X33" s="126">
        <v>0</v>
      </c>
      <c r="Y33" s="139" t="str">
        <f t="shared" si="127"/>
        <v>-</v>
      </c>
      <c r="Z33" s="125">
        <v>0</v>
      </c>
      <c r="AA33" s="126">
        <v>0</v>
      </c>
      <c r="AB33" s="139" t="str">
        <f t="shared" si="36"/>
        <v>-</v>
      </c>
      <c r="AC33" s="125">
        <v>0</v>
      </c>
      <c r="AD33" s="126">
        <v>0</v>
      </c>
      <c r="AE33" s="139" t="str">
        <f t="shared" si="37"/>
        <v>-</v>
      </c>
      <c r="AF33" s="125">
        <v>0</v>
      </c>
      <c r="AG33" s="126">
        <v>0</v>
      </c>
      <c r="AH33" s="139" t="str">
        <f t="shared" si="73"/>
        <v>-</v>
      </c>
      <c r="AI33" s="125">
        <v>0</v>
      </c>
      <c r="AJ33" s="126">
        <v>0</v>
      </c>
      <c r="AK33" s="139" t="str">
        <f t="shared" si="62"/>
        <v>-</v>
      </c>
      <c r="AL33" s="125">
        <v>0</v>
      </c>
      <c r="AM33" s="126">
        <v>0</v>
      </c>
      <c r="AN33" s="139" t="str">
        <f t="shared" si="63"/>
        <v>-</v>
      </c>
      <c r="AO33" s="125">
        <v>0</v>
      </c>
      <c r="AP33" s="126">
        <v>0</v>
      </c>
      <c r="AQ33" s="139" t="str">
        <f t="shared" si="64"/>
        <v>-</v>
      </c>
      <c r="AR33" s="125">
        <v>0</v>
      </c>
      <c r="AS33" s="126">
        <v>0</v>
      </c>
      <c r="AT33" s="139" t="str">
        <f t="shared" si="55"/>
        <v>-</v>
      </c>
      <c r="AU33" s="125">
        <v>0</v>
      </c>
      <c r="AV33" s="126">
        <v>0</v>
      </c>
      <c r="AW33" s="139" t="str">
        <f t="shared" si="130"/>
        <v>-</v>
      </c>
      <c r="AX33" s="125">
        <v>0</v>
      </c>
      <c r="AY33" s="126">
        <v>0</v>
      </c>
      <c r="AZ33" s="139" t="str">
        <f t="shared" si="40"/>
        <v>-</v>
      </c>
      <c r="BA33" s="125">
        <v>0</v>
      </c>
      <c r="BB33" s="126">
        <v>0</v>
      </c>
      <c r="BC33" s="139" t="str">
        <f t="shared" si="131"/>
        <v>-</v>
      </c>
      <c r="BD33" s="125">
        <v>0</v>
      </c>
      <c r="BE33" s="126">
        <v>0</v>
      </c>
      <c r="BF33" s="139" t="str">
        <f t="shared" si="132"/>
        <v>-</v>
      </c>
      <c r="BG33" s="125">
        <v>0</v>
      </c>
      <c r="BH33" s="126">
        <v>0</v>
      </c>
      <c r="BI33" s="139" t="str">
        <f t="shared" si="67"/>
        <v>-</v>
      </c>
      <c r="BJ33" s="125">
        <v>0</v>
      </c>
      <c r="BK33" s="126">
        <v>0</v>
      </c>
      <c r="BL33" s="139" t="str">
        <f t="shared" si="20"/>
        <v>-</v>
      </c>
      <c r="BM33" s="125">
        <v>0</v>
      </c>
      <c r="BN33" s="126">
        <v>0</v>
      </c>
      <c r="BO33" s="139" t="str">
        <f t="shared" si="21"/>
        <v>-</v>
      </c>
      <c r="BP33" s="125">
        <v>0</v>
      </c>
      <c r="BQ33" s="126">
        <v>0</v>
      </c>
      <c r="BR33" s="139" t="str">
        <f t="shared" si="22"/>
        <v>-</v>
      </c>
      <c r="BS33" s="125">
        <v>0</v>
      </c>
      <c r="BT33" s="126">
        <v>0</v>
      </c>
      <c r="BU33" s="139" t="str">
        <f t="shared" si="23"/>
        <v>-</v>
      </c>
      <c r="BV33" s="125">
        <v>0</v>
      </c>
      <c r="BW33" s="126">
        <v>0</v>
      </c>
      <c r="BX33" s="139" t="str">
        <f t="shared" si="24"/>
        <v>-</v>
      </c>
      <c r="BY33" s="125">
        <v>0</v>
      </c>
      <c r="BZ33" s="126">
        <v>0</v>
      </c>
      <c r="CA33" s="139" t="str">
        <f t="shared" si="59"/>
        <v>-</v>
      </c>
      <c r="CB33" s="125">
        <v>0</v>
      </c>
      <c r="CC33" s="126">
        <v>0</v>
      </c>
      <c r="CD33" s="139" t="str">
        <f t="shared" si="60"/>
        <v>-</v>
      </c>
      <c r="CE33" s="125">
        <v>0</v>
      </c>
      <c r="CF33" s="126">
        <v>0</v>
      </c>
      <c r="CG33" s="139" t="str">
        <f t="shared" si="46"/>
        <v>-</v>
      </c>
      <c r="CH33" s="125">
        <v>0</v>
      </c>
      <c r="CI33" s="126">
        <v>0</v>
      </c>
      <c r="CJ33" s="139" t="str">
        <f t="shared" si="133"/>
        <v>-</v>
      </c>
      <c r="CK33" s="125">
        <v>0</v>
      </c>
      <c r="CL33" s="126">
        <v>0</v>
      </c>
      <c r="CM33" s="139" t="str">
        <f t="shared" si="134"/>
        <v>-</v>
      </c>
      <c r="CN33" s="117">
        <f t="shared" si="30"/>
        <v>0</v>
      </c>
      <c r="CO33" s="120">
        <f t="shared" si="31"/>
        <v>0</v>
      </c>
      <c r="CP33" s="147" t="str">
        <f t="shared" si="32"/>
        <v/>
      </c>
    </row>
    <row r="34" spans="1:94" ht="15" thickBot="1" x14ac:dyDescent="0.35">
      <c r="A34" s="294">
        <v>45656</v>
      </c>
      <c r="B34" s="20">
        <v>0</v>
      </c>
      <c r="C34" s="21">
        <v>0</v>
      </c>
      <c r="D34" s="139">
        <v>0</v>
      </c>
      <c r="E34" s="20">
        <v>0</v>
      </c>
      <c r="F34" s="21">
        <v>0</v>
      </c>
      <c r="G34" s="139">
        <v>0</v>
      </c>
      <c r="H34" s="20"/>
      <c r="I34" s="21"/>
      <c r="J34" s="139" t="str">
        <f t="shared" si="135"/>
        <v>-</v>
      </c>
      <c r="K34" s="20">
        <v>0</v>
      </c>
      <c r="L34" s="21">
        <v>0</v>
      </c>
      <c r="M34" s="139">
        <v>0</v>
      </c>
      <c r="N34" s="125">
        <v>0</v>
      </c>
      <c r="O34" s="126">
        <v>0</v>
      </c>
      <c r="P34" s="139" t="str">
        <f t="shared" si="136"/>
        <v>-</v>
      </c>
      <c r="Q34" s="125">
        <v>0</v>
      </c>
      <c r="R34" s="126">
        <v>0</v>
      </c>
      <c r="S34" s="139" t="str">
        <f t="shared" si="33"/>
        <v>-</v>
      </c>
      <c r="T34" s="125">
        <v>0</v>
      </c>
      <c r="U34" s="126">
        <v>0</v>
      </c>
      <c r="V34" s="139" t="str">
        <f t="shared" si="34"/>
        <v>-</v>
      </c>
      <c r="W34" s="125">
        <v>0</v>
      </c>
      <c r="X34" s="126">
        <v>0</v>
      </c>
      <c r="Y34" s="139" t="str">
        <f t="shared" si="127"/>
        <v>-</v>
      </c>
      <c r="Z34" s="125">
        <v>0</v>
      </c>
      <c r="AA34" s="126">
        <v>0</v>
      </c>
      <c r="AB34" s="139" t="str">
        <f t="shared" si="36"/>
        <v>-</v>
      </c>
      <c r="AC34" s="125">
        <v>0</v>
      </c>
      <c r="AD34" s="126">
        <v>0</v>
      </c>
      <c r="AE34" s="139" t="str">
        <f t="shared" si="37"/>
        <v>-</v>
      </c>
      <c r="AF34" s="125">
        <v>0</v>
      </c>
      <c r="AG34" s="126">
        <v>0</v>
      </c>
      <c r="AH34" s="139" t="str">
        <f t="shared" si="73"/>
        <v>-</v>
      </c>
      <c r="AI34" s="125">
        <v>0</v>
      </c>
      <c r="AJ34" s="126">
        <v>0</v>
      </c>
      <c r="AK34" s="139" t="str">
        <f t="shared" si="62"/>
        <v>-</v>
      </c>
      <c r="AL34" s="125">
        <v>0</v>
      </c>
      <c r="AM34" s="126">
        <v>0</v>
      </c>
      <c r="AN34" s="139" t="str">
        <f t="shared" si="63"/>
        <v>-</v>
      </c>
      <c r="AO34" s="125">
        <v>0</v>
      </c>
      <c r="AP34" s="126">
        <v>0</v>
      </c>
      <c r="AQ34" s="139" t="str">
        <f t="shared" si="64"/>
        <v>-</v>
      </c>
      <c r="AR34" s="125">
        <v>0</v>
      </c>
      <c r="AS34" s="126">
        <v>0</v>
      </c>
      <c r="AT34" s="139" t="str">
        <f t="shared" si="55"/>
        <v>-</v>
      </c>
      <c r="AU34" s="125">
        <v>0</v>
      </c>
      <c r="AV34" s="126">
        <v>0</v>
      </c>
      <c r="AW34" s="139" t="str">
        <f t="shared" si="130"/>
        <v>-</v>
      </c>
      <c r="AX34" s="125">
        <v>0</v>
      </c>
      <c r="AY34" s="126">
        <v>0</v>
      </c>
      <c r="AZ34" s="139" t="str">
        <f t="shared" si="40"/>
        <v>-</v>
      </c>
      <c r="BA34" s="125">
        <v>0</v>
      </c>
      <c r="BB34" s="126">
        <v>0</v>
      </c>
      <c r="BC34" s="139" t="str">
        <f t="shared" si="131"/>
        <v>-</v>
      </c>
      <c r="BD34" s="125">
        <v>0</v>
      </c>
      <c r="BE34" s="126">
        <v>0</v>
      </c>
      <c r="BF34" s="139" t="str">
        <f t="shared" si="132"/>
        <v>-</v>
      </c>
      <c r="BG34" s="125">
        <v>0</v>
      </c>
      <c r="BH34" s="126">
        <v>0</v>
      </c>
      <c r="BI34" s="139" t="str">
        <f t="shared" si="67"/>
        <v>-</v>
      </c>
      <c r="BJ34" s="125">
        <v>0</v>
      </c>
      <c r="BK34" s="126">
        <v>0</v>
      </c>
      <c r="BL34" s="139" t="str">
        <f t="shared" si="20"/>
        <v>-</v>
      </c>
      <c r="BM34" s="125">
        <v>0</v>
      </c>
      <c r="BN34" s="126">
        <v>0</v>
      </c>
      <c r="BO34" s="139" t="str">
        <f t="shared" si="21"/>
        <v>-</v>
      </c>
      <c r="BP34" s="125">
        <v>0</v>
      </c>
      <c r="BQ34" s="126">
        <v>0</v>
      </c>
      <c r="BR34" s="139" t="str">
        <f t="shared" si="22"/>
        <v>-</v>
      </c>
      <c r="BS34" s="125">
        <v>0</v>
      </c>
      <c r="BT34" s="126">
        <v>0</v>
      </c>
      <c r="BU34" s="139" t="str">
        <f t="shared" si="23"/>
        <v>-</v>
      </c>
      <c r="BV34" s="125">
        <v>0</v>
      </c>
      <c r="BW34" s="126">
        <v>0</v>
      </c>
      <c r="BX34" s="139" t="str">
        <f t="shared" si="24"/>
        <v>-</v>
      </c>
      <c r="BY34" s="125">
        <v>0</v>
      </c>
      <c r="BZ34" s="126">
        <v>0</v>
      </c>
      <c r="CA34" s="139" t="str">
        <f t="shared" si="59"/>
        <v>-</v>
      </c>
      <c r="CB34" s="125">
        <v>0</v>
      </c>
      <c r="CC34" s="126">
        <v>0</v>
      </c>
      <c r="CD34" s="139" t="str">
        <f t="shared" si="60"/>
        <v>-</v>
      </c>
      <c r="CE34" s="125">
        <v>0</v>
      </c>
      <c r="CF34" s="126">
        <v>0</v>
      </c>
      <c r="CG34" s="139" t="str">
        <f t="shared" si="46"/>
        <v>-</v>
      </c>
      <c r="CH34" s="125">
        <v>0</v>
      </c>
      <c r="CI34" s="126">
        <v>0</v>
      </c>
      <c r="CJ34" s="139" t="str">
        <f t="shared" si="133"/>
        <v>-</v>
      </c>
      <c r="CK34" s="125">
        <v>0</v>
      </c>
      <c r="CL34" s="126">
        <v>0</v>
      </c>
      <c r="CM34" s="139" t="str">
        <f t="shared" si="134"/>
        <v>-</v>
      </c>
      <c r="CN34" s="117">
        <f t="shared" si="30"/>
        <v>0</v>
      </c>
      <c r="CO34" s="120">
        <f t="shared" si="31"/>
        <v>0</v>
      </c>
      <c r="CP34" s="147" t="str">
        <f t="shared" si="32"/>
        <v/>
      </c>
    </row>
    <row r="35" spans="1:94" s="41" customFormat="1" ht="15.6" customHeight="1" thickBot="1" x14ac:dyDescent="0.35">
      <c r="A35" s="295" t="s">
        <v>33</v>
      </c>
      <c r="B35" s="43">
        <f>SUM(B5:B34)</f>
        <v>956</v>
      </c>
      <c r="C35" s="43">
        <f>SUM(C5:C34)</f>
        <v>115</v>
      </c>
      <c r="D35" s="44">
        <f>B35/C35</f>
        <v>8.3130434782608695</v>
      </c>
      <c r="E35" s="43">
        <f>SUM(E5:E34)</f>
        <v>95</v>
      </c>
      <c r="F35" s="43">
        <f>SUM(F5:F34)</f>
        <v>13</v>
      </c>
      <c r="G35" s="44">
        <f>E35/F35</f>
        <v>7.3076923076923075</v>
      </c>
      <c r="H35" s="43">
        <f>SUM(H5:H34)</f>
        <v>0</v>
      </c>
      <c r="I35" s="43">
        <f>SUM(I5:I34)</f>
        <v>0</v>
      </c>
      <c r="J35" s="44" t="e">
        <f>H35/I35</f>
        <v>#DIV/0!</v>
      </c>
      <c r="K35" s="43">
        <f>SUM(K5:K34)</f>
        <v>328</v>
      </c>
      <c r="L35" s="43">
        <f>SUM(L5:L34)</f>
        <v>40</v>
      </c>
      <c r="M35" s="44">
        <f>K35/L35</f>
        <v>8.1999999999999993</v>
      </c>
      <c r="N35" s="43">
        <f>SUM(N5:N34)</f>
        <v>10</v>
      </c>
      <c r="O35" s="43">
        <f>SUM(O5:O34)</f>
        <v>2</v>
      </c>
      <c r="P35" s="44">
        <f>N35/O35</f>
        <v>5</v>
      </c>
      <c r="Q35" s="43">
        <f>SUM(Q5:Q34)</f>
        <v>725</v>
      </c>
      <c r="R35" s="43">
        <f>SUM(R5:R34)</f>
        <v>150</v>
      </c>
      <c r="S35" s="44">
        <f>Q35/R35</f>
        <v>4.833333333333333</v>
      </c>
      <c r="T35" s="43">
        <f>SUM(T5:T34)</f>
        <v>49</v>
      </c>
      <c r="U35" s="43">
        <f>SUM(U5:U34)</f>
        <v>10</v>
      </c>
      <c r="V35" s="44">
        <f>T35/U35</f>
        <v>4.9000000000000004</v>
      </c>
      <c r="W35" s="43">
        <f>SUM(W5:W34)</f>
        <v>0</v>
      </c>
      <c r="X35" s="43">
        <f>SUM(X5:X34)</f>
        <v>0</v>
      </c>
      <c r="Y35" s="297" t="e">
        <f>W35/X35</f>
        <v>#DIV/0!</v>
      </c>
      <c r="Z35" s="43">
        <f>SUM(Z5:Z34)</f>
        <v>405</v>
      </c>
      <c r="AA35" s="43">
        <f>SUM(AA5:AA34)</f>
        <v>82</v>
      </c>
      <c r="AB35" s="297">
        <f t="shared" ref="AB35" si="137">Z35/AA35</f>
        <v>4.9390243902439028</v>
      </c>
      <c r="AC35" s="43">
        <f>SUM(AC5:AC34)</f>
        <v>146</v>
      </c>
      <c r="AD35" s="43">
        <f>SUM(AD5:AD34)</f>
        <v>33</v>
      </c>
      <c r="AE35" s="297">
        <f t="shared" ref="AE35" si="138">AC35/AD35</f>
        <v>4.4242424242424239</v>
      </c>
      <c r="AF35" s="43">
        <f>SUM(AF5:AF34)</f>
        <v>136</v>
      </c>
      <c r="AG35" s="43">
        <f>SUM(AG5:AG34)</f>
        <v>23</v>
      </c>
      <c r="AH35" s="44">
        <f>AF35/AG35</f>
        <v>5.9130434782608692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3">
        <f>SUM(AR5:AR34)</f>
        <v>31</v>
      </c>
      <c r="AS35" s="43">
        <f>SUM(AS5:AS34)</f>
        <v>8</v>
      </c>
      <c r="AT35" s="44">
        <f>AR35/AS35</f>
        <v>3.875</v>
      </c>
      <c r="AU35" s="43">
        <f>SUM(AU5:AU34)</f>
        <v>0</v>
      </c>
      <c r="AV35" s="43">
        <f>SUM(AV5:AV34)</f>
        <v>0</v>
      </c>
      <c r="AW35" s="44" t="e">
        <f>AU35/AV35</f>
        <v>#DIV/0!</v>
      </c>
      <c r="AX35" s="43">
        <f>SUM(AX5:AX34)</f>
        <v>32</v>
      </c>
      <c r="AY35" s="43">
        <f>SUM(AY5:AY34)</f>
        <v>11</v>
      </c>
      <c r="AZ35" s="44">
        <f>AX35/AY35</f>
        <v>2.9090909090909092</v>
      </c>
      <c r="BA35" s="43">
        <f>SUM(BA5:BA34)</f>
        <v>1</v>
      </c>
      <c r="BB35" s="43">
        <f>SUM(BB5:BB34)</f>
        <v>1</v>
      </c>
      <c r="BC35" s="44">
        <f>BA35/BB35</f>
        <v>1</v>
      </c>
      <c r="BD35" s="43">
        <f>SUM(BD5:BD34)</f>
        <v>0</v>
      </c>
      <c r="BE35" s="43">
        <f>SUM(BE5:BE34)</f>
        <v>0</v>
      </c>
      <c r="BF35" s="44" t="e">
        <f>BD35/BE35</f>
        <v>#DIV/0!</v>
      </c>
      <c r="BG35" s="43">
        <f>SUM(BG5:BG34)</f>
        <v>1</v>
      </c>
      <c r="BH35" s="43">
        <f>SUM(BH5:BH34)</f>
        <v>1</v>
      </c>
      <c r="BI35" s="44">
        <f>BG35/BH35</f>
        <v>1</v>
      </c>
      <c r="BJ35" s="43">
        <f>SUM(BJ5:BJ34)</f>
        <v>355</v>
      </c>
      <c r="BK35" s="43">
        <f>SUM(BK5:BK34)</f>
        <v>57</v>
      </c>
      <c r="BL35" s="44">
        <f>BJ35/BK35</f>
        <v>6.2280701754385968</v>
      </c>
      <c r="BM35" s="43">
        <f>SUM(BM5:BM34)</f>
        <v>24</v>
      </c>
      <c r="BN35" s="43">
        <f>SUM(BN5:BN34)</f>
        <v>4</v>
      </c>
      <c r="BO35" s="44">
        <f>BM35/BN35</f>
        <v>6</v>
      </c>
      <c r="BP35" s="43">
        <f>SUM(BP5:BP34)</f>
        <v>64</v>
      </c>
      <c r="BQ35" s="43">
        <f>SUM(BQ5:BQ34)</f>
        <v>9</v>
      </c>
      <c r="BR35" s="44">
        <f>BP35/BQ35</f>
        <v>7.1111111111111107</v>
      </c>
      <c r="BS35" s="43">
        <f>SUM(BS5:BS34)</f>
        <v>58</v>
      </c>
      <c r="BT35" s="43">
        <f>SUM(BT5:BT34)</f>
        <v>9</v>
      </c>
      <c r="BU35" s="44">
        <f>BS35/BT35</f>
        <v>6.4444444444444446</v>
      </c>
      <c r="BV35" s="43">
        <f>SUM(BV5:BV34)</f>
        <v>76</v>
      </c>
      <c r="BW35" s="43">
        <f>SUM(BW5:BW34)</f>
        <v>21</v>
      </c>
      <c r="BX35" s="140">
        <f>IF(BW35=0,"-",BV35/BW35)</f>
        <v>3.6190476190476191</v>
      </c>
      <c r="BY35" s="43">
        <f>SUM(BY5:BY34)</f>
        <v>0</v>
      </c>
      <c r="BZ35" s="43">
        <f>SUM(BZ5:BZ34)</f>
        <v>0</v>
      </c>
      <c r="CA35" s="140" t="str">
        <f>IF(BZ35=0,"-",BY35/BZ35)</f>
        <v>-</v>
      </c>
      <c r="CB35" s="43">
        <f>SUM(CB5:CB34)</f>
        <v>26</v>
      </c>
      <c r="CC35" s="43">
        <f>SUM(CC5:CC34)</f>
        <v>6</v>
      </c>
      <c r="CD35" s="140">
        <f>IF(CC35=0,"-",CB35/CC35)</f>
        <v>4.333333333333333</v>
      </c>
      <c r="CE35" s="43">
        <f>SUM(CE5:CE34)</f>
        <v>17</v>
      </c>
      <c r="CF35" s="43">
        <f>SUM(CF5:CF34)</f>
        <v>4</v>
      </c>
      <c r="CG35" s="140">
        <f>IF(CF35=0,"-",CE35/CF35)</f>
        <v>4.25</v>
      </c>
      <c r="CH35" s="43">
        <f>SUM(CH5:CH34)</f>
        <v>0</v>
      </c>
      <c r="CI35" s="43">
        <f>SUM(CI5:CI34)</f>
        <v>0</v>
      </c>
      <c r="CJ35" s="140" t="str">
        <f>IF(CI35=0,"-",CH35/CI35)</f>
        <v>-</v>
      </c>
      <c r="CK35" s="43">
        <f>SUM(CK5:CK34)</f>
        <v>6</v>
      </c>
      <c r="CL35" s="43">
        <f>SUM(CL5:CL34)</f>
        <v>2</v>
      </c>
      <c r="CM35" s="140">
        <f>IF(CL35=0,"-",CK35/CL35)</f>
        <v>3</v>
      </c>
      <c r="CN35" s="118">
        <f>SUM(CN5:CN34)</f>
        <v>3572</v>
      </c>
      <c r="CO35" s="118">
        <f>SUM(CO5:CO34)</f>
        <v>584</v>
      </c>
      <c r="CP35" s="144">
        <f t="shared" si="32"/>
        <v>6.1164383561643838</v>
      </c>
    </row>
    <row r="36" spans="1:94" x14ac:dyDescent="0.3">
      <c r="A36" s="294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5FEF-E239-4018-A967-E985F9906B71}">
  <sheetPr>
    <tabColor rgb="FFFF0000"/>
  </sheetPr>
  <dimension ref="A1:CL43"/>
  <sheetViews>
    <sheetView workbookViewId="0">
      <selection activeCell="A2" sqref="A2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94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'December 2024'!B35</f>
        <v>956</v>
      </c>
      <c r="C4" s="68"/>
      <c r="D4" s="95" t="s">
        <v>19</v>
      </c>
      <c r="E4" s="93">
        <f>'December 2024'!AX35</f>
        <v>32</v>
      </c>
      <c r="F4" s="68"/>
      <c r="G4" s="87" t="s">
        <v>24</v>
      </c>
      <c r="H4" s="81">
        <f>'December 2024'!BM35</f>
        <v>24</v>
      </c>
    </row>
    <row r="5" spans="1:90" x14ac:dyDescent="0.3">
      <c r="A5" s="80"/>
      <c r="B5" s="81">
        <f>'December 2024'!C35</f>
        <v>115</v>
      </c>
      <c r="C5" s="68"/>
      <c r="D5" s="85"/>
      <c r="E5" s="81">
        <f>'December 2024'!AY35</f>
        <v>11</v>
      </c>
      <c r="F5" s="68"/>
      <c r="G5" s="87"/>
      <c r="H5" s="81">
        <f>'December 2024'!BN35</f>
        <v>4</v>
      </c>
    </row>
    <row r="6" spans="1:90" x14ac:dyDescent="0.3">
      <c r="A6" s="82"/>
      <c r="B6" s="26">
        <f>'December 2024'!D35</f>
        <v>8.3130434782608695</v>
      </c>
      <c r="C6" s="68"/>
      <c r="D6" s="86"/>
      <c r="E6" s="26">
        <f>'December 2024'!AZ35</f>
        <v>2.9090909090909092</v>
      </c>
      <c r="F6" s="68"/>
      <c r="G6" s="88"/>
      <c r="H6" s="26">
        <f>'December 2024'!BO35</f>
        <v>6</v>
      </c>
    </row>
    <row r="7" spans="1:90" x14ac:dyDescent="0.3">
      <c r="A7" s="80" t="s">
        <v>9</v>
      </c>
      <c r="B7" s="81">
        <f>'December 2024'!E35</f>
        <v>95</v>
      </c>
      <c r="C7" s="68"/>
      <c r="D7" s="85" t="s">
        <v>20</v>
      </c>
      <c r="E7" s="81">
        <f>'December 2024'!BA35</f>
        <v>1</v>
      </c>
      <c r="F7" s="68"/>
      <c r="G7" s="87" t="s">
        <v>25</v>
      </c>
      <c r="H7" s="151">
        <f>'December 2024'!BP35</f>
        <v>64</v>
      </c>
    </row>
    <row r="8" spans="1:90" x14ac:dyDescent="0.3">
      <c r="A8" s="80"/>
      <c r="B8" s="81">
        <f>'December 2024'!F35</f>
        <v>13</v>
      </c>
      <c r="C8" s="68"/>
      <c r="D8" s="85"/>
      <c r="E8" s="81">
        <f>'December 2024'!BB35</f>
        <v>1</v>
      </c>
      <c r="F8" s="68"/>
      <c r="G8" s="87"/>
      <c r="H8" s="151">
        <f>'December 2024'!BQ35</f>
        <v>9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'December 2024'!G35</f>
        <v>7.3076923076923075</v>
      </c>
      <c r="C9" s="68"/>
      <c r="D9" s="86"/>
      <c r="E9" s="26">
        <f>'December 2024'!BC35</f>
        <v>1</v>
      </c>
      <c r="F9" s="68"/>
      <c r="G9" s="88"/>
      <c r="H9" s="151">
        <f>'December 2024'!BQ35</f>
        <v>9</v>
      </c>
    </row>
    <row r="10" spans="1:90" x14ac:dyDescent="0.3">
      <c r="A10" s="80" t="s">
        <v>55</v>
      </c>
      <c r="B10" s="81">
        <f>'December 2024'!K35</f>
        <v>328</v>
      </c>
      <c r="C10" s="68"/>
      <c r="D10" s="85" t="s">
        <v>21</v>
      </c>
      <c r="E10" s="81">
        <f>'December 2024'!BD35</f>
        <v>0</v>
      </c>
      <c r="F10" s="68"/>
      <c r="G10" s="87" t="s">
        <v>26</v>
      </c>
      <c r="H10" s="151">
        <f>'December 2024'!BS35</f>
        <v>58</v>
      </c>
    </row>
    <row r="11" spans="1:90" x14ac:dyDescent="0.3">
      <c r="A11" s="80"/>
      <c r="B11" s="81">
        <f>'December 2024'!L35</f>
        <v>40</v>
      </c>
      <c r="C11" s="68"/>
      <c r="D11" s="85"/>
      <c r="E11" s="81">
        <f>'December 2024'!BE35</f>
        <v>0</v>
      </c>
      <c r="F11" s="68"/>
      <c r="G11" s="87"/>
      <c r="H11" s="81">
        <f>'December 2024'!BT35</f>
        <v>9</v>
      </c>
    </row>
    <row r="12" spans="1:90" x14ac:dyDescent="0.3">
      <c r="A12" s="82"/>
      <c r="B12" s="26">
        <f>'December 2024'!M35</f>
        <v>8.1999999999999993</v>
      </c>
      <c r="C12" s="68"/>
      <c r="D12" s="86"/>
      <c r="E12" s="26" t="e">
        <f>'December 2024'!BF35</f>
        <v>#DIV/0!</v>
      </c>
      <c r="F12" s="68"/>
      <c r="G12" s="88"/>
      <c r="H12" s="26">
        <f>'December 2024'!BU35</f>
        <v>6.4444444444444446</v>
      </c>
    </row>
    <row r="13" spans="1:90" x14ac:dyDescent="0.3">
      <c r="A13" s="80" t="s">
        <v>11</v>
      </c>
      <c r="B13" s="81">
        <f>'December 2024'!Q35</f>
        <v>725</v>
      </c>
      <c r="C13" s="68"/>
      <c r="D13" s="85" t="s">
        <v>22</v>
      </c>
      <c r="E13" s="81">
        <f>'December 2024'!BG35</f>
        <v>1</v>
      </c>
      <c r="F13" s="68"/>
      <c r="G13" s="87" t="s">
        <v>27</v>
      </c>
      <c r="H13" s="81">
        <f>'December 2024'!BV35</f>
        <v>76</v>
      </c>
    </row>
    <row r="14" spans="1:90" x14ac:dyDescent="0.3">
      <c r="A14" s="80"/>
      <c r="B14" s="81">
        <f>'December 2024'!R35</f>
        <v>150</v>
      </c>
      <c r="C14" s="68"/>
      <c r="D14" s="85"/>
      <c r="E14" s="81">
        <f>'December 2024'!BH35</f>
        <v>1</v>
      </c>
      <c r="F14" s="68"/>
      <c r="G14" s="87"/>
      <c r="H14" s="81">
        <f>'December 2024'!BW35</f>
        <v>21</v>
      </c>
    </row>
    <row r="15" spans="1:90" x14ac:dyDescent="0.3">
      <c r="A15" s="82"/>
      <c r="B15" s="26">
        <f>'December 2024'!S35</f>
        <v>4.833333333333333</v>
      </c>
      <c r="C15" s="68"/>
      <c r="D15" s="85"/>
      <c r="E15" s="26">
        <f>'December 2024'!BI35</f>
        <v>1</v>
      </c>
      <c r="F15" s="68"/>
      <c r="G15" s="88"/>
      <c r="H15" s="26">
        <f>'December 2024'!BX35</f>
        <v>3.6190476190476191</v>
      </c>
    </row>
    <row r="16" spans="1:90" x14ac:dyDescent="0.3">
      <c r="A16" s="80" t="s">
        <v>44</v>
      </c>
      <c r="B16" s="81">
        <f>'December 2024'!T35</f>
        <v>49</v>
      </c>
      <c r="C16" s="68"/>
      <c r="D16" s="85" t="s">
        <v>45</v>
      </c>
      <c r="E16" s="26">
        <f>'December 2024'!BJ35</f>
        <v>355</v>
      </c>
      <c r="F16" s="68"/>
      <c r="G16" s="96" t="s">
        <v>28</v>
      </c>
      <c r="H16" s="97">
        <f>'December 2024'!CE35</f>
        <v>17</v>
      </c>
    </row>
    <row r="17" spans="1:8" x14ac:dyDescent="0.3">
      <c r="A17" s="80"/>
      <c r="B17" s="81">
        <f>'December 2024'!U35</f>
        <v>10</v>
      </c>
      <c r="C17" s="68"/>
      <c r="D17" s="85"/>
      <c r="E17" s="81">
        <f>'December 2024'!BK35</f>
        <v>57</v>
      </c>
      <c r="F17" s="68"/>
      <c r="G17" s="96"/>
      <c r="H17" s="97">
        <f>'December 2024'!CF35</f>
        <v>4</v>
      </c>
    </row>
    <row r="18" spans="1:8" ht="15" thickBot="1" x14ac:dyDescent="0.35">
      <c r="A18" s="82"/>
      <c r="B18" s="26">
        <f>'December 2024'!V35</f>
        <v>4.9000000000000004</v>
      </c>
      <c r="C18" s="68"/>
      <c r="D18" s="102"/>
      <c r="E18" s="149">
        <f>'December 2024'!BL35</f>
        <v>6.2280701754385968</v>
      </c>
      <c r="F18" s="68"/>
      <c r="G18" s="98"/>
      <c r="H18" s="99">
        <f>H16/H17</f>
        <v>4.25</v>
      </c>
    </row>
    <row r="19" spans="1:8" x14ac:dyDescent="0.3">
      <c r="A19" s="80" t="s">
        <v>85</v>
      </c>
      <c r="B19" s="81">
        <f>'December 2024'!W35</f>
        <v>0</v>
      </c>
      <c r="C19" s="68"/>
    </row>
    <row r="20" spans="1:8" x14ac:dyDescent="0.3">
      <c r="A20" s="80"/>
      <c r="B20" s="81">
        <f>'December 2024'!X35</f>
        <v>0</v>
      </c>
      <c r="C20" s="68"/>
    </row>
    <row r="21" spans="1:8" x14ac:dyDescent="0.3">
      <c r="A21" s="100"/>
      <c r="B21" s="81" t="e">
        <f>'December 2024'!Y35</f>
        <v>#DIV/0!</v>
      </c>
      <c r="C21" s="68"/>
    </row>
    <row r="22" spans="1:8" x14ac:dyDescent="0.3">
      <c r="A22" s="310" t="s">
        <v>86</v>
      </c>
      <c r="B22" s="311">
        <f>'December 2024'!Z35</f>
        <v>405</v>
      </c>
      <c r="C22" s="68"/>
      <c r="D22" s="68"/>
      <c r="E22" s="68"/>
    </row>
    <row r="23" spans="1:8" x14ac:dyDescent="0.3">
      <c r="A23" s="315"/>
      <c r="B23" s="312">
        <f>'December 2024'!AA35</f>
        <v>82</v>
      </c>
      <c r="C23" s="68"/>
      <c r="D23" s="68"/>
      <c r="E23" s="68"/>
    </row>
    <row r="24" spans="1:8" x14ac:dyDescent="0.3">
      <c r="A24" s="313"/>
      <c r="B24" s="316">
        <f>'December 2024'!AB35</f>
        <v>4.9390243902439028</v>
      </c>
      <c r="C24" s="68"/>
      <c r="D24" s="68"/>
      <c r="E24" s="68"/>
    </row>
    <row r="25" spans="1:8" x14ac:dyDescent="0.3">
      <c r="A25" s="313" t="s">
        <v>79</v>
      </c>
      <c r="B25" s="316">
        <f>'December 2024'!AC35</f>
        <v>146</v>
      </c>
      <c r="C25" s="68"/>
      <c r="D25" s="68"/>
      <c r="E25" s="68"/>
    </row>
    <row r="26" spans="1:8" x14ac:dyDescent="0.3">
      <c r="A26" s="313"/>
      <c r="B26" s="316">
        <f>'December 2024'!AD35</f>
        <v>33</v>
      </c>
      <c r="C26" s="68"/>
      <c r="D26" s="68"/>
      <c r="E26" s="68"/>
    </row>
    <row r="27" spans="1:8" x14ac:dyDescent="0.3">
      <c r="A27" s="314"/>
      <c r="B27" s="317">
        <f>'December 2024'!AE35</f>
        <v>4.4242424242424239</v>
      </c>
      <c r="C27" s="68"/>
      <c r="D27" s="68"/>
      <c r="E27" s="68"/>
    </row>
    <row r="28" spans="1:8" x14ac:dyDescent="0.3">
      <c r="A28" s="308" t="s">
        <v>14</v>
      </c>
      <c r="B28" s="309">
        <f>'December 2024'!AC35</f>
        <v>146</v>
      </c>
      <c r="C28" s="68"/>
      <c r="D28" s="68"/>
      <c r="E28" s="68"/>
    </row>
    <row r="29" spans="1:8" x14ac:dyDescent="0.3">
      <c r="A29" s="83"/>
      <c r="B29" s="81">
        <f>'December 2024'!AD35</f>
        <v>33</v>
      </c>
      <c r="C29" s="68"/>
      <c r="D29" s="68"/>
      <c r="E29" s="68"/>
    </row>
    <row r="30" spans="1:8" x14ac:dyDescent="0.3">
      <c r="A30" s="84"/>
      <c r="B30" s="26">
        <f>'December 2024'!AE35</f>
        <v>4.4242424242424239</v>
      </c>
      <c r="C30" s="68"/>
      <c r="D30" s="68"/>
      <c r="E30" s="68"/>
    </row>
    <row r="31" spans="1:8" x14ac:dyDescent="0.3">
      <c r="A31" s="83" t="s">
        <v>15</v>
      </c>
      <c r="B31" s="81">
        <f>'December 2024'!AF35</f>
        <v>136</v>
      </c>
      <c r="C31" s="68"/>
      <c r="F31" s="68"/>
      <c r="G31" s="68"/>
    </row>
    <row r="32" spans="1:8" x14ac:dyDescent="0.3">
      <c r="A32" s="83"/>
      <c r="B32" s="81">
        <f>'December 2024'!AG35</f>
        <v>23</v>
      </c>
      <c r="C32" s="68"/>
      <c r="F32" s="68"/>
      <c r="G32" s="68"/>
    </row>
    <row r="33" spans="1:7" x14ac:dyDescent="0.3">
      <c r="A33" s="84"/>
      <c r="B33" s="275">
        <f>'December 2024'!AH35</f>
        <v>5.9130434782608692</v>
      </c>
      <c r="C33" s="68"/>
      <c r="F33" s="68"/>
      <c r="G33" s="68"/>
    </row>
    <row r="34" spans="1:7" x14ac:dyDescent="0.3">
      <c r="A34" s="83" t="s">
        <v>16</v>
      </c>
      <c r="B34" s="81">
        <f>'December 2024'!AL35</f>
        <v>0</v>
      </c>
      <c r="C34" s="68"/>
      <c r="F34" s="68"/>
      <c r="G34" s="68"/>
    </row>
    <row r="35" spans="1:7" x14ac:dyDescent="0.3">
      <c r="A35" s="83"/>
      <c r="B35" s="81">
        <f>'December 2024'!AM35</f>
        <v>0</v>
      </c>
      <c r="C35" s="68"/>
      <c r="F35" s="68"/>
      <c r="G35" s="68"/>
    </row>
    <row r="36" spans="1:7" x14ac:dyDescent="0.3">
      <c r="A36" s="84"/>
      <c r="B36" s="26">
        <f>'December 2024'!AN35</f>
        <v>0</v>
      </c>
      <c r="C36" s="68"/>
      <c r="F36" s="68"/>
      <c r="G36" s="68"/>
    </row>
    <row r="37" spans="1:7" x14ac:dyDescent="0.3">
      <c r="A37" s="83" t="s">
        <v>17</v>
      </c>
      <c r="B37" s="81">
        <f>'December 2024'!AO35</f>
        <v>0</v>
      </c>
      <c r="C37" s="68"/>
      <c r="F37" s="68"/>
      <c r="G37" s="68"/>
    </row>
    <row r="38" spans="1:7" x14ac:dyDescent="0.3">
      <c r="A38" s="83"/>
      <c r="B38" s="81">
        <f>'December 2024'!AP35</f>
        <v>0</v>
      </c>
      <c r="C38" s="68"/>
      <c r="F38" s="68"/>
      <c r="G38" s="68"/>
    </row>
    <row r="39" spans="1:7" x14ac:dyDescent="0.3">
      <c r="A39" s="84"/>
      <c r="B39" s="26">
        <f>'December 2024'!AQ35</f>
        <v>0</v>
      </c>
      <c r="C39" s="68"/>
      <c r="F39" s="68"/>
      <c r="G39" s="68"/>
    </row>
    <row r="40" spans="1:7" x14ac:dyDescent="0.3">
      <c r="A40" s="83" t="s">
        <v>59</v>
      </c>
      <c r="B40" s="81">
        <f>'December 2024'!AR35</f>
        <v>31</v>
      </c>
      <c r="C40" s="68"/>
      <c r="F40" s="68"/>
      <c r="G40" s="68"/>
    </row>
    <row r="41" spans="1:7" x14ac:dyDescent="0.3">
      <c r="A41" s="83"/>
      <c r="B41" s="81">
        <f>'December 2024'!AS35</f>
        <v>8</v>
      </c>
      <c r="C41" s="68"/>
      <c r="F41" s="68"/>
      <c r="G41" s="68"/>
    </row>
    <row r="42" spans="1:7" ht="15" thickBot="1" x14ac:dyDescent="0.35">
      <c r="A42" s="94"/>
      <c r="B42" s="89">
        <f>'December 2024'!AT35</f>
        <v>3.875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7747-BA3B-4268-A0B0-1D57D9A7AB60}">
  <dimension ref="A1:CP126"/>
  <sheetViews>
    <sheetView workbookViewId="0">
      <pane xSplit="9" ySplit="11" topLeftCell="CC31" activePane="bottomRight" state="frozen"/>
      <selection pane="topRight" activeCell="J1" sqref="J1"/>
      <selection pane="bottomLeft" activeCell="A12" sqref="A12"/>
      <selection pane="bottomRight" activeCell="CJ38" sqref="CJ38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0" width="9.6640625" style="2" customWidth="1"/>
    <col min="41" max="43" width="9.6640625" style="2" hidden="1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customWidth="1"/>
    <col min="60" max="60" width="9.6640625" customWidth="1"/>
    <col min="61" max="61" width="11.88671875" style="2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customWidth="1"/>
    <col min="79" max="79" width="8.88671875" style="2" customWidth="1"/>
    <col min="82" max="82" width="8.88671875" style="2"/>
    <col min="85" max="85" width="8.88671875" style="2"/>
    <col min="88" max="88" width="9.33203125" style="2" customWidth="1"/>
    <col min="91" max="91" width="8.88671875" style="2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88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69</v>
      </c>
      <c r="AG3" s="4"/>
      <c r="AH3" s="33"/>
      <c r="AI3" s="3" t="s">
        <v>68</v>
      </c>
      <c r="AJ3" s="4"/>
      <c r="AK3" s="33"/>
      <c r="AL3" s="3" t="s">
        <v>62</v>
      </c>
      <c r="AM3" s="4"/>
      <c r="AN3" s="33"/>
      <c r="AO3" s="3" t="s">
        <v>80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63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55"/>
      <c r="CH3" s="13" t="s">
        <v>26</v>
      </c>
      <c r="CI3" s="14"/>
      <c r="CJ3" s="27"/>
      <c r="CK3" s="14" t="s">
        <v>27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57" t="s">
        <v>31</v>
      </c>
      <c r="CH4" s="15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45658</v>
      </c>
      <c r="B5" s="125">
        <v>0</v>
      </c>
      <c r="C5" s="126">
        <v>0</v>
      </c>
      <c r="D5" s="276" t="str">
        <f t="shared" ref="D5:D35" si="0">IF(C5=0,"-",B5/C5)</f>
        <v>-</v>
      </c>
      <c r="E5" s="125">
        <v>0</v>
      </c>
      <c r="F5" s="126">
        <v>0</v>
      </c>
      <c r="G5" s="276" t="str">
        <f t="shared" ref="G5:G9" si="1">IF(F5=0,"-",E5/F5)</f>
        <v>-</v>
      </c>
      <c r="H5" s="125">
        <v>0</v>
      </c>
      <c r="I5" s="126">
        <v>0</v>
      </c>
      <c r="J5" s="276" t="str">
        <f t="shared" ref="J5:J9" si="2">IF(I5=0,"-",H5/I5)</f>
        <v>-</v>
      </c>
      <c r="K5" s="125">
        <v>0</v>
      </c>
      <c r="L5" s="126">
        <v>0</v>
      </c>
      <c r="M5" s="276" t="str">
        <f t="shared" ref="M5:M9" si="3">IF(L5=0,"-",K5/L5)</f>
        <v>-</v>
      </c>
      <c r="N5" s="125">
        <v>0</v>
      </c>
      <c r="O5" s="126">
        <v>0</v>
      </c>
      <c r="P5" s="276" t="str">
        <f t="shared" ref="P5:P9" si="4">IF(O5=0,"-",N5/O5)</f>
        <v>-</v>
      </c>
      <c r="Q5" s="125">
        <v>0</v>
      </c>
      <c r="R5" s="126">
        <v>0</v>
      </c>
      <c r="S5" s="276" t="str">
        <f t="shared" ref="S5:S9" si="5">IF(R5=0,"-",Q5/R5)</f>
        <v>-</v>
      </c>
      <c r="T5" s="125">
        <v>0</v>
      </c>
      <c r="U5" s="126">
        <v>0</v>
      </c>
      <c r="V5" s="276" t="str">
        <f t="shared" ref="V5" si="6">IF(U5=0,"-",T5/U5)</f>
        <v>-</v>
      </c>
      <c r="W5" s="125">
        <v>0</v>
      </c>
      <c r="X5" s="126">
        <v>0</v>
      </c>
      <c r="Y5" s="276" t="str">
        <f t="shared" ref="Y5" si="7">IF(X5=0,"-",W5/X5)</f>
        <v>-</v>
      </c>
      <c r="Z5" s="125">
        <v>0</v>
      </c>
      <c r="AA5" s="126">
        <v>0</v>
      </c>
      <c r="AB5" s="276" t="str">
        <f t="shared" ref="AB5" si="8">IF(AA5=0,"-",Z5/AA5)</f>
        <v>-</v>
      </c>
      <c r="AC5" s="125">
        <v>0</v>
      </c>
      <c r="AD5" s="126">
        <v>0</v>
      </c>
      <c r="AE5" s="276" t="str">
        <f t="shared" ref="AE5" si="9">IF(AD5=0,"-",AC5/AD5)</f>
        <v>-</v>
      </c>
      <c r="AF5" s="125">
        <v>0</v>
      </c>
      <c r="AG5" s="126">
        <v>0</v>
      </c>
      <c r="AH5" s="276" t="str">
        <f t="shared" ref="AH5" si="10">IF(AG5=0,"-",AF5/AG5)</f>
        <v>-</v>
      </c>
      <c r="AI5" s="125">
        <v>0</v>
      </c>
      <c r="AJ5" s="126">
        <v>0</v>
      </c>
      <c r="AK5" s="276" t="str">
        <f t="shared" ref="AK5" si="11">IF(AJ5=0,"-",AI5/AJ5)</f>
        <v>-</v>
      </c>
      <c r="AL5" s="125">
        <v>0</v>
      </c>
      <c r="AM5" s="126">
        <v>0</v>
      </c>
      <c r="AN5" s="276" t="str">
        <f t="shared" ref="AN5" si="12">IF(AM5=0,"-",AL5/AM5)</f>
        <v>-</v>
      </c>
      <c r="AO5" s="125">
        <v>0</v>
      </c>
      <c r="AP5" s="126">
        <v>0</v>
      </c>
      <c r="AQ5" s="276" t="str">
        <f t="shared" ref="AQ5:AQ9" si="13">IF(AP5=0,"-",AO5/AP5)</f>
        <v>-</v>
      </c>
      <c r="AR5" s="125">
        <v>0</v>
      </c>
      <c r="AS5" s="126">
        <v>0</v>
      </c>
      <c r="AT5" s="276" t="str">
        <f t="shared" ref="AT5:AT9" si="14">IF(AS5=0,"-",AR5/AS5)</f>
        <v>-</v>
      </c>
      <c r="AU5" s="125">
        <v>0</v>
      </c>
      <c r="AV5" s="126">
        <v>0</v>
      </c>
      <c r="AW5" s="276" t="str">
        <f t="shared" ref="AW5:AW9" si="15">IF(AV5=0,"-",AU5/AV5)</f>
        <v>-</v>
      </c>
      <c r="AX5" s="125">
        <v>0</v>
      </c>
      <c r="AY5" s="126">
        <v>0</v>
      </c>
      <c r="AZ5" s="276" t="str">
        <f t="shared" ref="AZ5:AZ9" si="16">IF(AY5=0,"-",AX5/AY5)</f>
        <v>-</v>
      </c>
      <c r="BA5" s="125">
        <v>0</v>
      </c>
      <c r="BB5" s="126">
        <v>0</v>
      </c>
      <c r="BC5" s="276" t="str">
        <f t="shared" ref="BC5:BC9" si="17">IF(BB5=0,"-",BA5/BB5)</f>
        <v>-</v>
      </c>
      <c r="BD5" s="125">
        <v>0</v>
      </c>
      <c r="BE5" s="126">
        <v>0</v>
      </c>
      <c r="BF5" s="276" t="str">
        <f t="shared" ref="BF5:BF9" si="18">IF(BE5=0,"-",BD5/BE5)</f>
        <v>-</v>
      </c>
      <c r="BG5" s="125">
        <v>0</v>
      </c>
      <c r="BH5" s="126">
        <v>0</v>
      </c>
      <c r="BI5" s="276" t="str">
        <f t="shared" ref="BI5:BI9" si="19">IF(BH5=0,"-",BG5/BH5)</f>
        <v>-</v>
      </c>
      <c r="BJ5" s="125">
        <v>0</v>
      </c>
      <c r="BK5" s="126">
        <v>0</v>
      </c>
      <c r="BL5" s="276" t="str">
        <f t="shared" ref="BL5:BL9" si="20">IF(BK5=0,"-",BJ5/BK5)</f>
        <v>-</v>
      </c>
      <c r="BM5" s="125">
        <v>0</v>
      </c>
      <c r="BN5" s="126">
        <v>0</v>
      </c>
      <c r="BO5" s="276" t="str">
        <f t="shared" ref="BO5:BO9" si="21">IF(BN5=0,"-",BM5/BN5)</f>
        <v>-</v>
      </c>
      <c r="BP5" s="125">
        <v>0</v>
      </c>
      <c r="BQ5" s="126">
        <v>0</v>
      </c>
      <c r="BR5" s="276" t="str">
        <f t="shared" ref="BR5:BR9" si="22">IF(BQ5=0,"-",BP5/BQ5)</f>
        <v>-</v>
      </c>
      <c r="BS5" s="125">
        <v>0</v>
      </c>
      <c r="BT5" s="126">
        <v>0</v>
      </c>
      <c r="BU5" s="276" t="str">
        <f t="shared" ref="BU5:BU9" si="23">IF(BT5=0,"-",BS5/BT5)</f>
        <v>-</v>
      </c>
      <c r="BV5" s="125">
        <v>0</v>
      </c>
      <c r="BW5" s="126">
        <v>0</v>
      </c>
      <c r="BX5" s="276" t="str">
        <f t="shared" ref="BX5:BX9" si="24">IF(BW5=0,"-",BV5/BW5)</f>
        <v>-</v>
      </c>
      <c r="BY5" s="125">
        <v>0</v>
      </c>
      <c r="BZ5" s="126">
        <v>0</v>
      </c>
      <c r="CA5" s="276" t="str">
        <f t="shared" ref="CA5:CA9" si="25">IF(BZ5=0,"-",BY5/BZ5)</f>
        <v>-</v>
      </c>
      <c r="CB5" s="125">
        <v>0</v>
      </c>
      <c r="CC5" s="126">
        <v>0</v>
      </c>
      <c r="CD5" s="276" t="str">
        <f t="shared" ref="CD5:CD9" si="26">IF(CC5=0,"-",CB5/CC5)</f>
        <v>-</v>
      </c>
      <c r="CE5" s="125">
        <v>0</v>
      </c>
      <c r="CF5" s="126">
        <v>0</v>
      </c>
      <c r="CG5" s="276" t="str">
        <f t="shared" ref="CG5:CG9" si="27">IF(CF5=0,"-",CE5/CF5)</f>
        <v>-</v>
      </c>
      <c r="CH5" s="125">
        <v>0</v>
      </c>
      <c r="CI5" s="126">
        <v>0</v>
      </c>
      <c r="CJ5" s="276" t="str">
        <f t="shared" ref="CJ5:CJ9" si="28">IF(CI5=0,"-",CH5/CI5)</f>
        <v>-</v>
      </c>
      <c r="CK5" s="125">
        <v>0</v>
      </c>
      <c r="CL5" s="126">
        <v>0</v>
      </c>
      <c r="CM5" s="276" t="str">
        <f t="shared" ref="CM5:CM9" si="29">IF(CL5=0,"-",CK5/CL5)</f>
        <v>-</v>
      </c>
      <c r="CN5" s="117">
        <f t="shared" ref="CN5:CN34" si="30">SUM(B5,E5,K5,Q5,T5,W5,Z5,AC5,AF5,AI5,AL5,AO5,AR5,AX5,BA5,BG5,BJ5,BM5,BP5,BS5,BV5,BY5,CB5,CE5,CH5,CK5)</f>
        <v>0</v>
      </c>
      <c r="CO5" s="120">
        <f t="shared" ref="CO5:CO34" si="31">C5+F5+L5+R5+U5+X5+AA5+AD5+AG5+AJ5+AS5+AV5+AY5+BB5+BE5+BH5+BK5+BN5+BQ5+BT5+CC5+CF5+CI5+CL5</f>
        <v>0</v>
      </c>
      <c r="CP5" s="147" t="str">
        <f t="shared" ref="CP5:CP36" si="32">IF(CO5=0,"",CN5/CO5)</f>
        <v/>
      </c>
    </row>
    <row r="6" spans="1:94" ht="15" thickBot="1" x14ac:dyDescent="0.35">
      <c r="A6" s="294">
        <v>45659</v>
      </c>
      <c r="B6" s="20">
        <v>0</v>
      </c>
      <c r="C6" s="21">
        <v>0</v>
      </c>
      <c r="D6" s="139" t="str">
        <f t="shared" si="0"/>
        <v>-</v>
      </c>
      <c r="E6" s="20">
        <v>0</v>
      </c>
      <c r="F6" s="21">
        <v>0</v>
      </c>
      <c r="G6" s="139" t="str">
        <f t="shared" si="1"/>
        <v>-</v>
      </c>
      <c r="H6" s="20">
        <v>0</v>
      </c>
      <c r="I6" s="21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36</v>
      </c>
      <c r="U6" s="21">
        <v>8</v>
      </c>
      <c r="V6" s="139">
        <f t="shared" ref="V6:V34" si="33">IF(U6=0,"-",T6/U6)</f>
        <v>4.5</v>
      </c>
      <c r="W6" s="20">
        <v>0</v>
      </c>
      <c r="X6" s="21">
        <v>0</v>
      </c>
      <c r="Y6" s="139" t="str">
        <f t="shared" ref="Y6:Y34" si="34">IF(X6=0,"-",W6/X6)</f>
        <v>-</v>
      </c>
      <c r="Z6" s="125">
        <v>0</v>
      </c>
      <c r="AA6" s="126">
        <v>0</v>
      </c>
      <c r="AB6" s="276" t="str">
        <f t="shared" ref="AB6:AB9" si="35">IF(AA6=0,"-",Z6/AA6)</f>
        <v>-</v>
      </c>
      <c r="AC6" s="125">
        <v>0</v>
      </c>
      <c r="AD6" s="126">
        <v>0</v>
      </c>
      <c r="AE6" s="276" t="str">
        <f t="shared" ref="AE6:AE9" si="36">IF(AD6=0,"-",AC6/AD6)</f>
        <v>-</v>
      </c>
      <c r="AF6" s="125">
        <v>0</v>
      </c>
      <c r="AG6" s="126">
        <v>0</v>
      </c>
      <c r="AH6" s="276" t="str">
        <f t="shared" ref="AH6:AH9" si="37">IF(AG6=0,"-",AF6/AG6)</f>
        <v>-</v>
      </c>
      <c r="AI6" s="125">
        <v>0</v>
      </c>
      <c r="AJ6" s="126">
        <v>0</v>
      </c>
      <c r="AK6" s="276" t="str">
        <f t="shared" ref="AK6:AK9" si="38">IF(AJ6=0,"-",AI6/AJ6)</f>
        <v>-</v>
      </c>
      <c r="AL6" s="125">
        <v>0</v>
      </c>
      <c r="AM6" s="126">
        <v>0</v>
      </c>
      <c r="AN6" s="276" t="str">
        <f t="shared" ref="AN6:AN9" si="39">IF(AM6=0,"-",AL6/AM6)</f>
        <v>-</v>
      </c>
      <c r="AO6" s="125">
        <v>0</v>
      </c>
      <c r="AP6" s="126">
        <v>0</v>
      </c>
      <c r="AQ6" s="276" t="str">
        <f t="shared" si="13"/>
        <v>-</v>
      </c>
      <c r="AR6" s="125">
        <v>0</v>
      </c>
      <c r="AS6" s="126">
        <v>0</v>
      </c>
      <c r="AT6" s="276" t="str">
        <f t="shared" si="14"/>
        <v>-</v>
      </c>
      <c r="AU6" s="125">
        <v>0</v>
      </c>
      <c r="AV6" s="126">
        <v>0</v>
      </c>
      <c r="AW6" s="276" t="str">
        <f t="shared" si="15"/>
        <v>-</v>
      </c>
      <c r="AX6" s="125">
        <v>0</v>
      </c>
      <c r="AY6" s="126">
        <v>0</v>
      </c>
      <c r="AZ6" s="276" t="str">
        <f t="shared" si="16"/>
        <v>-</v>
      </c>
      <c r="BA6" s="125">
        <v>0</v>
      </c>
      <c r="BB6" s="126">
        <v>0</v>
      </c>
      <c r="BC6" s="276" t="str">
        <f t="shared" si="17"/>
        <v>-</v>
      </c>
      <c r="BD6" s="125">
        <v>0</v>
      </c>
      <c r="BE6" s="126">
        <v>0</v>
      </c>
      <c r="BF6" s="276" t="str">
        <f t="shared" si="18"/>
        <v>-</v>
      </c>
      <c r="BG6" s="125">
        <v>0</v>
      </c>
      <c r="BH6" s="126">
        <v>0</v>
      </c>
      <c r="BI6" s="276" t="str">
        <f t="shared" si="19"/>
        <v>-</v>
      </c>
      <c r="BJ6" s="125">
        <v>0</v>
      </c>
      <c r="BK6" s="126">
        <v>0</v>
      </c>
      <c r="BL6" s="276" t="str">
        <f t="shared" si="20"/>
        <v>-</v>
      </c>
      <c r="BM6" s="125">
        <v>0</v>
      </c>
      <c r="BN6" s="126">
        <v>0</v>
      </c>
      <c r="BO6" s="276" t="str">
        <f t="shared" si="21"/>
        <v>-</v>
      </c>
      <c r="BP6" s="125">
        <v>0</v>
      </c>
      <c r="BQ6" s="126">
        <v>0</v>
      </c>
      <c r="BR6" s="276" t="str">
        <f t="shared" si="22"/>
        <v>-</v>
      </c>
      <c r="BS6" s="125">
        <v>0</v>
      </c>
      <c r="BT6" s="126">
        <v>0</v>
      </c>
      <c r="BU6" s="276" t="str">
        <f t="shared" si="23"/>
        <v>-</v>
      </c>
      <c r="BV6" s="125">
        <v>0</v>
      </c>
      <c r="BW6" s="126">
        <v>0</v>
      </c>
      <c r="BX6" s="276" t="str">
        <f t="shared" si="24"/>
        <v>-</v>
      </c>
      <c r="BY6" s="125">
        <v>0</v>
      </c>
      <c r="BZ6" s="126">
        <v>0</v>
      </c>
      <c r="CA6" s="276" t="str">
        <f t="shared" si="25"/>
        <v>-</v>
      </c>
      <c r="CB6" s="125">
        <v>0</v>
      </c>
      <c r="CC6" s="126">
        <v>0</v>
      </c>
      <c r="CD6" s="276" t="str">
        <f t="shared" si="26"/>
        <v>-</v>
      </c>
      <c r="CE6" s="125">
        <v>0</v>
      </c>
      <c r="CF6" s="126">
        <v>0</v>
      </c>
      <c r="CG6" s="276" t="str">
        <f t="shared" si="27"/>
        <v>-</v>
      </c>
      <c r="CH6" s="125">
        <v>0</v>
      </c>
      <c r="CI6" s="126">
        <v>0</v>
      </c>
      <c r="CJ6" s="276" t="str">
        <f t="shared" si="28"/>
        <v>-</v>
      </c>
      <c r="CK6" s="125">
        <v>0</v>
      </c>
      <c r="CL6" s="126">
        <v>0</v>
      </c>
      <c r="CM6" s="276" t="str">
        <f t="shared" si="29"/>
        <v>-</v>
      </c>
      <c r="CN6" s="117">
        <f t="shared" si="30"/>
        <v>36</v>
      </c>
      <c r="CO6" s="120">
        <f t="shared" si="31"/>
        <v>8</v>
      </c>
      <c r="CP6" s="147">
        <f t="shared" si="32"/>
        <v>4.5</v>
      </c>
    </row>
    <row r="7" spans="1:94" ht="15" thickBot="1" x14ac:dyDescent="0.35">
      <c r="A7" s="294">
        <v>45660</v>
      </c>
      <c r="B7" s="20">
        <v>0</v>
      </c>
      <c r="C7" s="21">
        <v>0</v>
      </c>
      <c r="D7" s="139" t="str">
        <f t="shared" si="0"/>
        <v>-</v>
      </c>
      <c r="E7" s="20">
        <v>0</v>
      </c>
      <c r="F7" s="21">
        <v>0</v>
      </c>
      <c r="G7" s="139" t="str">
        <f t="shared" si="1"/>
        <v>-</v>
      </c>
      <c r="H7" s="20">
        <v>0</v>
      </c>
      <c r="I7" s="21">
        <v>0</v>
      </c>
      <c r="J7" s="139" t="str">
        <f t="shared" si="2"/>
        <v>-</v>
      </c>
      <c r="K7" s="20">
        <v>0</v>
      </c>
      <c r="L7" s="21">
        <v>0</v>
      </c>
      <c r="M7" s="139" t="str">
        <f t="shared" si="3"/>
        <v>-</v>
      </c>
      <c r="N7" s="20">
        <v>0</v>
      </c>
      <c r="O7" s="21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si="5"/>
        <v>-</v>
      </c>
      <c r="T7" s="20">
        <v>0</v>
      </c>
      <c r="U7" s="21">
        <v>0</v>
      </c>
      <c r="V7" s="139" t="str">
        <f t="shared" si="33"/>
        <v>-</v>
      </c>
      <c r="W7" s="20">
        <v>0</v>
      </c>
      <c r="X7" s="21">
        <v>0</v>
      </c>
      <c r="Y7" s="278" t="str">
        <f t="shared" si="34"/>
        <v>-</v>
      </c>
      <c r="Z7" s="125">
        <v>0</v>
      </c>
      <c r="AA7" s="126">
        <v>0</v>
      </c>
      <c r="AB7" s="276" t="str">
        <f t="shared" si="35"/>
        <v>-</v>
      </c>
      <c r="AC7" s="125">
        <v>0</v>
      </c>
      <c r="AD7" s="126">
        <v>0</v>
      </c>
      <c r="AE7" s="276" t="str">
        <f t="shared" si="36"/>
        <v>-</v>
      </c>
      <c r="AF7" s="125">
        <v>0</v>
      </c>
      <c r="AG7" s="126">
        <v>0</v>
      </c>
      <c r="AH7" s="276" t="str">
        <f t="shared" si="37"/>
        <v>-</v>
      </c>
      <c r="AI7" s="125">
        <v>0</v>
      </c>
      <c r="AJ7" s="126">
        <v>0</v>
      </c>
      <c r="AK7" s="276" t="str">
        <f t="shared" si="38"/>
        <v>-</v>
      </c>
      <c r="AL7" s="125">
        <v>0</v>
      </c>
      <c r="AM7" s="126">
        <v>0</v>
      </c>
      <c r="AN7" s="276" t="str">
        <f t="shared" si="39"/>
        <v>-</v>
      </c>
      <c r="AO7" s="125">
        <v>0</v>
      </c>
      <c r="AP7" s="126">
        <v>0</v>
      </c>
      <c r="AQ7" s="276" t="str">
        <f t="shared" si="13"/>
        <v>-</v>
      </c>
      <c r="AR7" s="125">
        <v>0</v>
      </c>
      <c r="AS7" s="126">
        <v>0</v>
      </c>
      <c r="AT7" s="276" t="str">
        <f t="shared" si="14"/>
        <v>-</v>
      </c>
      <c r="AU7" s="125">
        <v>0</v>
      </c>
      <c r="AV7" s="126">
        <v>0</v>
      </c>
      <c r="AW7" s="276" t="str">
        <f t="shared" si="15"/>
        <v>-</v>
      </c>
      <c r="AX7" s="125">
        <v>0</v>
      </c>
      <c r="AY7" s="126">
        <v>0</v>
      </c>
      <c r="AZ7" s="276" t="str">
        <f t="shared" si="16"/>
        <v>-</v>
      </c>
      <c r="BA7" s="125">
        <v>0</v>
      </c>
      <c r="BB7" s="126">
        <v>0</v>
      </c>
      <c r="BC7" s="276" t="str">
        <f t="shared" si="17"/>
        <v>-</v>
      </c>
      <c r="BD7" s="125">
        <v>0</v>
      </c>
      <c r="BE7" s="126">
        <v>0</v>
      </c>
      <c r="BF7" s="276" t="str">
        <f t="shared" si="18"/>
        <v>-</v>
      </c>
      <c r="BG7" s="125">
        <v>0</v>
      </c>
      <c r="BH7" s="126">
        <v>0</v>
      </c>
      <c r="BI7" s="276" t="str">
        <f t="shared" si="19"/>
        <v>-</v>
      </c>
      <c r="BJ7" s="125">
        <v>0</v>
      </c>
      <c r="BK7" s="126">
        <v>0</v>
      </c>
      <c r="BL7" s="276" t="str">
        <f t="shared" si="20"/>
        <v>-</v>
      </c>
      <c r="BM7" s="125">
        <v>0</v>
      </c>
      <c r="BN7" s="126">
        <v>0</v>
      </c>
      <c r="BO7" s="276" t="str">
        <f t="shared" si="21"/>
        <v>-</v>
      </c>
      <c r="BP7" s="125">
        <v>0</v>
      </c>
      <c r="BQ7" s="126">
        <v>0</v>
      </c>
      <c r="BR7" s="276" t="str">
        <f t="shared" si="22"/>
        <v>-</v>
      </c>
      <c r="BS7" s="125">
        <v>0</v>
      </c>
      <c r="BT7" s="126">
        <v>0</v>
      </c>
      <c r="BU7" s="276" t="str">
        <f t="shared" si="23"/>
        <v>-</v>
      </c>
      <c r="BV7" s="125">
        <v>0</v>
      </c>
      <c r="BW7" s="126">
        <v>0</v>
      </c>
      <c r="BX7" s="276" t="str">
        <f t="shared" si="24"/>
        <v>-</v>
      </c>
      <c r="BY7" s="125">
        <v>0</v>
      </c>
      <c r="BZ7" s="126">
        <v>0</v>
      </c>
      <c r="CA7" s="276" t="str">
        <f t="shared" si="25"/>
        <v>-</v>
      </c>
      <c r="CB7" s="125">
        <v>0</v>
      </c>
      <c r="CC7" s="126">
        <v>0</v>
      </c>
      <c r="CD7" s="276" t="str">
        <f t="shared" si="26"/>
        <v>-</v>
      </c>
      <c r="CE7" s="125">
        <v>0</v>
      </c>
      <c r="CF7" s="126">
        <v>0</v>
      </c>
      <c r="CG7" s="276" t="str">
        <f t="shared" si="27"/>
        <v>-</v>
      </c>
      <c r="CH7" s="125">
        <v>0</v>
      </c>
      <c r="CI7" s="126">
        <v>0</v>
      </c>
      <c r="CJ7" s="276" t="str">
        <f t="shared" si="28"/>
        <v>-</v>
      </c>
      <c r="CK7" s="125">
        <v>0</v>
      </c>
      <c r="CL7" s="126">
        <v>0</v>
      </c>
      <c r="CM7" s="276" t="str">
        <f t="shared" si="29"/>
        <v>-</v>
      </c>
      <c r="CN7" s="117">
        <f t="shared" si="30"/>
        <v>0</v>
      </c>
      <c r="CO7" s="120">
        <f t="shared" si="31"/>
        <v>0</v>
      </c>
      <c r="CP7" s="147" t="str">
        <f t="shared" si="32"/>
        <v/>
      </c>
    </row>
    <row r="8" spans="1:94" ht="15" thickBot="1" x14ac:dyDescent="0.35">
      <c r="A8" s="294">
        <v>45661</v>
      </c>
      <c r="B8" s="20">
        <v>0</v>
      </c>
      <c r="C8" s="21">
        <v>0</v>
      </c>
      <c r="D8" s="139" t="str">
        <f t="shared" si="0"/>
        <v>-</v>
      </c>
      <c r="E8" s="20">
        <v>0</v>
      </c>
      <c r="F8" s="21">
        <v>0</v>
      </c>
      <c r="G8" s="139" t="str">
        <f t="shared" si="1"/>
        <v>-</v>
      </c>
      <c r="H8" s="20">
        <v>0</v>
      </c>
      <c r="I8" s="21">
        <v>0</v>
      </c>
      <c r="J8" s="139" t="str">
        <f t="shared" si="2"/>
        <v>-</v>
      </c>
      <c r="K8" s="20">
        <v>0</v>
      </c>
      <c r="L8" s="21">
        <v>0</v>
      </c>
      <c r="M8" s="139" t="str">
        <f t="shared" si="3"/>
        <v>-</v>
      </c>
      <c r="N8" s="20">
        <v>0</v>
      </c>
      <c r="O8" s="21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0</v>
      </c>
      <c r="U8" s="21">
        <v>0</v>
      </c>
      <c r="V8" s="139" t="str">
        <f t="shared" si="33"/>
        <v>-</v>
      </c>
      <c r="W8" s="20">
        <v>0</v>
      </c>
      <c r="X8" s="21">
        <v>0</v>
      </c>
      <c r="Y8" s="278" t="str">
        <f t="shared" si="34"/>
        <v>-</v>
      </c>
      <c r="Z8" s="125">
        <v>0</v>
      </c>
      <c r="AA8" s="126">
        <v>0</v>
      </c>
      <c r="AB8" s="276" t="str">
        <f t="shared" si="35"/>
        <v>-</v>
      </c>
      <c r="AC8" s="125">
        <v>0</v>
      </c>
      <c r="AD8" s="126">
        <v>0</v>
      </c>
      <c r="AE8" s="276" t="str">
        <f t="shared" si="36"/>
        <v>-</v>
      </c>
      <c r="AF8" s="125">
        <v>0</v>
      </c>
      <c r="AG8" s="126">
        <v>0</v>
      </c>
      <c r="AH8" s="276" t="str">
        <f t="shared" si="37"/>
        <v>-</v>
      </c>
      <c r="AI8" s="125">
        <v>0</v>
      </c>
      <c r="AJ8" s="126">
        <v>0</v>
      </c>
      <c r="AK8" s="276" t="str">
        <f t="shared" si="38"/>
        <v>-</v>
      </c>
      <c r="AL8" s="125">
        <v>0</v>
      </c>
      <c r="AM8" s="126">
        <v>0</v>
      </c>
      <c r="AN8" s="276" t="str">
        <f t="shared" si="39"/>
        <v>-</v>
      </c>
      <c r="AO8" s="125">
        <v>0</v>
      </c>
      <c r="AP8" s="126">
        <v>0</v>
      </c>
      <c r="AQ8" s="276" t="str">
        <f t="shared" si="13"/>
        <v>-</v>
      </c>
      <c r="AR8" s="125">
        <v>0</v>
      </c>
      <c r="AS8" s="126">
        <v>0</v>
      </c>
      <c r="AT8" s="276" t="str">
        <f t="shared" si="14"/>
        <v>-</v>
      </c>
      <c r="AU8" s="125">
        <v>0</v>
      </c>
      <c r="AV8" s="126">
        <v>0</v>
      </c>
      <c r="AW8" s="276" t="str">
        <f t="shared" si="15"/>
        <v>-</v>
      </c>
      <c r="AX8" s="125">
        <v>0</v>
      </c>
      <c r="AY8" s="126">
        <v>0</v>
      </c>
      <c r="AZ8" s="276" t="str">
        <f t="shared" si="16"/>
        <v>-</v>
      </c>
      <c r="BA8" s="125">
        <v>0</v>
      </c>
      <c r="BB8" s="126">
        <v>0</v>
      </c>
      <c r="BC8" s="276" t="str">
        <f t="shared" si="17"/>
        <v>-</v>
      </c>
      <c r="BD8" s="125">
        <v>0</v>
      </c>
      <c r="BE8" s="126">
        <v>0</v>
      </c>
      <c r="BF8" s="276" t="str">
        <f t="shared" si="18"/>
        <v>-</v>
      </c>
      <c r="BG8" s="125">
        <v>0</v>
      </c>
      <c r="BH8" s="126">
        <v>0</v>
      </c>
      <c r="BI8" s="276" t="str">
        <f t="shared" si="19"/>
        <v>-</v>
      </c>
      <c r="BJ8" s="125">
        <v>0</v>
      </c>
      <c r="BK8" s="126">
        <v>0</v>
      </c>
      <c r="BL8" s="276" t="str">
        <f t="shared" si="20"/>
        <v>-</v>
      </c>
      <c r="BM8" s="125">
        <v>0</v>
      </c>
      <c r="BN8" s="126">
        <v>0</v>
      </c>
      <c r="BO8" s="276" t="str">
        <f t="shared" si="21"/>
        <v>-</v>
      </c>
      <c r="BP8" s="125">
        <v>0</v>
      </c>
      <c r="BQ8" s="126">
        <v>0</v>
      </c>
      <c r="BR8" s="276" t="str">
        <f t="shared" si="22"/>
        <v>-</v>
      </c>
      <c r="BS8" s="125">
        <v>0</v>
      </c>
      <c r="BT8" s="126">
        <v>0</v>
      </c>
      <c r="BU8" s="276" t="str">
        <f t="shared" si="23"/>
        <v>-</v>
      </c>
      <c r="BV8" s="125">
        <v>0</v>
      </c>
      <c r="BW8" s="126">
        <v>0</v>
      </c>
      <c r="BX8" s="276" t="str">
        <f t="shared" si="24"/>
        <v>-</v>
      </c>
      <c r="BY8" s="125">
        <v>0</v>
      </c>
      <c r="BZ8" s="126">
        <v>0</v>
      </c>
      <c r="CA8" s="276" t="str">
        <f t="shared" si="25"/>
        <v>-</v>
      </c>
      <c r="CB8" s="125">
        <v>0</v>
      </c>
      <c r="CC8" s="126">
        <v>0</v>
      </c>
      <c r="CD8" s="276" t="str">
        <f t="shared" si="26"/>
        <v>-</v>
      </c>
      <c r="CE8" s="125">
        <v>0</v>
      </c>
      <c r="CF8" s="126">
        <v>0</v>
      </c>
      <c r="CG8" s="276" t="str">
        <f t="shared" si="27"/>
        <v>-</v>
      </c>
      <c r="CH8" s="125">
        <v>0</v>
      </c>
      <c r="CI8" s="126">
        <v>0</v>
      </c>
      <c r="CJ8" s="276" t="str">
        <f t="shared" si="28"/>
        <v>-</v>
      </c>
      <c r="CK8" s="125">
        <v>0</v>
      </c>
      <c r="CL8" s="126">
        <v>0</v>
      </c>
      <c r="CM8" s="276" t="str">
        <f t="shared" si="29"/>
        <v>-</v>
      </c>
      <c r="CN8" s="117">
        <f t="shared" si="30"/>
        <v>0</v>
      </c>
      <c r="CO8" s="120">
        <f t="shared" si="31"/>
        <v>0</v>
      </c>
      <c r="CP8" s="147" t="str">
        <f t="shared" si="32"/>
        <v/>
      </c>
    </row>
    <row r="9" spans="1:94" ht="15" thickBot="1" x14ac:dyDescent="0.35">
      <c r="A9" s="294">
        <v>45662</v>
      </c>
      <c r="B9" s="20">
        <v>0</v>
      </c>
      <c r="C9" s="21">
        <v>0</v>
      </c>
      <c r="D9" s="139" t="str">
        <f t="shared" si="0"/>
        <v>-</v>
      </c>
      <c r="E9" s="20">
        <v>0</v>
      </c>
      <c r="F9" s="21">
        <v>0</v>
      </c>
      <c r="G9" s="139" t="str">
        <f t="shared" si="1"/>
        <v>-</v>
      </c>
      <c r="H9" s="20">
        <v>0</v>
      </c>
      <c r="I9" s="21">
        <v>0</v>
      </c>
      <c r="J9" s="139" t="str">
        <f t="shared" si="2"/>
        <v>-</v>
      </c>
      <c r="K9" s="20">
        <v>0</v>
      </c>
      <c r="L9" s="21">
        <v>0</v>
      </c>
      <c r="M9" s="139" t="str">
        <f t="shared" si="3"/>
        <v>-</v>
      </c>
      <c r="N9" s="20">
        <v>0</v>
      </c>
      <c r="O9" s="21">
        <v>0</v>
      </c>
      <c r="P9" s="139" t="str">
        <f t="shared" si="4"/>
        <v>-</v>
      </c>
      <c r="Q9" s="20">
        <v>0</v>
      </c>
      <c r="R9" s="21">
        <v>0</v>
      </c>
      <c r="S9" s="139" t="str">
        <f t="shared" si="5"/>
        <v>-</v>
      </c>
      <c r="T9" s="20">
        <v>0</v>
      </c>
      <c r="U9" s="21">
        <v>0</v>
      </c>
      <c r="V9" s="139" t="str">
        <f t="shared" si="33"/>
        <v>-</v>
      </c>
      <c r="W9" s="20">
        <v>0</v>
      </c>
      <c r="X9" s="21">
        <v>0</v>
      </c>
      <c r="Y9" s="278" t="str">
        <f t="shared" si="34"/>
        <v>-</v>
      </c>
      <c r="Z9" s="125">
        <v>0</v>
      </c>
      <c r="AA9" s="126">
        <v>0</v>
      </c>
      <c r="AB9" s="276" t="str">
        <f t="shared" si="35"/>
        <v>-</v>
      </c>
      <c r="AC9" s="125">
        <v>0</v>
      </c>
      <c r="AD9" s="126">
        <v>0</v>
      </c>
      <c r="AE9" s="276" t="str">
        <f t="shared" si="36"/>
        <v>-</v>
      </c>
      <c r="AF9" s="125">
        <v>0</v>
      </c>
      <c r="AG9" s="126">
        <v>0</v>
      </c>
      <c r="AH9" s="276" t="str">
        <f t="shared" si="37"/>
        <v>-</v>
      </c>
      <c r="AI9" s="125">
        <v>0</v>
      </c>
      <c r="AJ9" s="126">
        <v>0</v>
      </c>
      <c r="AK9" s="276" t="str">
        <f t="shared" si="38"/>
        <v>-</v>
      </c>
      <c r="AL9" s="125">
        <v>0</v>
      </c>
      <c r="AM9" s="126">
        <v>0</v>
      </c>
      <c r="AN9" s="276" t="str">
        <f t="shared" si="39"/>
        <v>-</v>
      </c>
      <c r="AO9" s="125">
        <v>0</v>
      </c>
      <c r="AP9" s="126">
        <v>0</v>
      </c>
      <c r="AQ9" s="276" t="str">
        <f t="shared" si="13"/>
        <v>-</v>
      </c>
      <c r="AR9" s="125">
        <v>0</v>
      </c>
      <c r="AS9" s="126">
        <v>0</v>
      </c>
      <c r="AT9" s="276" t="str">
        <f t="shared" si="14"/>
        <v>-</v>
      </c>
      <c r="AU9" s="125">
        <v>0</v>
      </c>
      <c r="AV9" s="126">
        <v>0</v>
      </c>
      <c r="AW9" s="276" t="str">
        <f t="shared" si="15"/>
        <v>-</v>
      </c>
      <c r="AX9" s="125">
        <v>0</v>
      </c>
      <c r="AY9" s="126">
        <v>0</v>
      </c>
      <c r="AZ9" s="276" t="str">
        <f t="shared" si="16"/>
        <v>-</v>
      </c>
      <c r="BA9" s="125">
        <v>0</v>
      </c>
      <c r="BB9" s="126">
        <v>0</v>
      </c>
      <c r="BC9" s="276" t="str">
        <f t="shared" si="17"/>
        <v>-</v>
      </c>
      <c r="BD9" s="125">
        <v>0</v>
      </c>
      <c r="BE9" s="126">
        <v>0</v>
      </c>
      <c r="BF9" s="276" t="str">
        <f t="shared" si="18"/>
        <v>-</v>
      </c>
      <c r="BG9" s="125">
        <v>0</v>
      </c>
      <c r="BH9" s="126">
        <v>0</v>
      </c>
      <c r="BI9" s="276" t="str">
        <f t="shared" si="19"/>
        <v>-</v>
      </c>
      <c r="BJ9" s="125">
        <v>0</v>
      </c>
      <c r="BK9" s="126">
        <v>0</v>
      </c>
      <c r="BL9" s="276" t="str">
        <f t="shared" si="20"/>
        <v>-</v>
      </c>
      <c r="BM9" s="125">
        <v>0</v>
      </c>
      <c r="BN9" s="126">
        <v>0</v>
      </c>
      <c r="BO9" s="276" t="str">
        <f t="shared" si="21"/>
        <v>-</v>
      </c>
      <c r="BP9" s="125">
        <v>0</v>
      </c>
      <c r="BQ9" s="126">
        <v>0</v>
      </c>
      <c r="BR9" s="276" t="str">
        <f t="shared" si="22"/>
        <v>-</v>
      </c>
      <c r="BS9" s="125">
        <v>0</v>
      </c>
      <c r="BT9" s="126">
        <v>0</v>
      </c>
      <c r="BU9" s="276" t="str">
        <f t="shared" si="23"/>
        <v>-</v>
      </c>
      <c r="BV9" s="125">
        <v>0</v>
      </c>
      <c r="BW9" s="126">
        <v>0</v>
      </c>
      <c r="BX9" s="276" t="str">
        <f t="shared" si="24"/>
        <v>-</v>
      </c>
      <c r="BY9" s="125">
        <v>0</v>
      </c>
      <c r="BZ9" s="126">
        <v>0</v>
      </c>
      <c r="CA9" s="276" t="str">
        <f t="shared" si="25"/>
        <v>-</v>
      </c>
      <c r="CB9" s="125">
        <v>0</v>
      </c>
      <c r="CC9" s="126">
        <v>0</v>
      </c>
      <c r="CD9" s="276" t="str">
        <f t="shared" si="26"/>
        <v>-</v>
      </c>
      <c r="CE9" s="125">
        <v>0</v>
      </c>
      <c r="CF9" s="126">
        <v>0</v>
      </c>
      <c r="CG9" s="276" t="str">
        <f t="shared" si="27"/>
        <v>-</v>
      </c>
      <c r="CH9" s="125">
        <v>0</v>
      </c>
      <c r="CI9" s="126">
        <v>0</v>
      </c>
      <c r="CJ9" s="276" t="str">
        <f t="shared" si="28"/>
        <v>-</v>
      </c>
      <c r="CK9" s="125">
        <v>0</v>
      </c>
      <c r="CL9" s="126">
        <v>0</v>
      </c>
      <c r="CM9" s="276" t="str">
        <f t="shared" si="29"/>
        <v>-</v>
      </c>
      <c r="CN9" s="117">
        <f t="shared" si="30"/>
        <v>0</v>
      </c>
      <c r="CO9" s="120">
        <f t="shared" si="31"/>
        <v>0</v>
      </c>
      <c r="CP9" s="147" t="str">
        <f t="shared" si="32"/>
        <v/>
      </c>
    </row>
    <row r="10" spans="1:94" ht="15" thickBot="1" x14ac:dyDescent="0.35">
      <c r="A10" s="294">
        <v>45663</v>
      </c>
      <c r="B10" s="20">
        <v>41</v>
      </c>
      <c r="C10" s="21">
        <v>5</v>
      </c>
      <c r="D10" s="139">
        <f t="shared" si="0"/>
        <v>8.1999999999999993</v>
      </c>
      <c r="E10" s="23">
        <v>0</v>
      </c>
      <c r="F10" s="21">
        <v>0</v>
      </c>
      <c r="G10" s="139" t="str">
        <f t="shared" ref="G10:G15" si="40">IF(F10=0,"-",E10/F10)</f>
        <v>-</v>
      </c>
      <c r="H10" s="20"/>
      <c r="I10" s="21"/>
      <c r="J10" s="139" t="str">
        <f t="shared" ref="J10:J34" si="41">IF(I10=0,"-",H10/I10)</f>
        <v>-</v>
      </c>
      <c r="K10" s="20">
        <v>27</v>
      </c>
      <c r="L10" s="21">
        <v>3</v>
      </c>
      <c r="M10" s="139">
        <f t="shared" ref="M10:M35" si="42">IF(L10=0,"-",K10/L10)</f>
        <v>9</v>
      </c>
      <c r="N10" s="125">
        <v>0</v>
      </c>
      <c r="O10" s="126">
        <v>0</v>
      </c>
      <c r="P10" s="139" t="str">
        <f t="shared" ref="P10:P34" si="43">IF(O10=0,"-",N10/O10)</f>
        <v>-</v>
      </c>
      <c r="Q10" s="20">
        <v>117</v>
      </c>
      <c r="R10" s="21">
        <v>20</v>
      </c>
      <c r="S10" s="139">
        <f t="shared" ref="S10:S34" si="44">IF(R10=0,"-",Q10/R10)</f>
        <v>5.85</v>
      </c>
      <c r="T10" s="20">
        <v>0</v>
      </c>
      <c r="U10" s="21">
        <v>0</v>
      </c>
      <c r="V10" s="139" t="str">
        <f t="shared" ref="V10" si="45">IF(U10=0,"-",T10/U10)</f>
        <v>-</v>
      </c>
      <c r="W10" s="20">
        <v>0</v>
      </c>
      <c r="X10" s="21">
        <v>0</v>
      </c>
      <c r="Y10" s="278" t="str">
        <f t="shared" ref="Y10" si="46">IF(X10=0,"-",W10/X10)</f>
        <v>-</v>
      </c>
      <c r="Z10" s="125">
        <v>0</v>
      </c>
      <c r="AA10" s="126">
        <v>0</v>
      </c>
      <c r="AB10" s="276" t="str">
        <f t="shared" ref="AB10" si="47">IF(AA10=0,"-",Z10/AA10)</f>
        <v>-</v>
      </c>
      <c r="AC10" s="125">
        <v>0</v>
      </c>
      <c r="AD10" s="126">
        <v>0</v>
      </c>
      <c r="AE10" s="276" t="str">
        <f t="shared" ref="AE10" si="48">IF(AD10=0,"-",AC10/AD10)</f>
        <v>-</v>
      </c>
      <c r="AF10" s="125">
        <v>0</v>
      </c>
      <c r="AG10" s="126">
        <v>0</v>
      </c>
      <c r="AH10" s="276" t="str">
        <f t="shared" ref="AH10" si="49">IF(AG10=0,"-",AF10/AG10)</f>
        <v>-</v>
      </c>
      <c r="AI10" s="125">
        <v>0</v>
      </c>
      <c r="AJ10" s="126">
        <v>0</v>
      </c>
      <c r="AK10" s="276" t="str">
        <f t="shared" ref="AK10" si="50">IF(AJ10=0,"-",AI10/AJ10)</f>
        <v>-</v>
      </c>
      <c r="AL10" s="125">
        <v>0</v>
      </c>
      <c r="AM10" s="126">
        <v>0</v>
      </c>
      <c r="AN10" s="276" t="str">
        <f t="shared" ref="AN10" si="51">IF(AM10=0,"-",AL10/AM10)</f>
        <v>-</v>
      </c>
      <c r="AO10" s="20">
        <v>0</v>
      </c>
      <c r="AP10" s="21">
        <v>0</v>
      </c>
      <c r="AQ10" s="139" t="str">
        <f t="shared" ref="AQ10:AQ34" si="52">IF(AP10=0,"-",AO10/AP10)</f>
        <v>-</v>
      </c>
      <c r="AR10" s="125">
        <v>0</v>
      </c>
      <c r="AS10" s="126">
        <v>0</v>
      </c>
      <c r="AT10" s="276" t="str">
        <f t="shared" ref="AT10:AT12" si="53">IF(AS10=0,"-",AR10/AS10)</f>
        <v>-</v>
      </c>
      <c r="AU10" s="20">
        <v>0</v>
      </c>
      <c r="AV10" s="21">
        <v>0</v>
      </c>
      <c r="AW10" s="139" t="str">
        <f t="shared" ref="AW10:AW21" si="54">IF(AV10=0,"-",AU10/AV10)</f>
        <v>-</v>
      </c>
      <c r="AX10" s="20">
        <v>1</v>
      </c>
      <c r="AY10" s="21">
        <v>1</v>
      </c>
      <c r="AZ10" s="139">
        <f t="shared" ref="AZ10:AZ33" si="55">IF(AY10=0,"-",AX10/AY10)</f>
        <v>1</v>
      </c>
      <c r="BA10" s="125">
        <v>0</v>
      </c>
      <c r="BB10" s="126">
        <v>0</v>
      </c>
      <c r="BC10" s="276" t="str">
        <f t="shared" ref="BC10:BC13" si="56">IF(BB10=0,"-",BA10/BB10)</f>
        <v>-</v>
      </c>
      <c r="BD10" s="20">
        <v>0</v>
      </c>
      <c r="BE10" s="21">
        <v>0</v>
      </c>
      <c r="BF10" s="139" t="str">
        <f t="shared" ref="BF10:BF22" si="57">IF(BE10=0,"-",BD10/BE10)</f>
        <v>-</v>
      </c>
      <c r="BG10" s="125">
        <v>0</v>
      </c>
      <c r="BH10" s="126">
        <v>0</v>
      </c>
      <c r="BI10" s="276" t="str">
        <f t="shared" ref="BI10:BI13" si="58">IF(BH10=0,"-",BG10/BH10)</f>
        <v>-</v>
      </c>
      <c r="BJ10" s="252">
        <v>10</v>
      </c>
      <c r="BK10" s="253">
        <v>2</v>
      </c>
      <c r="BL10" s="139">
        <f>IF(BK10=0,"-",BJ10/BK10)</f>
        <v>5</v>
      </c>
      <c r="BM10" s="252">
        <v>0</v>
      </c>
      <c r="BN10" s="253">
        <v>0</v>
      </c>
      <c r="BO10" s="319" t="s">
        <v>89</v>
      </c>
      <c r="BP10" s="302">
        <v>0</v>
      </c>
      <c r="BQ10" s="303">
        <v>0</v>
      </c>
      <c r="BR10" s="320" t="s">
        <v>89</v>
      </c>
      <c r="BS10" s="257">
        <v>8</v>
      </c>
      <c r="BT10" s="253">
        <v>1</v>
      </c>
      <c r="BU10" s="320">
        <v>8</v>
      </c>
      <c r="BV10" s="20">
        <v>4</v>
      </c>
      <c r="BW10" s="21">
        <v>1</v>
      </c>
      <c r="BX10" s="139">
        <f t="shared" ref="BX10:BX34" si="59">IF(BW10=0,"-",BV10/BW10)</f>
        <v>4</v>
      </c>
      <c r="BY10" s="20">
        <v>0</v>
      </c>
      <c r="BZ10" s="21">
        <v>0</v>
      </c>
      <c r="CA10" s="139" t="str">
        <f t="shared" ref="CA10:CA29" si="60">IF(BZ10=0,"-",BY10/BZ10)</f>
        <v>-</v>
      </c>
      <c r="CB10" s="20">
        <v>4</v>
      </c>
      <c r="CC10" s="21">
        <v>1</v>
      </c>
      <c r="CD10" s="139">
        <f t="shared" ref="CD10:CD29" si="61">IF(CC10=0,"-",CB10/CC10)</f>
        <v>4</v>
      </c>
      <c r="CE10" s="125">
        <v>0</v>
      </c>
      <c r="CF10" s="126">
        <v>0</v>
      </c>
      <c r="CG10" s="276" t="str">
        <f t="shared" ref="CG10:CG14" si="62">IF(CF10=0,"-",CE10/CF10)</f>
        <v>-</v>
      </c>
      <c r="CH10" s="125">
        <v>0</v>
      </c>
      <c r="CI10" s="126">
        <v>0</v>
      </c>
      <c r="CJ10" s="276" t="str">
        <f t="shared" ref="CJ10:CJ14" si="63">IF(CI10=0,"-",CH10/CI10)</f>
        <v>-</v>
      </c>
      <c r="CK10" s="125">
        <v>0</v>
      </c>
      <c r="CL10" s="126">
        <v>0</v>
      </c>
      <c r="CM10" s="276" t="str">
        <f t="shared" ref="CM10:CM14" si="64">IF(CL10=0,"-",CK10/CL10)</f>
        <v>-</v>
      </c>
      <c r="CN10" s="117">
        <f t="shared" si="30"/>
        <v>212</v>
      </c>
      <c r="CO10" s="120">
        <f t="shared" si="31"/>
        <v>33</v>
      </c>
      <c r="CP10" s="147">
        <f t="shared" si="32"/>
        <v>6.4242424242424239</v>
      </c>
    </row>
    <row r="11" spans="1:94" ht="15" thickBot="1" x14ac:dyDescent="0.35">
      <c r="A11" s="294">
        <v>45664</v>
      </c>
      <c r="B11" s="20">
        <v>54</v>
      </c>
      <c r="C11" s="21">
        <v>6</v>
      </c>
      <c r="D11" s="139">
        <f t="shared" si="0"/>
        <v>9</v>
      </c>
      <c r="E11" s="23">
        <v>0</v>
      </c>
      <c r="F11" s="21">
        <v>0</v>
      </c>
      <c r="G11" s="139" t="str">
        <f t="shared" si="40"/>
        <v>-</v>
      </c>
      <c r="H11" s="20"/>
      <c r="I11" s="21"/>
      <c r="J11" s="139" t="str">
        <f t="shared" si="41"/>
        <v>-</v>
      </c>
      <c r="K11" s="20">
        <v>66</v>
      </c>
      <c r="L11" s="21">
        <v>8</v>
      </c>
      <c r="M11" s="139">
        <f t="shared" si="42"/>
        <v>8.25</v>
      </c>
      <c r="N11" s="125">
        <v>0</v>
      </c>
      <c r="O11" s="126">
        <v>0</v>
      </c>
      <c r="P11" s="139" t="str">
        <f t="shared" si="43"/>
        <v>-</v>
      </c>
      <c r="Q11" s="20">
        <v>78</v>
      </c>
      <c r="R11" s="21">
        <v>14</v>
      </c>
      <c r="S11" s="139">
        <f t="shared" si="44"/>
        <v>5.5714285714285712</v>
      </c>
      <c r="T11" s="20">
        <v>0</v>
      </c>
      <c r="U11" s="21">
        <v>0</v>
      </c>
      <c r="V11" s="139" t="str">
        <f t="shared" ref="V11" si="65">IF(U11=0,"-",T11/U11)</f>
        <v>-</v>
      </c>
      <c r="W11" s="20">
        <v>0</v>
      </c>
      <c r="X11" s="21">
        <v>0</v>
      </c>
      <c r="Y11" s="278" t="str">
        <f t="shared" ref="Y11" si="66">IF(X11=0,"-",W11/X11)</f>
        <v>-</v>
      </c>
      <c r="Z11" s="125">
        <v>0</v>
      </c>
      <c r="AA11" s="126">
        <v>0</v>
      </c>
      <c r="AB11" s="276" t="str">
        <f t="shared" ref="AB11" si="67">IF(AA11=0,"-",Z11/AA11)</f>
        <v>-</v>
      </c>
      <c r="AC11" s="125">
        <v>0</v>
      </c>
      <c r="AD11" s="126">
        <v>0</v>
      </c>
      <c r="AE11" s="276" t="str">
        <f t="shared" ref="AE11" si="68">IF(AD11=0,"-",AC11/AD11)</f>
        <v>-</v>
      </c>
      <c r="AF11" s="125">
        <v>0</v>
      </c>
      <c r="AG11" s="126">
        <v>0</v>
      </c>
      <c r="AH11" s="276" t="str">
        <f t="shared" ref="AH11" si="69">IF(AG11=0,"-",AF11/AG11)</f>
        <v>-</v>
      </c>
      <c r="AI11" s="125">
        <v>0</v>
      </c>
      <c r="AJ11" s="126">
        <v>0</v>
      </c>
      <c r="AK11" s="276" t="str">
        <f t="shared" ref="AK11" si="70">IF(AJ11=0,"-",AI11/AJ11)</f>
        <v>-</v>
      </c>
      <c r="AL11" s="125">
        <v>0</v>
      </c>
      <c r="AM11" s="126">
        <v>0</v>
      </c>
      <c r="AN11" s="276" t="str">
        <f t="shared" ref="AN11" si="71">IF(AM11=0,"-",AL11/AM11)</f>
        <v>-</v>
      </c>
      <c r="AO11" s="20">
        <v>0</v>
      </c>
      <c r="AP11" s="21">
        <v>0</v>
      </c>
      <c r="AQ11" s="139" t="str">
        <f t="shared" si="52"/>
        <v>-</v>
      </c>
      <c r="AR11" s="125">
        <v>0</v>
      </c>
      <c r="AS11" s="126">
        <v>0</v>
      </c>
      <c r="AT11" s="276" t="str">
        <f t="shared" si="53"/>
        <v>-</v>
      </c>
      <c r="AU11" s="125">
        <v>0</v>
      </c>
      <c r="AV11" s="126">
        <v>0</v>
      </c>
      <c r="AW11" s="276" t="str">
        <f t="shared" si="54"/>
        <v>-</v>
      </c>
      <c r="AX11" s="125">
        <v>0</v>
      </c>
      <c r="AY11" s="126">
        <v>0</v>
      </c>
      <c r="AZ11" s="276" t="str">
        <f t="shared" si="55"/>
        <v>-</v>
      </c>
      <c r="BA11" s="125">
        <v>0</v>
      </c>
      <c r="BB11" s="126">
        <v>0</v>
      </c>
      <c r="BC11" s="276" t="str">
        <f t="shared" si="56"/>
        <v>-</v>
      </c>
      <c r="BD11" s="20">
        <v>0</v>
      </c>
      <c r="BE11" s="21">
        <v>0</v>
      </c>
      <c r="BF11" s="139" t="str">
        <f t="shared" si="57"/>
        <v>-</v>
      </c>
      <c r="BG11" s="125">
        <v>0</v>
      </c>
      <c r="BH11" s="126">
        <v>0</v>
      </c>
      <c r="BI11" s="276" t="str">
        <f t="shared" si="58"/>
        <v>-</v>
      </c>
      <c r="BJ11" s="252">
        <v>9</v>
      </c>
      <c r="BK11" s="253">
        <v>2</v>
      </c>
      <c r="BL11" s="139">
        <f t="shared" ref="BL11:BL13" si="72">IF(BK11=0,"-",BJ11/BK11)</f>
        <v>4.5</v>
      </c>
      <c r="BM11" s="252">
        <v>0</v>
      </c>
      <c r="BN11" s="253">
        <v>0</v>
      </c>
      <c r="BO11" s="319" t="s">
        <v>89</v>
      </c>
      <c r="BP11" s="302">
        <v>0</v>
      </c>
      <c r="BQ11" s="303">
        <v>0</v>
      </c>
      <c r="BR11" s="320" t="s">
        <v>89</v>
      </c>
      <c r="BS11" s="257">
        <v>0</v>
      </c>
      <c r="BT11" s="253">
        <v>0</v>
      </c>
      <c r="BU11" s="320" t="s">
        <v>89</v>
      </c>
      <c r="BV11" s="20">
        <v>2</v>
      </c>
      <c r="BW11" s="21">
        <v>1</v>
      </c>
      <c r="BX11" s="139">
        <f t="shared" si="59"/>
        <v>2</v>
      </c>
      <c r="BY11" s="20">
        <v>0</v>
      </c>
      <c r="BZ11" s="21">
        <v>0</v>
      </c>
      <c r="CA11" s="139">
        <v>0</v>
      </c>
      <c r="CB11" s="20">
        <v>0</v>
      </c>
      <c r="CC11" s="21">
        <v>0</v>
      </c>
      <c r="CD11" s="139" t="str">
        <f t="shared" si="61"/>
        <v>-</v>
      </c>
      <c r="CE11" s="125">
        <v>0</v>
      </c>
      <c r="CF11" s="126">
        <v>0</v>
      </c>
      <c r="CG11" s="276" t="str">
        <f t="shared" si="62"/>
        <v>-</v>
      </c>
      <c r="CH11" s="125">
        <v>0</v>
      </c>
      <c r="CI11" s="126">
        <v>0</v>
      </c>
      <c r="CJ11" s="276" t="str">
        <f t="shared" si="63"/>
        <v>-</v>
      </c>
      <c r="CK11" s="125">
        <v>0</v>
      </c>
      <c r="CL11" s="126">
        <v>0</v>
      </c>
      <c r="CM11" s="276" t="str">
        <f t="shared" si="64"/>
        <v>-</v>
      </c>
      <c r="CN11" s="117">
        <f t="shared" si="30"/>
        <v>209</v>
      </c>
      <c r="CO11" s="120">
        <f t="shared" si="31"/>
        <v>30</v>
      </c>
      <c r="CP11" s="147">
        <f t="shared" si="32"/>
        <v>6.9666666666666668</v>
      </c>
    </row>
    <row r="12" spans="1:94" ht="16.2" customHeight="1" thickBot="1" x14ac:dyDescent="0.35">
      <c r="A12" s="294">
        <v>45665</v>
      </c>
      <c r="B12" s="20">
        <v>71</v>
      </c>
      <c r="C12" s="21">
        <v>8</v>
      </c>
      <c r="D12" s="139">
        <f t="shared" si="0"/>
        <v>8.875</v>
      </c>
      <c r="E12" s="23">
        <v>0</v>
      </c>
      <c r="F12" s="21">
        <v>0</v>
      </c>
      <c r="G12" s="139" t="str">
        <f t="shared" si="40"/>
        <v>-</v>
      </c>
      <c r="H12" s="20"/>
      <c r="I12" s="21"/>
      <c r="J12" s="139" t="str">
        <f t="shared" si="41"/>
        <v>-</v>
      </c>
      <c r="K12" s="20">
        <v>16</v>
      </c>
      <c r="L12" s="21">
        <v>2</v>
      </c>
      <c r="M12" s="139">
        <f t="shared" si="42"/>
        <v>8</v>
      </c>
      <c r="N12" s="125">
        <v>0</v>
      </c>
      <c r="O12" s="126">
        <v>0</v>
      </c>
      <c r="P12" s="139" t="str">
        <f t="shared" si="43"/>
        <v>-</v>
      </c>
      <c r="Q12" s="23">
        <v>24</v>
      </c>
      <c r="R12" s="21">
        <v>4</v>
      </c>
      <c r="S12" s="139">
        <f t="shared" si="44"/>
        <v>6</v>
      </c>
      <c r="T12" s="20">
        <v>0</v>
      </c>
      <c r="U12" s="21">
        <v>0</v>
      </c>
      <c r="V12" s="139" t="str">
        <f t="shared" si="33"/>
        <v>-</v>
      </c>
      <c r="W12" s="20">
        <v>0</v>
      </c>
      <c r="X12" s="21">
        <v>0</v>
      </c>
      <c r="Y12" s="278" t="str">
        <f t="shared" si="34"/>
        <v>-</v>
      </c>
      <c r="Z12" s="20">
        <v>40</v>
      </c>
      <c r="AA12" s="21">
        <v>8</v>
      </c>
      <c r="AB12" s="278">
        <f t="shared" ref="AB12:AB34" si="73">IF(AA12=0,"-",Z12/AA12)</f>
        <v>5</v>
      </c>
      <c r="AC12" s="20">
        <v>0</v>
      </c>
      <c r="AD12" s="21">
        <v>0</v>
      </c>
      <c r="AE12" s="278" t="str">
        <f t="shared" ref="AE12:AE30" si="74">IF(AD12=0,"-",AC12/AD12)</f>
        <v>-</v>
      </c>
      <c r="AF12" s="20">
        <v>16</v>
      </c>
      <c r="AG12" s="21">
        <v>3</v>
      </c>
      <c r="AH12" s="139">
        <f t="shared" ref="AH12:AH34" si="75">IF(AG12=0,"-",AF12/AG12)</f>
        <v>5.333333333333333</v>
      </c>
      <c r="AI12" s="20">
        <v>41</v>
      </c>
      <c r="AJ12" s="21">
        <v>7</v>
      </c>
      <c r="AK12" s="139">
        <f t="shared" ref="AK12:AK34" si="76">IF(AJ12=0,"-",AI12/AJ12)</f>
        <v>5.8571428571428568</v>
      </c>
      <c r="AL12" s="20">
        <v>0</v>
      </c>
      <c r="AM12" s="21">
        <v>0</v>
      </c>
      <c r="AN12" s="139" t="str">
        <f t="shared" ref="AN12:AN34" si="77">IF(AM12=0,"-",AL12/AM12)</f>
        <v>-</v>
      </c>
      <c r="AO12" s="20">
        <v>0</v>
      </c>
      <c r="AP12" s="21">
        <v>0</v>
      </c>
      <c r="AQ12" s="139" t="str">
        <f t="shared" si="52"/>
        <v>-</v>
      </c>
      <c r="AR12" s="125">
        <v>0</v>
      </c>
      <c r="AS12" s="126">
        <v>0</v>
      </c>
      <c r="AT12" s="276" t="str">
        <f t="shared" si="53"/>
        <v>-</v>
      </c>
      <c r="AU12" s="125">
        <v>0</v>
      </c>
      <c r="AV12" s="126">
        <v>0</v>
      </c>
      <c r="AW12" s="276" t="str">
        <f t="shared" si="54"/>
        <v>-</v>
      </c>
      <c r="AX12" s="125">
        <v>0</v>
      </c>
      <c r="AY12" s="126">
        <v>0</v>
      </c>
      <c r="AZ12" s="276" t="str">
        <f t="shared" si="55"/>
        <v>-</v>
      </c>
      <c r="BA12" s="125">
        <v>0</v>
      </c>
      <c r="BB12" s="126">
        <v>0</v>
      </c>
      <c r="BC12" s="276" t="str">
        <f t="shared" si="56"/>
        <v>-</v>
      </c>
      <c r="BD12" s="20">
        <v>0</v>
      </c>
      <c r="BE12" s="21">
        <v>0</v>
      </c>
      <c r="BF12" s="139" t="str">
        <f t="shared" si="57"/>
        <v>-</v>
      </c>
      <c r="BG12" s="125">
        <v>0</v>
      </c>
      <c r="BH12" s="126">
        <v>0</v>
      </c>
      <c r="BI12" s="276" t="str">
        <f t="shared" si="58"/>
        <v>-</v>
      </c>
      <c r="BJ12" s="252">
        <v>19</v>
      </c>
      <c r="BK12" s="253">
        <v>3</v>
      </c>
      <c r="BL12" s="139">
        <f t="shared" si="72"/>
        <v>6.333333333333333</v>
      </c>
      <c r="BM12" s="252">
        <v>7</v>
      </c>
      <c r="BN12" s="253">
        <v>1</v>
      </c>
      <c r="BO12" s="319">
        <v>7</v>
      </c>
      <c r="BP12" s="302">
        <v>0</v>
      </c>
      <c r="BQ12" s="303">
        <v>0</v>
      </c>
      <c r="BR12" s="320" t="s">
        <v>89</v>
      </c>
      <c r="BS12" s="257">
        <v>0</v>
      </c>
      <c r="BT12" s="253">
        <v>0</v>
      </c>
      <c r="BU12" s="321" t="s">
        <v>90</v>
      </c>
      <c r="BV12" s="20">
        <v>0</v>
      </c>
      <c r="BW12" s="21">
        <v>0</v>
      </c>
      <c r="BX12" s="139" t="str">
        <f t="shared" si="59"/>
        <v>-</v>
      </c>
      <c r="BY12" s="20">
        <v>0</v>
      </c>
      <c r="BZ12" s="21">
        <v>0</v>
      </c>
      <c r="CA12" s="139">
        <v>0</v>
      </c>
      <c r="CB12" s="20">
        <v>0</v>
      </c>
      <c r="CC12" s="21">
        <v>0</v>
      </c>
      <c r="CD12" s="139" t="str">
        <f t="shared" ref="CD12:CD14" si="78">IF(CC12=0,"-",CB12/CC12)</f>
        <v>-</v>
      </c>
      <c r="CE12" s="125">
        <v>0</v>
      </c>
      <c r="CF12" s="126">
        <v>0</v>
      </c>
      <c r="CG12" s="276" t="str">
        <f t="shared" si="62"/>
        <v>-</v>
      </c>
      <c r="CH12" s="125">
        <v>0</v>
      </c>
      <c r="CI12" s="126">
        <v>0</v>
      </c>
      <c r="CJ12" s="276" t="str">
        <f t="shared" si="63"/>
        <v>-</v>
      </c>
      <c r="CK12" s="125">
        <v>0</v>
      </c>
      <c r="CL12" s="126">
        <v>0</v>
      </c>
      <c r="CM12" s="276" t="str">
        <f t="shared" si="64"/>
        <v>-</v>
      </c>
      <c r="CN12" s="117">
        <f t="shared" si="30"/>
        <v>234</v>
      </c>
      <c r="CO12" s="120">
        <f t="shared" si="31"/>
        <v>36</v>
      </c>
      <c r="CP12" s="147">
        <f t="shared" si="32"/>
        <v>6.5</v>
      </c>
    </row>
    <row r="13" spans="1:94" ht="15" thickBot="1" x14ac:dyDescent="0.35">
      <c r="A13" s="294">
        <v>45666</v>
      </c>
      <c r="B13" s="20">
        <v>26</v>
      </c>
      <c r="C13" s="21">
        <v>3</v>
      </c>
      <c r="D13" s="139">
        <f t="shared" si="0"/>
        <v>8.6666666666666661</v>
      </c>
      <c r="E13" s="23">
        <v>0</v>
      </c>
      <c r="F13" s="21">
        <v>0</v>
      </c>
      <c r="G13" s="139" t="str">
        <f t="shared" si="40"/>
        <v>-</v>
      </c>
      <c r="H13" s="20"/>
      <c r="I13" s="21"/>
      <c r="J13" s="139" t="str">
        <f t="shared" si="41"/>
        <v>-</v>
      </c>
      <c r="K13" s="20">
        <v>0</v>
      </c>
      <c r="L13" s="21">
        <v>0</v>
      </c>
      <c r="M13" s="139" t="str">
        <f t="shared" si="42"/>
        <v>-</v>
      </c>
      <c r="N13" s="125">
        <v>0</v>
      </c>
      <c r="O13" s="126">
        <v>0</v>
      </c>
      <c r="P13" s="139" t="str">
        <f t="shared" si="43"/>
        <v>-</v>
      </c>
      <c r="Q13" s="20">
        <v>42</v>
      </c>
      <c r="R13" s="21">
        <v>8</v>
      </c>
      <c r="S13" s="139">
        <f t="shared" si="44"/>
        <v>5.25</v>
      </c>
      <c r="T13" s="20">
        <v>0</v>
      </c>
      <c r="U13" s="21">
        <v>0</v>
      </c>
      <c r="V13" s="139" t="str">
        <f t="shared" ref="V13" si="79">IF(U13=0,"-",T13/U13)</f>
        <v>-</v>
      </c>
      <c r="W13" s="20">
        <v>0</v>
      </c>
      <c r="X13" s="21">
        <v>0</v>
      </c>
      <c r="Y13" s="278" t="str">
        <f t="shared" si="34"/>
        <v>-</v>
      </c>
      <c r="Z13" s="20">
        <v>30</v>
      </c>
      <c r="AA13" s="21">
        <v>6</v>
      </c>
      <c r="AB13" s="278">
        <f t="shared" si="73"/>
        <v>5</v>
      </c>
      <c r="AC13" s="20">
        <v>0</v>
      </c>
      <c r="AD13" s="21">
        <v>0</v>
      </c>
      <c r="AE13" s="278" t="str">
        <f t="shared" ref="AE13" si="80">IF(AD13=0,"-",AC13/AD13)</f>
        <v>-</v>
      </c>
      <c r="AF13" s="20">
        <v>0</v>
      </c>
      <c r="AG13" s="21">
        <v>0</v>
      </c>
      <c r="AH13" s="278" t="str">
        <f t="shared" si="75"/>
        <v>-</v>
      </c>
      <c r="AI13" s="20">
        <v>0</v>
      </c>
      <c r="AJ13" s="21">
        <v>0</v>
      </c>
      <c r="AK13" s="278" t="str">
        <f t="shared" si="76"/>
        <v>-</v>
      </c>
      <c r="AL13" s="20">
        <v>0</v>
      </c>
      <c r="AM13" s="21">
        <v>0</v>
      </c>
      <c r="AN13" s="278" t="str">
        <f t="shared" si="77"/>
        <v>-</v>
      </c>
      <c r="AO13" s="20">
        <v>0</v>
      </c>
      <c r="AP13" s="21">
        <v>0</v>
      </c>
      <c r="AQ13" s="139" t="str">
        <f t="shared" si="52"/>
        <v>-</v>
      </c>
      <c r="AR13" s="20">
        <v>6</v>
      </c>
      <c r="AS13" s="21">
        <v>1</v>
      </c>
      <c r="AT13" s="139">
        <f t="shared" ref="AT13:AT34" si="81">IF(AS13=0,"-",AR13/AS13)</f>
        <v>6</v>
      </c>
      <c r="AU13" s="20">
        <v>0</v>
      </c>
      <c r="AV13" s="21">
        <v>0</v>
      </c>
      <c r="AW13" s="139" t="str">
        <f t="shared" si="54"/>
        <v>-</v>
      </c>
      <c r="AX13" s="20">
        <v>10</v>
      </c>
      <c r="AY13" s="21">
        <v>1</v>
      </c>
      <c r="AZ13" s="139">
        <f t="shared" si="55"/>
        <v>10</v>
      </c>
      <c r="BA13" s="125">
        <v>0</v>
      </c>
      <c r="BB13" s="126">
        <v>0</v>
      </c>
      <c r="BC13" s="276" t="str">
        <f t="shared" si="56"/>
        <v>-</v>
      </c>
      <c r="BD13" s="20">
        <v>0</v>
      </c>
      <c r="BE13" s="21">
        <v>0</v>
      </c>
      <c r="BF13" s="139" t="str">
        <f t="shared" si="57"/>
        <v>-</v>
      </c>
      <c r="BG13" s="125">
        <v>0</v>
      </c>
      <c r="BH13" s="126">
        <v>0</v>
      </c>
      <c r="BI13" s="276" t="str">
        <f t="shared" si="58"/>
        <v>-</v>
      </c>
      <c r="BJ13" s="252">
        <v>29</v>
      </c>
      <c r="BK13" s="253">
        <v>5</v>
      </c>
      <c r="BL13" s="139">
        <f t="shared" si="72"/>
        <v>5.8</v>
      </c>
      <c r="BM13" s="252">
        <v>8</v>
      </c>
      <c r="BN13" s="253">
        <v>1</v>
      </c>
      <c r="BO13" s="319">
        <v>8</v>
      </c>
      <c r="BP13" s="302">
        <v>14</v>
      </c>
      <c r="BQ13" s="303">
        <v>2</v>
      </c>
      <c r="BR13" s="320">
        <v>7</v>
      </c>
      <c r="BS13" s="257">
        <v>0</v>
      </c>
      <c r="BT13" s="253">
        <v>0</v>
      </c>
      <c r="BU13" s="320" t="s">
        <v>89</v>
      </c>
      <c r="BV13" s="20">
        <v>0</v>
      </c>
      <c r="BW13" s="21">
        <v>0</v>
      </c>
      <c r="BX13" s="139" t="str">
        <f t="shared" si="59"/>
        <v>-</v>
      </c>
      <c r="BY13" s="20">
        <v>0</v>
      </c>
      <c r="BZ13" s="21">
        <v>0</v>
      </c>
      <c r="CA13" s="139">
        <v>0</v>
      </c>
      <c r="CB13" s="20">
        <v>0</v>
      </c>
      <c r="CC13" s="21">
        <v>0</v>
      </c>
      <c r="CD13" s="139" t="str">
        <f t="shared" si="78"/>
        <v>-</v>
      </c>
      <c r="CE13" s="125">
        <v>0</v>
      </c>
      <c r="CF13" s="126">
        <v>0</v>
      </c>
      <c r="CG13" s="276" t="str">
        <f t="shared" si="62"/>
        <v>-</v>
      </c>
      <c r="CH13" s="125">
        <v>0</v>
      </c>
      <c r="CI13" s="126">
        <v>0</v>
      </c>
      <c r="CJ13" s="276" t="str">
        <f t="shared" si="63"/>
        <v>-</v>
      </c>
      <c r="CK13" s="125">
        <v>0</v>
      </c>
      <c r="CL13" s="126">
        <v>0</v>
      </c>
      <c r="CM13" s="276" t="str">
        <f t="shared" si="64"/>
        <v>-</v>
      </c>
      <c r="CN13" s="117">
        <f t="shared" si="30"/>
        <v>165</v>
      </c>
      <c r="CO13" s="120">
        <f t="shared" si="31"/>
        <v>27</v>
      </c>
      <c r="CP13" s="147">
        <f t="shared" si="32"/>
        <v>6.1111111111111107</v>
      </c>
    </row>
    <row r="14" spans="1:94" ht="15" thickBot="1" x14ac:dyDescent="0.35">
      <c r="A14" s="294">
        <v>45667</v>
      </c>
      <c r="B14" s="20">
        <v>81</v>
      </c>
      <c r="C14" s="21">
        <v>10</v>
      </c>
      <c r="D14" s="139">
        <f t="shared" si="0"/>
        <v>8.1</v>
      </c>
      <c r="E14" s="23">
        <v>0</v>
      </c>
      <c r="F14" s="21">
        <v>0</v>
      </c>
      <c r="G14" s="139" t="str">
        <f t="shared" si="40"/>
        <v>-</v>
      </c>
      <c r="H14" s="20"/>
      <c r="I14" s="21"/>
      <c r="J14" s="139" t="str">
        <f t="shared" si="41"/>
        <v>-</v>
      </c>
      <c r="K14" s="20">
        <v>0</v>
      </c>
      <c r="L14" s="21">
        <v>0</v>
      </c>
      <c r="M14" s="139" t="str">
        <f t="shared" si="42"/>
        <v>-</v>
      </c>
      <c r="N14" s="125">
        <v>0</v>
      </c>
      <c r="O14" s="126">
        <v>0</v>
      </c>
      <c r="P14" s="139" t="str">
        <f t="shared" si="43"/>
        <v>-</v>
      </c>
      <c r="Q14" s="20">
        <v>0</v>
      </c>
      <c r="R14" s="21">
        <v>0</v>
      </c>
      <c r="S14" s="139" t="str">
        <f t="shared" si="44"/>
        <v>-</v>
      </c>
      <c r="T14" s="20">
        <v>18</v>
      </c>
      <c r="U14" s="21">
        <v>4</v>
      </c>
      <c r="V14" s="139">
        <f t="shared" si="33"/>
        <v>4.5</v>
      </c>
      <c r="W14" s="20">
        <v>0</v>
      </c>
      <c r="X14" s="21">
        <v>0</v>
      </c>
      <c r="Y14" s="139" t="str">
        <f t="shared" si="34"/>
        <v>-</v>
      </c>
      <c r="Z14" s="20">
        <v>54</v>
      </c>
      <c r="AA14" s="21">
        <v>12</v>
      </c>
      <c r="AB14" s="139">
        <f t="shared" si="73"/>
        <v>4.5</v>
      </c>
      <c r="AC14" s="20">
        <v>0</v>
      </c>
      <c r="AD14" s="21">
        <v>0</v>
      </c>
      <c r="AE14" s="139" t="str">
        <f t="shared" si="74"/>
        <v>-</v>
      </c>
      <c r="AF14" s="20">
        <v>18</v>
      </c>
      <c r="AG14" s="21">
        <v>3</v>
      </c>
      <c r="AH14" s="139">
        <f t="shared" si="75"/>
        <v>6</v>
      </c>
      <c r="AI14" s="20">
        <v>11</v>
      </c>
      <c r="AJ14" s="21">
        <v>2</v>
      </c>
      <c r="AK14" s="139">
        <f t="shared" si="76"/>
        <v>5.5</v>
      </c>
      <c r="AL14" s="20">
        <v>0</v>
      </c>
      <c r="AM14" s="21">
        <v>0</v>
      </c>
      <c r="AN14" s="139" t="str">
        <f t="shared" si="77"/>
        <v>-</v>
      </c>
      <c r="AO14" s="20">
        <v>0</v>
      </c>
      <c r="AP14" s="21">
        <v>0</v>
      </c>
      <c r="AQ14" s="139" t="str">
        <f t="shared" si="52"/>
        <v>-</v>
      </c>
      <c r="AR14" s="20">
        <v>7</v>
      </c>
      <c r="AS14" s="21">
        <v>1</v>
      </c>
      <c r="AT14" s="139">
        <f t="shared" si="81"/>
        <v>7</v>
      </c>
      <c r="AU14" s="20">
        <v>0</v>
      </c>
      <c r="AV14" s="21">
        <v>0</v>
      </c>
      <c r="AW14" s="139" t="str">
        <f t="shared" si="54"/>
        <v>-</v>
      </c>
      <c r="AX14" s="20">
        <v>0</v>
      </c>
      <c r="AY14" s="21">
        <v>0</v>
      </c>
      <c r="AZ14" s="139" t="str">
        <f t="shared" si="55"/>
        <v>-</v>
      </c>
      <c r="BA14" s="20">
        <v>0</v>
      </c>
      <c r="BB14" s="21">
        <v>0</v>
      </c>
      <c r="BC14" s="139" t="str">
        <f t="shared" ref="BC14:BC22" si="82">IF(BB14=0,"-",BA14/BB14)</f>
        <v>-</v>
      </c>
      <c r="BD14" s="20">
        <v>0</v>
      </c>
      <c r="BE14" s="21">
        <v>0</v>
      </c>
      <c r="BF14" s="139" t="str">
        <f t="shared" si="57"/>
        <v>-</v>
      </c>
      <c r="BG14" s="20">
        <v>0</v>
      </c>
      <c r="BH14" s="21">
        <v>0</v>
      </c>
      <c r="BI14" s="139" t="str">
        <f t="shared" ref="BI14:BI33" si="83">IF(BH14=0,"-",BG14/BH14)</f>
        <v>-</v>
      </c>
      <c r="BJ14" s="252">
        <v>6</v>
      </c>
      <c r="BK14" s="253">
        <v>1</v>
      </c>
      <c r="BL14" s="139">
        <v>0</v>
      </c>
      <c r="BM14" s="252">
        <v>0</v>
      </c>
      <c r="BN14" s="253">
        <v>0</v>
      </c>
      <c r="BO14" s="319" t="s">
        <v>89</v>
      </c>
      <c r="BP14" s="302">
        <v>21</v>
      </c>
      <c r="BQ14" s="303">
        <v>3</v>
      </c>
      <c r="BR14" s="321">
        <v>7</v>
      </c>
      <c r="BS14" s="257">
        <v>0</v>
      </c>
      <c r="BT14" s="253">
        <v>0</v>
      </c>
      <c r="BU14" s="320" t="s">
        <v>89</v>
      </c>
      <c r="BV14" s="125">
        <v>0</v>
      </c>
      <c r="BW14" s="126">
        <v>0</v>
      </c>
      <c r="BX14" s="276" t="str">
        <f t="shared" si="59"/>
        <v>-</v>
      </c>
      <c r="BY14" s="20">
        <v>0</v>
      </c>
      <c r="BZ14" s="21">
        <v>0</v>
      </c>
      <c r="CA14" s="139">
        <v>0</v>
      </c>
      <c r="CB14" s="20">
        <v>0</v>
      </c>
      <c r="CC14" s="21">
        <v>0</v>
      </c>
      <c r="CD14" s="139" t="str">
        <f t="shared" si="78"/>
        <v>-</v>
      </c>
      <c r="CE14" s="125">
        <v>0</v>
      </c>
      <c r="CF14" s="126">
        <v>0</v>
      </c>
      <c r="CG14" s="276" t="str">
        <f t="shared" si="62"/>
        <v>-</v>
      </c>
      <c r="CH14" s="125">
        <v>0</v>
      </c>
      <c r="CI14" s="126">
        <v>0</v>
      </c>
      <c r="CJ14" s="276" t="str">
        <f t="shared" si="63"/>
        <v>-</v>
      </c>
      <c r="CK14" s="125">
        <v>0</v>
      </c>
      <c r="CL14" s="126">
        <v>0</v>
      </c>
      <c r="CM14" s="276" t="str">
        <f t="shared" si="64"/>
        <v>-</v>
      </c>
      <c r="CN14" s="117">
        <f t="shared" si="30"/>
        <v>216</v>
      </c>
      <c r="CO14" s="120">
        <f t="shared" si="31"/>
        <v>36</v>
      </c>
      <c r="CP14" s="147">
        <f t="shared" si="32"/>
        <v>6</v>
      </c>
    </row>
    <row r="15" spans="1:94" ht="15" thickBot="1" x14ac:dyDescent="0.35">
      <c r="A15" s="294">
        <v>45668</v>
      </c>
      <c r="B15" s="20">
        <v>170</v>
      </c>
      <c r="C15" s="21">
        <v>18</v>
      </c>
      <c r="D15" s="139">
        <f t="shared" si="0"/>
        <v>9.4444444444444446</v>
      </c>
      <c r="E15" s="23">
        <v>6</v>
      </c>
      <c r="F15" s="21">
        <v>1</v>
      </c>
      <c r="G15" s="139">
        <f t="shared" si="40"/>
        <v>6</v>
      </c>
      <c r="H15" s="20"/>
      <c r="I15" s="21"/>
      <c r="J15" s="139" t="str">
        <f t="shared" si="41"/>
        <v>-</v>
      </c>
      <c r="K15" s="20">
        <v>17</v>
      </c>
      <c r="L15" s="21">
        <v>2</v>
      </c>
      <c r="M15" s="139">
        <f t="shared" si="42"/>
        <v>8.5</v>
      </c>
      <c r="N15" s="125">
        <v>0</v>
      </c>
      <c r="O15" s="126">
        <v>0</v>
      </c>
      <c r="P15" s="139" t="str">
        <f t="shared" si="43"/>
        <v>-</v>
      </c>
      <c r="Q15" s="20">
        <v>18</v>
      </c>
      <c r="R15" s="21">
        <v>3</v>
      </c>
      <c r="S15" s="139">
        <f t="shared" si="44"/>
        <v>6</v>
      </c>
      <c r="T15" s="20">
        <v>0</v>
      </c>
      <c r="U15" s="21">
        <v>0</v>
      </c>
      <c r="V15" s="139" t="str">
        <f t="shared" si="33"/>
        <v>-</v>
      </c>
      <c r="W15" s="20">
        <v>0</v>
      </c>
      <c r="X15" s="21">
        <v>0</v>
      </c>
      <c r="Y15" s="139" t="str">
        <f t="shared" si="34"/>
        <v>-</v>
      </c>
      <c r="Z15" s="20">
        <v>0</v>
      </c>
      <c r="AA15" s="21">
        <v>0</v>
      </c>
      <c r="AB15" s="139" t="str">
        <f t="shared" si="73"/>
        <v>-</v>
      </c>
      <c r="AC15" s="20">
        <v>0</v>
      </c>
      <c r="AD15" s="21">
        <v>0</v>
      </c>
      <c r="AE15" s="139" t="str">
        <f t="shared" si="74"/>
        <v>-</v>
      </c>
      <c r="AF15" s="20">
        <v>0</v>
      </c>
      <c r="AG15" s="21">
        <v>0</v>
      </c>
      <c r="AH15" s="139" t="str">
        <f t="shared" si="75"/>
        <v>-</v>
      </c>
      <c r="AI15" s="20">
        <v>0</v>
      </c>
      <c r="AJ15" s="21">
        <v>0</v>
      </c>
      <c r="AK15" s="139" t="str">
        <f t="shared" si="76"/>
        <v>-</v>
      </c>
      <c r="AL15" s="20">
        <v>0</v>
      </c>
      <c r="AM15" s="21">
        <v>0</v>
      </c>
      <c r="AN15" s="139" t="str">
        <f t="shared" si="77"/>
        <v>-</v>
      </c>
      <c r="AO15" s="20">
        <v>0</v>
      </c>
      <c r="AP15" s="21">
        <v>0</v>
      </c>
      <c r="AQ15" s="139" t="str">
        <f t="shared" si="52"/>
        <v>-</v>
      </c>
      <c r="AR15" s="20">
        <v>5</v>
      </c>
      <c r="AS15" s="21">
        <v>1</v>
      </c>
      <c r="AT15" s="139">
        <f t="shared" si="81"/>
        <v>5</v>
      </c>
      <c r="AU15" s="20">
        <v>0</v>
      </c>
      <c r="AV15" s="21">
        <v>0</v>
      </c>
      <c r="AW15" s="139" t="str">
        <f t="shared" si="54"/>
        <v>-</v>
      </c>
      <c r="AX15" s="20">
        <v>0</v>
      </c>
      <c r="AY15" s="21">
        <v>0</v>
      </c>
      <c r="AZ15" s="139" t="str">
        <f t="shared" si="55"/>
        <v>-</v>
      </c>
      <c r="BA15" s="20">
        <v>0</v>
      </c>
      <c r="BB15" s="21">
        <v>0</v>
      </c>
      <c r="BC15" s="139" t="str">
        <f t="shared" si="82"/>
        <v>-</v>
      </c>
      <c r="BD15" s="20">
        <v>0</v>
      </c>
      <c r="BE15" s="21">
        <v>0</v>
      </c>
      <c r="BF15" s="139" t="str">
        <f t="shared" si="57"/>
        <v>-</v>
      </c>
      <c r="BG15" s="20">
        <v>0</v>
      </c>
      <c r="BH15" s="21">
        <v>0</v>
      </c>
      <c r="BI15" s="139" t="str">
        <f t="shared" si="83"/>
        <v>-</v>
      </c>
      <c r="BJ15" s="252">
        <v>0</v>
      </c>
      <c r="BK15" s="253">
        <v>0</v>
      </c>
      <c r="BL15" s="139">
        <v>0</v>
      </c>
      <c r="BM15" s="252">
        <v>0</v>
      </c>
      <c r="BN15" s="253">
        <v>0</v>
      </c>
      <c r="BO15" s="322" t="s">
        <v>90</v>
      </c>
      <c r="BP15" s="302">
        <v>14</v>
      </c>
      <c r="BQ15" s="303">
        <v>2</v>
      </c>
      <c r="BR15" s="321">
        <v>7</v>
      </c>
      <c r="BS15" s="257">
        <v>0</v>
      </c>
      <c r="BT15" s="253">
        <v>0</v>
      </c>
      <c r="BU15" s="320" t="s">
        <v>89</v>
      </c>
      <c r="BV15" s="20">
        <v>6</v>
      </c>
      <c r="BW15" s="21">
        <v>1</v>
      </c>
      <c r="BX15" s="139">
        <v>0</v>
      </c>
      <c r="BY15" s="20">
        <v>0</v>
      </c>
      <c r="BZ15" s="21">
        <v>0</v>
      </c>
      <c r="CA15" s="139" t="str">
        <f t="shared" si="60"/>
        <v>-</v>
      </c>
      <c r="CB15" s="20">
        <v>0</v>
      </c>
      <c r="CC15" s="21">
        <v>0</v>
      </c>
      <c r="CD15" s="139" t="str">
        <f t="shared" si="61"/>
        <v>-</v>
      </c>
      <c r="CE15" s="125">
        <v>2</v>
      </c>
      <c r="CF15" s="126">
        <v>1</v>
      </c>
      <c r="CG15" s="276">
        <f t="shared" ref="CG15:CG34" si="84">IF(CF15=0,"-",CE15/CF15)</f>
        <v>2</v>
      </c>
      <c r="CH15" s="125">
        <v>0</v>
      </c>
      <c r="CI15" s="126">
        <v>0</v>
      </c>
      <c r="CJ15" s="276" t="str">
        <f t="shared" ref="CJ15:CJ34" si="85">IF(CI15=0,"-",CH15/CI15)</f>
        <v>-</v>
      </c>
      <c r="CK15" s="125">
        <v>0</v>
      </c>
      <c r="CL15" s="126">
        <v>0</v>
      </c>
      <c r="CM15" s="276" t="str">
        <f t="shared" ref="CM15:CM34" si="86">IF(CL15=0,"-",CK15/CL15)</f>
        <v>-</v>
      </c>
      <c r="CN15" s="117">
        <f t="shared" si="30"/>
        <v>238</v>
      </c>
      <c r="CO15" s="120">
        <f t="shared" si="31"/>
        <v>28</v>
      </c>
      <c r="CP15" s="147">
        <f t="shared" si="32"/>
        <v>8.5</v>
      </c>
    </row>
    <row r="16" spans="1:94" ht="15" thickBot="1" x14ac:dyDescent="0.35">
      <c r="A16" s="294">
        <v>45669</v>
      </c>
      <c r="B16" s="20">
        <v>24</v>
      </c>
      <c r="C16" s="21">
        <v>3</v>
      </c>
      <c r="D16" s="139">
        <f t="shared" si="0"/>
        <v>8</v>
      </c>
      <c r="E16" s="20">
        <v>16</v>
      </c>
      <c r="F16" s="21">
        <v>2</v>
      </c>
      <c r="G16" s="139">
        <f t="shared" ref="G16:G24" si="87">IF(F16=0,"-",E16/F16)</f>
        <v>8</v>
      </c>
      <c r="H16" s="20"/>
      <c r="I16" s="21"/>
      <c r="J16" s="139" t="str">
        <f t="shared" si="41"/>
        <v>-</v>
      </c>
      <c r="K16" s="20">
        <v>42</v>
      </c>
      <c r="L16" s="21">
        <v>5</v>
      </c>
      <c r="M16" s="139">
        <f t="shared" si="42"/>
        <v>8.4</v>
      </c>
      <c r="N16" s="125">
        <v>0</v>
      </c>
      <c r="O16" s="126">
        <v>0</v>
      </c>
      <c r="P16" s="139" t="str">
        <f t="shared" si="43"/>
        <v>-</v>
      </c>
      <c r="Q16" s="125">
        <v>46</v>
      </c>
      <c r="R16" s="126">
        <v>8</v>
      </c>
      <c r="S16" s="139">
        <f t="shared" si="44"/>
        <v>5.75</v>
      </c>
      <c r="T16" s="20">
        <v>0</v>
      </c>
      <c r="U16" s="21">
        <v>0</v>
      </c>
      <c r="V16" s="139" t="str">
        <f t="shared" ref="V16" si="88">IF(U16=0,"-",T16/U16)</f>
        <v>-</v>
      </c>
      <c r="W16" s="20">
        <v>0</v>
      </c>
      <c r="X16" s="21">
        <v>0</v>
      </c>
      <c r="Y16" s="139" t="str">
        <f t="shared" ref="Y16" si="89">IF(X16=0,"-",W16/X16)</f>
        <v>-</v>
      </c>
      <c r="Z16" s="20">
        <v>0</v>
      </c>
      <c r="AA16" s="21">
        <v>0</v>
      </c>
      <c r="AB16" s="139" t="str">
        <f t="shared" ref="AB16" si="90">IF(AA16=0,"-",Z16/AA16)</f>
        <v>-</v>
      </c>
      <c r="AC16" s="125">
        <v>26</v>
      </c>
      <c r="AD16" s="126">
        <v>6</v>
      </c>
      <c r="AE16" s="139">
        <f t="shared" si="74"/>
        <v>4.333333333333333</v>
      </c>
      <c r="AF16" s="20">
        <v>0</v>
      </c>
      <c r="AG16" s="21">
        <v>0</v>
      </c>
      <c r="AH16" s="139" t="str">
        <f t="shared" ref="AH16:AH17" si="91">IF(AG16=0,"-",AF16/AG16)</f>
        <v>-</v>
      </c>
      <c r="AI16" s="20">
        <v>0</v>
      </c>
      <c r="AJ16" s="21">
        <v>0</v>
      </c>
      <c r="AK16" s="139" t="str">
        <f t="shared" ref="AK16:AK17" si="92">IF(AJ16=0,"-",AI16/AJ16)</f>
        <v>-</v>
      </c>
      <c r="AL16" s="20">
        <v>0</v>
      </c>
      <c r="AM16" s="21">
        <v>0</v>
      </c>
      <c r="AN16" s="139" t="str">
        <f t="shared" ref="AN16:AN19" si="93">IF(AM16=0,"-",AL16/AM16)</f>
        <v>-</v>
      </c>
      <c r="AO16" s="20">
        <v>0</v>
      </c>
      <c r="AP16" s="21">
        <v>0</v>
      </c>
      <c r="AQ16" s="139" t="str">
        <f t="shared" si="52"/>
        <v>-</v>
      </c>
      <c r="AR16" s="20">
        <v>0</v>
      </c>
      <c r="AS16" s="21">
        <v>0</v>
      </c>
      <c r="AT16" s="139" t="str">
        <f t="shared" si="81"/>
        <v>-</v>
      </c>
      <c r="AU16" s="20">
        <v>0</v>
      </c>
      <c r="AV16" s="21">
        <v>0</v>
      </c>
      <c r="AW16" s="139" t="str">
        <f t="shared" si="54"/>
        <v>-</v>
      </c>
      <c r="AX16" s="20">
        <v>0</v>
      </c>
      <c r="AY16" s="21">
        <v>0</v>
      </c>
      <c r="AZ16" s="139">
        <v>0</v>
      </c>
      <c r="BA16" s="20">
        <v>0</v>
      </c>
      <c r="BB16" s="21">
        <v>0</v>
      </c>
      <c r="BC16" s="139" t="str">
        <f t="shared" si="82"/>
        <v>-</v>
      </c>
      <c r="BD16" s="20">
        <v>0</v>
      </c>
      <c r="BE16" s="21">
        <v>0</v>
      </c>
      <c r="BF16" s="139" t="str">
        <f t="shared" si="57"/>
        <v>-</v>
      </c>
      <c r="BG16" s="20">
        <v>0</v>
      </c>
      <c r="BH16" s="21">
        <v>0</v>
      </c>
      <c r="BI16" s="139" t="str">
        <f t="shared" si="83"/>
        <v>-</v>
      </c>
      <c r="BJ16" s="252">
        <v>0</v>
      </c>
      <c r="BK16" s="253">
        <v>0</v>
      </c>
      <c r="BL16" s="139" t="str">
        <f t="shared" ref="BL16:BL34" si="94">IF(BK16=0,"-",BJ16/BK16)</f>
        <v>-</v>
      </c>
      <c r="BM16" s="252">
        <v>0</v>
      </c>
      <c r="BN16" s="253">
        <v>0</v>
      </c>
      <c r="BO16" s="319" t="s">
        <v>89</v>
      </c>
      <c r="BP16" s="302">
        <v>0</v>
      </c>
      <c r="BQ16" s="303">
        <v>0</v>
      </c>
      <c r="BR16" s="320" t="s">
        <v>89</v>
      </c>
      <c r="BS16" s="257">
        <v>0</v>
      </c>
      <c r="BT16" s="253">
        <v>0</v>
      </c>
      <c r="BU16" s="320" t="s">
        <v>89</v>
      </c>
      <c r="BV16" s="20">
        <v>12</v>
      </c>
      <c r="BW16" s="21">
        <v>2</v>
      </c>
      <c r="BX16" s="139">
        <f t="shared" si="59"/>
        <v>6</v>
      </c>
      <c r="BY16" s="20">
        <v>0</v>
      </c>
      <c r="BZ16" s="21">
        <v>0</v>
      </c>
      <c r="CA16" s="139" t="str">
        <f t="shared" si="60"/>
        <v>-</v>
      </c>
      <c r="CB16" s="252">
        <v>0</v>
      </c>
      <c r="CC16" s="253">
        <v>0</v>
      </c>
      <c r="CD16" s="139" t="str">
        <f t="shared" si="61"/>
        <v>-</v>
      </c>
      <c r="CE16" s="125">
        <v>0</v>
      </c>
      <c r="CF16" s="126">
        <v>0</v>
      </c>
      <c r="CG16" s="276" t="str">
        <f t="shared" si="84"/>
        <v>-</v>
      </c>
      <c r="CH16" s="125">
        <v>0</v>
      </c>
      <c r="CI16" s="126">
        <v>0</v>
      </c>
      <c r="CJ16" s="276" t="str">
        <f t="shared" si="85"/>
        <v>-</v>
      </c>
      <c r="CK16" s="20">
        <v>0</v>
      </c>
      <c r="CL16" s="21">
        <v>0</v>
      </c>
      <c r="CM16" s="139" t="str">
        <f t="shared" si="86"/>
        <v>-</v>
      </c>
      <c r="CN16" s="117">
        <f t="shared" si="30"/>
        <v>166</v>
      </c>
      <c r="CO16" s="120">
        <f t="shared" si="31"/>
        <v>24</v>
      </c>
      <c r="CP16" s="147">
        <f t="shared" si="32"/>
        <v>6.916666666666667</v>
      </c>
    </row>
    <row r="17" spans="1:94" ht="15" thickBot="1" x14ac:dyDescent="0.35">
      <c r="A17" s="294">
        <v>45670</v>
      </c>
      <c r="B17" s="20">
        <v>26</v>
      </c>
      <c r="C17" s="21">
        <v>3</v>
      </c>
      <c r="D17" s="139">
        <f t="shared" si="0"/>
        <v>8.6666666666666661</v>
      </c>
      <c r="E17" s="20">
        <v>0</v>
      </c>
      <c r="F17" s="21">
        <v>0</v>
      </c>
      <c r="G17" s="139" t="str">
        <f t="shared" si="87"/>
        <v>-</v>
      </c>
      <c r="H17" s="20"/>
      <c r="I17" s="21"/>
      <c r="J17" s="139" t="str">
        <f t="shared" si="41"/>
        <v>-</v>
      </c>
      <c r="K17" s="20">
        <v>0</v>
      </c>
      <c r="L17" s="21">
        <v>0</v>
      </c>
      <c r="M17" s="139" t="str">
        <f t="shared" si="42"/>
        <v>-</v>
      </c>
      <c r="N17" s="125">
        <v>0</v>
      </c>
      <c r="O17" s="126">
        <v>0</v>
      </c>
      <c r="P17" s="139" t="str">
        <f t="shared" si="43"/>
        <v>-</v>
      </c>
      <c r="Q17" s="125">
        <v>70</v>
      </c>
      <c r="R17" s="126">
        <v>12</v>
      </c>
      <c r="S17" s="139">
        <f t="shared" si="44"/>
        <v>5.833333333333333</v>
      </c>
      <c r="T17" s="125">
        <v>0</v>
      </c>
      <c r="U17" s="126">
        <v>0</v>
      </c>
      <c r="V17" s="139" t="str">
        <f t="shared" si="33"/>
        <v>-</v>
      </c>
      <c r="W17" s="125">
        <v>0</v>
      </c>
      <c r="X17" s="126">
        <v>0</v>
      </c>
      <c r="Y17" s="139" t="str">
        <f t="shared" si="34"/>
        <v>-</v>
      </c>
      <c r="Z17" s="125">
        <v>10</v>
      </c>
      <c r="AA17" s="126">
        <v>2</v>
      </c>
      <c r="AB17" s="139">
        <f t="shared" si="73"/>
        <v>5</v>
      </c>
      <c r="AC17" s="125">
        <v>0</v>
      </c>
      <c r="AD17" s="126">
        <v>0</v>
      </c>
      <c r="AE17" s="139" t="str">
        <f t="shared" si="74"/>
        <v>-</v>
      </c>
      <c r="AF17" s="125">
        <v>0</v>
      </c>
      <c r="AG17" s="126">
        <v>0</v>
      </c>
      <c r="AH17" s="139" t="str">
        <f t="shared" si="91"/>
        <v>-</v>
      </c>
      <c r="AI17" s="125">
        <v>0</v>
      </c>
      <c r="AJ17" s="126">
        <v>0</v>
      </c>
      <c r="AK17" s="139" t="str">
        <f t="shared" si="92"/>
        <v>-</v>
      </c>
      <c r="AL17" s="20">
        <v>0</v>
      </c>
      <c r="AM17" s="21">
        <v>0</v>
      </c>
      <c r="AN17" s="139" t="str">
        <f t="shared" si="93"/>
        <v>-</v>
      </c>
      <c r="AO17" s="20">
        <v>0</v>
      </c>
      <c r="AP17" s="21">
        <v>0</v>
      </c>
      <c r="AQ17" s="139" t="str">
        <f t="shared" si="52"/>
        <v>-</v>
      </c>
      <c r="AR17" s="20">
        <v>0</v>
      </c>
      <c r="AS17" s="21">
        <v>0</v>
      </c>
      <c r="AT17" s="139" t="str">
        <f t="shared" ref="AT17" si="95">IF(AS17=0,"-",AR17/AS17)</f>
        <v>-</v>
      </c>
      <c r="AU17" s="20">
        <v>0</v>
      </c>
      <c r="AV17" s="21">
        <v>0</v>
      </c>
      <c r="AW17" s="139" t="str">
        <f t="shared" ref="AW17" si="96">IF(AV17=0,"-",AU17/AV17)</f>
        <v>-</v>
      </c>
      <c r="AX17" s="20">
        <v>0</v>
      </c>
      <c r="AY17" s="21">
        <v>0</v>
      </c>
      <c r="AZ17" s="139">
        <v>0</v>
      </c>
      <c r="BA17" s="20">
        <v>0</v>
      </c>
      <c r="BB17" s="21">
        <v>0</v>
      </c>
      <c r="BC17" s="139" t="str">
        <f t="shared" ref="BC17" si="97">IF(BB17=0,"-",BA17/BB17)</f>
        <v>-</v>
      </c>
      <c r="BD17" s="20">
        <v>0</v>
      </c>
      <c r="BE17" s="21">
        <v>0</v>
      </c>
      <c r="BF17" s="139" t="str">
        <f t="shared" ref="BF17" si="98">IF(BE17=0,"-",BD17/BE17)</f>
        <v>-</v>
      </c>
      <c r="BG17" s="20">
        <v>0</v>
      </c>
      <c r="BH17" s="21">
        <v>0</v>
      </c>
      <c r="BI17" s="139" t="str">
        <f t="shared" ref="BI17" si="99">IF(BH17=0,"-",BG17/BH17)</f>
        <v>-</v>
      </c>
      <c r="BJ17" s="252">
        <v>0</v>
      </c>
      <c r="BK17" s="253">
        <v>0</v>
      </c>
      <c r="BL17" s="139" t="str">
        <f t="shared" si="94"/>
        <v>-</v>
      </c>
      <c r="BM17" s="252">
        <v>0</v>
      </c>
      <c r="BN17" s="253">
        <v>0</v>
      </c>
      <c r="BO17" s="319" t="s">
        <v>89</v>
      </c>
      <c r="BP17" s="302">
        <v>0</v>
      </c>
      <c r="BQ17" s="303">
        <v>0</v>
      </c>
      <c r="BR17" s="320" t="s">
        <v>89</v>
      </c>
      <c r="BS17" s="257">
        <v>6</v>
      </c>
      <c r="BT17" s="253">
        <v>1</v>
      </c>
      <c r="BU17" s="320">
        <v>6</v>
      </c>
      <c r="BV17" s="20">
        <v>8</v>
      </c>
      <c r="BW17" s="21">
        <v>1</v>
      </c>
      <c r="BX17" s="139">
        <f t="shared" si="59"/>
        <v>8</v>
      </c>
      <c r="BY17" s="20">
        <v>0</v>
      </c>
      <c r="BZ17" s="21">
        <v>0</v>
      </c>
      <c r="CA17" s="139" t="str">
        <f t="shared" si="60"/>
        <v>-</v>
      </c>
      <c r="CB17" s="20">
        <v>8</v>
      </c>
      <c r="CC17" s="21">
        <v>1</v>
      </c>
      <c r="CD17" s="139">
        <f t="shared" si="61"/>
        <v>8</v>
      </c>
      <c r="CE17" s="20">
        <v>3</v>
      </c>
      <c r="CF17" s="21">
        <v>1</v>
      </c>
      <c r="CG17" s="139">
        <f t="shared" si="84"/>
        <v>3</v>
      </c>
      <c r="CH17" s="125">
        <v>0</v>
      </c>
      <c r="CI17" s="126">
        <v>0</v>
      </c>
      <c r="CJ17" s="276" t="str">
        <f t="shared" si="85"/>
        <v>-</v>
      </c>
      <c r="CK17" s="125">
        <v>5</v>
      </c>
      <c r="CL17" s="126">
        <v>1</v>
      </c>
      <c r="CM17" s="276">
        <f t="shared" si="86"/>
        <v>5</v>
      </c>
      <c r="CN17" s="117">
        <f t="shared" si="30"/>
        <v>136</v>
      </c>
      <c r="CO17" s="120">
        <f t="shared" si="31"/>
        <v>21</v>
      </c>
      <c r="CP17" s="147">
        <f t="shared" si="32"/>
        <v>6.4761904761904763</v>
      </c>
    </row>
    <row r="18" spans="1:94" ht="15" thickBot="1" x14ac:dyDescent="0.35">
      <c r="A18" s="294">
        <v>45671</v>
      </c>
      <c r="B18" s="20">
        <v>43</v>
      </c>
      <c r="C18" s="21">
        <v>5</v>
      </c>
      <c r="D18" s="139">
        <f t="shared" si="0"/>
        <v>8.6</v>
      </c>
      <c r="E18" s="20">
        <v>0</v>
      </c>
      <c r="F18" s="21">
        <v>0</v>
      </c>
      <c r="G18" s="139" t="str">
        <f t="shared" si="87"/>
        <v>-</v>
      </c>
      <c r="H18" s="20"/>
      <c r="I18" s="21"/>
      <c r="J18" s="139" t="str">
        <f t="shared" si="41"/>
        <v>-</v>
      </c>
      <c r="K18" s="20">
        <v>34</v>
      </c>
      <c r="L18" s="21">
        <v>4</v>
      </c>
      <c r="M18" s="139">
        <f t="shared" si="42"/>
        <v>8.5</v>
      </c>
      <c r="N18" s="125">
        <v>0</v>
      </c>
      <c r="O18" s="126">
        <v>0</v>
      </c>
      <c r="P18" s="139" t="str">
        <f t="shared" ref="P18:P19" si="100">IF(O18=0,"-",N18/O18)</f>
        <v>-</v>
      </c>
      <c r="Q18" s="125">
        <v>67</v>
      </c>
      <c r="R18" s="126">
        <v>12</v>
      </c>
      <c r="S18" s="139">
        <f t="shared" si="44"/>
        <v>5.583333333333333</v>
      </c>
      <c r="T18" s="125">
        <v>0</v>
      </c>
      <c r="U18" s="126">
        <v>0</v>
      </c>
      <c r="V18" s="139" t="str">
        <f t="shared" si="33"/>
        <v>-</v>
      </c>
      <c r="W18" s="125">
        <v>0</v>
      </c>
      <c r="X18" s="126">
        <v>0</v>
      </c>
      <c r="Y18" s="139" t="str">
        <f t="shared" si="34"/>
        <v>-</v>
      </c>
      <c r="Z18" s="125">
        <v>5</v>
      </c>
      <c r="AA18" s="126">
        <v>1</v>
      </c>
      <c r="AB18" s="139">
        <f t="shared" si="73"/>
        <v>5</v>
      </c>
      <c r="AC18" s="125">
        <v>49</v>
      </c>
      <c r="AD18" s="126">
        <v>9</v>
      </c>
      <c r="AE18" s="139">
        <f t="shared" si="74"/>
        <v>5.4444444444444446</v>
      </c>
      <c r="AF18" s="125">
        <v>0</v>
      </c>
      <c r="AG18" s="126">
        <v>0</v>
      </c>
      <c r="AH18" s="139" t="str">
        <f t="shared" ref="AH18:AH19" si="101">IF(AG18=0,"-",AF18/AG18)</f>
        <v>-</v>
      </c>
      <c r="AI18" s="125">
        <v>0</v>
      </c>
      <c r="AJ18" s="126">
        <v>0</v>
      </c>
      <c r="AK18" s="139" t="str">
        <f t="shared" ref="AK18:AK19" si="102">IF(AJ18=0,"-",AI18/AJ18)</f>
        <v>-</v>
      </c>
      <c r="AL18" s="20">
        <v>0</v>
      </c>
      <c r="AM18" s="21">
        <v>0</v>
      </c>
      <c r="AN18" s="139" t="str">
        <f t="shared" si="93"/>
        <v>-</v>
      </c>
      <c r="AO18" s="20">
        <v>0</v>
      </c>
      <c r="AP18" s="21">
        <v>0</v>
      </c>
      <c r="AQ18" s="139" t="str">
        <f t="shared" si="52"/>
        <v>-</v>
      </c>
      <c r="AR18" s="20">
        <v>10</v>
      </c>
      <c r="AS18" s="21">
        <v>2</v>
      </c>
      <c r="AT18" s="139">
        <f t="shared" si="81"/>
        <v>5</v>
      </c>
      <c r="AU18" s="20">
        <v>0</v>
      </c>
      <c r="AV18" s="21">
        <v>0</v>
      </c>
      <c r="AW18" s="139" t="str">
        <f t="shared" si="54"/>
        <v>-</v>
      </c>
      <c r="AX18" s="20">
        <v>1</v>
      </c>
      <c r="AY18" s="21">
        <v>1</v>
      </c>
      <c r="AZ18" s="139">
        <f t="shared" si="55"/>
        <v>1</v>
      </c>
      <c r="BA18" s="20">
        <v>0</v>
      </c>
      <c r="BB18" s="21">
        <v>0</v>
      </c>
      <c r="BC18" s="139">
        <v>0</v>
      </c>
      <c r="BD18" s="20">
        <v>0</v>
      </c>
      <c r="BE18" s="21">
        <v>0</v>
      </c>
      <c r="BF18" s="139" t="str">
        <f t="shared" si="57"/>
        <v>-</v>
      </c>
      <c r="BG18" s="20">
        <v>0</v>
      </c>
      <c r="BH18" s="21">
        <v>0</v>
      </c>
      <c r="BI18" s="139" t="str">
        <f t="shared" si="83"/>
        <v>-</v>
      </c>
      <c r="BJ18" s="318">
        <v>9</v>
      </c>
      <c r="BK18" s="303">
        <v>2</v>
      </c>
      <c r="BL18" s="139">
        <f t="shared" si="94"/>
        <v>4.5</v>
      </c>
      <c r="BM18" s="252">
        <v>0</v>
      </c>
      <c r="BN18" s="253">
        <v>0</v>
      </c>
      <c r="BO18" s="319" t="s">
        <v>89</v>
      </c>
      <c r="BP18" s="302">
        <v>0</v>
      </c>
      <c r="BQ18" s="303">
        <v>0</v>
      </c>
      <c r="BR18" s="320" t="s">
        <v>89</v>
      </c>
      <c r="BS18" s="302">
        <v>0</v>
      </c>
      <c r="BT18" s="303">
        <v>0</v>
      </c>
      <c r="BU18" s="320" t="s">
        <v>89</v>
      </c>
      <c r="BV18" s="20">
        <v>1</v>
      </c>
      <c r="BW18" s="21">
        <v>1</v>
      </c>
      <c r="BX18" s="139">
        <f t="shared" si="59"/>
        <v>1</v>
      </c>
      <c r="BY18" s="20">
        <v>0</v>
      </c>
      <c r="BZ18" s="21">
        <v>0</v>
      </c>
      <c r="CA18" s="139" t="str">
        <f t="shared" ref="CA18:CA19" si="103">IF(BZ18=0,"-",BY18/BZ18)</f>
        <v>-</v>
      </c>
      <c r="CB18" s="20">
        <v>0</v>
      </c>
      <c r="CC18" s="21">
        <v>0</v>
      </c>
      <c r="CD18" s="139" t="str">
        <f t="shared" si="61"/>
        <v>-</v>
      </c>
      <c r="CE18" s="20">
        <v>0</v>
      </c>
      <c r="CF18" s="21">
        <v>0</v>
      </c>
      <c r="CG18" s="139" t="str">
        <f t="shared" si="84"/>
        <v>-</v>
      </c>
      <c r="CH18" s="20">
        <v>0</v>
      </c>
      <c r="CI18" s="21">
        <v>0</v>
      </c>
      <c r="CJ18" s="139" t="str">
        <f t="shared" si="85"/>
        <v>-</v>
      </c>
      <c r="CK18" s="20">
        <v>0</v>
      </c>
      <c r="CL18" s="21">
        <v>0</v>
      </c>
      <c r="CM18" s="139" t="str">
        <f t="shared" si="86"/>
        <v>-</v>
      </c>
      <c r="CN18" s="117">
        <f t="shared" si="30"/>
        <v>219</v>
      </c>
      <c r="CO18" s="120">
        <f t="shared" si="31"/>
        <v>36</v>
      </c>
      <c r="CP18" s="147">
        <f t="shared" si="32"/>
        <v>6.083333333333333</v>
      </c>
    </row>
    <row r="19" spans="1:94" ht="15" thickBot="1" x14ac:dyDescent="0.35">
      <c r="A19" s="294">
        <v>45672</v>
      </c>
      <c r="B19" s="20">
        <v>81</v>
      </c>
      <c r="C19" s="21">
        <v>10</v>
      </c>
      <c r="D19" s="139">
        <f t="shared" si="0"/>
        <v>8.1</v>
      </c>
      <c r="E19" s="20">
        <v>8</v>
      </c>
      <c r="F19" s="21">
        <v>1</v>
      </c>
      <c r="G19" s="139">
        <f t="shared" si="87"/>
        <v>8</v>
      </c>
      <c r="H19" s="20"/>
      <c r="I19" s="21"/>
      <c r="J19" s="139" t="str">
        <f t="shared" si="41"/>
        <v>-</v>
      </c>
      <c r="K19" s="20">
        <v>30</v>
      </c>
      <c r="L19" s="21">
        <v>4</v>
      </c>
      <c r="M19" s="139">
        <f t="shared" si="42"/>
        <v>7.5</v>
      </c>
      <c r="N19" s="125">
        <v>0</v>
      </c>
      <c r="O19" s="126">
        <v>0</v>
      </c>
      <c r="P19" s="139" t="str">
        <f t="shared" si="100"/>
        <v>-</v>
      </c>
      <c r="Q19" s="125">
        <v>48</v>
      </c>
      <c r="R19" s="126">
        <v>8</v>
      </c>
      <c r="S19" s="139">
        <f t="shared" si="44"/>
        <v>6</v>
      </c>
      <c r="T19" s="125">
        <v>0</v>
      </c>
      <c r="U19" s="126">
        <v>0</v>
      </c>
      <c r="V19" s="139" t="str">
        <f t="shared" si="33"/>
        <v>-</v>
      </c>
      <c r="W19" s="125">
        <v>0</v>
      </c>
      <c r="X19" s="126">
        <v>0</v>
      </c>
      <c r="Y19" s="139" t="str">
        <f t="shared" si="34"/>
        <v>-</v>
      </c>
      <c r="Z19" s="125">
        <v>0</v>
      </c>
      <c r="AA19" s="126">
        <v>0</v>
      </c>
      <c r="AB19" s="139" t="str">
        <f t="shared" si="73"/>
        <v>-</v>
      </c>
      <c r="AC19" s="125">
        <v>61</v>
      </c>
      <c r="AD19" s="126">
        <v>13</v>
      </c>
      <c r="AE19" s="139">
        <f t="shared" si="74"/>
        <v>4.6923076923076925</v>
      </c>
      <c r="AF19" s="125">
        <v>0</v>
      </c>
      <c r="AG19" s="126">
        <v>0</v>
      </c>
      <c r="AH19" s="139" t="str">
        <f t="shared" si="101"/>
        <v>-</v>
      </c>
      <c r="AI19" s="125">
        <v>0</v>
      </c>
      <c r="AJ19" s="126">
        <v>0</v>
      </c>
      <c r="AK19" s="139" t="str">
        <f t="shared" si="102"/>
        <v>-</v>
      </c>
      <c r="AL19" s="125">
        <v>0</v>
      </c>
      <c r="AM19" s="126">
        <v>0</v>
      </c>
      <c r="AN19" s="139" t="str">
        <f t="shared" si="93"/>
        <v>-</v>
      </c>
      <c r="AO19" s="20">
        <v>0</v>
      </c>
      <c r="AP19" s="21">
        <v>0</v>
      </c>
      <c r="AQ19" s="139" t="str">
        <f t="shared" si="52"/>
        <v>-</v>
      </c>
      <c r="AR19" s="20">
        <v>3</v>
      </c>
      <c r="AS19" s="21">
        <v>1</v>
      </c>
      <c r="AT19" s="139">
        <f t="shared" si="81"/>
        <v>3</v>
      </c>
      <c r="AU19" s="20">
        <v>0</v>
      </c>
      <c r="AV19" s="21">
        <v>0</v>
      </c>
      <c r="AW19" s="139" t="str">
        <f t="shared" si="54"/>
        <v>-</v>
      </c>
      <c r="AX19" s="20">
        <v>1</v>
      </c>
      <c r="AY19" s="21">
        <v>1</v>
      </c>
      <c r="AZ19" s="139">
        <f t="shared" si="55"/>
        <v>1</v>
      </c>
      <c r="BA19" s="20">
        <v>0</v>
      </c>
      <c r="BB19" s="21">
        <v>0</v>
      </c>
      <c r="BC19" s="139" t="str">
        <f t="shared" si="82"/>
        <v>-</v>
      </c>
      <c r="BD19" s="20">
        <v>0</v>
      </c>
      <c r="BE19" s="21">
        <v>0</v>
      </c>
      <c r="BF19" s="139" t="str">
        <f t="shared" si="57"/>
        <v>-</v>
      </c>
      <c r="BG19" s="20">
        <v>0</v>
      </c>
      <c r="BH19" s="21">
        <v>0</v>
      </c>
      <c r="BI19" s="139" t="str">
        <f t="shared" si="83"/>
        <v>-</v>
      </c>
      <c r="BJ19" s="252">
        <v>7</v>
      </c>
      <c r="BK19" s="253">
        <v>1</v>
      </c>
      <c r="BL19" s="139">
        <f t="shared" si="94"/>
        <v>7</v>
      </c>
      <c r="BM19" s="125">
        <v>7</v>
      </c>
      <c r="BN19" s="126">
        <v>1</v>
      </c>
      <c r="BO19" s="276">
        <f t="shared" ref="BO19:BO34" si="104">IF(BN19=0,"-",BM19/BN19)</f>
        <v>7</v>
      </c>
      <c r="BP19" s="20">
        <v>29</v>
      </c>
      <c r="BQ19" s="21">
        <v>4</v>
      </c>
      <c r="BR19" s="139">
        <f t="shared" ref="BR19:BR31" si="105">IF(BQ19=0,"-",BP19/BQ19)</f>
        <v>7.25</v>
      </c>
      <c r="BS19" s="20">
        <v>0</v>
      </c>
      <c r="BT19" s="21">
        <v>0</v>
      </c>
      <c r="BU19" s="139" t="str">
        <f t="shared" ref="BU19:BU34" si="106">IF(BT19=0,"-",BS19/BT19)</f>
        <v>-</v>
      </c>
      <c r="BV19" s="20">
        <v>0</v>
      </c>
      <c r="BW19" s="21">
        <v>0</v>
      </c>
      <c r="BX19" s="139" t="str">
        <f t="shared" si="59"/>
        <v>-</v>
      </c>
      <c r="BY19" s="20">
        <v>0</v>
      </c>
      <c r="BZ19" s="21">
        <v>0</v>
      </c>
      <c r="CA19" s="139" t="str">
        <f t="shared" si="103"/>
        <v>-</v>
      </c>
      <c r="CB19" s="20">
        <v>8</v>
      </c>
      <c r="CC19" s="21">
        <v>1</v>
      </c>
      <c r="CD19" s="139">
        <f t="shared" si="61"/>
        <v>8</v>
      </c>
      <c r="CE19" s="20">
        <v>0</v>
      </c>
      <c r="CF19" s="21">
        <v>0</v>
      </c>
      <c r="CG19" s="139" t="str">
        <f t="shared" ref="CG19" si="107">IF(CF19=0,"-",CE19/CF19)</f>
        <v>-</v>
      </c>
      <c r="CH19" s="20">
        <v>0</v>
      </c>
      <c r="CI19" s="21">
        <v>0</v>
      </c>
      <c r="CJ19" s="139" t="str">
        <f t="shared" ref="CJ19" si="108">IF(CI19=0,"-",CH19/CI19)</f>
        <v>-</v>
      </c>
      <c r="CK19" s="20">
        <v>0</v>
      </c>
      <c r="CL19" s="21">
        <v>0</v>
      </c>
      <c r="CM19" s="139" t="str">
        <f t="shared" ref="CM19" si="109">IF(CL19=0,"-",CK19/CL19)</f>
        <v>-</v>
      </c>
      <c r="CN19" s="117">
        <f>SUM(B19,E19,K19,Q20,T20,W20,Z20,AC20,AF20,AI20,AL20,AO19,AR19,AX19,BA19,BG19,BJ19,BM19,BP19,BS19,BV19,BY19,CB19,CE19,CH19,CK19)</f>
        <v>355</v>
      </c>
      <c r="CO19" s="120">
        <f>C19+F19+L19+R20+U20+X20+AA20+AD20+AG20+AJ20+AS19+AV19+AY19+BB19+BE19+BH19+BK19+BN19+BQ19+BT19+CC19+CF19+CI19+CL19</f>
        <v>57</v>
      </c>
      <c r="CP19" s="147">
        <f t="shared" si="32"/>
        <v>6.2280701754385968</v>
      </c>
    </row>
    <row r="20" spans="1:94" ht="15" thickBot="1" x14ac:dyDescent="0.35">
      <c r="A20" s="294">
        <v>45673</v>
      </c>
      <c r="B20" s="20">
        <v>41</v>
      </c>
      <c r="C20" s="21">
        <v>5</v>
      </c>
      <c r="D20" s="139">
        <f t="shared" si="0"/>
        <v>8.1999999999999993</v>
      </c>
      <c r="E20" s="20">
        <v>0</v>
      </c>
      <c r="F20" s="21">
        <v>0</v>
      </c>
      <c r="G20" s="139" t="str">
        <f t="shared" si="87"/>
        <v>-</v>
      </c>
      <c r="H20" s="20"/>
      <c r="I20" s="21"/>
      <c r="J20" s="139" t="str">
        <f t="shared" si="41"/>
        <v>-</v>
      </c>
      <c r="K20" s="20">
        <v>0</v>
      </c>
      <c r="L20" s="21">
        <v>0</v>
      </c>
      <c r="M20" s="139" t="str">
        <f t="shared" si="42"/>
        <v>-</v>
      </c>
      <c r="N20" s="125">
        <v>0</v>
      </c>
      <c r="O20" s="126">
        <v>0</v>
      </c>
      <c r="P20" s="139" t="str">
        <f t="shared" si="43"/>
        <v>-</v>
      </c>
      <c r="Q20" s="125">
        <v>38</v>
      </c>
      <c r="R20" s="126">
        <v>6</v>
      </c>
      <c r="S20" s="139">
        <f>IF(R20=0,"-",Q20/R20)</f>
        <v>6.333333333333333</v>
      </c>
      <c r="T20" s="125">
        <v>0</v>
      </c>
      <c r="U20" s="126">
        <v>0</v>
      </c>
      <c r="V20" s="139" t="str">
        <f>IF(U20=0,"-",T20/U20)</f>
        <v>-</v>
      </c>
      <c r="W20" s="125">
        <v>0</v>
      </c>
      <c r="X20" s="126">
        <v>0</v>
      </c>
      <c r="Y20" s="139" t="str">
        <f>IF(X20=0,"-",W20/X20)</f>
        <v>-</v>
      </c>
      <c r="Z20" s="125">
        <v>0</v>
      </c>
      <c r="AA20" s="126">
        <v>0</v>
      </c>
      <c r="AB20" s="139" t="str">
        <f>IF(AA20=0,"-",Z20/AA20)</f>
        <v>-</v>
      </c>
      <c r="AC20" s="125">
        <v>107</v>
      </c>
      <c r="AD20" s="126">
        <v>22</v>
      </c>
      <c r="AE20" s="139">
        <f>IF(AD20=0,"-",AC20/AD20)</f>
        <v>4.8636363636363633</v>
      </c>
      <c r="AF20" s="125">
        <v>18</v>
      </c>
      <c r="AG20" s="126">
        <v>3</v>
      </c>
      <c r="AH20" s="139">
        <f>IF(AG20=0,"-",AF20/AG20)</f>
        <v>6</v>
      </c>
      <c r="AI20" s="125">
        <v>12</v>
      </c>
      <c r="AJ20" s="126">
        <v>2</v>
      </c>
      <c r="AK20" s="139">
        <f>IF(AJ20=0,"-",AI20/AJ20)</f>
        <v>6</v>
      </c>
      <c r="AL20" s="20">
        <v>6</v>
      </c>
      <c r="AM20" s="21">
        <v>1</v>
      </c>
      <c r="AN20" s="139">
        <f>IF(AM20=0,"-",AL20/AM20)</f>
        <v>6</v>
      </c>
      <c r="AO20" s="20">
        <v>0</v>
      </c>
      <c r="AP20" s="21">
        <v>0</v>
      </c>
      <c r="AQ20" s="139" t="str">
        <f t="shared" si="52"/>
        <v>-</v>
      </c>
      <c r="AR20" s="20">
        <v>0</v>
      </c>
      <c r="AS20" s="21">
        <v>0</v>
      </c>
      <c r="AT20" s="139" t="str">
        <f t="shared" si="81"/>
        <v>-</v>
      </c>
      <c r="AU20" s="20">
        <v>0</v>
      </c>
      <c r="AV20" s="21">
        <v>0</v>
      </c>
      <c r="AW20" s="139" t="str">
        <f t="shared" si="54"/>
        <v>-</v>
      </c>
      <c r="AX20" s="20">
        <v>1</v>
      </c>
      <c r="AY20" s="21">
        <v>1</v>
      </c>
      <c r="AZ20" s="139">
        <f t="shared" si="55"/>
        <v>1</v>
      </c>
      <c r="BA20" s="20">
        <v>0</v>
      </c>
      <c r="BB20" s="21">
        <v>0</v>
      </c>
      <c r="BC20" s="139" t="str">
        <f t="shared" ref="BC20" si="110">IF(BB20=0,"-",BA20/BB20)</f>
        <v>-</v>
      </c>
      <c r="BD20" s="20">
        <v>0</v>
      </c>
      <c r="BE20" s="21">
        <v>0</v>
      </c>
      <c r="BF20" s="139" t="str">
        <f t="shared" ref="BF20" si="111">IF(BE20=0,"-",BD20/BE20)</f>
        <v>-</v>
      </c>
      <c r="BG20" s="20">
        <v>0</v>
      </c>
      <c r="BH20" s="21">
        <v>0</v>
      </c>
      <c r="BI20" s="139" t="str">
        <f t="shared" ref="BI20" si="112">IF(BH20=0,"-",BG20/BH20)</f>
        <v>-</v>
      </c>
      <c r="BJ20" s="252">
        <v>6</v>
      </c>
      <c r="BK20" s="253">
        <v>1</v>
      </c>
      <c r="BL20" s="139">
        <f t="shared" si="94"/>
        <v>6</v>
      </c>
      <c r="BM20" s="125">
        <v>0</v>
      </c>
      <c r="BN20" s="126">
        <v>0</v>
      </c>
      <c r="BO20" s="276" t="str">
        <f t="shared" si="104"/>
        <v>-</v>
      </c>
      <c r="BP20" s="20">
        <v>14</v>
      </c>
      <c r="BQ20" s="21">
        <v>2</v>
      </c>
      <c r="BR20" s="139">
        <f t="shared" si="105"/>
        <v>7</v>
      </c>
      <c r="BS20" s="20">
        <v>0</v>
      </c>
      <c r="BT20" s="21">
        <v>0</v>
      </c>
      <c r="BU20" s="139" t="str">
        <f t="shared" si="106"/>
        <v>-</v>
      </c>
      <c r="BV20" s="20">
        <v>0</v>
      </c>
      <c r="BW20" s="21">
        <v>0</v>
      </c>
      <c r="BX20" s="139" t="str">
        <f t="shared" ref="BX20:BX22" si="113">IF(BW20=0,"-",BV20/BW20)</f>
        <v>-</v>
      </c>
      <c r="BY20" s="20">
        <v>0</v>
      </c>
      <c r="BZ20" s="21">
        <v>0</v>
      </c>
      <c r="CA20" s="139" t="str">
        <f t="shared" ref="CA20:CA22" si="114">IF(BZ20=0,"-",BY20/BZ20)</f>
        <v>-</v>
      </c>
      <c r="CB20" s="20">
        <v>0</v>
      </c>
      <c r="CC20" s="21">
        <v>0</v>
      </c>
      <c r="CD20" s="139" t="str">
        <f t="shared" si="61"/>
        <v>-</v>
      </c>
      <c r="CE20" s="20">
        <v>2</v>
      </c>
      <c r="CF20" s="21">
        <v>1</v>
      </c>
      <c r="CG20" s="139">
        <f t="shared" si="84"/>
        <v>2</v>
      </c>
      <c r="CH20" s="20">
        <v>0</v>
      </c>
      <c r="CI20" s="21">
        <v>0</v>
      </c>
      <c r="CJ20" s="139" t="str">
        <f t="shared" ref="CJ20" si="115">IF(CI20=0,"-",CH20/CI20)</f>
        <v>-</v>
      </c>
      <c r="CK20" s="20">
        <v>0</v>
      </c>
      <c r="CL20" s="21">
        <v>0</v>
      </c>
      <c r="CM20" s="139" t="str">
        <f t="shared" ref="CM20" si="116">IF(CL20=0,"-",CK20/CL20)</f>
        <v>-</v>
      </c>
      <c r="CN20" s="117">
        <f>SUM(B20,E20,K20,Q21,T21,W21,Z21,AC21,AF21,AI21,AL21,AO20,AR20,AX20,BA20,BG20,BJ20,BM20,BP20,BS20,BV20,BY20,CB20,CE20,CH20,CK20)</f>
        <v>145</v>
      </c>
      <c r="CO20" s="120">
        <f>C20+F20+L20+R21+U21+X21+AA21+AD21+AG21+AJ21+AS20+AV20+AY20+BB20+BE20+BH20+BK20+BN20+BQ20+BT20+CC20+CF20+CI20+CL20</f>
        <v>25</v>
      </c>
      <c r="CP20" s="147">
        <f t="shared" si="32"/>
        <v>5.8</v>
      </c>
    </row>
    <row r="21" spans="1:94" ht="15" thickBot="1" x14ac:dyDescent="0.35">
      <c r="A21" s="294">
        <v>45674</v>
      </c>
      <c r="B21" s="20">
        <v>72</v>
      </c>
      <c r="C21" s="21">
        <v>9</v>
      </c>
      <c r="D21" s="139">
        <f t="shared" si="0"/>
        <v>8</v>
      </c>
      <c r="E21" s="20">
        <v>0</v>
      </c>
      <c r="F21" s="21">
        <v>0</v>
      </c>
      <c r="G21" s="139" t="str">
        <f t="shared" si="87"/>
        <v>-</v>
      </c>
      <c r="H21" s="20"/>
      <c r="I21" s="21"/>
      <c r="J21" s="139" t="str">
        <f t="shared" si="41"/>
        <v>-</v>
      </c>
      <c r="K21" s="20">
        <v>0</v>
      </c>
      <c r="L21" s="21">
        <v>0</v>
      </c>
      <c r="M21" s="139" t="str">
        <f t="shared" si="42"/>
        <v>-</v>
      </c>
      <c r="N21" s="125">
        <v>0</v>
      </c>
      <c r="O21" s="126">
        <v>0</v>
      </c>
      <c r="P21" s="139" t="str">
        <f t="shared" si="43"/>
        <v>-</v>
      </c>
      <c r="Q21" s="125">
        <v>26</v>
      </c>
      <c r="R21" s="126">
        <v>5</v>
      </c>
      <c r="S21" s="139">
        <f>IF(R21=0,"-",Q21/R21)</f>
        <v>5.2</v>
      </c>
      <c r="T21" s="125">
        <v>0</v>
      </c>
      <c r="U21" s="126">
        <v>0</v>
      </c>
      <c r="V21" s="139" t="str">
        <f t="shared" ref="V21" si="117">IF(U21=0,"-",T21/U21)</f>
        <v>-</v>
      </c>
      <c r="W21" s="125">
        <v>0</v>
      </c>
      <c r="X21" s="126">
        <v>0</v>
      </c>
      <c r="Y21" s="139" t="str">
        <f t="shared" ref="Y21" si="118">IF(X21=0,"-",W21/X21)</f>
        <v>-</v>
      </c>
      <c r="Z21" s="125">
        <v>0</v>
      </c>
      <c r="AA21" s="126">
        <v>0</v>
      </c>
      <c r="AB21" s="139" t="str">
        <f t="shared" ref="AB21" si="119">IF(AA21=0,"-",Z21/AA21)</f>
        <v>-</v>
      </c>
      <c r="AC21" s="125">
        <v>15</v>
      </c>
      <c r="AD21" s="126">
        <v>3</v>
      </c>
      <c r="AE21" s="139">
        <f>IF(AD21=0,"-",AC21/AD21)</f>
        <v>5</v>
      </c>
      <c r="AF21" s="125">
        <v>34</v>
      </c>
      <c r="AG21" s="126">
        <v>6</v>
      </c>
      <c r="AH21" s="139">
        <f>IF(AG21=0,"-",AF21/AG21)</f>
        <v>5.666666666666667</v>
      </c>
      <c r="AI21" s="125">
        <v>6</v>
      </c>
      <c r="AJ21" s="126">
        <v>1</v>
      </c>
      <c r="AK21" s="139">
        <f>IF(AJ21=0,"-",AI21/AJ21)</f>
        <v>6</v>
      </c>
      <c r="AL21" s="20">
        <v>0</v>
      </c>
      <c r="AM21" s="21">
        <v>0</v>
      </c>
      <c r="AN21" s="139" t="str">
        <f>IF(AM21=0,"-",AL21/AM21)</f>
        <v>-</v>
      </c>
      <c r="AO21" s="20">
        <v>0</v>
      </c>
      <c r="AP21" s="21">
        <v>0</v>
      </c>
      <c r="AQ21" s="139" t="str">
        <f t="shared" si="52"/>
        <v>-</v>
      </c>
      <c r="AR21" s="23">
        <v>0</v>
      </c>
      <c r="AS21" s="21">
        <v>0</v>
      </c>
      <c r="AT21" s="139" t="str">
        <f t="shared" si="81"/>
        <v>-</v>
      </c>
      <c r="AU21" s="23">
        <v>0</v>
      </c>
      <c r="AV21" s="21">
        <v>0</v>
      </c>
      <c r="AW21" s="139" t="str">
        <f t="shared" si="54"/>
        <v>-</v>
      </c>
      <c r="AX21" s="20">
        <v>0</v>
      </c>
      <c r="AY21" s="21">
        <v>0</v>
      </c>
      <c r="AZ21" s="139" t="str">
        <f t="shared" ref="AZ21:AZ22" si="120">IF(AY21=0,"-",AX21/AY21)</f>
        <v>-</v>
      </c>
      <c r="BA21" s="20">
        <v>0</v>
      </c>
      <c r="BB21" s="21">
        <v>0</v>
      </c>
      <c r="BC21" s="139" t="str">
        <f t="shared" si="82"/>
        <v>-</v>
      </c>
      <c r="BD21" s="20">
        <v>0</v>
      </c>
      <c r="BE21" s="21">
        <v>0</v>
      </c>
      <c r="BF21" s="139" t="str">
        <f t="shared" si="57"/>
        <v>-</v>
      </c>
      <c r="BG21" s="20">
        <v>0</v>
      </c>
      <c r="BH21" s="21">
        <v>0</v>
      </c>
      <c r="BI21" s="139" t="str">
        <f t="shared" ref="BI21:BI22" si="121">IF(BH21=0,"-",BG21/BH21)</f>
        <v>-</v>
      </c>
      <c r="BJ21" s="252">
        <v>24</v>
      </c>
      <c r="BK21" s="253">
        <v>4</v>
      </c>
      <c r="BL21" s="139">
        <f t="shared" si="94"/>
        <v>6</v>
      </c>
      <c r="BM21" s="125">
        <v>3</v>
      </c>
      <c r="BN21" s="126">
        <v>1</v>
      </c>
      <c r="BO21" s="276">
        <f t="shared" si="104"/>
        <v>3</v>
      </c>
      <c r="BP21" s="20">
        <v>0</v>
      </c>
      <c r="BQ21" s="21">
        <v>0</v>
      </c>
      <c r="BR21" s="139" t="str">
        <f t="shared" si="105"/>
        <v>-</v>
      </c>
      <c r="BS21" s="257">
        <v>0</v>
      </c>
      <c r="BT21" s="253">
        <v>0</v>
      </c>
      <c r="BU21" s="139" t="str">
        <f t="shared" si="106"/>
        <v>-</v>
      </c>
      <c r="BV21" s="20">
        <v>0</v>
      </c>
      <c r="BW21" s="21">
        <v>0</v>
      </c>
      <c r="BX21" s="139" t="str">
        <f t="shared" si="113"/>
        <v>-</v>
      </c>
      <c r="BY21" s="20">
        <v>0</v>
      </c>
      <c r="BZ21" s="21">
        <v>0</v>
      </c>
      <c r="CA21" s="139" t="str">
        <f t="shared" si="114"/>
        <v>-</v>
      </c>
      <c r="CB21" s="20">
        <v>0</v>
      </c>
      <c r="CC21" s="21">
        <v>0</v>
      </c>
      <c r="CD21" s="139" t="str">
        <f t="shared" si="61"/>
        <v>-</v>
      </c>
      <c r="CE21" s="20">
        <v>0</v>
      </c>
      <c r="CF21" s="21">
        <v>0</v>
      </c>
      <c r="CG21" s="139" t="str">
        <f t="shared" si="84"/>
        <v>-</v>
      </c>
      <c r="CH21" s="20">
        <v>0</v>
      </c>
      <c r="CI21" s="21">
        <v>0</v>
      </c>
      <c r="CJ21" s="139" t="str">
        <f t="shared" si="85"/>
        <v>-</v>
      </c>
      <c r="CK21" s="20">
        <v>0</v>
      </c>
      <c r="CL21" s="21">
        <v>0</v>
      </c>
      <c r="CM21" s="139" t="str">
        <f t="shared" si="86"/>
        <v>-</v>
      </c>
      <c r="CN21" s="117">
        <f t="shared" ref="CN21:CN23" si="122">SUM(B21,E21,K21,Q22,T22,W22,Z22,AC22,AF22,AI22,AL22,AO21,AR21,AX21,BA21,BG21,BJ21,BM21,BP21,BS21,BV21,BY21,CB21,CE21,CH21,CK21)</f>
        <v>143</v>
      </c>
      <c r="CO21" s="120">
        <f t="shared" ref="CO21:CO23" si="123">C21+F21+L21+R22+U22+X22+AA22+AD22+AG22+AJ22+AS21+AV21+AY21+BB21+BE21+BH21+BK21+BN21+BQ21+BT21+CC21+CF21+CI21+CL21</f>
        <v>22</v>
      </c>
      <c r="CP21" s="147">
        <f t="shared" si="32"/>
        <v>6.5</v>
      </c>
    </row>
    <row r="22" spans="1:94" ht="15" thickBot="1" x14ac:dyDescent="0.35">
      <c r="A22" s="294">
        <v>45675</v>
      </c>
      <c r="B22" s="20">
        <v>104</v>
      </c>
      <c r="C22" s="21">
        <v>12</v>
      </c>
      <c r="D22" s="139">
        <f t="shared" si="0"/>
        <v>8.6666666666666661</v>
      </c>
      <c r="E22" s="20">
        <v>0</v>
      </c>
      <c r="F22" s="21">
        <v>0</v>
      </c>
      <c r="G22" s="139" t="str">
        <f t="shared" ref="G22" si="124">IF(F22=0,"-",E22/F22)</f>
        <v>-</v>
      </c>
      <c r="H22" s="20"/>
      <c r="I22" s="21"/>
      <c r="J22" s="139" t="str">
        <f t="shared" ref="J22" si="125">IF(I22=0,"-",H22/I22)</f>
        <v>-</v>
      </c>
      <c r="K22" s="20">
        <v>0</v>
      </c>
      <c r="L22" s="21">
        <v>0</v>
      </c>
      <c r="M22" s="139" t="str">
        <f t="shared" ref="M22" si="126">IF(L22=0,"-",K22/L22)</f>
        <v>-</v>
      </c>
      <c r="N22" s="125">
        <v>0</v>
      </c>
      <c r="O22" s="126">
        <v>0</v>
      </c>
      <c r="P22" s="139" t="str">
        <f t="shared" ref="P22" si="127">IF(O22=0,"-",N22/O22)</f>
        <v>-</v>
      </c>
      <c r="Q22" s="20">
        <v>22</v>
      </c>
      <c r="R22" s="21">
        <v>4</v>
      </c>
      <c r="S22" s="139">
        <f t="shared" si="44"/>
        <v>5.5</v>
      </c>
      <c r="T22" s="125">
        <v>0</v>
      </c>
      <c r="U22" s="126">
        <v>0</v>
      </c>
      <c r="V22" s="139" t="str">
        <f t="shared" ref="V22:V23" si="128">IF(U22=0,"-",T22/U22)</f>
        <v>-</v>
      </c>
      <c r="W22" s="125">
        <v>0</v>
      </c>
      <c r="X22" s="126">
        <v>0</v>
      </c>
      <c r="Y22" s="139" t="str">
        <f t="shared" ref="Y22:Y23" si="129">IF(X22=0,"-",W22/X22)</f>
        <v>-</v>
      </c>
      <c r="Z22" s="125">
        <v>0</v>
      </c>
      <c r="AA22" s="126">
        <v>0</v>
      </c>
      <c r="AB22" s="139" t="str">
        <f t="shared" ref="AB22:AB23" si="130">IF(AA22=0,"-",Z22/AA22)</f>
        <v>-</v>
      </c>
      <c r="AC22" s="20">
        <v>10</v>
      </c>
      <c r="AD22" s="21">
        <v>2</v>
      </c>
      <c r="AE22" s="139">
        <f t="shared" si="74"/>
        <v>5</v>
      </c>
      <c r="AF22" s="20">
        <v>12</v>
      </c>
      <c r="AG22" s="21">
        <v>2</v>
      </c>
      <c r="AH22" s="139">
        <f t="shared" si="75"/>
        <v>6</v>
      </c>
      <c r="AI22" s="20">
        <v>0</v>
      </c>
      <c r="AJ22" s="21">
        <v>0</v>
      </c>
      <c r="AK22" s="139" t="str">
        <f t="shared" ref="AK22" si="131">IF(AJ22=0,"-",AI22/AJ22)</f>
        <v>-</v>
      </c>
      <c r="AL22" s="20">
        <v>0</v>
      </c>
      <c r="AM22" s="21">
        <v>0</v>
      </c>
      <c r="AN22" s="139" t="str">
        <f t="shared" ref="AN22" si="132">IF(AM22=0,"-",AL22/AM22)</f>
        <v>-</v>
      </c>
      <c r="AO22" s="20">
        <v>0</v>
      </c>
      <c r="AP22" s="21">
        <v>0</v>
      </c>
      <c r="AQ22" s="139" t="str">
        <f t="shared" si="52"/>
        <v>-</v>
      </c>
      <c r="AR22" s="21">
        <v>6</v>
      </c>
      <c r="AS22" s="148">
        <v>1</v>
      </c>
      <c r="AT22" s="139">
        <f t="shared" si="81"/>
        <v>6</v>
      </c>
      <c r="AU22" s="21">
        <v>0</v>
      </c>
      <c r="AV22" s="148">
        <v>0</v>
      </c>
      <c r="AW22" s="139" t="str">
        <f>IF(AU22=0,"-",#REF!/AU22)</f>
        <v>-</v>
      </c>
      <c r="AX22" s="20">
        <v>0</v>
      </c>
      <c r="AY22" s="21">
        <v>0</v>
      </c>
      <c r="AZ22" s="139" t="str">
        <f t="shared" si="120"/>
        <v>-</v>
      </c>
      <c r="BA22" s="20">
        <v>0</v>
      </c>
      <c r="BB22" s="21">
        <v>0</v>
      </c>
      <c r="BC22" s="139" t="str">
        <f t="shared" si="82"/>
        <v>-</v>
      </c>
      <c r="BD22" s="20">
        <v>0</v>
      </c>
      <c r="BE22" s="21">
        <v>0</v>
      </c>
      <c r="BF22" s="139" t="str">
        <f t="shared" si="57"/>
        <v>-</v>
      </c>
      <c r="BG22" s="20">
        <v>0</v>
      </c>
      <c r="BH22" s="21">
        <v>0</v>
      </c>
      <c r="BI22" s="139" t="str">
        <f t="shared" si="121"/>
        <v>-</v>
      </c>
      <c r="BJ22" s="252">
        <v>10</v>
      </c>
      <c r="BK22" s="253">
        <v>2</v>
      </c>
      <c r="BL22" s="139">
        <f t="shared" si="94"/>
        <v>5</v>
      </c>
      <c r="BM22" s="125">
        <v>0</v>
      </c>
      <c r="BN22" s="126">
        <v>0</v>
      </c>
      <c r="BO22" s="276" t="str">
        <f t="shared" si="104"/>
        <v>-</v>
      </c>
      <c r="BP22" s="20">
        <v>0</v>
      </c>
      <c r="BQ22" s="21">
        <v>0</v>
      </c>
      <c r="BR22" s="139" t="str">
        <f t="shared" si="105"/>
        <v>-</v>
      </c>
      <c r="BS22" s="257">
        <v>0</v>
      </c>
      <c r="BT22" s="253">
        <v>0</v>
      </c>
      <c r="BU22" s="139" t="str">
        <f t="shared" si="106"/>
        <v>-</v>
      </c>
      <c r="BV22" s="20">
        <v>0</v>
      </c>
      <c r="BW22" s="21">
        <v>0</v>
      </c>
      <c r="BX22" s="139" t="str">
        <f t="shared" si="113"/>
        <v>-</v>
      </c>
      <c r="BY22" s="20">
        <v>0</v>
      </c>
      <c r="BZ22" s="21">
        <v>0</v>
      </c>
      <c r="CA22" s="139" t="str">
        <f t="shared" si="114"/>
        <v>-</v>
      </c>
      <c r="CB22" s="20">
        <v>0</v>
      </c>
      <c r="CC22" s="21">
        <v>0</v>
      </c>
      <c r="CD22" s="139" t="str">
        <f t="shared" si="61"/>
        <v>-</v>
      </c>
      <c r="CE22" s="20">
        <v>0</v>
      </c>
      <c r="CF22" s="21">
        <v>0</v>
      </c>
      <c r="CG22" s="139" t="str">
        <f t="shared" si="84"/>
        <v>-</v>
      </c>
      <c r="CH22" s="20">
        <v>0</v>
      </c>
      <c r="CI22" s="21">
        <v>0</v>
      </c>
      <c r="CJ22" s="139" t="str">
        <f t="shared" si="85"/>
        <v>-</v>
      </c>
      <c r="CK22" s="20">
        <v>0</v>
      </c>
      <c r="CL22" s="21">
        <v>0</v>
      </c>
      <c r="CM22" s="139" t="str">
        <f t="shared" si="86"/>
        <v>-</v>
      </c>
      <c r="CN22" s="117">
        <f t="shared" si="122"/>
        <v>130</v>
      </c>
      <c r="CO22" s="120">
        <f t="shared" si="123"/>
        <v>17</v>
      </c>
      <c r="CP22" s="147">
        <f t="shared" si="32"/>
        <v>7.6470588235294121</v>
      </c>
    </row>
    <row r="23" spans="1:94" ht="15" thickBot="1" x14ac:dyDescent="0.35">
      <c r="A23" s="294">
        <v>45676</v>
      </c>
      <c r="B23" s="20">
        <v>79</v>
      </c>
      <c r="C23" s="21">
        <v>9</v>
      </c>
      <c r="D23" s="139">
        <f t="shared" si="0"/>
        <v>8.7777777777777786</v>
      </c>
      <c r="E23" s="20">
        <v>8</v>
      </c>
      <c r="F23" s="21">
        <v>1</v>
      </c>
      <c r="G23" s="139">
        <f t="shared" si="87"/>
        <v>8</v>
      </c>
      <c r="H23" s="20"/>
      <c r="I23" s="21"/>
      <c r="J23" s="139" t="str">
        <f t="shared" si="41"/>
        <v>-</v>
      </c>
      <c r="K23" s="20">
        <v>0</v>
      </c>
      <c r="L23" s="21">
        <v>0</v>
      </c>
      <c r="M23" s="139" t="str">
        <f t="shared" si="42"/>
        <v>-</v>
      </c>
      <c r="N23" s="125">
        <v>0</v>
      </c>
      <c r="O23" s="126">
        <v>0</v>
      </c>
      <c r="P23" s="139" t="str">
        <f t="shared" si="43"/>
        <v>-</v>
      </c>
      <c r="Q23" s="20">
        <v>0</v>
      </c>
      <c r="R23" s="21">
        <v>0</v>
      </c>
      <c r="S23" s="139" t="str">
        <f t="shared" si="44"/>
        <v>-</v>
      </c>
      <c r="T23" s="125">
        <v>0</v>
      </c>
      <c r="U23" s="126">
        <v>0</v>
      </c>
      <c r="V23" s="139" t="str">
        <f t="shared" si="128"/>
        <v>-</v>
      </c>
      <c r="W23" s="125">
        <v>0</v>
      </c>
      <c r="X23" s="126">
        <v>0</v>
      </c>
      <c r="Y23" s="139" t="str">
        <f t="shared" si="129"/>
        <v>-</v>
      </c>
      <c r="Z23" s="125">
        <v>0</v>
      </c>
      <c r="AA23" s="126">
        <v>0</v>
      </c>
      <c r="AB23" s="139" t="str">
        <f t="shared" si="130"/>
        <v>-</v>
      </c>
      <c r="AC23" s="20">
        <v>10</v>
      </c>
      <c r="AD23" s="21">
        <v>2</v>
      </c>
      <c r="AE23" s="139">
        <f t="shared" si="74"/>
        <v>5</v>
      </c>
      <c r="AF23" s="20">
        <v>0</v>
      </c>
      <c r="AG23" s="21">
        <v>0</v>
      </c>
      <c r="AH23" s="139" t="str">
        <f t="shared" si="75"/>
        <v>-</v>
      </c>
      <c r="AI23" s="20">
        <v>0</v>
      </c>
      <c r="AJ23" s="21">
        <v>0</v>
      </c>
      <c r="AK23" s="139" t="str">
        <f t="shared" si="76"/>
        <v>-</v>
      </c>
      <c r="AL23" s="20">
        <v>0</v>
      </c>
      <c r="AM23" s="21">
        <v>0</v>
      </c>
      <c r="AN23" s="139" t="str">
        <f t="shared" si="77"/>
        <v>-</v>
      </c>
      <c r="AO23" s="20">
        <v>0</v>
      </c>
      <c r="AP23" s="21">
        <v>0</v>
      </c>
      <c r="AQ23" s="139" t="str">
        <f t="shared" si="52"/>
        <v>-</v>
      </c>
      <c r="AR23" s="20">
        <v>0</v>
      </c>
      <c r="AS23" s="21">
        <v>0</v>
      </c>
      <c r="AT23" s="139" t="str">
        <f t="shared" si="81"/>
        <v>-</v>
      </c>
      <c r="AU23" s="20">
        <v>0</v>
      </c>
      <c r="AV23" s="21">
        <v>0</v>
      </c>
      <c r="AW23" s="139" t="str">
        <f t="shared" ref="AW23" si="133">IF(AV23=0,"-",AU23/AV23)</f>
        <v>-</v>
      </c>
      <c r="AX23" s="20">
        <v>0</v>
      </c>
      <c r="AY23" s="21">
        <v>0</v>
      </c>
      <c r="AZ23" s="139" t="str">
        <f t="shared" si="55"/>
        <v>-</v>
      </c>
      <c r="BA23" s="20">
        <v>0</v>
      </c>
      <c r="BB23" s="21">
        <v>0</v>
      </c>
      <c r="BC23" s="139" t="str">
        <f t="shared" ref="BC23" si="134">IF(BB23=0,"-",BA23/BB23)</f>
        <v>-</v>
      </c>
      <c r="BD23" s="20">
        <v>0</v>
      </c>
      <c r="BE23" s="21">
        <v>0</v>
      </c>
      <c r="BF23" s="139" t="str">
        <f t="shared" ref="BF23" si="135">IF(BE23=0,"-",BD23/BE23)</f>
        <v>-</v>
      </c>
      <c r="BG23" s="20">
        <v>0</v>
      </c>
      <c r="BH23" s="21">
        <v>0</v>
      </c>
      <c r="BI23" s="139" t="str">
        <f t="shared" si="83"/>
        <v>-</v>
      </c>
      <c r="BJ23" s="252">
        <v>22</v>
      </c>
      <c r="BK23" s="253">
        <v>5</v>
      </c>
      <c r="BL23" s="139">
        <f t="shared" si="94"/>
        <v>4.4000000000000004</v>
      </c>
      <c r="BM23" s="252">
        <v>0</v>
      </c>
      <c r="BN23" s="253">
        <v>0</v>
      </c>
      <c r="BO23" s="139" t="str">
        <f t="shared" si="104"/>
        <v>-</v>
      </c>
      <c r="BP23" s="252">
        <v>0</v>
      </c>
      <c r="BQ23" s="253">
        <v>0</v>
      </c>
      <c r="BR23" s="139" t="str">
        <f t="shared" si="105"/>
        <v>-</v>
      </c>
      <c r="BS23" s="252">
        <v>0</v>
      </c>
      <c r="BT23" s="253">
        <v>0</v>
      </c>
      <c r="BU23" s="139" t="str">
        <f t="shared" si="106"/>
        <v>-</v>
      </c>
      <c r="BV23" s="252">
        <v>7</v>
      </c>
      <c r="BW23" s="253">
        <v>2</v>
      </c>
      <c r="BX23" s="139">
        <f t="shared" si="59"/>
        <v>3.5</v>
      </c>
      <c r="BY23" s="20">
        <v>0</v>
      </c>
      <c r="BZ23" s="21">
        <v>0</v>
      </c>
      <c r="CA23" s="139" t="str">
        <f t="shared" ref="CA23" si="136">IF(BZ23=0,"-",BY23/BZ23)</f>
        <v>-</v>
      </c>
      <c r="CB23" s="252">
        <v>6</v>
      </c>
      <c r="CC23" s="253">
        <v>1</v>
      </c>
      <c r="CD23" s="139">
        <f t="shared" si="61"/>
        <v>6</v>
      </c>
      <c r="CE23" s="20">
        <v>0</v>
      </c>
      <c r="CF23" s="21">
        <v>0</v>
      </c>
      <c r="CG23" s="139" t="str">
        <f t="shared" ref="CG23" si="137">IF(CF23=0,"-",CE23/CF23)</f>
        <v>-</v>
      </c>
      <c r="CH23" s="20">
        <v>0</v>
      </c>
      <c r="CI23" s="21">
        <v>0</v>
      </c>
      <c r="CJ23" s="139" t="str">
        <f t="shared" ref="CJ23" si="138">IF(CI23=0,"-",CH23/CI23)</f>
        <v>-</v>
      </c>
      <c r="CK23" s="20">
        <v>0</v>
      </c>
      <c r="CL23" s="21">
        <v>0</v>
      </c>
      <c r="CM23" s="139" t="str">
        <f t="shared" ref="CM23" si="139">IF(CL23=0,"-",CK23/CL23)</f>
        <v>-</v>
      </c>
      <c r="CN23" s="117">
        <f t="shared" si="122"/>
        <v>242</v>
      </c>
      <c r="CO23" s="120">
        <f t="shared" si="123"/>
        <v>36</v>
      </c>
      <c r="CP23" s="147">
        <f t="shared" si="32"/>
        <v>6.7222222222222223</v>
      </c>
    </row>
    <row r="24" spans="1:94" ht="15" thickBot="1" x14ac:dyDescent="0.35">
      <c r="A24" s="294">
        <v>45677</v>
      </c>
      <c r="B24" s="20">
        <v>17</v>
      </c>
      <c r="C24" s="21">
        <v>2</v>
      </c>
      <c r="D24" s="139">
        <f t="shared" si="0"/>
        <v>8.5</v>
      </c>
      <c r="E24" s="20">
        <v>0</v>
      </c>
      <c r="F24" s="21">
        <v>0</v>
      </c>
      <c r="G24" s="139" t="str">
        <f t="shared" si="87"/>
        <v>-</v>
      </c>
      <c r="H24" s="20"/>
      <c r="I24" s="21"/>
      <c r="J24" s="139" t="str">
        <f t="shared" si="41"/>
        <v>-</v>
      </c>
      <c r="K24" s="20">
        <v>8</v>
      </c>
      <c r="L24" s="21">
        <v>1</v>
      </c>
      <c r="M24" s="139">
        <f t="shared" si="42"/>
        <v>8</v>
      </c>
      <c r="N24" s="125">
        <v>0</v>
      </c>
      <c r="O24" s="126">
        <v>0</v>
      </c>
      <c r="P24" s="139" t="str">
        <f t="shared" si="43"/>
        <v>-</v>
      </c>
      <c r="Q24" s="125">
        <v>114</v>
      </c>
      <c r="R24" s="126">
        <v>19</v>
      </c>
      <c r="S24" s="139">
        <f t="shared" si="44"/>
        <v>6</v>
      </c>
      <c r="T24" s="125">
        <v>0</v>
      </c>
      <c r="U24" s="126">
        <v>0</v>
      </c>
      <c r="V24" s="139" t="str">
        <f t="shared" ref="V24" si="140">IF(U24=0,"-",T24/U24)</f>
        <v>-</v>
      </c>
      <c r="W24" s="125">
        <v>0</v>
      </c>
      <c r="X24" s="126">
        <v>0</v>
      </c>
      <c r="Y24" s="139" t="str">
        <f t="shared" ref="Y24" si="141">IF(X24=0,"-",W24/X24)</f>
        <v>-</v>
      </c>
      <c r="Z24" s="125">
        <v>0</v>
      </c>
      <c r="AA24" s="126">
        <v>0</v>
      </c>
      <c r="AB24" s="139" t="str">
        <f t="shared" ref="AB24" si="142">IF(AA24=0,"-",Z24/AA24)</f>
        <v>-</v>
      </c>
      <c r="AC24" s="125">
        <v>0</v>
      </c>
      <c r="AD24" s="126">
        <v>0</v>
      </c>
      <c r="AE24" s="139" t="str">
        <f t="shared" si="74"/>
        <v>-</v>
      </c>
      <c r="AF24" s="125">
        <v>0</v>
      </c>
      <c r="AG24" s="126">
        <v>0</v>
      </c>
      <c r="AH24" s="139" t="str">
        <f t="shared" si="75"/>
        <v>-</v>
      </c>
      <c r="AI24" s="125">
        <v>6</v>
      </c>
      <c r="AJ24" s="126">
        <v>1</v>
      </c>
      <c r="AK24" s="139">
        <f t="shared" si="76"/>
        <v>6</v>
      </c>
      <c r="AL24" s="125">
        <v>0</v>
      </c>
      <c r="AM24" s="126">
        <v>0</v>
      </c>
      <c r="AN24" s="139" t="str">
        <f t="shared" si="77"/>
        <v>-</v>
      </c>
      <c r="AO24" s="125">
        <v>0</v>
      </c>
      <c r="AP24" s="126">
        <v>0</v>
      </c>
      <c r="AQ24" s="139" t="str">
        <f t="shared" si="52"/>
        <v>-</v>
      </c>
      <c r="AR24" s="125">
        <v>0</v>
      </c>
      <c r="AS24" s="126">
        <v>0</v>
      </c>
      <c r="AT24" s="139" t="str">
        <f t="shared" si="81"/>
        <v>-</v>
      </c>
      <c r="AU24" s="125">
        <v>0</v>
      </c>
      <c r="AV24" s="126">
        <v>0</v>
      </c>
      <c r="AW24" s="139" t="str">
        <f t="shared" ref="AW24:AW34" si="143">IF(AV24=0,"-",AU24/AV24)</f>
        <v>-</v>
      </c>
      <c r="AX24" s="125">
        <v>2</v>
      </c>
      <c r="AY24" s="126">
        <v>1</v>
      </c>
      <c r="AZ24" s="139">
        <f t="shared" si="55"/>
        <v>2</v>
      </c>
      <c r="BA24" s="20">
        <v>0</v>
      </c>
      <c r="BB24" s="21">
        <v>0</v>
      </c>
      <c r="BC24" s="139" t="str">
        <f t="shared" ref="BC24" si="144">IF(BB24=0,"-",BA24/BB24)</f>
        <v>-</v>
      </c>
      <c r="BD24" s="20">
        <v>0</v>
      </c>
      <c r="BE24" s="21">
        <v>0</v>
      </c>
      <c r="BF24" s="139" t="str">
        <f t="shared" ref="BF24" si="145">IF(BE24=0,"-",BD24/BE24)</f>
        <v>-</v>
      </c>
      <c r="BG24" s="20">
        <v>0</v>
      </c>
      <c r="BH24" s="21">
        <v>0</v>
      </c>
      <c r="BI24" s="139" t="str">
        <f t="shared" ref="BI24" si="146">IF(BH24=0,"-",BG24/BH24)</f>
        <v>-</v>
      </c>
      <c r="BJ24" s="125">
        <v>14</v>
      </c>
      <c r="BK24" s="126">
        <v>2</v>
      </c>
      <c r="BL24" s="139">
        <f t="shared" si="94"/>
        <v>7</v>
      </c>
      <c r="BM24" s="125">
        <v>0</v>
      </c>
      <c r="BN24" s="126">
        <v>0</v>
      </c>
      <c r="BO24" s="139" t="str">
        <f t="shared" si="104"/>
        <v>-</v>
      </c>
      <c r="BP24" s="125">
        <v>0</v>
      </c>
      <c r="BQ24" s="126">
        <v>0</v>
      </c>
      <c r="BR24" s="139" t="str">
        <f t="shared" si="105"/>
        <v>-</v>
      </c>
      <c r="BS24" s="125">
        <v>6</v>
      </c>
      <c r="BT24" s="126">
        <v>1</v>
      </c>
      <c r="BU24" s="139">
        <f t="shared" si="106"/>
        <v>6</v>
      </c>
      <c r="BV24" s="252">
        <v>4</v>
      </c>
      <c r="BW24" s="253">
        <v>1</v>
      </c>
      <c r="BX24" s="139">
        <f t="shared" si="59"/>
        <v>4</v>
      </c>
      <c r="BY24" s="252">
        <v>0</v>
      </c>
      <c r="BZ24" s="253">
        <v>0</v>
      </c>
      <c r="CA24" s="139">
        <v>0</v>
      </c>
      <c r="CB24" s="252">
        <v>0</v>
      </c>
      <c r="CC24" s="253">
        <v>0</v>
      </c>
      <c r="CD24" s="139" t="str">
        <f t="shared" si="61"/>
        <v>-</v>
      </c>
      <c r="CE24" s="20">
        <v>0</v>
      </c>
      <c r="CF24" s="21">
        <v>0</v>
      </c>
      <c r="CG24" s="139" t="str">
        <f t="shared" ref="CG24" si="147">IF(CF24=0,"-",CE24/CF24)</f>
        <v>-</v>
      </c>
      <c r="CH24" s="20">
        <v>0</v>
      </c>
      <c r="CI24" s="21">
        <v>0</v>
      </c>
      <c r="CJ24" s="139" t="str">
        <f t="shared" ref="CJ24" si="148">IF(CI24=0,"-",CH24/CI24)</f>
        <v>-</v>
      </c>
      <c r="CK24" s="20">
        <v>0</v>
      </c>
      <c r="CL24" s="21">
        <v>0</v>
      </c>
      <c r="CM24" s="139" t="str">
        <f t="shared" ref="CM24" si="149">IF(CL24=0,"-",CK24/CL24)</f>
        <v>-</v>
      </c>
      <c r="CN24" s="117">
        <f t="shared" si="30"/>
        <v>171</v>
      </c>
      <c r="CO24" s="120">
        <f t="shared" si="31"/>
        <v>27</v>
      </c>
      <c r="CP24" s="147">
        <f t="shared" si="32"/>
        <v>6.333333333333333</v>
      </c>
    </row>
    <row r="25" spans="1:94" ht="15" thickBot="1" x14ac:dyDescent="0.35">
      <c r="A25" s="294">
        <v>45678</v>
      </c>
      <c r="B25" s="20">
        <v>66</v>
      </c>
      <c r="C25" s="21">
        <v>8</v>
      </c>
      <c r="D25" s="139">
        <f t="shared" si="0"/>
        <v>8.25</v>
      </c>
      <c r="E25" s="20">
        <v>0</v>
      </c>
      <c r="F25" s="21">
        <v>0</v>
      </c>
      <c r="G25" s="139" t="str">
        <f t="shared" ref="G25" si="150">IF(F25=0,"-",E25/F25)</f>
        <v>-</v>
      </c>
      <c r="H25" s="20"/>
      <c r="I25" s="21"/>
      <c r="J25" s="139" t="str">
        <f t="shared" si="41"/>
        <v>-</v>
      </c>
      <c r="K25" s="20">
        <v>51</v>
      </c>
      <c r="L25" s="21">
        <v>7</v>
      </c>
      <c r="M25" s="139">
        <f t="shared" si="42"/>
        <v>7.2857142857142856</v>
      </c>
      <c r="N25" s="125">
        <v>0</v>
      </c>
      <c r="O25" s="126">
        <v>0</v>
      </c>
      <c r="P25" s="139" t="str">
        <f t="shared" ref="P25" si="151">IF(O25=0,"-",N25/O25)</f>
        <v>-</v>
      </c>
      <c r="Q25" s="125">
        <v>81</v>
      </c>
      <c r="R25" s="126">
        <v>14</v>
      </c>
      <c r="S25" s="139">
        <f t="shared" si="44"/>
        <v>5.7857142857142856</v>
      </c>
      <c r="T25" s="125">
        <v>0</v>
      </c>
      <c r="U25" s="126">
        <v>0</v>
      </c>
      <c r="V25" s="139" t="str">
        <f t="shared" ref="V25" si="152">IF(U25=0,"-",T25/U25)</f>
        <v>-</v>
      </c>
      <c r="W25" s="125">
        <v>0</v>
      </c>
      <c r="X25" s="126">
        <v>0</v>
      </c>
      <c r="Y25" s="139" t="str">
        <f t="shared" ref="Y25" si="153">IF(X25=0,"-",W25/X25)</f>
        <v>-</v>
      </c>
      <c r="Z25" s="125">
        <v>0</v>
      </c>
      <c r="AA25" s="126">
        <v>0</v>
      </c>
      <c r="AB25" s="139" t="str">
        <f t="shared" ref="AB25" si="154">IF(AA25=0,"-",Z25/AA25)</f>
        <v>-</v>
      </c>
      <c r="AC25" s="125">
        <v>0</v>
      </c>
      <c r="AD25" s="126">
        <v>0</v>
      </c>
      <c r="AE25" s="139" t="str">
        <f t="shared" ref="AE25" si="155">IF(AD25=0,"-",AC25/AD25)</f>
        <v>-</v>
      </c>
      <c r="AF25" s="125">
        <v>0</v>
      </c>
      <c r="AG25" s="126">
        <v>0</v>
      </c>
      <c r="AH25" s="139" t="str">
        <f t="shared" ref="AH25" si="156">IF(AG25=0,"-",AF25/AG25)</f>
        <v>-</v>
      </c>
      <c r="AI25" s="125">
        <v>0</v>
      </c>
      <c r="AJ25" s="126">
        <v>0</v>
      </c>
      <c r="AK25" s="139" t="str">
        <f t="shared" si="76"/>
        <v>-</v>
      </c>
      <c r="AL25" s="125">
        <v>5</v>
      </c>
      <c r="AM25" s="126">
        <v>1</v>
      </c>
      <c r="AN25" s="139">
        <f t="shared" si="77"/>
        <v>5</v>
      </c>
      <c r="AO25" s="125">
        <v>0</v>
      </c>
      <c r="AP25" s="126">
        <v>0</v>
      </c>
      <c r="AQ25" s="139" t="str">
        <f t="shared" si="52"/>
        <v>-</v>
      </c>
      <c r="AR25" s="125">
        <v>5</v>
      </c>
      <c r="AS25" s="126">
        <v>1</v>
      </c>
      <c r="AT25" s="139">
        <f t="shared" si="81"/>
        <v>5</v>
      </c>
      <c r="AU25" s="125">
        <v>0</v>
      </c>
      <c r="AV25" s="126">
        <v>0</v>
      </c>
      <c r="AW25" s="139" t="str">
        <f t="shared" si="143"/>
        <v>-</v>
      </c>
      <c r="AX25" s="125">
        <v>0</v>
      </c>
      <c r="AY25" s="126">
        <v>0</v>
      </c>
      <c r="AZ25" s="139" t="str">
        <f t="shared" si="55"/>
        <v>-</v>
      </c>
      <c r="BA25" s="125">
        <v>0</v>
      </c>
      <c r="BB25" s="126">
        <v>0</v>
      </c>
      <c r="BC25" s="139" t="str">
        <f t="shared" ref="BC25:BC33" si="157">IF(BB25=0,"-",BA25/BB25)</f>
        <v>-</v>
      </c>
      <c r="BD25" s="125">
        <v>0</v>
      </c>
      <c r="BE25" s="126">
        <v>0</v>
      </c>
      <c r="BF25" s="139" t="str">
        <f t="shared" ref="BF25:BF33" si="158">IF(BE25=0,"-",BD25/BE25)</f>
        <v>-</v>
      </c>
      <c r="BG25" s="125">
        <v>0</v>
      </c>
      <c r="BH25" s="126">
        <v>0</v>
      </c>
      <c r="BI25" s="139" t="str">
        <f t="shared" si="83"/>
        <v>-</v>
      </c>
      <c r="BJ25" s="125">
        <v>28</v>
      </c>
      <c r="BK25" s="126">
        <v>4</v>
      </c>
      <c r="BL25" s="139">
        <f t="shared" si="94"/>
        <v>7</v>
      </c>
      <c r="BM25" s="125">
        <v>0</v>
      </c>
      <c r="BN25" s="126">
        <v>0</v>
      </c>
      <c r="BO25" s="139" t="str">
        <f t="shared" ref="BO25:BO26" si="159">IF(BN25=0,"-",BM25/BN25)</f>
        <v>-</v>
      </c>
      <c r="BP25" s="125">
        <v>0</v>
      </c>
      <c r="BQ25" s="126">
        <v>0</v>
      </c>
      <c r="BR25" s="139" t="str">
        <f t="shared" ref="BR25:BR26" si="160">IF(BQ25=0,"-",BP25/BQ25)</f>
        <v>-</v>
      </c>
      <c r="BS25" s="125">
        <v>7</v>
      </c>
      <c r="BT25" s="126">
        <v>1</v>
      </c>
      <c r="BU25" s="139">
        <f t="shared" si="106"/>
        <v>7</v>
      </c>
      <c r="BV25" s="252">
        <v>0</v>
      </c>
      <c r="BW25" s="253">
        <v>0</v>
      </c>
      <c r="BX25" s="139" t="str">
        <f t="shared" si="59"/>
        <v>-</v>
      </c>
      <c r="BY25" s="252">
        <v>0</v>
      </c>
      <c r="BZ25" s="253">
        <v>0</v>
      </c>
      <c r="CA25" s="139">
        <v>0</v>
      </c>
      <c r="CB25" s="252">
        <v>6</v>
      </c>
      <c r="CC25" s="253">
        <v>1</v>
      </c>
      <c r="CD25" s="139">
        <f t="shared" si="61"/>
        <v>6</v>
      </c>
      <c r="CE25" s="20">
        <v>0</v>
      </c>
      <c r="CF25" s="21">
        <v>0</v>
      </c>
      <c r="CG25" s="139" t="str">
        <f t="shared" ref="CG25" si="161">IF(CF25=0,"-",CE25/CF25)</f>
        <v>-</v>
      </c>
      <c r="CH25" s="20">
        <v>0</v>
      </c>
      <c r="CI25" s="21">
        <v>0</v>
      </c>
      <c r="CJ25" s="139" t="str">
        <f t="shared" ref="CJ25" si="162">IF(CI25=0,"-",CH25/CI25)</f>
        <v>-</v>
      </c>
      <c r="CK25" s="20">
        <v>0</v>
      </c>
      <c r="CL25" s="21">
        <v>0</v>
      </c>
      <c r="CM25" s="139" t="str">
        <f t="shared" ref="CM25" si="163">IF(CL25=0,"-",CK25/CL25)</f>
        <v>-</v>
      </c>
      <c r="CN25" s="117">
        <f t="shared" si="30"/>
        <v>249</v>
      </c>
      <c r="CO25" s="120">
        <f t="shared" si="31"/>
        <v>36</v>
      </c>
      <c r="CP25" s="147">
        <f t="shared" si="32"/>
        <v>6.916666666666667</v>
      </c>
    </row>
    <row r="26" spans="1:94" ht="15" thickBot="1" x14ac:dyDescent="0.35">
      <c r="A26" s="294">
        <v>45679</v>
      </c>
      <c r="B26" s="20">
        <v>97</v>
      </c>
      <c r="C26" s="21">
        <v>11</v>
      </c>
      <c r="D26" s="139">
        <f t="shared" si="0"/>
        <v>8.8181818181818183</v>
      </c>
      <c r="E26" s="20">
        <v>0</v>
      </c>
      <c r="F26" s="21">
        <v>0</v>
      </c>
      <c r="G26" s="139">
        <v>0</v>
      </c>
      <c r="H26" s="20"/>
      <c r="I26" s="21"/>
      <c r="J26" s="139" t="str">
        <f t="shared" si="41"/>
        <v>-</v>
      </c>
      <c r="K26" s="20">
        <v>0</v>
      </c>
      <c r="L26" s="21">
        <v>0</v>
      </c>
      <c r="M26" s="139" t="str">
        <f t="shared" si="42"/>
        <v>-</v>
      </c>
      <c r="N26" s="125">
        <v>0</v>
      </c>
      <c r="O26" s="126">
        <v>0</v>
      </c>
      <c r="P26" s="139" t="str">
        <f t="shared" si="43"/>
        <v>-</v>
      </c>
      <c r="Q26" s="125">
        <v>36</v>
      </c>
      <c r="R26" s="126">
        <v>6</v>
      </c>
      <c r="S26" s="139">
        <f t="shared" si="44"/>
        <v>6</v>
      </c>
      <c r="T26" s="125">
        <v>0</v>
      </c>
      <c r="U26" s="126">
        <v>0</v>
      </c>
      <c r="V26" s="139" t="str">
        <f t="shared" ref="V26" si="164">IF(U26=0,"-",T26/U26)</f>
        <v>-</v>
      </c>
      <c r="W26" s="125">
        <v>0</v>
      </c>
      <c r="X26" s="126">
        <v>0</v>
      </c>
      <c r="Y26" s="139" t="str">
        <f t="shared" si="34"/>
        <v>-</v>
      </c>
      <c r="Z26" s="125">
        <v>5</v>
      </c>
      <c r="AA26" s="126">
        <v>1</v>
      </c>
      <c r="AB26" s="139">
        <f t="shared" si="73"/>
        <v>5</v>
      </c>
      <c r="AC26" s="125">
        <v>0</v>
      </c>
      <c r="AD26" s="126">
        <v>0</v>
      </c>
      <c r="AE26" s="139" t="str">
        <f t="shared" ref="AE26:AE27" si="165">IF(AD26=0,"-",AC26/AD26)</f>
        <v>-</v>
      </c>
      <c r="AF26" s="125">
        <v>18</v>
      </c>
      <c r="AG26" s="126">
        <v>3</v>
      </c>
      <c r="AH26" s="139">
        <f t="shared" si="75"/>
        <v>6</v>
      </c>
      <c r="AI26" s="125">
        <v>6</v>
      </c>
      <c r="AJ26" s="126">
        <v>1</v>
      </c>
      <c r="AK26" s="139">
        <f t="shared" si="76"/>
        <v>6</v>
      </c>
      <c r="AL26" s="125">
        <v>0</v>
      </c>
      <c r="AM26" s="126">
        <v>0</v>
      </c>
      <c r="AN26" s="139" t="str">
        <f t="shared" si="77"/>
        <v>-</v>
      </c>
      <c r="AO26" s="125">
        <v>0</v>
      </c>
      <c r="AP26" s="126">
        <v>0</v>
      </c>
      <c r="AQ26" s="139" t="str">
        <f t="shared" si="52"/>
        <v>-</v>
      </c>
      <c r="AR26" s="125">
        <v>3</v>
      </c>
      <c r="AS26" s="126">
        <v>1</v>
      </c>
      <c r="AT26" s="139">
        <f t="shared" si="81"/>
        <v>3</v>
      </c>
      <c r="AU26" s="125">
        <v>0</v>
      </c>
      <c r="AV26" s="126">
        <v>0</v>
      </c>
      <c r="AW26" s="139" t="str">
        <f t="shared" si="143"/>
        <v>-</v>
      </c>
      <c r="AX26" s="125">
        <v>0</v>
      </c>
      <c r="AY26" s="126">
        <v>0</v>
      </c>
      <c r="AZ26" s="139" t="str">
        <f t="shared" si="55"/>
        <v>-</v>
      </c>
      <c r="BA26" s="125">
        <v>0</v>
      </c>
      <c r="BB26" s="126">
        <v>0</v>
      </c>
      <c r="BC26" s="139" t="str">
        <f t="shared" si="157"/>
        <v>-</v>
      </c>
      <c r="BD26" s="125">
        <v>0</v>
      </c>
      <c r="BE26" s="126">
        <v>0</v>
      </c>
      <c r="BF26" s="139" t="str">
        <f t="shared" si="158"/>
        <v>-</v>
      </c>
      <c r="BG26" s="125">
        <v>0</v>
      </c>
      <c r="BH26" s="126">
        <v>0</v>
      </c>
      <c r="BI26" s="139" t="str">
        <f t="shared" si="83"/>
        <v>-</v>
      </c>
      <c r="BJ26" s="125">
        <v>42</v>
      </c>
      <c r="BK26" s="126">
        <v>7</v>
      </c>
      <c r="BL26" s="139">
        <f t="shared" si="94"/>
        <v>6</v>
      </c>
      <c r="BM26" s="125">
        <v>0</v>
      </c>
      <c r="BN26" s="126">
        <v>0</v>
      </c>
      <c r="BO26" s="139" t="str">
        <f t="shared" si="159"/>
        <v>-</v>
      </c>
      <c r="BP26" s="125">
        <v>0</v>
      </c>
      <c r="BQ26" s="126">
        <v>0</v>
      </c>
      <c r="BR26" s="139" t="str">
        <f t="shared" si="160"/>
        <v>-</v>
      </c>
      <c r="BS26" s="125">
        <v>0</v>
      </c>
      <c r="BT26" s="126">
        <v>0</v>
      </c>
      <c r="BU26" s="139" t="str">
        <f t="shared" si="106"/>
        <v>-</v>
      </c>
      <c r="BV26" s="125">
        <v>5</v>
      </c>
      <c r="BW26" s="126">
        <v>1</v>
      </c>
      <c r="BX26" s="139">
        <f t="shared" si="59"/>
        <v>5</v>
      </c>
      <c r="BY26" s="252">
        <v>0</v>
      </c>
      <c r="BZ26" s="253">
        <v>0</v>
      </c>
      <c r="CA26" s="139">
        <v>0</v>
      </c>
      <c r="CB26" s="125">
        <v>0</v>
      </c>
      <c r="CC26" s="126">
        <v>0</v>
      </c>
      <c r="CD26" s="139" t="str">
        <f t="shared" si="61"/>
        <v>-</v>
      </c>
      <c r="CE26" s="125">
        <v>2</v>
      </c>
      <c r="CF26" s="126">
        <v>1</v>
      </c>
      <c r="CG26" s="139">
        <f t="shared" si="84"/>
        <v>2</v>
      </c>
      <c r="CH26" s="125">
        <v>0</v>
      </c>
      <c r="CI26" s="126">
        <v>0</v>
      </c>
      <c r="CJ26" s="139" t="str">
        <f t="shared" si="85"/>
        <v>-</v>
      </c>
      <c r="CK26" s="125">
        <v>1</v>
      </c>
      <c r="CL26" s="126">
        <v>1</v>
      </c>
      <c r="CM26" s="139">
        <f t="shared" si="86"/>
        <v>1</v>
      </c>
      <c r="CN26" s="117">
        <f t="shared" si="30"/>
        <v>215</v>
      </c>
      <c r="CO26" s="120">
        <f t="shared" si="31"/>
        <v>32</v>
      </c>
      <c r="CP26" s="147">
        <f t="shared" si="32"/>
        <v>6.71875</v>
      </c>
    </row>
    <row r="27" spans="1:94" ht="15" thickBot="1" x14ac:dyDescent="0.35">
      <c r="A27" s="294">
        <v>45680</v>
      </c>
      <c r="B27" s="20">
        <v>9</v>
      </c>
      <c r="C27" s="21">
        <v>1</v>
      </c>
      <c r="D27" s="139">
        <f t="shared" si="0"/>
        <v>9</v>
      </c>
      <c r="E27" s="20">
        <v>8</v>
      </c>
      <c r="F27" s="21">
        <v>1</v>
      </c>
      <c r="G27" s="139">
        <v>0</v>
      </c>
      <c r="H27" s="20"/>
      <c r="I27" s="21"/>
      <c r="J27" s="139" t="str">
        <f t="shared" si="41"/>
        <v>-</v>
      </c>
      <c r="K27" s="20">
        <v>8</v>
      </c>
      <c r="L27" s="21">
        <v>1</v>
      </c>
      <c r="M27" s="139">
        <f t="shared" si="42"/>
        <v>8</v>
      </c>
      <c r="N27" s="125">
        <v>0</v>
      </c>
      <c r="O27" s="126">
        <v>0</v>
      </c>
      <c r="P27" s="139" t="str">
        <f t="shared" ref="P27" si="166">IF(O27=0,"-",N27/O27)</f>
        <v>-</v>
      </c>
      <c r="Q27" s="125">
        <v>99</v>
      </c>
      <c r="R27" s="126">
        <v>24</v>
      </c>
      <c r="S27" s="139">
        <f t="shared" si="44"/>
        <v>4.125</v>
      </c>
      <c r="T27" s="125">
        <v>0</v>
      </c>
      <c r="U27" s="126">
        <v>0</v>
      </c>
      <c r="V27" s="139" t="str">
        <f t="shared" ref="V27" si="167">IF(U27=0,"-",T27/U27)</f>
        <v>-</v>
      </c>
      <c r="W27" s="125">
        <v>0</v>
      </c>
      <c r="X27" s="126">
        <v>0</v>
      </c>
      <c r="Y27" s="139" t="str">
        <f t="shared" si="34"/>
        <v>-</v>
      </c>
      <c r="Z27" s="125">
        <v>0</v>
      </c>
      <c r="AA27" s="126">
        <v>0</v>
      </c>
      <c r="AB27" s="139" t="str">
        <f t="shared" si="73"/>
        <v>-</v>
      </c>
      <c r="AC27" s="125">
        <v>0</v>
      </c>
      <c r="AD27" s="126">
        <v>0</v>
      </c>
      <c r="AE27" s="139" t="str">
        <f t="shared" si="165"/>
        <v>-</v>
      </c>
      <c r="AF27" s="125">
        <v>0</v>
      </c>
      <c r="AG27" s="126">
        <v>0</v>
      </c>
      <c r="AH27" s="139" t="str">
        <f t="shared" si="75"/>
        <v>-</v>
      </c>
      <c r="AI27" s="125">
        <v>0</v>
      </c>
      <c r="AJ27" s="126">
        <v>0</v>
      </c>
      <c r="AK27" s="139" t="str">
        <f t="shared" si="76"/>
        <v>-</v>
      </c>
      <c r="AL27" s="125">
        <v>0</v>
      </c>
      <c r="AM27" s="126">
        <v>0</v>
      </c>
      <c r="AN27" s="139" t="str">
        <f t="shared" si="77"/>
        <v>-</v>
      </c>
      <c r="AO27" s="125">
        <v>0</v>
      </c>
      <c r="AP27" s="126">
        <v>0</v>
      </c>
      <c r="AQ27" s="139" t="str">
        <f t="shared" si="52"/>
        <v>-</v>
      </c>
      <c r="AR27" s="125">
        <v>8</v>
      </c>
      <c r="AS27" s="126">
        <v>1</v>
      </c>
      <c r="AT27" s="139">
        <f t="shared" si="81"/>
        <v>8</v>
      </c>
      <c r="AU27" s="125">
        <v>0</v>
      </c>
      <c r="AV27" s="126">
        <v>0</v>
      </c>
      <c r="AW27" s="139" t="str">
        <f t="shared" si="143"/>
        <v>-</v>
      </c>
      <c r="AX27" s="125">
        <v>0</v>
      </c>
      <c r="AY27" s="126">
        <v>0</v>
      </c>
      <c r="AZ27" s="139" t="str">
        <f t="shared" ref="AZ27" si="168">IF(AY27=0,"-",AX27/AY27)</f>
        <v>-</v>
      </c>
      <c r="BA27" s="125">
        <v>0</v>
      </c>
      <c r="BB27" s="126">
        <v>0</v>
      </c>
      <c r="BC27" s="139" t="str">
        <f t="shared" ref="BC27" si="169">IF(BB27=0,"-",BA27/BB27)</f>
        <v>-</v>
      </c>
      <c r="BD27" s="125">
        <v>0</v>
      </c>
      <c r="BE27" s="126">
        <v>0</v>
      </c>
      <c r="BF27" s="139" t="str">
        <f t="shared" ref="BF27" si="170">IF(BE27=0,"-",BD27/BE27)</f>
        <v>-</v>
      </c>
      <c r="BG27" s="125">
        <v>0</v>
      </c>
      <c r="BH27" s="126">
        <v>0</v>
      </c>
      <c r="BI27" s="139" t="str">
        <f t="shared" ref="BI27" si="171">IF(BH27=0,"-",BG27/BH27)</f>
        <v>-</v>
      </c>
      <c r="BJ27" s="125">
        <v>47</v>
      </c>
      <c r="BK27" s="126">
        <v>7</v>
      </c>
      <c r="BL27" s="139">
        <f t="shared" si="94"/>
        <v>6.7142857142857144</v>
      </c>
      <c r="BM27" s="125">
        <v>0</v>
      </c>
      <c r="BN27" s="126">
        <v>0</v>
      </c>
      <c r="BO27" s="139" t="str">
        <f t="shared" ref="BO27:BO29" si="172">IF(BN27=0,"-",BM27/BN27)</f>
        <v>-</v>
      </c>
      <c r="BP27" s="125">
        <v>0</v>
      </c>
      <c r="BQ27" s="126">
        <v>0</v>
      </c>
      <c r="BR27" s="139" t="str">
        <f t="shared" ref="BR27:BR30" si="173">IF(BQ27=0,"-",BP27/BQ27)</f>
        <v>-</v>
      </c>
      <c r="BS27" s="125">
        <v>0</v>
      </c>
      <c r="BT27" s="126">
        <v>0</v>
      </c>
      <c r="BU27" s="139" t="str">
        <f t="shared" ref="BU27:BU29" si="174">IF(BT27=0,"-",BS27/BT27)</f>
        <v>-</v>
      </c>
      <c r="BV27" s="125">
        <v>0</v>
      </c>
      <c r="BW27" s="126">
        <v>0</v>
      </c>
      <c r="BX27" s="139" t="str">
        <f t="shared" si="59"/>
        <v>-</v>
      </c>
      <c r="BY27" s="125">
        <v>0</v>
      </c>
      <c r="BZ27" s="126">
        <v>0</v>
      </c>
      <c r="CA27" s="139" t="str">
        <f t="shared" ref="CA27" si="175">IF(BZ27=0,"-",BY27/BZ27)</f>
        <v>-</v>
      </c>
      <c r="CB27" s="125">
        <v>0</v>
      </c>
      <c r="CC27" s="126">
        <v>0</v>
      </c>
      <c r="CD27" s="139" t="str">
        <f t="shared" si="61"/>
        <v>-</v>
      </c>
      <c r="CE27" s="125">
        <v>0</v>
      </c>
      <c r="CF27" s="126">
        <v>0</v>
      </c>
      <c r="CG27" s="139" t="str">
        <f t="shared" si="84"/>
        <v>-</v>
      </c>
      <c r="CH27" s="125">
        <v>0</v>
      </c>
      <c r="CI27" s="126">
        <v>0</v>
      </c>
      <c r="CJ27" s="139" t="str">
        <f t="shared" si="85"/>
        <v>-</v>
      </c>
      <c r="CK27" s="125">
        <v>0</v>
      </c>
      <c r="CL27" s="126">
        <v>0</v>
      </c>
      <c r="CM27" s="139" t="str">
        <f t="shared" si="86"/>
        <v>-</v>
      </c>
      <c r="CN27" s="117">
        <f t="shared" si="30"/>
        <v>179</v>
      </c>
      <c r="CO27" s="120">
        <f t="shared" si="31"/>
        <v>35</v>
      </c>
      <c r="CP27" s="147">
        <f t="shared" si="32"/>
        <v>5.1142857142857139</v>
      </c>
    </row>
    <row r="28" spans="1:94" ht="15" thickBot="1" x14ac:dyDescent="0.35">
      <c r="A28" s="294">
        <v>45681</v>
      </c>
      <c r="B28" s="20">
        <v>82</v>
      </c>
      <c r="C28" s="21">
        <v>10</v>
      </c>
      <c r="D28" s="139">
        <f t="shared" si="0"/>
        <v>8.1999999999999993</v>
      </c>
      <c r="E28" s="20">
        <v>0</v>
      </c>
      <c r="F28" s="21">
        <v>0</v>
      </c>
      <c r="G28" s="139">
        <v>0</v>
      </c>
      <c r="H28" s="20"/>
      <c r="I28" s="21"/>
      <c r="J28" s="139" t="str">
        <f t="shared" si="41"/>
        <v>-</v>
      </c>
      <c r="K28" s="20">
        <v>40</v>
      </c>
      <c r="L28" s="21">
        <v>5</v>
      </c>
      <c r="M28" s="139">
        <f t="shared" si="42"/>
        <v>8</v>
      </c>
      <c r="N28" s="125">
        <v>0</v>
      </c>
      <c r="O28" s="126">
        <v>0</v>
      </c>
      <c r="P28" s="139" t="str">
        <f t="shared" si="43"/>
        <v>-</v>
      </c>
      <c r="Q28" s="125">
        <v>66</v>
      </c>
      <c r="R28" s="126">
        <v>9</v>
      </c>
      <c r="S28" s="139">
        <f t="shared" si="44"/>
        <v>7.333333333333333</v>
      </c>
      <c r="T28" s="125">
        <v>0</v>
      </c>
      <c r="U28" s="126">
        <v>0</v>
      </c>
      <c r="V28" s="139" t="str">
        <f t="shared" si="33"/>
        <v>-</v>
      </c>
      <c r="W28" s="125">
        <v>0</v>
      </c>
      <c r="X28" s="126">
        <v>0</v>
      </c>
      <c r="Y28" s="139" t="str">
        <f t="shared" si="34"/>
        <v>-</v>
      </c>
      <c r="Z28" s="125">
        <v>20</v>
      </c>
      <c r="AA28" s="126">
        <v>4</v>
      </c>
      <c r="AB28" s="139">
        <f t="shared" si="73"/>
        <v>5</v>
      </c>
      <c r="AC28" s="125">
        <v>50</v>
      </c>
      <c r="AD28" s="126">
        <v>9</v>
      </c>
      <c r="AE28" s="139">
        <f t="shared" si="74"/>
        <v>5.5555555555555554</v>
      </c>
      <c r="AF28" s="125">
        <v>0</v>
      </c>
      <c r="AG28" s="126">
        <v>0</v>
      </c>
      <c r="AH28" s="139" t="str">
        <f t="shared" si="75"/>
        <v>-</v>
      </c>
      <c r="AI28" s="125">
        <v>0</v>
      </c>
      <c r="AJ28" s="126">
        <v>0</v>
      </c>
      <c r="AK28" s="139" t="str">
        <f t="shared" ref="AK28:AK30" si="176">IF(AJ28=0,"-",AI28/AJ28)</f>
        <v>-</v>
      </c>
      <c r="AL28" s="125">
        <v>0</v>
      </c>
      <c r="AM28" s="126">
        <v>0</v>
      </c>
      <c r="AN28" s="139" t="str">
        <f t="shared" ref="AN28" si="177">IF(AM28=0,"-",AL28/AM28)</f>
        <v>-</v>
      </c>
      <c r="AO28" s="125">
        <v>0</v>
      </c>
      <c r="AP28" s="126">
        <v>0</v>
      </c>
      <c r="AQ28" s="139" t="str">
        <f t="shared" si="52"/>
        <v>-</v>
      </c>
      <c r="AR28" s="125">
        <v>0</v>
      </c>
      <c r="AS28" s="126">
        <v>0</v>
      </c>
      <c r="AT28" s="139" t="str">
        <f t="shared" si="81"/>
        <v>-</v>
      </c>
      <c r="AU28" s="125">
        <v>0</v>
      </c>
      <c r="AV28" s="126">
        <v>0</v>
      </c>
      <c r="AW28" s="139" t="str">
        <f t="shared" si="143"/>
        <v>-</v>
      </c>
      <c r="AX28" s="125">
        <v>4</v>
      </c>
      <c r="AY28" s="126">
        <v>1</v>
      </c>
      <c r="AZ28" s="139">
        <f t="shared" si="55"/>
        <v>4</v>
      </c>
      <c r="BA28" s="125">
        <v>0</v>
      </c>
      <c r="BB28" s="126">
        <v>0</v>
      </c>
      <c r="BC28" s="139" t="str">
        <f t="shared" ref="BC28:BC29" si="178">IF(BB28=0,"-",BA28/BB28)</f>
        <v>-</v>
      </c>
      <c r="BD28" s="125">
        <v>0</v>
      </c>
      <c r="BE28" s="126">
        <v>0</v>
      </c>
      <c r="BF28" s="139" t="str">
        <f t="shared" ref="BF28:BF29" si="179">IF(BE28=0,"-",BD28/BE28)</f>
        <v>-</v>
      </c>
      <c r="BG28" s="125">
        <v>0</v>
      </c>
      <c r="BH28" s="126">
        <v>0</v>
      </c>
      <c r="BI28" s="139" t="str">
        <f t="shared" ref="BI28:BI29" si="180">IF(BH28=0,"-",BG28/BH28)</f>
        <v>-</v>
      </c>
      <c r="BJ28" s="125">
        <v>20</v>
      </c>
      <c r="BK28" s="126">
        <v>3</v>
      </c>
      <c r="BL28" s="139">
        <f t="shared" si="94"/>
        <v>6.666666666666667</v>
      </c>
      <c r="BM28" s="125">
        <v>0</v>
      </c>
      <c r="BN28" s="126">
        <v>0</v>
      </c>
      <c r="BO28" s="139" t="str">
        <f t="shared" si="172"/>
        <v>-</v>
      </c>
      <c r="BP28" s="125">
        <v>0</v>
      </c>
      <c r="BQ28" s="126">
        <v>0</v>
      </c>
      <c r="BR28" s="139" t="str">
        <f t="shared" si="173"/>
        <v>-</v>
      </c>
      <c r="BS28" s="125">
        <v>0</v>
      </c>
      <c r="BT28" s="126">
        <v>0</v>
      </c>
      <c r="BU28" s="139" t="str">
        <f t="shared" si="174"/>
        <v>-</v>
      </c>
      <c r="BV28" s="125">
        <v>11</v>
      </c>
      <c r="BW28" s="126">
        <v>2</v>
      </c>
      <c r="BX28" s="139">
        <f t="shared" si="59"/>
        <v>5.5</v>
      </c>
      <c r="BY28" s="125">
        <v>0</v>
      </c>
      <c r="BZ28" s="126">
        <v>0</v>
      </c>
      <c r="CA28" s="139" t="str">
        <f t="shared" ref="CA28" si="181">IF(BZ28=0,"-",BY28/BZ28)</f>
        <v>-</v>
      </c>
      <c r="CB28" s="125">
        <v>0</v>
      </c>
      <c r="CC28" s="126">
        <v>0</v>
      </c>
      <c r="CD28" s="139" t="str">
        <f t="shared" ref="CD28" si="182">IF(CC28=0,"-",CB28/CC28)</f>
        <v>-</v>
      </c>
      <c r="CE28" s="125">
        <v>0</v>
      </c>
      <c r="CF28" s="126">
        <v>0</v>
      </c>
      <c r="CG28" s="139" t="str">
        <f t="shared" si="84"/>
        <v>-</v>
      </c>
      <c r="CH28" s="125">
        <v>0</v>
      </c>
      <c r="CI28" s="126">
        <v>0</v>
      </c>
      <c r="CJ28" s="139" t="str">
        <f t="shared" si="85"/>
        <v>-</v>
      </c>
      <c r="CK28" s="125">
        <v>0</v>
      </c>
      <c r="CL28" s="126">
        <v>0</v>
      </c>
      <c r="CM28" s="139" t="str">
        <f t="shared" si="86"/>
        <v>-</v>
      </c>
      <c r="CN28" s="117">
        <f t="shared" si="30"/>
        <v>293</v>
      </c>
      <c r="CO28" s="120">
        <f t="shared" si="31"/>
        <v>41</v>
      </c>
      <c r="CP28" s="147">
        <f t="shared" si="32"/>
        <v>7.1463414634146343</v>
      </c>
    </row>
    <row r="29" spans="1:94" ht="15" thickBot="1" x14ac:dyDescent="0.35">
      <c r="A29" s="294">
        <v>45682</v>
      </c>
      <c r="B29" s="20">
        <v>44</v>
      </c>
      <c r="C29" s="21">
        <v>6</v>
      </c>
      <c r="D29" s="139">
        <f t="shared" si="0"/>
        <v>7.333333333333333</v>
      </c>
      <c r="E29" s="20">
        <v>22</v>
      </c>
      <c r="F29" s="21">
        <v>3</v>
      </c>
      <c r="G29" s="139">
        <v>0</v>
      </c>
      <c r="H29" s="20"/>
      <c r="I29" s="21"/>
      <c r="J29" s="139" t="str">
        <f t="shared" si="41"/>
        <v>-</v>
      </c>
      <c r="K29" s="20">
        <v>0</v>
      </c>
      <c r="L29" s="21">
        <v>0</v>
      </c>
      <c r="M29" s="139" t="str">
        <f t="shared" si="42"/>
        <v>-</v>
      </c>
      <c r="N29" s="125">
        <v>0</v>
      </c>
      <c r="O29" s="126">
        <v>0</v>
      </c>
      <c r="P29" s="139" t="str">
        <f t="shared" si="43"/>
        <v>-</v>
      </c>
      <c r="Q29" s="125">
        <v>30</v>
      </c>
      <c r="R29" s="126">
        <v>5</v>
      </c>
      <c r="S29" s="139">
        <f t="shared" si="44"/>
        <v>6</v>
      </c>
      <c r="T29" s="125">
        <v>0</v>
      </c>
      <c r="U29" s="126">
        <v>0</v>
      </c>
      <c r="V29" s="139" t="str">
        <f t="shared" ref="V29:V30" si="183">IF(U29=0,"-",T29/U29)</f>
        <v>-</v>
      </c>
      <c r="W29" s="125">
        <v>0</v>
      </c>
      <c r="X29" s="126">
        <v>0</v>
      </c>
      <c r="Y29" s="139" t="str">
        <f t="shared" si="34"/>
        <v>-</v>
      </c>
      <c r="Z29" s="125">
        <v>0</v>
      </c>
      <c r="AA29" s="126">
        <v>0</v>
      </c>
      <c r="AB29" s="139" t="str">
        <f t="shared" si="73"/>
        <v>-</v>
      </c>
      <c r="AC29" s="125">
        <v>0</v>
      </c>
      <c r="AD29" s="126">
        <v>0</v>
      </c>
      <c r="AE29" s="139" t="str">
        <f t="shared" si="74"/>
        <v>-</v>
      </c>
      <c r="AF29" s="125">
        <v>0</v>
      </c>
      <c r="AG29" s="126">
        <v>0</v>
      </c>
      <c r="AH29" s="139" t="str">
        <f t="shared" si="75"/>
        <v>-</v>
      </c>
      <c r="AI29" s="125">
        <v>0</v>
      </c>
      <c r="AJ29" s="126">
        <v>0</v>
      </c>
      <c r="AK29" s="139" t="str">
        <f t="shared" si="176"/>
        <v>-</v>
      </c>
      <c r="AL29" s="125">
        <v>6</v>
      </c>
      <c r="AM29" s="126">
        <v>1</v>
      </c>
      <c r="AN29" s="139">
        <f t="shared" si="77"/>
        <v>6</v>
      </c>
      <c r="AO29" s="125">
        <v>0</v>
      </c>
      <c r="AP29" s="126">
        <v>0</v>
      </c>
      <c r="AQ29" s="139" t="str">
        <f t="shared" si="52"/>
        <v>-</v>
      </c>
      <c r="AR29" s="125">
        <v>4</v>
      </c>
      <c r="AS29" s="126">
        <v>1</v>
      </c>
      <c r="AT29" s="139">
        <f t="shared" si="81"/>
        <v>4</v>
      </c>
      <c r="AU29" s="125">
        <v>0</v>
      </c>
      <c r="AV29" s="126">
        <v>0</v>
      </c>
      <c r="AW29" s="139" t="str">
        <f t="shared" si="143"/>
        <v>-</v>
      </c>
      <c r="AX29" s="125">
        <v>0</v>
      </c>
      <c r="AY29" s="126">
        <v>0</v>
      </c>
      <c r="AZ29" s="139" t="str">
        <f t="shared" ref="AZ29" si="184">IF(AY29=0,"-",AX29/AY29)</f>
        <v>-</v>
      </c>
      <c r="BA29" s="125">
        <v>0</v>
      </c>
      <c r="BB29" s="126">
        <v>0</v>
      </c>
      <c r="BC29" s="139" t="str">
        <f t="shared" si="178"/>
        <v>-</v>
      </c>
      <c r="BD29" s="125">
        <v>0</v>
      </c>
      <c r="BE29" s="126">
        <v>0</v>
      </c>
      <c r="BF29" s="139" t="str">
        <f t="shared" si="179"/>
        <v>-</v>
      </c>
      <c r="BG29" s="125">
        <v>0</v>
      </c>
      <c r="BH29" s="126">
        <v>0</v>
      </c>
      <c r="BI29" s="139" t="str">
        <f t="shared" si="180"/>
        <v>-</v>
      </c>
      <c r="BJ29" s="125">
        <v>0</v>
      </c>
      <c r="BK29" s="126">
        <v>0</v>
      </c>
      <c r="BL29" s="139" t="str">
        <f t="shared" si="94"/>
        <v>-</v>
      </c>
      <c r="BM29" s="125">
        <v>0</v>
      </c>
      <c r="BN29" s="126">
        <v>0</v>
      </c>
      <c r="BO29" s="139" t="str">
        <f t="shared" si="172"/>
        <v>-</v>
      </c>
      <c r="BP29" s="125">
        <v>0</v>
      </c>
      <c r="BQ29" s="126">
        <v>0</v>
      </c>
      <c r="BR29" s="139" t="str">
        <f t="shared" si="173"/>
        <v>-</v>
      </c>
      <c r="BS29" s="125">
        <v>0</v>
      </c>
      <c r="BT29" s="126">
        <v>0</v>
      </c>
      <c r="BU29" s="139" t="str">
        <f t="shared" si="174"/>
        <v>-</v>
      </c>
      <c r="BV29" s="125">
        <v>0</v>
      </c>
      <c r="BW29" s="126">
        <v>0</v>
      </c>
      <c r="BX29" s="139" t="str">
        <f t="shared" si="59"/>
        <v>-</v>
      </c>
      <c r="BY29" s="125">
        <v>0</v>
      </c>
      <c r="BZ29" s="126">
        <v>0</v>
      </c>
      <c r="CA29" s="139" t="str">
        <f t="shared" si="60"/>
        <v>-</v>
      </c>
      <c r="CB29" s="125">
        <v>0</v>
      </c>
      <c r="CC29" s="126">
        <v>0</v>
      </c>
      <c r="CD29" s="139" t="str">
        <f t="shared" si="61"/>
        <v>-</v>
      </c>
      <c r="CE29" s="125">
        <v>0</v>
      </c>
      <c r="CF29" s="126">
        <v>0</v>
      </c>
      <c r="CG29" s="139" t="str">
        <f t="shared" si="84"/>
        <v>-</v>
      </c>
      <c r="CH29" s="125">
        <v>0</v>
      </c>
      <c r="CI29" s="126">
        <v>0</v>
      </c>
      <c r="CJ29" s="139" t="str">
        <f t="shared" si="85"/>
        <v>-</v>
      </c>
      <c r="CK29" s="125">
        <v>0</v>
      </c>
      <c r="CL29" s="126">
        <v>0</v>
      </c>
      <c r="CM29" s="139" t="str">
        <f t="shared" si="86"/>
        <v>-</v>
      </c>
      <c r="CN29" s="117">
        <f t="shared" si="30"/>
        <v>106</v>
      </c>
      <c r="CO29" s="120">
        <f t="shared" si="31"/>
        <v>15</v>
      </c>
      <c r="CP29" s="147">
        <f t="shared" si="32"/>
        <v>7.0666666666666664</v>
      </c>
    </row>
    <row r="30" spans="1:94" ht="15" thickBot="1" x14ac:dyDescent="0.35">
      <c r="A30" s="294">
        <v>45683</v>
      </c>
      <c r="B30" s="20">
        <v>14</v>
      </c>
      <c r="C30" s="21">
        <v>2</v>
      </c>
      <c r="D30" s="139">
        <f t="shared" si="0"/>
        <v>7</v>
      </c>
      <c r="E30" s="20">
        <v>8</v>
      </c>
      <c r="F30" s="21">
        <v>1</v>
      </c>
      <c r="G30" s="139">
        <v>0</v>
      </c>
      <c r="H30" s="20"/>
      <c r="I30" s="21"/>
      <c r="J30" s="139" t="str">
        <f t="shared" si="41"/>
        <v>-</v>
      </c>
      <c r="K30" s="20">
        <v>25</v>
      </c>
      <c r="L30" s="21">
        <v>4</v>
      </c>
      <c r="M30" s="139">
        <f t="shared" si="42"/>
        <v>6.25</v>
      </c>
      <c r="N30" s="125">
        <v>0</v>
      </c>
      <c r="O30" s="126">
        <v>0</v>
      </c>
      <c r="P30" s="139" t="str">
        <f t="shared" si="43"/>
        <v>-</v>
      </c>
      <c r="Q30" s="125">
        <v>0</v>
      </c>
      <c r="R30" s="126">
        <v>0</v>
      </c>
      <c r="S30" s="139" t="str">
        <f t="shared" si="44"/>
        <v>-</v>
      </c>
      <c r="T30" s="125">
        <v>0</v>
      </c>
      <c r="U30" s="126">
        <v>0</v>
      </c>
      <c r="V30" s="139" t="str">
        <f t="shared" si="183"/>
        <v>-</v>
      </c>
      <c r="W30" s="125">
        <v>0</v>
      </c>
      <c r="X30" s="126">
        <v>0</v>
      </c>
      <c r="Y30" s="139" t="str">
        <f t="shared" si="34"/>
        <v>-</v>
      </c>
      <c r="Z30" s="125">
        <v>0</v>
      </c>
      <c r="AA30" s="126">
        <v>0</v>
      </c>
      <c r="AB30" s="139" t="str">
        <f t="shared" si="73"/>
        <v>-</v>
      </c>
      <c r="AC30" s="125">
        <v>0</v>
      </c>
      <c r="AD30" s="126">
        <v>0</v>
      </c>
      <c r="AE30" s="139" t="str">
        <f t="shared" si="74"/>
        <v>-</v>
      </c>
      <c r="AF30" s="125">
        <v>0</v>
      </c>
      <c r="AG30" s="126">
        <v>0</v>
      </c>
      <c r="AH30" s="139" t="str">
        <f t="shared" si="75"/>
        <v>-</v>
      </c>
      <c r="AI30" s="125">
        <v>0</v>
      </c>
      <c r="AJ30" s="126">
        <v>0</v>
      </c>
      <c r="AK30" s="139" t="str">
        <f t="shared" si="176"/>
        <v>-</v>
      </c>
      <c r="AL30" s="125">
        <v>0</v>
      </c>
      <c r="AM30" s="126">
        <v>0</v>
      </c>
      <c r="AN30" s="139" t="str">
        <f t="shared" si="77"/>
        <v>-</v>
      </c>
      <c r="AO30" s="125">
        <v>0</v>
      </c>
      <c r="AP30" s="126">
        <v>0</v>
      </c>
      <c r="AQ30" s="139" t="str">
        <f t="shared" si="52"/>
        <v>-</v>
      </c>
      <c r="AR30" s="125">
        <v>0</v>
      </c>
      <c r="AS30" s="126">
        <v>0</v>
      </c>
      <c r="AT30" s="139" t="str">
        <f t="shared" si="81"/>
        <v>-</v>
      </c>
      <c r="AU30" s="125">
        <v>0</v>
      </c>
      <c r="AV30" s="126">
        <v>0</v>
      </c>
      <c r="AW30" s="139" t="str">
        <f t="shared" si="143"/>
        <v>-</v>
      </c>
      <c r="AX30" s="125">
        <v>0</v>
      </c>
      <c r="AY30" s="126">
        <v>0</v>
      </c>
      <c r="AZ30" s="139" t="str">
        <f t="shared" si="55"/>
        <v>-</v>
      </c>
      <c r="BA30" s="125">
        <v>0</v>
      </c>
      <c r="BB30" s="126">
        <v>0</v>
      </c>
      <c r="BC30" s="139" t="str">
        <f t="shared" si="157"/>
        <v>-</v>
      </c>
      <c r="BD30" s="125">
        <v>0</v>
      </c>
      <c r="BE30" s="126">
        <v>0</v>
      </c>
      <c r="BF30" s="139" t="str">
        <f t="shared" si="158"/>
        <v>-</v>
      </c>
      <c r="BG30" s="125">
        <v>0</v>
      </c>
      <c r="BH30" s="126">
        <v>0</v>
      </c>
      <c r="BI30" s="139" t="str">
        <f t="shared" si="83"/>
        <v>-</v>
      </c>
      <c r="BJ30" s="125">
        <v>6</v>
      </c>
      <c r="BK30" s="126">
        <v>1</v>
      </c>
      <c r="BL30" s="139">
        <f t="shared" si="94"/>
        <v>6</v>
      </c>
      <c r="BM30" s="125">
        <v>15</v>
      </c>
      <c r="BN30" s="126">
        <v>2</v>
      </c>
      <c r="BO30" s="139">
        <f t="shared" si="104"/>
        <v>7.5</v>
      </c>
      <c r="BP30" s="125">
        <v>30</v>
      </c>
      <c r="BQ30" s="126">
        <v>4</v>
      </c>
      <c r="BR30" s="139">
        <f t="shared" si="173"/>
        <v>7.5</v>
      </c>
      <c r="BS30" s="125">
        <v>6</v>
      </c>
      <c r="BT30" s="126">
        <v>1</v>
      </c>
      <c r="BU30" s="139">
        <f t="shared" si="106"/>
        <v>6</v>
      </c>
      <c r="BV30" s="125">
        <v>0</v>
      </c>
      <c r="BW30" s="126">
        <v>0</v>
      </c>
      <c r="BX30" s="139" t="str">
        <f t="shared" ref="BX30" si="185">IF(BW30=0,"-",BV30/BW30)</f>
        <v>-</v>
      </c>
      <c r="BY30" s="125">
        <v>0</v>
      </c>
      <c r="BZ30" s="126">
        <v>0</v>
      </c>
      <c r="CA30" s="139" t="str">
        <f t="shared" ref="CA30" si="186">IF(BZ30=0,"-",BY30/BZ30)</f>
        <v>-</v>
      </c>
      <c r="CB30" s="125">
        <v>0</v>
      </c>
      <c r="CC30" s="126">
        <v>0</v>
      </c>
      <c r="CD30" s="139" t="str">
        <f t="shared" ref="CD30" si="187">IF(CC30=0,"-",CB30/CC30)</f>
        <v>-</v>
      </c>
      <c r="CE30" s="125">
        <v>0</v>
      </c>
      <c r="CF30" s="126">
        <v>0</v>
      </c>
      <c r="CG30" s="139" t="str">
        <f t="shared" si="84"/>
        <v>-</v>
      </c>
      <c r="CH30" s="125">
        <v>0</v>
      </c>
      <c r="CI30" s="126">
        <v>0</v>
      </c>
      <c r="CJ30" s="139" t="str">
        <f t="shared" si="85"/>
        <v>-</v>
      </c>
      <c r="CK30" s="125">
        <v>0</v>
      </c>
      <c r="CL30" s="126">
        <v>0</v>
      </c>
      <c r="CM30" s="139" t="str">
        <f t="shared" si="86"/>
        <v>-</v>
      </c>
      <c r="CN30" s="117">
        <f t="shared" si="30"/>
        <v>104</v>
      </c>
      <c r="CO30" s="120">
        <f t="shared" si="31"/>
        <v>15</v>
      </c>
      <c r="CP30" s="147">
        <f t="shared" si="32"/>
        <v>6.9333333333333336</v>
      </c>
    </row>
    <row r="31" spans="1:94" ht="15" thickBot="1" x14ac:dyDescent="0.35">
      <c r="A31" s="294">
        <v>45684</v>
      </c>
      <c r="B31" s="20">
        <v>26</v>
      </c>
      <c r="C31" s="21">
        <v>3</v>
      </c>
      <c r="D31" s="139">
        <f t="shared" si="0"/>
        <v>8.6666666666666661</v>
      </c>
      <c r="E31" s="20">
        <v>0</v>
      </c>
      <c r="F31" s="21">
        <v>0</v>
      </c>
      <c r="G31" s="139">
        <v>0</v>
      </c>
      <c r="H31" s="20"/>
      <c r="I31" s="21"/>
      <c r="J31" s="139" t="str">
        <f t="shared" si="41"/>
        <v>-</v>
      </c>
      <c r="K31" s="20">
        <v>7</v>
      </c>
      <c r="L31" s="21">
        <v>1</v>
      </c>
      <c r="M31" s="139">
        <f t="shared" si="42"/>
        <v>7</v>
      </c>
      <c r="N31" s="125">
        <v>0</v>
      </c>
      <c r="O31" s="126">
        <v>0</v>
      </c>
      <c r="P31" s="139" t="str">
        <f t="shared" si="43"/>
        <v>-</v>
      </c>
      <c r="Q31" s="125">
        <v>61</v>
      </c>
      <c r="R31" s="126">
        <v>11</v>
      </c>
      <c r="S31" s="139">
        <f t="shared" si="44"/>
        <v>5.5454545454545459</v>
      </c>
      <c r="T31" s="125">
        <v>0</v>
      </c>
      <c r="U31" s="126">
        <v>0</v>
      </c>
      <c r="V31" s="139" t="str">
        <f t="shared" ref="V31" si="188">IF(U31=0,"-",T31/U31)</f>
        <v>-</v>
      </c>
      <c r="W31" s="125">
        <v>0</v>
      </c>
      <c r="X31" s="126">
        <v>0</v>
      </c>
      <c r="Y31" s="139" t="str">
        <f t="shared" si="34"/>
        <v>-</v>
      </c>
      <c r="Z31" s="125">
        <v>40</v>
      </c>
      <c r="AA31" s="126">
        <v>8</v>
      </c>
      <c r="AB31" s="139">
        <f t="shared" si="73"/>
        <v>5</v>
      </c>
      <c r="AC31" s="125">
        <v>0</v>
      </c>
      <c r="AD31" s="126">
        <v>0</v>
      </c>
      <c r="AE31" s="139" t="str">
        <f t="shared" ref="AE31" si="189">IF(AD31=0,"-",AC31/AD31)</f>
        <v>-</v>
      </c>
      <c r="AF31" s="125">
        <v>0</v>
      </c>
      <c r="AG31" s="126">
        <v>0</v>
      </c>
      <c r="AH31" s="139" t="str">
        <f t="shared" ref="AH31" si="190">IF(AG31=0,"-",AF31/AG31)</f>
        <v>-</v>
      </c>
      <c r="AI31" s="125">
        <v>0</v>
      </c>
      <c r="AJ31" s="126">
        <v>0</v>
      </c>
      <c r="AK31" s="139" t="str">
        <f t="shared" ref="AK31" si="191">IF(AJ31=0,"-",AI31/AJ31)</f>
        <v>-</v>
      </c>
      <c r="AL31" s="125">
        <v>0</v>
      </c>
      <c r="AM31" s="126">
        <v>0</v>
      </c>
      <c r="AN31" s="139" t="str">
        <f t="shared" ref="AN31" si="192">IF(AM31=0,"-",AL31/AM31)</f>
        <v>-</v>
      </c>
      <c r="AO31" s="125">
        <v>0</v>
      </c>
      <c r="AP31" s="126">
        <v>0</v>
      </c>
      <c r="AQ31" s="139" t="str">
        <f t="shared" si="52"/>
        <v>-</v>
      </c>
      <c r="AR31" s="125">
        <v>0</v>
      </c>
      <c r="AS31" s="126">
        <v>0</v>
      </c>
      <c r="AT31" s="139" t="str">
        <f t="shared" ref="AT31" si="193">IF(AS31=0,"-",AR31/AS31)</f>
        <v>-</v>
      </c>
      <c r="AU31" s="125">
        <v>0</v>
      </c>
      <c r="AV31" s="126">
        <v>0</v>
      </c>
      <c r="AW31" s="139" t="str">
        <f t="shared" ref="AW31" si="194">IF(AV31=0,"-",AU31/AV31)</f>
        <v>-</v>
      </c>
      <c r="AX31" s="125">
        <v>0</v>
      </c>
      <c r="AY31" s="126">
        <v>0</v>
      </c>
      <c r="AZ31" s="139" t="str">
        <f t="shared" ref="AZ31" si="195">IF(AY31=0,"-",AX31/AY31)</f>
        <v>-</v>
      </c>
      <c r="BA31" s="125">
        <v>0</v>
      </c>
      <c r="BB31" s="126">
        <v>0</v>
      </c>
      <c r="BC31" s="139" t="str">
        <f t="shared" ref="BC31" si="196">IF(BB31=0,"-",BA31/BB31)</f>
        <v>-</v>
      </c>
      <c r="BD31" s="125">
        <v>0</v>
      </c>
      <c r="BE31" s="126">
        <v>0</v>
      </c>
      <c r="BF31" s="139" t="str">
        <f t="shared" ref="BF31" si="197">IF(BE31=0,"-",BD31/BE31)</f>
        <v>-</v>
      </c>
      <c r="BG31" s="125">
        <v>0</v>
      </c>
      <c r="BH31" s="126">
        <v>0</v>
      </c>
      <c r="BI31" s="139" t="str">
        <f t="shared" ref="BI31" si="198">IF(BH31=0,"-",BG31/BH31)</f>
        <v>-</v>
      </c>
      <c r="BJ31" s="125">
        <v>15</v>
      </c>
      <c r="BK31" s="126">
        <v>4</v>
      </c>
      <c r="BL31" s="139">
        <f t="shared" si="94"/>
        <v>3.75</v>
      </c>
      <c r="BM31" s="125">
        <v>0</v>
      </c>
      <c r="BN31" s="126">
        <v>0</v>
      </c>
      <c r="BO31" s="139" t="str">
        <f t="shared" si="104"/>
        <v>-</v>
      </c>
      <c r="BP31" s="125">
        <v>0</v>
      </c>
      <c r="BQ31" s="126">
        <v>0</v>
      </c>
      <c r="BR31" s="139" t="str">
        <f t="shared" si="105"/>
        <v>-</v>
      </c>
      <c r="BS31" s="125">
        <v>0</v>
      </c>
      <c r="BT31" s="126">
        <v>0</v>
      </c>
      <c r="BU31" s="139" t="str">
        <f t="shared" si="106"/>
        <v>-</v>
      </c>
      <c r="BV31" s="125">
        <v>0</v>
      </c>
      <c r="BW31" s="126">
        <v>0</v>
      </c>
      <c r="BX31" s="139" t="str">
        <f t="shared" ref="BX31" si="199">IF(BW31=0,"-",BV31/BW31)</f>
        <v>-</v>
      </c>
      <c r="BY31" s="125">
        <v>0</v>
      </c>
      <c r="BZ31" s="126">
        <v>0</v>
      </c>
      <c r="CA31" s="139" t="str">
        <f t="shared" ref="CA31" si="200">IF(BZ31=0,"-",BY31/BZ31)</f>
        <v>-</v>
      </c>
      <c r="CB31" s="125">
        <v>0</v>
      </c>
      <c r="CC31" s="126">
        <v>0</v>
      </c>
      <c r="CD31" s="139" t="str">
        <f t="shared" ref="CD31" si="201">IF(CC31=0,"-",CB31/CC31)</f>
        <v>-</v>
      </c>
      <c r="CE31" s="125">
        <v>6</v>
      </c>
      <c r="CF31" s="126">
        <v>1</v>
      </c>
      <c r="CG31" s="139">
        <f t="shared" si="84"/>
        <v>6</v>
      </c>
      <c r="CH31" s="125">
        <v>0</v>
      </c>
      <c r="CI31" s="126">
        <v>0</v>
      </c>
      <c r="CJ31" s="139" t="str">
        <f t="shared" si="85"/>
        <v>-</v>
      </c>
      <c r="CK31" s="125">
        <v>0</v>
      </c>
      <c r="CL31" s="126">
        <v>0</v>
      </c>
      <c r="CM31" s="139" t="str">
        <f t="shared" si="86"/>
        <v>-</v>
      </c>
      <c r="CN31" s="117">
        <f t="shared" si="30"/>
        <v>155</v>
      </c>
      <c r="CO31" s="120">
        <f t="shared" si="31"/>
        <v>28</v>
      </c>
      <c r="CP31" s="147">
        <f t="shared" si="32"/>
        <v>5.5357142857142856</v>
      </c>
    </row>
    <row r="32" spans="1:94" ht="15" thickBot="1" x14ac:dyDescent="0.35">
      <c r="A32" s="294">
        <v>45685</v>
      </c>
      <c r="B32" s="20">
        <v>73</v>
      </c>
      <c r="C32" s="21">
        <v>8</v>
      </c>
      <c r="D32" s="139">
        <f t="shared" si="0"/>
        <v>9.125</v>
      </c>
      <c r="E32" s="20">
        <v>9</v>
      </c>
      <c r="F32" s="21">
        <v>1</v>
      </c>
      <c r="G32" s="139">
        <v>0</v>
      </c>
      <c r="H32" s="20"/>
      <c r="I32" s="21"/>
      <c r="J32" s="139" t="str">
        <f t="shared" si="41"/>
        <v>-</v>
      </c>
      <c r="K32" s="20">
        <v>33</v>
      </c>
      <c r="L32" s="21">
        <v>4</v>
      </c>
      <c r="M32" s="139">
        <f t="shared" si="42"/>
        <v>8.25</v>
      </c>
      <c r="N32" s="125">
        <v>0</v>
      </c>
      <c r="O32" s="126">
        <v>0</v>
      </c>
      <c r="P32" s="139" t="str">
        <f t="shared" ref="P32" si="202">IF(O32=0,"-",N32/O32)</f>
        <v>-</v>
      </c>
      <c r="Q32" s="125">
        <v>80</v>
      </c>
      <c r="R32" s="126">
        <v>14</v>
      </c>
      <c r="S32" s="139">
        <f t="shared" si="44"/>
        <v>5.7142857142857144</v>
      </c>
      <c r="T32" s="125">
        <v>0</v>
      </c>
      <c r="U32" s="126">
        <v>0</v>
      </c>
      <c r="V32" s="139" t="str">
        <f t="shared" ref="V32" si="203">IF(U32=0,"-",T32/U32)</f>
        <v>-</v>
      </c>
      <c r="W32" s="125">
        <v>0</v>
      </c>
      <c r="X32" s="126">
        <v>0</v>
      </c>
      <c r="Y32" s="139" t="str">
        <f t="shared" si="34"/>
        <v>-</v>
      </c>
      <c r="Z32" s="125">
        <v>30</v>
      </c>
      <c r="AA32" s="126">
        <v>6</v>
      </c>
      <c r="AB32" s="139">
        <f t="shared" si="73"/>
        <v>5</v>
      </c>
      <c r="AC32" s="125">
        <v>0</v>
      </c>
      <c r="AD32" s="126">
        <v>0</v>
      </c>
      <c r="AE32" s="139" t="str">
        <f t="shared" ref="AE32" si="204">IF(AD32=0,"-",AC32/AD32)</f>
        <v>-</v>
      </c>
      <c r="AF32" s="125">
        <v>0</v>
      </c>
      <c r="AG32" s="126">
        <v>0</v>
      </c>
      <c r="AH32" s="139" t="str">
        <f t="shared" ref="AH32" si="205">IF(AG32=0,"-",AF32/AG32)</f>
        <v>-</v>
      </c>
      <c r="AI32" s="125">
        <v>0</v>
      </c>
      <c r="AJ32" s="126">
        <v>0</v>
      </c>
      <c r="AK32" s="139" t="str">
        <f t="shared" ref="AK32" si="206">IF(AJ32=0,"-",AI32/AJ32)</f>
        <v>-</v>
      </c>
      <c r="AL32" s="125">
        <v>0</v>
      </c>
      <c r="AM32" s="126">
        <v>0</v>
      </c>
      <c r="AN32" s="139" t="str">
        <f t="shared" ref="AN32" si="207">IF(AM32=0,"-",AL32/AM32)</f>
        <v>-</v>
      </c>
      <c r="AO32" s="125">
        <v>0</v>
      </c>
      <c r="AP32" s="126">
        <v>0</v>
      </c>
      <c r="AQ32" s="139" t="str">
        <f t="shared" si="52"/>
        <v>-</v>
      </c>
      <c r="AR32" s="125">
        <v>2</v>
      </c>
      <c r="AS32" s="126">
        <v>1</v>
      </c>
      <c r="AT32" s="139">
        <f t="shared" si="81"/>
        <v>2</v>
      </c>
      <c r="AU32" s="125">
        <v>0</v>
      </c>
      <c r="AV32" s="126">
        <v>0</v>
      </c>
      <c r="AW32" s="139" t="str">
        <f t="shared" si="143"/>
        <v>-</v>
      </c>
      <c r="AX32" s="125">
        <v>7</v>
      </c>
      <c r="AY32" s="126">
        <v>1</v>
      </c>
      <c r="AZ32" s="139">
        <f t="shared" si="55"/>
        <v>7</v>
      </c>
      <c r="BA32" s="125">
        <v>0</v>
      </c>
      <c r="BB32" s="126">
        <v>0</v>
      </c>
      <c r="BC32" s="139" t="str">
        <f t="shared" si="157"/>
        <v>-</v>
      </c>
      <c r="BD32" s="125">
        <v>0</v>
      </c>
      <c r="BE32" s="126">
        <v>0</v>
      </c>
      <c r="BF32" s="139" t="str">
        <f t="shared" si="158"/>
        <v>-</v>
      </c>
      <c r="BG32" s="125">
        <v>0</v>
      </c>
      <c r="BH32" s="126">
        <v>0</v>
      </c>
      <c r="BI32" s="139" t="str">
        <f t="shared" si="83"/>
        <v>-</v>
      </c>
      <c r="BJ32" s="125">
        <v>13</v>
      </c>
      <c r="BK32" s="126">
        <v>2</v>
      </c>
      <c r="BL32" s="139">
        <f t="shared" si="94"/>
        <v>6.5</v>
      </c>
      <c r="BM32" s="125">
        <v>0</v>
      </c>
      <c r="BN32" s="126">
        <v>0</v>
      </c>
      <c r="BO32" s="139" t="str">
        <f t="shared" ref="BO32" si="208">IF(BN32=0,"-",BM32/BN32)</f>
        <v>-</v>
      </c>
      <c r="BP32" s="125">
        <v>0</v>
      </c>
      <c r="BQ32" s="126">
        <v>0</v>
      </c>
      <c r="BR32" s="139" t="str">
        <f t="shared" ref="BR32" si="209">IF(BQ32=0,"-",BP32/BQ32)</f>
        <v>-</v>
      </c>
      <c r="BS32" s="125">
        <v>0</v>
      </c>
      <c r="BT32" s="126">
        <v>0</v>
      </c>
      <c r="BU32" s="139" t="str">
        <f t="shared" ref="BU32" si="210">IF(BT32=0,"-",BS32/BT32)</f>
        <v>-</v>
      </c>
      <c r="BV32" s="125">
        <v>0</v>
      </c>
      <c r="BW32" s="126">
        <v>0</v>
      </c>
      <c r="BX32" s="139" t="str">
        <f t="shared" ref="BX32" si="211">IF(BW32=0,"-",BV32/BW32)</f>
        <v>-</v>
      </c>
      <c r="BY32" s="125">
        <v>0</v>
      </c>
      <c r="BZ32" s="126">
        <v>0</v>
      </c>
      <c r="CA32" s="139" t="str">
        <f t="shared" ref="CA32" si="212">IF(BZ32=0,"-",BY32/BZ32)</f>
        <v>-</v>
      </c>
      <c r="CB32" s="125">
        <v>0</v>
      </c>
      <c r="CC32" s="126">
        <v>0</v>
      </c>
      <c r="CD32" s="139" t="str">
        <f t="shared" ref="CD32" si="213">IF(CC32=0,"-",CB32/CC32)</f>
        <v>-</v>
      </c>
      <c r="CE32" s="125">
        <v>28</v>
      </c>
      <c r="CF32" s="126">
        <v>4</v>
      </c>
      <c r="CG32" s="139">
        <f t="shared" si="84"/>
        <v>7</v>
      </c>
      <c r="CH32" s="125">
        <v>0</v>
      </c>
      <c r="CI32" s="126">
        <v>0</v>
      </c>
      <c r="CJ32" s="139" t="str">
        <f t="shared" si="85"/>
        <v>-</v>
      </c>
      <c r="CK32" s="125">
        <v>0</v>
      </c>
      <c r="CL32" s="126">
        <v>0</v>
      </c>
      <c r="CM32" s="139" t="str">
        <f t="shared" si="86"/>
        <v>-</v>
      </c>
      <c r="CN32" s="117">
        <f t="shared" si="30"/>
        <v>275</v>
      </c>
      <c r="CO32" s="120">
        <f t="shared" si="31"/>
        <v>41</v>
      </c>
      <c r="CP32" s="147">
        <f t="shared" si="32"/>
        <v>6.7073170731707314</v>
      </c>
    </row>
    <row r="33" spans="1:94" ht="15" thickBot="1" x14ac:dyDescent="0.35">
      <c r="A33" s="294">
        <v>45686</v>
      </c>
      <c r="B33" s="20">
        <v>68</v>
      </c>
      <c r="C33" s="21">
        <v>8</v>
      </c>
      <c r="D33" s="139">
        <f t="shared" si="0"/>
        <v>8.5</v>
      </c>
      <c r="E33" s="20">
        <v>0</v>
      </c>
      <c r="F33" s="21">
        <v>0</v>
      </c>
      <c r="G33" s="139">
        <v>0</v>
      </c>
      <c r="H33" s="20"/>
      <c r="I33" s="21"/>
      <c r="J33" s="139" t="str">
        <f t="shared" si="41"/>
        <v>-</v>
      </c>
      <c r="K33" s="20">
        <v>32</v>
      </c>
      <c r="L33" s="21">
        <v>4</v>
      </c>
      <c r="M33" s="139">
        <f t="shared" si="42"/>
        <v>8</v>
      </c>
      <c r="N33" s="125">
        <v>0</v>
      </c>
      <c r="O33" s="126">
        <v>0</v>
      </c>
      <c r="P33" s="139" t="str">
        <f t="shared" si="43"/>
        <v>-</v>
      </c>
      <c r="Q33" s="125">
        <v>51</v>
      </c>
      <c r="R33" s="126">
        <v>9</v>
      </c>
      <c r="S33" s="139">
        <f t="shared" si="44"/>
        <v>5.666666666666667</v>
      </c>
      <c r="T33" s="125">
        <v>0</v>
      </c>
      <c r="U33" s="126">
        <v>0</v>
      </c>
      <c r="V33" s="139" t="str">
        <f t="shared" ref="V33" si="214">IF(U33=0,"-",T33/U33)</f>
        <v>-</v>
      </c>
      <c r="W33" s="125">
        <v>0</v>
      </c>
      <c r="X33" s="126">
        <v>0</v>
      </c>
      <c r="Y33" s="139" t="str">
        <f t="shared" si="34"/>
        <v>-</v>
      </c>
      <c r="Z33" s="125">
        <v>40</v>
      </c>
      <c r="AA33" s="126">
        <v>8</v>
      </c>
      <c r="AB33" s="139">
        <f t="shared" si="73"/>
        <v>5</v>
      </c>
      <c r="AC33" s="125">
        <v>0</v>
      </c>
      <c r="AD33" s="126">
        <v>0</v>
      </c>
      <c r="AE33" s="139" t="str">
        <f t="shared" ref="AE33" si="215">IF(AD33=0,"-",AC33/AD33)</f>
        <v>-</v>
      </c>
      <c r="AF33" s="125">
        <v>0</v>
      </c>
      <c r="AG33" s="126">
        <v>0</v>
      </c>
      <c r="AH33" s="139" t="str">
        <f t="shared" ref="AH33" si="216">IF(AG33=0,"-",AF33/AG33)</f>
        <v>-</v>
      </c>
      <c r="AI33" s="125">
        <v>0</v>
      </c>
      <c r="AJ33" s="126">
        <v>0</v>
      </c>
      <c r="AK33" s="139" t="str">
        <f t="shared" ref="AK33" si="217">IF(AJ33=0,"-",AI33/AJ33)</f>
        <v>-</v>
      </c>
      <c r="AL33" s="125">
        <v>0</v>
      </c>
      <c r="AM33" s="126">
        <v>0</v>
      </c>
      <c r="AN33" s="139" t="str">
        <f t="shared" ref="AN33" si="218">IF(AM33=0,"-",AL33/AM33)</f>
        <v>-</v>
      </c>
      <c r="AO33" s="125">
        <v>0</v>
      </c>
      <c r="AP33" s="126">
        <v>0</v>
      </c>
      <c r="AQ33" s="139" t="str">
        <f t="shared" si="52"/>
        <v>-</v>
      </c>
      <c r="AR33" s="125">
        <v>0</v>
      </c>
      <c r="AS33" s="126">
        <v>0</v>
      </c>
      <c r="AT33" s="139" t="str">
        <f t="shared" si="81"/>
        <v>-</v>
      </c>
      <c r="AU33" s="125">
        <v>0</v>
      </c>
      <c r="AV33" s="126">
        <v>0</v>
      </c>
      <c r="AW33" s="139" t="str">
        <f t="shared" si="143"/>
        <v>-</v>
      </c>
      <c r="AX33" s="125">
        <v>0</v>
      </c>
      <c r="AY33" s="126">
        <v>0</v>
      </c>
      <c r="AZ33" s="139" t="str">
        <f t="shared" si="55"/>
        <v>-</v>
      </c>
      <c r="BA33" s="125">
        <v>0</v>
      </c>
      <c r="BB33" s="126">
        <v>0</v>
      </c>
      <c r="BC33" s="139" t="str">
        <f t="shared" si="157"/>
        <v>-</v>
      </c>
      <c r="BD33" s="125">
        <v>0</v>
      </c>
      <c r="BE33" s="126">
        <v>0</v>
      </c>
      <c r="BF33" s="139" t="str">
        <f t="shared" si="158"/>
        <v>-</v>
      </c>
      <c r="BG33" s="125">
        <v>0</v>
      </c>
      <c r="BH33" s="126">
        <v>0</v>
      </c>
      <c r="BI33" s="139" t="str">
        <f t="shared" si="83"/>
        <v>-</v>
      </c>
      <c r="BJ33" s="125">
        <v>15</v>
      </c>
      <c r="BK33" s="126">
        <v>2</v>
      </c>
      <c r="BL33" s="139">
        <f t="shared" si="94"/>
        <v>7.5</v>
      </c>
      <c r="BM33" s="125">
        <v>9</v>
      </c>
      <c r="BN33" s="126">
        <v>1</v>
      </c>
      <c r="BO33" s="139">
        <f t="shared" si="104"/>
        <v>9</v>
      </c>
      <c r="BP33" s="125">
        <v>0</v>
      </c>
      <c r="BQ33" s="126">
        <v>0</v>
      </c>
      <c r="BR33" s="139" t="str">
        <f t="shared" ref="BR33:BR35" si="219">IF(BQ33=0,"-",BP33/BQ33)</f>
        <v>-</v>
      </c>
      <c r="BS33" s="125">
        <v>0</v>
      </c>
      <c r="BT33" s="126">
        <v>0</v>
      </c>
      <c r="BU33" s="139" t="str">
        <f t="shared" ref="BU33" si="220">IF(BT33=0,"-",BS33/BT33)</f>
        <v>-</v>
      </c>
      <c r="BV33" s="125">
        <v>2</v>
      </c>
      <c r="BW33" s="126">
        <v>1</v>
      </c>
      <c r="BX33" s="139">
        <f t="shared" si="59"/>
        <v>2</v>
      </c>
      <c r="BY33" s="125">
        <v>0</v>
      </c>
      <c r="BZ33" s="126">
        <v>0</v>
      </c>
      <c r="CA33" s="139" t="str">
        <f t="shared" ref="CA33:CA35" si="221">IF(BZ33=0,"-",BY33/BZ33)</f>
        <v>-</v>
      </c>
      <c r="CB33" s="125">
        <v>0</v>
      </c>
      <c r="CC33" s="126">
        <v>0</v>
      </c>
      <c r="CD33" s="139" t="str">
        <f t="shared" ref="CD33:CD35" si="222">IF(CC33=0,"-",CB33/CC33)</f>
        <v>-</v>
      </c>
      <c r="CE33" s="125">
        <v>0</v>
      </c>
      <c r="CF33" s="126">
        <v>0</v>
      </c>
      <c r="CG33" s="139" t="str">
        <f t="shared" si="84"/>
        <v>-</v>
      </c>
      <c r="CH33" s="125">
        <v>0</v>
      </c>
      <c r="CI33" s="126">
        <v>0</v>
      </c>
      <c r="CJ33" s="139" t="str">
        <f t="shared" si="85"/>
        <v>-</v>
      </c>
      <c r="CK33" s="125">
        <v>0</v>
      </c>
      <c r="CL33" s="126">
        <v>0</v>
      </c>
      <c r="CM33" s="139" t="str">
        <f t="shared" si="86"/>
        <v>-</v>
      </c>
      <c r="CN33" s="117">
        <f t="shared" si="30"/>
        <v>217</v>
      </c>
      <c r="CO33" s="120">
        <f t="shared" si="31"/>
        <v>32</v>
      </c>
      <c r="CP33" s="147">
        <f t="shared" si="32"/>
        <v>6.78125</v>
      </c>
    </row>
    <row r="34" spans="1:94" ht="15" thickBot="1" x14ac:dyDescent="0.35">
      <c r="A34" s="294">
        <v>45687</v>
      </c>
      <c r="B34" s="20">
        <v>16</v>
      </c>
      <c r="C34" s="21">
        <v>2</v>
      </c>
      <c r="D34" s="139">
        <f t="shared" si="0"/>
        <v>8</v>
      </c>
      <c r="E34" s="20">
        <v>0</v>
      </c>
      <c r="F34" s="21">
        <v>0</v>
      </c>
      <c r="G34" s="139">
        <v>0</v>
      </c>
      <c r="H34" s="20"/>
      <c r="I34" s="21"/>
      <c r="J34" s="139" t="str">
        <f t="shared" si="41"/>
        <v>-</v>
      </c>
      <c r="K34" s="20">
        <v>0</v>
      </c>
      <c r="L34" s="21">
        <v>0</v>
      </c>
      <c r="M34" s="139" t="str">
        <f t="shared" si="42"/>
        <v>-</v>
      </c>
      <c r="N34" s="125">
        <v>0</v>
      </c>
      <c r="O34" s="126">
        <v>0</v>
      </c>
      <c r="P34" s="139" t="str">
        <f t="shared" si="43"/>
        <v>-</v>
      </c>
      <c r="Q34" s="125">
        <v>26</v>
      </c>
      <c r="R34" s="126">
        <v>5</v>
      </c>
      <c r="S34" s="139">
        <f t="shared" si="44"/>
        <v>5.2</v>
      </c>
      <c r="T34" s="125">
        <v>0</v>
      </c>
      <c r="U34" s="126">
        <v>0</v>
      </c>
      <c r="V34" s="139" t="str">
        <f t="shared" si="33"/>
        <v>-</v>
      </c>
      <c r="W34" s="125">
        <v>0</v>
      </c>
      <c r="X34" s="126">
        <v>0</v>
      </c>
      <c r="Y34" s="139" t="str">
        <f t="shared" si="34"/>
        <v>-</v>
      </c>
      <c r="Z34" s="125">
        <v>35</v>
      </c>
      <c r="AA34" s="126">
        <v>7</v>
      </c>
      <c r="AB34" s="139">
        <f t="shared" si="73"/>
        <v>5</v>
      </c>
      <c r="AC34" s="125">
        <v>0</v>
      </c>
      <c r="AD34" s="126">
        <v>0</v>
      </c>
      <c r="AE34" s="139" t="str">
        <f t="shared" ref="AE34" si="223">IF(AD34=0,"-",AC34/AD34)</f>
        <v>-</v>
      </c>
      <c r="AF34" s="125">
        <v>6</v>
      </c>
      <c r="AG34" s="126">
        <v>1</v>
      </c>
      <c r="AH34" s="139">
        <f t="shared" si="75"/>
        <v>6</v>
      </c>
      <c r="AI34" s="125">
        <v>6</v>
      </c>
      <c r="AJ34" s="126">
        <v>1</v>
      </c>
      <c r="AK34" s="139">
        <f t="shared" si="76"/>
        <v>6</v>
      </c>
      <c r="AL34" s="125">
        <v>6</v>
      </c>
      <c r="AM34" s="126">
        <v>1</v>
      </c>
      <c r="AN34" s="139">
        <f t="shared" si="77"/>
        <v>6</v>
      </c>
      <c r="AO34" s="125">
        <v>0</v>
      </c>
      <c r="AP34" s="126">
        <v>0</v>
      </c>
      <c r="AQ34" s="139" t="str">
        <f t="shared" si="52"/>
        <v>-</v>
      </c>
      <c r="AR34" s="125">
        <v>7</v>
      </c>
      <c r="AS34" s="126">
        <v>1</v>
      </c>
      <c r="AT34" s="139">
        <f t="shared" si="81"/>
        <v>7</v>
      </c>
      <c r="AU34" s="125">
        <v>0</v>
      </c>
      <c r="AV34" s="126">
        <v>0</v>
      </c>
      <c r="AW34" s="139" t="str">
        <f t="shared" si="143"/>
        <v>-</v>
      </c>
      <c r="AX34" s="125">
        <v>0</v>
      </c>
      <c r="AY34" s="126">
        <v>0</v>
      </c>
      <c r="AZ34" s="139" t="str">
        <f t="shared" ref="AZ34" si="224">IF(AY34=0,"-",AX34/AY34)</f>
        <v>-</v>
      </c>
      <c r="BA34" s="125">
        <v>0</v>
      </c>
      <c r="BB34" s="126">
        <v>0</v>
      </c>
      <c r="BC34" s="139" t="str">
        <f t="shared" ref="BC34" si="225">IF(BB34=0,"-",BA34/BB34)</f>
        <v>-</v>
      </c>
      <c r="BD34" s="125">
        <v>0</v>
      </c>
      <c r="BE34" s="126">
        <v>0</v>
      </c>
      <c r="BF34" s="139" t="str">
        <f t="shared" ref="BF34" si="226">IF(BE34=0,"-",BD34/BE34)</f>
        <v>-</v>
      </c>
      <c r="BG34" s="125">
        <v>0</v>
      </c>
      <c r="BH34" s="126">
        <v>0</v>
      </c>
      <c r="BI34" s="139" t="str">
        <f t="shared" ref="BI34" si="227">IF(BH34=0,"-",BG34/BH34)</f>
        <v>-</v>
      </c>
      <c r="BJ34" s="125">
        <v>29</v>
      </c>
      <c r="BK34" s="126">
        <v>4</v>
      </c>
      <c r="BL34" s="139">
        <f t="shared" si="94"/>
        <v>7.25</v>
      </c>
      <c r="BM34" s="125">
        <v>18</v>
      </c>
      <c r="BN34" s="126">
        <v>2</v>
      </c>
      <c r="BO34" s="139">
        <f t="shared" si="104"/>
        <v>9</v>
      </c>
      <c r="BP34" s="125">
        <v>0</v>
      </c>
      <c r="BQ34" s="126">
        <v>0</v>
      </c>
      <c r="BR34" s="139" t="str">
        <f t="shared" si="219"/>
        <v>-</v>
      </c>
      <c r="BS34" s="125">
        <v>13</v>
      </c>
      <c r="BT34" s="126">
        <v>2</v>
      </c>
      <c r="BU34" s="139">
        <f t="shared" si="106"/>
        <v>6.5</v>
      </c>
      <c r="BV34" s="125">
        <v>1</v>
      </c>
      <c r="BW34" s="126">
        <v>1</v>
      </c>
      <c r="BX34" s="139">
        <f t="shared" si="59"/>
        <v>1</v>
      </c>
      <c r="BY34" s="125">
        <v>0</v>
      </c>
      <c r="BZ34" s="126">
        <v>0</v>
      </c>
      <c r="CA34" s="139" t="str">
        <f t="shared" si="221"/>
        <v>-</v>
      </c>
      <c r="CB34" s="125">
        <v>0</v>
      </c>
      <c r="CC34" s="126">
        <v>0</v>
      </c>
      <c r="CD34" s="139" t="str">
        <f t="shared" si="222"/>
        <v>-</v>
      </c>
      <c r="CE34" s="125">
        <v>0</v>
      </c>
      <c r="CF34" s="126">
        <v>0</v>
      </c>
      <c r="CG34" s="139" t="str">
        <f t="shared" si="84"/>
        <v>-</v>
      </c>
      <c r="CH34" s="125">
        <v>0</v>
      </c>
      <c r="CI34" s="126">
        <v>0</v>
      </c>
      <c r="CJ34" s="139" t="str">
        <f t="shared" si="85"/>
        <v>-</v>
      </c>
      <c r="CK34" s="125">
        <v>0</v>
      </c>
      <c r="CL34" s="126">
        <v>0</v>
      </c>
      <c r="CM34" s="139" t="str">
        <f t="shared" si="86"/>
        <v>-</v>
      </c>
      <c r="CN34" s="117">
        <f t="shared" si="30"/>
        <v>163</v>
      </c>
      <c r="CO34" s="120">
        <f t="shared" si="31"/>
        <v>25</v>
      </c>
      <c r="CP34" s="147">
        <f t="shared" si="32"/>
        <v>6.52</v>
      </c>
    </row>
    <row r="35" spans="1:94" ht="15" thickBot="1" x14ac:dyDescent="0.35">
      <c r="A35" s="294">
        <v>45688</v>
      </c>
      <c r="B35" s="20">
        <v>19</v>
      </c>
      <c r="C35" s="21">
        <v>3</v>
      </c>
      <c r="D35" s="139">
        <f t="shared" si="0"/>
        <v>6.333333333333333</v>
      </c>
      <c r="E35" s="20">
        <v>9</v>
      </c>
      <c r="F35" s="21">
        <v>1</v>
      </c>
      <c r="G35" s="139">
        <v>0</v>
      </c>
      <c r="H35" s="20"/>
      <c r="I35" s="21"/>
      <c r="J35" s="139" t="str">
        <f t="shared" ref="J35" si="228">IF(I35=0,"-",H35/I35)</f>
        <v>-</v>
      </c>
      <c r="K35" s="20">
        <v>8</v>
      </c>
      <c r="L35" s="21">
        <v>1</v>
      </c>
      <c r="M35" s="139">
        <f t="shared" si="42"/>
        <v>8</v>
      </c>
      <c r="N35" s="125">
        <v>0</v>
      </c>
      <c r="O35" s="126">
        <v>0</v>
      </c>
      <c r="P35" s="139" t="str">
        <f t="shared" ref="P35" si="229">IF(O35=0,"-",N35/O35)</f>
        <v>-</v>
      </c>
      <c r="Q35" s="125">
        <v>24</v>
      </c>
      <c r="R35" s="126">
        <v>6</v>
      </c>
      <c r="S35" s="139">
        <f t="shared" ref="S35" si="230">IF(R35=0,"-",Q35/R35)</f>
        <v>4</v>
      </c>
      <c r="T35" s="125">
        <v>0</v>
      </c>
      <c r="U35" s="126">
        <v>0</v>
      </c>
      <c r="V35" s="139" t="str">
        <f t="shared" ref="V35" si="231">IF(U35=0,"-",T35/U35)</f>
        <v>-</v>
      </c>
      <c r="W35" s="125">
        <v>0</v>
      </c>
      <c r="X35" s="126">
        <v>0</v>
      </c>
      <c r="Y35" s="139" t="str">
        <f t="shared" ref="Y35" si="232">IF(X35=0,"-",W35/X35)</f>
        <v>-</v>
      </c>
      <c r="Z35" s="125">
        <v>0</v>
      </c>
      <c r="AA35" s="126">
        <v>0</v>
      </c>
      <c r="AB35" s="139" t="str">
        <f t="shared" ref="AB35" si="233">IF(AA35=0,"-",Z35/AA35)</f>
        <v>-</v>
      </c>
      <c r="AC35" s="125">
        <v>0</v>
      </c>
      <c r="AD35" s="126">
        <v>0</v>
      </c>
      <c r="AE35" s="139" t="str">
        <f t="shared" ref="AE35" si="234">IF(AD35=0,"-",AC35/AD35)</f>
        <v>-</v>
      </c>
      <c r="AF35" s="125">
        <v>0</v>
      </c>
      <c r="AG35" s="126">
        <v>0</v>
      </c>
      <c r="AH35" s="139" t="str">
        <f t="shared" ref="AH35" si="235">IF(AG35=0,"-",AF35/AG35)</f>
        <v>-</v>
      </c>
      <c r="AI35" s="125">
        <v>6</v>
      </c>
      <c r="AJ35" s="126">
        <v>1</v>
      </c>
      <c r="AK35" s="139">
        <f t="shared" ref="AK35" si="236">IF(AJ35=0,"-",AI35/AJ35)</f>
        <v>6</v>
      </c>
      <c r="AL35" s="125">
        <v>0</v>
      </c>
      <c r="AM35" s="126">
        <v>0</v>
      </c>
      <c r="AN35" s="139" t="str">
        <f t="shared" ref="AN35" si="237">IF(AM35=0,"-",AL35/AM35)</f>
        <v>-</v>
      </c>
      <c r="AO35" s="125">
        <v>0</v>
      </c>
      <c r="AP35" s="126">
        <v>0</v>
      </c>
      <c r="AQ35" s="139" t="str">
        <f t="shared" ref="AQ35" si="238">IF(AP35=0,"-",AO35/AP35)</f>
        <v>-</v>
      </c>
      <c r="AR35" s="125">
        <v>2</v>
      </c>
      <c r="AS35" s="126">
        <v>1</v>
      </c>
      <c r="AT35" s="139">
        <f t="shared" ref="AT35" si="239">IF(AS35=0,"-",AR35/AS35)</f>
        <v>2</v>
      </c>
      <c r="AU35" s="125">
        <v>0</v>
      </c>
      <c r="AV35" s="126">
        <v>0</v>
      </c>
      <c r="AW35" s="139" t="str">
        <f t="shared" ref="AW35" si="240">IF(AV35=0,"-",AU35/AV35)</f>
        <v>-</v>
      </c>
      <c r="AX35" s="125">
        <v>2</v>
      </c>
      <c r="AY35" s="126">
        <v>1</v>
      </c>
      <c r="AZ35" s="139">
        <f t="shared" ref="AZ35" si="241">IF(AY35=0,"-",AX35/AY35)</f>
        <v>2</v>
      </c>
      <c r="BA35" s="125">
        <v>0</v>
      </c>
      <c r="BB35" s="126">
        <v>0</v>
      </c>
      <c r="BC35" s="139" t="str">
        <f t="shared" ref="BC35" si="242">IF(BB35=0,"-",BA35/BB35)</f>
        <v>-</v>
      </c>
      <c r="BD35" s="125">
        <v>0</v>
      </c>
      <c r="BE35" s="126">
        <v>0</v>
      </c>
      <c r="BF35" s="139" t="str">
        <f t="shared" ref="BF35" si="243">IF(BE35=0,"-",BD35/BE35)</f>
        <v>-</v>
      </c>
      <c r="BG35" s="125">
        <v>0</v>
      </c>
      <c r="BH35" s="126">
        <v>0</v>
      </c>
      <c r="BI35" s="139" t="str">
        <f t="shared" ref="BI35" si="244">IF(BH35=0,"-",BG35/BH35)</f>
        <v>-</v>
      </c>
      <c r="BJ35" s="125">
        <v>37</v>
      </c>
      <c r="BK35" s="126">
        <v>6</v>
      </c>
      <c r="BL35" s="139">
        <f t="shared" ref="BL35" si="245">IF(BK35=0,"-",BJ35/BK35)</f>
        <v>6.166666666666667</v>
      </c>
      <c r="BM35" s="125">
        <v>9</v>
      </c>
      <c r="BN35" s="126">
        <v>1</v>
      </c>
      <c r="BO35" s="139">
        <f t="shared" ref="BO35" si="246">IF(BN35=0,"-",BM35/BN35)</f>
        <v>9</v>
      </c>
      <c r="BP35" s="125">
        <v>0</v>
      </c>
      <c r="BQ35" s="126">
        <v>0</v>
      </c>
      <c r="BR35" s="139" t="str">
        <f t="shared" si="219"/>
        <v>-</v>
      </c>
      <c r="BS35" s="125">
        <v>7</v>
      </c>
      <c r="BT35" s="126">
        <v>1</v>
      </c>
      <c r="BU35" s="139">
        <f t="shared" ref="BU35" si="247">IF(BT35=0,"-",BS35/BT35)</f>
        <v>7</v>
      </c>
      <c r="BV35" s="125">
        <v>0</v>
      </c>
      <c r="BW35" s="126">
        <v>0</v>
      </c>
      <c r="BX35" s="139" t="str">
        <f t="shared" ref="BX35" si="248">IF(BW35=0,"-",BV35/BW35)</f>
        <v>-</v>
      </c>
      <c r="BY35" s="125">
        <v>0</v>
      </c>
      <c r="BZ35" s="126">
        <v>0</v>
      </c>
      <c r="CA35" s="139" t="str">
        <f t="shared" si="221"/>
        <v>-</v>
      </c>
      <c r="CB35" s="125">
        <v>0</v>
      </c>
      <c r="CC35" s="126">
        <v>0</v>
      </c>
      <c r="CD35" s="139" t="str">
        <f t="shared" si="222"/>
        <v>-</v>
      </c>
      <c r="CE35" s="125">
        <v>6</v>
      </c>
      <c r="CF35" s="126">
        <v>1</v>
      </c>
      <c r="CG35" s="139">
        <f t="shared" ref="CG35" si="249">IF(CF35=0,"-",CE35/CF35)</f>
        <v>6</v>
      </c>
      <c r="CH35" s="125">
        <v>0</v>
      </c>
      <c r="CI35" s="126">
        <v>0</v>
      </c>
      <c r="CJ35" s="139" t="str">
        <f t="shared" ref="CJ35" si="250">IF(CI35=0,"-",CH35/CI35)</f>
        <v>-</v>
      </c>
      <c r="CK35" s="125">
        <v>0</v>
      </c>
      <c r="CL35" s="126">
        <v>0</v>
      </c>
      <c r="CM35" s="139" t="str">
        <f t="shared" ref="CM35" si="251">IF(CL35=0,"-",CK35/CL35)</f>
        <v>-</v>
      </c>
      <c r="CN35" s="117">
        <f t="shared" ref="CN35" si="252">SUM(B35,E35,K35,Q35,T35,W35,Z35,AC35,AF35,AI35,AL35,AO35,AR35,AX35,BA35,BG35,BJ35,BM35,BP35,BS35,BV35,BY35,CB35,CE35,CH35,CK35)</f>
        <v>129</v>
      </c>
      <c r="CO35" s="120">
        <f t="shared" ref="CO35" si="253">C35+F35+L35+R35+U35+X35+AA35+AD35+AG35+AJ35+AS35+AV35+AY35+BB35+BE35+BH35+BK35+BN35+BQ35+BT35+CC35+CF35+CI35+CL35</f>
        <v>23</v>
      </c>
      <c r="CP35" s="147">
        <f t="shared" ref="CP35" si="254">IF(CO35=0,"",CN35/CO35)</f>
        <v>5.6086956521739131</v>
      </c>
    </row>
    <row r="36" spans="1:94" s="41" customFormat="1" ht="15.6" customHeight="1" thickBot="1" x14ac:dyDescent="0.35">
      <c r="A36" s="295" t="s">
        <v>33</v>
      </c>
      <c r="B36" s="43">
        <f>SUM(B5:B35)</f>
        <v>1444</v>
      </c>
      <c r="C36" s="43">
        <f>SUM(C5:C35)</f>
        <v>170</v>
      </c>
      <c r="D36" s="44">
        <f>B36/C36</f>
        <v>8.4941176470588236</v>
      </c>
      <c r="E36" s="43">
        <f>SUM(E5:E35)</f>
        <v>94</v>
      </c>
      <c r="F36" s="43">
        <f>SUM(F5:F35)</f>
        <v>12</v>
      </c>
      <c r="G36" s="44">
        <f>E36/F36</f>
        <v>7.833333333333333</v>
      </c>
      <c r="H36" s="43">
        <f>SUM(H5:H34)</f>
        <v>0</v>
      </c>
      <c r="I36" s="43">
        <f>SUM(I5:I34)</f>
        <v>0</v>
      </c>
      <c r="J36" s="44" t="e">
        <f>H36/I36</f>
        <v>#DIV/0!</v>
      </c>
      <c r="K36" s="43">
        <f>SUM(K5:K35)</f>
        <v>444</v>
      </c>
      <c r="L36" s="43">
        <f>SUM(L5:L35)</f>
        <v>56</v>
      </c>
      <c r="M36" s="44">
        <f>K36/L36</f>
        <v>7.9285714285714288</v>
      </c>
      <c r="N36" s="43">
        <f>SUM(N5:N35)</f>
        <v>0</v>
      </c>
      <c r="O36" s="43">
        <f>SUM(O5:O35)</f>
        <v>0</v>
      </c>
      <c r="P36" s="44" t="e">
        <f>N36/O36</f>
        <v>#DIV/0!</v>
      </c>
      <c r="Q36" s="43">
        <f>SUM(Q5:Q35)</f>
        <v>1264</v>
      </c>
      <c r="R36" s="43">
        <f>SUM(R5:R35)</f>
        <v>226</v>
      </c>
      <c r="S36" s="44">
        <f>Q36/R36</f>
        <v>5.5929203539823007</v>
      </c>
      <c r="T36" s="43">
        <f>SUM(T5:T35)</f>
        <v>54</v>
      </c>
      <c r="U36" s="43">
        <f>SUM(U5:U35)</f>
        <v>12</v>
      </c>
      <c r="V36" s="44">
        <f>T36/U36</f>
        <v>4.5</v>
      </c>
      <c r="W36" s="43">
        <f>SUM(W5:W34)</f>
        <v>0</v>
      </c>
      <c r="X36" s="43">
        <f>SUM(X5:X34)</f>
        <v>0</v>
      </c>
      <c r="Y36" s="297" t="e">
        <f>W36/X36</f>
        <v>#DIV/0!</v>
      </c>
      <c r="Z36" s="43">
        <f>SUM(Z5:Z35)</f>
        <v>309</v>
      </c>
      <c r="AA36" s="43">
        <f>SUM(AA5:AA35)</f>
        <v>63</v>
      </c>
      <c r="AB36" s="297">
        <f t="shared" ref="AB36" si="255">Z36/AA36</f>
        <v>4.9047619047619051</v>
      </c>
      <c r="AC36" s="43">
        <f>SUM(AC5:AC35)</f>
        <v>328</v>
      </c>
      <c r="AD36" s="43">
        <f>SUM(AD5:AD35)</f>
        <v>66</v>
      </c>
      <c r="AE36" s="297">
        <f t="shared" ref="AE36" si="256">AC36/AD36</f>
        <v>4.9696969696969697</v>
      </c>
      <c r="AF36" s="43">
        <f>SUM(AF5:AF35)</f>
        <v>122</v>
      </c>
      <c r="AG36" s="43">
        <f>SUM(AG5:AG35)</f>
        <v>21</v>
      </c>
      <c r="AH36" s="44">
        <f>AF36/AG36</f>
        <v>5.8095238095238093</v>
      </c>
      <c r="AI36" s="43">
        <f>SUM(AI5:AI35)</f>
        <v>94</v>
      </c>
      <c r="AJ36" s="43">
        <f>SUM(AJ5:AJ35)</f>
        <v>16</v>
      </c>
      <c r="AK36" s="44">
        <f>AI36/AJ36</f>
        <v>5.875</v>
      </c>
      <c r="AL36" s="43">
        <f>SUM(AL5:AL35)</f>
        <v>23</v>
      </c>
      <c r="AM36" s="43">
        <f>SUM(AM5:AM35)</f>
        <v>4</v>
      </c>
      <c r="AN36" s="44">
        <f>AL36/AM36</f>
        <v>5.75</v>
      </c>
      <c r="AO36" s="44"/>
      <c r="AP36" s="44"/>
      <c r="AQ36" s="44"/>
      <c r="AR36" s="43">
        <f>SUM(AR5:AR35)</f>
        <v>68</v>
      </c>
      <c r="AS36" s="43">
        <f>SUM(AS5:AS35)</f>
        <v>14</v>
      </c>
      <c r="AT36" s="44">
        <f>AR36/AS36</f>
        <v>4.8571428571428568</v>
      </c>
      <c r="AU36" s="43">
        <f>SUM(AU5:AU34)</f>
        <v>0</v>
      </c>
      <c r="AV36" s="43">
        <f>SUM(AV5:AV34)</f>
        <v>0</v>
      </c>
      <c r="AW36" s="44" t="e">
        <f>AU36/AV36</f>
        <v>#DIV/0!</v>
      </c>
      <c r="AX36" s="43">
        <f>SUM(AX5:AX35)</f>
        <v>29</v>
      </c>
      <c r="AY36" s="43">
        <f>SUM(AY5:AY35)</f>
        <v>9</v>
      </c>
      <c r="AZ36" s="44">
        <f>AX36/AY36</f>
        <v>3.2222222222222223</v>
      </c>
      <c r="BA36" s="43">
        <f>SUM(BA5:BA34)</f>
        <v>0</v>
      </c>
      <c r="BB36" s="43">
        <f>SUM(BB5:BB34)</f>
        <v>0</v>
      </c>
      <c r="BC36" s="44" t="e">
        <f>BA36/BB36</f>
        <v>#DIV/0!</v>
      </c>
      <c r="BD36" s="43">
        <f>SUM(BD5:BD34)</f>
        <v>0</v>
      </c>
      <c r="BE36" s="43">
        <f>SUM(BE5:BE34)</f>
        <v>0</v>
      </c>
      <c r="BF36" s="44" t="e">
        <f>BD36/BE36</f>
        <v>#DIV/0!</v>
      </c>
      <c r="BG36" s="43">
        <f>SUM(BG5:BG34)</f>
        <v>0</v>
      </c>
      <c r="BH36" s="43">
        <f>SUM(BH5:BH34)</f>
        <v>0</v>
      </c>
      <c r="BI36" s="44" t="e">
        <f>BG36/BH36</f>
        <v>#DIV/0!</v>
      </c>
      <c r="BJ36" s="43">
        <f>SUM(BJ5:BJ35)</f>
        <v>417</v>
      </c>
      <c r="BK36" s="43">
        <f>SUM(BK5:BK35)</f>
        <v>70</v>
      </c>
      <c r="BL36" s="44">
        <f>BJ36/BK36</f>
        <v>5.9571428571428573</v>
      </c>
      <c r="BM36" s="43">
        <f>SUM(BM5:BM35)</f>
        <v>76</v>
      </c>
      <c r="BN36" s="43">
        <f>SUM(BN5:BN35)</f>
        <v>10</v>
      </c>
      <c r="BO36" s="44">
        <f>BM36/BN36</f>
        <v>7.6</v>
      </c>
      <c r="BP36" s="43">
        <f>SUM(BP5:BP34)</f>
        <v>122</v>
      </c>
      <c r="BQ36" s="43">
        <f>SUM(BQ5:BQ34)</f>
        <v>17</v>
      </c>
      <c r="BR36" s="44">
        <f>BP36/BQ36</f>
        <v>7.1764705882352944</v>
      </c>
      <c r="BS36" s="43">
        <f>SUM(BS5:BS35)</f>
        <v>53</v>
      </c>
      <c r="BT36" s="43">
        <f>SUM(BT5:BT35)</f>
        <v>8</v>
      </c>
      <c r="BU36" s="44">
        <f>BS36/BT36</f>
        <v>6.625</v>
      </c>
      <c r="BV36" s="43">
        <f>SUM(BV5:BV35)</f>
        <v>63</v>
      </c>
      <c r="BW36" s="43">
        <f>SUM(BW5:BW35)</f>
        <v>15</v>
      </c>
      <c r="BX36" s="140">
        <f>IF(BW36=0,"-",BV36/BW36)</f>
        <v>4.2</v>
      </c>
      <c r="BY36" s="43">
        <f>SUM(BY5:BY34)</f>
        <v>0</v>
      </c>
      <c r="BZ36" s="43">
        <f>SUM(BZ5:BZ34)</f>
        <v>0</v>
      </c>
      <c r="CA36" s="140" t="str">
        <f>IF(BZ36=0,"-",BY36/BZ36)</f>
        <v>-</v>
      </c>
      <c r="CB36" s="43">
        <f>SUM(CB5:CB34)</f>
        <v>32</v>
      </c>
      <c r="CC36" s="43">
        <f>SUM(CC5:CC34)</f>
        <v>5</v>
      </c>
      <c r="CD36" s="140">
        <f>IF(CC36=0,"-",CB36/CC36)</f>
        <v>6.4</v>
      </c>
      <c r="CE36" s="43">
        <f>SUM(CE5:CE35)</f>
        <v>49</v>
      </c>
      <c r="CF36" s="43">
        <f>SUM(CF5:CF35)</f>
        <v>10</v>
      </c>
      <c r="CG36" s="140">
        <f>IF(CF36=0,"-",CE36/CF36)</f>
        <v>4.9000000000000004</v>
      </c>
      <c r="CH36" s="43">
        <f>SUM(CH5:CH34)</f>
        <v>0</v>
      </c>
      <c r="CI36" s="43">
        <f>SUM(CI5:CI34)</f>
        <v>0</v>
      </c>
      <c r="CJ36" s="140" t="str">
        <f>IF(CI36=0,"-",CH36/CI36)</f>
        <v>-</v>
      </c>
      <c r="CK36" s="43">
        <f>SUM(CK5:CK34)</f>
        <v>6</v>
      </c>
      <c r="CL36" s="43">
        <f>SUM(CL5:CL34)</f>
        <v>2</v>
      </c>
      <c r="CM36" s="140">
        <f>IF(CL36=0,"-",CK36/CL36)</f>
        <v>3</v>
      </c>
      <c r="CN36" s="118">
        <f>SUM(CN5:CN35)</f>
        <v>5102</v>
      </c>
      <c r="CO36" s="118">
        <f>SUM(CO5:CO35)</f>
        <v>786</v>
      </c>
      <c r="CP36" s="144">
        <f t="shared" si="32"/>
        <v>6.4910941475826975</v>
      </c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5571-A374-422A-961F-8C3C4BFEEBC3}">
  <sheetPr>
    <tabColor rgb="FFFF0000"/>
  </sheetPr>
  <dimension ref="A1:CL43"/>
  <sheetViews>
    <sheetView workbookViewId="0">
      <selection activeCell="A2" sqref="A2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93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'January 2025'!B36</f>
        <v>1444</v>
      </c>
      <c r="C4" s="68"/>
      <c r="D4" s="95" t="s">
        <v>19</v>
      </c>
      <c r="E4" s="93">
        <f>'January 2025'!AX36</f>
        <v>29</v>
      </c>
      <c r="F4" s="68"/>
      <c r="G4" s="87" t="s">
        <v>24</v>
      </c>
      <c r="H4" s="81">
        <f>'January 2025'!BM36</f>
        <v>76</v>
      </c>
    </row>
    <row r="5" spans="1:90" x14ac:dyDescent="0.3">
      <c r="A5" s="80"/>
      <c r="B5" s="81">
        <f>'January 2025'!C36</f>
        <v>170</v>
      </c>
      <c r="C5" s="68"/>
      <c r="D5" s="85"/>
      <c r="E5" s="81">
        <f>'January 2025'!AY36</f>
        <v>9</v>
      </c>
      <c r="F5" s="68"/>
      <c r="G5" s="87"/>
      <c r="H5" s="81">
        <f>'January 2025'!BN36</f>
        <v>10</v>
      </c>
    </row>
    <row r="6" spans="1:90" x14ac:dyDescent="0.3">
      <c r="A6" s="82"/>
      <c r="B6" s="26">
        <f>'January 2025'!D36</f>
        <v>8.4941176470588236</v>
      </c>
      <c r="C6" s="68"/>
      <c r="D6" s="86"/>
      <c r="E6" s="26">
        <f>'January 2025'!AZ36</f>
        <v>3.2222222222222223</v>
      </c>
      <c r="F6" s="68"/>
      <c r="G6" s="88"/>
      <c r="H6" s="26">
        <f>'January 2025'!BO36</f>
        <v>7.6</v>
      </c>
    </row>
    <row r="7" spans="1:90" x14ac:dyDescent="0.3">
      <c r="A7" s="80" t="s">
        <v>9</v>
      </c>
      <c r="B7" s="81">
        <f>'January 2025'!E36</f>
        <v>94</v>
      </c>
      <c r="C7" s="68"/>
      <c r="D7" s="85" t="s">
        <v>20</v>
      </c>
      <c r="E7" s="81">
        <f>'January 2025'!BA36</f>
        <v>0</v>
      </c>
      <c r="F7" s="68"/>
      <c r="G7" s="87" t="s">
        <v>25</v>
      </c>
      <c r="H7" s="151">
        <f>'January 2025'!BP36</f>
        <v>122</v>
      </c>
    </row>
    <row r="8" spans="1:90" x14ac:dyDescent="0.3">
      <c r="A8" s="80"/>
      <c r="B8" s="81">
        <f>'January 2025'!F36</f>
        <v>12</v>
      </c>
      <c r="C8" s="68"/>
      <c r="D8" s="85"/>
      <c r="E8" s="81">
        <f>'January 2025'!BB36</f>
        <v>0</v>
      </c>
      <c r="F8" s="68"/>
      <c r="G8" s="87"/>
      <c r="H8" s="151">
        <f>'January 2025'!BQ36</f>
        <v>17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'January 2025'!G36</f>
        <v>7.833333333333333</v>
      </c>
      <c r="C9" s="68"/>
      <c r="D9" s="86"/>
      <c r="E9" s="26" t="e">
        <f>'January 2025'!BC36</f>
        <v>#DIV/0!</v>
      </c>
      <c r="F9" s="68"/>
      <c r="G9" s="88"/>
      <c r="H9" s="151">
        <f>'January 2025'!BQ36</f>
        <v>17</v>
      </c>
    </row>
    <row r="10" spans="1:90" x14ac:dyDescent="0.3">
      <c r="A10" s="80" t="s">
        <v>55</v>
      </c>
      <c r="B10" s="81">
        <f>'January 2025'!K36</f>
        <v>444</v>
      </c>
      <c r="C10" s="68"/>
      <c r="D10" s="85" t="s">
        <v>21</v>
      </c>
      <c r="E10" s="81">
        <f>'January 2025'!BD36</f>
        <v>0</v>
      </c>
      <c r="F10" s="68"/>
      <c r="G10" s="87" t="s">
        <v>26</v>
      </c>
      <c r="H10" s="151">
        <f>'January 2025'!BS36</f>
        <v>53</v>
      </c>
    </row>
    <row r="11" spans="1:90" x14ac:dyDescent="0.3">
      <c r="A11" s="80"/>
      <c r="B11" s="81">
        <f>'January 2025'!L36</f>
        <v>56</v>
      </c>
      <c r="C11" s="68"/>
      <c r="D11" s="85"/>
      <c r="E11" s="81">
        <f>'January 2025'!BE36</f>
        <v>0</v>
      </c>
      <c r="F11" s="68"/>
      <c r="G11" s="87"/>
      <c r="H11" s="81">
        <f>'January 2025'!BT36</f>
        <v>8</v>
      </c>
    </row>
    <row r="12" spans="1:90" x14ac:dyDescent="0.3">
      <c r="A12" s="82"/>
      <c r="B12" s="26">
        <f>'January 2025'!M36</f>
        <v>7.9285714285714288</v>
      </c>
      <c r="C12" s="68"/>
      <c r="D12" s="86"/>
      <c r="E12" s="26" t="e">
        <f>'January 2025'!BF36</f>
        <v>#DIV/0!</v>
      </c>
      <c r="F12" s="68"/>
      <c r="G12" s="88"/>
      <c r="H12" s="26">
        <f>'January 2025'!BU36</f>
        <v>6.625</v>
      </c>
    </row>
    <row r="13" spans="1:90" x14ac:dyDescent="0.3">
      <c r="A13" s="80" t="s">
        <v>11</v>
      </c>
      <c r="B13" s="81">
        <f>'January 2025'!Q36</f>
        <v>1264</v>
      </c>
      <c r="C13" s="68"/>
      <c r="D13" s="85" t="s">
        <v>22</v>
      </c>
      <c r="E13" s="81">
        <f>'January 2025'!BG36</f>
        <v>0</v>
      </c>
      <c r="F13" s="68"/>
      <c r="G13" s="87" t="s">
        <v>27</v>
      </c>
      <c r="H13" s="81">
        <f>'January 2025'!BV36</f>
        <v>63</v>
      </c>
    </row>
    <row r="14" spans="1:90" x14ac:dyDescent="0.3">
      <c r="A14" s="80"/>
      <c r="B14" s="81">
        <f>'January 2025'!R36</f>
        <v>226</v>
      </c>
      <c r="C14" s="68"/>
      <c r="D14" s="85"/>
      <c r="E14" s="81">
        <f>'January 2025'!BH36</f>
        <v>0</v>
      </c>
      <c r="F14" s="68"/>
      <c r="G14" s="87"/>
      <c r="H14" s="81">
        <f>'January 2025'!BW36</f>
        <v>15</v>
      </c>
    </row>
    <row r="15" spans="1:90" x14ac:dyDescent="0.3">
      <c r="A15" s="82"/>
      <c r="B15" s="26">
        <f>'January 2025'!S36</f>
        <v>5.5929203539823007</v>
      </c>
      <c r="C15" s="68"/>
      <c r="D15" s="85"/>
      <c r="E15" s="26" t="e">
        <f>'January 2025'!BI36</f>
        <v>#DIV/0!</v>
      </c>
      <c r="F15" s="68"/>
      <c r="G15" s="88"/>
      <c r="H15" s="26">
        <f>'January 2025'!BX36</f>
        <v>4.2</v>
      </c>
    </row>
    <row r="16" spans="1:90" x14ac:dyDescent="0.3">
      <c r="A16" s="80" t="s">
        <v>44</v>
      </c>
      <c r="B16" s="81">
        <f>'January 2025'!T36</f>
        <v>54</v>
      </c>
      <c r="C16" s="68"/>
      <c r="D16" s="85" t="s">
        <v>45</v>
      </c>
      <c r="E16" s="26">
        <f>'January 2025'!BJ36</f>
        <v>417</v>
      </c>
      <c r="F16" s="68"/>
      <c r="G16" s="96" t="s">
        <v>28</v>
      </c>
      <c r="H16" s="97">
        <f>'January 2025'!CE36</f>
        <v>49</v>
      </c>
    </row>
    <row r="17" spans="1:8" x14ac:dyDescent="0.3">
      <c r="A17" s="80"/>
      <c r="B17" s="81">
        <f>'January 2025'!U36</f>
        <v>12</v>
      </c>
      <c r="C17" s="68"/>
      <c r="D17" s="85"/>
      <c r="E17" s="81">
        <f>'January 2025'!BK36</f>
        <v>70</v>
      </c>
      <c r="F17" s="68"/>
      <c r="G17" s="96"/>
      <c r="H17" s="97">
        <f>'January 2025'!CF36</f>
        <v>10</v>
      </c>
    </row>
    <row r="18" spans="1:8" ht="15" thickBot="1" x14ac:dyDescent="0.35">
      <c r="A18" s="82"/>
      <c r="B18" s="26">
        <f>'January 2025'!V36</f>
        <v>4.5</v>
      </c>
      <c r="C18" s="68"/>
      <c r="D18" s="102"/>
      <c r="E18" s="149">
        <f>'January 2025'!BL36</f>
        <v>5.9571428571428573</v>
      </c>
      <c r="F18" s="68"/>
      <c r="G18" s="98"/>
      <c r="H18" s="99">
        <f>H16/H17</f>
        <v>4.9000000000000004</v>
      </c>
    </row>
    <row r="19" spans="1:8" x14ac:dyDescent="0.3">
      <c r="A19" s="80" t="s">
        <v>85</v>
      </c>
      <c r="B19" s="81">
        <f>'January 2025'!W36</f>
        <v>0</v>
      </c>
      <c r="C19" s="68"/>
    </row>
    <row r="20" spans="1:8" x14ac:dyDescent="0.3">
      <c r="A20" s="80"/>
      <c r="B20" s="81">
        <f>'January 2025'!X36</f>
        <v>0</v>
      </c>
      <c r="C20" s="68"/>
    </row>
    <row r="21" spans="1:8" x14ac:dyDescent="0.3">
      <c r="A21" s="100"/>
      <c r="B21" s="81">
        <f>'January 2025'!Y336</f>
        <v>0</v>
      </c>
      <c r="C21" s="68"/>
    </row>
    <row r="22" spans="1:8" x14ac:dyDescent="0.3">
      <c r="A22" s="310" t="s">
        <v>86</v>
      </c>
      <c r="B22" s="311">
        <f>'January 2025'!Z36</f>
        <v>309</v>
      </c>
      <c r="C22" s="68"/>
      <c r="D22" s="68"/>
      <c r="E22" s="68"/>
    </row>
    <row r="23" spans="1:8" x14ac:dyDescent="0.3">
      <c r="A23" s="324"/>
      <c r="B23" s="323">
        <f>'January 2025'!AA36</f>
        <v>63</v>
      </c>
      <c r="C23" s="68"/>
      <c r="D23" s="68"/>
      <c r="E23" s="68"/>
    </row>
    <row r="24" spans="1:8" x14ac:dyDescent="0.3">
      <c r="A24" s="325"/>
      <c r="B24" s="274">
        <f>'January 2025'!AB36</f>
        <v>4.9047619047619051</v>
      </c>
      <c r="C24" s="68"/>
      <c r="D24" s="68"/>
      <c r="E24" s="68"/>
    </row>
    <row r="25" spans="1:8" x14ac:dyDescent="0.3">
      <c r="A25" s="325" t="s">
        <v>79</v>
      </c>
      <c r="B25" s="274">
        <f>'January 2025'!AC36</f>
        <v>328</v>
      </c>
      <c r="C25" s="68"/>
      <c r="D25" s="68"/>
      <c r="E25" s="68"/>
    </row>
    <row r="26" spans="1:8" x14ac:dyDescent="0.3">
      <c r="A26" s="325"/>
      <c r="B26" s="274">
        <f>'January 2025'!AD36</f>
        <v>66</v>
      </c>
      <c r="C26" s="68"/>
      <c r="D26" s="68"/>
      <c r="E26" s="68"/>
    </row>
    <row r="27" spans="1:8" x14ac:dyDescent="0.3">
      <c r="A27" s="325"/>
      <c r="B27" s="274">
        <f>'January 2025'!AE36</f>
        <v>4.9696969696969697</v>
      </c>
      <c r="C27" s="68"/>
      <c r="D27" s="68"/>
      <c r="E27" s="68"/>
    </row>
    <row r="28" spans="1:8" x14ac:dyDescent="0.3">
      <c r="A28" s="308" t="s">
        <v>14</v>
      </c>
      <c r="B28" s="309">
        <f>'January 2025'!AC36</f>
        <v>328</v>
      </c>
      <c r="C28" s="68"/>
      <c r="D28" s="68"/>
      <c r="E28" s="68"/>
    </row>
    <row r="29" spans="1:8" x14ac:dyDescent="0.3">
      <c r="A29" s="83"/>
      <c r="B29" s="81">
        <f>'January 2025'!AD36</f>
        <v>66</v>
      </c>
      <c r="C29" s="68"/>
      <c r="D29" s="68"/>
      <c r="E29" s="68"/>
    </row>
    <row r="30" spans="1:8" x14ac:dyDescent="0.3">
      <c r="A30" s="84"/>
      <c r="B30" s="26">
        <f>'January 2025'!AE36</f>
        <v>4.9696969696969697</v>
      </c>
      <c r="C30" s="68"/>
      <c r="D30" s="68"/>
      <c r="E30" s="68"/>
    </row>
    <row r="31" spans="1:8" x14ac:dyDescent="0.3">
      <c r="A31" s="83" t="s">
        <v>15</v>
      </c>
      <c r="B31" s="81">
        <f>'January 2025'!AF36</f>
        <v>122</v>
      </c>
      <c r="C31" s="68"/>
      <c r="F31" s="68"/>
      <c r="G31" s="68"/>
    </row>
    <row r="32" spans="1:8" x14ac:dyDescent="0.3">
      <c r="A32" s="83"/>
      <c r="B32" s="81">
        <f>'January 2025'!AG36</f>
        <v>21</v>
      </c>
      <c r="C32" s="68"/>
      <c r="F32" s="68"/>
      <c r="G32" s="68"/>
    </row>
    <row r="33" spans="1:7" x14ac:dyDescent="0.3">
      <c r="A33" s="84"/>
      <c r="B33" s="275">
        <f>'January 2025'!AH36</f>
        <v>5.8095238095238093</v>
      </c>
      <c r="C33" s="68"/>
      <c r="F33" s="68"/>
      <c r="G33" s="68"/>
    </row>
    <row r="34" spans="1:7" x14ac:dyDescent="0.3">
      <c r="A34" s="83" t="s">
        <v>16</v>
      </c>
      <c r="B34" s="81">
        <f>'January 2025'!AL36</f>
        <v>23</v>
      </c>
      <c r="C34" s="68"/>
      <c r="F34" s="68"/>
      <c r="G34" s="68"/>
    </row>
    <row r="35" spans="1:7" x14ac:dyDescent="0.3">
      <c r="A35" s="83"/>
      <c r="B35" s="81">
        <f>'January 2025'!AM36</f>
        <v>4</v>
      </c>
      <c r="C35" s="68"/>
      <c r="F35" s="68"/>
      <c r="G35" s="68"/>
    </row>
    <row r="36" spans="1:7" x14ac:dyDescent="0.3">
      <c r="A36" s="84"/>
      <c r="B36" s="26">
        <f>'January 2025'!AN36</f>
        <v>5.75</v>
      </c>
      <c r="C36" s="68"/>
      <c r="F36" s="68"/>
      <c r="G36" s="68"/>
    </row>
    <row r="37" spans="1:7" x14ac:dyDescent="0.3">
      <c r="A37" s="83" t="s">
        <v>17</v>
      </c>
      <c r="B37" s="81">
        <f>'January 2025'!AO36</f>
        <v>0</v>
      </c>
      <c r="C37" s="68"/>
      <c r="F37" s="68"/>
      <c r="G37" s="68"/>
    </row>
    <row r="38" spans="1:7" x14ac:dyDescent="0.3">
      <c r="A38" s="83"/>
      <c r="B38" s="81">
        <f>'January 2025'!AP36</f>
        <v>0</v>
      </c>
      <c r="C38" s="68"/>
      <c r="F38" s="68"/>
      <c r="G38" s="68"/>
    </row>
    <row r="39" spans="1:7" x14ac:dyDescent="0.3">
      <c r="A39" s="84"/>
      <c r="B39" s="26">
        <f>'January 2025'!AQ36</f>
        <v>0</v>
      </c>
      <c r="C39" s="68"/>
      <c r="F39" s="68"/>
      <c r="G39" s="68"/>
    </row>
    <row r="40" spans="1:7" x14ac:dyDescent="0.3">
      <c r="A40" s="83" t="s">
        <v>59</v>
      </c>
      <c r="B40" s="81">
        <f>'January 2025'!AR36</f>
        <v>68</v>
      </c>
      <c r="C40" s="68"/>
      <c r="F40" s="68"/>
      <c r="G40" s="68"/>
    </row>
    <row r="41" spans="1:7" x14ac:dyDescent="0.3">
      <c r="A41" s="83"/>
      <c r="B41" s="81">
        <f>'January 2025'!AS36</f>
        <v>14</v>
      </c>
      <c r="C41" s="68"/>
      <c r="F41" s="68"/>
      <c r="G41" s="68"/>
    </row>
    <row r="42" spans="1:7" ht="15" thickBot="1" x14ac:dyDescent="0.35">
      <c r="A42" s="94"/>
      <c r="B42" s="89">
        <f>'January 2025'!AT36</f>
        <v>4.8571428571428568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1062-DC4D-4DE1-83FB-C374B10EC408}">
  <dimension ref="A1:CP123"/>
  <sheetViews>
    <sheetView workbookViewId="0">
      <pane xSplit="9" ySplit="11" topLeftCell="BQ20" activePane="bottomRight" state="frozen"/>
      <selection pane="topRight" activeCell="J1" sqref="J1"/>
      <selection pane="bottomLeft" activeCell="A12" sqref="A12"/>
      <selection pane="bottomRight" activeCell="CN33" sqref="CN33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hidden="1" customWidth="1"/>
    <col min="60" max="60" width="9.6640625" hidden="1" customWidth="1"/>
    <col min="61" max="61" width="11.88671875" style="2" hidden="1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customWidth="1"/>
    <col min="79" max="79" width="8.88671875" style="2" customWidth="1"/>
    <col min="82" max="82" width="8.88671875" style="2"/>
    <col min="85" max="85" width="8.88671875" style="2"/>
    <col min="86" max="87" width="0" hidden="1" customWidth="1"/>
    <col min="88" max="88" width="9.33203125" style="2" hidden="1" customWidth="1"/>
    <col min="89" max="90" width="0" hidden="1" customWidth="1"/>
    <col min="91" max="91" width="0" style="2" hidden="1" customWidth="1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95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63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55"/>
      <c r="CH3" s="13" t="s">
        <v>26</v>
      </c>
      <c r="CI3" s="14"/>
      <c r="CJ3" s="27"/>
      <c r="CK3" s="14" t="s">
        <v>27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57" t="s">
        <v>31</v>
      </c>
      <c r="CH4" s="15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45689</v>
      </c>
      <c r="B5" s="125">
        <v>49</v>
      </c>
      <c r="C5" s="126">
        <v>6</v>
      </c>
      <c r="D5" s="276">
        <f t="shared" ref="D5:D32" si="0">IF(C5=0,"-",B5/C5)</f>
        <v>8.1666666666666661</v>
      </c>
      <c r="E5" s="125">
        <v>0</v>
      </c>
      <c r="F5" s="126">
        <v>0</v>
      </c>
      <c r="G5" s="276" t="str">
        <f t="shared" ref="G5:G25" si="1">IF(F5=0,"-",E5/F5)</f>
        <v>-</v>
      </c>
      <c r="H5" s="125">
        <v>0</v>
      </c>
      <c r="I5" s="126">
        <v>0</v>
      </c>
      <c r="J5" s="276" t="str">
        <f t="shared" ref="J5:J32" si="2">IF(I5=0,"-",H5/I5)</f>
        <v>-</v>
      </c>
      <c r="K5" s="125">
        <v>18</v>
      </c>
      <c r="L5" s="126">
        <v>3</v>
      </c>
      <c r="M5" s="276">
        <f t="shared" ref="M5:M32" si="3">IF(L5=0,"-",K5/L5)</f>
        <v>6</v>
      </c>
      <c r="N5" s="20">
        <v>0</v>
      </c>
      <c r="O5" s="21">
        <v>0</v>
      </c>
      <c r="P5" s="139" t="str">
        <f t="shared" ref="P5" si="4">IF(O5=0,"-",N5/O5)</f>
        <v>-</v>
      </c>
      <c r="Q5" s="20">
        <v>0</v>
      </c>
      <c r="R5" s="21">
        <v>0</v>
      </c>
      <c r="S5" s="139" t="str">
        <f t="shared" ref="S5" si="5">IF(R5=0,"-",Q5/R5)</f>
        <v>-</v>
      </c>
      <c r="T5" s="20">
        <v>0</v>
      </c>
      <c r="U5" s="21">
        <v>0</v>
      </c>
      <c r="V5" s="139" t="str">
        <f t="shared" ref="V5" si="6">IF(U5=0,"-",T5/U5)</f>
        <v>-</v>
      </c>
      <c r="W5" s="20">
        <v>0</v>
      </c>
      <c r="X5" s="21">
        <v>0</v>
      </c>
      <c r="Y5" s="139" t="str">
        <f t="shared" ref="Y5" si="7">IF(X5=0,"-",W5/X5)</f>
        <v>-</v>
      </c>
      <c r="Z5" s="20">
        <v>0</v>
      </c>
      <c r="AA5" s="21">
        <v>0</v>
      </c>
      <c r="AB5" s="139" t="str">
        <f t="shared" ref="AB5" si="8">IF(AA5=0,"-",Z5/AA5)</f>
        <v>-</v>
      </c>
      <c r="AC5" s="20">
        <v>0</v>
      </c>
      <c r="AD5" s="21">
        <v>0</v>
      </c>
      <c r="AE5" s="139" t="str">
        <f t="shared" ref="AE5" si="9">IF(AD5=0,"-",AC5/AD5)</f>
        <v>-</v>
      </c>
      <c r="AF5" s="20">
        <v>0</v>
      </c>
      <c r="AG5" s="21">
        <v>0</v>
      </c>
      <c r="AH5" s="139" t="str">
        <f t="shared" ref="AH5" si="10">IF(AG5=0,"-",AF5/AG5)</f>
        <v>-</v>
      </c>
      <c r="AI5" s="20">
        <v>0</v>
      </c>
      <c r="AJ5" s="21">
        <v>0</v>
      </c>
      <c r="AK5" s="139" t="str">
        <f t="shared" ref="AK5" si="11">IF(AJ5=0,"-",AI5/AJ5)</f>
        <v>-</v>
      </c>
      <c r="AL5" s="20">
        <v>0</v>
      </c>
      <c r="AM5" s="21">
        <v>0</v>
      </c>
      <c r="AN5" s="139" t="str">
        <f t="shared" ref="AN5" si="12">IF(AM5=0,"-",AL5/AM5)</f>
        <v>-</v>
      </c>
      <c r="AO5" s="20">
        <v>0</v>
      </c>
      <c r="AP5" s="21">
        <v>0</v>
      </c>
      <c r="AQ5" s="139" t="str">
        <f t="shared" ref="AQ5:AQ6" si="13">IF(AP5=0,"-",AO5/AP5)</f>
        <v>-</v>
      </c>
      <c r="AR5" s="20">
        <v>0</v>
      </c>
      <c r="AS5" s="21">
        <v>0</v>
      </c>
      <c r="AT5" s="139" t="str">
        <f t="shared" ref="AT5:AT6" si="14">IF(AS5=0,"-",AR5/AS5)</f>
        <v>-</v>
      </c>
      <c r="AU5" s="20">
        <v>0</v>
      </c>
      <c r="AV5" s="21">
        <v>0</v>
      </c>
      <c r="AW5" s="139" t="str">
        <f t="shared" ref="AW5:AW6" si="15">IF(AV5=0,"-",AU5/AV5)</f>
        <v>-</v>
      </c>
      <c r="AX5" s="20">
        <v>0</v>
      </c>
      <c r="AY5" s="21">
        <v>0</v>
      </c>
      <c r="AZ5" s="139" t="str">
        <f t="shared" ref="AZ5:AZ6" si="16">IF(AY5=0,"-",AX5/AY5)</f>
        <v>-</v>
      </c>
      <c r="BA5" s="20">
        <v>0</v>
      </c>
      <c r="BB5" s="21">
        <v>0</v>
      </c>
      <c r="BC5" s="139" t="str">
        <f t="shared" ref="BC5:BC6" si="17">IF(BB5=0,"-",BA5/BB5)</f>
        <v>-</v>
      </c>
      <c r="BD5" s="20">
        <v>0</v>
      </c>
      <c r="BE5" s="21">
        <v>0</v>
      </c>
      <c r="BF5" s="139" t="str">
        <f t="shared" ref="BF5:BF6" si="18">IF(BE5=0,"-",BD5/BE5)</f>
        <v>-</v>
      </c>
      <c r="BG5" s="20">
        <v>0</v>
      </c>
      <c r="BH5" s="21">
        <v>0</v>
      </c>
      <c r="BI5" s="276" t="str">
        <f t="shared" ref="BI5:BI32" si="19">IF(BH5=0,"-",BG5/BH5)</f>
        <v>-</v>
      </c>
      <c r="BJ5" s="125">
        <v>39</v>
      </c>
      <c r="BK5" s="126">
        <v>6</v>
      </c>
      <c r="BL5" s="276">
        <f t="shared" ref="BL5:BL9" si="20">IF(BK5=0,"-",BJ5/BK5)</f>
        <v>6.5</v>
      </c>
      <c r="BM5" s="125">
        <v>0</v>
      </c>
      <c r="BN5" s="126">
        <v>0</v>
      </c>
      <c r="BO5" s="276" t="str">
        <f t="shared" ref="BO5:BO6" si="21">IF(BN5=0,"-",BM5/BN5)</f>
        <v>-</v>
      </c>
      <c r="BP5" s="125">
        <v>0</v>
      </c>
      <c r="BQ5" s="126">
        <v>0</v>
      </c>
      <c r="BR5" s="276" t="str">
        <f t="shared" ref="BR5:BR6" si="22">IF(BQ5=0,"-",BP5/BQ5)</f>
        <v>-</v>
      </c>
      <c r="BS5" s="125">
        <v>0</v>
      </c>
      <c r="BT5" s="126">
        <v>0</v>
      </c>
      <c r="BU5" s="276" t="str">
        <f t="shared" ref="BU5:BU32" si="23">IF(BT5=0,"-",BS5/BT5)</f>
        <v>-</v>
      </c>
      <c r="BV5" s="125">
        <v>4</v>
      </c>
      <c r="BW5" s="126">
        <v>2</v>
      </c>
      <c r="BX5" s="276">
        <f t="shared" ref="BX5:BX32" si="24">IF(BW5=0,"-",BV5/BW5)</f>
        <v>2</v>
      </c>
      <c r="BY5" s="125">
        <v>0</v>
      </c>
      <c r="BZ5" s="126">
        <v>0</v>
      </c>
      <c r="CA5" s="276" t="str">
        <f t="shared" ref="CA5:CA32" si="25">IF(BZ5=0,"-",BY5/BZ5)</f>
        <v>-</v>
      </c>
      <c r="CB5" s="125">
        <v>0</v>
      </c>
      <c r="CC5" s="126">
        <v>0</v>
      </c>
      <c r="CD5" s="276" t="str">
        <f t="shared" ref="CD5:CD32" si="26">IF(CC5=0,"-",CB5/CC5)</f>
        <v>-</v>
      </c>
      <c r="CE5" s="125">
        <v>0</v>
      </c>
      <c r="CF5" s="126">
        <v>0</v>
      </c>
      <c r="CG5" s="276" t="str">
        <f t="shared" ref="CG5:CG7" si="27">IF(CF5=0,"-",CE5/CF5)</f>
        <v>-</v>
      </c>
      <c r="CH5" s="125">
        <v>0</v>
      </c>
      <c r="CI5" s="126">
        <v>0</v>
      </c>
      <c r="CJ5" s="276" t="str">
        <f t="shared" ref="CJ5:CJ7" si="28">IF(CI5=0,"-",CH5/CI5)</f>
        <v>-</v>
      </c>
      <c r="CK5" s="125">
        <v>0</v>
      </c>
      <c r="CL5" s="126">
        <v>0</v>
      </c>
      <c r="CM5" s="276" t="str">
        <f t="shared" ref="CM5:CM7" si="29">IF(CL5=0,"-",CK5/CL5)</f>
        <v>-</v>
      </c>
      <c r="CN5" s="117">
        <f t="shared" ref="CN5:CN32" si="30">SUM(B5,E5,K5,Q5,T5,W5,Z5,AC5,AF5,AI5,AL5,AO5,AR5,AX5,BA5,BG5,BJ5,BM5,BP5,BS5,BV5,BY5,CB5,CE5,CH5,CK5)</f>
        <v>110</v>
      </c>
      <c r="CO5" s="120">
        <f t="shared" ref="CO5:CO32" si="31">C5+F5+L5+R5+U5+X5+AA5+AD5+AG5+AJ5+AS5+AV5+AY5+BB5+BE5+BH5+BK5+BN5+BQ5+BT5+CC5+CF5+CI5+CL5</f>
        <v>15</v>
      </c>
      <c r="CP5" s="147">
        <f t="shared" ref="CP5:CP33" si="32">IF(CO5=0,"",CN5/CO5)</f>
        <v>7.333333333333333</v>
      </c>
    </row>
    <row r="6" spans="1:94" ht="15" thickBot="1" x14ac:dyDescent="0.35">
      <c r="A6" s="294">
        <v>45690</v>
      </c>
      <c r="B6" s="20">
        <v>0</v>
      </c>
      <c r="C6" s="21">
        <v>0</v>
      </c>
      <c r="D6" s="139" t="str">
        <f t="shared" si="0"/>
        <v>-</v>
      </c>
      <c r="E6" s="20">
        <v>0</v>
      </c>
      <c r="F6" s="21">
        <v>0</v>
      </c>
      <c r="G6" s="139" t="str">
        <f t="shared" si="1"/>
        <v>-</v>
      </c>
      <c r="H6" s="20">
        <v>0</v>
      </c>
      <c r="I6" s="21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ref="P6:P32" si="33">IF(O6=0,"-",N6/O6)</f>
        <v>-</v>
      </c>
      <c r="Q6" s="20">
        <v>0</v>
      </c>
      <c r="R6" s="21">
        <v>0</v>
      </c>
      <c r="S6" s="139" t="str">
        <f t="shared" ref="S6:S32" si="34">IF(R6=0,"-",Q6/R6)</f>
        <v>-</v>
      </c>
      <c r="T6" s="20">
        <v>0</v>
      </c>
      <c r="U6" s="21">
        <v>0</v>
      </c>
      <c r="V6" s="139" t="str">
        <f t="shared" ref="V6:V32" si="35">IF(U6=0,"-",T6/U6)</f>
        <v>-</v>
      </c>
      <c r="W6" s="20">
        <v>0</v>
      </c>
      <c r="X6" s="21">
        <v>0</v>
      </c>
      <c r="Y6" s="139" t="str">
        <f t="shared" ref="Y6:Y32" si="36">IF(X6=0,"-",W6/X6)</f>
        <v>-</v>
      </c>
      <c r="Z6" s="20">
        <v>0</v>
      </c>
      <c r="AA6" s="21">
        <v>0</v>
      </c>
      <c r="AB6" s="139" t="str">
        <f t="shared" ref="AB6:AB32" si="37">IF(AA6=0,"-",Z6/AA6)</f>
        <v>-</v>
      </c>
      <c r="AC6" s="20">
        <v>0</v>
      </c>
      <c r="AD6" s="21">
        <v>0</v>
      </c>
      <c r="AE6" s="139" t="str">
        <f t="shared" ref="AE6:AE32" si="38">IF(AD6=0,"-",AC6/AD6)</f>
        <v>-</v>
      </c>
      <c r="AF6" s="20">
        <v>0</v>
      </c>
      <c r="AG6" s="21">
        <v>0</v>
      </c>
      <c r="AH6" s="139" t="str">
        <f t="shared" ref="AH6:AH32" si="39">IF(AG6=0,"-",AF6/AG6)</f>
        <v>-</v>
      </c>
      <c r="AI6" s="20">
        <v>0</v>
      </c>
      <c r="AJ6" s="21">
        <v>0</v>
      </c>
      <c r="AK6" s="139" t="str">
        <f t="shared" ref="AK6:AK32" si="40">IF(AJ6=0,"-",AI6/AJ6)</f>
        <v>-</v>
      </c>
      <c r="AL6" s="20">
        <v>0</v>
      </c>
      <c r="AM6" s="21">
        <v>0</v>
      </c>
      <c r="AN6" s="139" t="str">
        <f t="shared" ref="AN6:AN32" si="41">IF(AM6=0,"-",AL6/AM6)</f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276" t="str">
        <f t="shared" si="19"/>
        <v>-</v>
      </c>
      <c r="BJ6" s="125">
        <v>7</v>
      </c>
      <c r="BK6" s="126">
        <v>1</v>
      </c>
      <c r="BL6" s="276">
        <f t="shared" si="20"/>
        <v>7</v>
      </c>
      <c r="BM6" s="125">
        <v>0</v>
      </c>
      <c r="BN6" s="126">
        <v>0</v>
      </c>
      <c r="BO6" s="276" t="str">
        <f t="shared" si="21"/>
        <v>-</v>
      </c>
      <c r="BP6" s="125">
        <v>0</v>
      </c>
      <c r="BQ6" s="126">
        <v>0</v>
      </c>
      <c r="BR6" s="276" t="str">
        <f t="shared" si="22"/>
        <v>-</v>
      </c>
      <c r="BS6" s="125">
        <v>7</v>
      </c>
      <c r="BT6" s="126">
        <v>1</v>
      </c>
      <c r="BU6" s="276">
        <f t="shared" si="23"/>
        <v>7</v>
      </c>
      <c r="BV6" s="125">
        <v>0</v>
      </c>
      <c r="BW6" s="126">
        <v>0</v>
      </c>
      <c r="BX6" s="276" t="str">
        <f t="shared" si="24"/>
        <v>-</v>
      </c>
      <c r="BY6" s="125">
        <v>0</v>
      </c>
      <c r="BZ6" s="126">
        <v>0</v>
      </c>
      <c r="CA6" s="276" t="str">
        <f t="shared" ref="CA6" si="42">IF(BZ6=0,"-",BY6/BZ6)</f>
        <v>-</v>
      </c>
      <c r="CB6" s="125">
        <v>0</v>
      </c>
      <c r="CC6" s="126">
        <v>0</v>
      </c>
      <c r="CD6" s="276" t="str">
        <f t="shared" ref="CD6" si="43">IF(CC6=0,"-",CB6/CC6)</f>
        <v>-</v>
      </c>
      <c r="CE6" s="125">
        <v>0</v>
      </c>
      <c r="CF6" s="126">
        <v>0</v>
      </c>
      <c r="CG6" s="276" t="str">
        <f t="shared" si="27"/>
        <v>-</v>
      </c>
      <c r="CH6" s="125">
        <v>0</v>
      </c>
      <c r="CI6" s="126">
        <v>0</v>
      </c>
      <c r="CJ6" s="276" t="str">
        <f t="shared" si="28"/>
        <v>-</v>
      </c>
      <c r="CK6" s="125">
        <v>0</v>
      </c>
      <c r="CL6" s="126">
        <v>0</v>
      </c>
      <c r="CM6" s="276" t="str">
        <f t="shared" si="29"/>
        <v>-</v>
      </c>
      <c r="CN6" s="117">
        <f t="shared" si="30"/>
        <v>14</v>
      </c>
      <c r="CO6" s="120">
        <f t="shared" si="31"/>
        <v>2</v>
      </c>
      <c r="CP6" s="147">
        <f t="shared" si="32"/>
        <v>7</v>
      </c>
    </row>
    <row r="7" spans="1:94" ht="15" thickBot="1" x14ac:dyDescent="0.35">
      <c r="A7" s="294">
        <v>45691</v>
      </c>
      <c r="B7" s="20">
        <v>41</v>
      </c>
      <c r="C7" s="21">
        <v>5</v>
      </c>
      <c r="D7" s="139">
        <f t="shared" si="0"/>
        <v>8.1999999999999993</v>
      </c>
      <c r="E7" s="20">
        <v>6</v>
      </c>
      <c r="F7" s="21">
        <v>1</v>
      </c>
      <c r="G7" s="139">
        <f t="shared" si="1"/>
        <v>6</v>
      </c>
      <c r="H7" s="20">
        <v>0</v>
      </c>
      <c r="I7" s="21">
        <v>0</v>
      </c>
      <c r="J7" s="139" t="str">
        <f t="shared" si="2"/>
        <v>-</v>
      </c>
      <c r="K7" s="20">
        <v>35</v>
      </c>
      <c r="L7" s="21">
        <v>5</v>
      </c>
      <c r="M7" s="139">
        <f t="shared" si="3"/>
        <v>7</v>
      </c>
      <c r="N7" s="20">
        <v>0</v>
      </c>
      <c r="O7" s="21">
        <v>0</v>
      </c>
      <c r="P7" s="139" t="str">
        <f t="shared" ref="P7:P8" si="44">IF(O7=0,"-",N7/O7)</f>
        <v>-</v>
      </c>
      <c r="Q7" s="20">
        <v>78</v>
      </c>
      <c r="R7" s="21">
        <v>13</v>
      </c>
      <c r="S7" s="139">
        <f t="shared" si="34"/>
        <v>6</v>
      </c>
      <c r="T7" s="20">
        <v>9</v>
      </c>
      <c r="U7" s="21">
        <v>2</v>
      </c>
      <c r="V7" s="139">
        <f t="shared" si="35"/>
        <v>4.5</v>
      </c>
      <c r="W7" s="20">
        <v>0</v>
      </c>
      <c r="X7" s="21">
        <v>0</v>
      </c>
      <c r="Y7" s="278" t="str">
        <f t="shared" si="36"/>
        <v>-</v>
      </c>
      <c r="Z7" s="125">
        <v>25</v>
      </c>
      <c r="AA7" s="126">
        <v>5</v>
      </c>
      <c r="AB7" s="276">
        <f t="shared" si="37"/>
        <v>5</v>
      </c>
      <c r="AC7" s="20">
        <v>0</v>
      </c>
      <c r="AD7" s="21">
        <v>0</v>
      </c>
      <c r="AE7" s="139" t="str">
        <f t="shared" ref="AE7" si="45">IF(AD7=0,"-",AC7/AD7)</f>
        <v>-</v>
      </c>
      <c r="AF7" s="20">
        <v>0</v>
      </c>
      <c r="AG7" s="21">
        <v>0</v>
      </c>
      <c r="AH7" s="139" t="str">
        <f t="shared" ref="AH7" si="46">IF(AG7=0,"-",AF7/AG7)</f>
        <v>-</v>
      </c>
      <c r="AI7" s="125">
        <v>6</v>
      </c>
      <c r="AJ7" s="126">
        <v>1</v>
      </c>
      <c r="AK7" s="276">
        <f t="shared" si="40"/>
        <v>6</v>
      </c>
      <c r="AL7" s="20">
        <v>0</v>
      </c>
      <c r="AM7" s="21">
        <v>0</v>
      </c>
      <c r="AN7" s="139" t="str">
        <f t="shared" ref="AN7" si="47">IF(AM7=0,"-",AL7/AM7)</f>
        <v>-</v>
      </c>
      <c r="AO7" s="125">
        <v>0</v>
      </c>
      <c r="AP7" s="126">
        <v>0</v>
      </c>
      <c r="AQ7" s="276" t="str">
        <f t="shared" ref="AQ7:AQ32" si="48">IF(AP7=0,"-",AO7/AP7)</f>
        <v>-</v>
      </c>
      <c r="AR7" s="20">
        <v>0</v>
      </c>
      <c r="AS7" s="21">
        <v>0</v>
      </c>
      <c r="AT7" s="139" t="str">
        <f t="shared" ref="AT7:AT8" si="49">IF(AS7=0,"-",AR7/AS7)</f>
        <v>-</v>
      </c>
      <c r="AU7" s="125">
        <v>0</v>
      </c>
      <c r="AV7" s="126">
        <v>0</v>
      </c>
      <c r="AW7" s="276" t="str">
        <f t="shared" ref="AW7:AW21" si="50">IF(AV7=0,"-",AU7/AV7)</f>
        <v>-</v>
      </c>
      <c r="AX7" s="125">
        <v>1</v>
      </c>
      <c r="AY7" s="126">
        <v>1</v>
      </c>
      <c r="AZ7" s="276">
        <f t="shared" ref="AZ7:AZ32" si="51">IF(AY7=0,"-",AX7/AY7)</f>
        <v>1</v>
      </c>
      <c r="BA7" s="20">
        <v>0</v>
      </c>
      <c r="BB7" s="21">
        <v>0</v>
      </c>
      <c r="BC7" s="139" t="str">
        <f t="shared" ref="BC7:BC10" si="52">IF(BB7=0,"-",BA7/BB7)</f>
        <v>-</v>
      </c>
      <c r="BD7" s="20">
        <v>0</v>
      </c>
      <c r="BE7" s="21">
        <v>0</v>
      </c>
      <c r="BF7" s="139" t="str">
        <f t="shared" ref="BF7:BF10" si="53">IF(BE7=0,"-",BD7/BE7)</f>
        <v>-</v>
      </c>
      <c r="BG7" s="20">
        <v>0</v>
      </c>
      <c r="BH7" s="21">
        <v>0</v>
      </c>
      <c r="BI7" s="276" t="str">
        <f t="shared" ref="BI7:BI10" si="54">IF(BH7=0,"-",BG7/BH7)</f>
        <v>-</v>
      </c>
      <c r="BJ7" s="125">
        <v>24</v>
      </c>
      <c r="BK7" s="126">
        <v>4</v>
      </c>
      <c r="BL7" s="276">
        <f t="shared" si="20"/>
        <v>6</v>
      </c>
      <c r="BM7" s="125">
        <v>0</v>
      </c>
      <c r="BN7" s="126">
        <v>0</v>
      </c>
      <c r="BO7" s="276" t="str">
        <f t="shared" ref="BO7:BO9" si="55">IF(BN7=0,"-",BM7/BN7)</f>
        <v>-</v>
      </c>
      <c r="BP7" s="125">
        <v>0</v>
      </c>
      <c r="BQ7" s="126">
        <v>0</v>
      </c>
      <c r="BR7" s="276" t="str">
        <f t="shared" ref="BR7:BR9" si="56">IF(BQ7=0,"-",BP7/BQ7)</f>
        <v>-</v>
      </c>
      <c r="BS7" s="125">
        <v>0</v>
      </c>
      <c r="BT7" s="126">
        <v>0</v>
      </c>
      <c r="BU7" s="276" t="str">
        <f t="shared" si="23"/>
        <v>-</v>
      </c>
      <c r="BV7" s="125">
        <v>0</v>
      </c>
      <c r="BW7" s="126">
        <v>0</v>
      </c>
      <c r="BX7" s="276" t="str">
        <f t="shared" ref="BX7:BX9" si="57">IF(BW7=0,"-",BV7/BW7)</f>
        <v>-</v>
      </c>
      <c r="BY7" s="125">
        <v>0</v>
      </c>
      <c r="BZ7" s="126">
        <v>0</v>
      </c>
      <c r="CA7" s="276" t="str">
        <f t="shared" ref="CA7:CA9" si="58">IF(BZ7=0,"-",BY7/BZ7)</f>
        <v>-</v>
      </c>
      <c r="CB7" s="125">
        <v>0</v>
      </c>
      <c r="CC7" s="126">
        <v>0</v>
      </c>
      <c r="CD7" s="276" t="str">
        <f t="shared" ref="CD7:CD9" si="59">IF(CC7=0,"-",CB7/CC7)</f>
        <v>-</v>
      </c>
      <c r="CE7" s="125">
        <v>0</v>
      </c>
      <c r="CF7" s="126">
        <v>0</v>
      </c>
      <c r="CG7" s="276" t="str">
        <f t="shared" si="27"/>
        <v>-</v>
      </c>
      <c r="CH7" s="125">
        <v>0</v>
      </c>
      <c r="CI7" s="126">
        <v>0</v>
      </c>
      <c r="CJ7" s="276" t="str">
        <f t="shared" si="28"/>
        <v>-</v>
      </c>
      <c r="CK7" s="125">
        <v>0</v>
      </c>
      <c r="CL7" s="126">
        <v>0</v>
      </c>
      <c r="CM7" s="276" t="str">
        <f t="shared" si="29"/>
        <v>-</v>
      </c>
      <c r="CN7" s="117">
        <f t="shared" si="30"/>
        <v>225</v>
      </c>
      <c r="CO7" s="120">
        <f t="shared" si="31"/>
        <v>37</v>
      </c>
      <c r="CP7" s="147">
        <f t="shared" si="32"/>
        <v>6.0810810810810807</v>
      </c>
    </row>
    <row r="8" spans="1:94" ht="15" thickBot="1" x14ac:dyDescent="0.35">
      <c r="A8" s="294">
        <v>45692</v>
      </c>
      <c r="B8" s="20">
        <v>25</v>
      </c>
      <c r="C8" s="21">
        <v>3</v>
      </c>
      <c r="D8" s="139">
        <f t="shared" si="0"/>
        <v>8.3333333333333339</v>
      </c>
      <c r="E8" s="20">
        <v>0</v>
      </c>
      <c r="F8" s="21">
        <v>0</v>
      </c>
      <c r="G8" s="139" t="str">
        <f t="shared" si="1"/>
        <v>-</v>
      </c>
      <c r="H8" s="20">
        <v>0</v>
      </c>
      <c r="I8" s="21">
        <v>0</v>
      </c>
      <c r="J8" s="139" t="str">
        <f t="shared" si="2"/>
        <v>-</v>
      </c>
      <c r="K8" s="20">
        <v>41</v>
      </c>
      <c r="L8" s="21">
        <v>5</v>
      </c>
      <c r="M8" s="139">
        <f t="shared" si="3"/>
        <v>8.1999999999999993</v>
      </c>
      <c r="N8" s="20">
        <v>0</v>
      </c>
      <c r="O8" s="21">
        <v>0</v>
      </c>
      <c r="P8" s="139" t="str">
        <f t="shared" si="44"/>
        <v>-</v>
      </c>
      <c r="Q8" s="20">
        <v>57</v>
      </c>
      <c r="R8" s="21">
        <v>10</v>
      </c>
      <c r="S8" s="139">
        <f t="shared" si="34"/>
        <v>5.7</v>
      </c>
      <c r="T8" s="20">
        <v>8</v>
      </c>
      <c r="U8" s="21">
        <v>2</v>
      </c>
      <c r="V8" s="139">
        <f t="shared" si="35"/>
        <v>4</v>
      </c>
      <c r="W8" s="20">
        <v>0</v>
      </c>
      <c r="X8" s="21">
        <v>0</v>
      </c>
      <c r="Y8" s="278" t="str">
        <f t="shared" si="36"/>
        <v>-</v>
      </c>
      <c r="Z8" s="125">
        <v>40</v>
      </c>
      <c r="AA8" s="126">
        <v>8</v>
      </c>
      <c r="AB8" s="276">
        <f t="shared" si="37"/>
        <v>5</v>
      </c>
      <c r="AC8" s="125">
        <v>0</v>
      </c>
      <c r="AD8" s="126">
        <v>0</v>
      </c>
      <c r="AE8" s="276" t="str">
        <f t="shared" si="38"/>
        <v>-</v>
      </c>
      <c r="AF8" s="125">
        <v>0</v>
      </c>
      <c r="AG8" s="126">
        <v>0</v>
      </c>
      <c r="AH8" s="276" t="str">
        <f t="shared" si="39"/>
        <v>-</v>
      </c>
      <c r="AI8" s="125">
        <v>0</v>
      </c>
      <c r="AJ8" s="126">
        <v>0</v>
      </c>
      <c r="AK8" s="276" t="str">
        <f t="shared" si="40"/>
        <v>-</v>
      </c>
      <c r="AL8" s="125">
        <v>0</v>
      </c>
      <c r="AM8" s="126">
        <v>0</v>
      </c>
      <c r="AN8" s="276" t="str">
        <f t="shared" si="41"/>
        <v>-</v>
      </c>
      <c r="AO8" s="125">
        <v>0</v>
      </c>
      <c r="AP8" s="126">
        <v>0</v>
      </c>
      <c r="AQ8" s="276" t="str">
        <f t="shared" si="48"/>
        <v>-</v>
      </c>
      <c r="AR8" s="20">
        <v>0</v>
      </c>
      <c r="AS8" s="21">
        <v>0</v>
      </c>
      <c r="AT8" s="139" t="str">
        <f t="shared" si="49"/>
        <v>-</v>
      </c>
      <c r="AU8" s="125">
        <v>0</v>
      </c>
      <c r="AV8" s="126">
        <v>0</v>
      </c>
      <c r="AW8" s="276" t="str">
        <f t="shared" si="50"/>
        <v>-</v>
      </c>
      <c r="AX8" s="125">
        <v>5</v>
      </c>
      <c r="AY8" s="126">
        <v>1</v>
      </c>
      <c r="AZ8" s="276">
        <f t="shared" si="51"/>
        <v>5</v>
      </c>
      <c r="BA8" s="20">
        <v>0</v>
      </c>
      <c r="BB8" s="21">
        <v>0</v>
      </c>
      <c r="BC8" s="139" t="str">
        <f t="shared" si="52"/>
        <v>-</v>
      </c>
      <c r="BD8" s="20">
        <v>0</v>
      </c>
      <c r="BE8" s="21">
        <v>0</v>
      </c>
      <c r="BF8" s="139" t="str">
        <f t="shared" si="53"/>
        <v>-</v>
      </c>
      <c r="BG8" s="20">
        <v>0</v>
      </c>
      <c r="BH8" s="21">
        <v>0</v>
      </c>
      <c r="BI8" s="276" t="str">
        <f t="shared" si="54"/>
        <v>-</v>
      </c>
      <c r="BJ8" s="125">
        <v>14</v>
      </c>
      <c r="BK8" s="126">
        <v>2</v>
      </c>
      <c r="BL8" s="276">
        <f t="shared" si="20"/>
        <v>7</v>
      </c>
      <c r="BM8" s="125">
        <v>0</v>
      </c>
      <c r="BN8" s="126">
        <v>0</v>
      </c>
      <c r="BO8" s="276" t="str">
        <f t="shared" si="55"/>
        <v>-</v>
      </c>
      <c r="BP8" s="125">
        <v>0</v>
      </c>
      <c r="BQ8" s="126">
        <v>0</v>
      </c>
      <c r="BR8" s="276" t="str">
        <f t="shared" si="56"/>
        <v>-</v>
      </c>
      <c r="BS8" s="125">
        <v>0</v>
      </c>
      <c r="BT8" s="126">
        <v>0</v>
      </c>
      <c r="BU8" s="276" t="str">
        <f t="shared" si="23"/>
        <v>-</v>
      </c>
      <c r="BV8" s="125">
        <v>0</v>
      </c>
      <c r="BW8" s="126">
        <v>0</v>
      </c>
      <c r="BX8" s="276" t="str">
        <f t="shared" si="57"/>
        <v>-</v>
      </c>
      <c r="BY8" s="125">
        <v>0</v>
      </c>
      <c r="BZ8" s="126">
        <v>0</v>
      </c>
      <c r="CA8" s="276" t="str">
        <f t="shared" si="58"/>
        <v>-</v>
      </c>
      <c r="CB8" s="125">
        <v>0</v>
      </c>
      <c r="CC8" s="126">
        <v>0</v>
      </c>
      <c r="CD8" s="276" t="str">
        <f t="shared" si="59"/>
        <v>-</v>
      </c>
      <c r="CE8" s="125">
        <v>3</v>
      </c>
      <c r="CF8" s="126">
        <v>1</v>
      </c>
      <c r="CG8" s="276">
        <f t="shared" ref="CG8:CG32" si="60">IF(CF8=0,"-",CE8/CF8)</f>
        <v>3</v>
      </c>
      <c r="CH8" s="125">
        <v>0</v>
      </c>
      <c r="CI8" s="126">
        <v>0</v>
      </c>
      <c r="CJ8" s="276" t="str">
        <f t="shared" ref="CJ8" si="61">IF(CI8=0,"-",CH8/CI8)</f>
        <v>-</v>
      </c>
      <c r="CK8" s="125">
        <v>0</v>
      </c>
      <c r="CL8" s="126">
        <v>0</v>
      </c>
      <c r="CM8" s="276" t="str">
        <f t="shared" ref="CM8" si="62">IF(CL8=0,"-",CK8/CL8)</f>
        <v>-</v>
      </c>
      <c r="CN8" s="117">
        <f t="shared" si="30"/>
        <v>193</v>
      </c>
      <c r="CO8" s="120">
        <f t="shared" si="31"/>
        <v>32</v>
      </c>
      <c r="CP8" s="147">
        <f t="shared" si="32"/>
        <v>6.03125</v>
      </c>
    </row>
    <row r="9" spans="1:94" ht="15" thickBot="1" x14ac:dyDescent="0.35">
      <c r="A9" s="294">
        <v>45693</v>
      </c>
      <c r="B9" s="20">
        <v>68</v>
      </c>
      <c r="C9" s="21">
        <v>8</v>
      </c>
      <c r="D9" s="139">
        <f t="shared" si="0"/>
        <v>8.5</v>
      </c>
      <c r="E9" s="20">
        <v>8</v>
      </c>
      <c r="F9" s="21">
        <v>1</v>
      </c>
      <c r="G9" s="139">
        <f t="shared" si="1"/>
        <v>8</v>
      </c>
      <c r="H9" s="20">
        <v>0</v>
      </c>
      <c r="I9" s="21">
        <v>0</v>
      </c>
      <c r="J9" s="139" t="str">
        <f t="shared" si="2"/>
        <v>-</v>
      </c>
      <c r="K9" s="20">
        <v>17</v>
      </c>
      <c r="L9" s="21">
        <v>2</v>
      </c>
      <c r="M9" s="139">
        <f t="shared" si="3"/>
        <v>8.5</v>
      </c>
      <c r="N9" s="20">
        <v>0</v>
      </c>
      <c r="O9" s="21">
        <v>0</v>
      </c>
      <c r="P9" s="139" t="str">
        <f t="shared" ref="P9" si="63">IF(O9=0,"-",N9/O9)</f>
        <v>-</v>
      </c>
      <c r="Q9" s="20">
        <v>0</v>
      </c>
      <c r="R9" s="21">
        <v>0</v>
      </c>
      <c r="S9" s="139" t="str">
        <f t="shared" si="34"/>
        <v>-</v>
      </c>
      <c r="T9" s="20">
        <v>0</v>
      </c>
      <c r="U9" s="21">
        <v>0</v>
      </c>
      <c r="V9" s="139" t="str">
        <f t="shared" si="35"/>
        <v>-</v>
      </c>
      <c r="W9" s="20">
        <v>0</v>
      </c>
      <c r="X9" s="21">
        <v>0</v>
      </c>
      <c r="Y9" s="139" t="str">
        <f t="shared" si="36"/>
        <v>-</v>
      </c>
      <c r="Z9" s="20">
        <v>0</v>
      </c>
      <c r="AA9" s="21">
        <v>0</v>
      </c>
      <c r="AB9" s="139" t="str">
        <f t="shared" si="37"/>
        <v>-</v>
      </c>
      <c r="AC9" s="20">
        <v>0</v>
      </c>
      <c r="AD9" s="21">
        <v>0</v>
      </c>
      <c r="AE9" s="139" t="str">
        <f t="shared" si="38"/>
        <v>-</v>
      </c>
      <c r="AF9" s="20">
        <v>0</v>
      </c>
      <c r="AG9" s="21">
        <v>0</v>
      </c>
      <c r="AH9" s="139" t="str">
        <f t="shared" si="39"/>
        <v>-</v>
      </c>
      <c r="AI9" s="20">
        <v>0</v>
      </c>
      <c r="AJ9" s="21">
        <v>0</v>
      </c>
      <c r="AK9" s="139" t="str">
        <f t="shared" si="40"/>
        <v>-</v>
      </c>
      <c r="AL9" s="20">
        <v>0</v>
      </c>
      <c r="AM9" s="21">
        <v>0</v>
      </c>
      <c r="AN9" s="139" t="str">
        <f t="shared" si="41"/>
        <v>-</v>
      </c>
      <c r="AO9" s="125">
        <v>0</v>
      </c>
      <c r="AP9" s="126">
        <v>0</v>
      </c>
      <c r="AQ9" s="276" t="str">
        <f t="shared" si="48"/>
        <v>-</v>
      </c>
      <c r="AR9" s="125">
        <v>10</v>
      </c>
      <c r="AS9" s="126">
        <v>2</v>
      </c>
      <c r="AT9" s="276">
        <f t="shared" ref="AT9:AT32" si="64">IF(AS9=0,"-",AR9/AS9)</f>
        <v>5</v>
      </c>
      <c r="AU9" s="125">
        <v>0</v>
      </c>
      <c r="AV9" s="126">
        <v>0</v>
      </c>
      <c r="AW9" s="276" t="str">
        <f t="shared" si="50"/>
        <v>-</v>
      </c>
      <c r="AX9" s="125">
        <v>2</v>
      </c>
      <c r="AY9" s="126">
        <v>1</v>
      </c>
      <c r="AZ9" s="276">
        <f t="shared" si="51"/>
        <v>2</v>
      </c>
      <c r="BA9" s="20">
        <v>0</v>
      </c>
      <c r="BB9" s="21">
        <v>0</v>
      </c>
      <c r="BC9" s="139" t="str">
        <f t="shared" si="52"/>
        <v>-</v>
      </c>
      <c r="BD9" s="20">
        <v>0</v>
      </c>
      <c r="BE9" s="21">
        <v>0</v>
      </c>
      <c r="BF9" s="139" t="str">
        <f t="shared" si="53"/>
        <v>-</v>
      </c>
      <c r="BG9" s="20">
        <v>0</v>
      </c>
      <c r="BH9" s="21">
        <v>0</v>
      </c>
      <c r="BI9" s="276" t="str">
        <f t="shared" si="54"/>
        <v>-</v>
      </c>
      <c r="BJ9" s="125">
        <v>15</v>
      </c>
      <c r="BK9" s="126">
        <v>2</v>
      </c>
      <c r="BL9" s="276">
        <f t="shared" si="20"/>
        <v>7.5</v>
      </c>
      <c r="BM9" s="125">
        <v>0</v>
      </c>
      <c r="BN9" s="126">
        <v>0</v>
      </c>
      <c r="BO9" s="276" t="str">
        <f t="shared" si="55"/>
        <v>-</v>
      </c>
      <c r="BP9" s="125">
        <v>0</v>
      </c>
      <c r="BQ9" s="126">
        <v>0</v>
      </c>
      <c r="BR9" s="276" t="str">
        <f t="shared" si="56"/>
        <v>-</v>
      </c>
      <c r="BS9" s="125">
        <v>6</v>
      </c>
      <c r="BT9" s="126">
        <v>1</v>
      </c>
      <c r="BU9" s="276">
        <f t="shared" si="23"/>
        <v>6</v>
      </c>
      <c r="BV9" s="125">
        <v>0</v>
      </c>
      <c r="BW9" s="126">
        <v>0</v>
      </c>
      <c r="BX9" s="276" t="str">
        <f t="shared" si="57"/>
        <v>-</v>
      </c>
      <c r="BY9" s="125">
        <v>0</v>
      </c>
      <c r="BZ9" s="126">
        <v>0</v>
      </c>
      <c r="CA9" s="276" t="str">
        <f t="shared" si="58"/>
        <v>-</v>
      </c>
      <c r="CB9" s="125">
        <v>0</v>
      </c>
      <c r="CC9" s="126">
        <v>0</v>
      </c>
      <c r="CD9" s="276" t="str">
        <f t="shared" si="59"/>
        <v>-</v>
      </c>
      <c r="CE9" s="125">
        <v>11</v>
      </c>
      <c r="CF9" s="126">
        <v>2</v>
      </c>
      <c r="CG9" s="276">
        <f t="shared" si="60"/>
        <v>5.5</v>
      </c>
      <c r="CH9" s="125">
        <v>0</v>
      </c>
      <c r="CI9" s="126">
        <v>0</v>
      </c>
      <c r="CJ9" s="276" t="str">
        <f t="shared" ref="CJ9:CJ32" si="65">IF(CI9=0,"-",CH9/CI9)</f>
        <v>-</v>
      </c>
      <c r="CK9" s="125">
        <v>0</v>
      </c>
      <c r="CL9" s="126">
        <v>0</v>
      </c>
      <c r="CM9" s="276" t="str">
        <f t="shared" ref="CM9:CM32" si="66">IF(CL9=0,"-",CK9/CL9)</f>
        <v>-</v>
      </c>
      <c r="CN9" s="117">
        <f t="shared" si="30"/>
        <v>137</v>
      </c>
      <c r="CO9" s="120">
        <f t="shared" si="31"/>
        <v>19</v>
      </c>
      <c r="CP9" s="147">
        <f t="shared" si="32"/>
        <v>7.2105263157894735</v>
      </c>
    </row>
    <row r="10" spans="1:94" ht="15" thickBot="1" x14ac:dyDescent="0.35">
      <c r="A10" s="294">
        <v>45694</v>
      </c>
      <c r="B10" s="20">
        <v>45</v>
      </c>
      <c r="C10" s="21">
        <v>6</v>
      </c>
      <c r="D10" s="139">
        <f t="shared" si="0"/>
        <v>7.5</v>
      </c>
      <c r="E10" s="23">
        <v>15</v>
      </c>
      <c r="F10" s="21">
        <v>2</v>
      </c>
      <c r="G10" s="139">
        <f t="shared" si="1"/>
        <v>7.5</v>
      </c>
      <c r="H10" s="20"/>
      <c r="I10" s="21"/>
      <c r="J10" s="139" t="str">
        <f t="shared" si="2"/>
        <v>-</v>
      </c>
      <c r="K10" s="20">
        <v>0</v>
      </c>
      <c r="L10" s="21">
        <v>0</v>
      </c>
      <c r="M10" s="139" t="str">
        <f t="shared" si="3"/>
        <v>-</v>
      </c>
      <c r="N10" s="125">
        <v>0</v>
      </c>
      <c r="O10" s="126">
        <v>0</v>
      </c>
      <c r="P10" s="139" t="str">
        <f t="shared" si="33"/>
        <v>-</v>
      </c>
      <c r="Q10" s="20">
        <v>122</v>
      </c>
      <c r="R10" s="21">
        <v>28</v>
      </c>
      <c r="S10" s="139">
        <f t="shared" si="34"/>
        <v>4.3571428571428568</v>
      </c>
      <c r="T10" s="20">
        <v>0</v>
      </c>
      <c r="U10" s="21">
        <v>0</v>
      </c>
      <c r="V10" s="139" t="str">
        <f t="shared" ref="V10:V11" si="67">IF(U10=0,"-",T10/U10)</f>
        <v>-</v>
      </c>
      <c r="W10" s="20">
        <v>0</v>
      </c>
      <c r="X10" s="21">
        <v>0</v>
      </c>
      <c r="Y10" s="278" t="str">
        <f t="shared" si="36"/>
        <v>-</v>
      </c>
      <c r="Z10" s="125">
        <v>40</v>
      </c>
      <c r="AA10" s="126">
        <v>8</v>
      </c>
      <c r="AB10" s="276">
        <f t="shared" si="37"/>
        <v>5</v>
      </c>
      <c r="AC10" s="20">
        <v>0</v>
      </c>
      <c r="AD10" s="21">
        <v>0</v>
      </c>
      <c r="AE10" s="139" t="str">
        <f t="shared" ref="AE10:AE15" si="68">IF(AD10=0,"-",AC10/AD10)</f>
        <v>-</v>
      </c>
      <c r="AF10" s="20">
        <v>0</v>
      </c>
      <c r="AG10" s="21">
        <v>0</v>
      </c>
      <c r="AH10" s="139" t="str">
        <f t="shared" ref="AH10:AH15" si="69">IF(AG10=0,"-",AF10/AG10)</f>
        <v>-</v>
      </c>
      <c r="AI10" s="20">
        <v>0</v>
      </c>
      <c r="AJ10" s="21">
        <v>0</v>
      </c>
      <c r="AK10" s="139" t="str">
        <f t="shared" ref="AK10:AK11" si="70">IF(AJ10=0,"-",AI10/AJ10)</f>
        <v>-</v>
      </c>
      <c r="AL10" s="20">
        <v>0</v>
      </c>
      <c r="AM10" s="21">
        <v>0</v>
      </c>
      <c r="AN10" s="139" t="str">
        <f t="shared" ref="AN10:AN11" si="71">IF(AM10=0,"-",AL10/AM10)</f>
        <v>-</v>
      </c>
      <c r="AO10" s="20">
        <v>0</v>
      </c>
      <c r="AP10" s="21">
        <v>0</v>
      </c>
      <c r="AQ10" s="139" t="str">
        <f t="shared" si="48"/>
        <v>-</v>
      </c>
      <c r="AR10" s="20">
        <v>0</v>
      </c>
      <c r="AS10" s="21">
        <v>0</v>
      </c>
      <c r="AT10" s="139" t="str">
        <f t="shared" si="64"/>
        <v>-</v>
      </c>
      <c r="AU10" s="20">
        <v>0</v>
      </c>
      <c r="AV10" s="21">
        <v>0</v>
      </c>
      <c r="AW10" s="139" t="str">
        <f t="shared" si="50"/>
        <v>-</v>
      </c>
      <c r="AX10" s="20">
        <v>0</v>
      </c>
      <c r="AY10" s="21">
        <v>0</v>
      </c>
      <c r="AZ10" s="139" t="str">
        <f t="shared" si="51"/>
        <v>-</v>
      </c>
      <c r="BA10" s="20">
        <v>0</v>
      </c>
      <c r="BB10" s="21">
        <v>0</v>
      </c>
      <c r="BC10" s="139" t="str">
        <f t="shared" si="52"/>
        <v>-</v>
      </c>
      <c r="BD10" s="20">
        <v>0</v>
      </c>
      <c r="BE10" s="21">
        <v>0</v>
      </c>
      <c r="BF10" s="139" t="str">
        <f t="shared" si="53"/>
        <v>-</v>
      </c>
      <c r="BG10" s="20">
        <v>0</v>
      </c>
      <c r="BH10" s="21">
        <v>0</v>
      </c>
      <c r="BI10" s="139" t="str">
        <f t="shared" si="54"/>
        <v>-</v>
      </c>
      <c r="BJ10" s="252">
        <v>39</v>
      </c>
      <c r="BK10" s="253">
        <v>6</v>
      </c>
      <c r="BL10" s="139">
        <f>IF(BK10=0,"-",BJ10/BK10)</f>
        <v>6.5</v>
      </c>
      <c r="BM10" s="125">
        <v>0</v>
      </c>
      <c r="BN10" s="126">
        <v>0</v>
      </c>
      <c r="BO10" s="276" t="str">
        <f t="shared" ref="BO10:BO17" si="72">IF(BN10=0,"-",BM10/BN10)</f>
        <v>-</v>
      </c>
      <c r="BP10" s="125">
        <v>0</v>
      </c>
      <c r="BQ10" s="126">
        <v>0</v>
      </c>
      <c r="BR10" s="276" t="str">
        <f t="shared" ref="BR10:BR17" si="73">IF(BQ10=0,"-",BP10/BQ10)</f>
        <v>-</v>
      </c>
      <c r="BS10" s="125">
        <v>0</v>
      </c>
      <c r="BT10" s="126">
        <v>0</v>
      </c>
      <c r="BU10" s="276" t="str">
        <f t="shared" si="23"/>
        <v>-</v>
      </c>
      <c r="BV10" s="125">
        <v>0</v>
      </c>
      <c r="BW10" s="126">
        <v>0</v>
      </c>
      <c r="BX10" s="276" t="str">
        <f t="shared" ref="BX10:BX12" si="74">IF(BW10=0,"-",BV10/BW10)</f>
        <v>-</v>
      </c>
      <c r="BY10" s="125">
        <v>0</v>
      </c>
      <c r="BZ10" s="126">
        <v>0</v>
      </c>
      <c r="CA10" s="276" t="str">
        <f t="shared" ref="CA10:CA12" si="75">IF(BZ10=0,"-",BY10/BZ10)</f>
        <v>-</v>
      </c>
      <c r="CB10" s="125">
        <v>0</v>
      </c>
      <c r="CC10" s="126">
        <v>0</v>
      </c>
      <c r="CD10" s="276" t="str">
        <f t="shared" ref="CD10:CD12" si="76">IF(CC10=0,"-",CB10/CC10)</f>
        <v>-</v>
      </c>
      <c r="CE10" s="125">
        <v>0</v>
      </c>
      <c r="CF10" s="126">
        <v>0</v>
      </c>
      <c r="CG10" s="276" t="str">
        <f t="shared" si="60"/>
        <v>-</v>
      </c>
      <c r="CH10" s="125">
        <v>0</v>
      </c>
      <c r="CI10" s="126">
        <v>0</v>
      </c>
      <c r="CJ10" s="276" t="str">
        <f t="shared" si="65"/>
        <v>-</v>
      </c>
      <c r="CK10" s="125">
        <v>0</v>
      </c>
      <c r="CL10" s="126">
        <v>0</v>
      </c>
      <c r="CM10" s="276" t="str">
        <f t="shared" si="66"/>
        <v>-</v>
      </c>
      <c r="CN10" s="117">
        <f t="shared" si="30"/>
        <v>261</v>
      </c>
      <c r="CO10" s="120">
        <f t="shared" si="31"/>
        <v>50</v>
      </c>
      <c r="CP10" s="147">
        <f t="shared" si="32"/>
        <v>5.22</v>
      </c>
    </row>
    <row r="11" spans="1:94" ht="15" thickBot="1" x14ac:dyDescent="0.35">
      <c r="A11" s="294">
        <v>45695</v>
      </c>
      <c r="B11" s="20">
        <v>50</v>
      </c>
      <c r="C11" s="21">
        <v>8</v>
      </c>
      <c r="D11" s="139">
        <f t="shared" si="0"/>
        <v>6.25</v>
      </c>
      <c r="E11" s="23">
        <v>8</v>
      </c>
      <c r="F11" s="21">
        <v>1</v>
      </c>
      <c r="G11" s="139">
        <f t="shared" si="1"/>
        <v>8</v>
      </c>
      <c r="H11" s="20"/>
      <c r="I11" s="21"/>
      <c r="J11" s="139" t="str">
        <f t="shared" si="2"/>
        <v>-</v>
      </c>
      <c r="K11" s="20">
        <v>26</v>
      </c>
      <c r="L11" s="21">
        <v>3</v>
      </c>
      <c r="M11" s="139">
        <f t="shared" si="3"/>
        <v>8.6666666666666661</v>
      </c>
      <c r="N11" s="125">
        <v>0</v>
      </c>
      <c r="O11" s="126">
        <v>0</v>
      </c>
      <c r="P11" s="139" t="str">
        <f t="shared" ref="P11:P12" si="77">IF(O11=0,"-",N11/O11)</f>
        <v>-</v>
      </c>
      <c r="Q11" s="20">
        <v>44</v>
      </c>
      <c r="R11" s="21">
        <v>9</v>
      </c>
      <c r="S11" s="139">
        <f t="shared" si="34"/>
        <v>4.8888888888888893</v>
      </c>
      <c r="T11" s="20">
        <v>0</v>
      </c>
      <c r="U11" s="21">
        <v>0</v>
      </c>
      <c r="V11" s="139" t="str">
        <f t="shared" si="67"/>
        <v>-</v>
      </c>
      <c r="W11" s="20">
        <v>0</v>
      </c>
      <c r="X11" s="21">
        <v>0</v>
      </c>
      <c r="Y11" s="278" t="str">
        <f t="shared" si="36"/>
        <v>-</v>
      </c>
      <c r="Z11" s="125">
        <v>40</v>
      </c>
      <c r="AA11" s="126">
        <v>8</v>
      </c>
      <c r="AB11" s="276">
        <f t="shared" si="37"/>
        <v>5</v>
      </c>
      <c r="AC11" s="20">
        <v>0</v>
      </c>
      <c r="AD11" s="21">
        <v>0</v>
      </c>
      <c r="AE11" s="139" t="str">
        <f t="shared" si="68"/>
        <v>-</v>
      </c>
      <c r="AF11" s="20">
        <v>0</v>
      </c>
      <c r="AG11" s="21">
        <v>0</v>
      </c>
      <c r="AH11" s="139" t="str">
        <f t="shared" si="69"/>
        <v>-</v>
      </c>
      <c r="AI11" s="20">
        <v>0</v>
      </c>
      <c r="AJ11" s="21">
        <v>0</v>
      </c>
      <c r="AK11" s="139" t="str">
        <f t="shared" si="70"/>
        <v>-</v>
      </c>
      <c r="AL11" s="20">
        <v>0</v>
      </c>
      <c r="AM11" s="21">
        <v>0</v>
      </c>
      <c r="AN11" s="139" t="str">
        <f t="shared" si="71"/>
        <v>-</v>
      </c>
      <c r="AO11" s="20">
        <v>0</v>
      </c>
      <c r="AP11" s="21">
        <v>0</v>
      </c>
      <c r="AQ11" s="139" t="str">
        <f t="shared" si="48"/>
        <v>-</v>
      </c>
      <c r="AR11" s="20">
        <v>0</v>
      </c>
      <c r="AS11" s="21">
        <v>0</v>
      </c>
      <c r="AT11" s="139" t="str">
        <f t="shared" ref="AT11:AT16" si="78">IF(AS11=0,"-",AR11/AS11)</f>
        <v>-</v>
      </c>
      <c r="AU11" s="20">
        <v>0</v>
      </c>
      <c r="AV11" s="21">
        <v>0</v>
      </c>
      <c r="AW11" s="139" t="str">
        <f t="shared" ref="AW11:AW16" si="79">IF(AV11=0,"-",AU11/AV11)</f>
        <v>-</v>
      </c>
      <c r="AX11" s="20">
        <v>0</v>
      </c>
      <c r="AY11" s="21">
        <v>0</v>
      </c>
      <c r="AZ11" s="139" t="str">
        <f t="shared" ref="AZ11:AZ16" si="80">IF(AY11=0,"-",AX11/AY11)</f>
        <v>-</v>
      </c>
      <c r="BA11" s="20">
        <v>0</v>
      </c>
      <c r="BB11" s="21">
        <v>0</v>
      </c>
      <c r="BC11" s="139" t="str">
        <f t="shared" ref="BC11:BC16" si="81">IF(BB11=0,"-",BA11/BB11)</f>
        <v>-</v>
      </c>
      <c r="BD11" s="20">
        <v>0</v>
      </c>
      <c r="BE11" s="21">
        <v>0</v>
      </c>
      <c r="BF11" s="139" t="str">
        <f t="shared" ref="BF11:BF16" si="82">IF(BE11=0,"-",BD11/BE11)</f>
        <v>-</v>
      </c>
      <c r="BG11" s="20">
        <v>0</v>
      </c>
      <c r="BH11" s="21">
        <v>0</v>
      </c>
      <c r="BI11" s="139" t="str">
        <f t="shared" ref="BI11:BI16" si="83">IF(BH11=0,"-",BG11/BH11)</f>
        <v>-</v>
      </c>
      <c r="BJ11" s="252">
        <v>12</v>
      </c>
      <c r="BK11" s="253">
        <v>2</v>
      </c>
      <c r="BL11" s="139">
        <f t="shared" ref="BL11" si="84">IF(BK11=0,"-",BJ11/BK11)</f>
        <v>6</v>
      </c>
      <c r="BM11" s="125">
        <v>0</v>
      </c>
      <c r="BN11" s="126">
        <v>0</v>
      </c>
      <c r="BO11" s="276" t="str">
        <f t="shared" si="72"/>
        <v>-</v>
      </c>
      <c r="BP11" s="125">
        <v>0</v>
      </c>
      <c r="BQ11" s="126">
        <v>0</v>
      </c>
      <c r="BR11" s="276" t="str">
        <f t="shared" si="73"/>
        <v>-</v>
      </c>
      <c r="BS11" s="125">
        <v>0</v>
      </c>
      <c r="BT11" s="126">
        <v>0</v>
      </c>
      <c r="BU11" s="276" t="str">
        <f t="shared" si="23"/>
        <v>-</v>
      </c>
      <c r="BV11" s="125">
        <v>0</v>
      </c>
      <c r="BW11" s="126">
        <v>0</v>
      </c>
      <c r="BX11" s="276" t="str">
        <f t="shared" si="74"/>
        <v>-</v>
      </c>
      <c r="BY11" s="125">
        <v>0</v>
      </c>
      <c r="BZ11" s="126">
        <v>0</v>
      </c>
      <c r="CA11" s="276" t="str">
        <f t="shared" si="75"/>
        <v>-</v>
      </c>
      <c r="CB11" s="125">
        <v>0</v>
      </c>
      <c r="CC11" s="126">
        <v>0</v>
      </c>
      <c r="CD11" s="276" t="str">
        <f t="shared" si="76"/>
        <v>-</v>
      </c>
      <c r="CE11" s="125">
        <v>0</v>
      </c>
      <c r="CF11" s="126">
        <v>0</v>
      </c>
      <c r="CG11" s="276" t="str">
        <f t="shared" ref="CG11:CG16" si="85">IF(CF11=0,"-",CE11/CF11)</f>
        <v>-</v>
      </c>
      <c r="CH11" s="125">
        <v>0</v>
      </c>
      <c r="CI11" s="126">
        <v>0</v>
      </c>
      <c r="CJ11" s="276" t="str">
        <f t="shared" ref="CJ11:CJ16" si="86">IF(CI11=0,"-",CH11/CI11)</f>
        <v>-</v>
      </c>
      <c r="CK11" s="125">
        <v>0</v>
      </c>
      <c r="CL11" s="126">
        <v>0</v>
      </c>
      <c r="CM11" s="276" t="str">
        <f t="shared" ref="CM11:CM16" si="87">IF(CL11=0,"-",CK11/CL11)</f>
        <v>-</v>
      </c>
      <c r="CN11" s="117">
        <f t="shared" si="30"/>
        <v>180</v>
      </c>
      <c r="CO11" s="120">
        <f t="shared" si="31"/>
        <v>31</v>
      </c>
      <c r="CP11" s="147">
        <f t="shared" si="32"/>
        <v>5.806451612903226</v>
      </c>
    </row>
    <row r="12" spans="1:94" ht="16.2" customHeight="1" thickBot="1" x14ac:dyDescent="0.35">
      <c r="A12" s="294">
        <v>45696</v>
      </c>
      <c r="B12" s="20">
        <v>18</v>
      </c>
      <c r="C12" s="21">
        <v>4</v>
      </c>
      <c r="D12" s="139">
        <f t="shared" si="0"/>
        <v>4.5</v>
      </c>
      <c r="E12" s="23">
        <v>0</v>
      </c>
      <c r="F12" s="21">
        <v>0</v>
      </c>
      <c r="G12" s="139" t="str">
        <f t="shared" si="1"/>
        <v>-</v>
      </c>
      <c r="H12" s="20"/>
      <c r="I12" s="21"/>
      <c r="J12" s="139" t="str">
        <f t="shared" si="2"/>
        <v>-</v>
      </c>
      <c r="K12" s="20">
        <v>8</v>
      </c>
      <c r="L12" s="21">
        <v>1</v>
      </c>
      <c r="M12" s="139">
        <f t="shared" si="3"/>
        <v>8</v>
      </c>
      <c r="N12" s="125">
        <v>0</v>
      </c>
      <c r="O12" s="126">
        <v>0</v>
      </c>
      <c r="P12" s="139" t="str">
        <f t="shared" si="77"/>
        <v>-</v>
      </c>
      <c r="Q12" s="23">
        <v>0</v>
      </c>
      <c r="R12" s="21">
        <v>0</v>
      </c>
      <c r="S12" s="139" t="str">
        <f t="shared" si="34"/>
        <v>-</v>
      </c>
      <c r="T12" s="20">
        <v>0</v>
      </c>
      <c r="U12" s="21">
        <v>0</v>
      </c>
      <c r="V12" s="139" t="str">
        <f t="shared" si="35"/>
        <v>-</v>
      </c>
      <c r="W12" s="20">
        <v>0</v>
      </c>
      <c r="X12" s="21">
        <v>0</v>
      </c>
      <c r="Y12" s="278" t="str">
        <f t="shared" si="36"/>
        <v>-</v>
      </c>
      <c r="Z12" s="20">
        <v>0</v>
      </c>
      <c r="AA12" s="21">
        <v>0</v>
      </c>
      <c r="AB12" s="278" t="str">
        <f t="shared" si="37"/>
        <v>-</v>
      </c>
      <c r="AC12" s="20">
        <v>0</v>
      </c>
      <c r="AD12" s="21">
        <v>0</v>
      </c>
      <c r="AE12" s="139" t="str">
        <f t="shared" si="68"/>
        <v>-</v>
      </c>
      <c r="AF12" s="20">
        <v>0</v>
      </c>
      <c r="AG12" s="21">
        <v>0</v>
      </c>
      <c r="AH12" s="139" t="str">
        <f t="shared" si="69"/>
        <v>-</v>
      </c>
      <c r="AI12" s="20">
        <v>10</v>
      </c>
      <c r="AJ12" s="21">
        <v>2</v>
      </c>
      <c r="AK12" s="139">
        <f t="shared" si="40"/>
        <v>5</v>
      </c>
      <c r="AL12" s="20">
        <v>18</v>
      </c>
      <c r="AM12" s="21">
        <v>3</v>
      </c>
      <c r="AN12" s="139">
        <f t="shared" si="41"/>
        <v>6</v>
      </c>
      <c r="AO12" s="20">
        <v>0</v>
      </c>
      <c r="AP12" s="21">
        <v>0</v>
      </c>
      <c r="AQ12" s="139" t="str">
        <f t="shared" si="48"/>
        <v>-</v>
      </c>
      <c r="AR12" s="20">
        <v>0</v>
      </c>
      <c r="AS12" s="21">
        <v>0</v>
      </c>
      <c r="AT12" s="139" t="str">
        <f t="shared" si="78"/>
        <v>-</v>
      </c>
      <c r="AU12" s="20">
        <v>0</v>
      </c>
      <c r="AV12" s="21">
        <v>0</v>
      </c>
      <c r="AW12" s="139" t="str">
        <f t="shared" si="79"/>
        <v>-</v>
      </c>
      <c r="AX12" s="20">
        <v>0</v>
      </c>
      <c r="AY12" s="21">
        <v>0</v>
      </c>
      <c r="AZ12" s="139" t="str">
        <f t="shared" si="80"/>
        <v>-</v>
      </c>
      <c r="BA12" s="20">
        <v>0</v>
      </c>
      <c r="BB12" s="21">
        <v>0</v>
      </c>
      <c r="BC12" s="139" t="str">
        <f t="shared" si="81"/>
        <v>-</v>
      </c>
      <c r="BD12" s="20">
        <v>0</v>
      </c>
      <c r="BE12" s="21">
        <v>0</v>
      </c>
      <c r="BF12" s="139" t="str">
        <f t="shared" si="82"/>
        <v>-</v>
      </c>
      <c r="BG12" s="20">
        <v>0</v>
      </c>
      <c r="BH12" s="21">
        <v>0</v>
      </c>
      <c r="BI12" s="139" t="str">
        <f t="shared" si="83"/>
        <v>-</v>
      </c>
      <c r="BJ12" s="252">
        <v>0</v>
      </c>
      <c r="BK12" s="253">
        <v>0</v>
      </c>
      <c r="BL12" s="319" t="s">
        <v>89</v>
      </c>
      <c r="BM12" s="125">
        <v>0</v>
      </c>
      <c r="BN12" s="126">
        <v>0</v>
      </c>
      <c r="BO12" s="276" t="str">
        <f t="shared" si="72"/>
        <v>-</v>
      </c>
      <c r="BP12" s="125">
        <v>0</v>
      </c>
      <c r="BQ12" s="126">
        <v>0</v>
      </c>
      <c r="BR12" s="276" t="str">
        <f t="shared" si="73"/>
        <v>-</v>
      </c>
      <c r="BS12" s="257">
        <v>13</v>
      </c>
      <c r="BT12" s="253">
        <v>2</v>
      </c>
      <c r="BU12" s="276">
        <f t="shared" si="23"/>
        <v>6.5</v>
      </c>
      <c r="BV12" s="125">
        <v>0</v>
      </c>
      <c r="BW12" s="126">
        <v>0</v>
      </c>
      <c r="BX12" s="276" t="str">
        <f t="shared" si="74"/>
        <v>-</v>
      </c>
      <c r="BY12" s="125">
        <v>0</v>
      </c>
      <c r="BZ12" s="126">
        <v>0</v>
      </c>
      <c r="CA12" s="276" t="str">
        <f t="shared" si="75"/>
        <v>-</v>
      </c>
      <c r="CB12" s="125">
        <v>0</v>
      </c>
      <c r="CC12" s="126">
        <v>0</v>
      </c>
      <c r="CD12" s="276" t="str">
        <f t="shared" si="76"/>
        <v>-</v>
      </c>
      <c r="CE12" s="125">
        <v>0</v>
      </c>
      <c r="CF12" s="126">
        <v>0</v>
      </c>
      <c r="CG12" s="276" t="str">
        <f t="shared" si="85"/>
        <v>-</v>
      </c>
      <c r="CH12" s="125">
        <v>0</v>
      </c>
      <c r="CI12" s="126">
        <v>0</v>
      </c>
      <c r="CJ12" s="276" t="str">
        <f t="shared" si="86"/>
        <v>-</v>
      </c>
      <c r="CK12" s="125">
        <v>0</v>
      </c>
      <c r="CL12" s="126">
        <v>0</v>
      </c>
      <c r="CM12" s="276" t="str">
        <f t="shared" si="87"/>
        <v>-</v>
      </c>
      <c r="CN12" s="117">
        <f t="shared" si="30"/>
        <v>67</v>
      </c>
      <c r="CO12" s="120">
        <f t="shared" si="31"/>
        <v>9</v>
      </c>
      <c r="CP12" s="147">
        <f t="shared" si="32"/>
        <v>7.4444444444444446</v>
      </c>
    </row>
    <row r="13" spans="1:94" ht="15" thickBot="1" x14ac:dyDescent="0.35">
      <c r="A13" s="294">
        <v>45697</v>
      </c>
      <c r="B13" s="20">
        <v>21</v>
      </c>
      <c r="C13" s="21">
        <v>3</v>
      </c>
      <c r="D13" s="139">
        <f t="shared" si="0"/>
        <v>7</v>
      </c>
      <c r="E13" s="23">
        <v>8</v>
      </c>
      <c r="F13" s="21">
        <v>1</v>
      </c>
      <c r="G13" s="139">
        <f t="shared" si="1"/>
        <v>8</v>
      </c>
      <c r="H13" s="20"/>
      <c r="I13" s="21"/>
      <c r="J13" s="139" t="str">
        <f t="shared" si="2"/>
        <v>-</v>
      </c>
      <c r="K13" s="20">
        <v>43</v>
      </c>
      <c r="L13" s="21">
        <v>5</v>
      </c>
      <c r="M13" s="139">
        <f t="shared" si="3"/>
        <v>8.6</v>
      </c>
      <c r="N13" s="125">
        <v>0</v>
      </c>
      <c r="O13" s="126">
        <v>0</v>
      </c>
      <c r="P13" s="139" t="str">
        <f t="shared" ref="P13:P15" si="88">IF(O13=0,"-",N13/O13)</f>
        <v>-</v>
      </c>
      <c r="Q13" s="23">
        <v>0</v>
      </c>
      <c r="R13" s="21">
        <v>0</v>
      </c>
      <c r="S13" s="139" t="str">
        <f t="shared" ref="S13" si="89">IF(R13=0,"-",Q13/R13)</f>
        <v>-</v>
      </c>
      <c r="T13" s="20">
        <v>0</v>
      </c>
      <c r="U13" s="21">
        <v>0</v>
      </c>
      <c r="V13" s="139" t="str">
        <f t="shared" ref="V13" si="90">IF(U13=0,"-",T13/U13)</f>
        <v>-</v>
      </c>
      <c r="W13" s="20">
        <v>0</v>
      </c>
      <c r="X13" s="21">
        <v>0</v>
      </c>
      <c r="Y13" s="278" t="str">
        <f t="shared" si="36"/>
        <v>-</v>
      </c>
      <c r="Z13" s="20">
        <v>0</v>
      </c>
      <c r="AA13" s="21">
        <v>0</v>
      </c>
      <c r="AB13" s="278" t="str">
        <f t="shared" ref="AB13" si="91">IF(AA13=0,"-",Z13/AA13)</f>
        <v>-</v>
      </c>
      <c r="AC13" s="20">
        <v>0</v>
      </c>
      <c r="AD13" s="21">
        <v>0</v>
      </c>
      <c r="AE13" s="139" t="str">
        <f t="shared" si="68"/>
        <v>-</v>
      </c>
      <c r="AF13" s="20">
        <v>0</v>
      </c>
      <c r="AG13" s="21">
        <v>0</v>
      </c>
      <c r="AH13" s="139" t="str">
        <f t="shared" si="69"/>
        <v>-</v>
      </c>
      <c r="AI13" s="20">
        <v>0</v>
      </c>
      <c r="AJ13" s="21">
        <v>0</v>
      </c>
      <c r="AK13" s="139" t="str">
        <f t="shared" si="40"/>
        <v>-</v>
      </c>
      <c r="AL13" s="20">
        <v>0</v>
      </c>
      <c r="AM13" s="21">
        <v>0</v>
      </c>
      <c r="AN13" s="139" t="str">
        <f t="shared" si="41"/>
        <v>-</v>
      </c>
      <c r="AO13" s="20">
        <v>0</v>
      </c>
      <c r="AP13" s="21">
        <v>0</v>
      </c>
      <c r="AQ13" s="139" t="str">
        <f t="shared" si="48"/>
        <v>-</v>
      </c>
      <c r="AR13" s="20">
        <v>0</v>
      </c>
      <c r="AS13" s="21">
        <v>0</v>
      </c>
      <c r="AT13" s="139" t="str">
        <f t="shared" si="78"/>
        <v>-</v>
      </c>
      <c r="AU13" s="20">
        <v>0</v>
      </c>
      <c r="AV13" s="21">
        <v>0</v>
      </c>
      <c r="AW13" s="139" t="str">
        <f t="shared" si="79"/>
        <v>-</v>
      </c>
      <c r="AX13" s="20">
        <v>0</v>
      </c>
      <c r="AY13" s="21">
        <v>0</v>
      </c>
      <c r="AZ13" s="139" t="str">
        <f t="shared" si="80"/>
        <v>-</v>
      </c>
      <c r="BA13" s="20">
        <v>0</v>
      </c>
      <c r="BB13" s="21">
        <v>0</v>
      </c>
      <c r="BC13" s="139" t="str">
        <f t="shared" si="81"/>
        <v>-</v>
      </c>
      <c r="BD13" s="20">
        <v>0</v>
      </c>
      <c r="BE13" s="21">
        <v>0</v>
      </c>
      <c r="BF13" s="139" t="str">
        <f t="shared" si="82"/>
        <v>-</v>
      </c>
      <c r="BG13" s="20">
        <v>0</v>
      </c>
      <c r="BH13" s="21">
        <v>0</v>
      </c>
      <c r="BI13" s="139" t="str">
        <f t="shared" si="83"/>
        <v>-</v>
      </c>
      <c r="BJ13" s="252">
        <v>0</v>
      </c>
      <c r="BK13" s="253">
        <v>0</v>
      </c>
      <c r="BL13" s="322" t="s">
        <v>90</v>
      </c>
      <c r="BM13" s="125">
        <v>0</v>
      </c>
      <c r="BN13" s="126">
        <v>0</v>
      </c>
      <c r="BO13" s="276" t="str">
        <f t="shared" si="72"/>
        <v>-</v>
      </c>
      <c r="BP13" s="125">
        <v>0</v>
      </c>
      <c r="BQ13" s="126">
        <v>0</v>
      </c>
      <c r="BR13" s="276" t="str">
        <f t="shared" si="73"/>
        <v>-</v>
      </c>
      <c r="BS13" s="257">
        <v>0</v>
      </c>
      <c r="BT13" s="253">
        <v>0</v>
      </c>
      <c r="BU13" s="276" t="str">
        <f t="shared" si="23"/>
        <v>-</v>
      </c>
      <c r="BV13" s="20">
        <v>1</v>
      </c>
      <c r="BW13" s="21">
        <v>1</v>
      </c>
      <c r="BX13" s="139">
        <f t="shared" si="24"/>
        <v>1</v>
      </c>
      <c r="BY13" s="125">
        <v>0</v>
      </c>
      <c r="BZ13" s="126">
        <v>0</v>
      </c>
      <c r="CA13" s="276" t="str">
        <f t="shared" ref="CA13:CA15" si="92">IF(BZ13=0,"-",BY13/BZ13)</f>
        <v>-</v>
      </c>
      <c r="CB13" s="20">
        <v>1</v>
      </c>
      <c r="CC13" s="21">
        <v>1</v>
      </c>
      <c r="CD13" s="139">
        <f t="shared" si="26"/>
        <v>1</v>
      </c>
      <c r="CE13" s="125">
        <v>0</v>
      </c>
      <c r="CF13" s="126">
        <v>0</v>
      </c>
      <c r="CG13" s="276" t="str">
        <f t="shared" si="85"/>
        <v>-</v>
      </c>
      <c r="CH13" s="125">
        <v>0</v>
      </c>
      <c r="CI13" s="126">
        <v>0</v>
      </c>
      <c r="CJ13" s="276" t="str">
        <f t="shared" si="86"/>
        <v>-</v>
      </c>
      <c r="CK13" s="125">
        <v>0</v>
      </c>
      <c r="CL13" s="126">
        <v>0</v>
      </c>
      <c r="CM13" s="276" t="str">
        <f t="shared" si="87"/>
        <v>-</v>
      </c>
      <c r="CN13" s="117">
        <f t="shared" si="30"/>
        <v>74</v>
      </c>
      <c r="CO13" s="120">
        <f t="shared" si="31"/>
        <v>10</v>
      </c>
      <c r="CP13" s="147">
        <f t="shared" si="32"/>
        <v>7.4</v>
      </c>
    </row>
    <row r="14" spans="1:94" ht="15" thickBot="1" x14ac:dyDescent="0.35">
      <c r="A14" s="294">
        <v>45698</v>
      </c>
      <c r="B14" s="20">
        <v>23</v>
      </c>
      <c r="C14" s="21">
        <v>3</v>
      </c>
      <c r="D14" s="139">
        <f t="shared" si="0"/>
        <v>7.666666666666667</v>
      </c>
      <c r="E14" s="23">
        <v>0</v>
      </c>
      <c r="F14" s="21">
        <v>0</v>
      </c>
      <c r="G14" s="139" t="str">
        <f t="shared" si="1"/>
        <v>-</v>
      </c>
      <c r="H14" s="20"/>
      <c r="I14" s="21"/>
      <c r="J14" s="139" t="str">
        <f t="shared" si="2"/>
        <v>-</v>
      </c>
      <c r="K14" s="20">
        <v>16</v>
      </c>
      <c r="L14" s="21">
        <v>2</v>
      </c>
      <c r="M14" s="139">
        <f t="shared" si="3"/>
        <v>8</v>
      </c>
      <c r="N14" s="125">
        <v>0</v>
      </c>
      <c r="O14" s="126">
        <v>0</v>
      </c>
      <c r="P14" s="139" t="str">
        <f t="shared" si="88"/>
        <v>-</v>
      </c>
      <c r="Q14" s="20">
        <v>56</v>
      </c>
      <c r="R14" s="21">
        <v>10</v>
      </c>
      <c r="S14" s="139">
        <f t="shared" si="34"/>
        <v>5.6</v>
      </c>
      <c r="T14" s="20">
        <v>26</v>
      </c>
      <c r="U14" s="21">
        <v>6</v>
      </c>
      <c r="V14" s="139">
        <f t="shared" si="35"/>
        <v>4.333333333333333</v>
      </c>
      <c r="W14" s="20">
        <v>0</v>
      </c>
      <c r="X14" s="21">
        <v>0</v>
      </c>
      <c r="Y14" s="139" t="str">
        <f t="shared" si="36"/>
        <v>-</v>
      </c>
      <c r="Z14" s="20">
        <v>25</v>
      </c>
      <c r="AA14" s="21">
        <v>5</v>
      </c>
      <c r="AB14" s="139">
        <f t="shared" si="37"/>
        <v>5</v>
      </c>
      <c r="AC14" s="20">
        <v>0</v>
      </c>
      <c r="AD14" s="21">
        <v>0</v>
      </c>
      <c r="AE14" s="139" t="str">
        <f t="shared" si="68"/>
        <v>-</v>
      </c>
      <c r="AF14" s="20">
        <v>0</v>
      </c>
      <c r="AG14" s="21">
        <v>0</v>
      </c>
      <c r="AH14" s="139" t="str">
        <f t="shared" si="69"/>
        <v>-</v>
      </c>
      <c r="AI14" s="20">
        <v>0</v>
      </c>
      <c r="AJ14" s="21">
        <v>0</v>
      </c>
      <c r="AK14" s="139" t="str">
        <f t="shared" si="40"/>
        <v>-</v>
      </c>
      <c r="AL14" s="20">
        <v>0</v>
      </c>
      <c r="AM14" s="21">
        <v>0</v>
      </c>
      <c r="AN14" s="139" t="str">
        <f t="shared" si="41"/>
        <v>-</v>
      </c>
      <c r="AO14" s="20">
        <v>0</v>
      </c>
      <c r="AP14" s="21">
        <v>0</v>
      </c>
      <c r="AQ14" s="139" t="str">
        <f t="shared" si="48"/>
        <v>-</v>
      </c>
      <c r="AR14" s="20">
        <v>0</v>
      </c>
      <c r="AS14" s="21">
        <v>0</v>
      </c>
      <c r="AT14" s="139" t="str">
        <f t="shared" si="78"/>
        <v>-</v>
      </c>
      <c r="AU14" s="20">
        <v>0</v>
      </c>
      <c r="AV14" s="21">
        <v>0</v>
      </c>
      <c r="AW14" s="139" t="str">
        <f t="shared" si="79"/>
        <v>-</v>
      </c>
      <c r="AX14" s="20">
        <v>0</v>
      </c>
      <c r="AY14" s="21">
        <v>0</v>
      </c>
      <c r="AZ14" s="139" t="str">
        <f t="shared" si="80"/>
        <v>-</v>
      </c>
      <c r="BA14" s="20">
        <v>0</v>
      </c>
      <c r="BB14" s="21">
        <v>0</v>
      </c>
      <c r="BC14" s="139" t="str">
        <f t="shared" si="81"/>
        <v>-</v>
      </c>
      <c r="BD14" s="20">
        <v>0</v>
      </c>
      <c r="BE14" s="21">
        <v>0</v>
      </c>
      <c r="BF14" s="139" t="str">
        <f t="shared" si="82"/>
        <v>-</v>
      </c>
      <c r="BG14" s="20">
        <v>0</v>
      </c>
      <c r="BH14" s="21">
        <v>0</v>
      </c>
      <c r="BI14" s="139" t="str">
        <f t="shared" si="83"/>
        <v>-</v>
      </c>
      <c r="BJ14" s="252">
        <v>19</v>
      </c>
      <c r="BK14" s="253">
        <v>3</v>
      </c>
      <c r="BL14" s="322">
        <v>6.33</v>
      </c>
      <c r="BM14" s="125">
        <v>0</v>
      </c>
      <c r="BN14" s="126">
        <v>0</v>
      </c>
      <c r="BO14" s="276" t="str">
        <f t="shared" si="72"/>
        <v>-</v>
      </c>
      <c r="BP14" s="125">
        <v>0</v>
      </c>
      <c r="BQ14" s="126">
        <v>0</v>
      </c>
      <c r="BR14" s="276" t="str">
        <f t="shared" si="73"/>
        <v>-</v>
      </c>
      <c r="BS14" s="257">
        <v>7</v>
      </c>
      <c r="BT14" s="253">
        <v>1</v>
      </c>
      <c r="BU14" s="276">
        <f t="shared" si="23"/>
        <v>7</v>
      </c>
      <c r="BV14" s="125"/>
      <c r="BW14" s="126"/>
      <c r="BX14" s="276" t="str">
        <f t="shared" si="24"/>
        <v>-</v>
      </c>
      <c r="BY14" s="125">
        <v>0</v>
      </c>
      <c r="BZ14" s="126">
        <v>0</v>
      </c>
      <c r="CA14" s="276" t="str">
        <f t="shared" si="92"/>
        <v>-</v>
      </c>
      <c r="CB14" s="125">
        <v>0</v>
      </c>
      <c r="CC14" s="126">
        <v>0</v>
      </c>
      <c r="CD14" s="276" t="str">
        <f t="shared" si="26"/>
        <v>-</v>
      </c>
      <c r="CE14" s="125">
        <v>0</v>
      </c>
      <c r="CF14" s="126">
        <v>0</v>
      </c>
      <c r="CG14" s="276" t="str">
        <f t="shared" si="85"/>
        <v>-</v>
      </c>
      <c r="CH14" s="125">
        <v>0</v>
      </c>
      <c r="CI14" s="126">
        <v>0</v>
      </c>
      <c r="CJ14" s="276" t="str">
        <f t="shared" si="86"/>
        <v>-</v>
      </c>
      <c r="CK14" s="125">
        <v>0</v>
      </c>
      <c r="CL14" s="126">
        <v>0</v>
      </c>
      <c r="CM14" s="276" t="str">
        <f t="shared" si="87"/>
        <v>-</v>
      </c>
      <c r="CN14" s="117">
        <f t="shared" si="30"/>
        <v>172</v>
      </c>
      <c r="CO14" s="120">
        <f t="shared" si="31"/>
        <v>30</v>
      </c>
      <c r="CP14" s="147">
        <f t="shared" si="32"/>
        <v>5.7333333333333334</v>
      </c>
    </row>
    <row r="15" spans="1:94" ht="15" thickBot="1" x14ac:dyDescent="0.35">
      <c r="A15" s="294">
        <v>45699</v>
      </c>
      <c r="B15" s="20">
        <v>15</v>
      </c>
      <c r="C15" s="21">
        <v>2</v>
      </c>
      <c r="D15" s="139">
        <f t="shared" si="0"/>
        <v>7.5</v>
      </c>
      <c r="E15" s="23">
        <v>0</v>
      </c>
      <c r="F15" s="21">
        <v>0</v>
      </c>
      <c r="G15" s="139" t="str">
        <f t="shared" si="1"/>
        <v>-</v>
      </c>
      <c r="H15" s="20"/>
      <c r="I15" s="21"/>
      <c r="J15" s="139" t="str">
        <f t="shared" si="2"/>
        <v>-</v>
      </c>
      <c r="K15" s="20">
        <v>13</v>
      </c>
      <c r="L15" s="21">
        <v>2</v>
      </c>
      <c r="M15" s="139">
        <f t="shared" si="3"/>
        <v>6.5</v>
      </c>
      <c r="N15" s="125">
        <v>0</v>
      </c>
      <c r="O15" s="126">
        <v>0</v>
      </c>
      <c r="P15" s="139" t="str">
        <f t="shared" si="88"/>
        <v>-</v>
      </c>
      <c r="Q15" s="20">
        <v>22</v>
      </c>
      <c r="R15" s="21">
        <v>4</v>
      </c>
      <c r="S15" s="139">
        <f t="shared" si="34"/>
        <v>5.5</v>
      </c>
      <c r="T15" s="20">
        <v>0</v>
      </c>
      <c r="U15" s="21">
        <v>0</v>
      </c>
      <c r="V15" s="139" t="str">
        <f t="shared" si="35"/>
        <v>-</v>
      </c>
      <c r="W15" s="20">
        <v>0</v>
      </c>
      <c r="X15" s="21">
        <v>0</v>
      </c>
      <c r="Y15" s="139" t="str">
        <f t="shared" si="36"/>
        <v>-</v>
      </c>
      <c r="Z15" s="20">
        <v>25</v>
      </c>
      <c r="AA15" s="21">
        <v>5</v>
      </c>
      <c r="AB15" s="139">
        <f t="shared" si="37"/>
        <v>5</v>
      </c>
      <c r="AC15" s="20">
        <v>0</v>
      </c>
      <c r="AD15" s="21">
        <v>0</v>
      </c>
      <c r="AE15" s="139" t="str">
        <f t="shared" si="68"/>
        <v>-</v>
      </c>
      <c r="AF15" s="20">
        <v>0</v>
      </c>
      <c r="AG15" s="21">
        <v>0</v>
      </c>
      <c r="AH15" s="139" t="str">
        <f t="shared" si="69"/>
        <v>-</v>
      </c>
      <c r="AI15" s="20">
        <v>0</v>
      </c>
      <c r="AJ15" s="21">
        <v>0</v>
      </c>
      <c r="AK15" s="139" t="str">
        <f t="shared" si="40"/>
        <v>-</v>
      </c>
      <c r="AL15" s="20">
        <v>0</v>
      </c>
      <c r="AM15" s="21">
        <v>0</v>
      </c>
      <c r="AN15" s="139" t="str">
        <f t="shared" si="41"/>
        <v>-</v>
      </c>
      <c r="AO15" s="20">
        <v>0</v>
      </c>
      <c r="AP15" s="21">
        <v>0</v>
      </c>
      <c r="AQ15" s="139" t="str">
        <f t="shared" si="48"/>
        <v>-</v>
      </c>
      <c r="AR15" s="20">
        <v>0</v>
      </c>
      <c r="AS15" s="21">
        <v>0</v>
      </c>
      <c r="AT15" s="139" t="str">
        <f t="shared" si="78"/>
        <v>-</v>
      </c>
      <c r="AU15" s="20">
        <v>0</v>
      </c>
      <c r="AV15" s="21">
        <v>0</v>
      </c>
      <c r="AW15" s="139" t="str">
        <f t="shared" si="79"/>
        <v>-</v>
      </c>
      <c r="AX15" s="20">
        <v>0</v>
      </c>
      <c r="AY15" s="21">
        <v>0</v>
      </c>
      <c r="AZ15" s="139" t="str">
        <f t="shared" si="80"/>
        <v>-</v>
      </c>
      <c r="BA15" s="20">
        <v>0</v>
      </c>
      <c r="BB15" s="21">
        <v>0</v>
      </c>
      <c r="BC15" s="139" t="str">
        <f t="shared" si="81"/>
        <v>-</v>
      </c>
      <c r="BD15" s="20">
        <v>0</v>
      </c>
      <c r="BE15" s="21">
        <v>0</v>
      </c>
      <c r="BF15" s="139" t="str">
        <f t="shared" si="82"/>
        <v>-</v>
      </c>
      <c r="BG15" s="20">
        <v>0</v>
      </c>
      <c r="BH15" s="21">
        <v>0</v>
      </c>
      <c r="BI15" s="139" t="str">
        <f t="shared" si="83"/>
        <v>-</v>
      </c>
      <c r="BJ15" s="252">
        <v>19</v>
      </c>
      <c r="BK15" s="253">
        <v>3</v>
      </c>
      <c r="BL15" s="322">
        <v>6.33</v>
      </c>
      <c r="BM15" s="125">
        <v>0</v>
      </c>
      <c r="BN15" s="126">
        <v>0</v>
      </c>
      <c r="BO15" s="276" t="str">
        <f t="shared" si="72"/>
        <v>-</v>
      </c>
      <c r="BP15" s="125">
        <v>0</v>
      </c>
      <c r="BQ15" s="126">
        <v>0</v>
      </c>
      <c r="BR15" s="276" t="str">
        <f t="shared" si="73"/>
        <v>-</v>
      </c>
      <c r="BS15" s="125">
        <v>0</v>
      </c>
      <c r="BT15" s="126">
        <v>0</v>
      </c>
      <c r="BU15" s="276" t="str">
        <f t="shared" si="23"/>
        <v>-</v>
      </c>
      <c r="BV15" s="20">
        <v>1</v>
      </c>
      <c r="BW15" s="21">
        <v>1</v>
      </c>
      <c r="BX15" s="139">
        <v>0</v>
      </c>
      <c r="BY15" s="125">
        <v>0</v>
      </c>
      <c r="BZ15" s="126">
        <v>0</v>
      </c>
      <c r="CA15" s="276" t="str">
        <f t="shared" si="92"/>
        <v>-</v>
      </c>
      <c r="CB15" s="125">
        <v>0</v>
      </c>
      <c r="CC15" s="126">
        <v>0</v>
      </c>
      <c r="CD15" s="276" t="str">
        <f t="shared" si="26"/>
        <v>-</v>
      </c>
      <c r="CE15" s="125">
        <v>0</v>
      </c>
      <c r="CF15" s="126">
        <v>0</v>
      </c>
      <c r="CG15" s="276" t="str">
        <f t="shared" si="85"/>
        <v>-</v>
      </c>
      <c r="CH15" s="125">
        <v>0</v>
      </c>
      <c r="CI15" s="126">
        <v>0</v>
      </c>
      <c r="CJ15" s="276" t="str">
        <f t="shared" si="86"/>
        <v>-</v>
      </c>
      <c r="CK15" s="125">
        <v>0</v>
      </c>
      <c r="CL15" s="126">
        <v>0</v>
      </c>
      <c r="CM15" s="276" t="str">
        <f t="shared" si="87"/>
        <v>-</v>
      </c>
      <c r="CN15" s="117">
        <f t="shared" si="30"/>
        <v>95</v>
      </c>
      <c r="CO15" s="120">
        <f t="shared" si="31"/>
        <v>16</v>
      </c>
      <c r="CP15" s="147">
        <f t="shared" si="32"/>
        <v>5.9375</v>
      </c>
    </row>
    <row r="16" spans="1:94" ht="15" thickBot="1" x14ac:dyDescent="0.35">
      <c r="A16" s="294">
        <v>45700</v>
      </c>
      <c r="B16" s="20">
        <v>65</v>
      </c>
      <c r="C16" s="21">
        <v>10</v>
      </c>
      <c r="D16" s="139">
        <f t="shared" si="0"/>
        <v>6.5</v>
      </c>
      <c r="E16" s="20">
        <v>15</v>
      </c>
      <c r="F16" s="21">
        <v>2</v>
      </c>
      <c r="G16" s="139">
        <f t="shared" si="1"/>
        <v>7.5</v>
      </c>
      <c r="H16" s="20"/>
      <c r="I16" s="21"/>
      <c r="J16" s="139" t="str">
        <f t="shared" si="2"/>
        <v>-</v>
      </c>
      <c r="K16" s="20">
        <v>24</v>
      </c>
      <c r="L16" s="21">
        <v>3</v>
      </c>
      <c r="M16" s="139">
        <f t="shared" si="3"/>
        <v>8</v>
      </c>
      <c r="N16" s="125">
        <v>9</v>
      </c>
      <c r="O16" s="126">
        <v>1</v>
      </c>
      <c r="P16" s="139">
        <f t="shared" si="33"/>
        <v>9</v>
      </c>
      <c r="Q16" s="125">
        <v>36</v>
      </c>
      <c r="R16" s="126">
        <v>6</v>
      </c>
      <c r="S16" s="139">
        <f t="shared" si="34"/>
        <v>6</v>
      </c>
      <c r="T16" s="20">
        <v>44</v>
      </c>
      <c r="U16" s="21">
        <v>14</v>
      </c>
      <c r="V16" s="139">
        <f t="shared" si="35"/>
        <v>3.1428571428571428</v>
      </c>
      <c r="W16" s="20">
        <v>0</v>
      </c>
      <c r="X16" s="21">
        <v>0</v>
      </c>
      <c r="Y16" s="139" t="str">
        <f t="shared" si="36"/>
        <v>-</v>
      </c>
      <c r="Z16" s="20">
        <v>15</v>
      </c>
      <c r="AA16" s="21">
        <v>3</v>
      </c>
      <c r="AB16" s="139">
        <f t="shared" si="37"/>
        <v>5</v>
      </c>
      <c r="AC16" s="20">
        <v>0</v>
      </c>
      <c r="AD16" s="21">
        <v>0</v>
      </c>
      <c r="AE16" s="139" t="str">
        <f t="shared" ref="AE16" si="93">IF(AD16=0,"-",AC16/AD16)</f>
        <v>-</v>
      </c>
      <c r="AF16" s="20">
        <v>5</v>
      </c>
      <c r="AG16" s="21">
        <v>1</v>
      </c>
      <c r="AH16" s="139">
        <f t="shared" si="39"/>
        <v>5</v>
      </c>
      <c r="AI16" s="20">
        <v>0</v>
      </c>
      <c r="AJ16" s="21">
        <v>0</v>
      </c>
      <c r="AK16" s="139" t="str">
        <f t="shared" ref="AK16:AK17" si="94">IF(AJ16=0,"-",AI16/AJ16)</f>
        <v>-</v>
      </c>
      <c r="AL16" s="20">
        <v>0</v>
      </c>
      <c r="AM16" s="21">
        <v>0</v>
      </c>
      <c r="AN16" s="139" t="str">
        <f t="shared" si="41"/>
        <v>-</v>
      </c>
      <c r="AO16" s="20">
        <v>0</v>
      </c>
      <c r="AP16" s="21">
        <v>0</v>
      </c>
      <c r="AQ16" s="139" t="str">
        <f t="shared" si="48"/>
        <v>-</v>
      </c>
      <c r="AR16" s="20">
        <v>0</v>
      </c>
      <c r="AS16" s="21">
        <v>0</v>
      </c>
      <c r="AT16" s="139" t="str">
        <f t="shared" si="78"/>
        <v>-</v>
      </c>
      <c r="AU16" s="20">
        <v>0</v>
      </c>
      <c r="AV16" s="21">
        <v>0</v>
      </c>
      <c r="AW16" s="139" t="str">
        <f t="shared" si="79"/>
        <v>-</v>
      </c>
      <c r="AX16" s="20">
        <v>0</v>
      </c>
      <c r="AY16" s="21">
        <v>0</v>
      </c>
      <c r="AZ16" s="139" t="str">
        <f t="shared" si="80"/>
        <v>-</v>
      </c>
      <c r="BA16" s="20">
        <v>0</v>
      </c>
      <c r="BB16" s="21">
        <v>0</v>
      </c>
      <c r="BC16" s="139" t="str">
        <f t="shared" si="81"/>
        <v>-</v>
      </c>
      <c r="BD16" s="20">
        <v>0</v>
      </c>
      <c r="BE16" s="21">
        <v>0</v>
      </c>
      <c r="BF16" s="139" t="str">
        <f t="shared" si="82"/>
        <v>-</v>
      </c>
      <c r="BG16" s="20">
        <v>0</v>
      </c>
      <c r="BH16" s="21">
        <v>0</v>
      </c>
      <c r="BI16" s="139" t="str">
        <f t="shared" si="83"/>
        <v>-</v>
      </c>
      <c r="BJ16" s="252">
        <v>28</v>
      </c>
      <c r="BK16" s="253">
        <v>4</v>
      </c>
      <c r="BL16" s="319">
        <v>7</v>
      </c>
      <c r="BM16" s="125">
        <v>0</v>
      </c>
      <c r="BN16" s="126">
        <v>0</v>
      </c>
      <c r="BO16" s="276" t="str">
        <f t="shared" si="72"/>
        <v>-</v>
      </c>
      <c r="BP16" s="125">
        <v>0</v>
      </c>
      <c r="BQ16" s="126">
        <v>0</v>
      </c>
      <c r="BR16" s="276" t="str">
        <f t="shared" si="73"/>
        <v>-</v>
      </c>
      <c r="BS16" s="125">
        <v>0</v>
      </c>
      <c r="BT16" s="126">
        <v>0</v>
      </c>
      <c r="BU16" s="276" t="str">
        <f t="shared" si="23"/>
        <v>-</v>
      </c>
      <c r="BV16" s="125">
        <v>0</v>
      </c>
      <c r="BW16" s="126">
        <v>0</v>
      </c>
      <c r="BX16" s="276" t="str">
        <f t="shared" ref="BX16" si="95">IF(BW16=0,"-",BV16/BW16)</f>
        <v>-</v>
      </c>
      <c r="BY16" s="125">
        <v>0</v>
      </c>
      <c r="BZ16" s="126">
        <v>0</v>
      </c>
      <c r="CA16" s="276" t="str">
        <f t="shared" si="25"/>
        <v>-</v>
      </c>
      <c r="CB16" s="125">
        <v>0</v>
      </c>
      <c r="CC16" s="126">
        <v>0</v>
      </c>
      <c r="CD16" s="276" t="str">
        <f t="shared" si="26"/>
        <v>-</v>
      </c>
      <c r="CE16" s="125">
        <v>0</v>
      </c>
      <c r="CF16" s="126">
        <v>0</v>
      </c>
      <c r="CG16" s="276" t="str">
        <f t="shared" si="85"/>
        <v>-</v>
      </c>
      <c r="CH16" s="125">
        <v>0</v>
      </c>
      <c r="CI16" s="126">
        <v>0</v>
      </c>
      <c r="CJ16" s="276" t="str">
        <f t="shared" si="86"/>
        <v>-</v>
      </c>
      <c r="CK16" s="125">
        <v>0</v>
      </c>
      <c r="CL16" s="126">
        <v>0</v>
      </c>
      <c r="CM16" s="276" t="str">
        <f t="shared" si="87"/>
        <v>-</v>
      </c>
      <c r="CN16" s="117">
        <f t="shared" si="30"/>
        <v>232</v>
      </c>
      <c r="CO16" s="120">
        <f t="shared" si="31"/>
        <v>43</v>
      </c>
      <c r="CP16" s="147">
        <f t="shared" si="32"/>
        <v>5.3953488372093021</v>
      </c>
    </row>
    <row r="17" spans="1:94" ht="15" thickBot="1" x14ac:dyDescent="0.35">
      <c r="A17" s="294">
        <v>45701</v>
      </c>
      <c r="B17" s="20">
        <v>31</v>
      </c>
      <c r="C17" s="21">
        <v>5</v>
      </c>
      <c r="D17" s="139">
        <f t="shared" si="0"/>
        <v>6.2</v>
      </c>
      <c r="E17" s="20">
        <v>0</v>
      </c>
      <c r="F17" s="21">
        <v>0</v>
      </c>
      <c r="G17" s="139" t="str">
        <f t="shared" si="1"/>
        <v>-</v>
      </c>
      <c r="H17" s="20"/>
      <c r="I17" s="21"/>
      <c r="J17" s="139" t="str">
        <f t="shared" si="2"/>
        <v>-</v>
      </c>
      <c r="K17" s="20">
        <v>8</v>
      </c>
      <c r="L17" s="21">
        <v>1</v>
      </c>
      <c r="M17" s="139">
        <f t="shared" si="3"/>
        <v>8</v>
      </c>
      <c r="N17" s="125">
        <v>0</v>
      </c>
      <c r="O17" s="126">
        <v>0</v>
      </c>
      <c r="P17" s="139" t="str">
        <f t="shared" si="33"/>
        <v>-</v>
      </c>
      <c r="Q17" s="125">
        <v>89</v>
      </c>
      <c r="R17" s="126">
        <v>25</v>
      </c>
      <c r="S17" s="139">
        <f t="shared" si="34"/>
        <v>3.56</v>
      </c>
      <c r="T17" s="125">
        <v>0</v>
      </c>
      <c r="U17" s="126">
        <v>0</v>
      </c>
      <c r="V17" s="139" t="str">
        <f t="shared" si="35"/>
        <v>-</v>
      </c>
      <c r="W17" s="125">
        <v>0</v>
      </c>
      <c r="X17" s="126">
        <v>0</v>
      </c>
      <c r="Y17" s="139" t="str">
        <f t="shared" si="36"/>
        <v>-</v>
      </c>
      <c r="Z17" s="125">
        <v>20</v>
      </c>
      <c r="AA17" s="126">
        <v>4</v>
      </c>
      <c r="AB17" s="139">
        <f t="shared" si="37"/>
        <v>5</v>
      </c>
      <c r="AC17" s="20">
        <v>0</v>
      </c>
      <c r="AD17" s="21">
        <v>0</v>
      </c>
      <c r="AE17" s="139" t="str">
        <f t="shared" ref="AE17" si="96">IF(AD17=0,"-",AC17/AD17)</f>
        <v>-</v>
      </c>
      <c r="AF17" s="125">
        <v>6</v>
      </c>
      <c r="AG17" s="126">
        <v>1</v>
      </c>
      <c r="AH17" s="139">
        <f t="shared" si="39"/>
        <v>6</v>
      </c>
      <c r="AI17" s="20">
        <v>0</v>
      </c>
      <c r="AJ17" s="21">
        <v>0</v>
      </c>
      <c r="AK17" s="139" t="str">
        <f t="shared" si="94"/>
        <v>-</v>
      </c>
      <c r="AL17" s="20">
        <v>0</v>
      </c>
      <c r="AM17" s="21">
        <v>0</v>
      </c>
      <c r="AN17" s="139" t="str">
        <f t="shared" si="41"/>
        <v>-</v>
      </c>
      <c r="AO17" s="20">
        <v>0</v>
      </c>
      <c r="AP17" s="21">
        <v>0</v>
      </c>
      <c r="AQ17" s="139" t="str">
        <f t="shared" si="48"/>
        <v>-</v>
      </c>
      <c r="AR17" s="20">
        <v>4</v>
      </c>
      <c r="AS17" s="21">
        <v>1</v>
      </c>
      <c r="AT17" s="139">
        <f t="shared" si="64"/>
        <v>4</v>
      </c>
      <c r="AU17" s="20">
        <v>0</v>
      </c>
      <c r="AV17" s="21">
        <v>0</v>
      </c>
      <c r="AW17" s="139" t="str">
        <f t="shared" si="50"/>
        <v>-</v>
      </c>
      <c r="AX17" s="20">
        <v>0</v>
      </c>
      <c r="AY17" s="21">
        <v>0</v>
      </c>
      <c r="AZ17" s="139" t="str">
        <f t="shared" ref="AZ17" si="97">IF(AY17=0,"-",AX17/AY17)</f>
        <v>-</v>
      </c>
      <c r="BA17" s="20">
        <v>0</v>
      </c>
      <c r="BB17" s="21">
        <v>0</v>
      </c>
      <c r="BC17" s="139" t="str">
        <f t="shared" ref="BC17" si="98">IF(BB17=0,"-",BA17/BB17)</f>
        <v>-</v>
      </c>
      <c r="BD17" s="20">
        <v>0</v>
      </c>
      <c r="BE17" s="21">
        <v>0</v>
      </c>
      <c r="BF17" s="139" t="str">
        <f t="shared" ref="BF17" si="99">IF(BE17=0,"-",BD17/BE17)</f>
        <v>-</v>
      </c>
      <c r="BG17" s="20">
        <v>0</v>
      </c>
      <c r="BH17" s="21">
        <v>0</v>
      </c>
      <c r="BI17" s="139" t="str">
        <f t="shared" ref="BI17" si="100">IF(BH17=0,"-",BG17/BH17)</f>
        <v>-</v>
      </c>
      <c r="BJ17" s="252">
        <v>41</v>
      </c>
      <c r="BK17" s="253">
        <v>6</v>
      </c>
      <c r="BL17" s="322">
        <v>6.83</v>
      </c>
      <c r="BM17" s="125">
        <v>0</v>
      </c>
      <c r="BN17" s="126">
        <v>0</v>
      </c>
      <c r="BO17" s="276" t="str">
        <f t="shared" si="72"/>
        <v>-</v>
      </c>
      <c r="BP17" s="125">
        <v>0</v>
      </c>
      <c r="BQ17" s="126">
        <v>0</v>
      </c>
      <c r="BR17" s="276" t="str">
        <f t="shared" si="73"/>
        <v>-</v>
      </c>
      <c r="BS17" s="257">
        <v>7</v>
      </c>
      <c r="BT17" s="253">
        <v>1</v>
      </c>
      <c r="BU17" s="276">
        <f t="shared" si="23"/>
        <v>7</v>
      </c>
      <c r="BV17" s="20">
        <v>1</v>
      </c>
      <c r="BW17" s="21">
        <v>1</v>
      </c>
      <c r="BX17" s="139">
        <f t="shared" si="24"/>
        <v>1</v>
      </c>
      <c r="BY17" s="125">
        <v>0</v>
      </c>
      <c r="BZ17" s="126">
        <v>0</v>
      </c>
      <c r="CA17" s="276" t="str">
        <f t="shared" ref="CA17:CA19" si="101">IF(BZ17=0,"-",BY17/BZ17)</f>
        <v>-</v>
      </c>
      <c r="CB17" s="125">
        <v>0</v>
      </c>
      <c r="CC17" s="126">
        <v>0</v>
      </c>
      <c r="CD17" s="276" t="str">
        <f t="shared" ref="CD17:CD19" si="102">IF(CC17=0,"-",CB17/CC17)</f>
        <v>-</v>
      </c>
      <c r="CE17" s="20">
        <v>11</v>
      </c>
      <c r="CF17" s="21">
        <v>2</v>
      </c>
      <c r="CG17" s="139">
        <f t="shared" si="60"/>
        <v>5.5</v>
      </c>
      <c r="CH17" s="125">
        <v>0</v>
      </c>
      <c r="CI17" s="126">
        <v>0</v>
      </c>
      <c r="CJ17" s="276" t="str">
        <f t="shared" ref="CJ17:CJ18" si="103">IF(CI17=0,"-",CH17/CI17)</f>
        <v>-</v>
      </c>
      <c r="CK17" s="125">
        <v>0</v>
      </c>
      <c r="CL17" s="126">
        <v>0</v>
      </c>
      <c r="CM17" s="276" t="str">
        <f t="shared" ref="CM17:CM18" si="104">IF(CL17=0,"-",CK17/CL17)</f>
        <v>-</v>
      </c>
      <c r="CN17" s="117">
        <f t="shared" si="30"/>
        <v>218</v>
      </c>
      <c r="CO17" s="120">
        <f t="shared" si="31"/>
        <v>46</v>
      </c>
      <c r="CP17" s="147">
        <f t="shared" si="32"/>
        <v>4.7391304347826084</v>
      </c>
    </row>
    <row r="18" spans="1:94" ht="15" thickBot="1" x14ac:dyDescent="0.35">
      <c r="A18" s="294">
        <v>45702</v>
      </c>
      <c r="B18" s="20">
        <v>50</v>
      </c>
      <c r="C18" s="21">
        <v>6</v>
      </c>
      <c r="D18" s="139">
        <f t="shared" si="0"/>
        <v>8.3333333333333339</v>
      </c>
      <c r="E18" s="20">
        <v>7</v>
      </c>
      <c r="F18" s="21">
        <v>1</v>
      </c>
      <c r="G18" s="139">
        <f t="shared" si="1"/>
        <v>7</v>
      </c>
      <c r="H18" s="20"/>
      <c r="I18" s="21"/>
      <c r="J18" s="139" t="str">
        <f t="shared" si="2"/>
        <v>-</v>
      </c>
      <c r="K18" s="20">
        <v>11</v>
      </c>
      <c r="L18" s="21">
        <v>2</v>
      </c>
      <c r="M18" s="139">
        <f t="shared" si="3"/>
        <v>5.5</v>
      </c>
      <c r="N18" s="125">
        <v>0</v>
      </c>
      <c r="O18" s="126">
        <v>0</v>
      </c>
      <c r="P18" s="139" t="str">
        <f t="shared" ref="P18:P20" si="105">IF(O18=0,"-",N18/O18)</f>
        <v>-</v>
      </c>
      <c r="Q18" s="125">
        <v>15</v>
      </c>
      <c r="R18" s="126">
        <v>3</v>
      </c>
      <c r="S18" s="139">
        <f t="shared" si="34"/>
        <v>5</v>
      </c>
      <c r="T18" s="125">
        <v>0</v>
      </c>
      <c r="U18" s="126">
        <v>0</v>
      </c>
      <c r="V18" s="139" t="str">
        <f t="shared" si="35"/>
        <v>-</v>
      </c>
      <c r="W18" s="125">
        <v>0</v>
      </c>
      <c r="X18" s="126">
        <v>0</v>
      </c>
      <c r="Y18" s="139" t="str">
        <f t="shared" si="36"/>
        <v>-</v>
      </c>
      <c r="Z18" s="125">
        <v>0</v>
      </c>
      <c r="AA18" s="126">
        <v>0</v>
      </c>
      <c r="AB18" s="139" t="str">
        <f t="shared" si="37"/>
        <v>-</v>
      </c>
      <c r="AC18" s="125">
        <v>0</v>
      </c>
      <c r="AD18" s="126">
        <v>0</v>
      </c>
      <c r="AE18" s="139" t="str">
        <f t="shared" si="38"/>
        <v>-</v>
      </c>
      <c r="AF18" s="125">
        <v>0</v>
      </c>
      <c r="AG18" s="126">
        <v>0</v>
      </c>
      <c r="AH18" s="139" t="str">
        <f t="shared" si="39"/>
        <v>-</v>
      </c>
      <c r="AI18" s="125">
        <v>0</v>
      </c>
      <c r="AJ18" s="126">
        <v>0</v>
      </c>
      <c r="AK18" s="139" t="str">
        <f t="shared" si="40"/>
        <v>-</v>
      </c>
      <c r="AL18" s="20">
        <v>0</v>
      </c>
      <c r="AM18" s="21">
        <v>0</v>
      </c>
      <c r="AN18" s="139" t="str">
        <f t="shared" si="41"/>
        <v>-</v>
      </c>
      <c r="AO18" s="20">
        <v>16</v>
      </c>
      <c r="AP18" s="21">
        <v>3</v>
      </c>
      <c r="AQ18" s="139">
        <f t="shared" si="48"/>
        <v>5.333333333333333</v>
      </c>
      <c r="AR18" s="20">
        <v>2</v>
      </c>
      <c r="AS18" s="21">
        <v>1</v>
      </c>
      <c r="AT18" s="139">
        <f t="shared" si="64"/>
        <v>2</v>
      </c>
      <c r="AU18" s="20">
        <v>0</v>
      </c>
      <c r="AV18" s="21">
        <v>0</v>
      </c>
      <c r="AW18" s="139" t="str">
        <f t="shared" si="50"/>
        <v>-</v>
      </c>
      <c r="AX18" s="20">
        <v>4</v>
      </c>
      <c r="AY18" s="21">
        <v>1</v>
      </c>
      <c r="AZ18" s="139">
        <f t="shared" si="51"/>
        <v>4</v>
      </c>
      <c r="BA18" s="20">
        <v>0</v>
      </c>
      <c r="BB18" s="21">
        <v>0</v>
      </c>
      <c r="BC18" s="139">
        <v>0</v>
      </c>
      <c r="BD18" s="20">
        <v>0</v>
      </c>
      <c r="BE18" s="21">
        <v>0</v>
      </c>
      <c r="BF18" s="139" t="str">
        <f t="shared" ref="BF18:BF32" si="106">IF(BE18=0,"-",BD18/BE18)</f>
        <v>-</v>
      </c>
      <c r="BG18" s="20">
        <v>0</v>
      </c>
      <c r="BH18" s="21">
        <v>0</v>
      </c>
      <c r="BI18" s="139" t="str">
        <f t="shared" si="19"/>
        <v>-</v>
      </c>
      <c r="BJ18" s="318">
        <v>34</v>
      </c>
      <c r="BK18" s="303">
        <v>5</v>
      </c>
      <c r="BL18" s="139">
        <f t="shared" ref="BL18:BL32" si="107">IF(BK18=0,"-",BJ18/BK18)</f>
        <v>6.8</v>
      </c>
      <c r="BM18" s="252">
        <v>0</v>
      </c>
      <c r="BN18" s="253">
        <v>0</v>
      </c>
      <c r="BO18" s="319" t="s">
        <v>89</v>
      </c>
      <c r="BP18" s="302">
        <v>0</v>
      </c>
      <c r="BQ18" s="303">
        <v>0</v>
      </c>
      <c r="BR18" s="320" t="s">
        <v>89</v>
      </c>
      <c r="BS18" s="257">
        <v>0</v>
      </c>
      <c r="BT18" s="253">
        <v>0</v>
      </c>
      <c r="BU18" s="276" t="str">
        <f t="shared" si="23"/>
        <v>-</v>
      </c>
      <c r="BV18" s="20">
        <v>0</v>
      </c>
      <c r="BW18" s="21">
        <v>0</v>
      </c>
      <c r="BX18" s="139" t="str">
        <f t="shared" si="24"/>
        <v>-</v>
      </c>
      <c r="BY18" s="20">
        <v>0</v>
      </c>
      <c r="BZ18" s="21">
        <v>0</v>
      </c>
      <c r="CA18" s="139" t="str">
        <f t="shared" si="101"/>
        <v>-</v>
      </c>
      <c r="CB18" s="20">
        <v>0</v>
      </c>
      <c r="CC18" s="21">
        <v>0</v>
      </c>
      <c r="CD18" s="139" t="str">
        <f t="shared" si="102"/>
        <v>-</v>
      </c>
      <c r="CE18" s="20">
        <v>0</v>
      </c>
      <c r="CF18" s="21">
        <v>0</v>
      </c>
      <c r="CG18" s="139" t="str">
        <f t="shared" si="60"/>
        <v>-</v>
      </c>
      <c r="CH18" s="20">
        <v>0</v>
      </c>
      <c r="CI18" s="21">
        <v>0</v>
      </c>
      <c r="CJ18" s="139" t="str">
        <f t="shared" si="103"/>
        <v>-</v>
      </c>
      <c r="CK18" s="20">
        <v>0</v>
      </c>
      <c r="CL18" s="21">
        <v>0</v>
      </c>
      <c r="CM18" s="139" t="str">
        <f t="shared" si="104"/>
        <v>-</v>
      </c>
      <c r="CN18" s="117">
        <f t="shared" si="30"/>
        <v>139</v>
      </c>
      <c r="CO18" s="120">
        <f t="shared" si="31"/>
        <v>19</v>
      </c>
      <c r="CP18" s="147">
        <f t="shared" si="32"/>
        <v>7.3157894736842106</v>
      </c>
    </row>
    <row r="19" spans="1:94" ht="15" thickBot="1" x14ac:dyDescent="0.35">
      <c r="A19" s="294">
        <v>45703</v>
      </c>
      <c r="B19" s="20">
        <v>0</v>
      </c>
      <c r="C19" s="21">
        <v>0</v>
      </c>
      <c r="D19" s="139" t="str">
        <f t="shared" si="0"/>
        <v>-</v>
      </c>
      <c r="E19" s="20">
        <v>0</v>
      </c>
      <c r="F19" s="21">
        <v>0</v>
      </c>
      <c r="G19" s="139" t="str">
        <f t="shared" si="1"/>
        <v>-</v>
      </c>
      <c r="H19" s="20"/>
      <c r="I19" s="21"/>
      <c r="J19" s="139" t="str">
        <f t="shared" si="2"/>
        <v>-</v>
      </c>
      <c r="K19" s="20">
        <v>0</v>
      </c>
      <c r="L19" s="21">
        <v>0</v>
      </c>
      <c r="M19" s="139" t="str">
        <f t="shared" si="3"/>
        <v>-</v>
      </c>
      <c r="N19" s="125">
        <v>0</v>
      </c>
      <c r="O19" s="126">
        <v>0</v>
      </c>
      <c r="P19" s="139" t="str">
        <f t="shared" si="105"/>
        <v>-</v>
      </c>
      <c r="Q19" s="125">
        <v>0</v>
      </c>
      <c r="R19" s="126">
        <v>0</v>
      </c>
      <c r="S19" s="139" t="str">
        <f t="shared" si="34"/>
        <v>-</v>
      </c>
      <c r="T19" s="125">
        <v>0</v>
      </c>
      <c r="U19" s="126">
        <v>0</v>
      </c>
      <c r="V19" s="139" t="str">
        <f t="shared" si="35"/>
        <v>-</v>
      </c>
      <c r="W19" s="125">
        <v>0</v>
      </c>
      <c r="X19" s="126">
        <v>0</v>
      </c>
      <c r="Y19" s="139" t="str">
        <f t="shared" si="36"/>
        <v>-</v>
      </c>
      <c r="Z19" s="125">
        <v>0</v>
      </c>
      <c r="AA19" s="126">
        <v>0</v>
      </c>
      <c r="AB19" s="139" t="str">
        <f t="shared" si="37"/>
        <v>-</v>
      </c>
      <c r="AC19" s="125">
        <v>0</v>
      </c>
      <c r="AD19" s="126">
        <v>0</v>
      </c>
      <c r="AE19" s="139" t="str">
        <f t="shared" si="38"/>
        <v>-</v>
      </c>
      <c r="AF19" s="125">
        <v>0</v>
      </c>
      <c r="AG19" s="126">
        <v>0</v>
      </c>
      <c r="AH19" s="139" t="str">
        <f t="shared" si="39"/>
        <v>-</v>
      </c>
      <c r="AI19" s="125">
        <v>0</v>
      </c>
      <c r="AJ19" s="126">
        <v>0</v>
      </c>
      <c r="AK19" s="139" t="str">
        <f t="shared" si="40"/>
        <v>-</v>
      </c>
      <c r="AL19" s="125">
        <v>0</v>
      </c>
      <c r="AM19" s="126">
        <v>0</v>
      </c>
      <c r="AN19" s="139" t="str">
        <f t="shared" si="41"/>
        <v>-</v>
      </c>
      <c r="AO19" s="20">
        <v>0</v>
      </c>
      <c r="AP19" s="21">
        <v>0</v>
      </c>
      <c r="AQ19" s="139" t="str">
        <f t="shared" si="48"/>
        <v>-</v>
      </c>
      <c r="AR19" s="20">
        <v>0</v>
      </c>
      <c r="AS19" s="21">
        <v>0</v>
      </c>
      <c r="AT19" s="139" t="str">
        <f t="shared" si="64"/>
        <v>-</v>
      </c>
      <c r="AU19" s="20">
        <v>0</v>
      </c>
      <c r="AV19" s="21">
        <v>0</v>
      </c>
      <c r="AW19" s="139" t="str">
        <f t="shared" si="50"/>
        <v>-</v>
      </c>
      <c r="AX19" s="20">
        <v>0</v>
      </c>
      <c r="AY19" s="21">
        <v>0</v>
      </c>
      <c r="AZ19" s="139" t="str">
        <f t="shared" si="51"/>
        <v>-</v>
      </c>
      <c r="BA19" s="20">
        <v>0</v>
      </c>
      <c r="BB19" s="21">
        <v>0</v>
      </c>
      <c r="BC19" s="139" t="str">
        <f t="shared" ref="BC19:BC20" si="108">IF(BB19=0,"-",BA19/BB19)</f>
        <v>-</v>
      </c>
      <c r="BD19" s="20">
        <v>0</v>
      </c>
      <c r="BE19" s="21">
        <v>0</v>
      </c>
      <c r="BF19" s="139" t="str">
        <f t="shared" si="106"/>
        <v>-</v>
      </c>
      <c r="BG19" s="20">
        <v>0</v>
      </c>
      <c r="BH19" s="21">
        <v>0</v>
      </c>
      <c r="BI19" s="139" t="str">
        <f t="shared" si="19"/>
        <v>-</v>
      </c>
      <c r="BJ19" s="252">
        <v>39</v>
      </c>
      <c r="BK19" s="253">
        <v>6</v>
      </c>
      <c r="BL19" s="139">
        <f t="shared" si="107"/>
        <v>6.5</v>
      </c>
      <c r="BM19" s="252">
        <v>0</v>
      </c>
      <c r="BN19" s="253">
        <v>0</v>
      </c>
      <c r="BO19" s="319" t="s">
        <v>89</v>
      </c>
      <c r="BP19" s="302">
        <v>0</v>
      </c>
      <c r="BQ19" s="303">
        <v>0</v>
      </c>
      <c r="BR19" s="320" t="s">
        <v>89</v>
      </c>
      <c r="BS19" s="257">
        <v>12</v>
      </c>
      <c r="BT19" s="253">
        <v>2</v>
      </c>
      <c r="BU19" s="276">
        <f t="shared" si="23"/>
        <v>6</v>
      </c>
      <c r="BV19" s="20">
        <v>0</v>
      </c>
      <c r="BW19" s="21">
        <v>0</v>
      </c>
      <c r="BX19" s="139" t="str">
        <f t="shared" si="24"/>
        <v>-</v>
      </c>
      <c r="BY19" s="20">
        <v>0</v>
      </c>
      <c r="BZ19" s="21">
        <v>0</v>
      </c>
      <c r="CA19" s="139" t="str">
        <f t="shared" si="101"/>
        <v>-</v>
      </c>
      <c r="CB19" s="20">
        <v>0</v>
      </c>
      <c r="CC19" s="21">
        <v>0</v>
      </c>
      <c r="CD19" s="139" t="str">
        <f t="shared" si="102"/>
        <v>-</v>
      </c>
      <c r="CE19" s="20">
        <v>0</v>
      </c>
      <c r="CF19" s="21">
        <v>0</v>
      </c>
      <c r="CG19" s="139" t="str">
        <f t="shared" ref="CG19:CG28" si="109">IF(CF19=0,"-",CE19/CF19)</f>
        <v>-</v>
      </c>
      <c r="CH19" s="20">
        <v>0</v>
      </c>
      <c r="CI19" s="21">
        <v>0</v>
      </c>
      <c r="CJ19" s="139" t="str">
        <f t="shared" ref="CJ19:CJ28" si="110">IF(CI19=0,"-",CH19/CI19)</f>
        <v>-</v>
      </c>
      <c r="CK19" s="20">
        <v>0</v>
      </c>
      <c r="CL19" s="21">
        <v>0</v>
      </c>
      <c r="CM19" s="139" t="str">
        <f t="shared" ref="CM19:CM28" si="111">IF(CL19=0,"-",CK19/CL19)</f>
        <v>-</v>
      </c>
      <c r="CN19" s="117">
        <f>SUM(B19,E19,K19,Q20,T20,W20,Z20,AC20,AF20,AI20,AL20,AO19,AR19,AX19,BA19,BG19,BJ19,BM19,BP19,BS19,BV19,BY19,CB19,CE19,CH19,CK19)</f>
        <v>102</v>
      </c>
      <c r="CO19" s="120">
        <f>C19+F19+L19+R20+U20+X20+AA20+AD20+AG20+AJ20+AS19+AV19+AY19+BB19+BE19+BH19+BK19+BN19+BQ19+BT19+CC19+CF19+CI19+CL19</f>
        <v>19</v>
      </c>
      <c r="CP19" s="147">
        <f t="shared" si="32"/>
        <v>5.3684210526315788</v>
      </c>
    </row>
    <row r="20" spans="1:94" ht="15" thickBot="1" x14ac:dyDescent="0.35">
      <c r="A20" s="294">
        <v>45704</v>
      </c>
      <c r="B20" s="20">
        <v>0</v>
      </c>
      <c r="C20" s="21">
        <v>0</v>
      </c>
      <c r="D20" s="139" t="str">
        <f t="shared" si="0"/>
        <v>-</v>
      </c>
      <c r="E20" s="20">
        <v>0</v>
      </c>
      <c r="F20" s="21">
        <v>0</v>
      </c>
      <c r="G20" s="139" t="str">
        <f t="shared" si="1"/>
        <v>-</v>
      </c>
      <c r="H20" s="20"/>
      <c r="I20" s="21"/>
      <c r="J20" s="139" t="str">
        <f t="shared" si="2"/>
        <v>-</v>
      </c>
      <c r="K20" s="20">
        <v>0</v>
      </c>
      <c r="L20" s="21">
        <v>0</v>
      </c>
      <c r="M20" s="139" t="str">
        <f t="shared" si="3"/>
        <v>-</v>
      </c>
      <c r="N20" s="125">
        <v>0</v>
      </c>
      <c r="O20" s="126">
        <v>0</v>
      </c>
      <c r="P20" s="139" t="str">
        <f t="shared" si="105"/>
        <v>-</v>
      </c>
      <c r="Q20" s="125">
        <v>0</v>
      </c>
      <c r="R20" s="126">
        <v>0</v>
      </c>
      <c r="S20" s="139" t="str">
        <f t="shared" ref="S20" si="112">IF(R20=0,"-",Q20/R20)</f>
        <v>-</v>
      </c>
      <c r="T20" s="125">
        <v>0</v>
      </c>
      <c r="U20" s="126">
        <v>0</v>
      </c>
      <c r="V20" s="139" t="str">
        <f t="shared" ref="V20" si="113">IF(U20=0,"-",T20/U20)</f>
        <v>-</v>
      </c>
      <c r="W20" s="125">
        <v>0</v>
      </c>
      <c r="X20" s="126">
        <v>0</v>
      </c>
      <c r="Y20" s="139" t="str">
        <f t="shared" ref="Y20" si="114">IF(X20=0,"-",W20/X20)</f>
        <v>-</v>
      </c>
      <c r="Z20" s="125">
        <v>0</v>
      </c>
      <c r="AA20" s="126">
        <v>0</v>
      </c>
      <c r="AB20" s="139" t="str">
        <f t="shared" ref="AB20" si="115">IF(AA20=0,"-",Z20/AA20)</f>
        <v>-</v>
      </c>
      <c r="AC20" s="125">
        <v>51</v>
      </c>
      <c r="AD20" s="126">
        <v>11</v>
      </c>
      <c r="AE20" s="139">
        <f>IF(AD20=0,"-",AC20/AD20)</f>
        <v>4.6363636363636367</v>
      </c>
      <c r="AF20" s="125">
        <v>0</v>
      </c>
      <c r="AG20" s="126">
        <v>0</v>
      </c>
      <c r="AH20" s="139" t="str">
        <f t="shared" ref="AH20" si="116">IF(AG20=0,"-",AF20/AG20)</f>
        <v>-</v>
      </c>
      <c r="AI20" s="125">
        <v>0</v>
      </c>
      <c r="AJ20" s="126">
        <v>0</v>
      </c>
      <c r="AK20" s="139" t="str">
        <f t="shared" ref="AK20" si="117">IF(AJ20=0,"-",AI20/AJ20)</f>
        <v>-</v>
      </c>
      <c r="AL20" s="125">
        <v>0</v>
      </c>
      <c r="AM20" s="126">
        <v>0</v>
      </c>
      <c r="AN20" s="139" t="str">
        <f t="shared" ref="AN20" si="118">IF(AM20=0,"-",AL20/AM20)</f>
        <v>-</v>
      </c>
      <c r="AO20" s="20">
        <v>0</v>
      </c>
      <c r="AP20" s="21">
        <v>0</v>
      </c>
      <c r="AQ20" s="139" t="str">
        <f t="shared" si="48"/>
        <v>-</v>
      </c>
      <c r="AR20" s="20">
        <v>0</v>
      </c>
      <c r="AS20" s="21">
        <v>0</v>
      </c>
      <c r="AT20" s="139" t="str">
        <f t="shared" si="64"/>
        <v>-</v>
      </c>
      <c r="AU20" s="20">
        <v>0</v>
      </c>
      <c r="AV20" s="21">
        <v>0</v>
      </c>
      <c r="AW20" s="139" t="str">
        <f t="shared" si="50"/>
        <v>-</v>
      </c>
      <c r="AX20" s="20">
        <v>0</v>
      </c>
      <c r="AY20" s="21">
        <v>0</v>
      </c>
      <c r="AZ20" s="139" t="str">
        <f t="shared" si="51"/>
        <v>-</v>
      </c>
      <c r="BA20" s="20">
        <v>0</v>
      </c>
      <c r="BB20" s="21">
        <v>0</v>
      </c>
      <c r="BC20" s="139" t="str">
        <f t="shared" si="108"/>
        <v>-</v>
      </c>
      <c r="BD20" s="20">
        <v>0</v>
      </c>
      <c r="BE20" s="21">
        <v>0</v>
      </c>
      <c r="BF20" s="139" t="str">
        <f t="shared" si="106"/>
        <v>-</v>
      </c>
      <c r="BG20" s="20">
        <v>0</v>
      </c>
      <c r="BH20" s="21">
        <v>0</v>
      </c>
      <c r="BI20" s="139" t="str">
        <f t="shared" si="19"/>
        <v>-</v>
      </c>
      <c r="BJ20" s="252">
        <v>8</v>
      </c>
      <c r="BK20" s="253">
        <v>1</v>
      </c>
      <c r="BL20" s="139">
        <f t="shared" si="107"/>
        <v>8</v>
      </c>
      <c r="BM20" s="252">
        <v>0</v>
      </c>
      <c r="BN20" s="253">
        <v>0</v>
      </c>
      <c r="BO20" s="319" t="s">
        <v>89</v>
      </c>
      <c r="BP20" s="302">
        <v>0</v>
      </c>
      <c r="BQ20" s="303">
        <v>0</v>
      </c>
      <c r="BR20" s="320" t="s">
        <v>89</v>
      </c>
      <c r="BS20" s="257">
        <v>0</v>
      </c>
      <c r="BT20" s="253">
        <v>0</v>
      </c>
      <c r="BU20" s="276" t="str">
        <f t="shared" si="23"/>
        <v>-</v>
      </c>
      <c r="BV20" s="20">
        <v>1</v>
      </c>
      <c r="BW20" s="21">
        <v>1</v>
      </c>
      <c r="BX20" s="139">
        <f t="shared" si="24"/>
        <v>1</v>
      </c>
      <c r="BY20" s="20">
        <v>0</v>
      </c>
      <c r="BZ20" s="21">
        <v>0</v>
      </c>
      <c r="CA20" s="139" t="str">
        <f t="shared" ref="CA20" si="119">IF(BZ20=0,"-",BY20/BZ20)</f>
        <v>-</v>
      </c>
      <c r="CB20" s="20">
        <v>0</v>
      </c>
      <c r="CC20" s="21">
        <v>0</v>
      </c>
      <c r="CD20" s="139" t="str">
        <f t="shared" ref="CD20" si="120">IF(CC20=0,"-",CB20/CC20)</f>
        <v>-</v>
      </c>
      <c r="CE20" s="20">
        <v>0</v>
      </c>
      <c r="CF20" s="21">
        <v>0</v>
      </c>
      <c r="CG20" s="139" t="str">
        <f t="shared" si="109"/>
        <v>-</v>
      </c>
      <c r="CH20" s="20">
        <v>0</v>
      </c>
      <c r="CI20" s="21">
        <v>0</v>
      </c>
      <c r="CJ20" s="139" t="str">
        <f t="shared" si="110"/>
        <v>-</v>
      </c>
      <c r="CK20" s="20">
        <v>0</v>
      </c>
      <c r="CL20" s="21">
        <v>0</v>
      </c>
      <c r="CM20" s="139" t="str">
        <f t="shared" si="111"/>
        <v>-</v>
      </c>
      <c r="CN20" s="117">
        <f>SUM(B20,E20,K20,Q21,T21,W21,Z21,AC21,AF21,AI21,AL21,AO20,AR20,AX20,BA20,BG20,BJ20,BM20,BP20,BS20,BV20,BY20,CB20,CE20,CH20,CK20)</f>
        <v>162</v>
      </c>
      <c r="CO20" s="120">
        <f>C20+F20+L20+R21+U21+X21+AA21+AD21+AG21+AJ21+AS20+AV20+AY20+BB20+BE20+BH20+BK20+BN20+BQ20+BT20+CC20+CF20+CI20+CL20</f>
        <v>43</v>
      </c>
      <c r="CP20" s="147">
        <f t="shared" si="32"/>
        <v>3.7674418604651163</v>
      </c>
    </row>
    <row r="21" spans="1:94" ht="15" thickBot="1" x14ac:dyDescent="0.35">
      <c r="A21" s="294">
        <v>45705</v>
      </c>
      <c r="B21" s="20">
        <v>42</v>
      </c>
      <c r="C21" s="21">
        <v>5</v>
      </c>
      <c r="D21" s="139">
        <f t="shared" si="0"/>
        <v>8.4</v>
      </c>
      <c r="E21" s="20">
        <v>7</v>
      </c>
      <c r="F21" s="21">
        <v>1</v>
      </c>
      <c r="G21" s="139">
        <f t="shared" si="1"/>
        <v>7</v>
      </c>
      <c r="H21" s="20"/>
      <c r="I21" s="21"/>
      <c r="J21" s="139" t="str">
        <f t="shared" si="2"/>
        <v>-</v>
      </c>
      <c r="K21" s="20">
        <v>23</v>
      </c>
      <c r="L21" s="21">
        <v>3</v>
      </c>
      <c r="M21" s="139">
        <f t="shared" si="3"/>
        <v>7.666666666666667</v>
      </c>
      <c r="N21" s="125">
        <v>0</v>
      </c>
      <c r="O21" s="126">
        <v>0</v>
      </c>
      <c r="P21" s="139" t="str">
        <f t="shared" si="33"/>
        <v>-</v>
      </c>
      <c r="Q21" s="125">
        <v>104</v>
      </c>
      <c r="R21" s="126">
        <v>32</v>
      </c>
      <c r="S21" s="139">
        <f>IF(R21=0,"-",Q21/R21)</f>
        <v>3.25</v>
      </c>
      <c r="T21" s="125">
        <v>0</v>
      </c>
      <c r="U21" s="126">
        <v>0</v>
      </c>
      <c r="V21" s="139" t="str">
        <f t="shared" ref="V21:V25" si="121">IF(U21=0,"-",T21/U21)</f>
        <v>-</v>
      </c>
      <c r="W21" s="125">
        <v>0</v>
      </c>
      <c r="X21" s="126">
        <v>0</v>
      </c>
      <c r="Y21" s="139" t="str">
        <f t="shared" ref="Y21:Y27" si="122">IF(X21=0,"-",W21/X21)</f>
        <v>-</v>
      </c>
      <c r="Z21" s="125">
        <v>35</v>
      </c>
      <c r="AA21" s="126">
        <v>7</v>
      </c>
      <c r="AB21" s="139">
        <f t="shared" ref="AB21:AB27" si="123">IF(AA21=0,"-",Z21/AA21)</f>
        <v>5</v>
      </c>
      <c r="AC21" s="125">
        <v>14</v>
      </c>
      <c r="AD21" s="126">
        <v>3</v>
      </c>
      <c r="AE21" s="139">
        <f>IF(AD21=0,"-",AC21/AD21)</f>
        <v>4.666666666666667</v>
      </c>
      <c r="AF21" s="125">
        <v>0</v>
      </c>
      <c r="AG21" s="126">
        <v>0</v>
      </c>
      <c r="AH21" s="139" t="str">
        <f>IF(AG21=0,"-",AF21/AG21)</f>
        <v>-</v>
      </c>
      <c r="AI21" s="125">
        <v>0</v>
      </c>
      <c r="AJ21" s="126">
        <v>0</v>
      </c>
      <c r="AK21" s="139" t="str">
        <f>IF(AJ21=0,"-",AI21/AJ21)</f>
        <v>-</v>
      </c>
      <c r="AL21" s="20">
        <v>0</v>
      </c>
      <c r="AM21" s="21">
        <v>0</v>
      </c>
      <c r="AN21" s="139" t="str">
        <f>IF(AM21=0,"-",AL21/AM21)</f>
        <v>-</v>
      </c>
      <c r="AO21" s="20">
        <v>0</v>
      </c>
      <c r="AP21" s="21">
        <v>0</v>
      </c>
      <c r="AQ21" s="139" t="str">
        <f t="shared" si="48"/>
        <v>-</v>
      </c>
      <c r="AR21" s="23">
        <v>1</v>
      </c>
      <c r="AS21" s="21">
        <v>1</v>
      </c>
      <c r="AT21" s="139">
        <f t="shared" si="64"/>
        <v>1</v>
      </c>
      <c r="AU21" s="23">
        <v>0</v>
      </c>
      <c r="AV21" s="21">
        <v>0</v>
      </c>
      <c r="AW21" s="139" t="str">
        <f t="shared" si="50"/>
        <v>-</v>
      </c>
      <c r="AX21" s="20">
        <v>0</v>
      </c>
      <c r="AY21" s="21">
        <v>0</v>
      </c>
      <c r="AZ21" s="139" t="str">
        <f t="shared" ref="AZ21" si="124">IF(AY21=0,"-",AX21/AY21)</f>
        <v>-</v>
      </c>
      <c r="BA21" s="20">
        <v>0</v>
      </c>
      <c r="BB21" s="21">
        <v>0</v>
      </c>
      <c r="BC21" s="139" t="str">
        <f t="shared" ref="BC21" si="125">IF(BB21=0,"-",BA21/BB21)</f>
        <v>-</v>
      </c>
      <c r="BD21" s="20">
        <v>0</v>
      </c>
      <c r="BE21" s="21">
        <v>0</v>
      </c>
      <c r="BF21" s="139" t="str">
        <f t="shared" ref="BF21" si="126">IF(BE21=0,"-",BD21/BE21)</f>
        <v>-</v>
      </c>
      <c r="BG21" s="20">
        <v>0</v>
      </c>
      <c r="BH21" s="21">
        <v>0</v>
      </c>
      <c r="BI21" s="139" t="str">
        <f t="shared" ref="BI21" si="127">IF(BH21=0,"-",BG21/BH21)</f>
        <v>-</v>
      </c>
      <c r="BJ21" s="252">
        <v>12</v>
      </c>
      <c r="BK21" s="253">
        <v>2</v>
      </c>
      <c r="BL21" s="139">
        <f t="shared" si="107"/>
        <v>6</v>
      </c>
      <c r="BM21" s="252">
        <v>0</v>
      </c>
      <c r="BN21" s="253">
        <v>0</v>
      </c>
      <c r="BO21" s="319" t="s">
        <v>89</v>
      </c>
      <c r="BP21" s="302">
        <v>0</v>
      </c>
      <c r="BQ21" s="303">
        <v>0</v>
      </c>
      <c r="BR21" s="320" t="s">
        <v>89</v>
      </c>
      <c r="BS21" s="257">
        <v>0</v>
      </c>
      <c r="BT21" s="253">
        <v>0</v>
      </c>
      <c r="BU21" s="276" t="str">
        <f t="shared" si="23"/>
        <v>-</v>
      </c>
      <c r="BV21" s="20">
        <v>0</v>
      </c>
      <c r="BW21" s="21">
        <v>0</v>
      </c>
      <c r="BX21" s="139" t="str">
        <f t="shared" si="24"/>
        <v>-</v>
      </c>
      <c r="BY21" s="20">
        <v>0</v>
      </c>
      <c r="BZ21" s="21">
        <v>0</v>
      </c>
      <c r="CA21" s="139" t="str">
        <f t="shared" si="25"/>
        <v>-</v>
      </c>
      <c r="CB21" s="20">
        <v>0</v>
      </c>
      <c r="CC21" s="21">
        <v>0</v>
      </c>
      <c r="CD21" s="139" t="str">
        <f t="shared" si="26"/>
        <v>-</v>
      </c>
      <c r="CE21" s="20">
        <v>0</v>
      </c>
      <c r="CF21" s="21">
        <v>0</v>
      </c>
      <c r="CG21" s="139" t="str">
        <f t="shared" si="109"/>
        <v>-</v>
      </c>
      <c r="CH21" s="20">
        <v>0</v>
      </c>
      <c r="CI21" s="21">
        <v>0</v>
      </c>
      <c r="CJ21" s="139" t="str">
        <f t="shared" si="110"/>
        <v>-</v>
      </c>
      <c r="CK21" s="20">
        <v>0</v>
      </c>
      <c r="CL21" s="21">
        <v>0</v>
      </c>
      <c r="CM21" s="139" t="str">
        <f t="shared" si="111"/>
        <v>-</v>
      </c>
      <c r="CN21" s="117">
        <f t="shared" ref="CN21:CN23" si="128">SUM(B21,E21,K21,Q22,T22,W22,Z22,AC22,AF22,AI22,AL22,AO21,AR21,AX21,BA21,BG21,BJ21,BM21,BP21,BS21,BV21,BY21,CB21,CE21,CH21,CK21)</f>
        <v>191</v>
      </c>
      <c r="CO21" s="120">
        <f t="shared" ref="CO21:CO23" si="129">C21+F21+L21+R22+U22+X22+AA22+AD22+AG22+AJ22+AS21+AV21+AY21+BB21+BE21+BH21+BK21+BN21+BQ21+BT21+CC21+CF21+CI21+CL21</f>
        <v>39</v>
      </c>
      <c r="CP21" s="147">
        <f t="shared" si="32"/>
        <v>4.8974358974358978</v>
      </c>
    </row>
    <row r="22" spans="1:94" ht="15" thickBot="1" x14ac:dyDescent="0.35">
      <c r="A22" s="294">
        <v>45706</v>
      </c>
      <c r="B22" s="20">
        <v>32</v>
      </c>
      <c r="C22" s="21">
        <v>4</v>
      </c>
      <c r="D22" s="139">
        <f t="shared" si="0"/>
        <v>8</v>
      </c>
      <c r="E22" s="20">
        <v>7</v>
      </c>
      <c r="F22" s="21">
        <v>1</v>
      </c>
      <c r="G22" s="139">
        <f t="shared" si="1"/>
        <v>7</v>
      </c>
      <c r="H22" s="20"/>
      <c r="I22" s="21"/>
      <c r="J22" s="139" t="str">
        <f t="shared" si="2"/>
        <v>-</v>
      </c>
      <c r="K22" s="20">
        <v>24</v>
      </c>
      <c r="L22" s="21">
        <v>5</v>
      </c>
      <c r="M22" s="139">
        <f t="shared" si="3"/>
        <v>4.8</v>
      </c>
      <c r="N22" s="125">
        <v>0</v>
      </c>
      <c r="O22" s="126">
        <v>0</v>
      </c>
      <c r="P22" s="139" t="str">
        <f t="shared" si="33"/>
        <v>-</v>
      </c>
      <c r="Q22" s="20">
        <v>60</v>
      </c>
      <c r="R22" s="21">
        <v>17</v>
      </c>
      <c r="S22" s="139">
        <f t="shared" si="34"/>
        <v>3.5294117647058822</v>
      </c>
      <c r="T22" s="125">
        <v>0</v>
      </c>
      <c r="U22" s="126">
        <v>0</v>
      </c>
      <c r="V22" s="139" t="str">
        <f t="shared" si="121"/>
        <v>-</v>
      </c>
      <c r="W22" s="125">
        <v>0</v>
      </c>
      <c r="X22" s="126">
        <v>0</v>
      </c>
      <c r="Y22" s="139" t="str">
        <f t="shared" si="122"/>
        <v>-</v>
      </c>
      <c r="Z22" s="125">
        <v>15</v>
      </c>
      <c r="AA22" s="126">
        <v>3</v>
      </c>
      <c r="AB22" s="139">
        <f t="shared" si="123"/>
        <v>5</v>
      </c>
      <c r="AC22" s="20">
        <v>26</v>
      </c>
      <c r="AD22" s="21">
        <v>6</v>
      </c>
      <c r="AE22" s="139">
        <f t="shared" si="38"/>
        <v>4.333333333333333</v>
      </c>
      <c r="AF22" s="20">
        <v>5</v>
      </c>
      <c r="AG22" s="21">
        <v>1</v>
      </c>
      <c r="AH22" s="139">
        <f t="shared" si="39"/>
        <v>5</v>
      </c>
      <c r="AI22" s="20">
        <v>0</v>
      </c>
      <c r="AJ22" s="21">
        <v>0</v>
      </c>
      <c r="AK22" s="139" t="str">
        <f t="shared" ref="AK22" si="130">IF(AJ22=0,"-",AI22/AJ22)</f>
        <v>-</v>
      </c>
      <c r="AL22" s="20">
        <v>0</v>
      </c>
      <c r="AM22" s="21">
        <v>0</v>
      </c>
      <c r="AN22" s="139" t="str">
        <f t="shared" ref="AN22" si="131">IF(AM22=0,"-",AL22/AM22)</f>
        <v>-</v>
      </c>
      <c r="AO22" s="20">
        <v>6</v>
      </c>
      <c r="AP22" s="21">
        <v>1</v>
      </c>
      <c r="AQ22" s="139">
        <f t="shared" si="48"/>
        <v>6</v>
      </c>
      <c r="AR22" s="21">
        <v>0</v>
      </c>
      <c r="AS22" s="148">
        <v>0</v>
      </c>
      <c r="AT22" s="139" t="str">
        <f t="shared" si="64"/>
        <v>-</v>
      </c>
      <c r="AU22" s="21">
        <v>0</v>
      </c>
      <c r="AV22" s="148">
        <v>0</v>
      </c>
      <c r="AW22" s="139" t="str">
        <f>IF(AU22=0,"-",#REF!/AU22)</f>
        <v>-</v>
      </c>
      <c r="AX22" s="20">
        <v>0</v>
      </c>
      <c r="AY22" s="21">
        <v>0</v>
      </c>
      <c r="AZ22" s="139" t="str">
        <f t="shared" si="51"/>
        <v>-</v>
      </c>
      <c r="BA22" s="20">
        <v>0</v>
      </c>
      <c r="BB22" s="21">
        <v>0</v>
      </c>
      <c r="BC22" s="139" t="str">
        <f t="shared" ref="BC22" si="132">IF(BB22=0,"-",BA22/BB22)</f>
        <v>-</v>
      </c>
      <c r="BD22" s="20">
        <v>0</v>
      </c>
      <c r="BE22" s="21">
        <v>0</v>
      </c>
      <c r="BF22" s="139" t="str">
        <f t="shared" ref="BF22" si="133">IF(BE22=0,"-",BD22/BE22)</f>
        <v>-</v>
      </c>
      <c r="BG22" s="20">
        <v>0</v>
      </c>
      <c r="BH22" s="21">
        <v>0</v>
      </c>
      <c r="BI22" s="139" t="str">
        <f t="shared" ref="BI22" si="134">IF(BH22=0,"-",BG22/BH22)</f>
        <v>-</v>
      </c>
      <c r="BJ22" s="252">
        <v>20</v>
      </c>
      <c r="BK22" s="253">
        <v>3</v>
      </c>
      <c r="BL22" s="139">
        <f t="shared" si="107"/>
        <v>6.666666666666667</v>
      </c>
      <c r="BM22" s="252">
        <v>0</v>
      </c>
      <c r="BN22" s="253">
        <v>0</v>
      </c>
      <c r="BO22" s="319" t="s">
        <v>89</v>
      </c>
      <c r="BP22" s="302">
        <v>0</v>
      </c>
      <c r="BQ22" s="303">
        <v>0</v>
      </c>
      <c r="BR22" s="320" t="s">
        <v>89</v>
      </c>
      <c r="BS22" s="257">
        <v>0</v>
      </c>
      <c r="BT22" s="253">
        <v>0</v>
      </c>
      <c r="BU22" s="276" t="str">
        <f t="shared" si="23"/>
        <v>-</v>
      </c>
      <c r="BV22" s="20">
        <v>0</v>
      </c>
      <c r="BW22" s="21">
        <v>0</v>
      </c>
      <c r="BX22" s="139" t="str">
        <f t="shared" ref="BX22" si="135">IF(BW22=0,"-",BV22/BW22)</f>
        <v>-</v>
      </c>
      <c r="BY22" s="20">
        <v>0</v>
      </c>
      <c r="BZ22" s="21">
        <v>0</v>
      </c>
      <c r="CA22" s="139" t="str">
        <f t="shared" ref="CA22" si="136">IF(BZ22=0,"-",BY22/BZ22)</f>
        <v>-</v>
      </c>
      <c r="CB22" s="20">
        <v>3</v>
      </c>
      <c r="CC22" s="21">
        <v>1</v>
      </c>
      <c r="CD22" s="139">
        <f t="shared" si="26"/>
        <v>3</v>
      </c>
      <c r="CE22" s="20">
        <v>0</v>
      </c>
      <c r="CF22" s="21">
        <v>0</v>
      </c>
      <c r="CG22" s="139" t="str">
        <f t="shared" si="109"/>
        <v>-</v>
      </c>
      <c r="CH22" s="20">
        <v>0</v>
      </c>
      <c r="CI22" s="21">
        <v>0</v>
      </c>
      <c r="CJ22" s="139" t="str">
        <f t="shared" si="110"/>
        <v>-</v>
      </c>
      <c r="CK22" s="20">
        <v>0</v>
      </c>
      <c r="CL22" s="21">
        <v>0</v>
      </c>
      <c r="CM22" s="139" t="str">
        <f t="shared" si="111"/>
        <v>-</v>
      </c>
      <c r="CN22" s="117">
        <f t="shared" si="128"/>
        <v>218</v>
      </c>
      <c r="CO22" s="120">
        <f t="shared" si="129"/>
        <v>46</v>
      </c>
      <c r="CP22" s="147">
        <f t="shared" si="32"/>
        <v>4.7391304347826084</v>
      </c>
    </row>
    <row r="23" spans="1:94" ht="15" thickBot="1" x14ac:dyDescent="0.35">
      <c r="A23" s="294">
        <v>45707</v>
      </c>
      <c r="B23" s="20">
        <v>59</v>
      </c>
      <c r="C23" s="21">
        <v>7</v>
      </c>
      <c r="D23" s="139">
        <f t="shared" si="0"/>
        <v>8.4285714285714288</v>
      </c>
      <c r="E23" s="20">
        <v>0</v>
      </c>
      <c r="F23" s="21">
        <v>0</v>
      </c>
      <c r="G23" s="139" t="str">
        <f t="shared" si="1"/>
        <v>-</v>
      </c>
      <c r="H23" s="20"/>
      <c r="I23" s="21"/>
      <c r="J23" s="139" t="str">
        <f t="shared" si="2"/>
        <v>-</v>
      </c>
      <c r="K23" s="20">
        <v>16</v>
      </c>
      <c r="L23" s="21">
        <v>2</v>
      </c>
      <c r="M23" s="139">
        <f t="shared" si="3"/>
        <v>8</v>
      </c>
      <c r="N23" s="125">
        <v>0</v>
      </c>
      <c r="O23" s="126">
        <v>0</v>
      </c>
      <c r="P23" s="139" t="str">
        <f t="shared" si="33"/>
        <v>-</v>
      </c>
      <c r="Q23" s="20">
        <v>101</v>
      </c>
      <c r="R23" s="21">
        <v>27</v>
      </c>
      <c r="S23" s="139">
        <f t="shared" si="34"/>
        <v>3.7407407407407409</v>
      </c>
      <c r="T23" s="125">
        <v>0</v>
      </c>
      <c r="U23" s="126">
        <v>0</v>
      </c>
      <c r="V23" s="139" t="str">
        <f t="shared" si="121"/>
        <v>-</v>
      </c>
      <c r="W23" s="125">
        <v>0</v>
      </c>
      <c r="X23" s="126">
        <v>0</v>
      </c>
      <c r="Y23" s="139" t="str">
        <f t="shared" si="122"/>
        <v>-</v>
      </c>
      <c r="Z23" s="125">
        <v>25</v>
      </c>
      <c r="AA23" s="126">
        <v>5</v>
      </c>
      <c r="AB23" s="139">
        <f t="shared" si="123"/>
        <v>5</v>
      </c>
      <c r="AC23" s="20">
        <v>0</v>
      </c>
      <c r="AD23" s="21">
        <v>0</v>
      </c>
      <c r="AE23" s="139" t="str">
        <f t="shared" si="38"/>
        <v>-</v>
      </c>
      <c r="AF23" s="20">
        <v>0</v>
      </c>
      <c r="AG23" s="21">
        <v>0</v>
      </c>
      <c r="AH23" s="139" t="str">
        <f t="shared" si="39"/>
        <v>-</v>
      </c>
      <c r="AI23" s="20">
        <v>0</v>
      </c>
      <c r="AJ23" s="21">
        <v>0</v>
      </c>
      <c r="AK23" s="139" t="str">
        <f t="shared" si="40"/>
        <v>-</v>
      </c>
      <c r="AL23" s="20">
        <v>0</v>
      </c>
      <c r="AM23" s="21">
        <v>0</v>
      </c>
      <c r="AN23" s="139" t="str">
        <f t="shared" si="41"/>
        <v>-</v>
      </c>
      <c r="AO23" s="20">
        <v>0</v>
      </c>
      <c r="AP23" s="21">
        <v>0</v>
      </c>
      <c r="AQ23" s="139" t="str">
        <f t="shared" si="48"/>
        <v>-</v>
      </c>
      <c r="AR23" s="20">
        <v>0</v>
      </c>
      <c r="AS23" s="21">
        <v>0</v>
      </c>
      <c r="AT23" s="139" t="str">
        <f t="shared" si="64"/>
        <v>-</v>
      </c>
      <c r="AU23" s="20">
        <v>0</v>
      </c>
      <c r="AV23" s="21">
        <v>0</v>
      </c>
      <c r="AW23" s="139" t="str">
        <f t="shared" ref="AW23:AW32" si="137">IF(AV23=0,"-",AU23/AV23)</f>
        <v>-</v>
      </c>
      <c r="AX23" s="20">
        <v>2</v>
      </c>
      <c r="AY23" s="21">
        <v>1</v>
      </c>
      <c r="AZ23" s="139">
        <f t="shared" si="51"/>
        <v>2</v>
      </c>
      <c r="BA23" s="20">
        <v>0</v>
      </c>
      <c r="BB23" s="21">
        <v>0</v>
      </c>
      <c r="BC23" s="139" t="str">
        <f t="shared" ref="BC23:BC32" si="138">IF(BB23=0,"-",BA23/BB23)</f>
        <v>-</v>
      </c>
      <c r="BD23" s="20">
        <v>0</v>
      </c>
      <c r="BE23" s="21">
        <v>0</v>
      </c>
      <c r="BF23" s="139" t="str">
        <f t="shared" si="106"/>
        <v>-</v>
      </c>
      <c r="BG23" s="20">
        <v>0</v>
      </c>
      <c r="BH23" s="21">
        <v>0</v>
      </c>
      <c r="BI23" s="139" t="str">
        <f t="shared" si="19"/>
        <v>-</v>
      </c>
      <c r="BJ23" s="252">
        <v>12</v>
      </c>
      <c r="BK23" s="253">
        <v>2</v>
      </c>
      <c r="BL23" s="139">
        <f t="shared" si="107"/>
        <v>6</v>
      </c>
      <c r="BM23" s="252">
        <v>0</v>
      </c>
      <c r="BN23" s="253">
        <v>0</v>
      </c>
      <c r="BO23" s="319" t="s">
        <v>89</v>
      </c>
      <c r="BP23" s="302">
        <v>0</v>
      </c>
      <c r="BQ23" s="303">
        <v>0</v>
      </c>
      <c r="BR23" s="320" t="s">
        <v>89</v>
      </c>
      <c r="BS23" s="257">
        <v>7</v>
      </c>
      <c r="BT23" s="253">
        <v>1</v>
      </c>
      <c r="BU23" s="276">
        <f t="shared" si="23"/>
        <v>7</v>
      </c>
      <c r="BV23" s="252">
        <v>1</v>
      </c>
      <c r="BW23" s="253">
        <v>1</v>
      </c>
      <c r="BX23" s="139">
        <f t="shared" si="24"/>
        <v>1</v>
      </c>
      <c r="BY23" s="20">
        <v>0</v>
      </c>
      <c r="BZ23" s="21">
        <v>0</v>
      </c>
      <c r="CA23" s="139" t="str">
        <f t="shared" si="25"/>
        <v>-</v>
      </c>
      <c r="CB23" s="252">
        <v>5</v>
      </c>
      <c r="CC23" s="253">
        <v>1</v>
      </c>
      <c r="CD23" s="139">
        <f t="shared" si="26"/>
        <v>5</v>
      </c>
      <c r="CE23" s="20">
        <v>0</v>
      </c>
      <c r="CF23" s="21">
        <v>0</v>
      </c>
      <c r="CG23" s="139" t="str">
        <f t="shared" si="109"/>
        <v>-</v>
      </c>
      <c r="CH23" s="20">
        <v>0</v>
      </c>
      <c r="CI23" s="21">
        <v>0</v>
      </c>
      <c r="CJ23" s="139" t="str">
        <f t="shared" si="110"/>
        <v>-</v>
      </c>
      <c r="CK23" s="20">
        <v>0</v>
      </c>
      <c r="CL23" s="21">
        <v>0</v>
      </c>
      <c r="CM23" s="139" t="str">
        <f t="shared" si="111"/>
        <v>-</v>
      </c>
      <c r="CN23" s="117">
        <f t="shared" si="128"/>
        <v>269</v>
      </c>
      <c r="CO23" s="120">
        <f t="shared" si="129"/>
        <v>56</v>
      </c>
      <c r="CP23" s="147">
        <f t="shared" si="32"/>
        <v>4.8035714285714288</v>
      </c>
    </row>
    <row r="24" spans="1:94" ht="15" thickBot="1" x14ac:dyDescent="0.35">
      <c r="A24" s="294">
        <v>45708</v>
      </c>
      <c r="B24" s="20">
        <v>26</v>
      </c>
      <c r="C24" s="21">
        <v>3</v>
      </c>
      <c r="D24" s="139">
        <f t="shared" si="0"/>
        <v>8.6666666666666661</v>
      </c>
      <c r="E24" s="20">
        <v>5</v>
      </c>
      <c r="F24" s="21">
        <v>1</v>
      </c>
      <c r="G24" s="139">
        <f t="shared" si="1"/>
        <v>5</v>
      </c>
      <c r="H24" s="20"/>
      <c r="I24" s="21"/>
      <c r="J24" s="139" t="str">
        <f t="shared" si="2"/>
        <v>-</v>
      </c>
      <c r="K24" s="20">
        <v>9</v>
      </c>
      <c r="L24" s="21">
        <v>1</v>
      </c>
      <c r="M24" s="139">
        <f t="shared" si="3"/>
        <v>9</v>
      </c>
      <c r="N24" s="125">
        <v>0</v>
      </c>
      <c r="O24" s="126">
        <v>0</v>
      </c>
      <c r="P24" s="139" t="str">
        <f t="shared" si="33"/>
        <v>-</v>
      </c>
      <c r="Q24" s="125">
        <v>131</v>
      </c>
      <c r="R24" s="126">
        <v>36</v>
      </c>
      <c r="S24" s="139">
        <f t="shared" si="34"/>
        <v>3.6388888888888888</v>
      </c>
      <c r="T24" s="125">
        <v>0</v>
      </c>
      <c r="U24" s="126">
        <v>0</v>
      </c>
      <c r="V24" s="139" t="str">
        <f t="shared" si="121"/>
        <v>-</v>
      </c>
      <c r="W24" s="125">
        <v>0</v>
      </c>
      <c r="X24" s="126">
        <v>0</v>
      </c>
      <c r="Y24" s="139" t="str">
        <f t="shared" si="122"/>
        <v>-</v>
      </c>
      <c r="Z24" s="125">
        <v>0</v>
      </c>
      <c r="AA24" s="126">
        <v>0</v>
      </c>
      <c r="AB24" s="139" t="str">
        <f t="shared" si="123"/>
        <v>-</v>
      </c>
      <c r="AC24" s="125">
        <v>36</v>
      </c>
      <c r="AD24" s="126">
        <v>6</v>
      </c>
      <c r="AE24" s="139">
        <f t="shared" si="38"/>
        <v>6</v>
      </c>
      <c r="AF24" s="125">
        <v>0</v>
      </c>
      <c r="AG24" s="126">
        <v>0</v>
      </c>
      <c r="AH24" s="139" t="str">
        <f t="shared" si="39"/>
        <v>-</v>
      </c>
      <c r="AI24" s="125">
        <v>0</v>
      </c>
      <c r="AJ24" s="126">
        <v>0</v>
      </c>
      <c r="AK24" s="139" t="str">
        <f t="shared" si="40"/>
        <v>-</v>
      </c>
      <c r="AL24" s="125">
        <v>0</v>
      </c>
      <c r="AM24" s="126">
        <v>0</v>
      </c>
      <c r="AN24" s="139" t="str">
        <f t="shared" si="41"/>
        <v>-</v>
      </c>
      <c r="AO24" s="125">
        <v>0</v>
      </c>
      <c r="AP24" s="126">
        <v>0</v>
      </c>
      <c r="AQ24" s="139" t="str">
        <f t="shared" si="48"/>
        <v>-</v>
      </c>
      <c r="AR24" s="125">
        <v>0</v>
      </c>
      <c r="AS24" s="126">
        <v>0</v>
      </c>
      <c r="AT24" s="139" t="str">
        <f t="shared" si="64"/>
        <v>-</v>
      </c>
      <c r="AU24" s="125">
        <v>0</v>
      </c>
      <c r="AV24" s="126">
        <v>0</v>
      </c>
      <c r="AW24" s="139" t="str">
        <f t="shared" si="137"/>
        <v>-</v>
      </c>
      <c r="AX24" s="125">
        <v>0</v>
      </c>
      <c r="AY24" s="126">
        <v>0</v>
      </c>
      <c r="AZ24" s="139" t="str">
        <f t="shared" si="51"/>
        <v>-</v>
      </c>
      <c r="BA24" s="20">
        <v>0</v>
      </c>
      <c r="BB24" s="21">
        <v>0</v>
      </c>
      <c r="BC24" s="139" t="str">
        <f t="shared" si="138"/>
        <v>-</v>
      </c>
      <c r="BD24" s="20">
        <v>0</v>
      </c>
      <c r="BE24" s="21">
        <v>0</v>
      </c>
      <c r="BF24" s="139" t="str">
        <f t="shared" si="106"/>
        <v>-</v>
      </c>
      <c r="BG24" s="20">
        <v>0</v>
      </c>
      <c r="BH24" s="21">
        <v>0</v>
      </c>
      <c r="BI24" s="139" t="str">
        <f t="shared" si="19"/>
        <v>-</v>
      </c>
      <c r="BJ24" s="252">
        <v>15</v>
      </c>
      <c r="BK24" s="253">
        <v>2</v>
      </c>
      <c r="BL24" s="139">
        <f t="shared" si="107"/>
        <v>7.5</v>
      </c>
      <c r="BM24" s="252">
        <v>0</v>
      </c>
      <c r="BN24" s="253">
        <v>0</v>
      </c>
      <c r="BO24" s="319" t="s">
        <v>89</v>
      </c>
      <c r="BP24" s="302">
        <v>0</v>
      </c>
      <c r="BQ24" s="303">
        <v>0</v>
      </c>
      <c r="BR24" s="320" t="s">
        <v>89</v>
      </c>
      <c r="BS24" s="256">
        <v>7</v>
      </c>
      <c r="BT24" s="253">
        <v>1</v>
      </c>
      <c r="BU24" s="276">
        <f t="shared" si="23"/>
        <v>7</v>
      </c>
      <c r="BV24" s="252">
        <v>0</v>
      </c>
      <c r="BW24" s="253">
        <v>0</v>
      </c>
      <c r="BX24" s="139" t="str">
        <f t="shared" si="24"/>
        <v>-</v>
      </c>
      <c r="BY24" s="252">
        <v>0</v>
      </c>
      <c r="BZ24" s="253">
        <v>0</v>
      </c>
      <c r="CA24" s="139">
        <v>0</v>
      </c>
      <c r="CB24" s="252">
        <v>0</v>
      </c>
      <c r="CC24" s="253">
        <v>0</v>
      </c>
      <c r="CD24" s="139" t="str">
        <f t="shared" si="26"/>
        <v>-</v>
      </c>
      <c r="CE24" s="20">
        <v>0</v>
      </c>
      <c r="CF24" s="21">
        <v>0</v>
      </c>
      <c r="CG24" s="139" t="str">
        <f t="shared" si="109"/>
        <v>-</v>
      </c>
      <c r="CH24" s="20">
        <v>0</v>
      </c>
      <c r="CI24" s="21">
        <v>0</v>
      </c>
      <c r="CJ24" s="139" t="str">
        <f t="shared" si="110"/>
        <v>-</v>
      </c>
      <c r="CK24" s="20">
        <v>0</v>
      </c>
      <c r="CL24" s="21">
        <v>0</v>
      </c>
      <c r="CM24" s="139" t="str">
        <f t="shared" si="111"/>
        <v>-</v>
      </c>
      <c r="CN24" s="117">
        <f t="shared" si="30"/>
        <v>229</v>
      </c>
      <c r="CO24" s="120">
        <f t="shared" si="31"/>
        <v>50</v>
      </c>
      <c r="CP24" s="147">
        <f t="shared" si="32"/>
        <v>4.58</v>
      </c>
    </row>
    <row r="25" spans="1:94" ht="15" thickBot="1" x14ac:dyDescent="0.35">
      <c r="A25" s="294">
        <v>45709</v>
      </c>
      <c r="B25" s="20">
        <v>58</v>
      </c>
      <c r="C25" s="21">
        <v>7</v>
      </c>
      <c r="D25" s="139">
        <f t="shared" si="0"/>
        <v>8.2857142857142865</v>
      </c>
      <c r="E25" s="20">
        <v>0</v>
      </c>
      <c r="F25" s="21">
        <v>0</v>
      </c>
      <c r="G25" s="139" t="str">
        <f t="shared" si="1"/>
        <v>-</v>
      </c>
      <c r="H25" s="20"/>
      <c r="I25" s="21"/>
      <c r="J25" s="139" t="str">
        <f t="shared" si="2"/>
        <v>-</v>
      </c>
      <c r="K25" s="20">
        <v>16</v>
      </c>
      <c r="L25" s="21">
        <v>2</v>
      </c>
      <c r="M25" s="139">
        <f t="shared" si="3"/>
        <v>8</v>
      </c>
      <c r="N25" s="125">
        <v>0</v>
      </c>
      <c r="O25" s="126">
        <v>0</v>
      </c>
      <c r="P25" s="139" t="str">
        <f t="shared" si="33"/>
        <v>-</v>
      </c>
      <c r="Q25" s="125">
        <v>73</v>
      </c>
      <c r="R25" s="126">
        <v>20</v>
      </c>
      <c r="S25" s="139">
        <f t="shared" si="34"/>
        <v>3.65</v>
      </c>
      <c r="T25" s="125">
        <v>0</v>
      </c>
      <c r="U25" s="126">
        <v>0</v>
      </c>
      <c r="V25" s="139" t="str">
        <f t="shared" si="121"/>
        <v>-</v>
      </c>
      <c r="W25" s="125">
        <v>0</v>
      </c>
      <c r="X25" s="126">
        <v>0</v>
      </c>
      <c r="Y25" s="139" t="str">
        <f t="shared" si="122"/>
        <v>-</v>
      </c>
      <c r="Z25" s="125">
        <v>20</v>
      </c>
      <c r="AA25" s="126">
        <v>4</v>
      </c>
      <c r="AB25" s="139">
        <f t="shared" si="123"/>
        <v>5</v>
      </c>
      <c r="AC25" s="125">
        <v>0</v>
      </c>
      <c r="AD25" s="126">
        <v>0</v>
      </c>
      <c r="AE25" s="139" t="str">
        <f t="shared" si="38"/>
        <v>-</v>
      </c>
      <c r="AF25" s="125">
        <v>0</v>
      </c>
      <c r="AG25" s="126">
        <v>0</v>
      </c>
      <c r="AH25" s="139" t="str">
        <f t="shared" si="39"/>
        <v>-</v>
      </c>
      <c r="AI25" s="125">
        <v>0</v>
      </c>
      <c r="AJ25" s="126">
        <v>0</v>
      </c>
      <c r="AK25" s="139" t="str">
        <f t="shared" si="40"/>
        <v>-</v>
      </c>
      <c r="AL25" s="125">
        <v>0</v>
      </c>
      <c r="AM25" s="126">
        <v>0</v>
      </c>
      <c r="AN25" s="139" t="str">
        <f t="shared" si="41"/>
        <v>-</v>
      </c>
      <c r="AO25" s="125">
        <v>12</v>
      </c>
      <c r="AP25" s="126">
        <v>2</v>
      </c>
      <c r="AQ25" s="139">
        <f t="shared" si="48"/>
        <v>6</v>
      </c>
      <c r="AR25" s="125">
        <v>15</v>
      </c>
      <c r="AS25" s="126">
        <v>2</v>
      </c>
      <c r="AT25" s="139">
        <f t="shared" si="64"/>
        <v>7.5</v>
      </c>
      <c r="AU25" s="125">
        <v>0</v>
      </c>
      <c r="AV25" s="126">
        <v>0</v>
      </c>
      <c r="AW25" s="139" t="str">
        <f t="shared" si="137"/>
        <v>-</v>
      </c>
      <c r="AX25" s="125">
        <v>0</v>
      </c>
      <c r="AY25" s="126">
        <v>0</v>
      </c>
      <c r="AZ25" s="139" t="str">
        <f t="shared" ref="AZ25" si="139">IF(AY25=0,"-",AX25/AY25)</f>
        <v>-</v>
      </c>
      <c r="BA25" s="20">
        <v>0</v>
      </c>
      <c r="BB25" s="21">
        <v>0</v>
      </c>
      <c r="BC25" s="139" t="str">
        <f t="shared" ref="BC25" si="140">IF(BB25=0,"-",BA25/BB25)</f>
        <v>-</v>
      </c>
      <c r="BD25" s="20">
        <v>0</v>
      </c>
      <c r="BE25" s="21">
        <v>0</v>
      </c>
      <c r="BF25" s="139" t="str">
        <f t="shared" ref="BF25" si="141">IF(BE25=0,"-",BD25/BE25)</f>
        <v>-</v>
      </c>
      <c r="BG25" s="20">
        <v>0</v>
      </c>
      <c r="BH25" s="21">
        <v>0</v>
      </c>
      <c r="BI25" s="139" t="str">
        <f t="shared" ref="BI25" si="142">IF(BH25=0,"-",BG25/BH25)</f>
        <v>-</v>
      </c>
      <c r="BJ25" s="252">
        <v>8</v>
      </c>
      <c r="BK25" s="253">
        <v>1</v>
      </c>
      <c r="BL25" s="139">
        <f t="shared" si="107"/>
        <v>8</v>
      </c>
      <c r="BM25" s="252">
        <v>0</v>
      </c>
      <c r="BN25" s="253">
        <v>0</v>
      </c>
      <c r="BO25" s="319" t="s">
        <v>89</v>
      </c>
      <c r="BP25" s="302">
        <v>0</v>
      </c>
      <c r="BQ25" s="303">
        <v>0</v>
      </c>
      <c r="BR25" s="320" t="s">
        <v>89</v>
      </c>
      <c r="BS25" s="257">
        <v>0</v>
      </c>
      <c r="BT25" s="253">
        <v>0</v>
      </c>
      <c r="BU25" s="276" t="str">
        <f t="shared" si="23"/>
        <v>-</v>
      </c>
      <c r="BV25" s="252">
        <v>8</v>
      </c>
      <c r="BW25" s="253">
        <v>1</v>
      </c>
      <c r="BX25" s="139">
        <f t="shared" si="24"/>
        <v>8</v>
      </c>
      <c r="BY25" s="252">
        <v>0</v>
      </c>
      <c r="BZ25" s="253">
        <v>0</v>
      </c>
      <c r="CA25" s="139">
        <v>0</v>
      </c>
      <c r="CB25" s="252">
        <v>0</v>
      </c>
      <c r="CC25" s="253">
        <v>0</v>
      </c>
      <c r="CD25" s="139" t="str">
        <f t="shared" si="26"/>
        <v>-</v>
      </c>
      <c r="CE25" s="20">
        <v>0</v>
      </c>
      <c r="CF25" s="21">
        <v>0</v>
      </c>
      <c r="CG25" s="139" t="str">
        <f t="shared" si="109"/>
        <v>-</v>
      </c>
      <c r="CH25" s="20">
        <v>0</v>
      </c>
      <c r="CI25" s="21">
        <v>0</v>
      </c>
      <c r="CJ25" s="139" t="str">
        <f t="shared" si="110"/>
        <v>-</v>
      </c>
      <c r="CK25" s="20">
        <v>0</v>
      </c>
      <c r="CL25" s="21">
        <v>0</v>
      </c>
      <c r="CM25" s="139" t="str">
        <f t="shared" si="111"/>
        <v>-</v>
      </c>
      <c r="CN25" s="117">
        <f t="shared" si="30"/>
        <v>210</v>
      </c>
      <c r="CO25" s="120">
        <f t="shared" si="31"/>
        <v>36</v>
      </c>
      <c r="CP25" s="147">
        <f t="shared" si="32"/>
        <v>5.833333333333333</v>
      </c>
    </row>
    <row r="26" spans="1:94" ht="15" thickBot="1" x14ac:dyDescent="0.35">
      <c r="A26" s="294">
        <v>45710</v>
      </c>
      <c r="B26" s="20">
        <v>51</v>
      </c>
      <c r="C26" s="21">
        <v>6</v>
      </c>
      <c r="D26" s="139">
        <f t="shared" si="0"/>
        <v>8.5</v>
      </c>
      <c r="E26" s="20">
        <v>0</v>
      </c>
      <c r="F26" s="21">
        <v>0</v>
      </c>
      <c r="G26" s="139">
        <v>0</v>
      </c>
      <c r="H26" s="20"/>
      <c r="I26" s="21"/>
      <c r="J26" s="139" t="str">
        <f t="shared" si="2"/>
        <v>-</v>
      </c>
      <c r="K26" s="20">
        <v>0</v>
      </c>
      <c r="L26" s="21">
        <v>0</v>
      </c>
      <c r="M26" s="139" t="str">
        <f>IF(L26=0,"-",K26/L26)</f>
        <v>-</v>
      </c>
      <c r="N26" s="125">
        <v>0</v>
      </c>
      <c r="O26" s="126">
        <v>0</v>
      </c>
      <c r="P26" s="139" t="str">
        <f t="shared" si="33"/>
        <v>-</v>
      </c>
      <c r="Q26" s="125">
        <v>6</v>
      </c>
      <c r="R26" s="126">
        <v>1</v>
      </c>
      <c r="S26" s="139">
        <f t="shared" si="34"/>
        <v>6</v>
      </c>
      <c r="T26" s="125">
        <v>0</v>
      </c>
      <c r="U26" s="126">
        <v>0</v>
      </c>
      <c r="V26" s="139" t="str">
        <f t="shared" ref="V26:V27" si="143">IF(U26=0,"-",T26/U26)</f>
        <v>-</v>
      </c>
      <c r="W26" s="125">
        <v>0</v>
      </c>
      <c r="X26" s="126">
        <v>0</v>
      </c>
      <c r="Y26" s="139" t="str">
        <f t="shared" si="122"/>
        <v>-</v>
      </c>
      <c r="Z26" s="125">
        <v>0</v>
      </c>
      <c r="AA26" s="126">
        <v>0</v>
      </c>
      <c r="AB26" s="139" t="str">
        <f t="shared" si="123"/>
        <v>-</v>
      </c>
      <c r="AC26" s="125">
        <v>0</v>
      </c>
      <c r="AD26" s="126">
        <v>0</v>
      </c>
      <c r="AE26" s="139" t="str">
        <f t="shared" si="38"/>
        <v>-</v>
      </c>
      <c r="AF26" s="125">
        <v>0</v>
      </c>
      <c r="AG26" s="126">
        <v>0</v>
      </c>
      <c r="AH26" s="139" t="str">
        <f t="shared" si="39"/>
        <v>-</v>
      </c>
      <c r="AI26" s="125">
        <v>0</v>
      </c>
      <c r="AJ26" s="126">
        <v>0</v>
      </c>
      <c r="AK26" s="139" t="str">
        <f t="shared" si="40"/>
        <v>-</v>
      </c>
      <c r="AL26" s="125">
        <v>0</v>
      </c>
      <c r="AM26" s="126">
        <v>0</v>
      </c>
      <c r="AN26" s="139" t="str">
        <f t="shared" si="41"/>
        <v>-</v>
      </c>
      <c r="AO26" s="125">
        <v>6</v>
      </c>
      <c r="AP26" s="126">
        <v>1</v>
      </c>
      <c r="AQ26" s="139">
        <f t="shared" si="48"/>
        <v>6</v>
      </c>
      <c r="AR26" s="125">
        <v>0</v>
      </c>
      <c r="AS26" s="126">
        <v>0</v>
      </c>
      <c r="AT26" s="139" t="str">
        <f t="shared" si="64"/>
        <v>-</v>
      </c>
      <c r="AU26" s="125">
        <v>0</v>
      </c>
      <c r="AV26" s="126">
        <v>0</v>
      </c>
      <c r="AW26" s="139" t="str">
        <f t="shared" si="137"/>
        <v>-</v>
      </c>
      <c r="AX26" s="125">
        <v>0</v>
      </c>
      <c r="AY26" s="126">
        <v>0</v>
      </c>
      <c r="AZ26" s="139" t="str">
        <f t="shared" si="51"/>
        <v>-</v>
      </c>
      <c r="BA26" s="125">
        <v>0</v>
      </c>
      <c r="BB26" s="126">
        <v>0</v>
      </c>
      <c r="BC26" s="139" t="str">
        <f t="shared" si="138"/>
        <v>-</v>
      </c>
      <c r="BD26" s="125">
        <v>0</v>
      </c>
      <c r="BE26" s="126">
        <v>0</v>
      </c>
      <c r="BF26" s="139" t="str">
        <f t="shared" si="106"/>
        <v>-</v>
      </c>
      <c r="BG26" s="125">
        <v>0</v>
      </c>
      <c r="BH26" s="126">
        <v>0</v>
      </c>
      <c r="BI26" s="139" t="str">
        <f t="shared" si="19"/>
        <v>-</v>
      </c>
      <c r="BJ26" s="252">
        <v>29</v>
      </c>
      <c r="BK26" s="253">
        <v>4</v>
      </c>
      <c r="BL26" s="139">
        <f t="shared" si="107"/>
        <v>7.25</v>
      </c>
      <c r="BM26" s="252">
        <v>8</v>
      </c>
      <c r="BN26" s="253">
        <v>1</v>
      </c>
      <c r="BO26" s="319" t="s">
        <v>89</v>
      </c>
      <c r="BP26" s="302">
        <v>15</v>
      </c>
      <c r="BQ26" s="303">
        <v>2</v>
      </c>
      <c r="BR26" s="320" t="s">
        <v>89</v>
      </c>
      <c r="BS26" s="257">
        <v>0</v>
      </c>
      <c r="BT26" s="253">
        <v>0</v>
      </c>
      <c r="BU26" s="276" t="str">
        <f t="shared" si="23"/>
        <v>-</v>
      </c>
      <c r="BV26" s="125">
        <v>6</v>
      </c>
      <c r="BW26" s="126">
        <v>1</v>
      </c>
      <c r="BX26" s="139">
        <f t="shared" si="24"/>
        <v>6</v>
      </c>
      <c r="BY26" s="252">
        <v>0</v>
      </c>
      <c r="BZ26" s="253">
        <v>0</v>
      </c>
      <c r="CA26" s="139">
        <v>0</v>
      </c>
      <c r="CB26" s="125">
        <v>0</v>
      </c>
      <c r="CC26" s="126">
        <v>0</v>
      </c>
      <c r="CD26" s="139" t="str">
        <f>IF(CC26=0,"-",CB26/CC26)</f>
        <v>-</v>
      </c>
      <c r="CE26" s="20">
        <v>0</v>
      </c>
      <c r="CF26" s="21">
        <v>0</v>
      </c>
      <c r="CG26" s="139" t="str">
        <f t="shared" si="109"/>
        <v>-</v>
      </c>
      <c r="CH26" s="20">
        <v>0</v>
      </c>
      <c r="CI26" s="21">
        <v>0</v>
      </c>
      <c r="CJ26" s="139" t="str">
        <f t="shared" si="110"/>
        <v>-</v>
      </c>
      <c r="CK26" s="20">
        <v>0</v>
      </c>
      <c r="CL26" s="21">
        <v>0</v>
      </c>
      <c r="CM26" s="139" t="str">
        <f t="shared" si="111"/>
        <v>-</v>
      </c>
      <c r="CN26" s="117">
        <f t="shared" si="30"/>
        <v>121</v>
      </c>
      <c r="CO26" s="120">
        <f t="shared" si="31"/>
        <v>14</v>
      </c>
      <c r="CP26" s="147">
        <f t="shared" si="32"/>
        <v>8.6428571428571423</v>
      </c>
    </row>
    <row r="27" spans="1:94" ht="15" thickBot="1" x14ac:dyDescent="0.35">
      <c r="A27" s="294">
        <v>45711</v>
      </c>
      <c r="B27" s="20">
        <v>0</v>
      </c>
      <c r="C27" s="21">
        <v>0</v>
      </c>
      <c r="D27" s="139" t="str">
        <f t="shared" si="0"/>
        <v>-</v>
      </c>
      <c r="E27" s="20">
        <v>0</v>
      </c>
      <c r="F27" s="21">
        <v>0</v>
      </c>
      <c r="G27" s="139">
        <v>0</v>
      </c>
      <c r="H27" s="20"/>
      <c r="I27" s="21"/>
      <c r="J27" s="139" t="str">
        <f t="shared" si="2"/>
        <v>-</v>
      </c>
      <c r="K27" s="20">
        <v>0</v>
      </c>
      <c r="L27" s="21">
        <v>0</v>
      </c>
      <c r="M27" s="139" t="str">
        <f t="shared" si="3"/>
        <v>-</v>
      </c>
      <c r="N27" s="125">
        <v>0</v>
      </c>
      <c r="O27" s="126">
        <v>0</v>
      </c>
      <c r="P27" s="139" t="str">
        <f t="shared" si="33"/>
        <v>-</v>
      </c>
      <c r="Q27" s="125">
        <v>0</v>
      </c>
      <c r="R27" s="126">
        <v>0</v>
      </c>
      <c r="S27" s="139" t="str">
        <f t="shared" si="34"/>
        <v>-</v>
      </c>
      <c r="T27" s="125">
        <v>0</v>
      </c>
      <c r="U27" s="126">
        <v>0</v>
      </c>
      <c r="V27" s="139" t="str">
        <f t="shared" si="143"/>
        <v>-</v>
      </c>
      <c r="W27" s="125">
        <v>0</v>
      </c>
      <c r="X27" s="126">
        <v>0</v>
      </c>
      <c r="Y27" s="139" t="str">
        <f t="shared" si="122"/>
        <v>-</v>
      </c>
      <c r="Z27" s="125">
        <v>0</v>
      </c>
      <c r="AA27" s="126">
        <v>0</v>
      </c>
      <c r="AB27" s="139" t="str">
        <f t="shared" si="123"/>
        <v>-</v>
      </c>
      <c r="AC27" s="125">
        <v>0</v>
      </c>
      <c r="AD27" s="126">
        <v>0</v>
      </c>
      <c r="AE27" s="139" t="str">
        <f t="shared" si="38"/>
        <v>-</v>
      </c>
      <c r="AF27" s="125">
        <v>0</v>
      </c>
      <c r="AG27" s="126">
        <v>0</v>
      </c>
      <c r="AH27" s="139" t="str">
        <f t="shared" si="39"/>
        <v>-</v>
      </c>
      <c r="AI27" s="125">
        <v>0</v>
      </c>
      <c r="AJ27" s="126">
        <v>0</v>
      </c>
      <c r="AK27" s="139" t="str">
        <f t="shared" si="40"/>
        <v>-</v>
      </c>
      <c r="AL27" s="125">
        <v>0</v>
      </c>
      <c r="AM27" s="126">
        <v>0</v>
      </c>
      <c r="AN27" s="139" t="str">
        <f t="shared" si="41"/>
        <v>-</v>
      </c>
      <c r="AO27" s="125">
        <v>0</v>
      </c>
      <c r="AP27" s="126">
        <v>0</v>
      </c>
      <c r="AQ27" s="139" t="str">
        <f t="shared" si="48"/>
        <v>-</v>
      </c>
      <c r="AR27" s="125">
        <v>0</v>
      </c>
      <c r="AS27" s="126">
        <v>0</v>
      </c>
      <c r="AT27" s="139" t="str">
        <f t="shared" ref="AT27" si="144">IF(AS27=0,"-",AR27/AS27)</f>
        <v>-</v>
      </c>
      <c r="AU27" s="125">
        <v>0</v>
      </c>
      <c r="AV27" s="126">
        <v>0</v>
      </c>
      <c r="AW27" s="139" t="str">
        <f t="shared" ref="AW27" si="145">IF(AV27=0,"-",AU27/AV27)</f>
        <v>-</v>
      </c>
      <c r="AX27" s="125">
        <v>0</v>
      </c>
      <c r="AY27" s="126">
        <v>0</v>
      </c>
      <c r="AZ27" s="139" t="str">
        <f t="shared" ref="AZ27" si="146">IF(AY27=0,"-",AX27/AY27)</f>
        <v>-</v>
      </c>
      <c r="BA27" s="125">
        <v>0</v>
      </c>
      <c r="BB27" s="126">
        <v>0</v>
      </c>
      <c r="BC27" s="139" t="str">
        <f t="shared" ref="BC27" si="147">IF(BB27=0,"-",BA27/BB27)</f>
        <v>-</v>
      </c>
      <c r="BD27" s="125">
        <v>0</v>
      </c>
      <c r="BE27" s="126">
        <v>0</v>
      </c>
      <c r="BF27" s="139" t="str">
        <f t="shared" ref="BF27" si="148">IF(BE27=0,"-",BD27/BE27)</f>
        <v>-</v>
      </c>
      <c r="BG27" s="125">
        <v>0</v>
      </c>
      <c r="BH27" s="126">
        <v>0</v>
      </c>
      <c r="BI27" s="139" t="str">
        <f t="shared" ref="BI27" si="149">IF(BH27=0,"-",BG27/BH27)</f>
        <v>-</v>
      </c>
      <c r="BJ27" s="252">
        <v>27</v>
      </c>
      <c r="BK27" s="253">
        <v>4</v>
      </c>
      <c r="BL27" s="139">
        <f t="shared" si="107"/>
        <v>6.75</v>
      </c>
      <c r="BM27" s="252">
        <v>7</v>
      </c>
      <c r="BN27" s="253">
        <v>1</v>
      </c>
      <c r="BO27" s="319" t="s">
        <v>89</v>
      </c>
      <c r="BP27" s="302">
        <v>15</v>
      </c>
      <c r="BQ27" s="303">
        <v>2</v>
      </c>
      <c r="BR27" s="320" t="s">
        <v>89</v>
      </c>
      <c r="BS27" s="257">
        <v>8</v>
      </c>
      <c r="BT27" s="253">
        <v>1</v>
      </c>
      <c r="BU27" s="276">
        <f t="shared" si="23"/>
        <v>8</v>
      </c>
      <c r="BV27" s="125">
        <v>8</v>
      </c>
      <c r="BW27" s="126">
        <v>2</v>
      </c>
      <c r="BX27" s="139">
        <f t="shared" si="24"/>
        <v>4</v>
      </c>
      <c r="BY27" s="125">
        <v>0</v>
      </c>
      <c r="BZ27" s="126">
        <v>0</v>
      </c>
      <c r="CA27" s="139" t="str">
        <f t="shared" ref="CA27:CA28" si="150">IF(BZ27=0,"-",BY27/BZ27)</f>
        <v>-</v>
      </c>
      <c r="CB27" s="125">
        <v>8</v>
      </c>
      <c r="CC27" s="126">
        <v>1</v>
      </c>
      <c r="CD27" s="139">
        <f t="shared" si="26"/>
        <v>8</v>
      </c>
      <c r="CE27" s="20">
        <v>0</v>
      </c>
      <c r="CF27" s="21">
        <v>0</v>
      </c>
      <c r="CG27" s="139" t="str">
        <f t="shared" si="109"/>
        <v>-</v>
      </c>
      <c r="CH27" s="20">
        <v>0</v>
      </c>
      <c r="CI27" s="21">
        <v>0</v>
      </c>
      <c r="CJ27" s="139" t="str">
        <f t="shared" si="110"/>
        <v>-</v>
      </c>
      <c r="CK27" s="20">
        <v>0</v>
      </c>
      <c r="CL27" s="21">
        <v>0</v>
      </c>
      <c r="CM27" s="139" t="str">
        <f t="shared" si="111"/>
        <v>-</v>
      </c>
      <c r="CN27" s="117">
        <f t="shared" si="30"/>
        <v>73</v>
      </c>
      <c r="CO27" s="120">
        <f t="shared" si="31"/>
        <v>9</v>
      </c>
      <c r="CP27" s="147">
        <f t="shared" si="32"/>
        <v>8.1111111111111107</v>
      </c>
    </row>
    <row r="28" spans="1:94" ht="15" thickBot="1" x14ac:dyDescent="0.35">
      <c r="A28" s="294">
        <v>45712</v>
      </c>
      <c r="B28" s="20">
        <v>31</v>
      </c>
      <c r="C28" s="21">
        <v>7</v>
      </c>
      <c r="D28" s="139">
        <f t="shared" si="0"/>
        <v>4.4285714285714288</v>
      </c>
      <c r="E28" s="20">
        <v>0</v>
      </c>
      <c r="F28" s="21">
        <v>0</v>
      </c>
      <c r="G28" s="139">
        <v>0</v>
      </c>
      <c r="H28" s="20"/>
      <c r="I28" s="21"/>
      <c r="J28" s="139" t="str">
        <f t="shared" si="2"/>
        <v>-</v>
      </c>
      <c r="K28" s="20">
        <v>16</v>
      </c>
      <c r="L28" s="21">
        <v>2</v>
      </c>
      <c r="M28" s="139">
        <f t="shared" si="3"/>
        <v>8</v>
      </c>
      <c r="N28" s="125">
        <v>0</v>
      </c>
      <c r="O28" s="126">
        <v>0</v>
      </c>
      <c r="P28" s="139" t="str">
        <f t="shared" si="33"/>
        <v>-</v>
      </c>
      <c r="Q28" s="125">
        <v>72</v>
      </c>
      <c r="R28" s="126">
        <v>15</v>
      </c>
      <c r="S28" s="139">
        <f t="shared" si="34"/>
        <v>4.8</v>
      </c>
      <c r="T28" s="125">
        <v>0</v>
      </c>
      <c r="U28" s="126">
        <v>0</v>
      </c>
      <c r="V28" s="139" t="str">
        <f t="shared" si="35"/>
        <v>-</v>
      </c>
      <c r="W28" s="125">
        <v>0</v>
      </c>
      <c r="X28" s="126">
        <v>0</v>
      </c>
      <c r="Y28" s="139" t="str">
        <f t="shared" si="36"/>
        <v>-</v>
      </c>
      <c r="Z28" s="125">
        <v>0</v>
      </c>
      <c r="AA28" s="126">
        <v>0</v>
      </c>
      <c r="AB28" s="139" t="str">
        <f t="shared" si="37"/>
        <v>-</v>
      </c>
      <c r="AC28" s="125">
        <v>0</v>
      </c>
      <c r="AD28" s="126">
        <v>0</v>
      </c>
      <c r="AE28" s="139" t="str">
        <f t="shared" si="38"/>
        <v>-</v>
      </c>
      <c r="AF28" s="125">
        <v>0</v>
      </c>
      <c r="AG28" s="126">
        <v>0</v>
      </c>
      <c r="AH28" s="139" t="str">
        <f t="shared" si="39"/>
        <v>-</v>
      </c>
      <c r="AI28" s="125">
        <v>0</v>
      </c>
      <c r="AJ28" s="126">
        <v>0</v>
      </c>
      <c r="AK28" s="139" t="str">
        <f t="shared" si="40"/>
        <v>-</v>
      </c>
      <c r="AL28" s="125">
        <v>0</v>
      </c>
      <c r="AM28" s="126">
        <v>0</v>
      </c>
      <c r="AN28" s="139" t="str">
        <f t="shared" si="41"/>
        <v>-</v>
      </c>
      <c r="AO28" s="125">
        <v>0</v>
      </c>
      <c r="AP28" s="126">
        <v>0</v>
      </c>
      <c r="AQ28" s="139" t="str">
        <f t="shared" si="48"/>
        <v>-</v>
      </c>
      <c r="AR28" s="125">
        <v>3</v>
      </c>
      <c r="AS28" s="126">
        <v>4</v>
      </c>
      <c r="AT28" s="139">
        <f t="shared" si="64"/>
        <v>0.75</v>
      </c>
      <c r="AU28" s="125">
        <v>0</v>
      </c>
      <c r="AV28" s="126">
        <v>0</v>
      </c>
      <c r="AW28" s="139" t="str">
        <f t="shared" si="137"/>
        <v>-</v>
      </c>
      <c r="AX28" s="125">
        <v>3</v>
      </c>
      <c r="AY28" s="126">
        <v>4</v>
      </c>
      <c r="AZ28" s="139">
        <f t="shared" si="51"/>
        <v>0.75</v>
      </c>
      <c r="BA28" s="125">
        <v>0</v>
      </c>
      <c r="BB28" s="126">
        <v>0</v>
      </c>
      <c r="BC28" s="139" t="str">
        <f t="shared" si="138"/>
        <v>-</v>
      </c>
      <c r="BD28" s="125">
        <v>0</v>
      </c>
      <c r="BE28" s="126">
        <v>0</v>
      </c>
      <c r="BF28" s="139" t="str">
        <f t="shared" si="106"/>
        <v>-</v>
      </c>
      <c r="BG28" s="125">
        <v>0</v>
      </c>
      <c r="BH28" s="126">
        <v>0</v>
      </c>
      <c r="BI28" s="139" t="str">
        <f>IF(BH28=0,"-",BG28/BH28)</f>
        <v>-</v>
      </c>
      <c r="BJ28" s="252">
        <v>32</v>
      </c>
      <c r="BK28" s="253">
        <v>5</v>
      </c>
      <c r="BL28" s="139">
        <f t="shared" si="107"/>
        <v>6.4</v>
      </c>
      <c r="BM28" s="252">
        <v>0</v>
      </c>
      <c r="BN28" s="253">
        <v>0</v>
      </c>
      <c r="BO28" s="319" t="s">
        <v>89</v>
      </c>
      <c r="BP28" s="302">
        <v>0</v>
      </c>
      <c r="BQ28" s="303">
        <v>0</v>
      </c>
      <c r="BR28" s="320" t="s">
        <v>89</v>
      </c>
      <c r="BS28" s="257">
        <v>7</v>
      </c>
      <c r="BT28" s="253">
        <v>1</v>
      </c>
      <c r="BU28" s="276">
        <f t="shared" si="23"/>
        <v>7</v>
      </c>
      <c r="BV28" s="125">
        <v>3</v>
      </c>
      <c r="BW28" s="126">
        <v>2</v>
      </c>
      <c r="BX28" s="139">
        <f t="shared" si="24"/>
        <v>1.5</v>
      </c>
      <c r="BY28" s="125">
        <v>0</v>
      </c>
      <c r="BZ28" s="126">
        <v>0</v>
      </c>
      <c r="CA28" s="139" t="str">
        <f t="shared" si="150"/>
        <v>-</v>
      </c>
      <c r="CB28" s="125">
        <v>4</v>
      </c>
      <c r="CC28" s="126">
        <v>2</v>
      </c>
      <c r="CD28" s="139">
        <f t="shared" si="26"/>
        <v>2</v>
      </c>
      <c r="CE28" s="20">
        <v>0</v>
      </c>
      <c r="CF28" s="21">
        <v>0</v>
      </c>
      <c r="CG28" s="139" t="str">
        <f t="shared" si="109"/>
        <v>-</v>
      </c>
      <c r="CH28" s="20">
        <v>0</v>
      </c>
      <c r="CI28" s="21">
        <v>0</v>
      </c>
      <c r="CJ28" s="139" t="str">
        <f t="shared" si="110"/>
        <v>-</v>
      </c>
      <c r="CK28" s="20">
        <v>0</v>
      </c>
      <c r="CL28" s="21">
        <v>0</v>
      </c>
      <c r="CM28" s="139" t="str">
        <f t="shared" si="111"/>
        <v>-</v>
      </c>
      <c r="CN28" s="117">
        <f t="shared" si="30"/>
        <v>171</v>
      </c>
      <c r="CO28" s="120">
        <f t="shared" si="31"/>
        <v>40</v>
      </c>
      <c r="CP28" s="147">
        <f t="shared" si="32"/>
        <v>4.2750000000000004</v>
      </c>
    </row>
    <row r="29" spans="1:94" ht="15" thickBot="1" x14ac:dyDescent="0.35">
      <c r="A29" s="294">
        <v>45713</v>
      </c>
      <c r="B29" s="20">
        <v>24</v>
      </c>
      <c r="C29" s="21">
        <v>3</v>
      </c>
      <c r="D29" s="139">
        <f t="shared" si="0"/>
        <v>8</v>
      </c>
      <c r="E29" s="20">
        <v>0</v>
      </c>
      <c r="F29" s="21">
        <v>0</v>
      </c>
      <c r="G29" s="139">
        <v>0</v>
      </c>
      <c r="H29" s="20"/>
      <c r="I29" s="21"/>
      <c r="J29" s="139" t="str">
        <f t="shared" si="2"/>
        <v>-</v>
      </c>
      <c r="K29" s="20">
        <v>15</v>
      </c>
      <c r="L29" s="21">
        <v>2</v>
      </c>
      <c r="M29" s="139">
        <f t="shared" si="3"/>
        <v>7.5</v>
      </c>
      <c r="N29" s="125">
        <v>0</v>
      </c>
      <c r="O29" s="126">
        <v>0</v>
      </c>
      <c r="P29" s="139" t="str">
        <f t="shared" si="33"/>
        <v>-</v>
      </c>
      <c r="Q29" s="125">
        <v>58</v>
      </c>
      <c r="R29" s="126">
        <v>12</v>
      </c>
      <c r="S29" s="139">
        <f t="shared" si="34"/>
        <v>4.833333333333333</v>
      </c>
      <c r="T29" s="125">
        <v>0</v>
      </c>
      <c r="U29" s="126">
        <v>0</v>
      </c>
      <c r="V29" s="139" t="str">
        <f t="shared" si="35"/>
        <v>-</v>
      </c>
      <c r="W29" s="125">
        <v>0</v>
      </c>
      <c r="X29" s="126">
        <v>0</v>
      </c>
      <c r="Y29" s="139" t="str">
        <f t="shared" si="36"/>
        <v>-</v>
      </c>
      <c r="Z29" s="125">
        <v>25</v>
      </c>
      <c r="AA29" s="126">
        <v>5</v>
      </c>
      <c r="AB29" s="139">
        <f t="shared" si="37"/>
        <v>5</v>
      </c>
      <c r="AC29" s="125">
        <v>0</v>
      </c>
      <c r="AD29" s="126">
        <v>0</v>
      </c>
      <c r="AE29" s="139" t="str">
        <f t="shared" si="38"/>
        <v>-</v>
      </c>
      <c r="AF29" s="125">
        <v>0</v>
      </c>
      <c r="AG29" s="126">
        <v>0</v>
      </c>
      <c r="AH29" s="139" t="str">
        <f t="shared" si="39"/>
        <v>-</v>
      </c>
      <c r="AI29" s="125">
        <v>0</v>
      </c>
      <c r="AJ29" s="126">
        <v>0</v>
      </c>
      <c r="AK29" s="139" t="str">
        <f t="shared" si="40"/>
        <v>-</v>
      </c>
      <c r="AL29" s="125">
        <v>0</v>
      </c>
      <c r="AM29" s="126">
        <v>0</v>
      </c>
      <c r="AN29" s="139" t="str">
        <f t="shared" si="41"/>
        <v>-</v>
      </c>
      <c r="AO29" s="125">
        <v>0</v>
      </c>
      <c r="AP29" s="126">
        <v>0</v>
      </c>
      <c r="AQ29" s="139" t="str">
        <f t="shared" si="48"/>
        <v>-</v>
      </c>
      <c r="AR29" s="125">
        <v>0</v>
      </c>
      <c r="AS29" s="126">
        <v>0</v>
      </c>
      <c r="AT29" s="139" t="str">
        <f t="shared" si="64"/>
        <v>-</v>
      </c>
      <c r="AU29" s="125">
        <v>0</v>
      </c>
      <c r="AV29" s="126">
        <v>0</v>
      </c>
      <c r="AW29" s="139" t="str">
        <f t="shared" si="137"/>
        <v>-</v>
      </c>
      <c r="AX29" s="125">
        <v>0</v>
      </c>
      <c r="AY29" s="126">
        <v>0</v>
      </c>
      <c r="AZ29" s="139" t="str">
        <f t="shared" si="51"/>
        <v>-</v>
      </c>
      <c r="BA29" s="125">
        <v>0</v>
      </c>
      <c r="BB29" s="126">
        <v>0</v>
      </c>
      <c r="BC29" s="139" t="str">
        <f t="shared" si="138"/>
        <v>-</v>
      </c>
      <c r="BD29" s="125">
        <v>0</v>
      </c>
      <c r="BE29" s="126">
        <v>0</v>
      </c>
      <c r="BF29" s="139" t="str">
        <f t="shared" si="106"/>
        <v>-</v>
      </c>
      <c r="BG29" s="125">
        <v>0</v>
      </c>
      <c r="BH29" s="126">
        <v>0</v>
      </c>
      <c r="BI29" s="139" t="str">
        <f t="shared" si="19"/>
        <v>-</v>
      </c>
      <c r="BJ29" s="252">
        <v>0</v>
      </c>
      <c r="BK29" s="253">
        <v>0</v>
      </c>
      <c r="BL29" s="139" t="str">
        <f t="shared" si="107"/>
        <v>-</v>
      </c>
      <c r="BM29" s="252">
        <v>0</v>
      </c>
      <c r="BN29" s="253">
        <v>0</v>
      </c>
      <c r="BO29" s="319" t="s">
        <v>89</v>
      </c>
      <c r="BP29" s="125">
        <v>0</v>
      </c>
      <c r="BQ29" s="126">
        <v>0</v>
      </c>
      <c r="BR29" s="320" t="s">
        <v>89</v>
      </c>
      <c r="BS29" s="125">
        <v>0</v>
      </c>
      <c r="BT29" s="126">
        <v>0</v>
      </c>
      <c r="BU29" s="276" t="str">
        <f t="shared" si="23"/>
        <v>-</v>
      </c>
      <c r="BV29" s="125">
        <v>0</v>
      </c>
      <c r="BW29" s="126">
        <v>0</v>
      </c>
      <c r="BX29" s="139" t="str">
        <f t="shared" si="24"/>
        <v>-</v>
      </c>
      <c r="BY29" s="125">
        <v>0</v>
      </c>
      <c r="BZ29" s="126">
        <v>0</v>
      </c>
      <c r="CA29" s="139" t="str">
        <f t="shared" si="25"/>
        <v>-</v>
      </c>
      <c r="CB29" s="125">
        <v>0</v>
      </c>
      <c r="CC29" s="126">
        <v>0</v>
      </c>
      <c r="CD29" s="139" t="str">
        <f t="shared" si="26"/>
        <v>-</v>
      </c>
      <c r="CE29" s="125">
        <v>0</v>
      </c>
      <c r="CF29" s="126">
        <v>0</v>
      </c>
      <c r="CG29" s="139" t="str">
        <f t="shared" si="60"/>
        <v>-</v>
      </c>
      <c r="CH29" s="125">
        <v>0</v>
      </c>
      <c r="CI29" s="126">
        <v>0</v>
      </c>
      <c r="CJ29" s="139" t="str">
        <f t="shared" si="65"/>
        <v>-</v>
      </c>
      <c r="CK29" s="125">
        <v>0</v>
      </c>
      <c r="CL29" s="126">
        <v>0</v>
      </c>
      <c r="CM29" s="139" t="str">
        <f t="shared" si="66"/>
        <v>-</v>
      </c>
      <c r="CN29" s="117">
        <f t="shared" si="30"/>
        <v>122</v>
      </c>
      <c r="CO29" s="120">
        <f t="shared" si="31"/>
        <v>22</v>
      </c>
      <c r="CP29" s="147">
        <f t="shared" si="32"/>
        <v>5.5454545454545459</v>
      </c>
    </row>
    <row r="30" spans="1:94" ht="15" thickBot="1" x14ac:dyDescent="0.35">
      <c r="A30" s="294">
        <v>45714</v>
      </c>
      <c r="B30" s="20">
        <v>32</v>
      </c>
      <c r="C30" s="21">
        <v>4</v>
      </c>
      <c r="D30" s="139">
        <f t="shared" si="0"/>
        <v>8</v>
      </c>
      <c r="E30" s="20">
        <v>7</v>
      </c>
      <c r="F30" s="21">
        <v>1</v>
      </c>
      <c r="G30" s="139">
        <v>0</v>
      </c>
      <c r="H30" s="20"/>
      <c r="I30" s="21"/>
      <c r="J30" s="139" t="str">
        <f t="shared" si="2"/>
        <v>-</v>
      </c>
      <c r="K30" s="20">
        <v>35</v>
      </c>
      <c r="L30" s="21">
        <v>4</v>
      </c>
      <c r="M30" s="139">
        <f t="shared" si="3"/>
        <v>8.75</v>
      </c>
      <c r="N30" s="125">
        <v>0</v>
      </c>
      <c r="O30" s="126">
        <v>0</v>
      </c>
      <c r="P30" s="139" t="str">
        <f t="shared" si="33"/>
        <v>-</v>
      </c>
      <c r="Q30" s="125">
        <v>46</v>
      </c>
      <c r="R30" s="126">
        <v>12</v>
      </c>
      <c r="S30" s="139">
        <f t="shared" si="34"/>
        <v>3.8333333333333335</v>
      </c>
      <c r="T30" s="125">
        <v>0</v>
      </c>
      <c r="U30" s="126">
        <v>0</v>
      </c>
      <c r="V30" s="139" t="str">
        <f t="shared" si="35"/>
        <v>-</v>
      </c>
      <c r="W30" s="125">
        <v>0</v>
      </c>
      <c r="X30" s="126">
        <v>0</v>
      </c>
      <c r="Y30" s="139" t="str">
        <f t="shared" si="36"/>
        <v>-</v>
      </c>
      <c r="Z30" s="125">
        <v>15</v>
      </c>
      <c r="AA30" s="126">
        <v>3</v>
      </c>
      <c r="AB30" s="139">
        <f t="shared" si="37"/>
        <v>5</v>
      </c>
      <c r="AC30" s="125">
        <v>105</v>
      </c>
      <c r="AD30" s="126">
        <v>20</v>
      </c>
      <c r="AE30" s="139">
        <f t="shared" si="38"/>
        <v>5.25</v>
      </c>
      <c r="AF30" s="125">
        <v>0</v>
      </c>
      <c r="AG30" s="126">
        <v>0</v>
      </c>
      <c r="AH30" s="139" t="str">
        <f t="shared" si="39"/>
        <v>-</v>
      </c>
      <c r="AI30" s="125">
        <v>6</v>
      </c>
      <c r="AJ30" s="126">
        <v>1</v>
      </c>
      <c r="AK30" s="139">
        <f t="shared" si="40"/>
        <v>6</v>
      </c>
      <c r="AL30" s="125">
        <v>0</v>
      </c>
      <c r="AM30" s="126">
        <v>0</v>
      </c>
      <c r="AN30" s="139" t="str">
        <f t="shared" si="41"/>
        <v>-</v>
      </c>
      <c r="AO30" s="125">
        <v>5</v>
      </c>
      <c r="AP30" s="126">
        <v>1</v>
      </c>
      <c r="AQ30" s="139">
        <f t="shared" si="48"/>
        <v>5</v>
      </c>
      <c r="AR30" s="125">
        <v>5</v>
      </c>
      <c r="AS30" s="126">
        <v>1</v>
      </c>
      <c r="AT30" s="139">
        <f t="shared" si="64"/>
        <v>5</v>
      </c>
      <c r="AU30" s="125">
        <v>0</v>
      </c>
      <c r="AV30" s="126">
        <v>0</v>
      </c>
      <c r="AW30" s="139" t="str">
        <f t="shared" si="137"/>
        <v>-</v>
      </c>
      <c r="AX30" s="125">
        <v>0</v>
      </c>
      <c r="AY30" s="126">
        <v>0</v>
      </c>
      <c r="AZ30" s="139" t="str">
        <f t="shared" si="51"/>
        <v>-</v>
      </c>
      <c r="BA30" s="125">
        <v>0</v>
      </c>
      <c r="BB30" s="126">
        <v>0</v>
      </c>
      <c r="BC30" s="139" t="str">
        <f t="shared" si="138"/>
        <v>-</v>
      </c>
      <c r="BD30" s="125">
        <v>0</v>
      </c>
      <c r="BE30" s="126">
        <v>0</v>
      </c>
      <c r="BF30" s="139" t="str">
        <f t="shared" si="106"/>
        <v>-</v>
      </c>
      <c r="BG30" s="125">
        <v>0</v>
      </c>
      <c r="BH30" s="126">
        <v>0</v>
      </c>
      <c r="BI30" s="139" t="str">
        <f t="shared" si="19"/>
        <v>-</v>
      </c>
      <c r="BJ30" s="252">
        <v>0</v>
      </c>
      <c r="BK30" s="253">
        <v>0</v>
      </c>
      <c r="BL30" s="139" t="str">
        <f t="shared" si="107"/>
        <v>-</v>
      </c>
      <c r="BM30" s="252">
        <v>3</v>
      </c>
      <c r="BN30" s="253">
        <v>1</v>
      </c>
      <c r="BO30" s="319" t="s">
        <v>89</v>
      </c>
      <c r="BP30" s="125">
        <v>0</v>
      </c>
      <c r="BQ30" s="126">
        <v>0</v>
      </c>
      <c r="BR30" s="320" t="s">
        <v>89</v>
      </c>
      <c r="BS30" s="125">
        <v>0</v>
      </c>
      <c r="BT30" s="126">
        <v>0</v>
      </c>
      <c r="BU30" s="276" t="str">
        <f t="shared" si="23"/>
        <v>-</v>
      </c>
      <c r="BV30" s="125">
        <v>2</v>
      </c>
      <c r="BW30" s="126">
        <v>1</v>
      </c>
      <c r="BX30" s="139">
        <f t="shared" si="24"/>
        <v>2</v>
      </c>
      <c r="BY30" s="125">
        <v>0</v>
      </c>
      <c r="BZ30" s="126">
        <v>0</v>
      </c>
      <c r="CA30" s="139" t="str">
        <f t="shared" si="25"/>
        <v>-</v>
      </c>
      <c r="CB30" s="125">
        <v>0</v>
      </c>
      <c r="CC30" s="126">
        <v>0</v>
      </c>
      <c r="CD30" s="139" t="str">
        <f t="shared" si="26"/>
        <v>-</v>
      </c>
      <c r="CE30" s="125">
        <v>0</v>
      </c>
      <c r="CF30" s="126">
        <v>0</v>
      </c>
      <c r="CG30" s="139" t="str">
        <f t="shared" si="60"/>
        <v>-</v>
      </c>
      <c r="CH30" s="125">
        <v>0</v>
      </c>
      <c r="CI30" s="126">
        <v>0</v>
      </c>
      <c r="CJ30" s="139" t="str">
        <f t="shared" si="65"/>
        <v>-</v>
      </c>
      <c r="CK30" s="125">
        <v>0</v>
      </c>
      <c r="CL30" s="126">
        <v>0</v>
      </c>
      <c r="CM30" s="139" t="str">
        <f t="shared" si="66"/>
        <v>-</v>
      </c>
      <c r="CN30" s="117">
        <f t="shared" si="30"/>
        <v>261</v>
      </c>
      <c r="CO30" s="120">
        <f t="shared" si="31"/>
        <v>47</v>
      </c>
      <c r="CP30" s="147">
        <f t="shared" si="32"/>
        <v>5.5531914893617023</v>
      </c>
    </row>
    <row r="31" spans="1:94" ht="15" thickBot="1" x14ac:dyDescent="0.35">
      <c r="A31" s="294">
        <v>45715</v>
      </c>
      <c r="B31" s="20">
        <v>24</v>
      </c>
      <c r="C31" s="21">
        <v>3</v>
      </c>
      <c r="D31" s="139">
        <f t="shared" si="0"/>
        <v>8</v>
      </c>
      <c r="E31" s="20">
        <v>0</v>
      </c>
      <c r="F31" s="21">
        <v>0</v>
      </c>
      <c r="G31" s="139">
        <v>0</v>
      </c>
      <c r="H31" s="20"/>
      <c r="I31" s="21"/>
      <c r="J31" s="139" t="str">
        <f t="shared" si="2"/>
        <v>-</v>
      </c>
      <c r="K31" s="20">
        <v>0</v>
      </c>
      <c r="L31" s="21">
        <v>0</v>
      </c>
      <c r="M31" s="139" t="str">
        <f t="shared" si="3"/>
        <v>-</v>
      </c>
      <c r="N31" s="125">
        <v>0</v>
      </c>
      <c r="O31" s="126">
        <v>0</v>
      </c>
      <c r="P31" s="139" t="str">
        <f t="shared" si="33"/>
        <v>-</v>
      </c>
      <c r="Q31" s="125">
        <v>80</v>
      </c>
      <c r="R31" s="126">
        <v>20</v>
      </c>
      <c r="S31" s="139">
        <f t="shared" si="34"/>
        <v>4</v>
      </c>
      <c r="T31" s="125">
        <v>0</v>
      </c>
      <c r="U31" s="126">
        <v>0</v>
      </c>
      <c r="V31" s="139" t="str">
        <f t="shared" si="35"/>
        <v>-</v>
      </c>
      <c r="W31" s="125">
        <v>0</v>
      </c>
      <c r="X31" s="126">
        <v>0</v>
      </c>
      <c r="Y31" s="139" t="str">
        <f t="shared" si="36"/>
        <v>-</v>
      </c>
      <c r="Z31" s="125">
        <v>0</v>
      </c>
      <c r="AA31" s="126">
        <v>0</v>
      </c>
      <c r="AB31" s="139" t="str">
        <f t="shared" si="37"/>
        <v>-</v>
      </c>
      <c r="AC31" s="125">
        <v>0</v>
      </c>
      <c r="AD31" s="126">
        <v>0</v>
      </c>
      <c r="AE31" s="139" t="str">
        <f t="shared" si="38"/>
        <v>-</v>
      </c>
      <c r="AF31" s="125">
        <v>0</v>
      </c>
      <c r="AG31" s="126">
        <v>0</v>
      </c>
      <c r="AH31" s="139" t="str">
        <f t="shared" si="39"/>
        <v>-</v>
      </c>
      <c r="AI31" s="125">
        <v>0</v>
      </c>
      <c r="AJ31" s="126">
        <v>0</v>
      </c>
      <c r="AK31" s="139" t="str">
        <f t="shared" si="40"/>
        <v>-</v>
      </c>
      <c r="AL31" s="125">
        <v>0</v>
      </c>
      <c r="AM31" s="126">
        <v>0</v>
      </c>
      <c r="AN31" s="139" t="str">
        <f t="shared" si="41"/>
        <v>-</v>
      </c>
      <c r="AO31" s="125">
        <v>0</v>
      </c>
      <c r="AP31" s="126">
        <v>0</v>
      </c>
      <c r="AQ31" s="139" t="str">
        <f t="shared" si="48"/>
        <v>-</v>
      </c>
      <c r="AR31" s="125">
        <v>1</v>
      </c>
      <c r="AS31" s="126">
        <v>1</v>
      </c>
      <c r="AT31" s="139">
        <f t="shared" si="64"/>
        <v>1</v>
      </c>
      <c r="AU31" s="125">
        <v>0</v>
      </c>
      <c r="AV31" s="126">
        <v>0</v>
      </c>
      <c r="AW31" s="139" t="str">
        <f t="shared" si="137"/>
        <v>-</v>
      </c>
      <c r="AX31" s="125">
        <v>0</v>
      </c>
      <c r="AY31" s="126">
        <v>0</v>
      </c>
      <c r="AZ31" s="139" t="str">
        <f t="shared" si="51"/>
        <v>-</v>
      </c>
      <c r="BA31" s="125">
        <v>0</v>
      </c>
      <c r="BB31" s="126">
        <v>0</v>
      </c>
      <c r="BC31" s="139" t="str">
        <f t="shared" si="138"/>
        <v>-</v>
      </c>
      <c r="BD31" s="125">
        <v>0</v>
      </c>
      <c r="BE31" s="126">
        <v>0</v>
      </c>
      <c r="BF31" s="139" t="str">
        <f t="shared" si="106"/>
        <v>-</v>
      </c>
      <c r="BG31" s="125">
        <v>0</v>
      </c>
      <c r="BH31" s="126">
        <v>0</v>
      </c>
      <c r="BI31" s="139" t="str">
        <f t="shared" si="19"/>
        <v>-</v>
      </c>
      <c r="BJ31" s="125">
        <v>13</v>
      </c>
      <c r="BK31" s="126">
        <v>2</v>
      </c>
      <c r="BL31" s="139">
        <f t="shared" si="107"/>
        <v>6.5</v>
      </c>
      <c r="BM31" s="125">
        <v>0</v>
      </c>
      <c r="BN31" s="126">
        <v>0</v>
      </c>
      <c r="BO31" s="319" t="s">
        <v>89</v>
      </c>
      <c r="BP31" s="125">
        <v>0</v>
      </c>
      <c r="BQ31" s="126">
        <v>0</v>
      </c>
      <c r="BR31" s="320" t="s">
        <v>89</v>
      </c>
      <c r="BS31" s="125">
        <v>0</v>
      </c>
      <c r="BT31" s="126">
        <v>0</v>
      </c>
      <c r="BU31" s="276" t="str">
        <f t="shared" si="23"/>
        <v>-</v>
      </c>
      <c r="BV31" s="125">
        <v>0</v>
      </c>
      <c r="BW31" s="126">
        <v>0</v>
      </c>
      <c r="BX31" s="139" t="str">
        <f t="shared" si="24"/>
        <v>-</v>
      </c>
      <c r="BY31" s="125">
        <v>0</v>
      </c>
      <c r="BZ31" s="126">
        <v>0</v>
      </c>
      <c r="CA31" s="139" t="str">
        <f t="shared" si="25"/>
        <v>-</v>
      </c>
      <c r="CB31" s="125">
        <v>0</v>
      </c>
      <c r="CC31" s="126">
        <v>0</v>
      </c>
      <c r="CD31" s="139" t="str">
        <f t="shared" si="26"/>
        <v>-</v>
      </c>
      <c r="CE31" s="125">
        <v>0</v>
      </c>
      <c r="CF31" s="126">
        <v>0</v>
      </c>
      <c r="CG31" s="139" t="str">
        <f t="shared" si="60"/>
        <v>-</v>
      </c>
      <c r="CH31" s="125">
        <v>0</v>
      </c>
      <c r="CI31" s="126">
        <v>0</v>
      </c>
      <c r="CJ31" s="139" t="str">
        <f t="shared" si="65"/>
        <v>-</v>
      </c>
      <c r="CK31" s="125">
        <v>0</v>
      </c>
      <c r="CL31" s="126">
        <v>0</v>
      </c>
      <c r="CM31" s="139" t="str">
        <f t="shared" si="66"/>
        <v>-</v>
      </c>
      <c r="CN31" s="117">
        <f t="shared" si="30"/>
        <v>118</v>
      </c>
      <c r="CO31" s="120">
        <f t="shared" si="31"/>
        <v>26</v>
      </c>
      <c r="CP31" s="147">
        <f t="shared" si="32"/>
        <v>4.5384615384615383</v>
      </c>
    </row>
    <row r="32" spans="1:94" ht="15" thickBot="1" x14ac:dyDescent="0.35">
      <c r="A32" s="294">
        <v>45716</v>
      </c>
      <c r="B32" s="20">
        <v>67</v>
      </c>
      <c r="C32" s="21">
        <v>8</v>
      </c>
      <c r="D32" s="139">
        <f t="shared" si="0"/>
        <v>8.375</v>
      </c>
      <c r="E32" s="20">
        <v>8</v>
      </c>
      <c r="F32" s="21">
        <v>1</v>
      </c>
      <c r="G32" s="139">
        <v>0</v>
      </c>
      <c r="H32" s="20"/>
      <c r="I32" s="21"/>
      <c r="J32" s="139" t="str">
        <f t="shared" si="2"/>
        <v>-</v>
      </c>
      <c r="K32" s="20">
        <v>9</v>
      </c>
      <c r="L32" s="21">
        <v>1</v>
      </c>
      <c r="M32" s="139">
        <f t="shared" si="3"/>
        <v>9</v>
      </c>
      <c r="N32" s="125">
        <v>0</v>
      </c>
      <c r="O32" s="126">
        <v>0</v>
      </c>
      <c r="P32" s="139" t="str">
        <f t="shared" si="33"/>
        <v>-</v>
      </c>
      <c r="Q32" s="125">
        <v>108</v>
      </c>
      <c r="R32" s="126">
        <v>29</v>
      </c>
      <c r="S32" s="139">
        <f t="shared" si="34"/>
        <v>3.7241379310344827</v>
      </c>
      <c r="T32" s="125">
        <v>0</v>
      </c>
      <c r="U32" s="126">
        <v>0</v>
      </c>
      <c r="V32" s="139" t="str">
        <f t="shared" si="35"/>
        <v>-</v>
      </c>
      <c r="W32" s="125">
        <v>0</v>
      </c>
      <c r="X32" s="126">
        <v>0</v>
      </c>
      <c r="Y32" s="139" t="str">
        <f t="shared" si="36"/>
        <v>-</v>
      </c>
      <c r="Z32" s="125">
        <v>30</v>
      </c>
      <c r="AA32" s="126">
        <v>6</v>
      </c>
      <c r="AB32" s="139">
        <f t="shared" si="37"/>
        <v>5</v>
      </c>
      <c r="AC32" s="125">
        <v>0</v>
      </c>
      <c r="AD32" s="126">
        <v>0</v>
      </c>
      <c r="AE32" s="139" t="str">
        <f t="shared" si="38"/>
        <v>-</v>
      </c>
      <c r="AF32" s="125">
        <v>0</v>
      </c>
      <c r="AG32" s="126">
        <v>0</v>
      </c>
      <c r="AH32" s="139" t="str">
        <f t="shared" si="39"/>
        <v>-</v>
      </c>
      <c r="AI32" s="125">
        <v>0</v>
      </c>
      <c r="AJ32" s="126">
        <v>0</v>
      </c>
      <c r="AK32" s="139" t="str">
        <f t="shared" si="40"/>
        <v>-</v>
      </c>
      <c r="AL32" s="125">
        <v>0</v>
      </c>
      <c r="AM32" s="126">
        <v>0</v>
      </c>
      <c r="AN32" s="139" t="str">
        <f t="shared" si="41"/>
        <v>-</v>
      </c>
      <c r="AO32" s="125">
        <v>0</v>
      </c>
      <c r="AP32" s="126">
        <v>0</v>
      </c>
      <c r="AQ32" s="139" t="str">
        <f t="shared" si="48"/>
        <v>-</v>
      </c>
      <c r="AR32" s="125">
        <v>0</v>
      </c>
      <c r="AS32" s="126">
        <v>0</v>
      </c>
      <c r="AT32" s="139" t="str">
        <f t="shared" si="64"/>
        <v>-</v>
      </c>
      <c r="AU32" s="125">
        <v>0</v>
      </c>
      <c r="AV32" s="126">
        <v>0</v>
      </c>
      <c r="AW32" s="139" t="str">
        <f t="shared" si="137"/>
        <v>-</v>
      </c>
      <c r="AX32" s="125">
        <v>8</v>
      </c>
      <c r="AY32" s="126">
        <v>1</v>
      </c>
      <c r="AZ32" s="139">
        <f t="shared" si="51"/>
        <v>8</v>
      </c>
      <c r="BA32" s="125">
        <v>1</v>
      </c>
      <c r="BB32" s="126">
        <v>1</v>
      </c>
      <c r="BC32" s="139">
        <f t="shared" si="138"/>
        <v>1</v>
      </c>
      <c r="BD32" s="125">
        <v>0</v>
      </c>
      <c r="BE32" s="126">
        <v>0</v>
      </c>
      <c r="BF32" s="139" t="str">
        <f t="shared" si="106"/>
        <v>-</v>
      </c>
      <c r="BG32" s="125">
        <v>0</v>
      </c>
      <c r="BH32" s="126">
        <v>0</v>
      </c>
      <c r="BI32" s="139" t="str">
        <f t="shared" si="19"/>
        <v>-</v>
      </c>
      <c r="BJ32" s="125">
        <v>1</v>
      </c>
      <c r="BK32" s="126">
        <v>1</v>
      </c>
      <c r="BL32" s="139">
        <f t="shared" si="107"/>
        <v>1</v>
      </c>
      <c r="BM32" s="125">
        <v>0</v>
      </c>
      <c r="BN32" s="126">
        <v>0</v>
      </c>
      <c r="BO32" s="319" t="s">
        <v>89</v>
      </c>
      <c r="BP32" s="125">
        <v>0</v>
      </c>
      <c r="BQ32" s="126">
        <v>0</v>
      </c>
      <c r="BR32" s="320" t="s">
        <v>89</v>
      </c>
      <c r="BS32" s="125">
        <v>0</v>
      </c>
      <c r="BT32" s="126">
        <v>0</v>
      </c>
      <c r="BU32" s="276" t="str">
        <f t="shared" si="23"/>
        <v>-</v>
      </c>
      <c r="BV32" s="125">
        <v>0</v>
      </c>
      <c r="BW32" s="126">
        <v>0</v>
      </c>
      <c r="BX32" s="139" t="str">
        <f t="shared" si="24"/>
        <v>-</v>
      </c>
      <c r="BY32" s="125">
        <v>0</v>
      </c>
      <c r="BZ32" s="126">
        <v>0</v>
      </c>
      <c r="CA32" s="139" t="str">
        <f t="shared" si="25"/>
        <v>-</v>
      </c>
      <c r="CB32" s="125">
        <v>0</v>
      </c>
      <c r="CC32" s="126">
        <v>0</v>
      </c>
      <c r="CD32" s="139" t="str">
        <f t="shared" si="26"/>
        <v>-</v>
      </c>
      <c r="CE32" s="125">
        <v>0</v>
      </c>
      <c r="CF32" s="126">
        <v>0</v>
      </c>
      <c r="CG32" s="139" t="str">
        <f t="shared" si="60"/>
        <v>-</v>
      </c>
      <c r="CH32" s="125">
        <v>0</v>
      </c>
      <c r="CI32" s="126">
        <v>0</v>
      </c>
      <c r="CJ32" s="139" t="str">
        <f t="shared" si="65"/>
        <v>-</v>
      </c>
      <c r="CK32" s="125"/>
      <c r="CL32" s="126"/>
      <c r="CM32" s="139" t="str">
        <f t="shared" si="66"/>
        <v>-</v>
      </c>
      <c r="CN32" s="117">
        <f t="shared" si="30"/>
        <v>232</v>
      </c>
      <c r="CO32" s="120">
        <f t="shared" si="31"/>
        <v>48</v>
      </c>
      <c r="CP32" s="147">
        <f t="shared" si="32"/>
        <v>4.833333333333333</v>
      </c>
    </row>
    <row r="33" spans="1:94" s="41" customFormat="1" ht="15.6" customHeight="1" thickBot="1" x14ac:dyDescent="0.35">
      <c r="A33" s="295" t="s">
        <v>33</v>
      </c>
      <c r="B33" s="43">
        <f>SUM(B5:B32)</f>
        <v>947</v>
      </c>
      <c r="C33" s="43">
        <f>SUM(C5:C32)</f>
        <v>126</v>
      </c>
      <c r="D33" s="44">
        <f>B33/C33</f>
        <v>7.5158730158730158</v>
      </c>
      <c r="E33" s="43">
        <f>SUM(E5:E32)</f>
        <v>101</v>
      </c>
      <c r="F33" s="43">
        <f>SUM(F5:F32)</f>
        <v>14</v>
      </c>
      <c r="G33" s="44">
        <f>E33/F33</f>
        <v>7.2142857142857144</v>
      </c>
      <c r="H33" s="43">
        <f>SUM(H5:H32)</f>
        <v>0</v>
      </c>
      <c r="I33" s="43">
        <f>SUM(I5:I32)</f>
        <v>0</v>
      </c>
      <c r="J33" s="44" t="e">
        <f>H33/I33</f>
        <v>#DIV/0!</v>
      </c>
      <c r="K33" s="43">
        <f>SUM(K5:K32)</f>
        <v>423</v>
      </c>
      <c r="L33" s="43">
        <f>SUM(L5:L32)</f>
        <v>56</v>
      </c>
      <c r="M33" s="44">
        <f>K33/L33</f>
        <v>7.5535714285714288</v>
      </c>
      <c r="N33" s="43">
        <f>SUM(N5:N32)</f>
        <v>9</v>
      </c>
      <c r="O33" s="43">
        <f>SUM(O5:O32)</f>
        <v>1</v>
      </c>
      <c r="P33" s="44">
        <f>N33/O33</f>
        <v>9</v>
      </c>
      <c r="Q33" s="43">
        <f>SUM(Q5:Q32)</f>
        <v>1358</v>
      </c>
      <c r="R33" s="43">
        <f>SUM(R5:R32)</f>
        <v>329</v>
      </c>
      <c r="S33" s="44">
        <f>Q33/R33</f>
        <v>4.1276595744680851</v>
      </c>
      <c r="T33" s="43">
        <f>SUM(T5:T32)</f>
        <v>87</v>
      </c>
      <c r="U33" s="43">
        <f>SUM(U5:U32)</f>
        <v>24</v>
      </c>
      <c r="V33" s="44">
        <f>T33/U33</f>
        <v>3.625</v>
      </c>
      <c r="W33" s="43">
        <f>SUM(W5:W32)</f>
        <v>0</v>
      </c>
      <c r="X33" s="43">
        <f>SUM(X5:X32)</f>
        <v>0</v>
      </c>
      <c r="Y33" s="297" t="e">
        <f>W33/X33</f>
        <v>#DIV/0!</v>
      </c>
      <c r="Z33" s="43">
        <f>SUM(Z5:Z32)</f>
        <v>395</v>
      </c>
      <c r="AA33" s="43">
        <f>SUM(AA5:AA32)</f>
        <v>79</v>
      </c>
      <c r="AB33" s="297">
        <f t="shared" ref="AB33" si="151">Z33/AA33</f>
        <v>5</v>
      </c>
      <c r="AC33" s="43">
        <f>SUM(AC5:AC32)</f>
        <v>232</v>
      </c>
      <c r="AD33" s="43">
        <f>SUM(AD5:AD32)</f>
        <v>46</v>
      </c>
      <c r="AE33" s="297">
        <f t="shared" ref="AE33" si="152">AC33/AD33</f>
        <v>5.0434782608695654</v>
      </c>
      <c r="AF33" s="43">
        <f>SUM(AF5:AF32)</f>
        <v>16</v>
      </c>
      <c r="AG33" s="43">
        <f>SUM(AG5:AG32)</f>
        <v>3</v>
      </c>
      <c r="AH33" s="44">
        <f>AF33/AG33</f>
        <v>5.333333333333333</v>
      </c>
      <c r="AI33" s="43">
        <f t="shared" ref="AI33:AJ33" si="153">SUM(AI5:AI32)</f>
        <v>22</v>
      </c>
      <c r="AJ33" s="43">
        <f t="shared" si="153"/>
        <v>4</v>
      </c>
      <c r="AK33" s="44">
        <f t="shared" ref="AK33" si="154">AI33/AJ33</f>
        <v>5.5</v>
      </c>
      <c r="AL33" s="43">
        <f t="shared" ref="AL33:AM33" si="155">SUM(AL5:AL32)</f>
        <v>18</v>
      </c>
      <c r="AM33" s="43">
        <f t="shared" si="155"/>
        <v>3</v>
      </c>
      <c r="AN33" s="44">
        <f t="shared" ref="AN33" si="156">AL33/AM33</f>
        <v>6</v>
      </c>
      <c r="AO33" s="43">
        <f t="shared" ref="AO33:AP33" si="157">SUM(AO5:AO32)</f>
        <v>45</v>
      </c>
      <c r="AP33" s="43">
        <f t="shared" si="157"/>
        <v>8</v>
      </c>
      <c r="AQ33" s="44">
        <f t="shared" ref="AQ33" si="158">AO33/AP33</f>
        <v>5.625</v>
      </c>
      <c r="AR33" s="43">
        <f>SUM(AR5:AR32)</f>
        <v>41</v>
      </c>
      <c r="AS33" s="43">
        <f>SUM(AS5:AS32)</f>
        <v>13</v>
      </c>
      <c r="AT33" s="44">
        <f>AR33/AS33</f>
        <v>3.1538461538461537</v>
      </c>
      <c r="AU33" s="43">
        <f>SUM(AU5:AU32)</f>
        <v>0</v>
      </c>
      <c r="AV33" s="43">
        <f>SUM(AV5:AV32)</f>
        <v>0</v>
      </c>
      <c r="AW33" s="44" t="e">
        <f>AU33/AV33</f>
        <v>#DIV/0!</v>
      </c>
      <c r="AX33" s="43">
        <f>SUM(AX5:AX32)</f>
        <v>25</v>
      </c>
      <c r="AY33" s="43">
        <f>SUM(AY5:AY32)</f>
        <v>10</v>
      </c>
      <c r="AZ33" s="44">
        <f>AX33/AY33</f>
        <v>2.5</v>
      </c>
      <c r="BA33" s="43">
        <f>SUM(BA5:BA32)</f>
        <v>1</v>
      </c>
      <c r="BB33" s="43">
        <f>SUM(BB5:BB32)</f>
        <v>1</v>
      </c>
      <c r="BC33" s="44">
        <f>BA33/BB33</f>
        <v>1</v>
      </c>
      <c r="BD33" s="43">
        <f>SUM(BD5:BD32)</f>
        <v>0</v>
      </c>
      <c r="BE33" s="43">
        <f>SUM(BE5:BE32)</f>
        <v>0</v>
      </c>
      <c r="BF33" s="44" t="e">
        <f>BD33/BE33</f>
        <v>#DIV/0!</v>
      </c>
      <c r="BG33" s="43">
        <f>SUM(BG5:BG32)</f>
        <v>0</v>
      </c>
      <c r="BH33" s="43">
        <f>SUM(BH5:BH32)</f>
        <v>0</v>
      </c>
      <c r="BI33" s="44" t="e">
        <f>BG33/BH33</f>
        <v>#DIV/0!</v>
      </c>
      <c r="BJ33" s="43">
        <f>SUM(BJ5:BJ32)</f>
        <v>507</v>
      </c>
      <c r="BK33" s="43">
        <f>SUM(BK5:BK32)</f>
        <v>77</v>
      </c>
      <c r="BL33" s="44">
        <f>BJ33/BK33</f>
        <v>6.5844155844155843</v>
      </c>
      <c r="BM33" s="43">
        <f>SUM(BM5:BM32)</f>
        <v>18</v>
      </c>
      <c r="BN33" s="43">
        <f>SUM(BN5:BN32)</f>
        <v>3</v>
      </c>
      <c r="BO33" s="44">
        <f>BM33/BN33</f>
        <v>6</v>
      </c>
      <c r="BP33" s="43">
        <f>SUM(BP5:BP32)</f>
        <v>30</v>
      </c>
      <c r="BQ33" s="43">
        <f>SUM(BQ5:BQ32)</f>
        <v>4</v>
      </c>
      <c r="BR33" s="44">
        <f>BP33/BQ33</f>
        <v>7.5</v>
      </c>
      <c r="BS33" s="43">
        <f>SUM(BS5:BS32)</f>
        <v>81</v>
      </c>
      <c r="BT33" s="43">
        <f>SUM(BT5:BT32)</f>
        <v>12</v>
      </c>
      <c r="BU33" s="44">
        <f>BS33/BT33</f>
        <v>6.75</v>
      </c>
      <c r="BV33" s="43">
        <f>SUM(BV5:BV32)</f>
        <v>36</v>
      </c>
      <c r="BW33" s="43">
        <f>SUM(BW5:BW32)</f>
        <v>14</v>
      </c>
      <c r="BX33" s="140">
        <f>IF(BW33=0,"-",BV33/BW33)</f>
        <v>2.5714285714285716</v>
      </c>
      <c r="BY33" s="43">
        <f>SUM(BY5:BY32)</f>
        <v>0</v>
      </c>
      <c r="BZ33" s="43">
        <f>SUM(BZ5:BZ32)</f>
        <v>0</v>
      </c>
      <c r="CA33" s="140" t="str">
        <f>IF(BZ33=0,"-",BY33/BZ33)</f>
        <v>-</v>
      </c>
      <c r="CB33" s="43">
        <f>SUM(CB5:CB32)</f>
        <v>21</v>
      </c>
      <c r="CC33" s="43">
        <f>SUM(CC5:CC32)</f>
        <v>6</v>
      </c>
      <c r="CD33" s="140">
        <f>IF(CC33=0,"-",CB33/CC33)</f>
        <v>3.5</v>
      </c>
      <c r="CE33" s="43">
        <f>SUM(CE5:CE32)</f>
        <v>25</v>
      </c>
      <c r="CF33" s="43">
        <f>SUM(CF5:CF32)</f>
        <v>5</v>
      </c>
      <c r="CG33" s="140">
        <f>IF(CF33=0,"-",CE33/CF33)</f>
        <v>5</v>
      </c>
      <c r="CH33" s="43">
        <f>SUM(CH5:CH32)</f>
        <v>0</v>
      </c>
      <c r="CI33" s="43">
        <f>SUM(CI5:CI32)</f>
        <v>0</v>
      </c>
      <c r="CJ33" s="140" t="str">
        <f>IF(CI33=0,"-",CH33/CI33)</f>
        <v>-</v>
      </c>
      <c r="CK33" s="43">
        <f>SUM(CK5:CK32)</f>
        <v>0</v>
      </c>
      <c r="CL33" s="43">
        <f>SUM(CL5:CL32)</f>
        <v>0</v>
      </c>
      <c r="CM33" s="140" t="str">
        <f>IF(CL33=0,"-",CK33/CL33)</f>
        <v>-</v>
      </c>
      <c r="CN33" s="118">
        <f>SUM(CN5:CN32)</f>
        <v>4596</v>
      </c>
      <c r="CO33" s="118">
        <f>SUM(CO5:CO32)</f>
        <v>854</v>
      </c>
      <c r="CP33" s="144">
        <f t="shared" si="32"/>
        <v>5.3817330210772836</v>
      </c>
    </row>
    <row r="34" spans="1:94" x14ac:dyDescent="0.3">
      <c r="A34" s="294"/>
      <c r="E34"/>
      <c r="F34"/>
      <c r="H34"/>
      <c r="I34"/>
      <c r="K34"/>
      <c r="L34"/>
      <c r="N34"/>
      <c r="O34"/>
      <c r="Q34"/>
      <c r="R34"/>
      <c r="T34"/>
      <c r="U34"/>
      <c r="W34"/>
      <c r="X34"/>
    </row>
    <row r="35" spans="1:94" x14ac:dyDescent="0.3">
      <c r="A35" s="294"/>
      <c r="E35"/>
      <c r="F35"/>
      <c r="H35"/>
      <c r="I35"/>
      <c r="K35"/>
      <c r="L35"/>
      <c r="N35"/>
      <c r="O35"/>
      <c r="Q35"/>
      <c r="R35"/>
      <c r="T35"/>
      <c r="U35"/>
      <c r="W35"/>
      <c r="X35"/>
    </row>
    <row r="36" spans="1:94" x14ac:dyDescent="0.3">
      <c r="A36" s="294"/>
    </row>
    <row r="37" spans="1:94" x14ac:dyDescent="0.3">
      <c r="A37" s="294"/>
    </row>
    <row r="38" spans="1:94" x14ac:dyDescent="0.3">
      <c r="A38" s="294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DD4F-6642-48D4-A213-EFCA466DF798}">
  <sheetPr>
    <tabColor rgb="FFFF0000"/>
  </sheetPr>
  <dimension ref="A1:CL43"/>
  <sheetViews>
    <sheetView workbookViewId="0">
      <selection activeCell="G40" sqref="G40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92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'February 2025'!B33</f>
        <v>947</v>
      </c>
      <c r="C4" s="68"/>
      <c r="D4" s="95" t="s">
        <v>19</v>
      </c>
      <c r="E4" s="93">
        <f>'February 2025'!AX33</f>
        <v>25</v>
      </c>
      <c r="F4" s="68"/>
      <c r="G4" s="87" t="s">
        <v>24</v>
      </c>
      <c r="H4" s="81">
        <f>'February 2025'!BM33</f>
        <v>18</v>
      </c>
    </row>
    <row r="5" spans="1:90" x14ac:dyDescent="0.3">
      <c r="A5" s="80"/>
      <c r="B5" s="81">
        <f>'February 2025'!C33</f>
        <v>126</v>
      </c>
      <c r="C5" s="68"/>
      <c r="D5" s="85"/>
      <c r="E5" s="81">
        <f>'February 2025'!AY33</f>
        <v>10</v>
      </c>
      <c r="F5" s="68"/>
      <c r="G5" s="87"/>
      <c r="H5" s="81">
        <f>'February 2025'!BN33</f>
        <v>3</v>
      </c>
    </row>
    <row r="6" spans="1:90" x14ac:dyDescent="0.3">
      <c r="A6" s="82"/>
      <c r="B6" s="26">
        <f>'February 2025'!D33</f>
        <v>7.5158730158730158</v>
      </c>
      <c r="C6" s="68"/>
      <c r="D6" s="86"/>
      <c r="E6" s="26">
        <f>'February 2025'!AZ33</f>
        <v>2.5</v>
      </c>
      <c r="F6" s="68"/>
      <c r="G6" s="88"/>
      <c r="H6" s="26">
        <f>'February 2025'!BO33</f>
        <v>6</v>
      </c>
    </row>
    <row r="7" spans="1:90" x14ac:dyDescent="0.3">
      <c r="A7" s="80" t="s">
        <v>9</v>
      </c>
      <c r="B7" s="81">
        <f>'February 2025'!E33</f>
        <v>101</v>
      </c>
      <c r="C7" s="68"/>
      <c r="D7" s="85" t="s">
        <v>20</v>
      </c>
      <c r="E7" s="81">
        <f>'February 2025'!BA33</f>
        <v>1</v>
      </c>
      <c r="F7" s="68"/>
      <c r="G7" s="87" t="s">
        <v>25</v>
      </c>
      <c r="H7" s="151">
        <f>'February 2025'!BP33</f>
        <v>30</v>
      </c>
    </row>
    <row r="8" spans="1:90" x14ac:dyDescent="0.3">
      <c r="A8" s="80"/>
      <c r="B8" s="81">
        <f>'February 2025'!F33</f>
        <v>14</v>
      </c>
      <c r="C8" s="68"/>
      <c r="D8" s="85"/>
      <c r="E8" s="81">
        <f>'February 2025'!BB33</f>
        <v>1</v>
      </c>
      <c r="F8" s="68"/>
      <c r="G8" s="87"/>
      <c r="H8" s="151">
        <f>'February 2025'!BQ33</f>
        <v>4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'February 2025'!G33</f>
        <v>7.2142857142857144</v>
      </c>
      <c r="C9" s="68"/>
      <c r="D9" s="86"/>
      <c r="E9" s="26">
        <f>'February 2025'!BC33</f>
        <v>1</v>
      </c>
      <c r="F9" s="68"/>
      <c r="G9" s="88"/>
      <c r="H9" s="151">
        <f>'February 2025'!BQ33</f>
        <v>4</v>
      </c>
    </row>
    <row r="10" spans="1:90" x14ac:dyDescent="0.3">
      <c r="A10" s="80" t="s">
        <v>55</v>
      </c>
      <c r="B10" s="81">
        <f>'February 2025'!K33</f>
        <v>423</v>
      </c>
      <c r="C10" s="68"/>
      <c r="D10" s="85" t="s">
        <v>21</v>
      </c>
      <c r="E10" s="81">
        <f>'February 2025'!BD33</f>
        <v>0</v>
      </c>
      <c r="F10" s="68"/>
      <c r="G10" s="87" t="s">
        <v>26</v>
      </c>
      <c r="H10" s="151">
        <f>'February 2025'!BS33</f>
        <v>81</v>
      </c>
    </row>
    <row r="11" spans="1:90" x14ac:dyDescent="0.3">
      <c r="A11" s="80"/>
      <c r="B11" s="81">
        <f>'February 2025'!L33</f>
        <v>56</v>
      </c>
      <c r="C11" s="68"/>
      <c r="D11" s="85"/>
      <c r="E11" s="81">
        <f>'February 2025'!BE33</f>
        <v>0</v>
      </c>
      <c r="F11" s="68"/>
      <c r="G11" s="87"/>
      <c r="H11" s="81">
        <f>'February 2025'!BT33</f>
        <v>12</v>
      </c>
    </row>
    <row r="12" spans="1:90" x14ac:dyDescent="0.3">
      <c r="A12" s="82"/>
      <c r="B12" s="26">
        <f>'February 2025'!M33</f>
        <v>7.5535714285714288</v>
      </c>
      <c r="C12" s="68"/>
      <c r="D12" s="86"/>
      <c r="E12" s="26" t="e">
        <f>'February 2025'!BF33</f>
        <v>#DIV/0!</v>
      </c>
      <c r="F12" s="68"/>
      <c r="G12" s="88"/>
      <c r="H12" s="26">
        <f>'February 2025'!BU33</f>
        <v>6.75</v>
      </c>
    </row>
    <row r="13" spans="1:90" x14ac:dyDescent="0.3">
      <c r="A13" s="80" t="s">
        <v>11</v>
      </c>
      <c r="B13" s="81">
        <f>'February 2025'!Q33</f>
        <v>1358</v>
      </c>
      <c r="C13" s="68"/>
      <c r="D13" s="85" t="s">
        <v>22</v>
      </c>
      <c r="E13" s="81">
        <f>'February 2025'!BG33</f>
        <v>0</v>
      </c>
      <c r="F13" s="68"/>
      <c r="G13" s="87" t="s">
        <v>27</v>
      </c>
      <c r="H13" s="81">
        <f>'February 2025'!BV33</f>
        <v>36</v>
      </c>
    </row>
    <row r="14" spans="1:90" x14ac:dyDescent="0.3">
      <c r="A14" s="80"/>
      <c r="B14" s="81">
        <f>'February 2025'!R33</f>
        <v>329</v>
      </c>
      <c r="C14" s="68"/>
      <c r="D14" s="85"/>
      <c r="E14" s="81">
        <f>'February 2025'!BH33</f>
        <v>0</v>
      </c>
      <c r="F14" s="68"/>
      <c r="G14" s="87"/>
      <c r="H14" s="81">
        <f>'February 2025'!BW33</f>
        <v>14</v>
      </c>
    </row>
    <row r="15" spans="1:90" x14ac:dyDescent="0.3">
      <c r="A15" s="82"/>
      <c r="B15" s="26">
        <f>'February 2025'!S33</f>
        <v>4.1276595744680851</v>
      </c>
      <c r="C15" s="68"/>
      <c r="D15" s="85"/>
      <c r="E15" s="26" t="e">
        <f>'February 2025'!BI33</f>
        <v>#DIV/0!</v>
      </c>
      <c r="F15" s="68"/>
      <c r="G15" s="88"/>
      <c r="H15" s="26">
        <f>'February 2025'!BX33</f>
        <v>2.5714285714285716</v>
      </c>
    </row>
    <row r="16" spans="1:90" x14ac:dyDescent="0.3">
      <c r="A16" s="80" t="s">
        <v>44</v>
      </c>
      <c r="B16" s="81">
        <f>'February 2025'!T33</f>
        <v>87</v>
      </c>
      <c r="C16" s="68"/>
      <c r="D16" s="85" t="s">
        <v>45</v>
      </c>
      <c r="E16" s="26">
        <f>'February 2025'!BJ33</f>
        <v>507</v>
      </c>
      <c r="F16" s="68"/>
      <c r="G16" s="96" t="s">
        <v>28</v>
      </c>
      <c r="H16" s="97">
        <f>'February 2025'!CE33</f>
        <v>25</v>
      </c>
    </row>
    <row r="17" spans="1:8" x14ac:dyDescent="0.3">
      <c r="A17" s="80"/>
      <c r="B17" s="81">
        <f>'February 2025'!U33</f>
        <v>24</v>
      </c>
      <c r="C17" s="68"/>
      <c r="D17" s="85"/>
      <c r="E17" s="81">
        <f>'February 2025'!BK33</f>
        <v>77</v>
      </c>
      <c r="F17" s="68"/>
      <c r="G17" s="96"/>
      <c r="H17" s="97">
        <f>'February 2025'!CF33</f>
        <v>5</v>
      </c>
    </row>
    <row r="18" spans="1:8" ht="15" thickBot="1" x14ac:dyDescent="0.35">
      <c r="A18" s="82"/>
      <c r="B18" s="26">
        <f>'February 2025'!V33</f>
        <v>3.625</v>
      </c>
      <c r="C18" s="68"/>
      <c r="D18" s="102"/>
      <c r="E18" s="149">
        <f>'February 2025'!BL33</f>
        <v>6.5844155844155843</v>
      </c>
      <c r="F18" s="68"/>
      <c r="G18" s="98"/>
      <c r="H18" s="99">
        <f>H16/H17</f>
        <v>5</v>
      </c>
    </row>
    <row r="19" spans="1:8" x14ac:dyDescent="0.3">
      <c r="A19" s="80" t="s">
        <v>85</v>
      </c>
      <c r="B19" s="81">
        <f>'February 2025'!W33</f>
        <v>0</v>
      </c>
      <c r="C19" s="68"/>
    </row>
    <row r="20" spans="1:8" x14ac:dyDescent="0.3">
      <c r="A20" s="80"/>
      <c r="B20" s="81">
        <f>'February 2025'!X33</f>
        <v>0</v>
      </c>
      <c r="C20" s="68"/>
    </row>
    <row r="21" spans="1:8" x14ac:dyDescent="0.3">
      <c r="A21" s="100"/>
      <c r="B21" s="81">
        <f>'February 2025'!Y333</f>
        <v>0</v>
      </c>
      <c r="C21" s="68"/>
    </row>
    <row r="22" spans="1:8" x14ac:dyDescent="0.3">
      <c r="A22" s="310" t="s">
        <v>86</v>
      </c>
      <c r="B22" s="311">
        <f>'February 2025'!Z33</f>
        <v>395</v>
      </c>
      <c r="C22" s="68"/>
      <c r="D22" s="68"/>
      <c r="E22" s="68"/>
    </row>
    <row r="23" spans="1:8" x14ac:dyDescent="0.3">
      <c r="A23" s="324"/>
      <c r="B23" s="323">
        <f>'January 2025'!AA33</f>
        <v>8</v>
      </c>
      <c r="C23" s="68"/>
      <c r="D23" s="68"/>
      <c r="E23" s="68"/>
    </row>
    <row r="24" spans="1:8" x14ac:dyDescent="0.3">
      <c r="A24" s="325"/>
      <c r="B24" s="274">
        <f>'February 2025'!AB33</f>
        <v>5</v>
      </c>
      <c r="C24" s="68"/>
      <c r="D24" s="68"/>
      <c r="E24" s="68"/>
    </row>
    <row r="25" spans="1:8" x14ac:dyDescent="0.3">
      <c r="A25" s="325" t="s">
        <v>79</v>
      </c>
      <c r="B25" s="274">
        <f>'February 2025'!AC33</f>
        <v>232</v>
      </c>
      <c r="C25" s="68"/>
      <c r="D25" s="68"/>
      <c r="E25" s="68"/>
    </row>
    <row r="26" spans="1:8" x14ac:dyDescent="0.3">
      <c r="A26" s="325"/>
      <c r="B26" s="274">
        <f>'February 2025'!AD33</f>
        <v>46</v>
      </c>
      <c r="C26" s="68"/>
      <c r="D26" s="68"/>
      <c r="E26" s="68"/>
    </row>
    <row r="27" spans="1:8" x14ac:dyDescent="0.3">
      <c r="A27" s="325"/>
      <c r="B27" s="274">
        <f>'February 2025'!AE33</f>
        <v>5.0434782608695654</v>
      </c>
      <c r="C27" s="68"/>
      <c r="D27" s="68"/>
      <c r="E27" s="68"/>
    </row>
    <row r="28" spans="1:8" x14ac:dyDescent="0.3">
      <c r="A28" s="308" t="s">
        <v>14</v>
      </c>
      <c r="B28" s="309">
        <f>'February 2025'!AC33</f>
        <v>232</v>
      </c>
      <c r="C28" s="68"/>
      <c r="D28" s="68"/>
      <c r="E28" s="68"/>
    </row>
    <row r="29" spans="1:8" x14ac:dyDescent="0.3">
      <c r="A29" s="83"/>
      <c r="B29" s="81">
        <f>'February 2025'!AD33</f>
        <v>46</v>
      </c>
      <c r="C29" s="68"/>
      <c r="D29" s="68"/>
      <c r="E29" s="68"/>
    </row>
    <row r="30" spans="1:8" x14ac:dyDescent="0.3">
      <c r="A30" s="84"/>
      <c r="B30" s="26">
        <f>'February 2025'!AE33</f>
        <v>5.0434782608695654</v>
      </c>
      <c r="C30" s="68"/>
      <c r="D30" s="68"/>
      <c r="E30" s="68"/>
    </row>
    <row r="31" spans="1:8" x14ac:dyDescent="0.3">
      <c r="A31" s="83" t="s">
        <v>15</v>
      </c>
      <c r="B31" s="81">
        <f>'February 2025'!AF33</f>
        <v>16</v>
      </c>
      <c r="C31" s="68"/>
      <c r="F31" s="68"/>
      <c r="G31" s="68"/>
    </row>
    <row r="32" spans="1:8" x14ac:dyDescent="0.3">
      <c r="A32" s="83"/>
      <c r="B32" s="81">
        <f>'February 2025'!AG33</f>
        <v>3</v>
      </c>
      <c r="C32" s="68"/>
      <c r="F32" s="68"/>
      <c r="G32" s="68"/>
    </row>
    <row r="33" spans="1:7" x14ac:dyDescent="0.3">
      <c r="A33" s="84"/>
      <c r="B33" s="275">
        <f>'February 2025'!AH33</f>
        <v>5.333333333333333</v>
      </c>
      <c r="C33" s="68"/>
      <c r="F33" s="68"/>
      <c r="G33" s="68"/>
    </row>
    <row r="34" spans="1:7" x14ac:dyDescent="0.3">
      <c r="A34" s="83" t="s">
        <v>16</v>
      </c>
      <c r="B34" s="81">
        <f>'February 2025'!AL33</f>
        <v>18</v>
      </c>
      <c r="C34" s="68"/>
      <c r="F34" s="68"/>
      <c r="G34" s="68"/>
    </row>
    <row r="35" spans="1:7" x14ac:dyDescent="0.3">
      <c r="A35" s="83"/>
      <c r="B35" s="81">
        <f>'February 2025'!AM33</f>
        <v>3</v>
      </c>
      <c r="C35" s="68"/>
      <c r="F35" s="68"/>
      <c r="G35" s="68"/>
    </row>
    <row r="36" spans="1:7" x14ac:dyDescent="0.3">
      <c r="A36" s="84"/>
      <c r="B36" s="26">
        <f>'February 2025'!AN33</f>
        <v>6</v>
      </c>
      <c r="C36" s="68"/>
      <c r="F36" s="68"/>
      <c r="G36" s="68"/>
    </row>
    <row r="37" spans="1:7" x14ac:dyDescent="0.3">
      <c r="A37" s="83" t="s">
        <v>17</v>
      </c>
      <c r="B37" s="81">
        <f>'February 2025'!AO33</f>
        <v>45</v>
      </c>
      <c r="C37" s="68"/>
      <c r="F37" s="68"/>
      <c r="G37" s="68"/>
    </row>
    <row r="38" spans="1:7" x14ac:dyDescent="0.3">
      <c r="A38" s="83"/>
      <c r="B38" s="81">
        <f>'February 2025'!AP33</f>
        <v>8</v>
      </c>
      <c r="C38" s="68"/>
      <c r="F38" s="68"/>
      <c r="G38" s="68"/>
    </row>
    <row r="39" spans="1:7" x14ac:dyDescent="0.3">
      <c r="A39" s="84"/>
      <c r="B39" s="26">
        <f>'February 2025'!AQ33</f>
        <v>5.625</v>
      </c>
      <c r="C39" s="68"/>
      <c r="F39" s="68"/>
      <c r="G39" s="68"/>
    </row>
    <row r="40" spans="1:7" x14ac:dyDescent="0.3">
      <c r="A40" s="83" t="s">
        <v>59</v>
      </c>
      <c r="B40" s="81">
        <f>'February 2025'!AR33</f>
        <v>41</v>
      </c>
      <c r="C40" s="68"/>
      <c r="F40" s="68"/>
      <c r="G40" s="68"/>
    </row>
    <row r="41" spans="1:7" x14ac:dyDescent="0.3">
      <c r="A41" s="83"/>
      <c r="B41" s="81">
        <f>'February 2025'!AS33</f>
        <v>13</v>
      </c>
      <c r="C41" s="68"/>
      <c r="F41" s="68"/>
      <c r="G41" s="68"/>
    </row>
    <row r="42" spans="1:7" ht="15" thickBot="1" x14ac:dyDescent="0.35">
      <c r="A42" s="94"/>
      <c r="B42" s="89" t="str">
        <f>'January 2025'!AT33</f>
        <v>-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F7D0-5061-44F5-9175-72B28986EED2}">
  <dimension ref="A1:CP126"/>
  <sheetViews>
    <sheetView workbookViewId="0">
      <pane xSplit="9" ySplit="11" topLeftCell="BR20" activePane="bottomRight" state="frozen"/>
      <selection pane="topRight" activeCell="J1" sqref="J1"/>
      <selection pane="bottomLeft" activeCell="A12" sqref="A12"/>
      <selection pane="bottomRight" activeCell="CN36" sqref="CN36:CO36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hidden="1" customWidth="1"/>
    <col min="60" max="60" width="9.6640625" hidden="1" customWidth="1"/>
    <col min="61" max="61" width="11.88671875" style="2" hidden="1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8.88671875" style="2"/>
    <col min="85" max="85" width="8.886718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96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55"/>
      <c r="CH3" s="13" t="s">
        <v>26</v>
      </c>
      <c r="CI3" s="14"/>
      <c r="CJ3" s="27"/>
      <c r="CK3" s="14" t="s">
        <v>97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5" t="s">
        <v>7</v>
      </c>
      <c r="F4" s="6" t="s">
        <v>30</v>
      </c>
      <c r="G4" s="34" t="s">
        <v>31</v>
      </c>
      <c r="H4" s="5" t="s">
        <v>7</v>
      </c>
      <c r="I4" s="6" t="s">
        <v>30</v>
      </c>
      <c r="J4" s="34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57" t="s">
        <v>31</v>
      </c>
      <c r="CH4" s="15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45717</v>
      </c>
      <c r="B5" s="125">
        <v>49</v>
      </c>
      <c r="C5" s="126">
        <v>6</v>
      </c>
      <c r="D5" s="276">
        <f t="shared" ref="D5:D32" si="0">IF(C5=0,"-",B5/C5)</f>
        <v>8.1666666666666661</v>
      </c>
      <c r="E5" s="125">
        <v>0</v>
      </c>
      <c r="F5" s="126">
        <v>0</v>
      </c>
      <c r="G5" s="276" t="str">
        <f t="shared" ref="G5:G25" si="1">IF(F5=0,"-",E5/F5)</f>
        <v>-</v>
      </c>
      <c r="H5" s="125">
        <v>0</v>
      </c>
      <c r="I5" s="126">
        <v>0</v>
      </c>
      <c r="J5" s="276" t="str">
        <f t="shared" ref="J5:J32" si="2">IF(I5=0,"-",H5/I5)</f>
        <v>-</v>
      </c>
      <c r="K5" s="125">
        <v>26</v>
      </c>
      <c r="L5" s="126">
        <v>3</v>
      </c>
      <c r="M5" s="276">
        <f t="shared" ref="M5:M32" si="3">IF(L5=0,"-",K5/L5)</f>
        <v>8.6666666666666661</v>
      </c>
      <c r="N5" s="20">
        <v>0</v>
      </c>
      <c r="O5" s="21">
        <v>0</v>
      </c>
      <c r="P5" s="139" t="str">
        <f t="shared" ref="P5:P32" si="4">IF(O5=0,"-",N5/O5)</f>
        <v>-</v>
      </c>
      <c r="Q5" s="20">
        <v>0</v>
      </c>
      <c r="R5" s="21">
        <v>0</v>
      </c>
      <c r="S5" s="139" t="str">
        <f t="shared" ref="S5:S6" si="5">IF(R5=0,"-",Q5/R5)</f>
        <v>-</v>
      </c>
      <c r="T5" s="20">
        <v>0</v>
      </c>
      <c r="U5" s="21">
        <v>0</v>
      </c>
      <c r="V5" s="139" t="str">
        <f t="shared" ref="V5:V6" si="6">IF(U5=0,"-",T5/U5)</f>
        <v>-</v>
      </c>
      <c r="W5" s="20">
        <v>0</v>
      </c>
      <c r="X5" s="21">
        <v>0</v>
      </c>
      <c r="Y5" s="139" t="str">
        <f t="shared" ref="Y5:Y6" si="7">IF(X5=0,"-",W5/X5)</f>
        <v>-</v>
      </c>
      <c r="Z5" s="20">
        <v>0</v>
      </c>
      <c r="AA5" s="21">
        <v>0</v>
      </c>
      <c r="AB5" s="139" t="str">
        <f t="shared" ref="AB5:AB6" si="8">IF(AA5=0,"-",Z5/AA5)</f>
        <v>-</v>
      </c>
      <c r="AC5" s="20">
        <v>0</v>
      </c>
      <c r="AD5" s="21">
        <v>0</v>
      </c>
      <c r="AE5" s="139" t="str">
        <f t="shared" ref="AE5:AE6" si="9">IF(AD5=0,"-",AC5/AD5)</f>
        <v>-</v>
      </c>
      <c r="AF5" s="20">
        <v>0</v>
      </c>
      <c r="AG5" s="21">
        <v>0</v>
      </c>
      <c r="AH5" s="139" t="str">
        <f t="shared" ref="AH5:AH6" si="10">IF(AG5=0,"-",AF5/AG5)</f>
        <v>-</v>
      </c>
      <c r="AI5" s="20">
        <v>0</v>
      </c>
      <c r="AJ5" s="21">
        <v>0</v>
      </c>
      <c r="AK5" s="139" t="str">
        <f t="shared" ref="AK5:AK6" si="11">IF(AJ5=0,"-",AI5/AJ5)</f>
        <v>-</v>
      </c>
      <c r="AL5" s="20">
        <v>0</v>
      </c>
      <c r="AM5" s="21">
        <v>0</v>
      </c>
      <c r="AN5" s="139" t="str">
        <f t="shared" ref="AN5:AN6" si="12">IF(AM5=0,"-",AL5/AM5)</f>
        <v>-</v>
      </c>
      <c r="AO5" s="20">
        <v>0</v>
      </c>
      <c r="AP5" s="21">
        <v>0</v>
      </c>
      <c r="AQ5" s="139" t="str">
        <f t="shared" ref="AQ5:AQ6" si="13">IF(AP5=0,"-",AO5/AP5)</f>
        <v>-</v>
      </c>
      <c r="AR5" s="20">
        <v>0</v>
      </c>
      <c r="AS5" s="21">
        <v>0</v>
      </c>
      <c r="AT5" s="139" t="str">
        <f t="shared" ref="AT5:AT6" si="14">IF(AS5=0,"-",AR5/AS5)</f>
        <v>-</v>
      </c>
      <c r="AU5" s="20">
        <v>0</v>
      </c>
      <c r="AV5" s="21">
        <v>0</v>
      </c>
      <c r="AW5" s="139" t="str">
        <f t="shared" ref="AW5:AW6" si="15">IF(AV5=0,"-",AU5/AV5)</f>
        <v>-</v>
      </c>
      <c r="AX5" s="20">
        <v>0</v>
      </c>
      <c r="AY5" s="21">
        <v>0</v>
      </c>
      <c r="AZ5" s="139" t="str">
        <f t="shared" ref="AZ5:AZ6" si="16">IF(AY5=0,"-",AX5/AY5)</f>
        <v>-</v>
      </c>
      <c r="BA5" s="20">
        <v>0</v>
      </c>
      <c r="BB5" s="21">
        <v>0</v>
      </c>
      <c r="BC5" s="139" t="str">
        <f t="shared" ref="BC5:BC6" si="17">IF(BB5=0,"-",BA5/BB5)</f>
        <v>-</v>
      </c>
      <c r="BD5" s="20">
        <v>0</v>
      </c>
      <c r="BE5" s="21">
        <v>0</v>
      </c>
      <c r="BF5" s="139" t="str">
        <f t="shared" ref="BF5:BF33" si="18">IF(BE5=0,"-",BD5/BE5)</f>
        <v>-</v>
      </c>
      <c r="BG5" s="20">
        <v>0</v>
      </c>
      <c r="BH5" s="21">
        <v>0</v>
      </c>
      <c r="BI5" s="276" t="str">
        <f t="shared" ref="BI5:BI33" si="19">IF(BH5=0,"-",BG5/BH5)</f>
        <v>-</v>
      </c>
      <c r="BJ5" s="125">
        <v>14</v>
      </c>
      <c r="BK5" s="126">
        <v>2</v>
      </c>
      <c r="BL5" s="276">
        <f t="shared" ref="BL5:BL35" si="20">IF(BK5=0,"-",BJ5/BK5)</f>
        <v>7</v>
      </c>
      <c r="BM5" s="125">
        <v>0</v>
      </c>
      <c r="BN5" s="126">
        <v>0</v>
      </c>
      <c r="BO5" s="276" t="str">
        <f t="shared" ref="BO5:BO31" si="21">IF(BN5=0,"-",BM5/BN5)</f>
        <v>-</v>
      </c>
      <c r="BP5" s="125">
        <v>0</v>
      </c>
      <c r="BQ5" s="126">
        <v>0</v>
      </c>
      <c r="BR5" s="276" t="str">
        <f t="shared" ref="BR5:BR31" si="22">IF(BQ5=0,"-",BP5/BQ5)</f>
        <v>-</v>
      </c>
      <c r="BS5" s="125">
        <v>6</v>
      </c>
      <c r="BT5" s="126">
        <v>1</v>
      </c>
      <c r="BU5" s="276">
        <f t="shared" ref="BU5:BU35" si="23">IF(BT5=0,"-",BS5/BT5)</f>
        <v>6</v>
      </c>
      <c r="BV5" s="125">
        <v>0</v>
      </c>
      <c r="BW5" s="126">
        <v>0</v>
      </c>
      <c r="BX5" s="276" t="str">
        <f t="shared" ref="BX5:BX33" si="24">IF(BW5=0,"-",BV5/BW5)</f>
        <v>-</v>
      </c>
      <c r="BY5" s="125">
        <v>0</v>
      </c>
      <c r="BZ5" s="126">
        <v>0</v>
      </c>
      <c r="CA5" s="276" t="str">
        <f t="shared" ref="CA5:CA33" si="25">IF(BZ5=0,"-",BY5/BZ5)</f>
        <v>-</v>
      </c>
      <c r="CB5" s="125">
        <v>0</v>
      </c>
      <c r="CC5" s="126">
        <v>0</v>
      </c>
      <c r="CD5" s="276" t="str">
        <f t="shared" ref="CD5:CD33" si="26">IF(CC5=0,"-",CB5/CC5)</f>
        <v>-</v>
      </c>
      <c r="CE5" s="125">
        <v>0</v>
      </c>
      <c r="CF5" s="126">
        <v>0</v>
      </c>
      <c r="CG5" s="276" t="str">
        <f t="shared" ref="CG5:CG34" si="27">IF(CF5=0,"-",CE5/CF5)</f>
        <v>-</v>
      </c>
      <c r="CH5" s="125">
        <v>0</v>
      </c>
      <c r="CI5" s="126">
        <v>0</v>
      </c>
      <c r="CJ5" s="276" t="str">
        <f t="shared" ref="CJ5:CJ34" si="28">IF(CI5=0,"-",CH5/CI5)</f>
        <v>-</v>
      </c>
      <c r="CK5" s="125">
        <v>0</v>
      </c>
      <c r="CL5" s="126">
        <v>0</v>
      </c>
      <c r="CM5" s="276" t="str">
        <f t="shared" ref="CM5:CM34" si="29">IF(CL5=0,"-",CK5/CL5)</f>
        <v>-</v>
      </c>
      <c r="CN5" s="117">
        <f>SUM(B5,E5,K5,Q5,T5,W5,Z5,AC5,AF5,AI5,AL5,AO5,AR5,AX5,BA5,BG5,BJ5,BM5,BP5,BS5,BV5,BY5,CB5,CE5,CH5,CK5)</f>
        <v>95</v>
      </c>
      <c r="CO5" s="120">
        <f t="shared" ref="CO5:CO35" si="30">C5+F5+L5+R5+U5+X5+AA5+AD5+AG5+AJ5+AS5+AV5+AY5+BB5+BE5+BH5+BK5+BN5+BQ5+BT5+CC5+CF5+CI5+CL5</f>
        <v>12</v>
      </c>
      <c r="CP5" s="147">
        <f t="shared" ref="CP5:CP36" si="31">IF(CO5=0,"",CN5/CO5)</f>
        <v>7.916666666666667</v>
      </c>
    </row>
    <row r="6" spans="1:94" ht="15" thickBot="1" x14ac:dyDescent="0.35">
      <c r="A6" s="294">
        <v>45718</v>
      </c>
      <c r="B6" s="20">
        <v>0</v>
      </c>
      <c r="C6" s="21">
        <v>0</v>
      </c>
      <c r="D6" s="139" t="str">
        <f t="shared" si="0"/>
        <v>-</v>
      </c>
      <c r="E6" s="20">
        <v>0</v>
      </c>
      <c r="F6" s="21">
        <v>0</v>
      </c>
      <c r="G6" s="139" t="str">
        <f t="shared" si="1"/>
        <v>-</v>
      </c>
      <c r="H6" s="20">
        <v>0</v>
      </c>
      <c r="I6" s="21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20">
        <v>0</v>
      </c>
      <c r="AD6" s="21">
        <v>0</v>
      </c>
      <c r="AE6" s="139" t="str">
        <f t="shared" si="9"/>
        <v>-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276" t="str">
        <f t="shared" si="19"/>
        <v>-</v>
      </c>
      <c r="BJ6" s="125">
        <v>14</v>
      </c>
      <c r="BK6" s="126">
        <v>2</v>
      </c>
      <c r="BL6" s="276">
        <f t="shared" si="20"/>
        <v>7</v>
      </c>
      <c r="BM6" s="125">
        <v>0</v>
      </c>
      <c r="BN6" s="126">
        <v>0</v>
      </c>
      <c r="BO6" s="276" t="str">
        <f t="shared" si="21"/>
        <v>-</v>
      </c>
      <c r="BP6" s="125">
        <v>0</v>
      </c>
      <c r="BQ6" s="126">
        <v>0</v>
      </c>
      <c r="BR6" s="276" t="str">
        <f t="shared" si="22"/>
        <v>-</v>
      </c>
      <c r="BS6" s="125">
        <v>6</v>
      </c>
      <c r="BT6" s="126">
        <v>1</v>
      </c>
      <c r="BU6" s="276">
        <f t="shared" si="23"/>
        <v>6</v>
      </c>
      <c r="BV6" s="125">
        <v>1</v>
      </c>
      <c r="BW6" s="126">
        <v>1</v>
      </c>
      <c r="BX6" s="276">
        <f t="shared" si="24"/>
        <v>1</v>
      </c>
      <c r="BY6" s="125">
        <v>0</v>
      </c>
      <c r="BZ6" s="126">
        <v>0</v>
      </c>
      <c r="CA6" s="276" t="str">
        <f t="shared" si="25"/>
        <v>-</v>
      </c>
      <c r="CB6" s="125">
        <v>6</v>
      </c>
      <c r="CC6" s="126">
        <v>1</v>
      </c>
      <c r="CD6" s="276">
        <f t="shared" si="26"/>
        <v>6</v>
      </c>
      <c r="CE6" s="125">
        <v>0</v>
      </c>
      <c r="CF6" s="126">
        <v>0</v>
      </c>
      <c r="CG6" s="276" t="str">
        <f t="shared" si="27"/>
        <v>-</v>
      </c>
      <c r="CH6" s="125">
        <v>0</v>
      </c>
      <c r="CI6" s="126">
        <v>0</v>
      </c>
      <c r="CJ6" s="276" t="str">
        <f t="shared" si="28"/>
        <v>-</v>
      </c>
      <c r="CK6" s="125">
        <v>0</v>
      </c>
      <c r="CL6" s="126">
        <v>0</v>
      </c>
      <c r="CM6" s="276" t="str">
        <f t="shared" si="29"/>
        <v>-</v>
      </c>
      <c r="CN6" s="117">
        <f t="shared" ref="CN6:CN35" si="32">SUM(B6,E6,K6,Q6,T6,W6,Z6,AC6,AF6,AI6,AL6,AO6,AR6,AX6,BA6,BG6,BJ6,BM6,BP6,BS6,BV6,BY6,CB6,CE6,CH6,CK6)</f>
        <v>27</v>
      </c>
      <c r="CO6" s="120">
        <f t="shared" si="30"/>
        <v>4</v>
      </c>
      <c r="CP6" s="147">
        <f t="shared" si="31"/>
        <v>6.75</v>
      </c>
    </row>
    <row r="7" spans="1:94" ht="15" thickBot="1" x14ac:dyDescent="0.35">
      <c r="A7" s="294">
        <v>45719</v>
      </c>
      <c r="B7" s="20">
        <v>49</v>
      </c>
      <c r="C7" s="21">
        <v>6</v>
      </c>
      <c r="D7" s="139">
        <f t="shared" si="0"/>
        <v>8.1666666666666661</v>
      </c>
      <c r="E7" s="20">
        <v>0</v>
      </c>
      <c r="F7" s="21">
        <v>0</v>
      </c>
      <c r="G7" s="139" t="str">
        <f t="shared" si="1"/>
        <v>-</v>
      </c>
      <c r="H7" s="20">
        <v>0</v>
      </c>
      <c r="I7" s="21">
        <v>0</v>
      </c>
      <c r="J7" s="139" t="str">
        <f t="shared" si="2"/>
        <v>-</v>
      </c>
      <c r="K7" s="20">
        <v>24</v>
      </c>
      <c r="L7" s="21">
        <v>3</v>
      </c>
      <c r="M7" s="139">
        <f t="shared" si="3"/>
        <v>8</v>
      </c>
      <c r="N7" s="20">
        <v>0</v>
      </c>
      <c r="O7" s="21">
        <v>0</v>
      </c>
      <c r="P7" s="139" t="str">
        <f t="shared" si="4"/>
        <v>-</v>
      </c>
      <c r="Q7" s="20">
        <v>82</v>
      </c>
      <c r="R7" s="21">
        <v>23</v>
      </c>
      <c r="S7" s="139">
        <f t="shared" ref="S7:S32" si="33">IF(R7=0,"-",Q7/R7)</f>
        <v>3.5652173913043477</v>
      </c>
      <c r="T7" s="20">
        <v>0</v>
      </c>
      <c r="U7" s="21">
        <v>0</v>
      </c>
      <c r="V7" s="139" t="str">
        <f t="shared" ref="V7:V32" si="34">IF(U7=0,"-",T7/U7)</f>
        <v>-</v>
      </c>
      <c r="W7" s="20">
        <v>0</v>
      </c>
      <c r="X7" s="21">
        <v>0</v>
      </c>
      <c r="Y7" s="278" t="str">
        <f t="shared" ref="Y7:Y33" si="35">IF(X7=0,"-",W7/X7)</f>
        <v>-</v>
      </c>
      <c r="Z7" s="125">
        <v>10</v>
      </c>
      <c r="AA7" s="126">
        <v>2</v>
      </c>
      <c r="AB7" s="276">
        <f>IF(AA7=0,"-",Z7/AA7)</f>
        <v>5</v>
      </c>
      <c r="AC7" s="20">
        <v>0</v>
      </c>
      <c r="AD7" s="21">
        <v>0</v>
      </c>
      <c r="AE7" s="139" t="str">
        <f t="shared" ref="AE7:AE31" si="36">IF(AD7=0,"-",AC7/AD7)</f>
        <v>-</v>
      </c>
      <c r="AF7" s="20">
        <v>0</v>
      </c>
      <c r="AG7" s="21">
        <v>0</v>
      </c>
      <c r="AH7" s="139" t="str">
        <f t="shared" ref="AH7:AH31" si="37">IF(AG7=0,"-",AF7/AG7)</f>
        <v>-</v>
      </c>
      <c r="AI7" s="125">
        <v>18</v>
      </c>
      <c r="AJ7" s="126">
        <v>3</v>
      </c>
      <c r="AK7" s="276">
        <f t="shared" ref="AK7:AK31" si="38">IF(AJ7=0,"-",AI7/AJ7)</f>
        <v>6</v>
      </c>
      <c r="AL7" s="20">
        <v>6</v>
      </c>
      <c r="AM7" s="21">
        <v>1</v>
      </c>
      <c r="AN7" s="139">
        <f t="shared" ref="AN7:AN31" si="39">IF(AM7=0,"-",AL7/AM7)</f>
        <v>6</v>
      </c>
      <c r="AO7" s="125">
        <v>23</v>
      </c>
      <c r="AP7" s="126">
        <v>4</v>
      </c>
      <c r="AQ7" s="276">
        <f t="shared" ref="AQ7:AQ31" si="40">IF(AP7=0,"-",AO7/AP7)</f>
        <v>5.75</v>
      </c>
      <c r="AR7" s="20">
        <v>0</v>
      </c>
      <c r="AS7" s="21">
        <v>0</v>
      </c>
      <c r="AT7" s="139" t="str">
        <f t="shared" ref="AT7" si="41">IF(AS7=0,"-",AR7/AS7)</f>
        <v>-</v>
      </c>
      <c r="AU7" s="20">
        <v>0</v>
      </c>
      <c r="AV7" s="21">
        <v>0</v>
      </c>
      <c r="AW7" s="139" t="str">
        <f t="shared" ref="AW7" si="42">IF(AV7=0,"-",AU7/AV7)</f>
        <v>-</v>
      </c>
      <c r="AX7" s="20">
        <v>1</v>
      </c>
      <c r="AY7" s="21">
        <v>1</v>
      </c>
      <c r="AZ7" s="139">
        <f t="shared" ref="AZ7" si="43">IF(AY7=0,"-",AX7/AY7)</f>
        <v>1</v>
      </c>
      <c r="BA7" s="20">
        <v>0</v>
      </c>
      <c r="BB7" s="21">
        <v>0</v>
      </c>
      <c r="BC7" s="139" t="str">
        <f t="shared" ref="BC7" si="44">IF(BB7=0,"-",BA7/BB7)</f>
        <v>-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276" t="str">
        <f t="shared" si="19"/>
        <v>-</v>
      </c>
      <c r="BJ7" s="125">
        <v>16</v>
      </c>
      <c r="BK7" s="126">
        <v>3</v>
      </c>
      <c r="BL7" s="276">
        <f t="shared" si="20"/>
        <v>5.333333333333333</v>
      </c>
      <c r="BM7" s="125">
        <v>0</v>
      </c>
      <c r="BN7" s="126">
        <v>0</v>
      </c>
      <c r="BO7" s="276" t="str">
        <f t="shared" si="21"/>
        <v>-</v>
      </c>
      <c r="BP7" s="125">
        <v>0</v>
      </c>
      <c r="BQ7" s="126">
        <v>0</v>
      </c>
      <c r="BR7" s="276" t="str">
        <f t="shared" si="22"/>
        <v>-</v>
      </c>
      <c r="BS7" s="125">
        <v>7</v>
      </c>
      <c r="BT7" s="126">
        <v>1</v>
      </c>
      <c r="BU7" s="276">
        <f t="shared" si="23"/>
        <v>7</v>
      </c>
      <c r="BV7" s="125">
        <v>0</v>
      </c>
      <c r="BW7" s="126">
        <v>0</v>
      </c>
      <c r="BX7" s="276" t="str">
        <f t="shared" si="24"/>
        <v>-</v>
      </c>
      <c r="BY7" s="125">
        <v>0</v>
      </c>
      <c r="BZ7" s="126">
        <v>0</v>
      </c>
      <c r="CA7" s="276" t="str">
        <f t="shared" si="25"/>
        <v>-</v>
      </c>
      <c r="CB7" s="125">
        <v>0</v>
      </c>
      <c r="CC7" s="126">
        <v>0</v>
      </c>
      <c r="CD7" s="276" t="str">
        <f t="shared" si="26"/>
        <v>-</v>
      </c>
      <c r="CE7" s="125">
        <v>0</v>
      </c>
      <c r="CF7" s="126">
        <v>0</v>
      </c>
      <c r="CG7" s="276" t="str">
        <f t="shared" si="27"/>
        <v>-</v>
      </c>
      <c r="CH7" s="125">
        <v>0</v>
      </c>
      <c r="CI7" s="126">
        <v>0</v>
      </c>
      <c r="CJ7" s="276" t="str">
        <f t="shared" si="28"/>
        <v>-</v>
      </c>
      <c r="CK7" s="125">
        <v>0</v>
      </c>
      <c r="CL7" s="126">
        <v>0</v>
      </c>
      <c r="CM7" s="276" t="str">
        <f t="shared" si="29"/>
        <v>-</v>
      </c>
      <c r="CN7" s="117">
        <f t="shared" si="32"/>
        <v>236</v>
      </c>
      <c r="CO7" s="120">
        <f t="shared" si="30"/>
        <v>42</v>
      </c>
      <c r="CP7" s="147">
        <f t="shared" si="31"/>
        <v>5.6190476190476186</v>
      </c>
    </row>
    <row r="8" spans="1:94" ht="15" thickBot="1" x14ac:dyDescent="0.35">
      <c r="A8" s="294">
        <v>45720</v>
      </c>
      <c r="B8" s="20">
        <v>38</v>
      </c>
      <c r="C8" s="21">
        <v>5</v>
      </c>
      <c r="D8" s="139">
        <f t="shared" si="0"/>
        <v>7.6</v>
      </c>
      <c r="E8" s="20">
        <v>0</v>
      </c>
      <c r="F8" s="21">
        <v>0</v>
      </c>
      <c r="G8" s="139" t="str">
        <f t="shared" si="1"/>
        <v>-</v>
      </c>
      <c r="H8" s="20">
        <v>0</v>
      </c>
      <c r="I8" s="21">
        <v>0</v>
      </c>
      <c r="J8" s="139" t="str">
        <f t="shared" si="2"/>
        <v>-</v>
      </c>
      <c r="K8" s="20">
        <v>16</v>
      </c>
      <c r="L8" s="21">
        <v>2</v>
      </c>
      <c r="M8" s="139">
        <f t="shared" si="3"/>
        <v>8</v>
      </c>
      <c r="N8" s="20">
        <v>0</v>
      </c>
      <c r="O8" s="21">
        <v>0</v>
      </c>
      <c r="P8" s="139" t="str">
        <f t="shared" si="4"/>
        <v>-</v>
      </c>
      <c r="Q8" s="20">
        <v>71</v>
      </c>
      <c r="R8" s="21">
        <v>20</v>
      </c>
      <c r="S8" s="139">
        <f t="shared" si="33"/>
        <v>3.55</v>
      </c>
      <c r="T8" s="20">
        <v>0</v>
      </c>
      <c r="U8" s="21">
        <v>0</v>
      </c>
      <c r="V8" s="139" t="str">
        <f t="shared" si="34"/>
        <v>-</v>
      </c>
      <c r="W8" s="20">
        <v>0</v>
      </c>
      <c r="X8" s="21">
        <v>0</v>
      </c>
      <c r="Y8" s="278" t="str">
        <f t="shared" si="35"/>
        <v>-</v>
      </c>
      <c r="Z8" s="125">
        <v>10</v>
      </c>
      <c r="AA8" s="126">
        <v>2</v>
      </c>
      <c r="AB8" s="276">
        <f t="shared" ref="AB8:AB33" si="45">IF(AA8=0,"-",Z8/AA8)</f>
        <v>5</v>
      </c>
      <c r="AC8" s="20">
        <v>0</v>
      </c>
      <c r="AD8" s="21">
        <v>0</v>
      </c>
      <c r="AE8" s="139" t="str">
        <f t="shared" ref="AE8:AE9" si="46">IF(AD8=0,"-",AC8/AD8)</f>
        <v>-</v>
      </c>
      <c r="AF8" s="20">
        <v>0</v>
      </c>
      <c r="AG8" s="21">
        <v>0</v>
      </c>
      <c r="AH8" s="139" t="str">
        <f t="shared" ref="AH8:AH9" si="47">IF(AG8=0,"-",AF8/AG8)</f>
        <v>-</v>
      </c>
      <c r="AI8" s="20">
        <v>0</v>
      </c>
      <c r="AJ8" s="21">
        <v>0</v>
      </c>
      <c r="AK8" s="139" t="str">
        <f t="shared" si="38"/>
        <v>-</v>
      </c>
      <c r="AL8" s="20">
        <v>0</v>
      </c>
      <c r="AM8" s="21">
        <v>0</v>
      </c>
      <c r="AN8" s="139" t="str">
        <f t="shared" si="39"/>
        <v>-</v>
      </c>
      <c r="AO8" s="20">
        <v>0</v>
      </c>
      <c r="AP8" s="21">
        <v>0</v>
      </c>
      <c r="AQ8" s="139" t="str">
        <f t="shared" si="40"/>
        <v>-</v>
      </c>
      <c r="AR8" s="20">
        <v>0</v>
      </c>
      <c r="AS8" s="21">
        <v>0</v>
      </c>
      <c r="AT8" s="139" t="str">
        <f t="shared" ref="AT8:AT32" si="48">IF(AS8=0,"-",AR8/AS8)</f>
        <v>-</v>
      </c>
      <c r="AU8" s="125">
        <v>0</v>
      </c>
      <c r="AV8" s="126">
        <v>0</v>
      </c>
      <c r="AW8" s="276" t="str">
        <f t="shared" ref="AW8:AW21" si="49">IF(AV8=0,"-",AU8/AV8)</f>
        <v>-</v>
      </c>
      <c r="AX8" s="125">
        <v>0</v>
      </c>
      <c r="AY8" s="126">
        <v>0</v>
      </c>
      <c r="AZ8" s="276" t="str">
        <f t="shared" ref="AZ8:AZ32" si="50">IF(AY8=0,"-",AX8/AY8)</f>
        <v>-</v>
      </c>
      <c r="BA8" s="20">
        <v>9</v>
      </c>
      <c r="BB8" s="21">
        <v>1</v>
      </c>
      <c r="BC8" s="139">
        <f t="shared" ref="BC8:BC17" si="51">IF(BB8=0,"-",BA8/BB8)</f>
        <v>9</v>
      </c>
      <c r="BD8" s="20">
        <v>0</v>
      </c>
      <c r="BE8" s="21">
        <v>0</v>
      </c>
      <c r="BF8" s="139" t="str">
        <f t="shared" si="18"/>
        <v>-</v>
      </c>
      <c r="BG8" s="20">
        <v>0</v>
      </c>
      <c r="BH8" s="21">
        <v>0</v>
      </c>
      <c r="BI8" s="276" t="str">
        <f t="shared" si="19"/>
        <v>-</v>
      </c>
      <c r="BJ8" s="125">
        <v>7</v>
      </c>
      <c r="BK8" s="126">
        <v>1</v>
      </c>
      <c r="BL8" s="276">
        <f t="shared" si="20"/>
        <v>7</v>
      </c>
      <c r="BM8" s="125">
        <v>0</v>
      </c>
      <c r="BN8" s="126">
        <v>0</v>
      </c>
      <c r="BO8" s="276" t="str">
        <f t="shared" si="21"/>
        <v>-</v>
      </c>
      <c r="BP8" s="125">
        <v>0</v>
      </c>
      <c r="BQ8" s="126">
        <v>0</v>
      </c>
      <c r="BR8" s="276" t="str">
        <f t="shared" si="22"/>
        <v>-</v>
      </c>
      <c r="BS8" s="125">
        <v>6</v>
      </c>
      <c r="BT8" s="126">
        <v>1</v>
      </c>
      <c r="BU8" s="276">
        <f t="shared" si="23"/>
        <v>6</v>
      </c>
      <c r="BV8" s="125">
        <v>0</v>
      </c>
      <c r="BW8" s="126">
        <v>0</v>
      </c>
      <c r="BX8" s="276" t="str">
        <f t="shared" ref="BX8" si="52">IF(BW8=0,"-",BV8/BW8)</f>
        <v>-</v>
      </c>
      <c r="BY8" s="125">
        <v>0</v>
      </c>
      <c r="BZ8" s="126">
        <v>0</v>
      </c>
      <c r="CA8" s="276" t="str">
        <f t="shared" ref="CA8" si="53">IF(BZ8=0,"-",BY8/BZ8)</f>
        <v>-</v>
      </c>
      <c r="CB8" s="125">
        <v>0</v>
      </c>
      <c r="CC8" s="126">
        <v>0</v>
      </c>
      <c r="CD8" s="276" t="str">
        <f t="shared" ref="CD8" si="54">IF(CC8=0,"-",CB8/CC8)</f>
        <v>-</v>
      </c>
      <c r="CE8" s="125">
        <v>0</v>
      </c>
      <c r="CF8" s="126">
        <v>0</v>
      </c>
      <c r="CG8" s="276" t="str">
        <f t="shared" ref="CG8:CG9" si="55">IF(CF8=0,"-",CE8/CF8)</f>
        <v>-</v>
      </c>
      <c r="CH8" s="125">
        <v>0</v>
      </c>
      <c r="CI8" s="126">
        <v>0</v>
      </c>
      <c r="CJ8" s="276" t="str">
        <f t="shared" si="28"/>
        <v>-</v>
      </c>
      <c r="CK8" s="125">
        <v>0</v>
      </c>
      <c r="CL8" s="126">
        <v>0</v>
      </c>
      <c r="CM8" s="276" t="str">
        <f t="shared" si="29"/>
        <v>-</v>
      </c>
      <c r="CN8" s="117">
        <f t="shared" si="32"/>
        <v>157</v>
      </c>
      <c r="CO8" s="120">
        <f t="shared" si="30"/>
        <v>32</v>
      </c>
      <c r="CP8" s="147">
        <f t="shared" si="31"/>
        <v>4.90625</v>
      </c>
    </row>
    <row r="9" spans="1:94" ht="15" thickBot="1" x14ac:dyDescent="0.35">
      <c r="A9" s="294">
        <v>45721</v>
      </c>
      <c r="B9" s="20">
        <v>27</v>
      </c>
      <c r="C9" s="21">
        <v>4</v>
      </c>
      <c r="D9" s="139">
        <f t="shared" si="0"/>
        <v>6.75</v>
      </c>
      <c r="E9" s="20">
        <v>6</v>
      </c>
      <c r="F9" s="21">
        <v>1</v>
      </c>
      <c r="G9" s="139">
        <f t="shared" si="1"/>
        <v>6</v>
      </c>
      <c r="H9" s="20">
        <v>0</v>
      </c>
      <c r="I9" s="21">
        <v>0</v>
      </c>
      <c r="J9" s="139" t="str">
        <f t="shared" si="2"/>
        <v>-</v>
      </c>
      <c r="K9" s="20">
        <v>20</v>
      </c>
      <c r="L9" s="21">
        <v>3</v>
      </c>
      <c r="M9" s="139">
        <f t="shared" si="3"/>
        <v>6.666666666666667</v>
      </c>
      <c r="N9" s="20">
        <v>0</v>
      </c>
      <c r="O9" s="21">
        <v>0</v>
      </c>
      <c r="P9" s="139" t="str">
        <f t="shared" si="4"/>
        <v>-</v>
      </c>
      <c r="Q9" s="20">
        <v>47</v>
      </c>
      <c r="R9" s="21">
        <v>11</v>
      </c>
      <c r="S9" s="139">
        <f t="shared" si="33"/>
        <v>4.2727272727272725</v>
      </c>
      <c r="T9" s="20">
        <v>0</v>
      </c>
      <c r="U9" s="21">
        <v>0</v>
      </c>
      <c r="V9" s="139" t="str">
        <f t="shared" si="34"/>
        <v>-</v>
      </c>
      <c r="W9" s="20">
        <v>0</v>
      </c>
      <c r="X9" s="21">
        <v>0</v>
      </c>
      <c r="Y9" s="139" t="str">
        <f t="shared" si="35"/>
        <v>-</v>
      </c>
      <c r="Z9" s="20">
        <v>20</v>
      </c>
      <c r="AA9" s="21">
        <v>4</v>
      </c>
      <c r="AB9" s="139">
        <f t="shared" si="45"/>
        <v>5</v>
      </c>
      <c r="AC9" s="20">
        <v>0</v>
      </c>
      <c r="AD9" s="21">
        <v>0</v>
      </c>
      <c r="AE9" s="139" t="str">
        <f t="shared" si="46"/>
        <v>-</v>
      </c>
      <c r="AF9" s="20">
        <v>0</v>
      </c>
      <c r="AG9" s="21">
        <v>0</v>
      </c>
      <c r="AH9" s="139" t="str">
        <f t="shared" si="47"/>
        <v>-</v>
      </c>
      <c r="AI9" s="20">
        <v>0</v>
      </c>
      <c r="AJ9" s="21">
        <v>0</v>
      </c>
      <c r="AK9" s="139" t="str">
        <f t="shared" si="38"/>
        <v>-</v>
      </c>
      <c r="AL9" s="20">
        <v>0</v>
      </c>
      <c r="AM9" s="21">
        <v>0</v>
      </c>
      <c r="AN9" s="139" t="str">
        <f t="shared" si="39"/>
        <v>-</v>
      </c>
      <c r="AO9" s="20">
        <v>0</v>
      </c>
      <c r="AP9" s="21">
        <v>0</v>
      </c>
      <c r="AQ9" s="139" t="str">
        <f t="shared" si="40"/>
        <v>-</v>
      </c>
      <c r="AR9" s="125">
        <v>8</v>
      </c>
      <c r="AS9" s="126">
        <v>2</v>
      </c>
      <c r="AT9" s="276">
        <f t="shared" si="48"/>
        <v>4</v>
      </c>
      <c r="AU9" s="125">
        <v>0</v>
      </c>
      <c r="AV9" s="126">
        <v>0</v>
      </c>
      <c r="AW9" s="276" t="str">
        <f t="shared" si="49"/>
        <v>-</v>
      </c>
      <c r="AX9" s="125">
        <v>0</v>
      </c>
      <c r="AY9" s="126">
        <v>0</v>
      </c>
      <c r="AZ9" s="276" t="str">
        <f t="shared" si="50"/>
        <v>-</v>
      </c>
      <c r="BA9" s="20">
        <v>0</v>
      </c>
      <c r="BB9" s="21">
        <v>0</v>
      </c>
      <c r="BC9" s="139" t="str">
        <f t="shared" si="51"/>
        <v>-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276" t="str">
        <f t="shared" si="19"/>
        <v>-</v>
      </c>
      <c r="BJ9" s="252">
        <v>60</v>
      </c>
      <c r="BK9" s="253">
        <v>8</v>
      </c>
      <c r="BL9" s="276">
        <f t="shared" si="20"/>
        <v>7.5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257">
        <v>0</v>
      </c>
      <c r="BT9" s="253">
        <v>0</v>
      </c>
      <c r="BU9" s="276" t="str">
        <f t="shared" si="23"/>
        <v>-</v>
      </c>
      <c r="BV9" s="125">
        <v>8</v>
      </c>
      <c r="BW9" s="126">
        <v>1</v>
      </c>
      <c r="BX9" s="276">
        <f t="shared" si="24"/>
        <v>8</v>
      </c>
      <c r="BY9" s="125">
        <v>0</v>
      </c>
      <c r="BZ9" s="126">
        <v>0</v>
      </c>
      <c r="CA9" s="276" t="str">
        <f t="shared" si="25"/>
        <v>-</v>
      </c>
      <c r="CB9" s="125">
        <v>0</v>
      </c>
      <c r="CC9" s="126">
        <v>0</v>
      </c>
      <c r="CD9" s="276" t="str">
        <f t="shared" si="26"/>
        <v>-</v>
      </c>
      <c r="CE9" s="125">
        <v>0</v>
      </c>
      <c r="CF9" s="126">
        <v>0</v>
      </c>
      <c r="CG9" s="276" t="str">
        <f t="shared" si="55"/>
        <v>-</v>
      </c>
      <c r="CH9" s="125">
        <v>0</v>
      </c>
      <c r="CI9" s="126">
        <v>0</v>
      </c>
      <c r="CJ9" s="276" t="str">
        <f t="shared" si="28"/>
        <v>-</v>
      </c>
      <c r="CK9" s="125">
        <v>0</v>
      </c>
      <c r="CL9" s="126">
        <v>0</v>
      </c>
      <c r="CM9" s="276" t="str">
        <f t="shared" si="29"/>
        <v>-</v>
      </c>
      <c r="CN9" s="117">
        <f t="shared" si="32"/>
        <v>196</v>
      </c>
      <c r="CO9" s="120">
        <f t="shared" si="30"/>
        <v>33</v>
      </c>
      <c r="CP9" s="147">
        <f t="shared" si="31"/>
        <v>5.9393939393939394</v>
      </c>
    </row>
    <row r="10" spans="1:94" ht="15" thickBot="1" x14ac:dyDescent="0.35">
      <c r="A10" s="294">
        <v>45722</v>
      </c>
      <c r="B10" s="20">
        <v>24</v>
      </c>
      <c r="C10" s="21">
        <v>3</v>
      </c>
      <c r="D10" s="139">
        <f t="shared" si="0"/>
        <v>8</v>
      </c>
      <c r="E10" s="23">
        <v>0</v>
      </c>
      <c r="F10" s="21">
        <v>0</v>
      </c>
      <c r="G10" s="139" t="str">
        <f t="shared" si="1"/>
        <v>-</v>
      </c>
      <c r="H10" s="20"/>
      <c r="I10" s="21"/>
      <c r="J10" s="139" t="str">
        <f t="shared" si="2"/>
        <v>-</v>
      </c>
      <c r="K10" s="20">
        <v>14</v>
      </c>
      <c r="L10" s="21">
        <v>2</v>
      </c>
      <c r="M10" s="139">
        <v>0</v>
      </c>
      <c r="N10" s="125">
        <v>0</v>
      </c>
      <c r="O10" s="126">
        <v>0</v>
      </c>
      <c r="P10" s="139" t="str">
        <f t="shared" si="4"/>
        <v>-</v>
      </c>
      <c r="Q10" s="20">
        <v>75</v>
      </c>
      <c r="R10" s="21">
        <v>17</v>
      </c>
      <c r="S10" s="139">
        <f t="shared" si="33"/>
        <v>4.4117647058823533</v>
      </c>
      <c r="T10" s="20">
        <v>0</v>
      </c>
      <c r="U10" s="21">
        <v>0</v>
      </c>
      <c r="V10" s="139" t="str">
        <f t="shared" si="34"/>
        <v>-</v>
      </c>
      <c r="W10" s="20">
        <v>0</v>
      </c>
      <c r="X10" s="21">
        <v>0</v>
      </c>
      <c r="Y10" s="278" t="str">
        <f t="shared" si="35"/>
        <v>-</v>
      </c>
      <c r="Z10" s="125">
        <v>20</v>
      </c>
      <c r="AA10" s="126">
        <v>4</v>
      </c>
      <c r="AB10" s="276">
        <f t="shared" si="45"/>
        <v>5</v>
      </c>
      <c r="AC10" s="20">
        <v>0</v>
      </c>
      <c r="AD10" s="21">
        <v>0</v>
      </c>
      <c r="AE10" s="139" t="str">
        <f t="shared" ref="AE10" si="56">IF(AD10=0,"-",AC10/AD10)</f>
        <v>-</v>
      </c>
      <c r="AF10" s="20">
        <v>0</v>
      </c>
      <c r="AG10" s="21">
        <v>0</v>
      </c>
      <c r="AH10" s="139" t="str">
        <f t="shared" ref="AH10" si="57">IF(AG10=0,"-",AF10/AG10)</f>
        <v>-</v>
      </c>
      <c r="AI10" s="20">
        <v>0</v>
      </c>
      <c r="AJ10" s="21">
        <v>0</v>
      </c>
      <c r="AK10" s="139" t="str">
        <f t="shared" ref="AK10" si="58">IF(AJ10=0,"-",AI10/AJ10)</f>
        <v>-</v>
      </c>
      <c r="AL10" s="20">
        <v>0</v>
      </c>
      <c r="AM10" s="21">
        <v>0</v>
      </c>
      <c r="AN10" s="139" t="str">
        <f t="shared" ref="AN10" si="59">IF(AM10=0,"-",AL10/AM10)</f>
        <v>-</v>
      </c>
      <c r="AO10" s="20">
        <v>6</v>
      </c>
      <c r="AP10" s="21">
        <v>1</v>
      </c>
      <c r="AQ10" s="139">
        <f t="shared" si="40"/>
        <v>6</v>
      </c>
      <c r="AR10" s="20">
        <v>3</v>
      </c>
      <c r="AS10" s="21">
        <v>1</v>
      </c>
      <c r="AT10" s="139">
        <f t="shared" si="48"/>
        <v>3</v>
      </c>
      <c r="AU10" s="20">
        <v>0</v>
      </c>
      <c r="AV10" s="21">
        <v>0</v>
      </c>
      <c r="AW10" s="139" t="str">
        <f t="shared" si="49"/>
        <v>-</v>
      </c>
      <c r="AX10" s="20">
        <v>3</v>
      </c>
      <c r="AY10" s="21">
        <v>1</v>
      </c>
      <c r="AZ10" s="139">
        <f t="shared" si="50"/>
        <v>3</v>
      </c>
      <c r="BA10" s="20">
        <v>0</v>
      </c>
      <c r="BB10" s="21">
        <v>0</v>
      </c>
      <c r="BC10" s="139" t="str">
        <f t="shared" si="51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52">
        <v>72</v>
      </c>
      <c r="BK10" s="253">
        <v>9</v>
      </c>
      <c r="BL10" s="276">
        <f t="shared" si="20"/>
        <v>8</v>
      </c>
      <c r="BM10" s="252">
        <v>0</v>
      </c>
      <c r="BN10" s="253">
        <v>0</v>
      </c>
      <c r="BO10" s="276" t="str">
        <f t="shared" si="21"/>
        <v>-</v>
      </c>
      <c r="BP10" s="302">
        <v>0</v>
      </c>
      <c r="BQ10" s="303">
        <v>0</v>
      </c>
      <c r="BR10" s="276" t="str">
        <f t="shared" si="22"/>
        <v>-</v>
      </c>
      <c r="BS10" s="257">
        <v>7</v>
      </c>
      <c r="BT10" s="253">
        <v>1</v>
      </c>
      <c r="BU10" s="276">
        <f t="shared" si="23"/>
        <v>7</v>
      </c>
      <c r="BV10" s="125">
        <v>3</v>
      </c>
      <c r="BW10" s="126">
        <v>2</v>
      </c>
      <c r="BX10" s="276">
        <f t="shared" si="24"/>
        <v>1.5</v>
      </c>
      <c r="BY10" s="125">
        <v>0</v>
      </c>
      <c r="BZ10" s="126">
        <v>0</v>
      </c>
      <c r="CA10" s="276" t="str">
        <f t="shared" si="25"/>
        <v>-</v>
      </c>
      <c r="CB10" s="125">
        <v>6</v>
      </c>
      <c r="CC10" s="126">
        <v>1</v>
      </c>
      <c r="CD10" s="276">
        <f t="shared" si="26"/>
        <v>6</v>
      </c>
      <c r="CE10" s="125">
        <v>7</v>
      </c>
      <c r="CF10" s="126">
        <v>1</v>
      </c>
      <c r="CG10" s="276">
        <f t="shared" si="27"/>
        <v>7</v>
      </c>
      <c r="CH10" s="125">
        <v>0</v>
      </c>
      <c r="CI10" s="126">
        <v>0</v>
      </c>
      <c r="CJ10" s="276" t="str">
        <f t="shared" si="28"/>
        <v>-</v>
      </c>
      <c r="CK10" s="125">
        <v>0</v>
      </c>
      <c r="CL10" s="126">
        <v>0</v>
      </c>
      <c r="CM10" s="276" t="str">
        <f t="shared" si="29"/>
        <v>-</v>
      </c>
      <c r="CN10" s="117">
        <f t="shared" si="32"/>
        <v>240</v>
      </c>
      <c r="CO10" s="120">
        <f t="shared" si="30"/>
        <v>40</v>
      </c>
      <c r="CP10" s="147">
        <f t="shared" si="31"/>
        <v>6</v>
      </c>
    </row>
    <row r="11" spans="1:94" ht="15" thickBot="1" x14ac:dyDescent="0.35">
      <c r="A11" s="294">
        <v>45723</v>
      </c>
      <c r="B11" s="20">
        <v>54</v>
      </c>
      <c r="C11" s="21">
        <v>7</v>
      </c>
      <c r="D11" s="139">
        <f t="shared" si="0"/>
        <v>7.7142857142857144</v>
      </c>
      <c r="E11" s="23">
        <v>15</v>
      </c>
      <c r="F11" s="21">
        <v>2</v>
      </c>
      <c r="G11" s="139">
        <f t="shared" si="1"/>
        <v>7.5</v>
      </c>
      <c r="H11" s="20"/>
      <c r="I11" s="21"/>
      <c r="J11" s="139" t="str">
        <f t="shared" si="2"/>
        <v>-</v>
      </c>
      <c r="K11" s="20">
        <v>24</v>
      </c>
      <c r="L11" s="21">
        <v>3</v>
      </c>
      <c r="M11" s="139">
        <f t="shared" si="3"/>
        <v>8</v>
      </c>
      <c r="N11" s="125">
        <v>0</v>
      </c>
      <c r="O11" s="126">
        <v>0</v>
      </c>
      <c r="P11" s="139" t="str">
        <f t="shared" si="4"/>
        <v>-</v>
      </c>
      <c r="Q11" s="20">
        <v>39</v>
      </c>
      <c r="R11" s="21">
        <v>8</v>
      </c>
      <c r="S11" s="139">
        <f t="shared" si="33"/>
        <v>4.875</v>
      </c>
      <c r="T11" s="20">
        <v>0</v>
      </c>
      <c r="U11" s="21">
        <v>0</v>
      </c>
      <c r="V11" s="139" t="str">
        <f t="shared" si="34"/>
        <v>-</v>
      </c>
      <c r="W11" s="20">
        <v>0</v>
      </c>
      <c r="X11" s="21">
        <v>0</v>
      </c>
      <c r="Y11" s="278" t="str">
        <f t="shared" si="35"/>
        <v>-</v>
      </c>
      <c r="Z11" s="125">
        <v>66</v>
      </c>
      <c r="AA11" s="126">
        <v>15</v>
      </c>
      <c r="AB11" s="276">
        <f t="shared" si="45"/>
        <v>4.4000000000000004</v>
      </c>
      <c r="AC11" s="20">
        <v>0</v>
      </c>
      <c r="AD11" s="21">
        <v>0</v>
      </c>
      <c r="AE11" s="139" t="str">
        <f t="shared" si="36"/>
        <v>-</v>
      </c>
      <c r="AF11" s="20">
        <v>0</v>
      </c>
      <c r="AG11" s="21">
        <v>0</v>
      </c>
      <c r="AH11" s="139" t="str">
        <f t="shared" si="37"/>
        <v>-</v>
      </c>
      <c r="AI11" s="20">
        <v>0</v>
      </c>
      <c r="AJ11" s="21">
        <v>0</v>
      </c>
      <c r="AK11" s="139" t="str">
        <f t="shared" si="38"/>
        <v>-</v>
      </c>
      <c r="AL11" s="20">
        <v>0</v>
      </c>
      <c r="AM11" s="21">
        <v>0</v>
      </c>
      <c r="AN11" s="139" t="str">
        <f t="shared" si="39"/>
        <v>-</v>
      </c>
      <c r="AO11" s="20">
        <v>0</v>
      </c>
      <c r="AP11" s="21">
        <v>0</v>
      </c>
      <c r="AQ11" s="139" t="str">
        <f t="shared" si="40"/>
        <v>-</v>
      </c>
      <c r="AR11" s="20">
        <v>6</v>
      </c>
      <c r="AS11" s="21">
        <v>1</v>
      </c>
      <c r="AT11" s="139">
        <f t="shared" si="48"/>
        <v>6</v>
      </c>
      <c r="AU11" s="20">
        <v>0</v>
      </c>
      <c r="AV11" s="21">
        <v>0</v>
      </c>
      <c r="AW11" s="139" t="str">
        <f t="shared" si="49"/>
        <v>-</v>
      </c>
      <c r="AX11" s="20">
        <v>0</v>
      </c>
      <c r="AY11" s="21">
        <v>0</v>
      </c>
      <c r="AZ11" s="139" t="str">
        <f t="shared" si="50"/>
        <v>-</v>
      </c>
      <c r="BA11" s="20">
        <v>0</v>
      </c>
      <c r="BB11" s="21">
        <v>0</v>
      </c>
      <c r="BC11" s="139" t="str">
        <f t="shared" si="51"/>
        <v>-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52">
        <v>54</v>
      </c>
      <c r="BK11" s="253">
        <v>8</v>
      </c>
      <c r="BL11" s="276">
        <f t="shared" si="20"/>
        <v>6.75</v>
      </c>
      <c r="BM11" s="252">
        <v>0</v>
      </c>
      <c r="BN11" s="253">
        <v>0</v>
      </c>
      <c r="BO11" s="276" t="str">
        <f t="shared" si="21"/>
        <v>-</v>
      </c>
      <c r="BP11" s="302">
        <v>0</v>
      </c>
      <c r="BQ11" s="303">
        <v>0</v>
      </c>
      <c r="BR11" s="276" t="str">
        <f t="shared" si="22"/>
        <v>-</v>
      </c>
      <c r="BS11" s="257">
        <v>0</v>
      </c>
      <c r="BT11" s="253">
        <v>0</v>
      </c>
      <c r="BU11" s="276" t="str">
        <f t="shared" si="23"/>
        <v>-</v>
      </c>
      <c r="BV11" s="257">
        <v>0</v>
      </c>
      <c r="BW11" s="253">
        <v>0</v>
      </c>
      <c r="BX11" s="276" t="str">
        <f t="shared" si="24"/>
        <v>-</v>
      </c>
      <c r="BY11" s="257">
        <v>0</v>
      </c>
      <c r="BZ11" s="253">
        <v>0</v>
      </c>
      <c r="CA11" s="276" t="str">
        <f t="shared" si="25"/>
        <v>-</v>
      </c>
      <c r="CB11" s="257">
        <v>0</v>
      </c>
      <c r="CC11" s="253">
        <v>0</v>
      </c>
      <c r="CD11" s="276" t="str">
        <f t="shared" si="26"/>
        <v>-</v>
      </c>
      <c r="CE11" s="125">
        <v>0</v>
      </c>
      <c r="CF11" s="126">
        <v>0</v>
      </c>
      <c r="CG11" s="276" t="str">
        <f t="shared" si="27"/>
        <v>-</v>
      </c>
      <c r="CH11" s="125">
        <v>0</v>
      </c>
      <c r="CI11" s="126">
        <v>0</v>
      </c>
      <c r="CJ11" s="276" t="str">
        <f t="shared" si="28"/>
        <v>-</v>
      </c>
      <c r="CK11" s="125">
        <v>0</v>
      </c>
      <c r="CL11" s="126">
        <v>0</v>
      </c>
      <c r="CM11" s="276" t="str">
        <f t="shared" si="29"/>
        <v>-</v>
      </c>
      <c r="CN11" s="117">
        <f t="shared" si="32"/>
        <v>258</v>
      </c>
      <c r="CO11" s="120">
        <f t="shared" si="30"/>
        <v>44</v>
      </c>
      <c r="CP11" s="147">
        <f t="shared" si="31"/>
        <v>5.8636363636363633</v>
      </c>
    </row>
    <row r="12" spans="1:94" ht="16.2" customHeight="1" thickBot="1" x14ac:dyDescent="0.35">
      <c r="A12" s="294">
        <v>45724</v>
      </c>
      <c r="B12" s="20">
        <v>15</v>
      </c>
      <c r="C12" s="21">
        <v>2</v>
      </c>
      <c r="D12" s="139">
        <f t="shared" si="0"/>
        <v>7.5</v>
      </c>
      <c r="E12" s="23">
        <v>6</v>
      </c>
      <c r="F12" s="21">
        <v>1</v>
      </c>
      <c r="G12" s="139">
        <f t="shared" si="1"/>
        <v>6</v>
      </c>
      <c r="H12" s="20"/>
      <c r="I12" s="21"/>
      <c r="J12" s="139" t="str">
        <f t="shared" si="2"/>
        <v>-</v>
      </c>
      <c r="K12" s="20">
        <v>150</v>
      </c>
      <c r="L12" s="21">
        <v>2</v>
      </c>
      <c r="M12" s="139">
        <f t="shared" si="3"/>
        <v>75</v>
      </c>
      <c r="N12" s="125">
        <v>0</v>
      </c>
      <c r="O12" s="126">
        <v>0</v>
      </c>
      <c r="P12" s="139" t="str">
        <f t="shared" ref="P12:P13" si="60">IF(O12=0,"-",N12/O12)</f>
        <v>-</v>
      </c>
      <c r="Q12" s="23">
        <v>25</v>
      </c>
      <c r="R12" s="21">
        <v>4</v>
      </c>
      <c r="S12" s="139">
        <f t="shared" si="33"/>
        <v>6.25</v>
      </c>
      <c r="T12" s="20">
        <v>7</v>
      </c>
      <c r="U12" s="21">
        <v>2</v>
      </c>
      <c r="V12" s="139">
        <f t="shared" si="34"/>
        <v>3.5</v>
      </c>
      <c r="W12" s="20">
        <v>0</v>
      </c>
      <c r="X12" s="21">
        <v>0</v>
      </c>
      <c r="Y12" s="278" t="str">
        <f t="shared" si="35"/>
        <v>-</v>
      </c>
      <c r="Z12" s="20">
        <v>0</v>
      </c>
      <c r="AA12" s="21">
        <v>0</v>
      </c>
      <c r="AB12" s="278" t="str">
        <f t="shared" si="45"/>
        <v>-</v>
      </c>
      <c r="AC12" s="20">
        <v>0</v>
      </c>
      <c r="AD12" s="21">
        <v>0</v>
      </c>
      <c r="AE12" s="139" t="str">
        <f t="shared" ref="AE12:AE13" si="61">IF(AD12=0,"-",AC12/AD12)</f>
        <v>-</v>
      </c>
      <c r="AF12" s="20">
        <v>0</v>
      </c>
      <c r="AG12" s="21">
        <v>0</v>
      </c>
      <c r="AH12" s="139" t="str">
        <f t="shared" ref="AH12:AH13" si="62">IF(AG12=0,"-",AF12/AG12)</f>
        <v>-</v>
      </c>
      <c r="AI12" s="20">
        <v>0</v>
      </c>
      <c r="AJ12" s="21">
        <v>0</v>
      </c>
      <c r="AK12" s="139" t="str">
        <f t="shared" ref="AK12:AK13" si="63">IF(AJ12=0,"-",AI12/AJ12)</f>
        <v>-</v>
      </c>
      <c r="AL12" s="20">
        <v>0</v>
      </c>
      <c r="AM12" s="21">
        <v>0</v>
      </c>
      <c r="AN12" s="139" t="str">
        <f t="shared" ref="AN12:AN13" si="64">IF(AM12=0,"-",AL12/AM12)</f>
        <v>-</v>
      </c>
      <c r="AO12" s="20">
        <v>5</v>
      </c>
      <c r="AP12" s="21">
        <v>1</v>
      </c>
      <c r="AQ12" s="139">
        <f t="shared" si="40"/>
        <v>5</v>
      </c>
      <c r="AR12" s="20">
        <v>0</v>
      </c>
      <c r="AS12" s="21">
        <v>0</v>
      </c>
      <c r="AT12" s="139" t="str">
        <f t="shared" si="48"/>
        <v>-</v>
      </c>
      <c r="AU12" s="20">
        <v>0</v>
      </c>
      <c r="AV12" s="21">
        <v>0</v>
      </c>
      <c r="AW12" s="139" t="str">
        <f t="shared" si="49"/>
        <v>-</v>
      </c>
      <c r="AX12" s="20">
        <v>0</v>
      </c>
      <c r="AY12" s="21">
        <v>0</v>
      </c>
      <c r="AZ12" s="139" t="str">
        <f t="shared" si="50"/>
        <v>-</v>
      </c>
      <c r="BA12" s="20">
        <v>0</v>
      </c>
      <c r="BB12" s="21">
        <v>0</v>
      </c>
      <c r="BC12" s="139" t="str">
        <f t="shared" si="51"/>
        <v>-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52">
        <v>33</v>
      </c>
      <c r="BK12" s="253">
        <v>5</v>
      </c>
      <c r="BL12" s="276">
        <f t="shared" si="20"/>
        <v>6.6</v>
      </c>
      <c r="BM12" s="252">
        <v>0</v>
      </c>
      <c r="BN12" s="253">
        <v>0</v>
      </c>
      <c r="BO12" s="276" t="str">
        <f t="shared" si="21"/>
        <v>-</v>
      </c>
      <c r="BP12" s="302">
        <v>0</v>
      </c>
      <c r="BQ12" s="303">
        <v>0</v>
      </c>
      <c r="BR12" s="276" t="str">
        <f t="shared" si="22"/>
        <v>-</v>
      </c>
      <c r="BS12" s="257">
        <v>6</v>
      </c>
      <c r="BT12" s="253">
        <v>1</v>
      </c>
      <c r="BU12" s="276">
        <f t="shared" si="23"/>
        <v>6</v>
      </c>
      <c r="BV12" s="257">
        <v>0</v>
      </c>
      <c r="BW12" s="253">
        <v>0</v>
      </c>
      <c r="BX12" s="276" t="str">
        <f t="shared" ref="BX12" si="65">IF(BW12=0,"-",BV12/BW12)</f>
        <v>-</v>
      </c>
      <c r="BY12" s="257">
        <v>0</v>
      </c>
      <c r="BZ12" s="253">
        <v>0</v>
      </c>
      <c r="CA12" s="276" t="str">
        <f t="shared" ref="CA12" si="66">IF(BZ12=0,"-",BY12/BZ12)</f>
        <v>-</v>
      </c>
      <c r="CB12" s="257">
        <v>0</v>
      </c>
      <c r="CC12" s="253">
        <v>0</v>
      </c>
      <c r="CD12" s="276" t="str">
        <f t="shared" ref="CD12" si="67">IF(CC12=0,"-",CB12/CC12)</f>
        <v>-</v>
      </c>
      <c r="CE12" s="125">
        <v>0</v>
      </c>
      <c r="CF12" s="126">
        <v>0</v>
      </c>
      <c r="CG12" s="276" t="str">
        <f t="shared" ref="CG12:CG22" si="68">IF(CF12=0,"-",CE12/CF12)</f>
        <v>-</v>
      </c>
      <c r="CH12" s="125">
        <v>0</v>
      </c>
      <c r="CI12" s="126">
        <v>0</v>
      </c>
      <c r="CJ12" s="276" t="str">
        <f t="shared" si="28"/>
        <v>-</v>
      </c>
      <c r="CK12" s="125">
        <v>0</v>
      </c>
      <c r="CL12" s="126">
        <v>0</v>
      </c>
      <c r="CM12" s="276" t="str">
        <f t="shared" si="29"/>
        <v>-</v>
      </c>
      <c r="CN12" s="117">
        <f t="shared" si="32"/>
        <v>247</v>
      </c>
      <c r="CO12" s="120">
        <f t="shared" si="30"/>
        <v>17</v>
      </c>
      <c r="CP12" s="147">
        <f t="shared" si="31"/>
        <v>14.529411764705882</v>
      </c>
    </row>
    <row r="13" spans="1:94" ht="15" thickBot="1" x14ac:dyDescent="0.35">
      <c r="A13" s="294">
        <v>45725</v>
      </c>
      <c r="B13" s="20">
        <v>0</v>
      </c>
      <c r="C13" s="21">
        <v>0</v>
      </c>
      <c r="D13" s="139" t="str">
        <f t="shared" si="0"/>
        <v>-</v>
      </c>
      <c r="E13" s="23">
        <v>0</v>
      </c>
      <c r="F13" s="21">
        <v>0</v>
      </c>
      <c r="G13" s="139">
        <v>0</v>
      </c>
      <c r="H13" s="20"/>
      <c r="I13" s="21"/>
      <c r="J13" s="139" t="str">
        <f t="shared" si="2"/>
        <v>-</v>
      </c>
      <c r="K13" s="20">
        <v>0</v>
      </c>
      <c r="L13" s="21">
        <v>0</v>
      </c>
      <c r="M13" s="139" t="str">
        <f t="shared" si="3"/>
        <v>-</v>
      </c>
      <c r="N13" s="125">
        <v>0</v>
      </c>
      <c r="O13" s="126">
        <v>0</v>
      </c>
      <c r="P13" s="139" t="str">
        <f t="shared" si="60"/>
        <v>-</v>
      </c>
      <c r="Q13" s="125">
        <v>0</v>
      </c>
      <c r="R13" s="126">
        <v>0</v>
      </c>
      <c r="S13" s="139" t="str">
        <f t="shared" si="33"/>
        <v>-</v>
      </c>
      <c r="T13" s="125">
        <v>0</v>
      </c>
      <c r="U13" s="126">
        <v>0</v>
      </c>
      <c r="V13" s="139" t="str">
        <f t="shared" si="34"/>
        <v>-</v>
      </c>
      <c r="W13" s="125">
        <v>0</v>
      </c>
      <c r="X13" s="126">
        <v>0</v>
      </c>
      <c r="Y13" s="139" t="str">
        <f t="shared" si="35"/>
        <v>-</v>
      </c>
      <c r="Z13" s="125">
        <v>0</v>
      </c>
      <c r="AA13" s="126">
        <v>0</v>
      </c>
      <c r="AB13" s="139" t="str">
        <f t="shared" si="45"/>
        <v>-</v>
      </c>
      <c r="AC13" s="125">
        <v>0</v>
      </c>
      <c r="AD13" s="126">
        <v>0</v>
      </c>
      <c r="AE13" s="139" t="str">
        <f t="shared" si="61"/>
        <v>-</v>
      </c>
      <c r="AF13" s="125">
        <v>0</v>
      </c>
      <c r="AG13" s="126">
        <v>0</v>
      </c>
      <c r="AH13" s="139" t="str">
        <f t="shared" si="62"/>
        <v>-</v>
      </c>
      <c r="AI13" s="125">
        <v>0</v>
      </c>
      <c r="AJ13" s="126">
        <v>0</v>
      </c>
      <c r="AK13" s="139" t="str">
        <f t="shared" si="63"/>
        <v>-</v>
      </c>
      <c r="AL13" s="125">
        <v>0</v>
      </c>
      <c r="AM13" s="126">
        <v>0</v>
      </c>
      <c r="AN13" s="139" t="str">
        <f t="shared" si="64"/>
        <v>-</v>
      </c>
      <c r="AO13" s="125">
        <v>0</v>
      </c>
      <c r="AP13" s="126">
        <v>0</v>
      </c>
      <c r="AQ13" s="139" t="str">
        <f t="shared" si="40"/>
        <v>-</v>
      </c>
      <c r="AR13" s="20">
        <v>0</v>
      </c>
      <c r="AS13" s="21">
        <v>0</v>
      </c>
      <c r="AT13" s="139" t="str">
        <f t="shared" ref="AT13" si="69">IF(AS13=0,"-",AR13/AS13)</f>
        <v>-</v>
      </c>
      <c r="AU13" s="20">
        <v>0</v>
      </c>
      <c r="AV13" s="21">
        <v>0</v>
      </c>
      <c r="AW13" s="139" t="str">
        <f t="shared" si="49"/>
        <v>-</v>
      </c>
      <c r="AX13" s="20">
        <v>0</v>
      </c>
      <c r="AY13" s="21">
        <v>0</v>
      </c>
      <c r="AZ13" s="139" t="str">
        <f t="shared" si="50"/>
        <v>-</v>
      </c>
      <c r="BA13" s="20">
        <v>0</v>
      </c>
      <c r="BB13" s="21">
        <v>0</v>
      </c>
      <c r="BC13" s="139" t="str">
        <f t="shared" si="51"/>
        <v>-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52">
        <v>34</v>
      </c>
      <c r="BK13" s="253">
        <v>5</v>
      </c>
      <c r="BL13" s="276">
        <f t="shared" si="20"/>
        <v>6.8</v>
      </c>
      <c r="BM13" s="252">
        <v>0</v>
      </c>
      <c r="BN13" s="253">
        <v>0</v>
      </c>
      <c r="BO13" s="276" t="str">
        <f t="shared" si="21"/>
        <v>-</v>
      </c>
      <c r="BP13" s="302">
        <v>0</v>
      </c>
      <c r="BQ13" s="303">
        <v>0</v>
      </c>
      <c r="BR13" s="276" t="str">
        <f t="shared" si="22"/>
        <v>-</v>
      </c>
      <c r="BS13" s="257">
        <v>0</v>
      </c>
      <c r="BT13" s="253">
        <v>0</v>
      </c>
      <c r="BU13" s="276" t="str">
        <f t="shared" si="23"/>
        <v>-</v>
      </c>
      <c r="BV13" s="20">
        <v>4</v>
      </c>
      <c r="BW13" s="21">
        <v>1</v>
      </c>
      <c r="BX13" s="139">
        <f t="shared" si="24"/>
        <v>4</v>
      </c>
      <c r="BY13" s="125">
        <v>0</v>
      </c>
      <c r="BZ13" s="126">
        <v>0</v>
      </c>
      <c r="CA13" s="276" t="str">
        <f t="shared" si="25"/>
        <v>-</v>
      </c>
      <c r="CB13" s="20">
        <v>0</v>
      </c>
      <c r="CC13" s="21">
        <v>0</v>
      </c>
      <c r="CD13" s="139" t="str">
        <f t="shared" si="26"/>
        <v>-</v>
      </c>
      <c r="CE13" s="125">
        <v>0</v>
      </c>
      <c r="CF13" s="126">
        <v>0</v>
      </c>
      <c r="CG13" s="276" t="str">
        <f t="shared" si="68"/>
        <v>-</v>
      </c>
      <c r="CH13" s="125">
        <v>0</v>
      </c>
      <c r="CI13" s="126">
        <v>0</v>
      </c>
      <c r="CJ13" s="276" t="str">
        <f t="shared" si="28"/>
        <v>-</v>
      </c>
      <c r="CK13" s="125">
        <v>0</v>
      </c>
      <c r="CL13" s="126">
        <v>0</v>
      </c>
      <c r="CM13" s="276" t="str">
        <f t="shared" si="29"/>
        <v>-</v>
      </c>
      <c r="CN13" s="117">
        <f t="shared" si="32"/>
        <v>38</v>
      </c>
      <c r="CO13" s="120">
        <f t="shared" si="30"/>
        <v>5</v>
      </c>
      <c r="CP13" s="147">
        <f t="shared" si="31"/>
        <v>7.6</v>
      </c>
    </row>
    <row r="14" spans="1:94" ht="15" thickBot="1" x14ac:dyDescent="0.35">
      <c r="A14" s="294">
        <v>45726</v>
      </c>
      <c r="B14" s="20">
        <v>48</v>
      </c>
      <c r="C14" s="21">
        <v>6</v>
      </c>
      <c r="D14" s="139">
        <f t="shared" si="0"/>
        <v>8</v>
      </c>
      <c r="E14" s="23">
        <v>8</v>
      </c>
      <c r="F14" s="21">
        <v>1</v>
      </c>
      <c r="G14" s="139">
        <f t="shared" si="1"/>
        <v>8</v>
      </c>
      <c r="H14" s="20"/>
      <c r="I14" s="21"/>
      <c r="J14" s="139" t="str">
        <f t="shared" si="2"/>
        <v>-</v>
      </c>
      <c r="K14" s="20">
        <v>16</v>
      </c>
      <c r="L14" s="21">
        <v>2</v>
      </c>
      <c r="M14" s="139">
        <f t="shared" si="3"/>
        <v>8</v>
      </c>
      <c r="N14" s="125">
        <v>0</v>
      </c>
      <c r="O14" s="126">
        <v>0</v>
      </c>
      <c r="P14" s="139" t="str">
        <f t="shared" si="4"/>
        <v>-</v>
      </c>
      <c r="Q14" s="20">
        <v>70</v>
      </c>
      <c r="R14" s="21">
        <v>12</v>
      </c>
      <c r="S14" s="139">
        <f t="shared" si="33"/>
        <v>5.833333333333333</v>
      </c>
      <c r="T14" s="20">
        <v>0</v>
      </c>
      <c r="U14" s="21">
        <v>0</v>
      </c>
      <c r="V14" s="139" t="str">
        <f t="shared" si="34"/>
        <v>-</v>
      </c>
      <c r="W14" s="20">
        <v>0</v>
      </c>
      <c r="X14" s="21">
        <v>0</v>
      </c>
      <c r="Y14" s="139" t="str">
        <f t="shared" si="35"/>
        <v>-</v>
      </c>
      <c r="Z14" s="20">
        <v>36</v>
      </c>
      <c r="AA14" s="21">
        <v>8</v>
      </c>
      <c r="AB14" s="139">
        <f t="shared" si="45"/>
        <v>4.5</v>
      </c>
      <c r="AC14" s="20">
        <v>0</v>
      </c>
      <c r="AD14" s="21">
        <v>0</v>
      </c>
      <c r="AE14" s="139" t="str">
        <f t="shared" si="36"/>
        <v>-</v>
      </c>
      <c r="AF14" s="20">
        <v>10</v>
      </c>
      <c r="AG14" s="21">
        <v>2</v>
      </c>
      <c r="AH14" s="139">
        <f t="shared" si="37"/>
        <v>5</v>
      </c>
      <c r="AI14" s="125">
        <v>0</v>
      </c>
      <c r="AJ14" s="126">
        <v>0</v>
      </c>
      <c r="AK14" s="139" t="str">
        <f t="shared" ref="AK14:AK15" si="70">IF(AJ14=0,"-",AI14/AJ14)</f>
        <v>-</v>
      </c>
      <c r="AL14" s="125">
        <v>0</v>
      </c>
      <c r="AM14" s="126">
        <v>0</v>
      </c>
      <c r="AN14" s="139" t="str">
        <f t="shared" ref="AN14:AN15" si="71">IF(AM14=0,"-",AL14/AM14)</f>
        <v>-</v>
      </c>
      <c r="AO14" s="125">
        <v>0</v>
      </c>
      <c r="AP14" s="126">
        <v>0</v>
      </c>
      <c r="AQ14" s="139" t="str">
        <f t="shared" ref="AQ14:AQ15" si="72">IF(AP14=0,"-",AO14/AP14)</f>
        <v>-</v>
      </c>
      <c r="AR14" s="20">
        <v>3</v>
      </c>
      <c r="AS14" s="21">
        <v>1</v>
      </c>
      <c r="AT14" s="139">
        <f t="shared" si="48"/>
        <v>3</v>
      </c>
      <c r="AU14" s="20">
        <v>0</v>
      </c>
      <c r="AV14" s="21">
        <v>0</v>
      </c>
      <c r="AW14" s="139" t="str">
        <f t="shared" si="49"/>
        <v>-</v>
      </c>
      <c r="AX14" s="20">
        <v>1</v>
      </c>
      <c r="AY14" s="21">
        <v>1</v>
      </c>
      <c r="AZ14" s="139">
        <f t="shared" si="50"/>
        <v>1</v>
      </c>
      <c r="BA14" s="20">
        <v>0</v>
      </c>
      <c r="BB14" s="21">
        <v>0</v>
      </c>
      <c r="BC14" s="139" t="str">
        <f t="shared" si="51"/>
        <v>-</v>
      </c>
      <c r="BD14" s="20">
        <v>0</v>
      </c>
      <c r="BE14" s="21">
        <v>0</v>
      </c>
      <c r="BF14" s="139" t="str">
        <f t="shared" si="18"/>
        <v>-</v>
      </c>
      <c r="BG14" s="20">
        <v>0</v>
      </c>
      <c r="BH14" s="21">
        <v>0</v>
      </c>
      <c r="BI14" s="139" t="str">
        <f t="shared" si="19"/>
        <v>-</v>
      </c>
      <c r="BJ14" s="252">
        <v>55</v>
      </c>
      <c r="BK14" s="253">
        <v>7</v>
      </c>
      <c r="BL14" s="276">
        <f t="shared" si="20"/>
        <v>7.8571428571428568</v>
      </c>
      <c r="BM14" s="252">
        <v>0</v>
      </c>
      <c r="BN14" s="253">
        <v>0</v>
      </c>
      <c r="BO14" s="276" t="str">
        <f t="shared" si="21"/>
        <v>-</v>
      </c>
      <c r="BP14" s="302">
        <v>0</v>
      </c>
      <c r="BQ14" s="303">
        <v>0</v>
      </c>
      <c r="BR14" s="276" t="str">
        <f t="shared" si="22"/>
        <v>-</v>
      </c>
      <c r="BS14" s="257">
        <v>0</v>
      </c>
      <c r="BT14" s="253">
        <v>0</v>
      </c>
      <c r="BU14" s="276" t="str">
        <f t="shared" si="23"/>
        <v>-</v>
      </c>
      <c r="BV14" s="125">
        <v>0</v>
      </c>
      <c r="BW14" s="126">
        <v>0</v>
      </c>
      <c r="BX14" s="276" t="str">
        <f t="shared" si="24"/>
        <v>-</v>
      </c>
      <c r="BY14" s="125">
        <v>0</v>
      </c>
      <c r="BZ14" s="126">
        <v>0</v>
      </c>
      <c r="CA14" s="276" t="str">
        <f t="shared" si="25"/>
        <v>-</v>
      </c>
      <c r="CB14" s="125">
        <v>0</v>
      </c>
      <c r="CC14" s="126">
        <v>0</v>
      </c>
      <c r="CD14" s="276" t="str">
        <f t="shared" si="26"/>
        <v>-</v>
      </c>
      <c r="CE14" s="125">
        <v>0</v>
      </c>
      <c r="CF14" s="126">
        <v>0</v>
      </c>
      <c r="CG14" s="276" t="str">
        <f t="shared" si="68"/>
        <v>-</v>
      </c>
      <c r="CH14" s="125">
        <v>0</v>
      </c>
      <c r="CI14" s="126">
        <v>0</v>
      </c>
      <c r="CJ14" s="276" t="str">
        <f t="shared" si="28"/>
        <v>-</v>
      </c>
      <c r="CK14" s="125">
        <v>0</v>
      </c>
      <c r="CL14" s="126">
        <v>0</v>
      </c>
      <c r="CM14" s="276" t="str">
        <f t="shared" si="29"/>
        <v>-</v>
      </c>
      <c r="CN14" s="117">
        <f t="shared" si="32"/>
        <v>247</v>
      </c>
      <c r="CO14" s="120">
        <f t="shared" si="30"/>
        <v>40</v>
      </c>
      <c r="CP14" s="147">
        <f t="shared" si="31"/>
        <v>6.1749999999999998</v>
      </c>
    </row>
    <row r="15" spans="1:94" ht="15" thickBot="1" x14ac:dyDescent="0.35">
      <c r="A15" s="294">
        <v>45727</v>
      </c>
      <c r="B15" s="20">
        <v>43</v>
      </c>
      <c r="C15" s="21">
        <v>5</v>
      </c>
      <c r="D15" s="139">
        <f t="shared" si="0"/>
        <v>8.6</v>
      </c>
      <c r="E15" s="23">
        <v>8</v>
      </c>
      <c r="F15" s="21">
        <v>1</v>
      </c>
      <c r="G15" s="139">
        <f t="shared" si="1"/>
        <v>8</v>
      </c>
      <c r="H15" s="20"/>
      <c r="I15" s="21"/>
      <c r="J15" s="139" t="str">
        <f t="shared" si="2"/>
        <v>-</v>
      </c>
      <c r="K15" s="20">
        <v>16</v>
      </c>
      <c r="L15" s="21">
        <v>2</v>
      </c>
      <c r="M15" s="139">
        <f t="shared" si="3"/>
        <v>8</v>
      </c>
      <c r="N15" s="125">
        <v>0</v>
      </c>
      <c r="O15" s="126">
        <v>0</v>
      </c>
      <c r="P15" s="139" t="str">
        <f t="shared" si="4"/>
        <v>-</v>
      </c>
      <c r="Q15" s="20">
        <v>75</v>
      </c>
      <c r="R15" s="21">
        <v>16</v>
      </c>
      <c r="S15" s="139">
        <f t="shared" si="33"/>
        <v>4.6875</v>
      </c>
      <c r="T15" s="20">
        <v>0</v>
      </c>
      <c r="U15" s="21">
        <v>0</v>
      </c>
      <c r="V15" s="139" t="str">
        <f t="shared" si="34"/>
        <v>-</v>
      </c>
      <c r="W15" s="20">
        <v>0</v>
      </c>
      <c r="X15" s="21">
        <v>0</v>
      </c>
      <c r="Y15" s="139" t="str">
        <f t="shared" si="35"/>
        <v>-</v>
      </c>
      <c r="Z15" s="20">
        <v>35</v>
      </c>
      <c r="AA15" s="21">
        <v>7</v>
      </c>
      <c r="AB15" s="139">
        <f t="shared" si="45"/>
        <v>5</v>
      </c>
      <c r="AC15" s="20">
        <v>71</v>
      </c>
      <c r="AD15" s="21">
        <v>14</v>
      </c>
      <c r="AE15" s="139">
        <f t="shared" si="36"/>
        <v>5.0714285714285712</v>
      </c>
      <c r="AF15" s="20">
        <v>0</v>
      </c>
      <c r="AG15" s="21">
        <v>0</v>
      </c>
      <c r="AH15" s="139" t="str">
        <f t="shared" si="37"/>
        <v>-</v>
      </c>
      <c r="AI15" s="125">
        <v>0</v>
      </c>
      <c r="AJ15" s="126">
        <v>0</v>
      </c>
      <c r="AK15" s="139" t="str">
        <f t="shared" si="70"/>
        <v>-</v>
      </c>
      <c r="AL15" s="125">
        <v>0</v>
      </c>
      <c r="AM15" s="126">
        <v>0</v>
      </c>
      <c r="AN15" s="139" t="str">
        <f t="shared" si="71"/>
        <v>-</v>
      </c>
      <c r="AO15" s="125">
        <v>0</v>
      </c>
      <c r="AP15" s="126">
        <v>0</v>
      </c>
      <c r="AQ15" s="139" t="str">
        <f t="shared" si="72"/>
        <v>-</v>
      </c>
      <c r="AR15" s="20">
        <v>0</v>
      </c>
      <c r="AS15" s="21">
        <v>0</v>
      </c>
      <c r="AT15" s="139" t="str">
        <f t="shared" si="48"/>
        <v>-</v>
      </c>
      <c r="AU15" s="20">
        <v>0</v>
      </c>
      <c r="AV15" s="21">
        <v>0</v>
      </c>
      <c r="AW15" s="139" t="str">
        <f t="shared" si="49"/>
        <v>-</v>
      </c>
      <c r="AX15" s="20">
        <v>0</v>
      </c>
      <c r="AY15" s="21">
        <v>0</v>
      </c>
      <c r="AZ15" s="139" t="str">
        <f t="shared" si="50"/>
        <v>-</v>
      </c>
      <c r="BA15" s="20">
        <v>0</v>
      </c>
      <c r="BB15" s="21">
        <v>0</v>
      </c>
      <c r="BC15" s="139" t="str">
        <f t="shared" si="51"/>
        <v>-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52">
        <v>21</v>
      </c>
      <c r="BK15" s="253">
        <v>3</v>
      </c>
      <c r="BL15" s="276">
        <f t="shared" si="20"/>
        <v>7</v>
      </c>
      <c r="BM15" s="252">
        <v>0</v>
      </c>
      <c r="BN15" s="253">
        <v>0</v>
      </c>
      <c r="BO15" s="276" t="str">
        <f t="shared" si="21"/>
        <v>-</v>
      </c>
      <c r="BP15" s="302">
        <v>0</v>
      </c>
      <c r="BQ15" s="303">
        <v>0</v>
      </c>
      <c r="BR15" s="276" t="str">
        <f t="shared" si="22"/>
        <v>-</v>
      </c>
      <c r="BS15" s="257">
        <v>0</v>
      </c>
      <c r="BT15" s="253">
        <v>0</v>
      </c>
      <c r="BU15" s="276" t="str">
        <f t="shared" si="23"/>
        <v>-</v>
      </c>
      <c r="BV15" s="20">
        <v>0</v>
      </c>
      <c r="BW15" s="21">
        <v>0</v>
      </c>
      <c r="BX15" s="139">
        <v>0</v>
      </c>
      <c r="BY15" s="125">
        <v>0</v>
      </c>
      <c r="BZ15" s="126">
        <v>0</v>
      </c>
      <c r="CA15" s="276" t="str">
        <f t="shared" si="25"/>
        <v>-</v>
      </c>
      <c r="CB15" s="125">
        <v>0</v>
      </c>
      <c r="CC15" s="126">
        <v>0</v>
      </c>
      <c r="CD15" s="276" t="str">
        <f t="shared" si="26"/>
        <v>-</v>
      </c>
      <c r="CE15" s="125">
        <v>0</v>
      </c>
      <c r="CF15" s="126">
        <v>0</v>
      </c>
      <c r="CG15" s="276" t="str">
        <f t="shared" si="68"/>
        <v>-</v>
      </c>
      <c r="CH15" s="125">
        <v>0</v>
      </c>
      <c r="CI15" s="126">
        <v>0</v>
      </c>
      <c r="CJ15" s="276" t="str">
        <f t="shared" si="28"/>
        <v>-</v>
      </c>
      <c r="CK15" s="125">
        <v>0</v>
      </c>
      <c r="CL15" s="126">
        <v>0</v>
      </c>
      <c r="CM15" s="276" t="str">
        <f t="shared" si="29"/>
        <v>-</v>
      </c>
      <c r="CN15" s="117">
        <f t="shared" si="32"/>
        <v>269</v>
      </c>
      <c r="CO15" s="120">
        <f t="shared" si="30"/>
        <v>48</v>
      </c>
      <c r="CP15" s="147">
        <f t="shared" si="31"/>
        <v>5.604166666666667</v>
      </c>
    </row>
    <row r="16" spans="1:94" ht="15" thickBot="1" x14ac:dyDescent="0.35">
      <c r="A16" s="294">
        <v>45728</v>
      </c>
      <c r="B16" s="20">
        <v>41</v>
      </c>
      <c r="C16" s="21">
        <v>7</v>
      </c>
      <c r="D16" s="139">
        <f t="shared" si="0"/>
        <v>5.8571428571428568</v>
      </c>
      <c r="E16" s="20">
        <v>8</v>
      </c>
      <c r="F16" s="21">
        <v>1</v>
      </c>
      <c r="G16" s="139">
        <f t="shared" si="1"/>
        <v>8</v>
      </c>
      <c r="H16" s="20"/>
      <c r="I16" s="21"/>
      <c r="J16" s="139" t="str">
        <f t="shared" si="2"/>
        <v>-</v>
      </c>
      <c r="K16" s="20">
        <v>16</v>
      </c>
      <c r="L16" s="21">
        <v>2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125">
        <v>136</v>
      </c>
      <c r="R16" s="126">
        <v>31</v>
      </c>
      <c r="S16" s="139">
        <f t="shared" si="33"/>
        <v>4.387096774193548</v>
      </c>
      <c r="T16" s="20">
        <v>54</v>
      </c>
      <c r="U16" s="21">
        <v>10</v>
      </c>
      <c r="V16" s="139">
        <f t="shared" si="34"/>
        <v>5.4</v>
      </c>
      <c r="W16" s="20">
        <v>0</v>
      </c>
      <c r="X16" s="21">
        <v>0</v>
      </c>
      <c r="Y16" s="139" t="str">
        <f t="shared" si="35"/>
        <v>-</v>
      </c>
      <c r="Z16" s="20">
        <v>0</v>
      </c>
      <c r="AA16" s="21">
        <v>0</v>
      </c>
      <c r="AB16" s="139" t="str">
        <f t="shared" si="45"/>
        <v>-</v>
      </c>
      <c r="AC16" s="20">
        <v>97</v>
      </c>
      <c r="AD16" s="21">
        <v>18</v>
      </c>
      <c r="AE16" s="139">
        <f t="shared" si="36"/>
        <v>5.3888888888888893</v>
      </c>
      <c r="AF16" s="20">
        <v>0</v>
      </c>
      <c r="AG16" s="21">
        <v>0</v>
      </c>
      <c r="AH16" s="139" t="str">
        <f t="shared" si="37"/>
        <v>-</v>
      </c>
      <c r="AI16" s="125">
        <v>0</v>
      </c>
      <c r="AJ16" s="126">
        <v>0</v>
      </c>
      <c r="AK16" s="139" t="str">
        <f t="shared" ref="AK16" si="73">IF(AJ16=0,"-",AI16/AJ16)</f>
        <v>-</v>
      </c>
      <c r="AL16" s="125">
        <v>0</v>
      </c>
      <c r="AM16" s="126">
        <v>0</v>
      </c>
      <c r="AN16" s="139" t="str">
        <f t="shared" ref="AN16" si="74">IF(AM16=0,"-",AL16/AM16)</f>
        <v>-</v>
      </c>
      <c r="AO16" s="125">
        <v>0</v>
      </c>
      <c r="AP16" s="126">
        <v>0</v>
      </c>
      <c r="AQ16" s="139" t="str">
        <f t="shared" ref="AQ16" si="75">IF(AP16=0,"-",AO16/AP16)</f>
        <v>-</v>
      </c>
      <c r="AR16" s="20">
        <v>11</v>
      </c>
      <c r="AS16" s="21">
        <v>2</v>
      </c>
      <c r="AT16" s="139">
        <f t="shared" si="48"/>
        <v>5.5</v>
      </c>
      <c r="AU16" s="20">
        <v>0</v>
      </c>
      <c r="AV16" s="21">
        <v>0</v>
      </c>
      <c r="AW16" s="139" t="str">
        <f t="shared" si="49"/>
        <v>-</v>
      </c>
      <c r="AX16" s="20">
        <v>0</v>
      </c>
      <c r="AY16" s="21">
        <v>0</v>
      </c>
      <c r="AZ16" s="139" t="str">
        <f t="shared" si="50"/>
        <v>-</v>
      </c>
      <c r="BA16" s="20">
        <v>0</v>
      </c>
      <c r="BB16" s="21">
        <v>0</v>
      </c>
      <c r="BC16" s="139" t="str">
        <f t="shared" si="51"/>
        <v>-</v>
      </c>
      <c r="BD16" s="20">
        <v>0</v>
      </c>
      <c r="BE16" s="21">
        <v>0</v>
      </c>
      <c r="BF16" s="139" t="str">
        <f t="shared" si="18"/>
        <v>-</v>
      </c>
      <c r="BG16" s="20">
        <v>0</v>
      </c>
      <c r="BH16" s="21">
        <v>0</v>
      </c>
      <c r="BI16" s="139" t="str">
        <f t="shared" si="19"/>
        <v>-</v>
      </c>
      <c r="BJ16" s="252">
        <v>8</v>
      </c>
      <c r="BK16" s="253">
        <v>1</v>
      </c>
      <c r="BL16" s="276">
        <f t="shared" si="20"/>
        <v>8</v>
      </c>
      <c r="BM16" s="252">
        <v>0</v>
      </c>
      <c r="BN16" s="253">
        <v>0</v>
      </c>
      <c r="BO16" s="276" t="str">
        <f t="shared" si="21"/>
        <v>-</v>
      </c>
      <c r="BP16" s="302">
        <v>0</v>
      </c>
      <c r="BQ16" s="303">
        <v>0</v>
      </c>
      <c r="BR16" s="276" t="str">
        <f t="shared" si="22"/>
        <v>-</v>
      </c>
      <c r="BS16" s="257">
        <v>14</v>
      </c>
      <c r="BT16" s="253">
        <v>2</v>
      </c>
      <c r="BU16" s="276">
        <f t="shared" si="23"/>
        <v>7</v>
      </c>
      <c r="BV16" s="125">
        <v>9</v>
      </c>
      <c r="BW16" s="126">
        <v>2</v>
      </c>
      <c r="BX16" s="276">
        <f t="shared" ref="BX16" si="76">IF(BW16=0,"-",BV16/BW16)</f>
        <v>4.5</v>
      </c>
      <c r="BY16" s="125">
        <v>0</v>
      </c>
      <c r="BZ16" s="126">
        <v>0</v>
      </c>
      <c r="CA16" s="276" t="str">
        <f t="shared" si="25"/>
        <v>-</v>
      </c>
      <c r="CB16" s="125">
        <v>10</v>
      </c>
      <c r="CC16" s="126">
        <v>2</v>
      </c>
      <c r="CD16" s="276">
        <f t="shared" si="26"/>
        <v>5</v>
      </c>
      <c r="CE16" s="125">
        <v>0</v>
      </c>
      <c r="CF16" s="126">
        <v>0</v>
      </c>
      <c r="CG16" s="276" t="str">
        <f t="shared" si="68"/>
        <v>-</v>
      </c>
      <c r="CH16" s="125">
        <v>0</v>
      </c>
      <c r="CI16" s="126">
        <v>0</v>
      </c>
      <c r="CJ16" s="276" t="str">
        <f t="shared" si="28"/>
        <v>-</v>
      </c>
      <c r="CK16" s="125">
        <v>0</v>
      </c>
      <c r="CL16" s="126">
        <v>0</v>
      </c>
      <c r="CM16" s="276" t="str">
        <f t="shared" si="29"/>
        <v>-</v>
      </c>
      <c r="CN16" s="117">
        <f t="shared" si="32"/>
        <v>404</v>
      </c>
      <c r="CO16" s="120">
        <f t="shared" si="30"/>
        <v>76</v>
      </c>
      <c r="CP16" s="147">
        <f t="shared" si="31"/>
        <v>5.3157894736842106</v>
      </c>
    </row>
    <row r="17" spans="1:94" ht="15" thickBot="1" x14ac:dyDescent="0.35">
      <c r="A17" s="294">
        <v>45729</v>
      </c>
      <c r="B17" s="20">
        <v>22</v>
      </c>
      <c r="C17" s="21">
        <v>3</v>
      </c>
      <c r="D17" s="139">
        <f t="shared" si="0"/>
        <v>7.333333333333333</v>
      </c>
      <c r="E17" s="20">
        <v>8</v>
      </c>
      <c r="F17" s="21">
        <v>1</v>
      </c>
      <c r="G17" s="139">
        <f t="shared" si="1"/>
        <v>8</v>
      </c>
      <c r="H17" s="20"/>
      <c r="I17" s="21"/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48</v>
      </c>
      <c r="R17" s="126">
        <v>10</v>
      </c>
      <c r="S17" s="139">
        <f t="shared" si="33"/>
        <v>4.8</v>
      </c>
      <c r="T17" s="125">
        <v>58</v>
      </c>
      <c r="U17" s="126">
        <v>12</v>
      </c>
      <c r="V17" s="139">
        <f t="shared" si="34"/>
        <v>4.833333333333333</v>
      </c>
      <c r="W17" s="125">
        <v>0</v>
      </c>
      <c r="X17" s="126">
        <v>0</v>
      </c>
      <c r="Y17" s="139" t="str">
        <f t="shared" si="35"/>
        <v>-</v>
      </c>
      <c r="Z17" s="125">
        <v>40</v>
      </c>
      <c r="AA17" s="126">
        <v>8</v>
      </c>
      <c r="AB17" s="139">
        <f t="shared" si="45"/>
        <v>5</v>
      </c>
      <c r="AC17" s="20">
        <v>0</v>
      </c>
      <c r="AD17" s="21">
        <v>0</v>
      </c>
      <c r="AE17" s="139" t="str">
        <f t="shared" si="36"/>
        <v>-</v>
      </c>
      <c r="AF17" s="125">
        <v>0</v>
      </c>
      <c r="AG17" s="126">
        <v>0</v>
      </c>
      <c r="AH17" s="139" t="str">
        <f t="shared" si="37"/>
        <v>-</v>
      </c>
      <c r="AI17" s="20">
        <v>0</v>
      </c>
      <c r="AJ17" s="21">
        <v>0</v>
      </c>
      <c r="AK17" s="139" t="str">
        <f t="shared" si="38"/>
        <v>-</v>
      </c>
      <c r="AL17" s="20">
        <v>0</v>
      </c>
      <c r="AM17" s="21">
        <v>0</v>
      </c>
      <c r="AN17" s="139" t="str">
        <f t="shared" si="39"/>
        <v>-</v>
      </c>
      <c r="AO17" s="20">
        <v>12</v>
      </c>
      <c r="AP17" s="21">
        <v>2</v>
      </c>
      <c r="AQ17" s="139">
        <f t="shared" si="40"/>
        <v>6</v>
      </c>
      <c r="AR17" s="20">
        <v>3</v>
      </c>
      <c r="AS17" s="21">
        <v>1</v>
      </c>
      <c r="AT17" s="139">
        <f t="shared" si="48"/>
        <v>3</v>
      </c>
      <c r="AU17" s="20">
        <v>0</v>
      </c>
      <c r="AV17" s="21">
        <v>0</v>
      </c>
      <c r="AW17" s="139" t="str">
        <f t="shared" si="49"/>
        <v>-</v>
      </c>
      <c r="AX17" s="20">
        <v>2</v>
      </c>
      <c r="AY17" s="21">
        <v>1</v>
      </c>
      <c r="AZ17" s="139">
        <f t="shared" si="50"/>
        <v>2</v>
      </c>
      <c r="BA17" s="20">
        <v>0</v>
      </c>
      <c r="BB17" s="21">
        <v>0</v>
      </c>
      <c r="BC17" s="139" t="str">
        <f t="shared" si="51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52">
        <v>40</v>
      </c>
      <c r="BK17" s="253">
        <v>5</v>
      </c>
      <c r="BL17" s="276">
        <f t="shared" si="20"/>
        <v>8</v>
      </c>
      <c r="BM17" s="252">
        <v>0</v>
      </c>
      <c r="BN17" s="253">
        <v>0</v>
      </c>
      <c r="BO17" s="276" t="str">
        <f t="shared" si="21"/>
        <v>-</v>
      </c>
      <c r="BP17" s="302">
        <v>0</v>
      </c>
      <c r="BQ17" s="303">
        <v>0</v>
      </c>
      <c r="BR17" s="276" t="str">
        <f t="shared" si="22"/>
        <v>-</v>
      </c>
      <c r="BS17" s="257">
        <v>7</v>
      </c>
      <c r="BT17" s="253">
        <v>1</v>
      </c>
      <c r="BU17" s="276">
        <f t="shared" si="23"/>
        <v>7</v>
      </c>
      <c r="BV17" s="20">
        <v>0</v>
      </c>
      <c r="BW17" s="21">
        <v>0</v>
      </c>
      <c r="BX17" s="139" t="str">
        <f t="shared" si="24"/>
        <v>-</v>
      </c>
      <c r="BY17" s="125">
        <v>0</v>
      </c>
      <c r="BZ17" s="126">
        <v>0</v>
      </c>
      <c r="CA17" s="276" t="str">
        <f t="shared" si="25"/>
        <v>-</v>
      </c>
      <c r="CB17" s="125">
        <v>0</v>
      </c>
      <c r="CC17" s="126">
        <v>0</v>
      </c>
      <c r="CD17" s="276" t="str">
        <f t="shared" si="26"/>
        <v>-</v>
      </c>
      <c r="CE17" s="125">
        <v>0</v>
      </c>
      <c r="CF17" s="126">
        <v>0</v>
      </c>
      <c r="CG17" s="276" t="str">
        <f t="shared" si="68"/>
        <v>-</v>
      </c>
      <c r="CH17" s="125">
        <v>0</v>
      </c>
      <c r="CI17" s="126">
        <v>0</v>
      </c>
      <c r="CJ17" s="276" t="str">
        <f t="shared" si="28"/>
        <v>-</v>
      </c>
      <c r="CK17" s="125">
        <v>0</v>
      </c>
      <c r="CL17" s="126">
        <v>0</v>
      </c>
      <c r="CM17" s="276" t="str">
        <f t="shared" si="29"/>
        <v>-</v>
      </c>
      <c r="CN17" s="117">
        <f t="shared" si="32"/>
        <v>240</v>
      </c>
      <c r="CO17" s="120">
        <f t="shared" si="30"/>
        <v>42</v>
      </c>
      <c r="CP17" s="147">
        <f t="shared" si="31"/>
        <v>5.7142857142857144</v>
      </c>
    </row>
    <row r="18" spans="1:94" ht="15" thickBot="1" x14ac:dyDescent="0.35">
      <c r="A18" s="294">
        <v>45730</v>
      </c>
      <c r="B18" s="20">
        <v>68</v>
      </c>
      <c r="C18" s="21">
        <v>8</v>
      </c>
      <c r="D18" s="139">
        <f t="shared" si="0"/>
        <v>8.5</v>
      </c>
      <c r="E18" s="20">
        <v>16</v>
      </c>
      <c r="F18" s="21">
        <v>2</v>
      </c>
      <c r="G18" s="139">
        <f t="shared" si="1"/>
        <v>8</v>
      </c>
      <c r="H18" s="20"/>
      <c r="I18" s="21"/>
      <c r="J18" s="139" t="str">
        <f t="shared" si="2"/>
        <v>-</v>
      </c>
      <c r="K18" s="20">
        <v>33</v>
      </c>
      <c r="L18" s="21">
        <v>4</v>
      </c>
      <c r="M18" s="139">
        <f t="shared" si="3"/>
        <v>8.25</v>
      </c>
      <c r="N18" s="125">
        <v>0</v>
      </c>
      <c r="O18" s="126">
        <v>0</v>
      </c>
      <c r="P18" s="139" t="str">
        <f t="shared" si="4"/>
        <v>-</v>
      </c>
      <c r="Q18" s="125">
        <v>91</v>
      </c>
      <c r="R18" s="126">
        <v>16</v>
      </c>
      <c r="S18" s="139">
        <f t="shared" si="33"/>
        <v>5.6875</v>
      </c>
      <c r="T18" s="125">
        <v>15</v>
      </c>
      <c r="U18" s="126">
        <v>4</v>
      </c>
      <c r="V18" s="139">
        <f t="shared" si="34"/>
        <v>3.75</v>
      </c>
      <c r="W18" s="125">
        <v>0</v>
      </c>
      <c r="X18" s="126">
        <v>0</v>
      </c>
      <c r="Y18" s="139" t="str">
        <f t="shared" si="35"/>
        <v>-</v>
      </c>
      <c r="Z18" s="125">
        <v>45</v>
      </c>
      <c r="AA18" s="126">
        <v>11</v>
      </c>
      <c r="AB18" s="139">
        <f t="shared" si="45"/>
        <v>4.0909090909090908</v>
      </c>
      <c r="AC18" s="125">
        <v>0</v>
      </c>
      <c r="AD18" s="126">
        <v>0</v>
      </c>
      <c r="AE18" s="139" t="str">
        <f t="shared" si="36"/>
        <v>-</v>
      </c>
      <c r="AF18" s="125">
        <v>12</v>
      </c>
      <c r="AG18" s="126">
        <v>2</v>
      </c>
      <c r="AH18" s="139">
        <f t="shared" si="37"/>
        <v>6</v>
      </c>
      <c r="AI18" s="125">
        <v>0</v>
      </c>
      <c r="AJ18" s="126">
        <v>0</v>
      </c>
      <c r="AK18" s="139" t="str">
        <f t="shared" si="38"/>
        <v>-</v>
      </c>
      <c r="AL18" s="20">
        <v>0</v>
      </c>
      <c r="AM18" s="21">
        <v>0</v>
      </c>
      <c r="AN18" s="139" t="str">
        <f t="shared" si="39"/>
        <v>-</v>
      </c>
      <c r="AO18" s="20">
        <v>0</v>
      </c>
      <c r="AP18" s="21">
        <v>0</v>
      </c>
      <c r="AQ18" s="139" t="str">
        <f t="shared" si="40"/>
        <v>-</v>
      </c>
      <c r="AR18" s="20">
        <v>2</v>
      </c>
      <c r="AS18" s="21">
        <v>1</v>
      </c>
      <c r="AT18" s="139">
        <f t="shared" si="48"/>
        <v>2</v>
      </c>
      <c r="AU18" s="20">
        <v>0</v>
      </c>
      <c r="AV18" s="21">
        <v>0</v>
      </c>
      <c r="AW18" s="139" t="str">
        <f t="shared" si="49"/>
        <v>-</v>
      </c>
      <c r="AX18" s="20">
        <v>0</v>
      </c>
      <c r="AY18" s="21">
        <v>0</v>
      </c>
      <c r="AZ18" s="139" t="str">
        <f t="shared" si="50"/>
        <v>-</v>
      </c>
      <c r="BA18" s="20">
        <v>0</v>
      </c>
      <c r="BB18" s="21">
        <v>0</v>
      </c>
      <c r="BC18" s="139">
        <v>0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 t="shared" si="19"/>
        <v>-</v>
      </c>
      <c r="BJ18" s="318">
        <v>53</v>
      </c>
      <c r="BK18" s="303">
        <v>7</v>
      </c>
      <c r="BL18" s="276">
        <f t="shared" si="20"/>
        <v>7.5714285714285712</v>
      </c>
      <c r="BM18" s="252">
        <v>0</v>
      </c>
      <c r="BN18" s="253">
        <v>0</v>
      </c>
      <c r="BO18" s="276" t="str">
        <f t="shared" si="21"/>
        <v>-</v>
      </c>
      <c r="BP18" s="302">
        <v>0</v>
      </c>
      <c r="BQ18" s="303">
        <v>0</v>
      </c>
      <c r="BR18" s="276" t="str">
        <f t="shared" si="22"/>
        <v>-</v>
      </c>
      <c r="BS18" s="257">
        <v>0</v>
      </c>
      <c r="BT18" s="253">
        <v>0</v>
      </c>
      <c r="BU18" s="276" t="str">
        <f t="shared" si="23"/>
        <v>-</v>
      </c>
      <c r="BV18" s="20">
        <v>12</v>
      </c>
      <c r="BW18" s="21">
        <v>2</v>
      </c>
      <c r="BX18" s="139">
        <f t="shared" si="24"/>
        <v>6</v>
      </c>
      <c r="BY18" s="20">
        <v>0</v>
      </c>
      <c r="BZ18" s="21">
        <v>0</v>
      </c>
      <c r="CA18" s="139" t="str">
        <f t="shared" si="25"/>
        <v>-</v>
      </c>
      <c r="CB18" s="20">
        <v>0</v>
      </c>
      <c r="CC18" s="21">
        <v>0</v>
      </c>
      <c r="CD18" s="139" t="str">
        <f t="shared" si="26"/>
        <v>-</v>
      </c>
      <c r="CE18" s="125">
        <v>0</v>
      </c>
      <c r="CF18" s="126">
        <v>0</v>
      </c>
      <c r="CG18" s="276" t="str">
        <f t="shared" si="68"/>
        <v>-</v>
      </c>
      <c r="CH18" s="20">
        <v>0</v>
      </c>
      <c r="CI18" s="21">
        <v>0</v>
      </c>
      <c r="CJ18" s="139" t="str">
        <f t="shared" si="28"/>
        <v>-</v>
      </c>
      <c r="CK18" s="20">
        <v>0</v>
      </c>
      <c r="CL18" s="21">
        <v>0</v>
      </c>
      <c r="CM18" s="139" t="str">
        <f t="shared" si="29"/>
        <v>-</v>
      </c>
      <c r="CN18" s="117">
        <f t="shared" si="32"/>
        <v>347</v>
      </c>
      <c r="CO18" s="120">
        <f t="shared" si="30"/>
        <v>55</v>
      </c>
      <c r="CP18" s="147">
        <f t="shared" si="31"/>
        <v>6.3090909090909095</v>
      </c>
    </row>
    <row r="19" spans="1:94" ht="15" thickBot="1" x14ac:dyDescent="0.35">
      <c r="A19" s="294">
        <v>45731</v>
      </c>
      <c r="B19" s="20">
        <v>53</v>
      </c>
      <c r="C19" s="21">
        <v>6</v>
      </c>
      <c r="D19" s="139">
        <f t="shared" si="0"/>
        <v>8.8333333333333339</v>
      </c>
      <c r="E19" s="20">
        <v>0</v>
      </c>
      <c r="F19" s="21">
        <v>0</v>
      </c>
      <c r="G19" s="139" t="str">
        <f t="shared" si="1"/>
        <v>-</v>
      </c>
      <c r="H19" s="20"/>
      <c r="I19" s="21"/>
      <c r="J19" s="139" t="str">
        <f t="shared" si="2"/>
        <v>-</v>
      </c>
      <c r="K19" s="20">
        <v>9</v>
      </c>
      <c r="L19" s="21">
        <v>1</v>
      </c>
      <c r="M19" s="139">
        <f t="shared" si="3"/>
        <v>9</v>
      </c>
      <c r="N19" s="125">
        <v>0</v>
      </c>
      <c r="O19" s="126">
        <v>0</v>
      </c>
      <c r="P19" s="139" t="str">
        <f t="shared" si="4"/>
        <v>-</v>
      </c>
      <c r="Q19" s="125">
        <v>35</v>
      </c>
      <c r="R19" s="126">
        <v>6</v>
      </c>
      <c r="S19" s="139">
        <f t="shared" si="33"/>
        <v>5.833333333333333</v>
      </c>
      <c r="T19" s="125">
        <v>0</v>
      </c>
      <c r="U19" s="126">
        <v>0</v>
      </c>
      <c r="V19" s="139" t="str">
        <f t="shared" si="34"/>
        <v>-</v>
      </c>
      <c r="W19" s="125">
        <v>0</v>
      </c>
      <c r="X19" s="126">
        <v>0</v>
      </c>
      <c r="Y19" s="139" t="str">
        <f t="shared" si="35"/>
        <v>-</v>
      </c>
      <c r="Z19" s="125">
        <v>0</v>
      </c>
      <c r="AA19" s="126">
        <v>0</v>
      </c>
      <c r="AB19" s="139" t="str">
        <f t="shared" si="45"/>
        <v>-</v>
      </c>
      <c r="AC19" s="125">
        <v>0</v>
      </c>
      <c r="AD19" s="126">
        <v>0</v>
      </c>
      <c r="AE19" s="139" t="str">
        <f t="shared" si="36"/>
        <v>-</v>
      </c>
      <c r="AF19" s="125">
        <v>0</v>
      </c>
      <c r="AG19" s="126">
        <v>0</v>
      </c>
      <c r="AH19" s="139" t="str">
        <f t="shared" si="37"/>
        <v>-</v>
      </c>
      <c r="AI19" s="125">
        <v>6</v>
      </c>
      <c r="AJ19" s="126">
        <v>1</v>
      </c>
      <c r="AK19" s="139">
        <f t="shared" si="38"/>
        <v>6</v>
      </c>
      <c r="AL19" s="125">
        <v>12</v>
      </c>
      <c r="AM19" s="126">
        <v>2</v>
      </c>
      <c r="AN19" s="139">
        <f t="shared" si="39"/>
        <v>6</v>
      </c>
      <c r="AO19" s="20">
        <v>18</v>
      </c>
      <c r="AP19" s="21">
        <v>3</v>
      </c>
      <c r="AQ19" s="139">
        <f t="shared" si="40"/>
        <v>6</v>
      </c>
      <c r="AR19" s="20">
        <v>0</v>
      </c>
      <c r="AS19" s="21">
        <v>0</v>
      </c>
      <c r="AT19" s="139" t="str">
        <f t="shared" si="48"/>
        <v>-</v>
      </c>
      <c r="AU19" s="20">
        <v>0</v>
      </c>
      <c r="AV19" s="21">
        <v>0</v>
      </c>
      <c r="AW19" s="139" t="str">
        <f t="shared" si="49"/>
        <v>-</v>
      </c>
      <c r="AX19" s="20">
        <v>0</v>
      </c>
      <c r="AY19" s="21">
        <v>0</v>
      </c>
      <c r="AZ19" s="139" t="str">
        <f t="shared" si="50"/>
        <v>-</v>
      </c>
      <c r="BA19" s="20">
        <v>0</v>
      </c>
      <c r="BB19" s="21">
        <v>0</v>
      </c>
      <c r="BC19" s="139" t="str">
        <f t="shared" ref="BC19:BC32" si="77">IF(BB19=0,"-",BA19/BB19)</f>
        <v>-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52">
        <v>0</v>
      </c>
      <c r="BK19" s="253">
        <v>0</v>
      </c>
      <c r="BL19" s="276" t="str">
        <f t="shared" si="20"/>
        <v>-</v>
      </c>
      <c r="BM19" s="252">
        <v>0</v>
      </c>
      <c r="BN19" s="253">
        <v>0</v>
      </c>
      <c r="BO19" s="276" t="str">
        <f t="shared" si="21"/>
        <v>-</v>
      </c>
      <c r="BP19" s="302">
        <v>0</v>
      </c>
      <c r="BQ19" s="303">
        <v>0</v>
      </c>
      <c r="BR19" s="276" t="str">
        <f t="shared" si="22"/>
        <v>-</v>
      </c>
      <c r="BS19" s="257">
        <v>0</v>
      </c>
      <c r="BT19" s="253">
        <v>0</v>
      </c>
      <c r="BU19" s="276" t="str">
        <f t="shared" si="23"/>
        <v>-</v>
      </c>
      <c r="BV19" s="20">
        <v>0</v>
      </c>
      <c r="BW19" s="21">
        <v>0</v>
      </c>
      <c r="BX19" s="139" t="str">
        <f t="shared" si="24"/>
        <v>-</v>
      </c>
      <c r="BY19" s="20">
        <v>0</v>
      </c>
      <c r="BZ19" s="21">
        <v>0</v>
      </c>
      <c r="CA19" s="139" t="str">
        <f t="shared" si="25"/>
        <v>-</v>
      </c>
      <c r="CB19" s="20">
        <v>2</v>
      </c>
      <c r="CC19" s="21">
        <v>1</v>
      </c>
      <c r="CD19" s="139">
        <f t="shared" si="26"/>
        <v>2</v>
      </c>
      <c r="CE19" s="125">
        <v>0</v>
      </c>
      <c r="CF19" s="126">
        <v>0</v>
      </c>
      <c r="CG19" s="276" t="str">
        <f t="shared" si="68"/>
        <v>-</v>
      </c>
      <c r="CH19" s="20">
        <v>0</v>
      </c>
      <c r="CI19" s="21">
        <v>0</v>
      </c>
      <c r="CJ19" s="139" t="str">
        <f t="shared" si="28"/>
        <v>-</v>
      </c>
      <c r="CK19" s="20">
        <v>0</v>
      </c>
      <c r="CL19" s="21">
        <v>0</v>
      </c>
      <c r="CM19" s="139" t="str">
        <f t="shared" si="29"/>
        <v>-</v>
      </c>
      <c r="CN19" s="117">
        <f t="shared" si="32"/>
        <v>135</v>
      </c>
      <c r="CO19" s="120">
        <f t="shared" si="30"/>
        <v>15</v>
      </c>
      <c r="CP19" s="147">
        <f t="shared" si="31"/>
        <v>9</v>
      </c>
    </row>
    <row r="20" spans="1:94" ht="15" thickBot="1" x14ac:dyDescent="0.35">
      <c r="A20" s="294">
        <v>45732</v>
      </c>
      <c r="B20" s="20">
        <v>70</v>
      </c>
      <c r="C20" s="21">
        <v>8</v>
      </c>
      <c r="D20" s="139">
        <f t="shared" si="0"/>
        <v>8.75</v>
      </c>
      <c r="E20" s="20">
        <v>0</v>
      </c>
      <c r="F20" s="21">
        <v>0</v>
      </c>
      <c r="G20" s="139" t="str">
        <f t="shared" si="1"/>
        <v>-</v>
      </c>
      <c r="H20" s="20"/>
      <c r="I20" s="21"/>
      <c r="J20" s="139" t="str">
        <f t="shared" si="2"/>
        <v>-</v>
      </c>
      <c r="K20" s="20">
        <v>18</v>
      </c>
      <c r="L20" s="21">
        <v>2</v>
      </c>
      <c r="M20" s="139">
        <f t="shared" si="3"/>
        <v>9</v>
      </c>
      <c r="N20" s="125">
        <v>0</v>
      </c>
      <c r="O20" s="126">
        <v>0</v>
      </c>
      <c r="P20" s="139" t="str">
        <f t="shared" si="4"/>
        <v>-</v>
      </c>
      <c r="Q20" s="125">
        <v>0</v>
      </c>
      <c r="R20" s="126">
        <v>0</v>
      </c>
      <c r="S20" s="139" t="str">
        <f t="shared" si="33"/>
        <v>-</v>
      </c>
      <c r="T20" s="125">
        <v>0</v>
      </c>
      <c r="U20" s="126">
        <v>0</v>
      </c>
      <c r="V20" s="139" t="str">
        <f t="shared" si="34"/>
        <v>-</v>
      </c>
      <c r="W20" s="125">
        <v>0</v>
      </c>
      <c r="X20" s="126">
        <v>0</v>
      </c>
      <c r="Y20" s="139" t="str">
        <f t="shared" si="35"/>
        <v>-</v>
      </c>
      <c r="Z20" s="125">
        <v>0</v>
      </c>
      <c r="AA20" s="126">
        <v>0</v>
      </c>
      <c r="AB20" s="139" t="str">
        <f t="shared" si="45"/>
        <v>-</v>
      </c>
      <c r="AC20" s="125">
        <v>0</v>
      </c>
      <c r="AD20" s="126">
        <v>0</v>
      </c>
      <c r="AE20" s="139" t="str">
        <f t="shared" si="36"/>
        <v>-</v>
      </c>
      <c r="AF20" s="125">
        <v>0</v>
      </c>
      <c r="AG20" s="126">
        <v>0</v>
      </c>
      <c r="AH20" s="139" t="str">
        <f t="shared" si="37"/>
        <v>-</v>
      </c>
      <c r="AI20" s="125">
        <v>0</v>
      </c>
      <c r="AJ20" s="126">
        <v>0</v>
      </c>
      <c r="AK20" s="139" t="str">
        <f t="shared" si="38"/>
        <v>-</v>
      </c>
      <c r="AL20" s="125">
        <v>0</v>
      </c>
      <c r="AM20" s="126">
        <v>0</v>
      </c>
      <c r="AN20" s="139" t="str">
        <f t="shared" si="39"/>
        <v>-</v>
      </c>
      <c r="AO20" s="125">
        <v>0</v>
      </c>
      <c r="AP20" s="126">
        <v>0</v>
      </c>
      <c r="AQ20" s="139" t="str">
        <f t="shared" si="40"/>
        <v>-</v>
      </c>
      <c r="AR20" s="20">
        <v>1</v>
      </c>
      <c r="AS20" s="21">
        <v>1</v>
      </c>
      <c r="AT20" s="139">
        <f t="shared" si="48"/>
        <v>1</v>
      </c>
      <c r="AU20" s="20">
        <v>0</v>
      </c>
      <c r="AV20" s="21">
        <v>0</v>
      </c>
      <c r="AW20" s="139" t="str">
        <f t="shared" si="49"/>
        <v>-</v>
      </c>
      <c r="AX20" s="20">
        <v>0</v>
      </c>
      <c r="AY20" s="21">
        <v>0</v>
      </c>
      <c r="AZ20" s="139" t="str">
        <f t="shared" si="50"/>
        <v>-</v>
      </c>
      <c r="BA20" s="20">
        <v>0</v>
      </c>
      <c r="BB20" s="21">
        <v>0</v>
      </c>
      <c r="BC20" s="139" t="str">
        <f t="shared" si="77"/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53</v>
      </c>
      <c r="BK20" s="253">
        <v>7</v>
      </c>
      <c r="BL20" s="276">
        <f t="shared" si="20"/>
        <v>7.5714285714285712</v>
      </c>
      <c r="BM20" s="252">
        <v>0</v>
      </c>
      <c r="BN20" s="253">
        <v>0</v>
      </c>
      <c r="BO20" s="276" t="str">
        <f t="shared" si="21"/>
        <v>-</v>
      </c>
      <c r="BP20" s="302">
        <v>0</v>
      </c>
      <c r="BQ20" s="303">
        <v>0</v>
      </c>
      <c r="BR20" s="276" t="str">
        <f t="shared" si="22"/>
        <v>-</v>
      </c>
      <c r="BS20" s="257">
        <v>0</v>
      </c>
      <c r="BT20" s="253">
        <v>0</v>
      </c>
      <c r="BU20" s="276" t="str">
        <f t="shared" si="23"/>
        <v>-</v>
      </c>
      <c r="BV20" s="20">
        <v>5</v>
      </c>
      <c r="BW20" s="21">
        <v>1</v>
      </c>
      <c r="BX20" s="139">
        <f t="shared" si="24"/>
        <v>5</v>
      </c>
      <c r="BY20" s="20">
        <v>0</v>
      </c>
      <c r="BZ20" s="21">
        <v>0</v>
      </c>
      <c r="CA20" s="139" t="str">
        <f t="shared" si="25"/>
        <v>-</v>
      </c>
      <c r="CB20" s="20">
        <v>0</v>
      </c>
      <c r="CC20" s="21">
        <v>0</v>
      </c>
      <c r="CD20" s="139" t="str">
        <f t="shared" si="26"/>
        <v>-</v>
      </c>
      <c r="CE20" s="125">
        <v>0</v>
      </c>
      <c r="CF20" s="126">
        <v>0</v>
      </c>
      <c r="CG20" s="276" t="str">
        <f t="shared" si="68"/>
        <v>-</v>
      </c>
      <c r="CH20" s="20">
        <v>0</v>
      </c>
      <c r="CI20" s="21">
        <v>0</v>
      </c>
      <c r="CJ20" s="139" t="str">
        <f t="shared" si="28"/>
        <v>-</v>
      </c>
      <c r="CK20" s="20">
        <v>0</v>
      </c>
      <c r="CL20" s="21">
        <v>0</v>
      </c>
      <c r="CM20" s="139" t="str">
        <f t="shared" si="29"/>
        <v>-</v>
      </c>
      <c r="CN20" s="117">
        <f t="shared" si="32"/>
        <v>147</v>
      </c>
      <c r="CO20" s="120">
        <f t="shared" si="30"/>
        <v>18</v>
      </c>
      <c r="CP20" s="147">
        <f t="shared" si="31"/>
        <v>8.1666666666666661</v>
      </c>
    </row>
    <row r="21" spans="1:94" ht="15" thickBot="1" x14ac:dyDescent="0.35">
      <c r="A21" s="294">
        <v>45733</v>
      </c>
      <c r="B21" s="20">
        <v>9</v>
      </c>
      <c r="C21" s="21">
        <v>1</v>
      </c>
      <c r="D21" s="139">
        <f t="shared" si="0"/>
        <v>9</v>
      </c>
      <c r="E21" s="20">
        <v>0</v>
      </c>
      <c r="F21" s="21">
        <v>0</v>
      </c>
      <c r="G21" s="139" t="str">
        <f t="shared" si="1"/>
        <v>-</v>
      </c>
      <c r="H21" s="20"/>
      <c r="I21" s="21"/>
      <c r="J21" s="139" t="str">
        <f t="shared" si="2"/>
        <v>-</v>
      </c>
      <c r="K21" s="20">
        <v>0</v>
      </c>
      <c r="L21" s="21">
        <v>0</v>
      </c>
      <c r="M21" s="139" t="str">
        <f t="shared" si="3"/>
        <v>-</v>
      </c>
      <c r="N21" s="125">
        <v>0</v>
      </c>
      <c r="O21" s="126">
        <v>0</v>
      </c>
      <c r="P21" s="139" t="str">
        <f t="shared" si="4"/>
        <v>-</v>
      </c>
      <c r="Q21" s="125">
        <v>104</v>
      </c>
      <c r="R21" s="126">
        <v>25</v>
      </c>
      <c r="S21" s="139">
        <f>IF(R21=0,"-",Q21/R21)</f>
        <v>4.16</v>
      </c>
      <c r="T21" s="125">
        <v>0</v>
      </c>
      <c r="U21" s="126">
        <v>0</v>
      </c>
      <c r="V21" s="139" t="str">
        <f t="shared" si="34"/>
        <v>-</v>
      </c>
      <c r="W21" s="125">
        <v>0</v>
      </c>
      <c r="X21" s="126">
        <v>0</v>
      </c>
      <c r="Y21" s="139" t="str">
        <f t="shared" si="35"/>
        <v>-</v>
      </c>
      <c r="Z21" s="125">
        <v>42</v>
      </c>
      <c r="AA21" s="126">
        <v>9</v>
      </c>
      <c r="AB21" s="139">
        <f t="shared" si="45"/>
        <v>4.666666666666667</v>
      </c>
      <c r="AC21" s="125">
        <v>0</v>
      </c>
      <c r="AD21" s="126">
        <v>0</v>
      </c>
      <c r="AE21" s="139" t="str">
        <f t="shared" ref="AE21" si="78">IF(AD21=0,"-",AC21/AD21)</f>
        <v>-</v>
      </c>
      <c r="AF21" s="125">
        <v>0</v>
      </c>
      <c r="AG21" s="126">
        <v>0</v>
      </c>
      <c r="AH21" s="139" t="str">
        <f t="shared" si="37"/>
        <v>-</v>
      </c>
      <c r="AI21" s="125">
        <v>0</v>
      </c>
      <c r="AJ21" s="126">
        <v>0</v>
      </c>
      <c r="AK21" s="139" t="str">
        <f t="shared" si="38"/>
        <v>-</v>
      </c>
      <c r="AL21" s="125">
        <v>0</v>
      </c>
      <c r="AM21" s="126">
        <v>0</v>
      </c>
      <c r="AN21" s="139" t="str">
        <f t="shared" si="39"/>
        <v>-</v>
      </c>
      <c r="AO21" s="125">
        <v>0</v>
      </c>
      <c r="AP21" s="126">
        <v>0</v>
      </c>
      <c r="AQ21" s="139" t="str">
        <f t="shared" si="40"/>
        <v>-</v>
      </c>
      <c r="AR21" s="23">
        <v>1</v>
      </c>
      <c r="AS21" s="21">
        <v>1</v>
      </c>
      <c r="AT21" s="139">
        <f t="shared" si="48"/>
        <v>1</v>
      </c>
      <c r="AU21" s="23">
        <v>0</v>
      </c>
      <c r="AV21" s="21">
        <v>0</v>
      </c>
      <c r="AW21" s="139" t="str">
        <f t="shared" si="49"/>
        <v>-</v>
      </c>
      <c r="AX21" s="20">
        <v>4</v>
      </c>
      <c r="AY21" s="21">
        <v>1</v>
      </c>
      <c r="AZ21" s="139">
        <f t="shared" si="50"/>
        <v>4</v>
      </c>
      <c r="BA21" s="20">
        <v>0</v>
      </c>
      <c r="BB21" s="21">
        <v>0</v>
      </c>
      <c r="BC21" s="139" t="str">
        <f t="shared" si="77"/>
        <v>-</v>
      </c>
      <c r="BD21" s="20">
        <v>0</v>
      </c>
      <c r="BE21" s="21">
        <v>0</v>
      </c>
      <c r="BF21" s="139" t="str">
        <f t="shared" si="18"/>
        <v>-</v>
      </c>
      <c r="BG21" s="20">
        <v>0</v>
      </c>
      <c r="BH21" s="21">
        <v>0</v>
      </c>
      <c r="BI21" s="139" t="str">
        <f t="shared" si="19"/>
        <v>-</v>
      </c>
      <c r="BJ21" s="252">
        <v>29</v>
      </c>
      <c r="BK21" s="253">
        <v>4</v>
      </c>
      <c r="BL21" s="276">
        <f t="shared" si="20"/>
        <v>7.25</v>
      </c>
      <c r="BM21" s="252">
        <v>6</v>
      </c>
      <c r="BN21" s="253">
        <v>1</v>
      </c>
      <c r="BO21" s="276">
        <f t="shared" si="21"/>
        <v>6</v>
      </c>
      <c r="BP21" s="302">
        <v>14</v>
      </c>
      <c r="BQ21" s="303">
        <v>2</v>
      </c>
      <c r="BR21" s="276">
        <f t="shared" si="22"/>
        <v>7</v>
      </c>
      <c r="BS21" s="257">
        <v>6</v>
      </c>
      <c r="BT21" s="253">
        <v>1</v>
      </c>
      <c r="BU21" s="276">
        <f t="shared" si="23"/>
        <v>6</v>
      </c>
      <c r="BV21" s="20">
        <v>0</v>
      </c>
      <c r="BW21" s="21">
        <v>0</v>
      </c>
      <c r="BX21" s="139" t="str">
        <f t="shared" si="24"/>
        <v>-</v>
      </c>
      <c r="BY21" s="20">
        <v>0</v>
      </c>
      <c r="BZ21" s="21">
        <v>0</v>
      </c>
      <c r="CA21" s="139" t="str">
        <f>IF(BZ21=0,"-",BY21/BZ21)</f>
        <v>-</v>
      </c>
      <c r="CB21" s="20">
        <v>3</v>
      </c>
      <c r="CC21" s="21">
        <v>1</v>
      </c>
      <c r="CD21" s="139">
        <f t="shared" si="26"/>
        <v>3</v>
      </c>
      <c r="CE21" s="125">
        <v>0</v>
      </c>
      <c r="CF21" s="126">
        <v>0</v>
      </c>
      <c r="CG21" s="276" t="str">
        <f t="shared" si="68"/>
        <v>-</v>
      </c>
      <c r="CH21" s="20">
        <v>0</v>
      </c>
      <c r="CI21" s="21">
        <v>0</v>
      </c>
      <c r="CJ21" s="139" t="str">
        <f t="shared" si="28"/>
        <v>-</v>
      </c>
      <c r="CK21" s="20">
        <v>0</v>
      </c>
      <c r="CL21" s="21">
        <v>0</v>
      </c>
      <c r="CM21" s="139" t="str">
        <f t="shared" si="29"/>
        <v>-</v>
      </c>
      <c r="CN21" s="117">
        <f t="shared" si="32"/>
        <v>218</v>
      </c>
      <c r="CO21" s="120">
        <f t="shared" si="30"/>
        <v>46</v>
      </c>
      <c r="CP21" s="147">
        <f t="shared" si="31"/>
        <v>4.7391304347826084</v>
      </c>
    </row>
    <row r="22" spans="1:94" ht="15" thickBot="1" x14ac:dyDescent="0.35">
      <c r="A22" s="294">
        <v>45734</v>
      </c>
      <c r="B22" s="20">
        <v>17</v>
      </c>
      <c r="C22" s="21">
        <v>2</v>
      </c>
      <c r="D22" s="139">
        <f t="shared" si="0"/>
        <v>8.5</v>
      </c>
      <c r="E22" s="20">
        <v>9</v>
      </c>
      <c r="F22" s="21">
        <v>1</v>
      </c>
      <c r="G22" s="139">
        <f t="shared" si="1"/>
        <v>9</v>
      </c>
      <c r="H22" s="20"/>
      <c r="I22" s="21"/>
      <c r="J22" s="139" t="str">
        <f t="shared" si="2"/>
        <v>-</v>
      </c>
      <c r="K22" s="20">
        <v>9</v>
      </c>
      <c r="L22" s="21">
        <v>1</v>
      </c>
      <c r="M22" s="139">
        <f t="shared" si="3"/>
        <v>9</v>
      </c>
      <c r="N22" s="125">
        <v>0</v>
      </c>
      <c r="O22" s="126">
        <v>0</v>
      </c>
      <c r="P22" s="139" t="str">
        <f t="shared" si="4"/>
        <v>-</v>
      </c>
      <c r="Q22" s="20">
        <v>113</v>
      </c>
      <c r="R22" s="21">
        <v>29</v>
      </c>
      <c r="S22" s="139">
        <f t="shared" si="33"/>
        <v>3.896551724137931</v>
      </c>
      <c r="T22" s="125">
        <v>56</v>
      </c>
      <c r="U22" s="126">
        <v>12</v>
      </c>
      <c r="V22" s="139">
        <f t="shared" si="34"/>
        <v>4.666666666666667</v>
      </c>
      <c r="W22" s="125">
        <v>0</v>
      </c>
      <c r="X22" s="126">
        <v>0</v>
      </c>
      <c r="Y22" s="139" t="str">
        <f t="shared" si="35"/>
        <v>-</v>
      </c>
      <c r="Z22" s="125">
        <v>25</v>
      </c>
      <c r="AA22" s="126">
        <v>5</v>
      </c>
      <c r="AB22" s="139">
        <f t="shared" si="45"/>
        <v>5</v>
      </c>
      <c r="AC22" s="20">
        <v>0</v>
      </c>
      <c r="AD22" s="21">
        <v>0</v>
      </c>
      <c r="AE22" s="139" t="str">
        <f t="shared" si="36"/>
        <v>-</v>
      </c>
      <c r="AF22" s="20">
        <v>0</v>
      </c>
      <c r="AG22" s="21">
        <v>0</v>
      </c>
      <c r="AH22" s="139" t="str">
        <f t="shared" si="37"/>
        <v>-</v>
      </c>
      <c r="AI22" s="20">
        <v>0</v>
      </c>
      <c r="AJ22" s="21">
        <v>0</v>
      </c>
      <c r="AK22" s="139" t="str">
        <f t="shared" ref="AK22" si="79">IF(AJ22=0,"-",AI22/AJ22)</f>
        <v>-</v>
      </c>
      <c r="AL22" s="20">
        <v>0</v>
      </c>
      <c r="AM22" s="21">
        <v>0</v>
      </c>
      <c r="AN22" s="139" t="str">
        <f t="shared" ref="AN22" si="80">IF(AM22=0,"-",AL22/AM22)</f>
        <v>-</v>
      </c>
      <c r="AO22" s="20">
        <v>25</v>
      </c>
      <c r="AP22" s="21">
        <v>4</v>
      </c>
      <c r="AQ22" s="139">
        <f t="shared" si="40"/>
        <v>6.25</v>
      </c>
      <c r="AR22" s="21">
        <v>0</v>
      </c>
      <c r="AS22" s="148">
        <v>0</v>
      </c>
      <c r="AT22" s="139" t="str">
        <f t="shared" si="48"/>
        <v>-</v>
      </c>
      <c r="AU22" s="21">
        <v>0</v>
      </c>
      <c r="AV22" s="148">
        <v>0</v>
      </c>
      <c r="AW22" s="139" t="str">
        <f>IF(AU22=0,"-",#REF!/AU22)</f>
        <v>-</v>
      </c>
      <c r="AX22" s="20">
        <v>0</v>
      </c>
      <c r="AY22" s="21">
        <v>0</v>
      </c>
      <c r="AZ22" s="139" t="str">
        <f t="shared" si="50"/>
        <v>-</v>
      </c>
      <c r="BA22" s="20">
        <v>0</v>
      </c>
      <c r="BB22" s="21">
        <v>0</v>
      </c>
      <c r="BC22" s="139" t="str">
        <f t="shared" si="77"/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252">
        <v>34</v>
      </c>
      <c r="BK22" s="253">
        <v>5</v>
      </c>
      <c r="BL22" s="276">
        <f t="shared" si="20"/>
        <v>6.8</v>
      </c>
      <c r="BM22" s="252">
        <v>0</v>
      </c>
      <c r="BN22" s="253">
        <v>0</v>
      </c>
      <c r="BO22" s="276" t="str">
        <f t="shared" si="21"/>
        <v>-</v>
      </c>
      <c r="BP22" s="302">
        <v>28</v>
      </c>
      <c r="BQ22" s="303">
        <v>4</v>
      </c>
      <c r="BR22" s="276">
        <f t="shared" si="22"/>
        <v>7</v>
      </c>
      <c r="BS22" s="257">
        <v>0</v>
      </c>
      <c r="BT22" s="253">
        <v>0</v>
      </c>
      <c r="BU22" s="276" t="str">
        <f t="shared" si="23"/>
        <v>-</v>
      </c>
      <c r="BV22" s="20">
        <v>0</v>
      </c>
      <c r="BW22" s="21">
        <v>0</v>
      </c>
      <c r="BX22" s="139" t="str">
        <f t="shared" si="24"/>
        <v>-</v>
      </c>
      <c r="BY22" s="20">
        <v>0</v>
      </c>
      <c r="BZ22" s="21">
        <v>0</v>
      </c>
      <c r="CA22" s="139" t="str">
        <f t="shared" si="25"/>
        <v>-</v>
      </c>
      <c r="CB22" s="20">
        <v>0</v>
      </c>
      <c r="CC22" s="21">
        <v>0</v>
      </c>
      <c r="CD22" s="139" t="str">
        <f t="shared" si="26"/>
        <v>-</v>
      </c>
      <c r="CE22" s="125">
        <v>0</v>
      </c>
      <c r="CF22" s="126">
        <v>0</v>
      </c>
      <c r="CG22" s="276" t="str">
        <f t="shared" si="68"/>
        <v>-</v>
      </c>
      <c r="CH22" s="20">
        <v>0</v>
      </c>
      <c r="CI22" s="21">
        <v>0</v>
      </c>
      <c r="CJ22" s="139" t="str">
        <f t="shared" si="28"/>
        <v>-</v>
      </c>
      <c r="CK22" s="20">
        <v>0</v>
      </c>
      <c r="CL22" s="21">
        <v>0</v>
      </c>
      <c r="CM22" s="139" t="str">
        <f t="shared" si="29"/>
        <v>-</v>
      </c>
      <c r="CN22" s="117">
        <f t="shared" si="32"/>
        <v>316</v>
      </c>
      <c r="CO22" s="120">
        <f t="shared" si="30"/>
        <v>59</v>
      </c>
      <c r="CP22" s="147">
        <f t="shared" si="31"/>
        <v>5.3559322033898304</v>
      </c>
    </row>
    <row r="23" spans="1:94" ht="15" thickBot="1" x14ac:dyDescent="0.35">
      <c r="A23" s="294">
        <v>45735</v>
      </c>
      <c r="B23" s="20">
        <v>59</v>
      </c>
      <c r="C23" s="21">
        <v>7</v>
      </c>
      <c r="D23" s="139">
        <f t="shared" si="0"/>
        <v>8.4285714285714288</v>
      </c>
      <c r="E23" s="20">
        <v>8</v>
      </c>
      <c r="F23" s="21">
        <v>1</v>
      </c>
      <c r="G23" s="139">
        <f t="shared" si="1"/>
        <v>8</v>
      </c>
      <c r="H23" s="20"/>
      <c r="I23" s="21"/>
      <c r="J23" s="139" t="str">
        <f t="shared" si="2"/>
        <v>-</v>
      </c>
      <c r="K23" s="20">
        <v>16</v>
      </c>
      <c r="L23" s="21">
        <v>2</v>
      </c>
      <c r="M23" s="139">
        <f t="shared" si="3"/>
        <v>8</v>
      </c>
      <c r="N23" s="125">
        <v>0</v>
      </c>
      <c r="O23" s="126">
        <v>0</v>
      </c>
      <c r="P23" s="139" t="str">
        <f t="shared" si="4"/>
        <v>-</v>
      </c>
      <c r="Q23" s="20">
        <v>65</v>
      </c>
      <c r="R23" s="21">
        <v>14</v>
      </c>
      <c r="S23" s="139">
        <f t="shared" si="33"/>
        <v>4.6428571428571432</v>
      </c>
      <c r="T23" s="125">
        <v>0</v>
      </c>
      <c r="U23" s="126">
        <v>0</v>
      </c>
      <c r="V23" s="139" t="str">
        <f t="shared" si="34"/>
        <v>-</v>
      </c>
      <c r="W23" s="125">
        <v>0</v>
      </c>
      <c r="X23" s="126">
        <v>0</v>
      </c>
      <c r="Y23" s="139" t="str">
        <f t="shared" si="35"/>
        <v>-</v>
      </c>
      <c r="Z23" s="125">
        <v>38</v>
      </c>
      <c r="AA23" s="126">
        <v>10</v>
      </c>
      <c r="AB23" s="139">
        <f t="shared" si="45"/>
        <v>3.8</v>
      </c>
      <c r="AC23" s="20">
        <v>0</v>
      </c>
      <c r="AD23" s="21">
        <v>0</v>
      </c>
      <c r="AE23" s="139" t="str">
        <f t="shared" ref="AE23" si="81">IF(AD23=0,"-",AC23/AD23)</f>
        <v>-</v>
      </c>
      <c r="AF23" s="20">
        <v>0</v>
      </c>
      <c r="AG23" s="21">
        <v>0</v>
      </c>
      <c r="AH23" s="139" t="str">
        <f t="shared" ref="AH23" si="82">IF(AG23=0,"-",AF23/AG23)</f>
        <v>-</v>
      </c>
      <c r="AI23" s="20">
        <v>0</v>
      </c>
      <c r="AJ23" s="21">
        <v>0</v>
      </c>
      <c r="AK23" s="139" t="str">
        <f t="shared" ref="AK23" si="83">IF(AJ23=0,"-",AI23/AJ23)</f>
        <v>-</v>
      </c>
      <c r="AL23" s="20">
        <v>0</v>
      </c>
      <c r="AM23" s="21">
        <v>0</v>
      </c>
      <c r="AN23" s="139" t="str">
        <f t="shared" ref="AN23" si="84">IF(AM23=0,"-",AL23/AM23)</f>
        <v>-</v>
      </c>
      <c r="AO23" s="20">
        <v>0</v>
      </c>
      <c r="AP23" s="21">
        <v>0</v>
      </c>
      <c r="AQ23" s="139" t="str">
        <f t="shared" si="40"/>
        <v>-</v>
      </c>
      <c r="AR23" s="20">
        <v>0</v>
      </c>
      <c r="AS23" s="21">
        <v>0</v>
      </c>
      <c r="AT23" s="139" t="str">
        <f t="shared" si="48"/>
        <v>-</v>
      </c>
      <c r="AU23" s="20">
        <v>0</v>
      </c>
      <c r="AV23" s="21">
        <v>0</v>
      </c>
      <c r="AW23" s="139" t="str">
        <f t="shared" ref="AW23:AW32" si="85">IF(AV23=0,"-",AU23/AV23)</f>
        <v>-</v>
      </c>
      <c r="AX23" s="20">
        <v>3</v>
      </c>
      <c r="AY23" s="21">
        <v>1</v>
      </c>
      <c r="AZ23" s="139">
        <f t="shared" si="50"/>
        <v>3</v>
      </c>
      <c r="BA23" s="20">
        <v>0</v>
      </c>
      <c r="BB23" s="21">
        <v>0</v>
      </c>
      <c r="BC23" s="139" t="str">
        <f t="shared" si="77"/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52">
        <v>7</v>
      </c>
      <c r="BK23" s="253">
        <v>1</v>
      </c>
      <c r="BL23" s="276">
        <f t="shared" si="20"/>
        <v>7</v>
      </c>
      <c r="BM23" s="252">
        <v>0</v>
      </c>
      <c r="BN23" s="253">
        <v>0</v>
      </c>
      <c r="BO23" s="276" t="str">
        <f t="shared" si="21"/>
        <v>-</v>
      </c>
      <c r="BP23" s="302">
        <v>7</v>
      </c>
      <c r="BQ23" s="303">
        <v>1</v>
      </c>
      <c r="BR23" s="276">
        <f t="shared" si="22"/>
        <v>7</v>
      </c>
      <c r="BS23" s="257">
        <v>8</v>
      </c>
      <c r="BT23" s="253">
        <v>1</v>
      </c>
      <c r="BU23" s="276">
        <f t="shared" si="23"/>
        <v>8</v>
      </c>
      <c r="BV23" s="252">
        <v>0</v>
      </c>
      <c r="BW23" s="253">
        <v>0</v>
      </c>
      <c r="BX23" s="139" t="str">
        <f t="shared" si="24"/>
        <v>-</v>
      </c>
      <c r="BY23" s="20">
        <v>0</v>
      </c>
      <c r="BZ23" s="21">
        <v>0</v>
      </c>
      <c r="CA23" s="139" t="str">
        <f t="shared" si="25"/>
        <v>-</v>
      </c>
      <c r="CB23" s="252">
        <v>5</v>
      </c>
      <c r="CC23" s="253">
        <v>1</v>
      </c>
      <c r="CD23" s="139">
        <f t="shared" si="26"/>
        <v>5</v>
      </c>
      <c r="CE23" s="20">
        <v>0</v>
      </c>
      <c r="CF23" s="21">
        <v>0</v>
      </c>
      <c r="CG23" s="139" t="str">
        <f t="shared" si="27"/>
        <v>-</v>
      </c>
      <c r="CH23" s="20">
        <v>0</v>
      </c>
      <c r="CI23" s="21">
        <v>0</v>
      </c>
      <c r="CJ23" s="139" t="str">
        <f t="shared" si="28"/>
        <v>-</v>
      </c>
      <c r="CK23" s="20">
        <v>9</v>
      </c>
      <c r="CL23" s="21">
        <v>3</v>
      </c>
      <c r="CM23" s="139">
        <f t="shared" si="29"/>
        <v>3</v>
      </c>
      <c r="CN23" s="117">
        <f t="shared" si="32"/>
        <v>225</v>
      </c>
      <c r="CO23" s="120">
        <f t="shared" si="30"/>
        <v>42</v>
      </c>
      <c r="CP23" s="147">
        <f t="shared" si="31"/>
        <v>5.3571428571428568</v>
      </c>
    </row>
    <row r="24" spans="1:94" ht="15" thickBot="1" x14ac:dyDescent="0.35">
      <c r="A24" s="294">
        <v>45736</v>
      </c>
      <c r="B24" s="20">
        <v>103</v>
      </c>
      <c r="C24" s="21">
        <v>14</v>
      </c>
      <c r="D24" s="139">
        <f t="shared" si="0"/>
        <v>7.3571428571428568</v>
      </c>
      <c r="E24" s="20">
        <v>22</v>
      </c>
      <c r="F24" s="21">
        <v>3</v>
      </c>
      <c r="G24" s="139">
        <f t="shared" si="1"/>
        <v>7.333333333333333</v>
      </c>
      <c r="H24" s="20"/>
      <c r="I24" s="21"/>
      <c r="J24" s="139" t="str">
        <f t="shared" si="2"/>
        <v>-</v>
      </c>
      <c r="K24" s="20">
        <v>0</v>
      </c>
      <c r="L24" s="21">
        <v>0</v>
      </c>
      <c r="M24" s="139" t="str">
        <f t="shared" si="3"/>
        <v>-</v>
      </c>
      <c r="N24" s="125">
        <v>0</v>
      </c>
      <c r="O24" s="126">
        <v>0</v>
      </c>
      <c r="P24" s="139" t="str">
        <f t="shared" si="4"/>
        <v>-</v>
      </c>
      <c r="Q24" s="125">
        <v>17</v>
      </c>
      <c r="R24" s="126">
        <v>3</v>
      </c>
      <c r="S24" s="139">
        <f t="shared" si="33"/>
        <v>5.666666666666667</v>
      </c>
      <c r="T24" s="125">
        <v>17</v>
      </c>
      <c r="U24" s="126">
        <v>3</v>
      </c>
      <c r="V24" s="139">
        <f t="shared" si="34"/>
        <v>5.666666666666667</v>
      </c>
      <c r="W24" s="125">
        <v>0</v>
      </c>
      <c r="X24" s="126">
        <v>0</v>
      </c>
      <c r="Y24" s="139" t="str">
        <f t="shared" si="35"/>
        <v>-</v>
      </c>
      <c r="Z24" s="125">
        <v>25</v>
      </c>
      <c r="AA24" s="126">
        <v>5</v>
      </c>
      <c r="AB24" s="139">
        <f t="shared" si="45"/>
        <v>5</v>
      </c>
      <c r="AC24" s="125">
        <v>54</v>
      </c>
      <c r="AD24" s="126">
        <v>11</v>
      </c>
      <c r="AE24" s="139">
        <f t="shared" si="36"/>
        <v>4.9090909090909092</v>
      </c>
      <c r="AF24" s="20">
        <v>0</v>
      </c>
      <c r="AG24" s="21">
        <v>0</v>
      </c>
      <c r="AH24" s="139" t="str">
        <f t="shared" ref="AH24" si="86">IF(AG24=0,"-",AF24/AG24)</f>
        <v>-</v>
      </c>
      <c r="AI24" s="20">
        <v>0</v>
      </c>
      <c r="AJ24" s="21">
        <v>0</v>
      </c>
      <c r="AK24" s="139" t="str">
        <f t="shared" ref="AK24" si="87">IF(AJ24=0,"-",AI24/AJ24)</f>
        <v>-</v>
      </c>
      <c r="AL24" s="20">
        <v>0</v>
      </c>
      <c r="AM24" s="21">
        <v>0</v>
      </c>
      <c r="AN24" s="139" t="str">
        <f t="shared" ref="AN24" si="88">IF(AM24=0,"-",AL24/AM24)</f>
        <v>-</v>
      </c>
      <c r="AO24" s="125">
        <v>30</v>
      </c>
      <c r="AP24" s="126">
        <v>5</v>
      </c>
      <c r="AQ24" s="139">
        <f t="shared" si="40"/>
        <v>6</v>
      </c>
      <c r="AR24" s="20">
        <v>0</v>
      </c>
      <c r="AS24" s="21">
        <v>0</v>
      </c>
      <c r="AT24" s="139" t="str">
        <f t="shared" ref="AT24:AT25" si="89">IF(AS24=0,"-",AR24/AS24)</f>
        <v>-</v>
      </c>
      <c r="AU24" s="20">
        <v>0</v>
      </c>
      <c r="AV24" s="21">
        <v>0</v>
      </c>
      <c r="AW24" s="139" t="str">
        <f t="shared" si="85"/>
        <v>-</v>
      </c>
      <c r="AX24" s="20">
        <v>0</v>
      </c>
      <c r="AY24" s="21">
        <v>0</v>
      </c>
      <c r="AZ24" s="139" t="str">
        <f t="shared" si="50"/>
        <v>-</v>
      </c>
      <c r="BA24" s="20">
        <v>0</v>
      </c>
      <c r="BB24" s="21">
        <v>0</v>
      </c>
      <c r="BC24" s="139" t="str">
        <f t="shared" si="77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52">
        <v>16</v>
      </c>
      <c r="BK24" s="253">
        <v>3</v>
      </c>
      <c r="BL24" s="276">
        <f t="shared" si="20"/>
        <v>5.333333333333333</v>
      </c>
      <c r="BM24" s="252">
        <v>0</v>
      </c>
      <c r="BN24" s="253">
        <v>0</v>
      </c>
      <c r="BO24" s="276" t="str">
        <f t="shared" si="21"/>
        <v>-</v>
      </c>
      <c r="BP24" s="302">
        <v>0</v>
      </c>
      <c r="BQ24" s="303">
        <v>0</v>
      </c>
      <c r="BR24" s="276" t="str">
        <f t="shared" si="22"/>
        <v>-</v>
      </c>
      <c r="BS24" s="256">
        <v>6</v>
      </c>
      <c r="BT24" s="253">
        <v>1</v>
      </c>
      <c r="BU24" s="276">
        <f t="shared" si="23"/>
        <v>6</v>
      </c>
      <c r="BV24" s="252">
        <v>0</v>
      </c>
      <c r="BW24" s="253">
        <v>0</v>
      </c>
      <c r="BX24" s="139" t="str">
        <f t="shared" si="24"/>
        <v>-</v>
      </c>
      <c r="BY24" s="252">
        <v>0</v>
      </c>
      <c r="BZ24" s="253">
        <v>0</v>
      </c>
      <c r="CA24" s="139">
        <v>0</v>
      </c>
      <c r="CB24" s="252">
        <v>0</v>
      </c>
      <c r="CC24" s="253">
        <v>0</v>
      </c>
      <c r="CD24" s="139" t="str">
        <f t="shared" si="26"/>
        <v>-</v>
      </c>
      <c r="CE24" s="20">
        <v>26</v>
      </c>
      <c r="CF24" s="21">
        <v>4</v>
      </c>
      <c r="CG24" s="139">
        <f t="shared" si="27"/>
        <v>6.5</v>
      </c>
      <c r="CH24" s="20">
        <v>0</v>
      </c>
      <c r="CI24" s="21">
        <v>0</v>
      </c>
      <c r="CJ24" s="139" t="str">
        <f t="shared" si="28"/>
        <v>-</v>
      </c>
      <c r="CK24" s="20">
        <v>0</v>
      </c>
      <c r="CL24" s="21">
        <v>0</v>
      </c>
      <c r="CM24" s="139" t="str">
        <f t="shared" si="29"/>
        <v>-</v>
      </c>
      <c r="CN24" s="117">
        <f t="shared" si="32"/>
        <v>316</v>
      </c>
      <c r="CO24" s="120">
        <f t="shared" si="30"/>
        <v>47</v>
      </c>
      <c r="CP24" s="147">
        <f t="shared" si="31"/>
        <v>6.7234042553191493</v>
      </c>
    </row>
    <row r="25" spans="1:94" ht="15" thickBot="1" x14ac:dyDescent="0.35">
      <c r="A25" s="294">
        <v>45737</v>
      </c>
      <c r="B25" s="20">
        <v>54</v>
      </c>
      <c r="C25" s="21">
        <v>8</v>
      </c>
      <c r="D25" s="139">
        <f t="shared" si="0"/>
        <v>6.75</v>
      </c>
      <c r="E25" s="20">
        <v>8</v>
      </c>
      <c r="F25" s="21">
        <v>1</v>
      </c>
      <c r="G25" s="139">
        <f t="shared" si="1"/>
        <v>8</v>
      </c>
      <c r="H25" s="20"/>
      <c r="I25" s="21"/>
      <c r="J25" s="139" t="str">
        <f t="shared" si="2"/>
        <v>-</v>
      </c>
      <c r="K25" s="20">
        <v>0</v>
      </c>
      <c r="L25" s="21">
        <v>0</v>
      </c>
      <c r="M25" s="139" t="str">
        <f t="shared" si="3"/>
        <v>-</v>
      </c>
      <c r="N25" s="125">
        <v>0</v>
      </c>
      <c r="O25" s="126">
        <v>0</v>
      </c>
      <c r="P25" s="139" t="str">
        <f t="shared" si="4"/>
        <v>-</v>
      </c>
      <c r="Q25" s="125">
        <v>24</v>
      </c>
      <c r="R25" s="126">
        <v>4</v>
      </c>
      <c r="S25" s="139">
        <f t="shared" si="33"/>
        <v>6</v>
      </c>
      <c r="T25" s="125">
        <v>0</v>
      </c>
      <c r="U25" s="126">
        <v>0</v>
      </c>
      <c r="V25" s="139" t="str">
        <f t="shared" si="34"/>
        <v>-</v>
      </c>
      <c r="W25" s="125">
        <v>0</v>
      </c>
      <c r="X25" s="126">
        <v>0</v>
      </c>
      <c r="Y25" s="139" t="str">
        <f t="shared" si="35"/>
        <v>-</v>
      </c>
      <c r="Z25" s="125">
        <v>0</v>
      </c>
      <c r="AA25" s="126">
        <v>0</v>
      </c>
      <c r="AB25" s="139" t="str">
        <f t="shared" si="45"/>
        <v>-</v>
      </c>
      <c r="AC25" s="125">
        <v>25</v>
      </c>
      <c r="AD25" s="126">
        <v>5</v>
      </c>
      <c r="AE25" s="139">
        <f t="shared" si="36"/>
        <v>5</v>
      </c>
      <c r="AF25" s="20">
        <v>0</v>
      </c>
      <c r="AG25" s="21">
        <v>0</v>
      </c>
      <c r="AH25" s="139" t="str">
        <f t="shared" ref="AH25:AH26" si="90">IF(AG25=0,"-",AF25/AG25)</f>
        <v>-</v>
      </c>
      <c r="AI25" s="20">
        <v>0</v>
      </c>
      <c r="AJ25" s="21">
        <v>0</v>
      </c>
      <c r="AK25" s="139" t="str">
        <f t="shared" ref="AK25:AK26" si="91">IF(AJ25=0,"-",AI25/AJ25)</f>
        <v>-</v>
      </c>
      <c r="AL25" s="20">
        <v>0</v>
      </c>
      <c r="AM25" s="21">
        <v>0</v>
      </c>
      <c r="AN25" s="139" t="str">
        <f t="shared" ref="AN25" si="92">IF(AM25=0,"-",AL25/AM25)</f>
        <v>-</v>
      </c>
      <c r="AO25" s="125">
        <v>30</v>
      </c>
      <c r="AP25" s="126">
        <v>5</v>
      </c>
      <c r="AQ25" s="139">
        <f t="shared" si="40"/>
        <v>6</v>
      </c>
      <c r="AR25" s="20">
        <v>0</v>
      </c>
      <c r="AS25" s="21">
        <v>0</v>
      </c>
      <c r="AT25" s="139" t="str">
        <f t="shared" si="89"/>
        <v>-</v>
      </c>
      <c r="AU25" s="20">
        <v>0</v>
      </c>
      <c r="AV25" s="21">
        <v>0</v>
      </c>
      <c r="AW25" s="139" t="str">
        <f t="shared" si="85"/>
        <v>-</v>
      </c>
      <c r="AX25" s="20">
        <v>0</v>
      </c>
      <c r="AY25" s="21">
        <v>0</v>
      </c>
      <c r="AZ25" s="139" t="str">
        <f t="shared" si="50"/>
        <v>-</v>
      </c>
      <c r="BA25" s="20">
        <v>0</v>
      </c>
      <c r="BB25" s="21">
        <v>0</v>
      </c>
      <c r="BC25" s="139" t="str">
        <f t="shared" si="77"/>
        <v>-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52">
        <v>0</v>
      </c>
      <c r="BK25" s="253">
        <v>0</v>
      </c>
      <c r="BL25" s="276" t="str">
        <f t="shared" si="20"/>
        <v>-</v>
      </c>
      <c r="BM25" s="252">
        <v>0</v>
      </c>
      <c r="BN25" s="253">
        <v>0</v>
      </c>
      <c r="BO25" s="276" t="str">
        <f t="shared" si="21"/>
        <v>-</v>
      </c>
      <c r="BP25" s="302">
        <v>0</v>
      </c>
      <c r="BQ25" s="303">
        <v>0</v>
      </c>
      <c r="BR25" s="276" t="str">
        <f t="shared" si="22"/>
        <v>-</v>
      </c>
      <c r="BS25" s="257">
        <v>0</v>
      </c>
      <c r="BT25" s="253">
        <v>0</v>
      </c>
      <c r="BU25" s="276" t="str">
        <f t="shared" si="23"/>
        <v>-</v>
      </c>
      <c r="BV25" s="252">
        <v>2</v>
      </c>
      <c r="BW25" s="253">
        <v>1</v>
      </c>
      <c r="BX25" s="139">
        <f t="shared" si="24"/>
        <v>2</v>
      </c>
      <c r="BY25" s="252">
        <v>0</v>
      </c>
      <c r="BZ25" s="253">
        <v>0</v>
      </c>
      <c r="CA25" s="139">
        <v>0</v>
      </c>
      <c r="CB25" s="252">
        <v>0</v>
      </c>
      <c r="CC25" s="253">
        <v>0</v>
      </c>
      <c r="CD25" s="139" t="str">
        <f t="shared" si="26"/>
        <v>-</v>
      </c>
      <c r="CE25" s="252">
        <v>0</v>
      </c>
      <c r="CF25" s="253">
        <v>0</v>
      </c>
      <c r="CG25" s="139" t="str">
        <f t="shared" si="27"/>
        <v>-</v>
      </c>
      <c r="CH25" s="20">
        <v>0</v>
      </c>
      <c r="CI25" s="21">
        <v>0</v>
      </c>
      <c r="CJ25" s="139" t="str">
        <f t="shared" si="28"/>
        <v>-</v>
      </c>
      <c r="CK25" s="20">
        <v>0</v>
      </c>
      <c r="CL25" s="21">
        <v>0</v>
      </c>
      <c r="CM25" s="139" t="str">
        <f t="shared" si="29"/>
        <v>-</v>
      </c>
      <c r="CN25" s="117">
        <f t="shared" si="32"/>
        <v>143</v>
      </c>
      <c r="CO25" s="120">
        <f t="shared" si="30"/>
        <v>18</v>
      </c>
      <c r="CP25" s="147">
        <f t="shared" si="31"/>
        <v>7.9444444444444446</v>
      </c>
    </row>
    <row r="26" spans="1:94" ht="15" thickBot="1" x14ac:dyDescent="0.35">
      <c r="A26" s="294">
        <v>45738</v>
      </c>
      <c r="B26" s="20">
        <v>33</v>
      </c>
      <c r="C26" s="21">
        <v>4</v>
      </c>
      <c r="D26" s="139">
        <f t="shared" si="0"/>
        <v>8.25</v>
      </c>
      <c r="E26" s="20">
        <v>0</v>
      </c>
      <c r="F26" s="21">
        <v>0</v>
      </c>
      <c r="G26" s="139">
        <v>0</v>
      </c>
      <c r="H26" s="20"/>
      <c r="I26" s="21"/>
      <c r="J26" s="139" t="str">
        <f t="shared" si="2"/>
        <v>-</v>
      </c>
      <c r="K26" s="20">
        <v>0</v>
      </c>
      <c r="L26" s="21">
        <v>0</v>
      </c>
      <c r="M26" s="139" t="str">
        <f>IF(L26=0,"-",K26/L26)</f>
        <v>-</v>
      </c>
      <c r="N26" s="125">
        <v>0</v>
      </c>
      <c r="O26" s="126">
        <v>0</v>
      </c>
      <c r="P26" s="139" t="str">
        <f t="shared" si="4"/>
        <v>-</v>
      </c>
      <c r="Q26" s="125">
        <v>24</v>
      </c>
      <c r="R26" s="126">
        <v>4</v>
      </c>
      <c r="S26" s="139">
        <f t="shared" si="33"/>
        <v>6</v>
      </c>
      <c r="T26" s="125">
        <v>0</v>
      </c>
      <c r="U26" s="126">
        <v>0</v>
      </c>
      <c r="V26" s="139" t="str">
        <f t="shared" ref="V26" si="93">IF(U26=0,"-",T26/U26)</f>
        <v>-</v>
      </c>
      <c r="W26" s="125">
        <v>0</v>
      </c>
      <c r="X26" s="126">
        <v>0</v>
      </c>
      <c r="Y26" s="139" t="str">
        <f t="shared" ref="Y26" si="94">IF(X26=0,"-",W26/X26)</f>
        <v>-</v>
      </c>
      <c r="Z26" s="125">
        <v>0</v>
      </c>
      <c r="AA26" s="126">
        <v>0</v>
      </c>
      <c r="AB26" s="139" t="str">
        <f t="shared" ref="AB26" si="95">IF(AA26=0,"-",Z26/AA26)</f>
        <v>-</v>
      </c>
      <c r="AC26" s="125">
        <v>0</v>
      </c>
      <c r="AD26" s="126">
        <v>0</v>
      </c>
      <c r="AE26" s="139" t="str">
        <f t="shared" si="36"/>
        <v>-</v>
      </c>
      <c r="AF26" s="125">
        <v>0</v>
      </c>
      <c r="AG26" s="126">
        <v>0</v>
      </c>
      <c r="AH26" s="139" t="str">
        <f t="shared" si="90"/>
        <v>-</v>
      </c>
      <c r="AI26" s="125">
        <v>0</v>
      </c>
      <c r="AJ26" s="126">
        <v>0</v>
      </c>
      <c r="AK26" s="139" t="str">
        <f t="shared" si="91"/>
        <v>-</v>
      </c>
      <c r="AL26" s="125">
        <v>6</v>
      </c>
      <c r="AM26" s="126">
        <v>1</v>
      </c>
      <c r="AN26" s="139">
        <f t="shared" si="39"/>
        <v>6</v>
      </c>
      <c r="AO26" s="125">
        <v>0</v>
      </c>
      <c r="AP26" s="126">
        <v>0</v>
      </c>
      <c r="AQ26" s="139" t="str">
        <f t="shared" si="40"/>
        <v>-</v>
      </c>
      <c r="AR26" s="125">
        <v>8</v>
      </c>
      <c r="AS26" s="126">
        <v>1</v>
      </c>
      <c r="AT26" s="139">
        <f t="shared" si="48"/>
        <v>8</v>
      </c>
      <c r="AU26" s="125">
        <v>0</v>
      </c>
      <c r="AV26" s="126">
        <v>0</v>
      </c>
      <c r="AW26" s="139" t="str">
        <f t="shared" si="85"/>
        <v>-</v>
      </c>
      <c r="AX26" s="125">
        <v>0</v>
      </c>
      <c r="AY26" s="126">
        <v>0</v>
      </c>
      <c r="AZ26" s="139" t="str">
        <f t="shared" si="50"/>
        <v>-</v>
      </c>
      <c r="BA26" s="125">
        <v>0</v>
      </c>
      <c r="BB26" s="126">
        <v>0</v>
      </c>
      <c r="BC26" s="139" t="str">
        <f t="shared" si="77"/>
        <v>-</v>
      </c>
      <c r="BD26" s="125">
        <v>0</v>
      </c>
      <c r="BE26" s="126">
        <v>0</v>
      </c>
      <c r="BF26" s="139" t="str">
        <f t="shared" si="18"/>
        <v>-</v>
      </c>
      <c r="BG26" s="125">
        <v>0</v>
      </c>
      <c r="BH26" s="126">
        <v>0</v>
      </c>
      <c r="BI26" s="139" t="str">
        <f t="shared" si="19"/>
        <v>-</v>
      </c>
      <c r="BJ26" s="252">
        <v>42</v>
      </c>
      <c r="BK26" s="253">
        <v>8</v>
      </c>
      <c r="BL26" s="276">
        <f t="shared" si="20"/>
        <v>5.25</v>
      </c>
      <c r="BM26" s="252">
        <v>0</v>
      </c>
      <c r="BN26" s="253">
        <v>0</v>
      </c>
      <c r="BO26" s="276" t="str">
        <f t="shared" si="21"/>
        <v>-</v>
      </c>
      <c r="BP26" s="302">
        <v>0</v>
      </c>
      <c r="BQ26" s="303">
        <v>0</v>
      </c>
      <c r="BR26" s="276" t="str">
        <f t="shared" si="22"/>
        <v>-</v>
      </c>
      <c r="BS26" s="257">
        <v>5</v>
      </c>
      <c r="BT26" s="253">
        <v>1</v>
      </c>
      <c r="BU26" s="276">
        <f t="shared" si="23"/>
        <v>5</v>
      </c>
      <c r="BV26" s="125">
        <v>0</v>
      </c>
      <c r="BW26" s="126">
        <v>0</v>
      </c>
      <c r="BX26" s="139" t="str">
        <f t="shared" si="24"/>
        <v>-</v>
      </c>
      <c r="BY26" s="252">
        <v>0</v>
      </c>
      <c r="BZ26" s="253">
        <v>0</v>
      </c>
      <c r="CA26" s="139">
        <v>0</v>
      </c>
      <c r="CB26" s="125">
        <v>0</v>
      </c>
      <c r="CC26" s="126">
        <v>0</v>
      </c>
      <c r="CD26" s="139" t="str">
        <f>IF(CC26=0,"-",CB26/CC26)</f>
        <v>-</v>
      </c>
      <c r="CE26" s="125">
        <v>0</v>
      </c>
      <c r="CF26" s="126">
        <v>0</v>
      </c>
      <c r="CG26" s="139" t="str">
        <f>IF(CF26=0,"-",CE26/CF26)</f>
        <v>-</v>
      </c>
      <c r="CH26" s="20">
        <v>0</v>
      </c>
      <c r="CI26" s="21">
        <v>0</v>
      </c>
      <c r="CJ26" s="139" t="str">
        <f t="shared" si="28"/>
        <v>-</v>
      </c>
      <c r="CK26" s="20">
        <v>0</v>
      </c>
      <c r="CL26" s="21">
        <v>0</v>
      </c>
      <c r="CM26" s="139" t="str">
        <f t="shared" si="29"/>
        <v>-</v>
      </c>
      <c r="CN26" s="117">
        <f t="shared" si="32"/>
        <v>118</v>
      </c>
      <c r="CO26" s="120">
        <f t="shared" si="30"/>
        <v>18</v>
      </c>
      <c r="CP26" s="147">
        <f t="shared" si="31"/>
        <v>6.5555555555555554</v>
      </c>
    </row>
    <row r="27" spans="1:94" ht="15" thickBot="1" x14ac:dyDescent="0.35">
      <c r="A27" s="294">
        <v>45739</v>
      </c>
      <c r="B27" s="20">
        <v>16</v>
      </c>
      <c r="C27" s="21">
        <v>2</v>
      </c>
      <c r="D27" s="139">
        <f t="shared" si="0"/>
        <v>8</v>
      </c>
      <c r="E27" s="20">
        <v>8</v>
      </c>
      <c r="F27" s="21">
        <v>1</v>
      </c>
      <c r="G27" s="139">
        <v>0</v>
      </c>
      <c r="H27" s="20"/>
      <c r="I27" s="21"/>
      <c r="J27" s="139" t="str">
        <f t="shared" si="2"/>
        <v>-</v>
      </c>
      <c r="K27" s="20">
        <v>38</v>
      </c>
      <c r="L27" s="21">
        <v>4</v>
      </c>
      <c r="M27" s="139">
        <f t="shared" si="3"/>
        <v>9.5</v>
      </c>
      <c r="N27" s="125">
        <v>0</v>
      </c>
      <c r="O27" s="126">
        <v>0</v>
      </c>
      <c r="P27" s="139" t="str">
        <f t="shared" si="4"/>
        <v>-</v>
      </c>
      <c r="Q27" s="125">
        <v>6</v>
      </c>
      <c r="R27" s="126">
        <v>1</v>
      </c>
      <c r="S27" s="139">
        <f t="shared" si="33"/>
        <v>6</v>
      </c>
      <c r="T27" s="125">
        <v>0</v>
      </c>
      <c r="U27" s="126">
        <v>0</v>
      </c>
      <c r="V27" s="139" t="str">
        <f t="shared" ref="V27" si="96">IF(U27=0,"-",T27/U27)</f>
        <v>-</v>
      </c>
      <c r="W27" s="125">
        <v>0</v>
      </c>
      <c r="X27" s="126">
        <v>0</v>
      </c>
      <c r="Y27" s="139" t="str">
        <f t="shared" ref="Y27" si="97">IF(X27=0,"-",W27/X27)</f>
        <v>-</v>
      </c>
      <c r="Z27" s="125">
        <v>0</v>
      </c>
      <c r="AA27" s="126">
        <v>0</v>
      </c>
      <c r="AB27" s="139" t="str">
        <f t="shared" ref="AB27" si="98">IF(AA27=0,"-",Z27/AA27)</f>
        <v>-</v>
      </c>
      <c r="AC27" s="125">
        <v>0</v>
      </c>
      <c r="AD27" s="126">
        <v>0</v>
      </c>
      <c r="AE27" s="139" t="str">
        <f t="shared" ref="AE27" si="99">IF(AD27=0,"-",AC27/AD27)</f>
        <v>-</v>
      </c>
      <c r="AF27" s="125">
        <v>6</v>
      </c>
      <c r="AG27" s="126">
        <v>1</v>
      </c>
      <c r="AH27" s="139">
        <f t="shared" si="37"/>
        <v>6</v>
      </c>
      <c r="AI27" s="125">
        <v>0</v>
      </c>
      <c r="AJ27" s="126">
        <v>0</v>
      </c>
      <c r="AK27" s="139" t="str">
        <f t="shared" ref="AK27" si="100">IF(AJ27=0,"-",AI27/AJ27)</f>
        <v>-</v>
      </c>
      <c r="AL27" s="125">
        <v>0</v>
      </c>
      <c r="AM27" s="126">
        <v>0</v>
      </c>
      <c r="AN27" s="139" t="str">
        <f t="shared" si="39"/>
        <v>-</v>
      </c>
      <c r="AO27" s="125">
        <v>0</v>
      </c>
      <c r="AP27" s="126">
        <v>0</v>
      </c>
      <c r="AQ27" s="139" t="str">
        <f t="shared" si="40"/>
        <v>-</v>
      </c>
      <c r="AR27" s="125">
        <v>7</v>
      </c>
      <c r="AS27" s="126">
        <v>1</v>
      </c>
      <c r="AT27" s="139">
        <f t="shared" si="48"/>
        <v>7</v>
      </c>
      <c r="AU27" s="125">
        <v>0</v>
      </c>
      <c r="AV27" s="126">
        <v>0</v>
      </c>
      <c r="AW27" s="139" t="str">
        <f t="shared" si="85"/>
        <v>-</v>
      </c>
      <c r="AX27" s="125">
        <v>0</v>
      </c>
      <c r="AY27" s="126">
        <v>0</v>
      </c>
      <c r="AZ27" s="139" t="str">
        <f t="shared" si="50"/>
        <v>-</v>
      </c>
      <c r="BA27" s="125">
        <v>0</v>
      </c>
      <c r="BB27" s="126">
        <v>0</v>
      </c>
      <c r="BC27" s="139" t="str">
        <f t="shared" si="77"/>
        <v>-</v>
      </c>
      <c r="BD27" s="125">
        <v>0</v>
      </c>
      <c r="BE27" s="126">
        <v>0</v>
      </c>
      <c r="BF27" s="139" t="str">
        <f t="shared" si="18"/>
        <v>-</v>
      </c>
      <c r="BG27" s="125">
        <v>0</v>
      </c>
      <c r="BH27" s="126">
        <v>0</v>
      </c>
      <c r="BI27" s="139" t="str">
        <f t="shared" si="19"/>
        <v>-</v>
      </c>
      <c r="BJ27" s="252">
        <v>0</v>
      </c>
      <c r="BK27" s="253">
        <v>0</v>
      </c>
      <c r="BL27" s="276" t="str">
        <f t="shared" si="20"/>
        <v>-</v>
      </c>
      <c r="BM27" s="252">
        <v>0</v>
      </c>
      <c r="BN27" s="253">
        <v>0</v>
      </c>
      <c r="BO27" s="276" t="str">
        <f t="shared" si="21"/>
        <v>-</v>
      </c>
      <c r="BP27" s="302">
        <v>0</v>
      </c>
      <c r="BQ27" s="303">
        <v>0</v>
      </c>
      <c r="BR27" s="276" t="str">
        <f t="shared" si="22"/>
        <v>-</v>
      </c>
      <c r="BS27" s="257">
        <v>7</v>
      </c>
      <c r="BT27" s="253">
        <v>1</v>
      </c>
      <c r="BU27" s="276">
        <f t="shared" si="23"/>
        <v>7</v>
      </c>
      <c r="BV27" s="125">
        <v>0</v>
      </c>
      <c r="BW27" s="126">
        <v>0</v>
      </c>
      <c r="BX27" s="139" t="str">
        <f t="shared" si="24"/>
        <v>-</v>
      </c>
      <c r="BY27" s="125">
        <v>0</v>
      </c>
      <c r="BZ27" s="126">
        <v>0</v>
      </c>
      <c r="CA27" s="139" t="str">
        <f t="shared" ref="CA27" si="101">IF(BZ27=0,"-",BY27/BZ27)</f>
        <v>-</v>
      </c>
      <c r="CB27" s="125">
        <v>3</v>
      </c>
      <c r="CC27" s="126">
        <v>1</v>
      </c>
      <c r="CD27" s="139">
        <f t="shared" si="26"/>
        <v>3</v>
      </c>
      <c r="CE27" s="125">
        <v>0</v>
      </c>
      <c r="CF27" s="126">
        <v>0</v>
      </c>
      <c r="CG27" s="139" t="str">
        <f>IF(CF27=0,"-",CE27/CF27)</f>
        <v>-</v>
      </c>
      <c r="CH27" s="20">
        <v>0</v>
      </c>
      <c r="CI27" s="21">
        <v>0</v>
      </c>
      <c r="CJ27" s="139" t="str">
        <f t="shared" si="28"/>
        <v>-</v>
      </c>
      <c r="CK27" s="20">
        <v>0</v>
      </c>
      <c r="CL27" s="21">
        <v>0</v>
      </c>
      <c r="CM27" s="139" t="str">
        <f t="shared" si="29"/>
        <v>-</v>
      </c>
      <c r="CN27" s="117">
        <f t="shared" si="32"/>
        <v>91</v>
      </c>
      <c r="CO27" s="120">
        <f t="shared" si="30"/>
        <v>12</v>
      </c>
      <c r="CP27" s="147">
        <f t="shared" si="31"/>
        <v>7.583333333333333</v>
      </c>
    </row>
    <row r="28" spans="1:94" ht="15" thickBot="1" x14ac:dyDescent="0.35">
      <c r="A28" s="294">
        <v>45740</v>
      </c>
      <c r="B28" s="20">
        <v>40</v>
      </c>
      <c r="C28" s="21">
        <v>6</v>
      </c>
      <c r="D28" s="139">
        <f t="shared" si="0"/>
        <v>6.666666666666667</v>
      </c>
      <c r="E28" s="20">
        <v>8</v>
      </c>
      <c r="F28" s="21">
        <v>1</v>
      </c>
      <c r="G28" s="139">
        <v>0</v>
      </c>
      <c r="H28" s="20"/>
      <c r="I28" s="21"/>
      <c r="J28" s="139" t="str">
        <f t="shared" si="2"/>
        <v>-</v>
      </c>
      <c r="K28" s="20">
        <v>32</v>
      </c>
      <c r="L28" s="21">
        <v>4</v>
      </c>
      <c r="M28" s="139">
        <f t="shared" si="3"/>
        <v>8</v>
      </c>
      <c r="N28" s="125">
        <v>0</v>
      </c>
      <c r="O28" s="126">
        <v>0</v>
      </c>
      <c r="P28" s="139" t="str">
        <f t="shared" ref="P28:P31" si="102">IF(O28=0,"-",N28/O28)</f>
        <v>-</v>
      </c>
      <c r="Q28" s="125">
        <v>126</v>
      </c>
      <c r="R28" s="126">
        <v>26</v>
      </c>
      <c r="S28" s="139">
        <f t="shared" si="33"/>
        <v>4.8461538461538458</v>
      </c>
      <c r="T28" s="125">
        <v>0</v>
      </c>
      <c r="U28" s="126">
        <v>0</v>
      </c>
      <c r="V28" s="139" t="str">
        <f t="shared" si="34"/>
        <v>-</v>
      </c>
      <c r="W28" s="125">
        <v>0</v>
      </c>
      <c r="X28" s="126">
        <v>0</v>
      </c>
      <c r="Y28" s="139" t="str">
        <f t="shared" si="35"/>
        <v>-</v>
      </c>
      <c r="Z28" s="125">
        <v>30</v>
      </c>
      <c r="AA28" s="126">
        <v>6</v>
      </c>
      <c r="AB28" s="139">
        <f t="shared" si="45"/>
        <v>5</v>
      </c>
      <c r="AC28" s="125">
        <v>0</v>
      </c>
      <c r="AD28" s="126">
        <v>0</v>
      </c>
      <c r="AE28" s="139" t="str">
        <f t="shared" si="36"/>
        <v>-</v>
      </c>
      <c r="AF28" s="125">
        <v>0</v>
      </c>
      <c r="AG28" s="126">
        <v>0</v>
      </c>
      <c r="AH28" s="139" t="str">
        <f t="shared" si="37"/>
        <v>-</v>
      </c>
      <c r="AI28" s="125">
        <v>0</v>
      </c>
      <c r="AJ28" s="126">
        <v>0</v>
      </c>
      <c r="AK28" s="139" t="str">
        <f t="shared" si="38"/>
        <v>-</v>
      </c>
      <c r="AL28" s="125">
        <v>0</v>
      </c>
      <c r="AM28" s="126">
        <v>0</v>
      </c>
      <c r="AN28" s="139" t="str">
        <f t="shared" si="39"/>
        <v>-</v>
      </c>
      <c r="AO28" s="125">
        <v>0</v>
      </c>
      <c r="AP28" s="126">
        <v>0</v>
      </c>
      <c r="AQ28" s="139" t="str">
        <f t="shared" si="40"/>
        <v>-</v>
      </c>
      <c r="AR28" s="125">
        <v>0</v>
      </c>
      <c r="AS28" s="126">
        <v>0</v>
      </c>
      <c r="AT28" s="139" t="str">
        <f t="shared" si="48"/>
        <v>-</v>
      </c>
      <c r="AU28" s="125">
        <v>0</v>
      </c>
      <c r="AV28" s="126">
        <v>0</v>
      </c>
      <c r="AW28" s="139" t="str">
        <f t="shared" si="85"/>
        <v>-</v>
      </c>
      <c r="AX28" s="125">
        <v>0</v>
      </c>
      <c r="AY28" s="126">
        <v>0</v>
      </c>
      <c r="AZ28" s="139" t="str">
        <f t="shared" si="50"/>
        <v>-</v>
      </c>
      <c r="BA28" s="125">
        <v>0</v>
      </c>
      <c r="BB28" s="126">
        <v>0</v>
      </c>
      <c r="BC28" s="139" t="str">
        <f t="shared" si="77"/>
        <v>-</v>
      </c>
      <c r="BD28" s="125">
        <v>0</v>
      </c>
      <c r="BE28" s="126">
        <v>0</v>
      </c>
      <c r="BF28" s="139" t="str">
        <f t="shared" si="18"/>
        <v>-</v>
      </c>
      <c r="BG28" s="125">
        <v>0</v>
      </c>
      <c r="BH28" s="126">
        <v>0</v>
      </c>
      <c r="BI28" s="139" t="str">
        <f>IF(BH28=0,"-",BG28/BH28)</f>
        <v>-</v>
      </c>
      <c r="BJ28" s="252">
        <v>6</v>
      </c>
      <c r="BK28" s="253">
        <v>1</v>
      </c>
      <c r="BL28" s="276">
        <f t="shared" si="20"/>
        <v>6</v>
      </c>
      <c r="BM28" s="252">
        <v>0</v>
      </c>
      <c r="BN28" s="253">
        <v>0</v>
      </c>
      <c r="BO28" s="276" t="str">
        <f t="shared" si="21"/>
        <v>-</v>
      </c>
      <c r="BP28" s="302">
        <v>0</v>
      </c>
      <c r="BQ28" s="303">
        <v>0</v>
      </c>
      <c r="BR28" s="276" t="str">
        <f t="shared" si="22"/>
        <v>-</v>
      </c>
      <c r="BS28" s="257">
        <v>7</v>
      </c>
      <c r="BT28" s="253">
        <v>1</v>
      </c>
      <c r="BU28" s="276">
        <f t="shared" si="23"/>
        <v>7</v>
      </c>
      <c r="BV28" s="125">
        <v>0</v>
      </c>
      <c r="BW28" s="126">
        <v>0</v>
      </c>
      <c r="BX28" s="139" t="str">
        <f t="shared" ref="BX28" si="103">IF(BW28=0,"-",BV28/BW28)</f>
        <v>-</v>
      </c>
      <c r="BY28" s="125">
        <v>0</v>
      </c>
      <c r="BZ28" s="126">
        <v>0</v>
      </c>
      <c r="CA28" s="139" t="str">
        <f t="shared" ref="CA28" si="104">IF(BZ28=0,"-",BY28/BZ28)</f>
        <v>-</v>
      </c>
      <c r="CB28" s="125">
        <v>0</v>
      </c>
      <c r="CC28" s="126">
        <v>0</v>
      </c>
      <c r="CD28" s="139" t="str">
        <f t="shared" si="26"/>
        <v>-</v>
      </c>
      <c r="CE28" s="20">
        <v>5</v>
      </c>
      <c r="CF28" s="21">
        <v>1</v>
      </c>
      <c r="CG28" s="139">
        <f t="shared" si="27"/>
        <v>5</v>
      </c>
      <c r="CH28" s="20">
        <v>0</v>
      </c>
      <c r="CI28" s="21">
        <v>0</v>
      </c>
      <c r="CJ28" s="139" t="str">
        <f t="shared" si="28"/>
        <v>-</v>
      </c>
      <c r="CK28" s="20">
        <v>0</v>
      </c>
      <c r="CL28" s="21">
        <v>0</v>
      </c>
      <c r="CM28" s="139" t="str">
        <f t="shared" si="29"/>
        <v>-</v>
      </c>
      <c r="CN28" s="117">
        <f t="shared" si="32"/>
        <v>254</v>
      </c>
      <c r="CO28" s="120">
        <f t="shared" si="30"/>
        <v>46</v>
      </c>
      <c r="CP28" s="147">
        <f t="shared" si="31"/>
        <v>5.5217391304347823</v>
      </c>
    </row>
    <row r="29" spans="1:94" ht="15" thickBot="1" x14ac:dyDescent="0.35">
      <c r="A29" s="294">
        <v>45741</v>
      </c>
      <c r="B29" s="20">
        <v>64</v>
      </c>
      <c r="C29" s="21">
        <v>9</v>
      </c>
      <c r="D29" s="139">
        <f t="shared" si="0"/>
        <v>7.1111111111111107</v>
      </c>
      <c r="E29" s="20">
        <v>0</v>
      </c>
      <c r="F29" s="21">
        <v>0</v>
      </c>
      <c r="G29" s="139">
        <v>0</v>
      </c>
      <c r="H29" s="20"/>
      <c r="I29" s="21"/>
      <c r="J29" s="139" t="str">
        <f t="shared" si="2"/>
        <v>-</v>
      </c>
      <c r="K29" s="20">
        <v>8</v>
      </c>
      <c r="L29" s="21">
        <v>1</v>
      </c>
      <c r="M29" s="139">
        <f t="shared" si="3"/>
        <v>8</v>
      </c>
      <c r="N29" s="125">
        <v>0</v>
      </c>
      <c r="O29" s="126">
        <v>0</v>
      </c>
      <c r="P29" s="139" t="str">
        <f t="shared" si="102"/>
        <v>-</v>
      </c>
      <c r="Q29" s="125">
        <v>76</v>
      </c>
      <c r="R29" s="126">
        <v>14</v>
      </c>
      <c r="S29" s="139">
        <f t="shared" si="33"/>
        <v>5.4285714285714288</v>
      </c>
      <c r="T29" s="125">
        <v>0</v>
      </c>
      <c r="U29" s="126">
        <v>0</v>
      </c>
      <c r="V29" s="139" t="str">
        <f t="shared" si="34"/>
        <v>-</v>
      </c>
      <c r="W29" s="125">
        <v>0</v>
      </c>
      <c r="X29" s="126">
        <v>0</v>
      </c>
      <c r="Y29" s="139" t="str">
        <f t="shared" si="35"/>
        <v>-</v>
      </c>
      <c r="Z29" s="125">
        <v>30</v>
      </c>
      <c r="AA29" s="126">
        <v>6</v>
      </c>
      <c r="AB29" s="139">
        <f t="shared" si="45"/>
        <v>5</v>
      </c>
      <c r="AC29" s="125">
        <v>0</v>
      </c>
      <c r="AD29" s="126">
        <v>0</v>
      </c>
      <c r="AE29" s="139" t="str">
        <f t="shared" ref="AE29" si="105">IF(AD29=0,"-",AC29/AD29)</f>
        <v>-</v>
      </c>
      <c r="AF29" s="125">
        <v>0</v>
      </c>
      <c r="AG29" s="126">
        <v>0</v>
      </c>
      <c r="AH29" s="139" t="str">
        <f t="shared" ref="AH29" si="106">IF(AG29=0,"-",AF29/AG29)</f>
        <v>-</v>
      </c>
      <c r="AI29" s="125">
        <v>0</v>
      </c>
      <c r="AJ29" s="126">
        <v>0</v>
      </c>
      <c r="AK29" s="139" t="str">
        <f t="shared" ref="AK29" si="107">IF(AJ29=0,"-",AI29/AJ29)</f>
        <v>-</v>
      </c>
      <c r="AL29" s="125">
        <v>0</v>
      </c>
      <c r="AM29" s="126">
        <v>0</v>
      </c>
      <c r="AN29" s="139" t="str">
        <f t="shared" ref="AN29" si="108">IF(AM29=0,"-",AL29/AM29)</f>
        <v>-</v>
      </c>
      <c r="AO29" s="125">
        <v>0</v>
      </c>
      <c r="AP29" s="126">
        <v>0</v>
      </c>
      <c r="AQ29" s="139" t="str">
        <f t="shared" ref="AQ29" si="109">IF(AP29=0,"-",AO29/AP29)</f>
        <v>-</v>
      </c>
      <c r="AR29" s="125">
        <v>5</v>
      </c>
      <c r="AS29" s="126">
        <v>1</v>
      </c>
      <c r="AT29" s="139">
        <f t="shared" si="48"/>
        <v>5</v>
      </c>
      <c r="AU29" s="125">
        <v>0</v>
      </c>
      <c r="AV29" s="126">
        <v>0</v>
      </c>
      <c r="AW29" s="139" t="str">
        <f t="shared" si="85"/>
        <v>-</v>
      </c>
      <c r="AX29" s="125">
        <v>4</v>
      </c>
      <c r="AY29" s="126">
        <v>1</v>
      </c>
      <c r="AZ29" s="139">
        <f t="shared" si="50"/>
        <v>4</v>
      </c>
      <c r="BA29" s="125">
        <v>0</v>
      </c>
      <c r="BB29" s="126">
        <v>0</v>
      </c>
      <c r="BC29" s="139" t="str">
        <f t="shared" si="77"/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252">
        <v>12</v>
      </c>
      <c r="BK29" s="253">
        <v>2</v>
      </c>
      <c r="BL29" s="276">
        <f t="shared" si="20"/>
        <v>6</v>
      </c>
      <c r="BM29" s="252">
        <v>0</v>
      </c>
      <c r="BN29" s="253">
        <v>0</v>
      </c>
      <c r="BO29" s="276" t="str">
        <f t="shared" si="21"/>
        <v>-</v>
      </c>
      <c r="BP29" s="302">
        <v>0</v>
      </c>
      <c r="BQ29" s="303">
        <v>0</v>
      </c>
      <c r="BR29" s="276" t="str">
        <f t="shared" si="22"/>
        <v>-</v>
      </c>
      <c r="BS29" s="257">
        <v>15</v>
      </c>
      <c r="BT29" s="253">
        <v>2</v>
      </c>
      <c r="BU29" s="276">
        <f t="shared" si="23"/>
        <v>7.5</v>
      </c>
      <c r="BV29" s="125">
        <v>0</v>
      </c>
      <c r="BW29" s="126">
        <v>0</v>
      </c>
      <c r="BX29" s="139" t="str">
        <f t="shared" si="24"/>
        <v>-</v>
      </c>
      <c r="BY29" s="125">
        <v>0</v>
      </c>
      <c r="BZ29" s="126">
        <v>0</v>
      </c>
      <c r="CA29" s="139" t="str">
        <f t="shared" si="25"/>
        <v>-</v>
      </c>
      <c r="CB29" s="125">
        <v>8</v>
      </c>
      <c r="CC29" s="126">
        <v>1</v>
      </c>
      <c r="CD29" s="139">
        <f t="shared" si="26"/>
        <v>8</v>
      </c>
      <c r="CE29" s="125">
        <v>0</v>
      </c>
      <c r="CF29" s="126">
        <v>0</v>
      </c>
      <c r="CG29" s="139" t="str">
        <f t="shared" si="27"/>
        <v>-</v>
      </c>
      <c r="CH29" s="125">
        <v>0</v>
      </c>
      <c r="CI29" s="126">
        <v>0</v>
      </c>
      <c r="CJ29" s="139" t="str">
        <f t="shared" si="28"/>
        <v>-</v>
      </c>
      <c r="CK29" s="125">
        <v>0</v>
      </c>
      <c r="CL29" s="126">
        <v>0</v>
      </c>
      <c r="CM29" s="139" t="str">
        <f t="shared" si="29"/>
        <v>-</v>
      </c>
      <c r="CN29" s="117">
        <f t="shared" si="32"/>
        <v>222</v>
      </c>
      <c r="CO29" s="120">
        <f t="shared" si="30"/>
        <v>37</v>
      </c>
      <c r="CP29" s="147">
        <f t="shared" si="31"/>
        <v>6</v>
      </c>
    </row>
    <row r="30" spans="1:94" ht="15" thickBot="1" x14ac:dyDescent="0.35">
      <c r="A30" s="294">
        <v>45742</v>
      </c>
      <c r="B30" s="20">
        <v>59</v>
      </c>
      <c r="C30" s="21">
        <v>7</v>
      </c>
      <c r="D30" s="139">
        <f t="shared" si="0"/>
        <v>8.4285714285714288</v>
      </c>
      <c r="E30" s="20">
        <v>0</v>
      </c>
      <c r="F30" s="21">
        <v>0</v>
      </c>
      <c r="G30" s="139">
        <v>0</v>
      </c>
      <c r="H30" s="20"/>
      <c r="I30" s="21"/>
      <c r="J30" s="139" t="str">
        <f t="shared" si="2"/>
        <v>-</v>
      </c>
      <c r="K30" s="20">
        <v>26</v>
      </c>
      <c r="L30" s="21">
        <v>3</v>
      </c>
      <c r="M30" s="139">
        <f t="shared" si="3"/>
        <v>8.6666666666666661</v>
      </c>
      <c r="N30" s="125">
        <v>0</v>
      </c>
      <c r="O30" s="126">
        <v>0</v>
      </c>
      <c r="P30" s="139" t="str">
        <f t="shared" si="102"/>
        <v>-</v>
      </c>
      <c r="Q30" s="125">
        <v>100</v>
      </c>
      <c r="R30" s="126">
        <v>25</v>
      </c>
      <c r="S30" s="139">
        <f t="shared" si="33"/>
        <v>4</v>
      </c>
      <c r="T30" s="125">
        <v>0</v>
      </c>
      <c r="U30" s="126">
        <v>0</v>
      </c>
      <c r="V30" s="139" t="str">
        <f t="shared" si="34"/>
        <v>-</v>
      </c>
      <c r="W30" s="125">
        <v>0</v>
      </c>
      <c r="X30" s="126">
        <v>0</v>
      </c>
      <c r="Y30" s="139" t="str">
        <f t="shared" si="35"/>
        <v>-</v>
      </c>
      <c r="Z30" s="125">
        <v>30</v>
      </c>
      <c r="AA30" s="126">
        <v>6</v>
      </c>
      <c r="AB30" s="139">
        <f t="shared" si="45"/>
        <v>5</v>
      </c>
      <c r="AC30" s="125">
        <v>0</v>
      </c>
      <c r="AD30" s="126">
        <v>0</v>
      </c>
      <c r="AE30" s="139" t="str">
        <f t="shared" si="36"/>
        <v>-</v>
      </c>
      <c r="AF30" s="125">
        <v>0</v>
      </c>
      <c r="AG30" s="126">
        <v>0</v>
      </c>
      <c r="AH30" s="139" t="str">
        <f t="shared" si="37"/>
        <v>-</v>
      </c>
      <c r="AI30" s="125">
        <v>12</v>
      </c>
      <c r="AJ30" s="126">
        <v>2</v>
      </c>
      <c r="AK30" s="139">
        <f t="shared" si="38"/>
        <v>6</v>
      </c>
      <c r="AL30" s="125">
        <v>0</v>
      </c>
      <c r="AM30" s="126">
        <v>0</v>
      </c>
      <c r="AN30" s="139" t="str">
        <f t="shared" si="39"/>
        <v>-</v>
      </c>
      <c r="AO30" s="125">
        <v>6</v>
      </c>
      <c r="AP30" s="126">
        <v>1</v>
      </c>
      <c r="AQ30" s="139">
        <f t="shared" si="40"/>
        <v>6</v>
      </c>
      <c r="AR30" s="125">
        <v>2</v>
      </c>
      <c r="AS30" s="126">
        <v>1</v>
      </c>
      <c r="AT30" s="139">
        <f t="shared" si="48"/>
        <v>2</v>
      </c>
      <c r="AU30" s="125">
        <v>0</v>
      </c>
      <c r="AV30" s="126">
        <v>0</v>
      </c>
      <c r="AW30" s="139" t="str">
        <f t="shared" si="85"/>
        <v>-</v>
      </c>
      <c r="AX30" s="125">
        <v>1</v>
      </c>
      <c r="AY30" s="126">
        <v>1</v>
      </c>
      <c r="AZ30" s="139">
        <f t="shared" si="50"/>
        <v>1</v>
      </c>
      <c r="BA30" s="125">
        <v>0</v>
      </c>
      <c r="BB30" s="126">
        <v>0</v>
      </c>
      <c r="BC30" s="139" t="str">
        <f t="shared" si="77"/>
        <v>-</v>
      </c>
      <c r="BD30" s="125">
        <v>0</v>
      </c>
      <c r="BE30" s="126">
        <v>0</v>
      </c>
      <c r="BF30" s="139" t="str">
        <f t="shared" si="18"/>
        <v>-</v>
      </c>
      <c r="BG30" s="125">
        <v>0</v>
      </c>
      <c r="BH30" s="126">
        <v>0</v>
      </c>
      <c r="BI30" s="139" t="str">
        <f t="shared" si="19"/>
        <v>-</v>
      </c>
      <c r="BJ30" s="252">
        <v>37</v>
      </c>
      <c r="BK30" s="253">
        <v>5</v>
      </c>
      <c r="BL30" s="276">
        <f t="shared" si="20"/>
        <v>7.4</v>
      </c>
      <c r="BM30" s="252">
        <v>0</v>
      </c>
      <c r="BN30" s="253">
        <v>0</v>
      </c>
      <c r="BO30" s="276" t="str">
        <f t="shared" si="21"/>
        <v>-</v>
      </c>
      <c r="BP30" s="302">
        <v>0</v>
      </c>
      <c r="BQ30" s="303">
        <v>0</v>
      </c>
      <c r="BR30" s="276" t="str">
        <f t="shared" si="22"/>
        <v>-</v>
      </c>
      <c r="BS30" s="257">
        <v>14</v>
      </c>
      <c r="BT30" s="253">
        <v>2</v>
      </c>
      <c r="BU30" s="276">
        <f t="shared" si="23"/>
        <v>7</v>
      </c>
      <c r="BV30" s="125">
        <v>6</v>
      </c>
      <c r="BW30" s="126">
        <v>1</v>
      </c>
      <c r="BX30" s="139">
        <f t="shared" si="24"/>
        <v>6</v>
      </c>
      <c r="BY30" s="125">
        <v>0</v>
      </c>
      <c r="BZ30" s="126">
        <v>0</v>
      </c>
      <c r="CA30" s="139" t="str">
        <f t="shared" si="25"/>
        <v>-</v>
      </c>
      <c r="CB30" s="125">
        <v>0</v>
      </c>
      <c r="CC30" s="126">
        <v>0</v>
      </c>
      <c r="CD30" s="139" t="str">
        <f t="shared" si="26"/>
        <v>-</v>
      </c>
      <c r="CE30" s="125">
        <v>0</v>
      </c>
      <c r="CF30" s="126">
        <v>0</v>
      </c>
      <c r="CG30" s="139" t="str">
        <f t="shared" si="27"/>
        <v>-</v>
      </c>
      <c r="CH30" s="125">
        <v>0</v>
      </c>
      <c r="CI30" s="126">
        <v>0</v>
      </c>
      <c r="CJ30" s="139" t="str">
        <f t="shared" si="28"/>
        <v>-</v>
      </c>
      <c r="CK30" s="125">
        <v>0</v>
      </c>
      <c r="CL30" s="126">
        <v>0</v>
      </c>
      <c r="CM30" s="139" t="str">
        <f t="shared" si="29"/>
        <v>-</v>
      </c>
      <c r="CN30" s="117">
        <f t="shared" si="32"/>
        <v>293</v>
      </c>
      <c r="CO30" s="120">
        <f t="shared" si="30"/>
        <v>52</v>
      </c>
      <c r="CP30" s="147">
        <f t="shared" si="31"/>
        <v>5.634615384615385</v>
      </c>
    </row>
    <row r="31" spans="1:94" ht="15" thickBot="1" x14ac:dyDescent="0.35">
      <c r="A31" s="294">
        <v>45743</v>
      </c>
      <c r="B31" s="20">
        <v>33</v>
      </c>
      <c r="C31" s="21">
        <v>4</v>
      </c>
      <c r="D31" s="139">
        <f t="shared" si="0"/>
        <v>8.25</v>
      </c>
      <c r="E31" s="20">
        <v>0</v>
      </c>
      <c r="F31" s="21">
        <v>0</v>
      </c>
      <c r="G31" s="139">
        <v>0</v>
      </c>
      <c r="H31" s="20"/>
      <c r="I31" s="21"/>
      <c r="J31" s="139" t="str">
        <f t="shared" si="2"/>
        <v>-</v>
      </c>
      <c r="K31" s="20">
        <v>8</v>
      </c>
      <c r="L31" s="21">
        <v>1</v>
      </c>
      <c r="M31" s="139">
        <f t="shared" si="3"/>
        <v>8</v>
      </c>
      <c r="N31" s="125">
        <v>0</v>
      </c>
      <c r="O31" s="126">
        <v>0</v>
      </c>
      <c r="P31" s="139" t="str">
        <f t="shared" si="102"/>
        <v>-</v>
      </c>
      <c r="Q31" s="125">
        <v>48</v>
      </c>
      <c r="R31" s="126">
        <v>11</v>
      </c>
      <c r="S31" s="139">
        <f t="shared" si="33"/>
        <v>4.3636363636363633</v>
      </c>
      <c r="T31" s="125">
        <v>0</v>
      </c>
      <c r="U31" s="126">
        <v>0</v>
      </c>
      <c r="V31" s="139" t="str">
        <f t="shared" si="34"/>
        <v>-</v>
      </c>
      <c r="W31" s="125">
        <v>0</v>
      </c>
      <c r="X31" s="126">
        <v>0</v>
      </c>
      <c r="Y31" s="139" t="str">
        <f t="shared" si="35"/>
        <v>-</v>
      </c>
      <c r="Z31" s="125">
        <v>30</v>
      </c>
      <c r="AA31" s="126">
        <v>6</v>
      </c>
      <c r="AB31" s="139">
        <f t="shared" si="45"/>
        <v>5</v>
      </c>
      <c r="AC31" s="125">
        <v>0</v>
      </c>
      <c r="AD31" s="126">
        <v>0</v>
      </c>
      <c r="AE31" s="139" t="str">
        <f t="shared" si="36"/>
        <v>-</v>
      </c>
      <c r="AF31" s="125">
        <v>0</v>
      </c>
      <c r="AG31" s="126">
        <v>0</v>
      </c>
      <c r="AH31" s="139" t="str">
        <f t="shared" si="37"/>
        <v>-</v>
      </c>
      <c r="AI31" s="125">
        <v>0</v>
      </c>
      <c r="AJ31" s="126">
        <v>0</v>
      </c>
      <c r="AK31" s="139" t="str">
        <f t="shared" si="38"/>
        <v>-</v>
      </c>
      <c r="AL31" s="125">
        <v>0</v>
      </c>
      <c r="AM31" s="126">
        <v>0</v>
      </c>
      <c r="AN31" s="139" t="str">
        <f t="shared" si="39"/>
        <v>-</v>
      </c>
      <c r="AO31" s="125">
        <v>0</v>
      </c>
      <c r="AP31" s="126">
        <v>0</v>
      </c>
      <c r="AQ31" s="139" t="str">
        <f t="shared" si="40"/>
        <v>-</v>
      </c>
      <c r="AR31" s="125">
        <v>0</v>
      </c>
      <c r="AS31" s="126">
        <v>0</v>
      </c>
      <c r="AT31" s="139" t="str">
        <f t="shared" si="48"/>
        <v>-</v>
      </c>
      <c r="AU31" s="125">
        <v>0</v>
      </c>
      <c r="AV31" s="126">
        <v>0</v>
      </c>
      <c r="AW31" s="139" t="str">
        <f t="shared" si="85"/>
        <v>-</v>
      </c>
      <c r="AX31" s="125">
        <v>0</v>
      </c>
      <c r="AY31" s="126">
        <v>0</v>
      </c>
      <c r="AZ31" s="139" t="str">
        <f t="shared" si="50"/>
        <v>-</v>
      </c>
      <c r="BA31" s="125">
        <v>0</v>
      </c>
      <c r="BB31" s="126">
        <v>0</v>
      </c>
      <c r="BC31" s="139" t="str">
        <f t="shared" si="77"/>
        <v>-</v>
      </c>
      <c r="BD31" s="125">
        <v>0</v>
      </c>
      <c r="BE31" s="126">
        <v>0</v>
      </c>
      <c r="BF31" s="139" t="str">
        <f t="shared" si="18"/>
        <v>-</v>
      </c>
      <c r="BG31" s="125">
        <v>0</v>
      </c>
      <c r="BH31" s="126">
        <v>0</v>
      </c>
      <c r="BI31" s="139" t="str">
        <f t="shared" si="19"/>
        <v>-</v>
      </c>
      <c r="BJ31" s="252">
        <v>15</v>
      </c>
      <c r="BK31" s="253">
        <v>2</v>
      </c>
      <c r="BL31" s="276">
        <f t="shared" si="20"/>
        <v>7.5</v>
      </c>
      <c r="BM31" s="252">
        <v>0</v>
      </c>
      <c r="BN31" s="253">
        <v>0</v>
      </c>
      <c r="BO31" s="276" t="str">
        <f t="shared" si="21"/>
        <v>-</v>
      </c>
      <c r="BP31" s="302">
        <v>0</v>
      </c>
      <c r="BQ31" s="303">
        <v>0</v>
      </c>
      <c r="BR31" s="276" t="str">
        <f t="shared" si="22"/>
        <v>-</v>
      </c>
      <c r="BS31" s="257">
        <v>8</v>
      </c>
      <c r="BT31" s="253">
        <v>1</v>
      </c>
      <c r="BU31" s="276">
        <f t="shared" si="23"/>
        <v>8</v>
      </c>
      <c r="BV31" s="125">
        <v>11</v>
      </c>
      <c r="BW31" s="126">
        <v>2</v>
      </c>
      <c r="BX31" s="139">
        <f t="shared" si="24"/>
        <v>5.5</v>
      </c>
      <c r="BY31" s="125">
        <v>0</v>
      </c>
      <c r="BZ31" s="126">
        <v>0</v>
      </c>
      <c r="CA31" s="139" t="str">
        <f t="shared" si="25"/>
        <v>-</v>
      </c>
      <c r="CB31" s="125">
        <v>4</v>
      </c>
      <c r="CC31" s="126">
        <v>1</v>
      </c>
      <c r="CD31" s="139">
        <f t="shared" si="26"/>
        <v>4</v>
      </c>
      <c r="CE31" s="125">
        <v>0</v>
      </c>
      <c r="CF31" s="126">
        <v>0</v>
      </c>
      <c r="CG31" s="139" t="str">
        <f t="shared" si="27"/>
        <v>-</v>
      </c>
      <c r="CH31" s="125">
        <v>0</v>
      </c>
      <c r="CI31" s="126">
        <v>0</v>
      </c>
      <c r="CJ31" s="139" t="str">
        <f t="shared" si="28"/>
        <v>-</v>
      </c>
      <c r="CK31" s="125">
        <v>0</v>
      </c>
      <c r="CL31" s="126">
        <v>0</v>
      </c>
      <c r="CM31" s="139" t="str">
        <f t="shared" si="29"/>
        <v>-</v>
      </c>
      <c r="CN31" s="117">
        <f t="shared" si="32"/>
        <v>157</v>
      </c>
      <c r="CO31" s="120">
        <f t="shared" si="30"/>
        <v>26</v>
      </c>
      <c r="CP31" s="147">
        <f t="shared" si="31"/>
        <v>6.0384615384615383</v>
      </c>
    </row>
    <row r="32" spans="1:94" ht="15" thickBot="1" x14ac:dyDescent="0.35">
      <c r="A32" s="294">
        <v>45744</v>
      </c>
      <c r="B32" s="20">
        <v>30</v>
      </c>
      <c r="C32" s="21">
        <v>4</v>
      </c>
      <c r="D32" s="139">
        <f t="shared" si="0"/>
        <v>7.5</v>
      </c>
      <c r="E32" s="20">
        <v>8</v>
      </c>
      <c r="F32" s="21">
        <v>1</v>
      </c>
      <c r="G32" s="139">
        <v>0</v>
      </c>
      <c r="H32" s="20"/>
      <c r="I32" s="21"/>
      <c r="J32" s="139" t="str">
        <f t="shared" si="2"/>
        <v>-</v>
      </c>
      <c r="K32" s="20">
        <v>8</v>
      </c>
      <c r="L32" s="21">
        <v>1</v>
      </c>
      <c r="M32" s="139">
        <f t="shared" si="3"/>
        <v>8</v>
      </c>
      <c r="N32" s="125"/>
      <c r="O32" s="126"/>
      <c r="P32" s="139" t="str">
        <f t="shared" si="4"/>
        <v>-</v>
      </c>
      <c r="Q32" s="125">
        <v>91</v>
      </c>
      <c r="R32" s="126">
        <v>20</v>
      </c>
      <c r="S32" s="139">
        <f t="shared" si="33"/>
        <v>4.55</v>
      </c>
      <c r="T32" s="125">
        <v>0</v>
      </c>
      <c r="U32" s="126">
        <v>0</v>
      </c>
      <c r="V32" s="139" t="str">
        <f t="shared" si="34"/>
        <v>-</v>
      </c>
      <c r="W32" s="125">
        <v>0</v>
      </c>
      <c r="X32" s="126">
        <v>0</v>
      </c>
      <c r="Y32" s="139" t="str">
        <f t="shared" si="35"/>
        <v>-</v>
      </c>
      <c r="Z32" s="125">
        <v>40</v>
      </c>
      <c r="AA32" s="126">
        <v>8</v>
      </c>
      <c r="AB32" s="139">
        <f t="shared" si="45"/>
        <v>5</v>
      </c>
      <c r="AC32" s="125">
        <v>0</v>
      </c>
      <c r="AD32" s="126">
        <v>0</v>
      </c>
      <c r="AE32" s="139" t="str">
        <f t="shared" ref="AE32:AE33" si="110">IF(AD32=0,"-",AC32/AD32)</f>
        <v>-</v>
      </c>
      <c r="AF32" s="125">
        <v>0</v>
      </c>
      <c r="AG32" s="126">
        <v>0</v>
      </c>
      <c r="AH32" s="139" t="str">
        <f t="shared" ref="AH32:AH33" si="111">IF(AG32=0,"-",AF32/AG32)</f>
        <v>-</v>
      </c>
      <c r="AI32" s="125">
        <v>0</v>
      </c>
      <c r="AJ32" s="126">
        <v>0</v>
      </c>
      <c r="AK32" s="139" t="str">
        <f t="shared" ref="AK32:AK33" si="112">IF(AJ32=0,"-",AI32/AJ32)</f>
        <v>-</v>
      </c>
      <c r="AL32" s="125">
        <v>0</v>
      </c>
      <c r="AM32" s="126">
        <v>0</v>
      </c>
      <c r="AN32" s="139" t="str">
        <f t="shared" ref="AN32:AN33" si="113">IF(AM32=0,"-",AL32/AM32)</f>
        <v>-</v>
      </c>
      <c r="AO32" s="125">
        <v>0</v>
      </c>
      <c r="AP32" s="126">
        <v>0</v>
      </c>
      <c r="AQ32" s="139" t="str">
        <f t="shared" ref="AQ32:AQ33" si="114">IF(AP32=0,"-",AO32/AP32)</f>
        <v>-</v>
      </c>
      <c r="AR32" s="125">
        <v>0</v>
      </c>
      <c r="AS32" s="126">
        <v>0</v>
      </c>
      <c r="AT32" s="139" t="str">
        <f t="shared" si="48"/>
        <v>-</v>
      </c>
      <c r="AU32" s="125">
        <v>0</v>
      </c>
      <c r="AV32" s="126">
        <v>0</v>
      </c>
      <c r="AW32" s="139" t="str">
        <f t="shared" si="85"/>
        <v>-</v>
      </c>
      <c r="AX32" s="125">
        <v>0</v>
      </c>
      <c r="AY32" s="126">
        <v>0</v>
      </c>
      <c r="AZ32" s="139" t="str">
        <f t="shared" si="50"/>
        <v>-</v>
      </c>
      <c r="BA32" s="125">
        <v>0</v>
      </c>
      <c r="BB32" s="126">
        <v>0</v>
      </c>
      <c r="BC32" s="139" t="str">
        <f t="shared" si="77"/>
        <v>-</v>
      </c>
      <c r="BD32" s="125">
        <v>0</v>
      </c>
      <c r="BE32" s="126">
        <v>0</v>
      </c>
      <c r="BF32" s="139" t="str">
        <f t="shared" si="18"/>
        <v>-</v>
      </c>
      <c r="BG32" s="125">
        <v>0</v>
      </c>
      <c r="BH32" s="126">
        <v>0</v>
      </c>
      <c r="BI32" s="139" t="str">
        <f t="shared" si="19"/>
        <v>-</v>
      </c>
      <c r="BJ32" s="125">
        <v>27</v>
      </c>
      <c r="BK32" s="126">
        <v>5</v>
      </c>
      <c r="BL32" s="276">
        <f t="shared" si="20"/>
        <v>5.4</v>
      </c>
      <c r="BM32" s="252">
        <v>0</v>
      </c>
      <c r="BN32" s="253">
        <v>0</v>
      </c>
      <c r="BO32" s="276" t="str">
        <f t="shared" ref="BO32:BO33" si="115">IF(BN32=0,"-",BM32/BN32)</f>
        <v>-</v>
      </c>
      <c r="BP32" s="302">
        <v>0</v>
      </c>
      <c r="BQ32" s="303">
        <v>0</v>
      </c>
      <c r="BR32" s="276" t="str">
        <f t="shared" ref="BR32:BR33" si="116">IF(BQ32=0,"-",BP32/BQ32)</f>
        <v>-</v>
      </c>
      <c r="BS32" s="302">
        <v>0</v>
      </c>
      <c r="BT32" s="303">
        <v>0</v>
      </c>
      <c r="BU32" s="276" t="str">
        <f t="shared" si="23"/>
        <v>-</v>
      </c>
      <c r="BV32" s="302">
        <v>0</v>
      </c>
      <c r="BW32" s="303">
        <v>0</v>
      </c>
      <c r="BX32" s="276" t="str">
        <f t="shared" si="24"/>
        <v>-</v>
      </c>
      <c r="BY32" s="302">
        <v>0</v>
      </c>
      <c r="BZ32" s="303">
        <v>0</v>
      </c>
      <c r="CA32" s="276" t="str">
        <f t="shared" si="25"/>
        <v>-</v>
      </c>
      <c r="CB32" s="302">
        <v>0</v>
      </c>
      <c r="CC32" s="303">
        <v>0</v>
      </c>
      <c r="CD32" s="276" t="str">
        <f t="shared" si="26"/>
        <v>-</v>
      </c>
      <c r="CE32" s="125">
        <v>5</v>
      </c>
      <c r="CF32" s="126">
        <v>1</v>
      </c>
      <c r="CG32" s="139">
        <f t="shared" si="27"/>
        <v>5</v>
      </c>
      <c r="CH32" s="125">
        <v>0</v>
      </c>
      <c r="CI32" s="126">
        <v>0</v>
      </c>
      <c r="CJ32" s="139" t="str">
        <f t="shared" si="28"/>
        <v>-</v>
      </c>
      <c r="CK32" s="125">
        <v>0</v>
      </c>
      <c r="CL32" s="126">
        <v>0</v>
      </c>
      <c r="CM32" s="139" t="str">
        <f t="shared" ref="CM32" si="117">IF(CL32=0,"-",CK32/CL32)</f>
        <v>-</v>
      </c>
      <c r="CN32" s="117">
        <f t="shared" si="32"/>
        <v>209</v>
      </c>
      <c r="CO32" s="120">
        <f t="shared" si="30"/>
        <v>40</v>
      </c>
      <c r="CP32" s="147">
        <f t="shared" si="31"/>
        <v>5.2249999999999996</v>
      </c>
    </row>
    <row r="33" spans="1:94" ht="15" thickBot="1" x14ac:dyDescent="0.35">
      <c r="A33" s="294">
        <v>45745</v>
      </c>
      <c r="B33" s="20">
        <v>51</v>
      </c>
      <c r="C33" s="21">
        <v>6</v>
      </c>
      <c r="D33" s="139">
        <f t="shared" ref="D33:D35" si="118">IF(C33=0,"-",B33/C33)</f>
        <v>8.5</v>
      </c>
      <c r="E33" s="20">
        <v>8</v>
      </c>
      <c r="F33" s="21">
        <v>1</v>
      </c>
      <c r="G33" s="139">
        <v>0</v>
      </c>
      <c r="H33" s="20"/>
      <c r="I33" s="21"/>
      <c r="J33" s="139" t="str">
        <f t="shared" ref="J33:J35" si="119">IF(I33=0,"-",H33/I33)</f>
        <v>-</v>
      </c>
      <c r="K33" s="20">
        <v>27</v>
      </c>
      <c r="L33" s="21">
        <v>3</v>
      </c>
      <c r="M33" s="139">
        <f t="shared" ref="M33:M35" si="120">IF(L33=0,"-",K33/L33)</f>
        <v>9</v>
      </c>
      <c r="N33" s="125"/>
      <c r="O33" s="126"/>
      <c r="P33" s="139" t="str">
        <f t="shared" ref="P33:P35" si="121">IF(O33=0,"-",N33/O33)</f>
        <v>-</v>
      </c>
      <c r="Q33" s="125">
        <v>118</v>
      </c>
      <c r="R33" s="126">
        <v>25</v>
      </c>
      <c r="S33" s="139">
        <f t="shared" ref="S33:S35" si="122">IF(R33=0,"-",Q33/R33)</f>
        <v>4.72</v>
      </c>
      <c r="T33" s="125">
        <v>0</v>
      </c>
      <c r="U33" s="126">
        <v>0</v>
      </c>
      <c r="V33" s="139" t="str">
        <f t="shared" ref="V33:V35" si="123">IF(U33=0,"-",T33/U33)</f>
        <v>-</v>
      </c>
      <c r="W33" s="125">
        <v>0</v>
      </c>
      <c r="X33" s="126">
        <v>0</v>
      </c>
      <c r="Y33" s="139" t="str">
        <f t="shared" si="35"/>
        <v>-</v>
      </c>
      <c r="Z33" s="125">
        <v>0</v>
      </c>
      <c r="AA33" s="126">
        <v>0</v>
      </c>
      <c r="AB33" s="139" t="str">
        <f t="shared" si="45"/>
        <v>-</v>
      </c>
      <c r="AC33" s="125">
        <v>0</v>
      </c>
      <c r="AD33" s="126">
        <v>0</v>
      </c>
      <c r="AE33" s="139" t="str">
        <f t="shared" si="110"/>
        <v>-</v>
      </c>
      <c r="AF33" s="125">
        <v>0</v>
      </c>
      <c r="AG33" s="126">
        <v>0</v>
      </c>
      <c r="AH33" s="139" t="str">
        <f t="shared" si="111"/>
        <v>-</v>
      </c>
      <c r="AI33" s="125">
        <v>0</v>
      </c>
      <c r="AJ33" s="126">
        <v>0</v>
      </c>
      <c r="AK33" s="139" t="str">
        <f t="shared" si="112"/>
        <v>-</v>
      </c>
      <c r="AL33" s="125">
        <v>0</v>
      </c>
      <c r="AM33" s="126">
        <v>0</v>
      </c>
      <c r="AN33" s="139" t="str">
        <f t="shared" si="113"/>
        <v>-</v>
      </c>
      <c r="AO33" s="125">
        <v>0</v>
      </c>
      <c r="AP33" s="126">
        <v>0</v>
      </c>
      <c r="AQ33" s="139" t="str">
        <f t="shared" si="114"/>
        <v>-</v>
      </c>
      <c r="AR33" s="125">
        <v>5</v>
      </c>
      <c r="AS33" s="126">
        <v>1</v>
      </c>
      <c r="AT33" s="139">
        <f t="shared" ref="AT33:AT35" si="124">IF(AS33=0,"-",AR33/AS33)</f>
        <v>5</v>
      </c>
      <c r="AU33" s="125">
        <v>0</v>
      </c>
      <c r="AV33" s="126">
        <v>0</v>
      </c>
      <c r="AW33" s="139" t="str">
        <f t="shared" ref="AW33:AW35" si="125">IF(AV33=0,"-",AU33/AV33)</f>
        <v>-</v>
      </c>
      <c r="AX33" s="125">
        <v>0</v>
      </c>
      <c r="AY33" s="126">
        <v>0</v>
      </c>
      <c r="AZ33" s="139" t="str">
        <f t="shared" ref="AZ33:AZ35" si="126">IF(AY33=0,"-",AX33/AY33)</f>
        <v>-</v>
      </c>
      <c r="BA33" s="125">
        <v>0</v>
      </c>
      <c r="BB33" s="126">
        <v>0</v>
      </c>
      <c r="BC33" s="139" t="str">
        <f t="shared" ref="BC33:BC35" si="127">IF(BB33=0,"-",BA33/BB33)</f>
        <v>-</v>
      </c>
      <c r="BD33" s="125">
        <v>0</v>
      </c>
      <c r="BE33" s="126">
        <v>0</v>
      </c>
      <c r="BF33" s="139" t="str">
        <f t="shared" si="18"/>
        <v>-</v>
      </c>
      <c r="BG33" s="125">
        <v>0</v>
      </c>
      <c r="BH33" s="126">
        <v>0</v>
      </c>
      <c r="BI33" s="139" t="str">
        <f t="shared" si="19"/>
        <v>-</v>
      </c>
      <c r="BJ33" s="125">
        <v>0</v>
      </c>
      <c r="BK33" s="126">
        <v>0</v>
      </c>
      <c r="BL33" s="139" t="str">
        <f t="shared" si="20"/>
        <v>-</v>
      </c>
      <c r="BM33" s="125">
        <v>0</v>
      </c>
      <c r="BN33" s="126">
        <v>0</v>
      </c>
      <c r="BO33" s="139" t="str">
        <f t="shared" si="115"/>
        <v>-</v>
      </c>
      <c r="BP33" s="125">
        <v>0</v>
      </c>
      <c r="BQ33" s="126">
        <v>0</v>
      </c>
      <c r="BR33" s="139" t="str">
        <f t="shared" si="116"/>
        <v>-</v>
      </c>
      <c r="BS33" s="125">
        <v>0</v>
      </c>
      <c r="BT33" s="126">
        <v>0</v>
      </c>
      <c r="BU33" s="139" t="str">
        <f t="shared" si="23"/>
        <v>-</v>
      </c>
      <c r="BV33" s="125">
        <v>3</v>
      </c>
      <c r="BW33" s="126">
        <v>1</v>
      </c>
      <c r="BX33" s="139">
        <f t="shared" si="24"/>
        <v>3</v>
      </c>
      <c r="BY33" s="125">
        <v>0</v>
      </c>
      <c r="BZ33" s="126">
        <v>0</v>
      </c>
      <c r="CA33" s="139" t="str">
        <f t="shared" si="25"/>
        <v>-</v>
      </c>
      <c r="CB33" s="125">
        <v>0</v>
      </c>
      <c r="CC33" s="126">
        <v>0</v>
      </c>
      <c r="CD33" s="139" t="str">
        <f t="shared" si="26"/>
        <v>-</v>
      </c>
      <c r="CE33" s="125">
        <v>0</v>
      </c>
      <c r="CF33" s="126">
        <v>0</v>
      </c>
      <c r="CG33" s="139" t="str">
        <f t="shared" si="27"/>
        <v>-</v>
      </c>
      <c r="CH33" s="125">
        <v>0</v>
      </c>
      <c r="CI33" s="126">
        <v>0</v>
      </c>
      <c r="CJ33" s="139" t="str">
        <f t="shared" si="28"/>
        <v>-</v>
      </c>
      <c r="CK33" s="125">
        <v>0</v>
      </c>
      <c r="CL33" s="126">
        <v>0</v>
      </c>
      <c r="CM33" s="139" t="str">
        <f t="shared" si="29"/>
        <v>-</v>
      </c>
      <c r="CN33" s="117">
        <f t="shared" si="32"/>
        <v>212</v>
      </c>
      <c r="CO33" s="120">
        <f t="shared" si="30"/>
        <v>36</v>
      </c>
      <c r="CP33" s="147">
        <f t="shared" ref="CP33:CP35" si="128">IF(CO33=0,"",CN33/CO33)</f>
        <v>5.8888888888888893</v>
      </c>
    </row>
    <row r="34" spans="1:94" ht="15" thickBot="1" x14ac:dyDescent="0.35">
      <c r="A34" s="294">
        <v>45746</v>
      </c>
      <c r="B34" s="20">
        <v>44</v>
      </c>
      <c r="C34" s="21">
        <v>5</v>
      </c>
      <c r="D34" s="139">
        <f t="shared" si="118"/>
        <v>8.8000000000000007</v>
      </c>
      <c r="E34" s="20">
        <v>0</v>
      </c>
      <c r="F34" s="21">
        <v>0</v>
      </c>
      <c r="G34" s="139">
        <v>0</v>
      </c>
      <c r="H34" s="20"/>
      <c r="I34" s="21"/>
      <c r="J34" s="139" t="str">
        <f t="shared" si="119"/>
        <v>-</v>
      </c>
      <c r="K34" s="20">
        <v>0</v>
      </c>
      <c r="L34" s="21">
        <v>0</v>
      </c>
      <c r="M34" s="139" t="str">
        <f t="shared" si="120"/>
        <v>-</v>
      </c>
      <c r="N34" s="125"/>
      <c r="O34" s="126"/>
      <c r="P34" s="139" t="str">
        <f t="shared" si="121"/>
        <v>-</v>
      </c>
      <c r="Q34" s="125">
        <v>72</v>
      </c>
      <c r="R34" s="126">
        <v>16</v>
      </c>
      <c r="S34" s="139">
        <f t="shared" si="122"/>
        <v>4.5</v>
      </c>
      <c r="T34" s="125">
        <v>0</v>
      </c>
      <c r="U34" s="126">
        <v>0</v>
      </c>
      <c r="V34" s="139" t="str">
        <f t="shared" ref="V34" si="129">IF(U34=0,"-",T34/U34)</f>
        <v>-</v>
      </c>
      <c r="W34" s="125">
        <v>0</v>
      </c>
      <c r="X34" s="126">
        <v>0</v>
      </c>
      <c r="Y34" s="139" t="str">
        <f t="shared" ref="Y34" si="130">IF(X34=0,"-",W34/X34)</f>
        <v>-</v>
      </c>
      <c r="Z34" s="125">
        <v>0</v>
      </c>
      <c r="AA34" s="126">
        <v>0</v>
      </c>
      <c r="AB34" s="139" t="str">
        <f t="shared" ref="AB34" si="131">IF(AA34=0,"-",Z34/AA34)</f>
        <v>-</v>
      </c>
      <c r="AC34" s="125">
        <v>0</v>
      </c>
      <c r="AD34" s="126">
        <v>0</v>
      </c>
      <c r="AE34" s="139" t="str">
        <f t="shared" ref="AE34" si="132">IF(AD34=0,"-",AC34/AD34)</f>
        <v>-</v>
      </c>
      <c r="AF34" s="125">
        <v>0</v>
      </c>
      <c r="AG34" s="126">
        <v>0</v>
      </c>
      <c r="AH34" s="139" t="str">
        <f t="shared" ref="AH34" si="133">IF(AG34=0,"-",AF34/AG34)</f>
        <v>-</v>
      </c>
      <c r="AI34" s="125">
        <v>0</v>
      </c>
      <c r="AJ34" s="126">
        <v>0</v>
      </c>
      <c r="AK34" s="139" t="str">
        <f t="shared" ref="AK34" si="134">IF(AJ34=0,"-",AI34/AJ34)</f>
        <v>-</v>
      </c>
      <c r="AL34" s="125">
        <v>0</v>
      </c>
      <c r="AM34" s="126">
        <v>0</v>
      </c>
      <c r="AN34" s="139" t="str">
        <f t="shared" ref="AN34" si="135">IF(AM34=0,"-",AL34/AM34)</f>
        <v>-</v>
      </c>
      <c r="AO34" s="125">
        <v>0</v>
      </c>
      <c r="AP34" s="126">
        <v>0</v>
      </c>
      <c r="AQ34" s="139" t="str">
        <f t="shared" ref="AQ34" si="136">IF(AP34=0,"-",AO34/AP34)</f>
        <v>-</v>
      </c>
      <c r="AR34" s="125">
        <v>0</v>
      </c>
      <c r="AS34" s="126">
        <v>0</v>
      </c>
      <c r="AT34" s="139" t="str">
        <f t="shared" si="124"/>
        <v>-</v>
      </c>
      <c r="AU34" s="125">
        <v>0</v>
      </c>
      <c r="AV34" s="126">
        <v>0</v>
      </c>
      <c r="AW34" s="139" t="str">
        <f t="shared" si="125"/>
        <v>-</v>
      </c>
      <c r="AX34" s="125">
        <v>0</v>
      </c>
      <c r="AY34" s="126">
        <v>0</v>
      </c>
      <c r="AZ34" s="139" t="str">
        <f t="shared" si="126"/>
        <v>-</v>
      </c>
      <c r="BA34" s="125">
        <v>0</v>
      </c>
      <c r="BB34" s="126">
        <v>0</v>
      </c>
      <c r="BC34" s="139" t="str">
        <f t="shared" si="127"/>
        <v>-</v>
      </c>
      <c r="BD34" s="125">
        <v>0</v>
      </c>
      <c r="BE34" s="126">
        <v>0</v>
      </c>
      <c r="BF34" s="139" t="str">
        <f t="shared" ref="BF34:BF35" si="137">IF(BE34=0,"-",BD34/BE34)</f>
        <v>-</v>
      </c>
      <c r="BG34" s="125">
        <v>0</v>
      </c>
      <c r="BH34" s="126">
        <v>0</v>
      </c>
      <c r="BI34" s="139" t="str">
        <f t="shared" ref="BI34:BI35" si="138">IF(BH34=0,"-",BG34/BH34)</f>
        <v>-</v>
      </c>
      <c r="BJ34" s="125">
        <v>7</v>
      </c>
      <c r="BK34" s="126">
        <v>1</v>
      </c>
      <c r="BL34" s="276">
        <f t="shared" si="20"/>
        <v>7</v>
      </c>
      <c r="BM34" s="125">
        <v>0</v>
      </c>
      <c r="BN34" s="126">
        <v>0</v>
      </c>
      <c r="BO34" s="139" t="str">
        <f t="shared" ref="BO34:BO35" si="139">IF(BN34=0,"-",BM34/BN34)</f>
        <v>-</v>
      </c>
      <c r="BP34" s="125">
        <v>0</v>
      </c>
      <c r="BQ34" s="126">
        <v>0</v>
      </c>
      <c r="BR34" s="139" t="str">
        <f t="shared" ref="BR34:BR35" si="140">IF(BQ34=0,"-",BP34/BQ34)</f>
        <v>-</v>
      </c>
      <c r="BS34" s="125">
        <v>3</v>
      </c>
      <c r="BT34" s="126">
        <v>1</v>
      </c>
      <c r="BU34" s="276">
        <f t="shared" si="23"/>
        <v>3</v>
      </c>
      <c r="BV34" s="125">
        <v>1</v>
      </c>
      <c r="BW34" s="126">
        <v>1</v>
      </c>
      <c r="BX34" s="139">
        <f t="shared" ref="BX34:BX35" si="141">IF(BW34=0,"-",BV34/BW34)</f>
        <v>1</v>
      </c>
      <c r="BY34" s="125"/>
      <c r="BZ34" s="126"/>
      <c r="CA34" s="139" t="str">
        <f t="shared" ref="CA34:CA35" si="142">IF(BZ34=0,"-",BY34/BZ34)</f>
        <v>-</v>
      </c>
      <c r="CB34" s="125">
        <v>0</v>
      </c>
      <c r="CC34" s="126">
        <v>0</v>
      </c>
      <c r="CD34" s="139" t="str">
        <f t="shared" ref="CD34:CD35" si="143">IF(CC34=0,"-",CB34/CC34)</f>
        <v>-</v>
      </c>
      <c r="CE34" s="125">
        <v>0</v>
      </c>
      <c r="CF34" s="126">
        <v>0</v>
      </c>
      <c r="CG34" s="139" t="str">
        <f t="shared" si="27"/>
        <v>-</v>
      </c>
      <c r="CH34" s="125">
        <v>0</v>
      </c>
      <c r="CI34" s="126">
        <v>0</v>
      </c>
      <c r="CJ34" s="139" t="str">
        <f t="shared" si="28"/>
        <v>-</v>
      </c>
      <c r="CK34" s="125">
        <v>0</v>
      </c>
      <c r="CL34" s="126">
        <v>0</v>
      </c>
      <c r="CM34" s="139" t="str">
        <f t="shared" si="29"/>
        <v>-</v>
      </c>
      <c r="CN34" s="117">
        <f t="shared" si="32"/>
        <v>127</v>
      </c>
      <c r="CO34" s="120">
        <f t="shared" si="30"/>
        <v>23</v>
      </c>
      <c r="CP34" s="147">
        <f t="shared" si="128"/>
        <v>5.5217391304347823</v>
      </c>
    </row>
    <row r="35" spans="1:94" ht="15" thickBot="1" x14ac:dyDescent="0.35">
      <c r="A35" s="294">
        <v>45747</v>
      </c>
      <c r="B35" s="20">
        <v>39</v>
      </c>
      <c r="C35" s="21">
        <v>5</v>
      </c>
      <c r="D35" s="139">
        <f t="shared" si="118"/>
        <v>7.8</v>
      </c>
      <c r="E35" s="20">
        <v>13</v>
      </c>
      <c r="F35" s="21">
        <v>2</v>
      </c>
      <c r="G35" s="139">
        <v>0</v>
      </c>
      <c r="H35" s="20"/>
      <c r="I35" s="21"/>
      <c r="J35" s="139" t="str">
        <f t="shared" si="119"/>
        <v>-</v>
      </c>
      <c r="K35" s="20">
        <v>16</v>
      </c>
      <c r="L35" s="21">
        <v>2</v>
      </c>
      <c r="M35" s="139">
        <f t="shared" si="120"/>
        <v>8</v>
      </c>
      <c r="N35" s="125"/>
      <c r="O35" s="126"/>
      <c r="P35" s="139" t="str">
        <f t="shared" si="121"/>
        <v>-</v>
      </c>
      <c r="Q35" s="125">
        <v>89</v>
      </c>
      <c r="R35" s="126">
        <v>20</v>
      </c>
      <c r="S35" s="139">
        <f t="shared" si="122"/>
        <v>4.45</v>
      </c>
      <c r="T35" s="125">
        <v>144</v>
      </c>
      <c r="U35" s="126">
        <v>24</v>
      </c>
      <c r="V35" s="139">
        <f t="shared" si="123"/>
        <v>6</v>
      </c>
      <c r="W35" s="125">
        <v>0</v>
      </c>
      <c r="X35" s="126">
        <v>0</v>
      </c>
      <c r="Y35" s="139" t="str">
        <f t="shared" ref="Y35" si="144">IF(X35=0,"-",W35/X35)</f>
        <v>-</v>
      </c>
      <c r="Z35" s="125">
        <v>0</v>
      </c>
      <c r="AA35" s="126">
        <v>0</v>
      </c>
      <c r="AB35" s="139" t="str">
        <f t="shared" ref="AB35" si="145">IF(AA35=0,"-",Z35/AA35)</f>
        <v>-</v>
      </c>
      <c r="AC35" s="125">
        <v>0</v>
      </c>
      <c r="AD35" s="126">
        <v>0</v>
      </c>
      <c r="AE35" s="139" t="str">
        <f t="shared" ref="AE35" si="146">IF(AD35=0,"-",AC35/AD35)</f>
        <v>-</v>
      </c>
      <c r="AF35" s="125">
        <v>0</v>
      </c>
      <c r="AG35" s="126">
        <v>0</v>
      </c>
      <c r="AH35" s="139" t="str">
        <f t="shared" ref="AH35" si="147">IF(AG35=0,"-",AF35/AG35)</f>
        <v>-</v>
      </c>
      <c r="AI35" s="125">
        <v>0</v>
      </c>
      <c r="AJ35" s="126">
        <v>0</v>
      </c>
      <c r="AK35" s="139" t="str">
        <f t="shared" ref="AK35" si="148">IF(AJ35=0,"-",AI35/AJ35)</f>
        <v>-</v>
      </c>
      <c r="AL35" s="125">
        <v>0</v>
      </c>
      <c r="AM35" s="126">
        <v>0</v>
      </c>
      <c r="AN35" s="139" t="str">
        <f t="shared" ref="AN35" si="149">IF(AM35=0,"-",AL35/AM35)</f>
        <v>-</v>
      </c>
      <c r="AO35" s="125">
        <v>0</v>
      </c>
      <c r="AP35" s="126">
        <v>0</v>
      </c>
      <c r="AQ35" s="139" t="str">
        <f t="shared" ref="AQ35" si="150">IF(AP35=0,"-",AO35/AP35)</f>
        <v>-</v>
      </c>
      <c r="AR35" s="125">
        <v>0</v>
      </c>
      <c r="AS35" s="126">
        <v>0</v>
      </c>
      <c r="AT35" s="139" t="str">
        <f t="shared" si="124"/>
        <v>-</v>
      </c>
      <c r="AU35" s="125">
        <v>0</v>
      </c>
      <c r="AV35" s="126">
        <v>0</v>
      </c>
      <c r="AW35" s="139" t="str">
        <f t="shared" si="125"/>
        <v>-</v>
      </c>
      <c r="AX35" s="125">
        <v>1</v>
      </c>
      <c r="AY35" s="126">
        <v>1</v>
      </c>
      <c r="AZ35" s="139">
        <f t="shared" si="126"/>
        <v>1</v>
      </c>
      <c r="BA35" s="125">
        <v>0</v>
      </c>
      <c r="BB35" s="126">
        <v>0</v>
      </c>
      <c r="BC35" s="139" t="str">
        <f t="shared" si="127"/>
        <v>-</v>
      </c>
      <c r="BD35" s="125">
        <v>0</v>
      </c>
      <c r="BE35" s="126">
        <v>0</v>
      </c>
      <c r="BF35" s="139" t="str">
        <f t="shared" si="137"/>
        <v>-</v>
      </c>
      <c r="BG35" s="125">
        <v>0</v>
      </c>
      <c r="BH35" s="126">
        <v>0</v>
      </c>
      <c r="BI35" s="139" t="str">
        <f t="shared" si="138"/>
        <v>-</v>
      </c>
      <c r="BJ35" s="125">
        <v>20</v>
      </c>
      <c r="BK35" s="126">
        <v>3</v>
      </c>
      <c r="BL35" s="276">
        <f t="shared" si="20"/>
        <v>6.666666666666667</v>
      </c>
      <c r="BM35" s="125">
        <v>0</v>
      </c>
      <c r="BN35" s="126">
        <v>0</v>
      </c>
      <c r="BO35" s="139" t="str">
        <f t="shared" si="139"/>
        <v>-</v>
      </c>
      <c r="BP35" s="125">
        <v>0</v>
      </c>
      <c r="BQ35" s="126">
        <v>0</v>
      </c>
      <c r="BR35" s="139" t="str">
        <f t="shared" si="140"/>
        <v>-</v>
      </c>
      <c r="BS35" s="125">
        <v>0</v>
      </c>
      <c r="BT35" s="126">
        <v>0</v>
      </c>
      <c r="BU35" s="139" t="str">
        <f t="shared" si="23"/>
        <v>-</v>
      </c>
      <c r="BV35" s="125">
        <v>0</v>
      </c>
      <c r="BW35" s="126">
        <v>0</v>
      </c>
      <c r="BX35" s="139" t="str">
        <f t="shared" si="141"/>
        <v>-</v>
      </c>
      <c r="BY35" s="125"/>
      <c r="BZ35" s="126"/>
      <c r="CA35" s="139" t="str">
        <f t="shared" si="142"/>
        <v>-</v>
      </c>
      <c r="CB35" s="125">
        <v>5</v>
      </c>
      <c r="CC35" s="126">
        <v>1</v>
      </c>
      <c r="CD35" s="139">
        <f t="shared" si="143"/>
        <v>5</v>
      </c>
      <c r="CE35" s="125">
        <v>0</v>
      </c>
      <c r="CF35" s="126">
        <v>0</v>
      </c>
      <c r="CG35" s="139" t="str">
        <f t="shared" ref="CG35" si="151">IF(CF35=0,"-",CE35/CF35)</f>
        <v>-</v>
      </c>
      <c r="CH35" s="125">
        <v>0</v>
      </c>
      <c r="CI35" s="126">
        <v>0</v>
      </c>
      <c r="CJ35" s="139" t="str">
        <f t="shared" ref="CJ35" si="152">IF(CI35=0,"-",CH35/CI35)</f>
        <v>-</v>
      </c>
      <c r="CK35" s="125">
        <v>0</v>
      </c>
      <c r="CL35" s="126">
        <v>0</v>
      </c>
      <c r="CM35" s="139" t="str">
        <f t="shared" ref="CM35" si="153">IF(CL35=0,"-",CK35/CL35)</f>
        <v>-</v>
      </c>
      <c r="CN35" s="117">
        <f t="shared" si="32"/>
        <v>327</v>
      </c>
      <c r="CO35" s="120">
        <f t="shared" si="30"/>
        <v>58</v>
      </c>
      <c r="CP35" s="147">
        <f t="shared" si="128"/>
        <v>5.6379310344827589</v>
      </c>
    </row>
    <row r="36" spans="1:94" s="41" customFormat="1" ht="15.6" customHeight="1" thickBot="1" x14ac:dyDescent="0.35">
      <c r="A36" s="295" t="s">
        <v>33</v>
      </c>
      <c r="B36" s="43">
        <f>SUM(B5:B35)</f>
        <v>1252</v>
      </c>
      <c r="C36" s="43">
        <f>SUM(C5:C35)</f>
        <v>160</v>
      </c>
      <c r="D36" s="44">
        <f>B36/C36</f>
        <v>7.8250000000000002</v>
      </c>
      <c r="E36" s="43">
        <f>SUM(E5:E35)</f>
        <v>167</v>
      </c>
      <c r="F36" s="43">
        <f>SUM(F5:F35)</f>
        <v>22</v>
      </c>
      <c r="G36" s="44">
        <f>E36/F36</f>
        <v>7.5909090909090908</v>
      </c>
      <c r="H36" s="43">
        <f>SUM(H5:H32)</f>
        <v>0</v>
      </c>
      <c r="I36" s="43">
        <f>SUM(I5:I32)</f>
        <v>0</v>
      </c>
      <c r="J36" s="44" t="e">
        <f>H36/I36</f>
        <v>#DIV/0!</v>
      </c>
      <c r="K36" s="43">
        <f>SUM(K5:K35)</f>
        <v>570</v>
      </c>
      <c r="L36" s="43">
        <f>SUM(L5:L35)</f>
        <v>53</v>
      </c>
      <c r="M36" s="44">
        <f>K36/L36</f>
        <v>10.754716981132075</v>
      </c>
      <c r="N36" s="43">
        <f>SUM(N5:N32)</f>
        <v>0</v>
      </c>
      <c r="O36" s="43">
        <f>SUM(O5:O32)</f>
        <v>0</v>
      </c>
      <c r="P36" s="44" t="e">
        <f>N36/O36</f>
        <v>#DIV/0!</v>
      </c>
      <c r="Q36" s="43">
        <f>SUM(Q5:Q35)</f>
        <v>1867</v>
      </c>
      <c r="R36" s="43">
        <f>SUM(R5:R35)</f>
        <v>411</v>
      </c>
      <c r="S36" s="44">
        <f>Q36/R36</f>
        <v>4.5425790754257909</v>
      </c>
      <c r="T36" s="43">
        <f>SUM(T5:T33)</f>
        <v>207</v>
      </c>
      <c r="U36" s="43">
        <f>SUM(U5:U33)</f>
        <v>43</v>
      </c>
      <c r="V36" s="44">
        <f>T36/U36</f>
        <v>4.8139534883720927</v>
      </c>
      <c r="W36" s="43">
        <f>SUM(W5:W32)</f>
        <v>0</v>
      </c>
      <c r="X36" s="43">
        <f>SUM(X5:X32)</f>
        <v>0</v>
      </c>
      <c r="Y36" s="297" t="e">
        <f>W36/X36</f>
        <v>#DIV/0!</v>
      </c>
      <c r="Z36" s="43">
        <f>SUM(Z5:Z32)</f>
        <v>572</v>
      </c>
      <c r="AA36" s="43">
        <f>SUM(AA5:AA32)</f>
        <v>122</v>
      </c>
      <c r="AB36" s="297">
        <f t="shared" ref="AB36" si="154">Z36/AA36</f>
        <v>4.6885245901639347</v>
      </c>
      <c r="AC36" s="43">
        <f>SUM(AC5:AC32)</f>
        <v>247</v>
      </c>
      <c r="AD36" s="43">
        <f>SUM(AD5:AD32)</f>
        <v>48</v>
      </c>
      <c r="AE36" s="297">
        <f t="shared" ref="AE36" si="155">AC36/AD36</f>
        <v>5.145833333333333</v>
      </c>
      <c r="AF36" s="43">
        <f>SUM(AF5:AF32)</f>
        <v>28</v>
      </c>
      <c r="AG36" s="43">
        <f>SUM(AG5:AG32)</f>
        <v>5</v>
      </c>
      <c r="AH36" s="44">
        <f>AF36/AG36</f>
        <v>5.6</v>
      </c>
      <c r="AI36" s="43">
        <f t="shared" ref="AI36:AJ36" si="156">SUM(AI5:AI32)</f>
        <v>36</v>
      </c>
      <c r="AJ36" s="43">
        <f t="shared" si="156"/>
        <v>6</v>
      </c>
      <c r="AK36" s="44">
        <f t="shared" ref="AK36" si="157">AI36/AJ36</f>
        <v>6</v>
      </c>
      <c r="AL36" s="43">
        <f t="shared" ref="AL36:AM36" si="158">SUM(AL5:AL32)</f>
        <v>24</v>
      </c>
      <c r="AM36" s="43">
        <f t="shared" si="158"/>
        <v>4</v>
      </c>
      <c r="AN36" s="44">
        <f t="shared" ref="AN36" si="159">AL36/AM36</f>
        <v>6</v>
      </c>
      <c r="AO36" s="43">
        <f t="shared" ref="AO36:AP36" si="160">SUM(AO5:AO32)</f>
        <v>155</v>
      </c>
      <c r="AP36" s="43">
        <f t="shared" si="160"/>
        <v>26</v>
      </c>
      <c r="AQ36" s="44">
        <f t="shared" ref="AQ36" si="161">AO36/AP36</f>
        <v>5.9615384615384617</v>
      </c>
      <c r="AR36" s="43">
        <f>SUM(AR5:AR33)</f>
        <v>65</v>
      </c>
      <c r="AS36" s="43">
        <f>SUM(AS5:AS33)</f>
        <v>16</v>
      </c>
      <c r="AT36" s="44">
        <f>AR36/AS36</f>
        <v>4.0625</v>
      </c>
      <c r="AU36" s="43">
        <f>SUM(AU5:AU32)</f>
        <v>0</v>
      </c>
      <c r="AV36" s="43">
        <f>SUM(AV5:AV32)</f>
        <v>0</v>
      </c>
      <c r="AW36" s="44" t="e">
        <f>AU36/AV36</f>
        <v>#DIV/0!</v>
      </c>
      <c r="AX36" s="43">
        <f>SUM(AX5:AX32)</f>
        <v>19</v>
      </c>
      <c r="AY36" s="43">
        <f>SUM(AY5:AY32)</f>
        <v>8</v>
      </c>
      <c r="AZ36" s="44">
        <f>AX36/AY36</f>
        <v>2.375</v>
      </c>
      <c r="BA36" s="43">
        <f>SUM(BA5:BA32)</f>
        <v>9</v>
      </c>
      <c r="BB36" s="43">
        <f>SUM(BB5:BB32)</f>
        <v>1</v>
      </c>
      <c r="BC36" s="44">
        <f>BA36/BB36</f>
        <v>9</v>
      </c>
      <c r="BD36" s="43">
        <f>SUM(BD5:BD32)</f>
        <v>0</v>
      </c>
      <c r="BE36" s="43">
        <f>SUM(BE5:BE32)</f>
        <v>0</v>
      </c>
      <c r="BF36" s="44" t="e">
        <f>BD36/BE36</f>
        <v>#DIV/0!</v>
      </c>
      <c r="BG36" s="43">
        <f>SUM(BG5:BG32)</f>
        <v>0</v>
      </c>
      <c r="BH36" s="43">
        <f>SUM(BH5:BH32)</f>
        <v>0</v>
      </c>
      <c r="BI36" s="44" t="e">
        <f>BG36/BH36</f>
        <v>#DIV/0!</v>
      </c>
      <c r="BJ36" s="43">
        <f>SUM(BJ5:BJ32)</f>
        <v>759</v>
      </c>
      <c r="BK36" s="43">
        <f>SUM(BK5:BK32)</f>
        <v>109</v>
      </c>
      <c r="BL36" s="44">
        <f>BJ36/BK36</f>
        <v>6.9633027522935782</v>
      </c>
      <c r="BM36" s="43">
        <f>SUM(BM5:BM32)</f>
        <v>6</v>
      </c>
      <c r="BN36" s="43">
        <f>SUM(BN5:BN32)</f>
        <v>1</v>
      </c>
      <c r="BO36" s="44">
        <f>BM36/BN36</f>
        <v>6</v>
      </c>
      <c r="BP36" s="43">
        <f>SUM(BP5:BP32)</f>
        <v>49</v>
      </c>
      <c r="BQ36" s="43">
        <f>SUM(BQ5:BQ32)</f>
        <v>7</v>
      </c>
      <c r="BR36" s="44">
        <f>BP36/BQ36</f>
        <v>7</v>
      </c>
      <c r="BS36" s="43">
        <f>SUM(BS5:BS32)</f>
        <v>135</v>
      </c>
      <c r="BT36" s="43">
        <f>SUM(BT5:BT32)</f>
        <v>20</v>
      </c>
      <c r="BU36" s="44">
        <f>BS36/BT36</f>
        <v>6.75</v>
      </c>
      <c r="BV36" s="43">
        <f>SUM(BV5:BV32)</f>
        <v>61</v>
      </c>
      <c r="BW36" s="43">
        <f>SUM(BW5:BW32)</f>
        <v>14</v>
      </c>
      <c r="BX36" s="140">
        <f>IF(BW36=0,"-",BV36/BW36)</f>
        <v>4.3571428571428568</v>
      </c>
      <c r="BY36" s="43">
        <f>SUM(BY5:BY32)</f>
        <v>0</v>
      </c>
      <c r="BZ36" s="43">
        <f>SUM(BZ5:BZ32)</f>
        <v>0</v>
      </c>
      <c r="CA36" s="140" t="str">
        <f>IF(BZ36=0,"-",BY36/BZ36)</f>
        <v>-</v>
      </c>
      <c r="CB36" s="43">
        <f>SUM(CB5:CB32)</f>
        <v>47</v>
      </c>
      <c r="CC36" s="43">
        <f>SUM(CC5:CC32)</f>
        <v>10</v>
      </c>
      <c r="CD36" s="140">
        <f>IF(CC36=0,"-",CB36/CC36)</f>
        <v>4.7</v>
      </c>
      <c r="CE36" s="43">
        <f>SUM(CE5:CE32)</f>
        <v>43</v>
      </c>
      <c r="CF36" s="43">
        <f>SUM(CF5:CF32)</f>
        <v>7</v>
      </c>
      <c r="CG36" s="140">
        <f>IF(CF36=0,"-",CE36/CF36)</f>
        <v>6.1428571428571432</v>
      </c>
      <c r="CH36" s="43">
        <f>SUM(CH5:CH32)</f>
        <v>0</v>
      </c>
      <c r="CI36" s="43">
        <f>SUM(CI5:CI32)</f>
        <v>0</v>
      </c>
      <c r="CJ36" s="140" t="str">
        <f>IF(CI36=0,"-",CH36/CI36)</f>
        <v>-</v>
      </c>
      <c r="CK36" s="43">
        <f>SUM(CK5:CK32)</f>
        <v>9</v>
      </c>
      <c r="CL36" s="43">
        <f>SUM(CL5:CL32)</f>
        <v>3</v>
      </c>
      <c r="CM36" s="140">
        <f>IF(CL36=0,"-",CK36/CL36)</f>
        <v>3</v>
      </c>
      <c r="CN36" s="118">
        <f>SUM(CN5:CN35)</f>
        <v>6511</v>
      </c>
      <c r="CO36" s="118">
        <f>SUM(CO5:CO35)</f>
        <v>1083</v>
      </c>
      <c r="CP36" s="144">
        <f t="shared" si="31"/>
        <v>6.0120036934441368</v>
      </c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5D01-E6A2-48C3-A145-D08EF449DFD7}">
  <sheetPr>
    <tabColor rgb="FFFF0000"/>
  </sheetPr>
  <dimension ref="A1:CL43"/>
  <sheetViews>
    <sheetView workbookViewId="0"/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107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'March 2025'!B36</f>
        <v>1252</v>
      </c>
      <c r="C4" s="68"/>
      <c r="D4" s="95" t="s">
        <v>19</v>
      </c>
      <c r="E4" s="93">
        <f>'March 2025'!AX36</f>
        <v>19</v>
      </c>
      <c r="F4" s="68"/>
      <c r="G4" s="87" t="s">
        <v>24</v>
      </c>
      <c r="H4" s="81">
        <f>'March 2025'!BM36</f>
        <v>6</v>
      </c>
    </row>
    <row r="5" spans="1:90" x14ac:dyDescent="0.3">
      <c r="A5" s="80"/>
      <c r="B5" s="81">
        <f>'March 2025'!C36</f>
        <v>160</v>
      </c>
      <c r="C5" s="68"/>
      <c r="D5" s="85"/>
      <c r="E5" s="81">
        <f>'March 2025'!AY36</f>
        <v>8</v>
      </c>
      <c r="F5" s="68"/>
      <c r="G5" s="87"/>
      <c r="H5" s="81">
        <f>'March 2025'!BN36</f>
        <v>1</v>
      </c>
    </row>
    <row r="6" spans="1:90" x14ac:dyDescent="0.3">
      <c r="A6" s="82"/>
      <c r="B6" s="26">
        <f>'March 2025'!D36</f>
        <v>7.8250000000000002</v>
      </c>
      <c r="C6" s="68"/>
      <c r="D6" s="86"/>
      <c r="E6" s="26">
        <f>'March 2025'!AZ36</f>
        <v>2.375</v>
      </c>
      <c r="F6" s="68"/>
      <c r="G6" s="88"/>
      <c r="H6" s="26">
        <f>'March 2025'!BO36</f>
        <v>6</v>
      </c>
    </row>
    <row r="7" spans="1:90" x14ac:dyDescent="0.3">
      <c r="A7" s="80" t="s">
        <v>9</v>
      </c>
      <c r="B7" s="81">
        <f>'March 2025'!E36</f>
        <v>167</v>
      </c>
      <c r="C7" s="68"/>
      <c r="D7" s="85" t="s">
        <v>20</v>
      </c>
      <c r="E7" s="81">
        <f>'March 2025'!BA36</f>
        <v>9</v>
      </c>
      <c r="F7" s="68"/>
      <c r="G7" s="87" t="s">
        <v>25</v>
      </c>
      <c r="H7" s="151">
        <f>'March 2025'!BP36</f>
        <v>49</v>
      </c>
    </row>
    <row r="8" spans="1:90" x14ac:dyDescent="0.3">
      <c r="A8" s="80"/>
      <c r="B8" s="81">
        <f>'March 2025'!F36</f>
        <v>22</v>
      </c>
      <c r="C8" s="68"/>
      <c r="D8" s="85"/>
      <c r="E8" s="81">
        <f>'March 2025'!BB36</f>
        <v>1</v>
      </c>
      <c r="F8" s="68"/>
      <c r="G8" s="87"/>
      <c r="H8" s="151">
        <f>'March 2025'!BQ36</f>
        <v>7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'March 2025'!G36</f>
        <v>7.5909090909090908</v>
      </c>
      <c r="C9" s="68"/>
      <c r="D9" s="86"/>
      <c r="E9" s="26">
        <f>'March 2025'!BC36</f>
        <v>9</v>
      </c>
      <c r="F9" s="68"/>
      <c r="G9" s="88"/>
      <c r="H9" s="151">
        <f>'March 2025'!BQ36</f>
        <v>7</v>
      </c>
    </row>
    <row r="10" spans="1:90" x14ac:dyDescent="0.3">
      <c r="A10" s="80" t="s">
        <v>55</v>
      </c>
      <c r="B10" s="81">
        <f>'March 2025'!K36</f>
        <v>570</v>
      </c>
      <c r="C10" s="68"/>
      <c r="D10" s="85" t="s">
        <v>21</v>
      </c>
      <c r="E10" s="81">
        <f>'March 2025'!BD36</f>
        <v>0</v>
      </c>
      <c r="F10" s="68"/>
      <c r="G10" s="87" t="s">
        <v>26</v>
      </c>
      <c r="H10" s="151">
        <f>'March 2025'!BS36</f>
        <v>135</v>
      </c>
    </row>
    <row r="11" spans="1:90" x14ac:dyDescent="0.3">
      <c r="A11" s="80"/>
      <c r="B11" s="81">
        <f>'March 2025'!L36</f>
        <v>53</v>
      </c>
      <c r="C11" s="68"/>
      <c r="D11" s="85"/>
      <c r="E11" s="81">
        <f>'March 2025'!BE36</f>
        <v>0</v>
      </c>
      <c r="F11" s="68"/>
      <c r="G11" s="87"/>
      <c r="H11" s="81">
        <f>'March 2025'!BT36</f>
        <v>20</v>
      </c>
    </row>
    <row r="12" spans="1:90" x14ac:dyDescent="0.3">
      <c r="A12" s="82"/>
      <c r="B12" s="26">
        <f>'March 2025'!M36</f>
        <v>10.754716981132075</v>
      </c>
      <c r="C12" s="68"/>
      <c r="D12" s="86"/>
      <c r="E12" s="26" t="e">
        <f>'March 2025'!BF36</f>
        <v>#DIV/0!</v>
      </c>
      <c r="F12" s="68"/>
      <c r="G12" s="88"/>
      <c r="H12" s="26">
        <f>'March 2025'!BU36</f>
        <v>6.75</v>
      </c>
    </row>
    <row r="13" spans="1:90" x14ac:dyDescent="0.3">
      <c r="A13" s="80" t="s">
        <v>11</v>
      </c>
      <c r="B13" s="81">
        <f>'March 2025'!Q36</f>
        <v>1867</v>
      </c>
      <c r="C13" s="68"/>
      <c r="D13" s="85" t="s">
        <v>22</v>
      </c>
      <c r="E13" s="81">
        <f>'March 2025'!BG36</f>
        <v>0</v>
      </c>
      <c r="F13" s="68"/>
      <c r="G13" s="87" t="s">
        <v>27</v>
      </c>
      <c r="H13" s="81">
        <f>'March 2025'!BV36</f>
        <v>61</v>
      </c>
    </row>
    <row r="14" spans="1:90" x14ac:dyDescent="0.3">
      <c r="A14" s="80"/>
      <c r="B14" s="81">
        <f>'March 2025'!R36</f>
        <v>411</v>
      </c>
      <c r="C14" s="68"/>
      <c r="D14" s="85"/>
      <c r="E14" s="81">
        <f>'March 2025'!BH36</f>
        <v>0</v>
      </c>
      <c r="F14" s="68"/>
      <c r="G14" s="87"/>
      <c r="H14" s="81">
        <f>'March 2025'!BW36</f>
        <v>14</v>
      </c>
    </row>
    <row r="15" spans="1:90" x14ac:dyDescent="0.3">
      <c r="A15" s="82"/>
      <c r="B15" s="26">
        <f>'March 2025'!S36</f>
        <v>4.5425790754257909</v>
      </c>
      <c r="C15" s="68"/>
      <c r="D15" s="85"/>
      <c r="E15" s="26" t="e">
        <f>'March 2025'!BI36</f>
        <v>#DIV/0!</v>
      </c>
      <c r="F15" s="68"/>
      <c r="G15" s="88"/>
      <c r="H15" s="26">
        <f>'March 2025'!BX36</f>
        <v>4.3571428571428568</v>
      </c>
    </row>
    <row r="16" spans="1:90" x14ac:dyDescent="0.3">
      <c r="A16" s="80" t="s">
        <v>44</v>
      </c>
      <c r="B16" s="81">
        <f>'March 2025'!T36</f>
        <v>207</v>
      </c>
      <c r="C16" s="68"/>
      <c r="D16" s="85" t="s">
        <v>45</v>
      </c>
      <c r="E16" s="26">
        <f>'March 2025'!BJ36</f>
        <v>759</v>
      </c>
      <c r="F16" s="68"/>
      <c r="G16" s="96" t="s">
        <v>28</v>
      </c>
      <c r="H16" s="97">
        <f>'March 2025'!CE36</f>
        <v>43</v>
      </c>
    </row>
    <row r="17" spans="1:8" x14ac:dyDescent="0.3">
      <c r="A17" s="80"/>
      <c r="B17" s="81">
        <f>'March 2025'!U36</f>
        <v>43</v>
      </c>
      <c r="C17" s="68"/>
      <c r="D17" s="85"/>
      <c r="E17" s="81">
        <f>'March 2025'!BK36</f>
        <v>109</v>
      </c>
      <c r="F17" s="68"/>
      <c r="G17" s="96"/>
      <c r="H17" s="97">
        <f>'March 2025'!CF36</f>
        <v>7</v>
      </c>
    </row>
    <row r="18" spans="1:8" ht="15" thickBot="1" x14ac:dyDescent="0.35">
      <c r="A18" s="82"/>
      <c r="B18" s="26">
        <f>'March 2025'!V36</f>
        <v>4.8139534883720927</v>
      </c>
      <c r="C18" s="68"/>
      <c r="D18" s="102"/>
      <c r="E18" s="149">
        <f>'March 2025'!BL36</f>
        <v>6.9633027522935782</v>
      </c>
      <c r="F18" s="68"/>
      <c r="G18" s="98"/>
      <c r="H18" s="99">
        <f>H16/H17</f>
        <v>6.1428571428571432</v>
      </c>
    </row>
    <row r="19" spans="1:8" x14ac:dyDescent="0.3">
      <c r="A19" s="80" t="s">
        <v>85</v>
      </c>
      <c r="B19" s="81">
        <f>'March 2025'!W36</f>
        <v>0</v>
      </c>
      <c r="C19" s="68"/>
    </row>
    <row r="20" spans="1:8" x14ac:dyDescent="0.3">
      <c r="A20" s="80"/>
      <c r="B20" s="81">
        <f>'March 2025'!X36</f>
        <v>0</v>
      </c>
      <c r="C20" s="68"/>
    </row>
    <row r="21" spans="1:8" x14ac:dyDescent="0.3">
      <c r="A21" s="100"/>
      <c r="B21" s="81">
        <f>'March 2025'!Y336</f>
        <v>0</v>
      </c>
      <c r="C21" s="68"/>
    </row>
    <row r="22" spans="1:8" x14ac:dyDescent="0.3">
      <c r="A22" s="310" t="s">
        <v>86</v>
      </c>
      <c r="B22" s="311">
        <f>'March 2025'!Z36</f>
        <v>572</v>
      </c>
      <c r="C22" s="68"/>
      <c r="D22" s="68"/>
      <c r="E22" s="68"/>
    </row>
    <row r="23" spans="1:8" x14ac:dyDescent="0.3">
      <c r="A23" s="324"/>
      <c r="B23" s="323">
        <f>'March 2025'!AA36</f>
        <v>122</v>
      </c>
      <c r="C23" s="68"/>
      <c r="D23" s="68"/>
      <c r="E23" s="68"/>
    </row>
    <row r="24" spans="1:8" x14ac:dyDescent="0.3">
      <c r="A24" s="325"/>
      <c r="B24" s="274">
        <f>'March 2025'!AB36</f>
        <v>4.6885245901639347</v>
      </c>
      <c r="C24" s="68"/>
      <c r="D24" s="68"/>
      <c r="E24" s="68"/>
    </row>
    <row r="25" spans="1:8" x14ac:dyDescent="0.3">
      <c r="A25" s="325" t="s">
        <v>79</v>
      </c>
      <c r="B25" s="274">
        <f>'March 2025'!AC36</f>
        <v>247</v>
      </c>
      <c r="C25" s="68"/>
      <c r="D25" s="68"/>
      <c r="E25" s="68"/>
    </row>
    <row r="26" spans="1:8" x14ac:dyDescent="0.3">
      <c r="A26" s="325"/>
      <c r="B26" s="274">
        <f>'March 2025'!AD36</f>
        <v>48</v>
      </c>
      <c r="C26" s="68"/>
      <c r="D26" s="68"/>
      <c r="E26" s="68"/>
    </row>
    <row r="27" spans="1:8" x14ac:dyDescent="0.3">
      <c r="A27" s="325"/>
      <c r="B27" s="274">
        <f>'March 2025'!AE36</f>
        <v>5.145833333333333</v>
      </c>
      <c r="C27" s="68"/>
      <c r="D27" s="68"/>
      <c r="E27" s="68"/>
    </row>
    <row r="28" spans="1:8" x14ac:dyDescent="0.3">
      <c r="A28" s="308" t="s">
        <v>14</v>
      </c>
      <c r="B28" s="309">
        <f>'March 2025'!AC36</f>
        <v>247</v>
      </c>
      <c r="C28" s="68"/>
      <c r="D28" s="68"/>
      <c r="E28" s="68"/>
    </row>
    <row r="29" spans="1:8" x14ac:dyDescent="0.3">
      <c r="A29" s="83"/>
      <c r="B29" s="81">
        <f>'March 2025'!AD36</f>
        <v>48</v>
      </c>
      <c r="C29" s="68"/>
      <c r="D29" s="68"/>
      <c r="E29" s="68"/>
    </row>
    <row r="30" spans="1:8" x14ac:dyDescent="0.3">
      <c r="A30" s="84"/>
      <c r="B30" s="26">
        <f>'March 2025'!AE36</f>
        <v>5.145833333333333</v>
      </c>
      <c r="C30" s="68"/>
      <c r="D30" s="68"/>
      <c r="E30" s="68"/>
    </row>
    <row r="31" spans="1:8" x14ac:dyDescent="0.3">
      <c r="A31" s="83" t="s">
        <v>15</v>
      </c>
      <c r="B31" s="81">
        <f>'March 2025'!AF36</f>
        <v>28</v>
      </c>
      <c r="C31" s="68"/>
      <c r="F31" s="68"/>
      <c r="G31" s="68"/>
    </row>
    <row r="32" spans="1:8" x14ac:dyDescent="0.3">
      <c r="A32" s="83"/>
      <c r="B32" s="81">
        <f>'March 2025'!AG36</f>
        <v>5</v>
      </c>
      <c r="C32" s="68"/>
      <c r="F32" s="68"/>
      <c r="G32" s="68"/>
    </row>
    <row r="33" spans="1:7" x14ac:dyDescent="0.3">
      <c r="A33" s="84"/>
      <c r="B33" s="275">
        <f>'March 2025'!AH36</f>
        <v>5.6</v>
      </c>
      <c r="C33" s="68"/>
      <c r="F33" s="68"/>
      <c r="G33" s="68"/>
    </row>
    <row r="34" spans="1:7" x14ac:dyDescent="0.3">
      <c r="A34" s="83" t="s">
        <v>16</v>
      </c>
      <c r="B34" s="81">
        <f>'March 2025'!AL36</f>
        <v>24</v>
      </c>
      <c r="C34" s="68"/>
      <c r="F34" s="68"/>
      <c r="G34" s="68"/>
    </row>
    <row r="35" spans="1:7" x14ac:dyDescent="0.3">
      <c r="A35" s="83"/>
      <c r="B35" s="81">
        <f>'March 2025'!AM36</f>
        <v>4</v>
      </c>
      <c r="C35" s="68"/>
      <c r="F35" s="68"/>
      <c r="G35" s="68"/>
    </row>
    <row r="36" spans="1:7" x14ac:dyDescent="0.3">
      <c r="A36" s="84"/>
      <c r="B36" s="26">
        <f>'March 2025'!AN36</f>
        <v>6</v>
      </c>
      <c r="C36" s="68"/>
      <c r="F36" s="68"/>
      <c r="G36" s="68"/>
    </row>
    <row r="37" spans="1:7" x14ac:dyDescent="0.3">
      <c r="A37" s="83" t="s">
        <v>17</v>
      </c>
      <c r="B37" s="81">
        <f>'March 2025'!AO36</f>
        <v>155</v>
      </c>
      <c r="C37" s="68"/>
      <c r="F37" s="68"/>
      <c r="G37" s="68"/>
    </row>
    <row r="38" spans="1:7" x14ac:dyDescent="0.3">
      <c r="A38" s="83"/>
      <c r="B38" s="81">
        <f>'March 2025'!AP36</f>
        <v>26</v>
      </c>
      <c r="C38" s="68"/>
      <c r="F38" s="68"/>
      <c r="G38" s="68"/>
    </row>
    <row r="39" spans="1:7" x14ac:dyDescent="0.3">
      <c r="A39" s="84"/>
      <c r="B39" s="26">
        <f>'March 2025'!AQ36</f>
        <v>5.9615384615384617</v>
      </c>
      <c r="C39" s="68"/>
      <c r="F39" s="68"/>
      <c r="G39" s="68"/>
    </row>
    <row r="40" spans="1:7" x14ac:dyDescent="0.3">
      <c r="A40" s="83" t="s">
        <v>59</v>
      </c>
      <c r="B40" s="81">
        <f>'March 2025'!AR36</f>
        <v>65</v>
      </c>
      <c r="C40" s="68"/>
      <c r="F40" s="68"/>
      <c r="G40" s="68"/>
    </row>
    <row r="41" spans="1:7" x14ac:dyDescent="0.3">
      <c r="A41" s="83"/>
      <c r="B41" s="81">
        <f>'March 2025'!AS36</f>
        <v>16</v>
      </c>
      <c r="C41" s="68"/>
      <c r="F41" s="68"/>
      <c r="G41" s="68"/>
    </row>
    <row r="42" spans="1:7" ht="15" thickBot="1" x14ac:dyDescent="0.35">
      <c r="A42" s="94"/>
      <c r="B42" s="89">
        <f>'March 2025'!AT36</f>
        <v>4.0625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7412-DCBE-430C-A865-116A322B40D3}">
  <dimension ref="A1:CP125"/>
  <sheetViews>
    <sheetView workbookViewId="0">
      <pane xSplit="9" ySplit="11" topLeftCell="BS14" activePane="bottomRight" state="frozen"/>
      <selection pane="topRight" activeCell="J1" sqref="J1"/>
      <selection pane="bottomLeft" activeCell="A12" sqref="A12"/>
      <selection pane="bottomRight" activeCell="CP35" sqref="CP35"/>
    </sheetView>
  </sheetViews>
  <sheetFormatPr defaultRowHeight="14.4" x14ac:dyDescent="0.3"/>
  <cols>
    <col min="1" max="1" width="32" style="296" customWidth="1"/>
    <col min="2" max="3" width="8.88671875" customWidth="1"/>
    <col min="4" max="9" width="8.88671875" style="2" customWidth="1"/>
    <col min="10" max="10" width="10" style="2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hidden="1" customWidth="1"/>
    <col min="60" max="60" width="9.6640625" hidden="1" customWidth="1"/>
    <col min="61" max="61" width="11.88671875" style="2" hidden="1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8.88671875" style="2"/>
    <col min="85" max="85" width="8.886718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98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328"/>
      <c r="CH3" s="14" t="s">
        <v>26</v>
      </c>
      <c r="CI3" s="14"/>
      <c r="CJ3" s="27"/>
      <c r="CK3" s="14" t="s">
        <v>99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329" t="s">
        <v>31</v>
      </c>
      <c r="CH4" s="16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45748</v>
      </c>
      <c r="B5" s="125">
        <v>17</v>
      </c>
      <c r="C5" s="126">
        <v>2</v>
      </c>
      <c r="D5" s="276">
        <f t="shared" ref="D5:D34" si="0">IF(C5=0,"-",B5/C5)</f>
        <v>8.5</v>
      </c>
      <c r="E5" s="125">
        <v>8</v>
      </c>
      <c r="F5" s="126">
        <v>1</v>
      </c>
      <c r="G5" s="276">
        <f t="shared" ref="G5:G21" si="1">IF(F5=0,"-",E5/F5)</f>
        <v>8</v>
      </c>
      <c r="H5" s="125">
        <v>0</v>
      </c>
      <c r="I5" s="126">
        <v>0</v>
      </c>
      <c r="J5" s="276" t="str">
        <f t="shared" ref="J5:J34" si="2">IF(I5=0,"-",H5/I5)</f>
        <v>-</v>
      </c>
      <c r="K5" s="125">
        <v>24</v>
      </c>
      <c r="L5" s="126">
        <v>3</v>
      </c>
      <c r="M5" s="276">
        <f t="shared" ref="M5:M34" si="3">IF(L5=0,"-",K5/L5)</f>
        <v>8</v>
      </c>
      <c r="N5" s="20">
        <v>0</v>
      </c>
      <c r="O5" s="21">
        <v>0</v>
      </c>
      <c r="P5" s="139" t="str">
        <f t="shared" ref="P5:P34" si="4">IF(O5=0,"-",N5/O5)</f>
        <v>-</v>
      </c>
      <c r="Q5" s="20">
        <v>42</v>
      </c>
      <c r="R5" s="21">
        <v>9</v>
      </c>
      <c r="S5" s="139">
        <f t="shared" ref="S5:S34" si="5">IF(R5=0,"-",Q5/R5)</f>
        <v>4.666666666666667</v>
      </c>
      <c r="T5" s="20">
        <v>324</v>
      </c>
      <c r="U5" s="21">
        <v>63</v>
      </c>
      <c r="V5" s="139">
        <f t="shared" ref="V5:V10" si="6">IF(U5=0,"-",T5/U5)</f>
        <v>5.1428571428571432</v>
      </c>
      <c r="W5" s="20">
        <v>0</v>
      </c>
      <c r="X5" s="21">
        <v>0</v>
      </c>
      <c r="Y5" s="139" t="str">
        <f t="shared" ref="Y5:Y34" si="7">IF(X5=0,"-",W5/X5)</f>
        <v>-</v>
      </c>
      <c r="Z5" s="20">
        <v>25</v>
      </c>
      <c r="AA5" s="21">
        <v>5</v>
      </c>
      <c r="AB5" s="139">
        <f t="shared" ref="AB5:AB6" si="8">IF(AA5=0,"-",Z5/AA5)</f>
        <v>5</v>
      </c>
      <c r="AC5" s="20">
        <v>0</v>
      </c>
      <c r="AD5" s="21">
        <v>0</v>
      </c>
      <c r="AE5" s="139" t="str">
        <f t="shared" ref="AE5:AE10" si="9">IF(AD5=0,"-",AC5/AD5)</f>
        <v>-</v>
      </c>
      <c r="AF5" s="20">
        <v>0</v>
      </c>
      <c r="AG5" s="21">
        <v>0</v>
      </c>
      <c r="AH5" s="139" t="str">
        <f t="shared" ref="AH5" si="10">IF(AG5=0,"-",AF5/AG5)</f>
        <v>-</v>
      </c>
      <c r="AI5" s="20">
        <v>0</v>
      </c>
      <c r="AJ5" s="21">
        <v>0</v>
      </c>
      <c r="AK5" s="139" t="str">
        <f t="shared" ref="AK5" si="11">IF(AJ5=0,"-",AI5/AJ5)</f>
        <v>-</v>
      </c>
      <c r="AL5" s="20">
        <v>0</v>
      </c>
      <c r="AM5" s="21">
        <v>0</v>
      </c>
      <c r="AN5" s="139" t="str">
        <f t="shared" ref="AN5" si="12">IF(AM5=0,"-",AL5/AM5)</f>
        <v>-</v>
      </c>
      <c r="AO5" s="20">
        <v>0</v>
      </c>
      <c r="AP5" s="21">
        <v>0</v>
      </c>
      <c r="AQ5" s="139" t="str">
        <f t="shared" ref="AQ5" si="13">IF(AP5=0,"-",AO5/AP5)</f>
        <v>-</v>
      </c>
      <c r="AR5" s="20">
        <v>5</v>
      </c>
      <c r="AS5" s="21">
        <v>1</v>
      </c>
      <c r="AT5" s="139">
        <f t="shared" ref="AT5:AT28" si="14">IF(AS5=0,"-",AR5/AS5)</f>
        <v>5</v>
      </c>
      <c r="AU5" s="20">
        <v>0</v>
      </c>
      <c r="AV5" s="21">
        <v>0</v>
      </c>
      <c r="AW5" s="139" t="str">
        <f t="shared" ref="AW5:AW22" si="15">IF(AV5=0,"-",AU5/AV5)</f>
        <v>-</v>
      </c>
      <c r="AX5" s="20">
        <v>0</v>
      </c>
      <c r="AY5" s="21">
        <v>0</v>
      </c>
      <c r="AZ5" s="139" t="str">
        <f t="shared" ref="AZ5:AZ28" si="16">IF(AY5=0,"-",AX5/AY5)</f>
        <v>-</v>
      </c>
      <c r="BA5" s="20">
        <v>0</v>
      </c>
      <c r="BB5" s="21">
        <v>0</v>
      </c>
      <c r="BC5" s="139" t="str">
        <f t="shared" ref="BC5:BC17" si="17">IF(BB5=0,"-",BA5/BB5)</f>
        <v>-</v>
      </c>
      <c r="BD5" s="20">
        <v>0</v>
      </c>
      <c r="BE5" s="21">
        <v>0</v>
      </c>
      <c r="BF5" s="139" t="str">
        <f t="shared" ref="BF5:BF34" si="18">IF(BE5=0,"-",BD5/BE5)</f>
        <v>-</v>
      </c>
      <c r="BG5" s="20">
        <v>0</v>
      </c>
      <c r="BH5" s="21">
        <v>0</v>
      </c>
      <c r="BI5" s="276" t="str">
        <f t="shared" ref="BI5:BI34" si="19">IF(BH5=0,"-",BG5/BH5)</f>
        <v>-</v>
      </c>
      <c r="BJ5" s="250">
        <v>39</v>
      </c>
      <c r="BK5" s="251">
        <v>6</v>
      </c>
      <c r="BL5" s="276">
        <f t="shared" ref="BL5:BL32" si="20">IF(BK5=0,"-",BJ5/BK5)</f>
        <v>6.5</v>
      </c>
      <c r="BM5" s="250">
        <v>0</v>
      </c>
      <c r="BN5" s="251">
        <v>0</v>
      </c>
      <c r="BO5" s="276" t="str">
        <f t="shared" ref="BO5:BO32" si="21">IF(BN5=0,"-",BM5/BN5)</f>
        <v>-</v>
      </c>
      <c r="BP5" s="326">
        <v>0</v>
      </c>
      <c r="BQ5" s="327">
        <v>0</v>
      </c>
      <c r="BR5" s="276" t="str">
        <f t="shared" ref="BR5:BR32" si="22">IF(BQ5=0,"-",BP5/BQ5)</f>
        <v>-</v>
      </c>
      <c r="BS5" s="254">
        <v>0</v>
      </c>
      <c r="BT5" s="255">
        <v>0</v>
      </c>
      <c r="BU5" s="276" t="str">
        <f t="shared" ref="BU5:BU34" si="23">IF(BT5=0,"-",BS5/BT5)</f>
        <v>-</v>
      </c>
      <c r="BV5" s="125">
        <v>1</v>
      </c>
      <c r="BW5" s="126">
        <v>1</v>
      </c>
      <c r="BX5" s="276">
        <f t="shared" ref="BX5:BX32" si="24">IF(BW5=0,"-",BV5/BW5)</f>
        <v>1</v>
      </c>
      <c r="BY5" s="125">
        <v>0</v>
      </c>
      <c r="BZ5" s="126">
        <v>0</v>
      </c>
      <c r="CA5" s="276" t="str">
        <f t="shared" ref="CA5:CA32" si="25">IF(BZ5=0,"-",BY5/BZ5)</f>
        <v>-</v>
      </c>
      <c r="CB5" s="125">
        <v>0</v>
      </c>
      <c r="CC5" s="126">
        <v>0</v>
      </c>
      <c r="CD5" s="276" t="str">
        <f t="shared" ref="CD5:CD32" si="26">IF(CC5=0,"-",CB5/CC5)</f>
        <v>-</v>
      </c>
      <c r="CE5" s="125">
        <v>0</v>
      </c>
      <c r="CF5" s="126">
        <v>0</v>
      </c>
      <c r="CG5" s="276" t="str">
        <f t="shared" ref="CG5" si="27">IF(CF5=0,"-",CE5/CF5)</f>
        <v>-</v>
      </c>
      <c r="CH5" s="125">
        <v>0</v>
      </c>
      <c r="CI5" s="126">
        <v>0</v>
      </c>
      <c r="CJ5" s="276" t="str">
        <f t="shared" ref="CJ5" si="28">IF(CI5=0,"-",CH5/CI5)</f>
        <v>-</v>
      </c>
      <c r="CK5" s="125">
        <v>0</v>
      </c>
      <c r="CL5" s="126">
        <v>0</v>
      </c>
      <c r="CM5" s="276" t="str">
        <f t="shared" ref="CM5" si="29">IF(CL5=0,"-",CK5/CL5)</f>
        <v>-</v>
      </c>
      <c r="CN5" s="117">
        <f>SUM(B5,E5,H5,K5,Q5,T5,W5,Z5,AC5,AF5,AI5,AL5,AO5,AR5,AX5,BA5,BG5,BJ5,BM5,BP5,BS5,BV5,BY5,CB5,CE5,CH5,CK5)</f>
        <v>485</v>
      </c>
      <c r="CO5" s="120">
        <f>C5+F5+I5+L5+R5+U5+X5+AA5+AD5+AG5+AJ5+AS5+AV5+AY5+BB5+BE5+BH5+BK5+BN5+BQ5+BT5+CC5+CF5+CI5+CL5</f>
        <v>90</v>
      </c>
      <c r="CP5" s="147">
        <f t="shared" ref="CP5:CP35" si="30">IF(CO5=0,"",CN5/CO5)</f>
        <v>5.3888888888888893</v>
      </c>
    </row>
    <row r="6" spans="1:94" ht="15" thickBot="1" x14ac:dyDescent="0.35">
      <c r="A6" s="294">
        <v>45749</v>
      </c>
      <c r="B6" s="20">
        <v>34</v>
      </c>
      <c r="C6" s="21">
        <v>4</v>
      </c>
      <c r="D6" s="139">
        <f t="shared" si="0"/>
        <v>8.5</v>
      </c>
      <c r="E6" s="20">
        <v>8</v>
      </c>
      <c r="F6" s="21">
        <v>1</v>
      </c>
      <c r="G6" s="139">
        <f t="shared" si="1"/>
        <v>8</v>
      </c>
      <c r="H6" s="20">
        <v>0</v>
      </c>
      <c r="I6" s="21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si="4"/>
        <v>-</v>
      </c>
      <c r="Q6" s="20">
        <v>84</v>
      </c>
      <c r="R6" s="21">
        <v>18</v>
      </c>
      <c r="S6" s="139">
        <f t="shared" si="5"/>
        <v>4.666666666666667</v>
      </c>
      <c r="T6" s="20">
        <v>305</v>
      </c>
      <c r="U6" s="21">
        <v>55</v>
      </c>
      <c r="V6" s="139">
        <f t="shared" si="6"/>
        <v>5.5454545454545459</v>
      </c>
      <c r="W6" s="20">
        <v>0</v>
      </c>
      <c r="X6" s="21">
        <v>0</v>
      </c>
      <c r="Y6" s="139" t="str">
        <f t="shared" si="7"/>
        <v>-</v>
      </c>
      <c r="Z6" s="20">
        <v>30</v>
      </c>
      <c r="AA6" s="21">
        <v>6</v>
      </c>
      <c r="AB6" s="139">
        <f t="shared" si="8"/>
        <v>5</v>
      </c>
      <c r="AC6" s="20">
        <v>0</v>
      </c>
      <c r="AD6" s="21">
        <v>0</v>
      </c>
      <c r="AE6" s="139" t="str">
        <f t="shared" si="9"/>
        <v>-</v>
      </c>
      <c r="AF6" s="20">
        <v>0</v>
      </c>
      <c r="AG6" s="21">
        <v>0</v>
      </c>
      <c r="AH6" s="139" t="str">
        <f t="shared" ref="AH6" si="31">IF(AG6=0,"-",AF6/AG6)</f>
        <v>-</v>
      </c>
      <c r="AI6" s="20">
        <v>0</v>
      </c>
      <c r="AJ6" s="21">
        <v>0</v>
      </c>
      <c r="AK6" s="139" t="str">
        <f t="shared" ref="AK6" si="32">IF(AJ6=0,"-",AI6/AJ6)</f>
        <v>-</v>
      </c>
      <c r="AL6" s="20">
        <v>0</v>
      </c>
      <c r="AM6" s="21">
        <v>0</v>
      </c>
      <c r="AN6" s="139" t="str">
        <f t="shared" ref="AN6" si="33">IF(AM6=0,"-",AL6/AM6)</f>
        <v>-</v>
      </c>
      <c r="AO6" s="20">
        <v>0</v>
      </c>
      <c r="AP6" s="21">
        <v>0</v>
      </c>
      <c r="AQ6" s="139" t="str">
        <f t="shared" ref="AQ6" si="34">IF(AP6=0,"-",AO6/AP6)</f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3</v>
      </c>
      <c r="AY6" s="21">
        <v>1</v>
      </c>
      <c r="AZ6" s="139">
        <f t="shared" si="16"/>
        <v>3</v>
      </c>
      <c r="BA6" s="20">
        <v>33</v>
      </c>
      <c r="BB6" s="21">
        <v>4</v>
      </c>
      <c r="BC6" s="139">
        <f t="shared" si="17"/>
        <v>8.25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276" t="str">
        <f t="shared" si="19"/>
        <v>-</v>
      </c>
      <c r="BJ6" s="252">
        <v>50</v>
      </c>
      <c r="BK6" s="253">
        <v>8</v>
      </c>
      <c r="BL6" s="276">
        <f t="shared" si="20"/>
        <v>6.25</v>
      </c>
      <c r="BM6" s="252">
        <v>0</v>
      </c>
      <c r="BN6" s="253">
        <v>0</v>
      </c>
      <c r="BO6" s="276" t="str">
        <f t="shared" si="21"/>
        <v>-</v>
      </c>
      <c r="BP6" s="302">
        <v>0</v>
      </c>
      <c r="BQ6" s="303">
        <v>0</v>
      </c>
      <c r="BR6" s="276" t="str">
        <f t="shared" si="22"/>
        <v>-</v>
      </c>
      <c r="BS6" s="256">
        <v>6</v>
      </c>
      <c r="BT6" s="253">
        <v>1</v>
      </c>
      <c r="BU6" s="276">
        <f t="shared" si="23"/>
        <v>6</v>
      </c>
      <c r="BV6" s="125">
        <v>1</v>
      </c>
      <c r="BW6" s="126">
        <v>1</v>
      </c>
      <c r="BX6" s="276">
        <f t="shared" si="24"/>
        <v>1</v>
      </c>
      <c r="BY6" s="125">
        <v>0</v>
      </c>
      <c r="BZ6" s="126">
        <v>0</v>
      </c>
      <c r="CA6" s="276" t="str">
        <f t="shared" si="25"/>
        <v>-</v>
      </c>
      <c r="CB6" s="125">
        <v>0</v>
      </c>
      <c r="CC6" s="126">
        <v>0</v>
      </c>
      <c r="CD6" s="276" t="str">
        <f t="shared" si="26"/>
        <v>-</v>
      </c>
      <c r="CE6" s="125">
        <v>0</v>
      </c>
      <c r="CF6" s="126">
        <v>0</v>
      </c>
      <c r="CG6" s="276" t="str">
        <f t="shared" ref="CG6:CG7" si="35">IF(CF6=0,"-",CE6/CF6)</f>
        <v>-</v>
      </c>
      <c r="CH6" s="125">
        <v>0</v>
      </c>
      <c r="CI6" s="126">
        <v>0</v>
      </c>
      <c r="CJ6" s="276" t="str">
        <f t="shared" ref="CJ6:CJ7" si="36">IF(CI6=0,"-",CH6/CI6)</f>
        <v>-</v>
      </c>
      <c r="CK6" s="125">
        <v>0</v>
      </c>
      <c r="CL6" s="126">
        <v>0</v>
      </c>
      <c r="CM6" s="276" t="str">
        <f t="shared" ref="CM6:CM7" si="37">IF(CL6=0,"-",CK6/CL6)</f>
        <v>-</v>
      </c>
      <c r="CN6" s="117">
        <f t="shared" ref="CN6:CN34" si="38">SUM(B6,E6,H6,K6,Q6,T6,W6,Z6,AC6,AF6,AI6,AL6,AO6,AR6,AX6,BA6,BG6,BJ6,BM6,BP6,BS6,BV6,BY6,CB6,CE6,CH6,CK6)</f>
        <v>554</v>
      </c>
      <c r="CO6" s="120">
        <f t="shared" ref="CO6:CO34" si="39">C6+F6+I6+L6+R6+U6+X6+AA6+AD6+AG6+AJ6+AS6+AV6+AY6+BB6+BE6+BH6+BK6+BN6+BQ6+BT6+CC6+CF6+CI6+CL6</f>
        <v>98</v>
      </c>
      <c r="CP6" s="147">
        <f t="shared" si="30"/>
        <v>5.6530612244897958</v>
      </c>
    </row>
    <row r="7" spans="1:94" ht="15" thickBot="1" x14ac:dyDescent="0.35">
      <c r="A7" s="294">
        <v>45750</v>
      </c>
      <c r="B7" s="20">
        <v>47</v>
      </c>
      <c r="C7" s="21">
        <v>7</v>
      </c>
      <c r="D7" s="139">
        <f t="shared" si="0"/>
        <v>6.7142857142857144</v>
      </c>
      <c r="E7" s="20">
        <v>16</v>
      </c>
      <c r="F7" s="21">
        <v>2</v>
      </c>
      <c r="G7" s="139">
        <f t="shared" si="1"/>
        <v>8</v>
      </c>
      <c r="H7" s="20">
        <v>0</v>
      </c>
      <c r="I7" s="21">
        <v>0</v>
      </c>
      <c r="J7" s="139" t="str">
        <f t="shared" si="2"/>
        <v>-</v>
      </c>
      <c r="K7" s="20">
        <v>50</v>
      </c>
      <c r="L7" s="21">
        <v>6</v>
      </c>
      <c r="M7" s="139">
        <f t="shared" si="3"/>
        <v>8.3333333333333339</v>
      </c>
      <c r="N7" s="20">
        <v>0</v>
      </c>
      <c r="O7" s="21">
        <v>0</v>
      </c>
      <c r="P7" s="139" t="str">
        <f t="shared" si="4"/>
        <v>-</v>
      </c>
      <c r="Q7" s="20">
        <v>93</v>
      </c>
      <c r="R7" s="21">
        <v>26</v>
      </c>
      <c r="S7" s="139">
        <f t="shared" si="5"/>
        <v>3.5769230769230771</v>
      </c>
      <c r="T7" s="20">
        <v>479</v>
      </c>
      <c r="U7" s="21">
        <v>79</v>
      </c>
      <c r="V7" s="139">
        <f t="shared" si="6"/>
        <v>6.0632911392405067</v>
      </c>
      <c r="W7" s="20">
        <v>0</v>
      </c>
      <c r="X7" s="21">
        <v>0</v>
      </c>
      <c r="Y7" s="278" t="str">
        <f t="shared" si="7"/>
        <v>-</v>
      </c>
      <c r="Z7" s="125">
        <v>35</v>
      </c>
      <c r="AA7" s="126">
        <v>7</v>
      </c>
      <c r="AB7" s="276">
        <f>IF(AA7=0,"-",Z7/AA7)</f>
        <v>5</v>
      </c>
      <c r="AC7" s="20">
        <v>0</v>
      </c>
      <c r="AD7" s="21">
        <v>0</v>
      </c>
      <c r="AE7" s="139" t="str">
        <f t="shared" si="9"/>
        <v>-</v>
      </c>
      <c r="AF7" s="20">
        <v>0</v>
      </c>
      <c r="AG7" s="21">
        <v>0</v>
      </c>
      <c r="AH7" s="139" t="str">
        <f t="shared" ref="AH7:AH8" si="40">IF(AG7=0,"-",AF7/AG7)</f>
        <v>-</v>
      </c>
      <c r="AI7" s="20">
        <v>0</v>
      </c>
      <c r="AJ7" s="21">
        <v>0</v>
      </c>
      <c r="AK7" s="139" t="str">
        <f t="shared" ref="AK7:AK8" si="41">IF(AJ7=0,"-",AI7/AJ7)</f>
        <v>-</v>
      </c>
      <c r="AL7" s="20">
        <v>0</v>
      </c>
      <c r="AM7" s="21">
        <v>0</v>
      </c>
      <c r="AN7" s="139" t="str">
        <f t="shared" ref="AN7:AN8" si="42">IF(AM7=0,"-",AL7/AM7)</f>
        <v>-</v>
      </c>
      <c r="AO7" s="20">
        <v>0</v>
      </c>
      <c r="AP7" s="21">
        <v>0</v>
      </c>
      <c r="AQ7" s="139" t="str">
        <f t="shared" ref="AQ7:AQ8" si="43">IF(AP7=0,"-",AO7/AP7)</f>
        <v>-</v>
      </c>
      <c r="AR7" s="20">
        <v>0</v>
      </c>
      <c r="AS7" s="21">
        <v>0</v>
      </c>
      <c r="AT7" s="139" t="str">
        <f t="shared" ref="AT7" si="44">IF(AS7=0,"-",AR7/AS7)</f>
        <v>-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10</v>
      </c>
      <c r="BB7" s="21">
        <v>1</v>
      </c>
      <c r="BC7" s="139">
        <f t="shared" si="17"/>
        <v>10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276" t="str">
        <f t="shared" si="19"/>
        <v>-</v>
      </c>
      <c r="BJ7" s="252">
        <v>18</v>
      </c>
      <c r="BK7" s="253">
        <v>3</v>
      </c>
      <c r="BL7" s="276">
        <f t="shared" si="20"/>
        <v>6</v>
      </c>
      <c r="BM7" s="252">
        <v>0</v>
      </c>
      <c r="BN7" s="253">
        <v>0</v>
      </c>
      <c r="BO7" s="276" t="str">
        <f t="shared" si="21"/>
        <v>-</v>
      </c>
      <c r="BP7" s="302">
        <v>0</v>
      </c>
      <c r="BQ7" s="303">
        <v>0</v>
      </c>
      <c r="BR7" s="276" t="str">
        <f t="shared" si="22"/>
        <v>-</v>
      </c>
      <c r="BS7" s="256">
        <v>0</v>
      </c>
      <c r="BT7" s="253">
        <v>0</v>
      </c>
      <c r="BU7" s="276" t="str">
        <f t="shared" si="23"/>
        <v>-</v>
      </c>
      <c r="BV7" s="125">
        <v>3</v>
      </c>
      <c r="BW7" s="126">
        <v>2</v>
      </c>
      <c r="BX7" s="276">
        <f t="shared" si="24"/>
        <v>1.5</v>
      </c>
      <c r="BY7" s="125">
        <v>0</v>
      </c>
      <c r="BZ7" s="126">
        <v>0</v>
      </c>
      <c r="CA7" s="276" t="str">
        <f t="shared" si="25"/>
        <v>-</v>
      </c>
      <c r="CB7" s="125">
        <v>0</v>
      </c>
      <c r="CC7" s="126">
        <v>0</v>
      </c>
      <c r="CD7" s="276" t="str">
        <f t="shared" si="26"/>
        <v>-</v>
      </c>
      <c r="CE7" s="125">
        <v>0</v>
      </c>
      <c r="CF7" s="126">
        <v>0</v>
      </c>
      <c r="CG7" s="276" t="str">
        <f t="shared" si="35"/>
        <v>-</v>
      </c>
      <c r="CH7" s="125">
        <v>0</v>
      </c>
      <c r="CI7" s="126">
        <v>0</v>
      </c>
      <c r="CJ7" s="276" t="str">
        <f t="shared" si="36"/>
        <v>-</v>
      </c>
      <c r="CK7" s="125">
        <v>0</v>
      </c>
      <c r="CL7" s="126">
        <v>0</v>
      </c>
      <c r="CM7" s="276" t="str">
        <f t="shared" si="37"/>
        <v>-</v>
      </c>
      <c r="CN7" s="117">
        <f t="shared" si="38"/>
        <v>751</v>
      </c>
      <c r="CO7" s="120">
        <f t="shared" si="39"/>
        <v>131</v>
      </c>
      <c r="CP7" s="147">
        <f t="shared" si="30"/>
        <v>5.7328244274809164</v>
      </c>
    </row>
    <row r="8" spans="1:94" ht="15" thickBot="1" x14ac:dyDescent="0.35">
      <c r="A8" s="294">
        <v>45751</v>
      </c>
      <c r="B8" s="20">
        <v>30</v>
      </c>
      <c r="C8" s="21">
        <v>4</v>
      </c>
      <c r="D8" s="139">
        <f t="shared" si="0"/>
        <v>7.5</v>
      </c>
      <c r="E8" s="20">
        <v>7</v>
      </c>
      <c r="F8" s="21">
        <v>1</v>
      </c>
      <c r="G8" s="139">
        <f t="shared" si="1"/>
        <v>7</v>
      </c>
      <c r="H8" s="20">
        <v>0</v>
      </c>
      <c r="I8" s="21">
        <v>0</v>
      </c>
      <c r="J8" s="139" t="str">
        <f t="shared" si="2"/>
        <v>-</v>
      </c>
      <c r="K8" s="20">
        <v>23</v>
      </c>
      <c r="L8" s="21">
        <v>3</v>
      </c>
      <c r="M8" s="139">
        <f t="shared" si="3"/>
        <v>7.666666666666667</v>
      </c>
      <c r="N8" s="20">
        <v>0</v>
      </c>
      <c r="O8" s="21">
        <v>0</v>
      </c>
      <c r="P8" s="139" t="str">
        <f t="shared" si="4"/>
        <v>-</v>
      </c>
      <c r="Q8" s="20">
        <v>82</v>
      </c>
      <c r="R8" s="21">
        <v>18</v>
      </c>
      <c r="S8" s="139">
        <f t="shared" si="5"/>
        <v>4.5555555555555554</v>
      </c>
      <c r="T8" s="20">
        <v>184</v>
      </c>
      <c r="U8" s="21">
        <v>33</v>
      </c>
      <c r="V8" s="139">
        <f t="shared" si="6"/>
        <v>5.5757575757575761</v>
      </c>
      <c r="W8" s="20">
        <v>0</v>
      </c>
      <c r="X8" s="21">
        <v>0</v>
      </c>
      <c r="Y8" s="278" t="str">
        <f t="shared" si="7"/>
        <v>-</v>
      </c>
      <c r="Z8" s="125">
        <v>40</v>
      </c>
      <c r="AA8" s="126">
        <v>8</v>
      </c>
      <c r="AB8" s="276">
        <f t="shared" ref="AB8:AB34" si="45">IF(AA8=0,"-",Z8/AA8)</f>
        <v>5</v>
      </c>
      <c r="AC8" s="20">
        <v>0</v>
      </c>
      <c r="AD8" s="21">
        <v>0</v>
      </c>
      <c r="AE8" s="139" t="str">
        <f t="shared" si="9"/>
        <v>-</v>
      </c>
      <c r="AF8" s="20">
        <v>0</v>
      </c>
      <c r="AG8" s="21">
        <v>0</v>
      </c>
      <c r="AH8" s="139" t="str">
        <f t="shared" si="40"/>
        <v>-</v>
      </c>
      <c r="AI8" s="20">
        <v>0</v>
      </c>
      <c r="AJ8" s="21">
        <v>0</v>
      </c>
      <c r="AK8" s="139" t="str">
        <f t="shared" si="41"/>
        <v>-</v>
      </c>
      <c r="AL8" s="20">
        <v>0</v>
      </c>
      <c r="AM8" s="21">
        <v>0</v>
      </c>
      <c r="AN8" s="139" t="str">
        <f t="shared" si="42"/>
        <v>-</v>
      </c>
      <c r="AO8" s="20">
        <v>0</v>
      </c>
      <c r="AP8" s="21">
        <v>0</v>
      </c>
      <c r="AQ8" s="139" t="str">
        <f t="shared" si="43"/>
        <v>-</v>
      </c>
      <c r="AR8" s="20">
        <v>0</v>
      </c>
      <c r="AS8" s="21">
        <v>0</v>
      </c>
      <c r="AT8" s="139" t="str">
        <f t="shared" ref="AT8" si="46">IF(AS8=0,"-",AR8/AS8)</f>
        <v>-</v>
      </c>
      <c r="AU8" s="20">
        <v>0</v>
      </c>
      <c r="AV8" s="21">
        <v>0</v>
      </c>
      <c r="AW8" s="139" t="str">
        <f t="shared" ref="AW8" si="47">IF(AV8=0,"-",AU8/AV8)</f>
        <v>-</v>
      </c>
      <c r="AX8" s="20">
        <v>0</v>
      </c>
      <c r="AY8" s="21">
        <v>0</v>
      </c>
      <c r="AZ8" s="139" t="str">
        <f t="shared" ref="AZ8" si="48">IF(AY8=0,"-",AX8/AY8)</f>
        <v>-</v>
      </c>
      <c r="BA8" s="20">
        <v>47</v>
      </c>
      <c r="BB8" s="21">
        <v>5</v>
      </c>
      <c r="BC8" s="139">
        <f t="shared" si="17"/>
        <v>9.4</v>
      </c>
      <c r="BD8" s="20">
        <v>0</v>
      </c>
      <c r="BE8" s="21">
        <v>0</v>
      </c>
      <c r="BF8" s="139" t="str">
        <f t="shared" si="18"/>
        <v>-</v>
      </c>
      <c r="BG8" s="20">
        <v>0</v>
      </c>
      <c r="BH8" s="21">
        <v>0</v>
      </c>
      <c r="BI8" s="276" t="str">
        <f t="shared" si="19"/>
        <v>-</v>
      </c>
      <c r="BJ8" s="252">
        <v>13</v>
      </c>
      <c r="BK8" s="253">
        <v>2</v>
      </c>
      <c r="BL8" s="276">
        <f t="shared" si="20"/>
        <v>6.5</v>
      </c>
      <c r="BM8" s="252">
        <v>0</v>
      </c>
      <c r="BN8" s="253">
        <v>0</v>
      </c>
      <c r="BO8" s="276" t="str">
        <f t="shared" si="21"/>
        <v>-</v>
      </c>
      <c r="BP8" s="302">
        <v>0</v>
      </c>
      <c r="BQ8" s="303">
        <v>0</v>
      </c>
      <c r="BR8" s="276" t="str">
        <f t="shared" si="22"/>
        <v>-</v>
      </c>
      <c r="BS8" s="256">
        <v>0</v>
      </c>
      <c r="BT8" s="253">
        <v>0</v>
      </c>
      <c r="BU8" s="276" t="str">
        <f t="shared" si="23"/>
        <v>-</v>
      </c>
      <c r="BV8" s="256">
        <v>0</v>
      </c>
      <c r="BW8" s="253">
        <v>0</v>
      </c>
      <c r="BX8" s="276" t="str">
        <f t="shared" si="24"/>
        <v>-</v>
      </c>
      <c r="BY8" s="256">
        <v>0</v>
      </c>
      <c r="BZ8" s="253">
        <v>0</v>
      </c>
      <c r="CA8" s="276" t="str">
        <f t="shared" si="25"/>
        <v>-</v>
      </c>
      <c r="CB8" s="256">
        <v>0</v>
      </c>
      <c r="CC8" s="253">
        <v>0</v>
      </c>
      <c r="CD8" s="276" t="str">
        <f t="shared" si="26"/>
        <v>-</v>
      </c>
      <c r="CE8" s="125">
        <v>27</v>
      </c>
      <c r="CF8" s="126">
        <v>4</v>
      </c>
      <c r="CG8" s="276">
        <f t="shared" ref="CG8:CG32" si="49">IF(CF8=0,"-",CE8/CF8)</f>
        <v>6.75</v>
      </c>
      <c r="CH8" s="125">
        <v>0</v>
      </c>
      <c r="CI8" s="126">
        <v>0</v>
      </c>
      <c r="CJ8" s="276" t="str">
        <f t="shared" ref="CJ8:CJ32" si="50">IF(CI8=0,"-",CH8/CI8)</f>
        <v>-</v>
      </c>
      <c r="CK8" s="125">
        <v>0</v>
      </c>
      <c r="CL8" s="126">
        <v>0</v>
      </c>
      <c r="CM8" s="276" t="str">
        <f t="shared" ref="CM8:CM27" si="51">IF(CL8=0,"-",CK8/CL8)</f>
        <v>-</v>
      </c>
      <c r="CN8" s="117">
        <f t="shared" si="38"/>
        <v>453</v>
      </c>
      <c r="CO8" s="120">
        <f t="shared" si="39"/>
        <v>78</v>
      </c>
      <c r="CP8" s="147">
        <f t="shared" si="30"/>
        <v>5.8076923076923075</v>
      </c>
    </row>
    <row r="9" spans="1:94" ht="15" thickBot="1" x14ac:dyDescent="0.35">
      <c r="A9" s="294">
        <v>45752</v>
      </c>
      <c r="B9" s="20">
        <v>25</v>
      </c>
      <c r="C9" s="21">
        <v>3</v>
      </c>
      <c r="D9" s="139">
        <f t="shared" si="0"/>
        <v>8.3333333333333339</v>
      </c>
      <c r="E9" s="20">
        <v>0</v>
      </c>
      <c r="F9" s="21">
        <v>0</v>
      </c>
      <c r="G9" s="139" t="str">
        <f t="shared" si="1"/>
        <v>-</v>
      </c>
      <c r="H9" s="20">
        <v>0</v>
      </c>
      <c r="I9" s="21">
        <v>0</v>
      </c>
      <c r="J9" s="139" t="str">
        <f t="shared" si="2"/>
        <v>-</v>
      </c>
      <c r="K9" s="20">
        <v>16</v>
      </c>
      <c r="L9" s="21">
        <v>2</v>
      </c>
      <c r="M9" s="139">
        <f t="shared" si="3"/>
        <v>8</v>
      </c>
      <c r="N9" s="20">
        <v>0</v>
      </c>
      <c r="O9" s="21">
        <v>0</v>
      </c>
      <c r="P9" s="139" t="str">
        <f t="shared" si="4"/>
        <v>-</v>
      </c>
      <c r="Q9" s="20">
        <v>43</v>
      </c>
      <c r="R9" s="21">
        <v>10</v>
      </c>
      <c r="S9" s="139">
        <f t="shared" si="5"/>
        <v>4.3</v>
      </c>
      <c r="T9" s="20">
        <v>18</v>
      </c>
      <c r="U9" s="21">
        <v>4</v>
      </c>
      <c r="V9" s="139">
        <f t="shared" si="6"/>
        <v>4.5</v>
      </c>
      <c r="W9" s="20">
        <v>0</v>
      </c>
      <c r="X9" s="21">
        <v>0</v>
      </c>
      <c r="Y9" s="139" t="str">
        <f t="shared" si="7"/>
        <v>-</v>
      </c>
      <c r="Z9" s="20">
        <v>0</v>
      </c>
      <c r="AA9" s="21">
        <v>0</v>
      </c>
      <c r="AB9" s="139" t="str">
        <f t="shared" si="45"/>
        <v>-</v>
      </c>
      <c r="AC9" s="20">
        <v>0</v>
      </c>
      <c r="AD9" s="21">
        <v>0</v>
      </c>
      <c r="AE9" s="139" t="str">
        <f t="shared" si="9"/>
        <v>-</v>
      </c>
      <c r="AF9" s="20">
        <v>0</v>
      </c>
      <c r="AG9" s="21">
        <v>0</v>
      </c>
      <c r="AH9" s="139" t="str">
        <f t="shared" ref="AH9:AH32" si="52">IF(AG9=0,"-",AF9/AG9)</f>
        <v>-</v>
      </c>
      <c r="AI9" s="20">
        <v>0</v>
      </c>
      <c r="AJ9" s="21">
        <v>0</v>
      </c>
      <c r="AK9" s="139" t="str">
        <f t="shared" ref="AK9:AK32" si="53">IF(AJ9=0,"-",AI9/AJ9)</f>
        <v>-</v>
      </c>
      <c r="AL9" s="20">
        <v>0</v>
      </c>
      <c r="AM9" s="21">
        <v>0</v>
      </c>
      <c r="AN9" s="139" t="str">
        <f t="shared" ref="AN9:AN34" si="54">IF(AM9=0,"-",AL9/AM9)</f>
        <v>-</v>
      </c>
      <c r="AO9" s="20">
        <v>0</v>
      </c>
      <c r="AP9" s="21">
        <v>0</v>
      </c>
      <c r="AQ9" s="139" t="str">
        <f t="shared" ref="AQ9:AQ34" si="55">IF(AP9=0,"-",AO9/AP9)</f>
        <v>-</v>
      </c>
      <c r="AR9" s="20">
        <v>0</v>
      </c>
      <c r="AS9" s="21">
        <v>0</v>
      </c>
      <c r="AT9" s="139" t="str">
        <f t="shared" ref="AT9:AT10" si="56">IF(AS9=0,"-",AR9/AS9)</f>
        <v>-</v>
      </c>
      <c r="AU9" s="20">
        <v>0</v>
      </c>
      <c r="AV9" s="21">
        <v>0</v>
      </c>
      <c r="AW9" s="139" t="str">
        <f t="shared" ref="AW9:AW10" si="57">IF(AV9=0,"-",AU9/AV9)</f>
        <v>-</v>
      </c>
      <c r="AX9" s="20">
        <v>0</v>
      </c>
      <c r="AY9" s="21">
        <v>0</v>
      </c>
      <c r="AZ9" s="139" t="str">
        <f t="shared" ref="AZ9:AZ10" si="58">IF(AY9=0,"-",AX9/AY9)</f>
        <v>-</v>
      </c>
      <c r="BA9" s="20">
        <v>0</v>
      </c>
      <c r="BB9" s="21">
        <v>0</v>
      </c>
      <c r="BC9" s="139" t="str">
        <f t="shared" si="17"/>
        <v>-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276" t="str">
        <f t="shared" si="19"/>
        <v>-</v>
      </c>
      <c r="BJ9" s="252">
        <v>12</v>
      </c>
      <c r="BK9" s="253">
        <v>2</v>
      </c>
      <c r="BL9" s="276">
        <f t="shared" si="20"/>
        <v>6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257">
        <v>7</v>
      </c>
      <c r="BT9" s="253">
        <v>1</v>
      </c>
      <c r="BU9" s="276">
        <f t="shared" si="23"/>
        <v>7</v>
      </c>
      <c r="BV9" s="256">
        <v>0</v>
      </c>
      <c r="BW9" s="253">
        <v>0</v>
      </c>
      <c r="BX9" s="276" t="str">
        <f t="shared" ref="BX9" si="59">IF(BW9=0,"-",BV9/BW9)</f>
        <v>-</v>
      </c>
      <c r="BY9" s="256">
        <v>0</v>
      </c>
      <c r="BZ9" s="253">
        <v>0</v>
      </c>
      <c r="CA9" s="276" t="str">
        <f t="shared" ref="CA9" si="60">IF(BZ9=0,"-",BY9/BZ9)</f>
        <v>-</v>
      </c>
      <c r="CB9" s="256">
        <v>0</v>
      </c>
      <c r="CC9" s="253">
        <v>0</v>
      </c>
      <c r="CD9" s="276" t="str">
        <f t="shared" ref="CD9" si="61">IF(CC9=0,"-",CB9/CC9)</f>
        <v>-</v>
      </c>
      <c r="CE9" s="125">
        <v>14</v>
      </c>
      <c r="CF9" s="126">
        <v>2</v>
      </c>
      <c r="CG9" s="276">
        <f t="shared" si="49"/>
        <v>7</v>
      </c>
      <c r="CH9" s="125">
        <v>0</v>
      </c>
      <c r="CI9" s="126">
        <v>0</v>
      </c>
      <c r="CJ9" s="276" t="str">
        <f t="shared" si="50"/>
        <v>-</v>
      </c>
      <c r="CK9" s="125">
        <v>0</v>
      </c>
      <c r="CL9" s="126">
        <v>0</v>
      </c>
      <c r="CM9" s="276" t="str">
        <f t="shared" si="51"/>
        <v>-</v>
      </c>
      <c r="CN9" s="117">
        <f t="shared" si="38"/>
        <v>135</v>
      </c>
      <c r="CO9" s="120">
        <f t="shared" si="39"/>
        <v>24</v>
      </c>
      <c r="CP9" s="147">
        <f t="shared" si="30"/>
        <v>5.625</v>
      </c>
    </row>
    <row r="10" spans="1:94" ht="15" thickBot="1" x14ac:dyDescent="0.35">
      <c r="A10" s="294">
        <v>45753</v>
      </c>
      <c r="B10" s="20">
        <v>18</v>
      </c>
      <c r="C10" s="21">
        <v>3</v>
      </c>
      <c r="D10" s="139">
        <f t="shared" si="0"/>
        <v>6</v>
      </c>
      <c r="E10" s="23">
        <v>8</v>
      </c>
      <c r="F10" s="21">
        <v>1</v>
      </c>
      <c r="G10" s="139">
        <f t="shared" si="1"/>
        <v>8</v>
      </c>
      <c r="H10" s="20">
        <v>0</v>
      </c>
      <c r="I10" s="21">
        <v>0</v>
      </c>
      <c r="J10" s="139" t="str">
        <f t="shared" ref="J10" si="62">IF(I10=0,"-",H10/I10)</f>
        <v>-</v>
      </c>
      <c r="K10" s="20">
        <v>8</v>
      </c>
      <c r="L10" s="21">
        <v>1</v>
      </c>
      <c r="M10" s="139">
        <v>0</v>
      </c>
      <c r="N10" s="125">
        <v>0</v>
      </c>
      <c r="O10" s="126">
        <v>0</v>
      </c>
      <c r="P10" s="139" t="str">
        <f t="shared" si="4"/>
        <v>-</v>
      </c>
      <c r="Q10" s="20">
        <v>28</v>
      </c>
      <c r="R10" s="21">
        <v>5</v>
      </c>
      <c r="S10" s="139">
        <f t="shared" si="5"/>
        <v>5.6</v>
      </c>
      <c r="T10" s="20">
        <v>116</v>
      </c>
      <c r="U10" s="21">
        <v>19</v>
      </c>
      <c r="V10" s="139">
        <f t="shared" si="6"/>
        <v>6.1052631578947372</v>
      </c>
      <c r="W10" s="20">
        <v>0</v>
      </c>
      <c r="X10" s="21">
        <v>0</v>
      </c>
      <c r="Y10" s="278" t="str">
        <f t="shared" si="7"/>
        <v>-</v>
      </c>
      <c r="Z10" s="20">
        <v>0</v>
      </c>
      <c r="AA10" s="21">
        <v>0</v>
      </c>
      <c r="AB10" s="139" t="str">
        <f t="shared" ref="AB10" si="63">IF(AA10=0,"-",Z10/AA10)</f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ref="AH10" si="64">IF(AG10=0,"-",AF10/AG10)</f>
        <v>-</v>
      </c>
      <c r="AI10" s="20">
        <v>0</v>
      </c>
      <c r="AJ10" s="21">
        <v>0</v>
      </c>
      <c r="AK10" s="139" t="str">
        <f t="shared" ref="AK10" si="65">IF(AJ10=0,"-",AI10/AJ10)</f>
        <v>-</v>
      </c>
      <c r="AL10" s="20">
        <v>6</v>
      </c>
      <c r="AM10" s="21">
        <v>1</v>
      </c>
      <c r="AN10" s="139">
        <f t="shared" si="54"/>
        <v>6</v>
      </c>
      <c r="AO10" s="20">
        <v>0</v>
      </c>
      <c r="AP10" s="21">
        <v>0</v>
      </c>
      <c r="AQ10" s="139" t="str">
        <f t="shared" ref="AQ10" si="66">IF(AP10=0,"-",AO10/AP10)</f>
        <v>-</v>
      </c>
      <c r="AR10" s="20">
        <v>0</v>
      </c>
      <c r="AS10" s="21">
        <v>0</v>
      </c>
      <c r="AT10" s="139" t="str">
        <f t="shared" si="56"/>
        <v>-</v>
      </c>
      <c r="AU10" s="20">
        <v>0</v>
      </c>
      <c r="AV10" s="21">
        <v>0</v>
      </c>
      <c r="AW10" s="139" t="str">
        <f t="shared" si="57"/>
        <v>-</v>
      </c>
      <c r="AX10" s="20">
        <v>0</v>
      </c>
      <c r="AY10" s="21">
        <v>0</v>
      </c>
      <c r="AZ10" s="139" t="str">
        <f t="shared" si="58"/>
        <v>-</v>
      </c>
      <c r="BA10" s="20">
        <v>0</v>
      </c>
      <c r="BB10" s="21">
        <v>0</v>
      </c>
      <c r="BC10" s="139" t="str">
        <f t="shared" si="17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52">
        <v>38</v>
      </c>
      <c r="BK10" s="253">
        <v>6</v>
      </c>
      <c r="BL10" s="276">
        <f t="shared" si="20"/>
        <v>6.333333333333333</v>
      </c>
      <c r="BM10" s="252">
        <v>0</v>
      </c>
      <c r="BN10" s="253">
        <v>0</v>
      </c>
      <c r="BO10" s="276" t="str">
        <f t="shared" si="21"/>
        <v>-</v>
      </c>
      <c r="BP10" s="302">
        <v>0</v>
      </c>
      <c r="BQ10" s="303">
        <v>0</v>
      </c>
      <c r="BR10" s="276" t="str">
        <f t="shared" si="22"/>
        <v>-</v>
      </c>
      <c r="BS10" s="257">
        <v>0</v>
      </c>
      <c r="BT10" s="253">
        <v>0</v>
      </c>
      <c r="BU10" s="276" t="str">
        <f t="shared" si="23"/>
        <v>-</v>
      </c>
      <c r="BV10" s="125">
        <v>0</v>
      </c>
      <c r="BW10" s="126">
        <v>0</v>
      </c>
      <c r="BX10" s="276" t="str">
        <f t="shared" si="24"/>
        <v>-</v>
      </c>
      <c r="BY10" s="125">
        <v>0</v>
      </c>
      <c r="BZ10" s="126">
        <v>0</v>
      </c>
      <c r="CA10" s="276" t="str">
        <f t="shared" si="25"/>
        <v>-</v>
      </c>
      <c r="CB10" s="125">
        <v>3</v>
      </c>
      <c r="CC10" s="126">
        <v>1</v>
      </c>
      <c r="CD10" s="276">
        <f t="shared" si="26"/>
        <v>3</v>
      </c>
      <c r="CE10" s="125">
        <v>7</v>
      </c>
      <c r="CF10" s="126">
        <v>1</v>
      </c>
      <c r="CG10" s="276">
        <f t="shared" si="49"/>
        <v>7</v>
      </c>
      <c r="CH10" s="125">
        <v>0</v>
      </c>
      <c r="CI10" s="126">
        <v>0</v>
      </c>
      <c r="CJ10" s="276" t="str">
        <f t="shared" si="50"/>
        <v>-</v>
      </c>
      <c r="CK10" s="125">
        <v>0</v>
      </c>
      <c r="CL10" s="126">
        <v>0</v>
      </c>
      <c r="CM10" s="276" t="str">
        <f t="shared" si="51"/>
        <v>-</v>
      </c>
      <c r="CN10" s="117">
        <f t="shared" si="38"/>
        <v>232</v>
      </c>
      <c r="CO10" s="120">
        <f t="shared" si="39"/>
        <v>37</v>
      </c>
      <c r="CP10" s="147">
        <f t="shared" si="30"/>
        <v>6.2702702702702702</v>
      </c>
    </row>
    <row r="11" spans="1:94" ht="15" thickBot="1" x14ac:dyDescent="0.35">
      <c r="A11" s="294">
        <v>45754</v>
      </c>
      <c r="B11" s="20">
        <v>8</v>
      </c>
      <c r="C11" s="21">
        <v>1</v>
      </c>
      <c r="D11" s="139">
        <f t="shared" si="0"/>
        <v>8</v>
      </c>
      <c r="E11" s="23">
        <v>0</v>
      </c>
      <c r="F11" s="21">
        <v>0</v>
      </c>
      <c r="G11" s="139" t="str">
        <f t="shared" si="1"/>
        <v>-</v>
      </c>
      <c r="H11" s="20">
        <v>16</v>
      </c>
      <c r="I11" s="21">
        <v>2</v>
      </c>
      <c r="J11" s="139">
        <f t="shared" si="2"/>
        <v>8</v>
      </c>
      <c r="K11" s="20">
        <v>27</v>
      </c>
      <c r="L11" s="21">
        <v>4</v>
      </c>
      <c r="M11" s="139">
        <f t="shared" si="3"/>
        <v>6.75</v>
      </c>
      <c r="N11" s="125">
        <v>0</v>
      </c>
      <c r="O11" s="126">
        <v>0</v>
      </c>
      <c r="P11" s="139" t="str">
        <f t="shared" si="4"/>
        <v>-</v>
      </c>
      <c r="Q11" s="20">
        <v>71</v>
      </c>
      <c r="R11" s="21">
        <v>21</v>
      </c>
      <c r="S11" s="139">
        <f t="shared" si="5"/>
        <v>3.3809523809523809</v>
      </c>
      <c r="T11" s="20">
        <v>0</v>
      </c>
      <c r="U11" s="21">
        <v>0</v>
      </c>
      <c r="V11" s="139" t="str">
        <f t="shared" ref="V11:V34" si="67">IF(U11=0,"-",T11/U11)</f>
        <v>-</v>
      </c>
      <c r="W11" s="20">
        <v>0</v>
      </c>
      <c r="X11" s="21">
        <v>0</v>
      </c>
      <c r="Y11" s="278" t="str">
        <f t="shared" si="7"/>
        <v>-</v>
      </c>
      <c r="Z11" s="125">
        <v>25</v>
      </c>
      <c r="AA11" s="126">
        <v>5</v>
      </c>
      <c r="AB11" s="276">
        <f t="shared" si="45"/>
        <v>5</v>
      </c>
      <c r="AC11" s="20">
        <v>76</v>
      </c>
      <c r="AD11" s="21">
        <v>15</v>
      </c>
      <c r="AE11" s="139">
        <f t="shared" ref="AE11:AE34" si="68">IF(AD11=0,"-",AC11/AD11)</f>
        <v>5.0666666666666664</v>
      </c>
      <c r="AF11" s="20">
        <v>0</v>
      </c>
      <c r="AG11" s="21">
        <v>0</v>
      </c>
      <c r="AH11" s="139" t="str">
        <f t="shared" ref="AH11" si="69">IF(AG11=0,"-",AF11/AG11)</f>
        <v>-</v>
      </c>
      <c r="AI11" s="20">
        <v>0</v>
      </c>
      <c r="AJ11" s="21">
        <v>0</v>
      </c>
      <c r="AK11" s="139" t="str">
        <f t="shared" ref="AK11" si="70">IF(AJ11=0,"-",AI11/AJ11)</f>
        <v>-</v>
      </c>
      <c r="AL11" s="20">
        <v>6</v>
      </c>
      <c r="AM11" s="21">
        <v>1</v>
      </c>
      <c r="AN11" s="139">
        <f t="shared" si="54"/>
        <v>6</v>
      </c>
      <c r="AO11" s="20">
        <v>0</v>
      </c>
      <c r="AP11" s="21">
        <v>0</v>
      </c>
      <c r="AQ11" s="139" t="str">
        <f t="shared" si="55"/>
        <v>-</v>
      </c>
      <c r="AR11" s="20">
        <v>7</v>
      </c>
      <c r="AS11" s="21">
        <v>1</v>
      </c>
      <c r="AT11" s="139">
        <f t="shared" si="14"/>
        <v>7</v>
      </c>
      <c r="AU11" s="20">
        <v>0</v>
      </c>
      <c r="AV11" s="21">
        <v>0</v>
      </c>
      <c r="AW11" s="139" t="str">
        <f t="shared" si="15"/>
        <v>-</v>
      </c>
      <c r="AX11" s="20">
        <v>3</v>
      </c>
      <c r="AY11" s="21">
        <v>1</v>
      </c>
      <c r="AZ11" s="139">
        <f t="shared" si="16"/>
        <v>3</v>
      </c>
      <c r="BA11" s="20">
        <v>0</v>
      </c>
      <c r="BB11" s="21">
        <v>0</v>
      </c>
      <c r="BC11" s="139" t="str">
        <f t="shared" si="17"/>
        <v>-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52">
        <v>48</v>
      </c>
      <c r="BK11" s="253">
        <v>8</v>
      </c>
      <c r="BL11" s="276">
        <f t="shared" si="20"/>
        <v>6</v>
      </c>
      <c r="BM11" s="252">
        <v>0</v>
      </c>
      <c r="BN11" s="253">
        <v>0</v>
      </c>
      <c r="BO11" s="276" t="str">
        <f t="shared" si="21"/>
        <v>-</v>
      </c>
      <c r="BP11" s="302">
        <v>0</v>
      </c>
      <c r="BQ11" s="303">
        <v>0</v>
      </c>
      <c r="BR11" s="276" t="str">
        <f t="shared" si="22"/>
        <v>-</v>
      </c>
      <c r="BS11" s="257">
        <v>0</v>
      </c>
      <c r="BT11" s="253">
        <v>0</v>
      </c>
      <c r="BU11" s="276" t="str">
        <f t="shared" si="23"/>
        <v>-</v>
      </c>
      <c r="BV11" s="257">
        <v>0</v>
      </c>
      <c r="BW11" s="253">
        <v>0</v>
      </c>
      <c r="BX11" s="276" t="str">
        <f t="shared" si="24"/>
        <v>-</v>
      </c>
      <c r="BY11" s="257">
        <v>0</v>
      </c>
      <c r="BZ11" s="253">
        <v>0</v>
      </c>
      <c r="CA11" s="276" t="str">
        <f t="shared" si="25"/>
        <v>-</v>
      </c>
      <c r="CB11" s="257">
        <v>0</v>
      </c>
      <c r="CC11" s="253">
        <v>0</v>
      </c>
      <c r="CD11" s="276" t="str">
        <f t="shared" si="26"/>
        <v>-</v>
      </c>
      <c r="CE11" s="125">
        <v>20</v>
      </c>
      <c r="CF11" s="126">
        <v>3</v>
      </c>
      <c r="CG11" s="276">
        <f t="shared" si="49"/>
        <v>6.666666666666667</v>
      </c>
      <c r="CH11" s="125">
        <v>0</v>
      </c>
      <c r="CI11" s="126">
        <v>0</v>
      </c>
      <c r="CJ11" s="276" t="str">
        <f t="shared" si="50"/>
        <v>-</v>
      </c>
      <c r="CK11" s="125">
        <v>0</v>
      </c>
      <c r="CL11" s="126">
        <v>0</v>
      </c>
      <c r="CM11" s="276" t="str">
        <f t="shared" si="51"/>
        <v>-</v>
      </c>
      <c r="CN11" s="117">
        <f t="shared" si="38"/>
        <v>307</v>
      </c>
      <c r="CO11" s="120">
        <f t="shared" si="39"/>
        <v>61</v>
      </c>
      <c r="CP11" s="147">
        <f t="shared" si="30"/>
        <v>5.0327868852459012</v>
      </c>
    </row>
    <row r="12" spans="1:94" ht="16.2" customHeight="1" thickBot="1" x14ac:dyDescent="0.35">
      <c r="A12" s="294">
        <v>45755</v>
      </c>
      <c r="B12" s="20">
        <v>53</v>
      </c>
      <c r="C12" s="21">
        <v>7</v>
      </c>
      <c r="D12" s="139">
        <f t="shared" si="0"/>
        <v>7.5714285714285712</v>
      </c>
      <c r="E12" s="23">
        <v>9</v>
      </c>
      <c r="F12" s="21">
        <v>1</v>
      </c>
      <c r="G12" s="139">
        <f t="shared" si="1"/>
        <v>9</v>
      </c>
      <c r="H12" s="20">
        <v>0</v>
      </c>
      <c r="I12" s="21">
        <v>0</v>
      </c>
      <c r="J12" s="139" t="str">
        <f t="shared" si="2"/>
        <v>-</v>
      </c>
      <c r="K12" s="20">
        <v>8</v>
      </c>
      <c r="L12" s="21">
        <v>1</v>
      </c>
      <c r="M12" s="139">
        <f t="shared" si="3"/>
        <v>8</v>
      </c>
      <c r="N12" s="125">
        <v>0</v>
      </c>
      <c r="O12" s="126">
        <v>0</v>
      </c>
      <c r="P12" s="139" t="str">
        <f t="shared" si="4"/>
        <v>-</v>
      </c>
      <c r="Q12" s="23">
        <v>111</v>
      </c>
      <c r="R12" s="21">
        <v>21</v>
      </c>
      <c r="S12" s="139">
        <f t="shared" si="5"/>
        <v>5.2857142857142856</v>
      </c>
      <c r="T12" s="20">
        <v>0</v>
      </c>
      <c r="U12" s="21">
        <v>0</v>
      </c>
      <c r="V12" s="139" t="str">
        <f t="shared" si="67"/>
        <v>-</v>
      </c>
      <c r="W12" s="20">
        <v>0</v>
      </c>
      <c r="X12" s="21">
        <v>0</v>
      </c>
      <c r="Y12" s="278" t="str">
        <f t="shared" si="7"/>
        <v>-</v>
      </c>
      <c r="Z12" s="20">
        <v>30</v>
      </c>
      <c r="AA12" s="21">
        <v>6</v>
      </c>
      <c r="AB12" s="278">
        <f t="shared" si="45"/>
        <v>5</v>
      </c>
      <c r="AC12" s="20">
        <v>6</v>
      </c>
      <c r="AD12" s="21">
        <v>1</v>
      </c>
      <c r="AE12" s="139">
        <f t="shared" si="68"/>
        <v>6</v>
      </c>
      <c r="AF12" s="20">
        <v>0</v>
      </c>
      <c r="AG12" s="21">
        <v>0</v>
      </c>
      <c r="AH12" s="139" t="str">
        <f t="shared" ref="AH12" si="71">IF(AG12=0,"-",AF12/AG12)</f>
        <v>-</v>
      </c>
      <c r="AI12" s="20">
        <v>0</v>
      </c>
      <c r="AJ12" s="21">
        <v>0</v>
      </c>
      <c r="AK12" s="139" t="str">
        <f t="shared" ref="AK12" si="72">IF(AJ12=0,"-",AI12/AJ12)</f>
        <v>-</v>
      </c>
      <c r="AL12" s="20">
        <v>0</v>
      </c>
      <c r="AM12" s="21">
        <v>0</v>
      </c>
      <c r="AN12" s="139" t="str">
        <f t="shared" si="54"/>
        <v>-</v>
      </c>
      <c r="AO12" s="20">
        <v>0</v>
      </c>
      <c r="AP12" s="21">
        <v>0</v>
      </c>
      <c r="AQ12" s="139" t="str">
        <f t="shared" si="55"/>
        <v>-</v>
      </c>
      <c r="AR12" s="20">
        <v>0</v>
      </c>
      <c r="AS12" s="21">
        <v>0</v>
      </c>
      <c r="AT12" s="139" t="str">
        <f t="shared" si="14"/>
        <v>-</v>
      </c>
      <c r="AU12" s="20">
        <v>0</v>
      </c>
      <c r="AV12" s="21">
        <v>0</v>
      </c>
      <c r="AW12" s="139" t="str">
        <f t="shared" si="15"/>
        <v>-</v>
      </c>
      <c r="AX12" s="20">
        <v>2</v>
      </c>
      <c r="AY12" s="21">
        <v>1</v>
      </c>
      <c r="AZ12" s="139">
        <f t="shared" si="16"/>
        <v>2</v>
      </c>
      <c r="BA12" s="20">
        <v>0</v>
      </c>
      <c r="BB12" s="21">
        <v>0</v>
      </c>
      <c r="BC12" s="139" t="str">
        <f t="shared" si="17"/>
        <v>-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52">
        <v>34</v>
      </c>
      <c r="BK12" s="253">
        <v>5</v>
      </c>
      <c r="BL12" s="276">
        <f t="shared" si="20"/>
        <v>6.8</v>
      </c>
      <c r="BM12" s="252">
        <v>0</v>
      </c>
      <c r="BN12" s="253">
        <v>0</v>
      </c>
      <c r="BO12" s="276" t="str">
        <f t="shared" si="21"/>
        <v>-</v>
      </c>
      <c r="BP12" s="302">
        <v>0</v>
      </c>
      <c r="BQ12" s="303">
        <v>0</v>
      </c>
      <c r="BR12" s="276" t="str">
        <f t="shared" si="22"/>
        <v>-</v>
      </c>
      <c r="BS12" s="257">
        <v>0</v>
      </c>
      <c r="BT12" s="253">
        <v>0</v>
      </c>
      <c r="BU12" s="276" t="str">
        <f t="shared" si="23"/>
        <v>-</v>
      </c>
      <c r="BV12" s="257">
        <v>2</v>
      </c>
      <c r="BW12" s="253">
        <v>1</v>
      </c>
      <c r="BX12" s="276">
        <f t="shared" si="24"/>
        <v>2</v>
      </c>
      <c r="BY12" s="257">
        <v>0</v>
      </c>
      <c r="BZ12" s="253">
        <v>0</v>
      </c>
      <c r="CA12" s="276" t="str">
        <f t="shared" si="25"/>
        <v>-</v>
      </c>
      <c r="CB12" s="257">
        <v>0</v>
      </c>
      <c r="CC12" s="253">
        <v>0</v>
      </c>
      <c r="CD12" s="276" t="str">
        <f t="shared" si="26"/>
        <v>-</v>
      </c>
      <c r="CE12" s="125">
        <v>13</v>
      </c>
      <c r="CF12" s="126">
        <v>2</v>
      </c>
      <c r="CG12" s="276">
        <f t="shared" si="49"/>
        <v>6.5</v>
      </c>
      <c r="CH12" s="125">
        <v>0</v>
      </c>
      <c r="CI12" s="126">
        <v>0</v>
      </c>
      <c r="CJ12" s="276" t="str">
        <f t="shared" si="50"/>
        <v>-</v>
      </c>
      <c r="CK12" s="125">
        <v>0</v>
      </c>
      <c r="CL12" s="126">
        <v>0</v>
      </c>
      <c r="CM12" s="276" t="str">
        <f t="shared" si="51"/>
        <v>-</v>
      </c>
      <c r="CN12" s="117">
        <f t="shared" si="38"/>
        <v>268</v>
      </c>
      <c r="CO12" s="120">
        <f t="shared" si="39"/>
        <v>45</v>
      </c>
      <c r="CP12" s="147">
        <f t="shared" si="30"/>
        <v>5.9555555555555557</v>
      </c>
    </row>
    <row r="13" spans="1:94" ht="15" thickBot="1" x14ac:dyDescent="0.35">
      <c r="A13" s="294">
        <v>45756</v>
      </c>
      <c r="B13" s="20">
        <v>27</v>
      </c>
      <c r="C13" s="21">
        <v>4</v>
      </c>
      <c r="D13" s="139">
        <f t="shared" si="0"/>
        <v>6.75</v>
      </c>
      <c r="E13" s="23">
        <v>6</v>
      </c>
      <c r="F13" s="21">
        <v>1</v>
      </c>
      <c r="G13" s="139">
        <v>0</v>
      </c>
      <c r="H13" s="20">
        <v>54</v>
      </c>
      <c r="I13" s="21">
        <v>6</v>
      </c>
      <c r="J13" s="139">
        <f t="shared" si="2"/>
        <v>9</v>
      </c>
      <c r="K13" s="20">
        <v>23</v>
      </c>
      <c r="L13" s="21">
        <v>3</v>
      </c>
      <c r="M13" s="139">
        <f t="shared" si="3"/>
        <v>7.666666666666667</v>
      </c>
      <c r="N13" s="125">
        <v>0</v>
      </c>
      <c r="O13" s="126">
        <v>0</v>
      </c>
      <c r="P13" s="139" t="str">
        <f t="shared" si="4"/>
        <v>-</v>
      </c>
      <c r="Q13" s="125">
        <v>95</v>
      </c>
      <c r="R13" s="126">
        <v>21</v>
      </c>
      <c r="S13" s="139">
        <f t="shared" si="5"/>
        <v>4.5238095238095237</v>
      </c>
      <c r="T13" s="125">
        <v>0</v>
      </c>
      <c r="U13" s="126">
        <v>0</v>
      </c>
      <c r="V13" s="139" t="str">
        <f t="shared" si="67"/>
        <v>-</v>
      </c>
      <c r="W13" s="125">
        <v>0</v>
      </c>
      <c r="X13" s="126">
        <v>0</v>
      </c>
      <c r="Y13" s="139" t="str">
        <f t="shared" si="7"/>
        <v>-</v>
      </c>
      <c r="Z13" s="125">
        <v>30</v>
      </c>
      <c r="AA13" s="126">
        <v>6</v>
      </c>
      <c r="AB13" s="139">
        <f t="shared" si="45"/>
        <v>5</v>
      </c>
      <c r="AC13" s="125">
        <v>0</v>
      </c>
      <c r="AD13" s="126">
        <v>0</v>
      </c>
      <c r="AE13" s="139" t="str">
        <f t="shared" si="68"/>
        <v>-</v>
      </c>
      <c r="AF13" s="125">
        <v>6</v>
      </c>
      <c r="AG13" s="126">
        <v>1</v>
      </c>
      <c r="AH13" s="139">
        <f t="shared" si="52"/>
        <v>6</v>
      </c>
      <c r="AI13" s="125">
        <v>0</v>
      </c>
      <c r="AJ13" s="21">
        <v>0</v>
      </c>
      <c r="AK13" s="139" t="str">
        <f t="shared" ref="AK13:AK14" si="73">IF(AJ13=0,"-",AI13/AJ13)</f>
        <v>-</v>
      </c>
      <c r="AL13" s="20">
        <v>0</v>
      </c>
      <c r="AM13" s="21">
        <v>0</v>
      </c>
      <c r="AN13" s="139" t="str">
        <f t="shared" ref="AN13:AN14" si="74">IF(AM13=0,"-",AL13/AM13)</f>
        <v>-</v>
      </c>
      <c r="AO13" s="20">
        <v>0</v>
      </c>
      <c r="AP13" s="21">
        <v>0</v>
      </c>
      <c r="AQ13" s="139" t="str">
        <f t="shared" ref="AQ13" si="75">IF(AP13=0,"-",AO13/AP13)</f>
        <v>-</v>
      </c>
      <c r="AR13" s="20">
        <v>3</v>
      </c>
      <c r="AS13" s="21">
        <v>1</v>
      </c>
      <c r="AT13" s="139">
        <f t="shared" si="14"/>
        <v>3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>
        <v>0</v>
      </c>
      <c r="BA13" s="20">
        <v>0</v>
      </c>
      <c r="BB13" s="21">
        <v>0</v>
      </c>
      <c r="BC13" s="139" t="str">
        <f t="shared" si="17"/>
        <v>-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52">
        <v>7</v>
      </c>
      <c r="BK13" s="253">
        <v>1</v>
      </c>
      <c r="BL13" s="276">
        <f t="shared" si="20"/>
        <v>7</v>
      </c>
      <c r="BM13" s="252">
        <v>0</v>
      </c>
      <c r="BN13" s="253">
        <v>0</v>
      </c>
      <c r="BO13" s="276" t="str">
        <f t="shared" si="21"/>
        <v>-</v>
      </c>
      <c r="BP13" s="302">
        <v>0</v>
      </c>
      <c r="BQ13" s="303">
        <v>0</v>
      </c>
      <c r="BR13" s="276" t="str">
        <f t="shared" si="22"/>
        <v>-</v>
      </c>
      <c r="BS13" s="257">
        <v>0</v>
      </c>
      <c r="BT13" s="253">
        <v>0</v>
      </c>
      <c r="BU13" s="276" t="str">
        <f t="shared" si="23"/>
        <v>-</v>
      </c>
      <c r="BV13" s="20">
        <v>3</v>
      </c>
      <c r="BW13" s="21">
        <v>1</v>
      </c>
      <c r="BX13" s="139">
        <f t="shared" si="24"/>
        <v>3</v>
      </c>
      <c r="BY13" s="125">
        <v>0</v>
      </c>
      <c r="BZ13" s="126">
        <v>0</v>
      </c>
      <c r="CA13" s="276" t="str">
        <f t="shared" si="25"/>
        <v>-</v>
      </c>
      <c r="CB13" s="20">
        <v>5</v>
      </c>
      <c r="CC13" s="21">
        <v>1</v>
      </c>
      <c r="CD13" s="139">
        <f t="shared" si="26"/>
        <v>5</v>
      </c>
      <c r="CE13" s="125">
        <v>0</v>
      </c>
      <c r="CF13" s="126">
        <v>0</v>
      </c>
      <c r="CG13" s="276" t="str">
        <f t="shared" si="49"/>
        <v>-</v>
      </c>
      <c r="CH13" s="125">
        <v>0</v>
      </c>
      <c r="CI13" s="126">
        <v>0</v>
      </c>
      <c r="CJ13" s="276" t="str">
        <f t="shared" si="50"/>
        <v>-</v>
      </c>
      <c r="CK13" s="125">
        <v>0</v>
      </c>
      <c r="CL13" s="126">
        <v>0</v>
      </c>
      <c r="CM13" s="276" t="str">
        <f t="shared" si="51"/>
        <v>-</v>
      </c>
      <c r="CN13" s="117">
        <f t="shared" si="38"/>
        <v>259</v>
      </c>
      <c r="CO13" s="120">
        <f t="shared" si="39"/>
        <v>45</v>
      </c>
      <c r="CP13" s="147">
        <f t="shared" si="30"/>
        <v>5.7555555555555555</v>
      </c>
    </row>
    <row r="14" spans="1:94" ht="15" thickBot="1" x14ac:dyDescent="0.35">
      <c r="A14" s="294">
        <v>45757</v>
      </c>
      <c r="B14" s="20">
        <v>39</v>
      </c>
      <c r="C14" s="21">
        <v>5</v>
      </c>
      <c r="D14" s="139">
        <f t="shared" si="0"/>
        <v>7.8</v>
      </c>
      <c r="E14" s="23">
        <v>0</v>
      </c>
      <c r="F14" s="21">
        <v>0</v>
      </c>
      <c r="G14" s="139" t="str">
        <f t="shared" si="1"/>
        <v>-</v>
      </c>
      <c r="H14" s="20">
        <v>0</v>
      </c>
      <c r="I14" s="21">
        <v>0</v>
      </c>
      <c r="J14" s="139" t="str">
        <f t="shared" si="2"/>
        <v>-</v>
      </c>
      <c r="K14" s="20">
        <v>14</v>
      </c>
      <c r="L14" s="21">
        <v>2</v>
      </c>
      <c r="M14" s="139">
        <f t="shared" si="3"/>
        <v>7</v>
      </c>
      <c r="N14" s="125">
        <v>0</v>
      </c>
      <c r="O14" s="126">
        <v>0</v>
      </c>
      <c r="P14" s="139" t="str">
        <f t="shared" si="4"/>
        <v>-</v>
      </c>
      <c r="Q14" s="20">
        <v>71</v>
      </c>
      <c r="R14" s="21">
        <v>18</v>
      </c>
      <c r="S14" s="139">
        <f t="shared" si="5"/>
        <v>3.9444444444444446</v>
      </c>
      <c r="T14" s="20">
        <v>0</v>
      </c>
      <c r="U14" s="21">
        <v>0</v>
      </c>
      <c r="V14" s="139" t="str">
        <f t="shared" si="67"/>
        <v>-</v>
      </c>
      <c r="W14" s="20">
        <v>0</v>
      </c>
      <c r="X14" s="21">
        <v>0</v>
      </c>
      <c r="Y14" s="139" t="str">
        <f t="shared" si="7"/>
        <v>-</v>
      </c>
      <c r="Z14" s="20">
        <v>40</v>
      </c>
      <c r="AA14" s="21">
        <v>8</v>
      </c>
      <c r="AB14" s="139">
        <f t="shared" si="45"/>
        <v>5</v>
      </c>
      <c r="AC14" s="125">
        <v>0</v>
      </c>
      <c r="AD14" s="126">
        <v>0</v>
      </c>
      <c r="AE14" s="139" t="str">
        <f t="shared" ref="AE14" si="76">IF(AD14=0,"-",AC14/AD14)</f>
        <v>-</v>
      </c>
      <c r="AF14" s="125">
        <v>0</v>
      </c>
      <c r="AG14" s="126">
        <v>0</v>
      </c>
      <c r="AH14" s="139" t="str">
        <f t="shared" si="52"/>
        <v>-</v>
      </c>
      <c r="AI14" s="125">
        <v>0</v>
      </c>
      <c r="AJ14" s="126">
        <v>0</v>
      </c>
      <c r="AK14" s="139" t="str">
        <f t="shared" si="73"/>
        <v>-</v>
      </c>
      <c r="AL14" s="125">
        <v>0</v>
      </c>
      <c r="AM14" s="126">
        <v>0</v>
      </c>
      <c r="AN14" s="139" t="str">
        <f t="shared" si="74"/>
        <v>-</v>
      </c>
      <c r="AO14" s="125">
        <v>0</v>
      </c>
      <c r="AP14" s="126">
        <v>0</v>
      </c>
      <c r="AQ14" s="139" t="str">
        <f t="shared" si="55"/>
        <v>-</v>
      </c>
      <c r="AR14" s="20">
        <v>4</v>
      </c>
      <c r="AS14" s="21">
        <v>1</v>
      </c>
      <c r="AT14" s="139">
        <f t="shared" si="14"/>
        <v>4</v>
      </c>
      <c r="AU14" s="20">
        <v>0</v>
      </c>
      <c r="AV14" s="21">
        <v>0</v>
      </c>
      <c r="AW14" s="139" t="str">
        <f t="shared" si="15"/>
        <v>-</v>
      </c>
      <c r="AX14" s="20">
        <v>0</v>
      </c>
      <c r="AY14" s="21">
        <v>0</v>
      </c>
      <c r="AZ14" s="139" t="str">
        <f t="shared" si="16"/>
        <v>-</v>
      </c>
      <c r="BA14" s="20">
        <v>0</v>
      </c>
      <c r="BB14" s="21">
        <v>0</v>
      </c>
      <c r="BC14" s="139" t="str">
        <f t="shared" si="17"/>
        <v>-</v>
      </c>
      <c r="BD14" s="20">
        <v>0</v>
      </c>
      <c r="BE14" s="21">
        <v>0</v>
      </c>
      <c r="BF14" s="139" t="str">
        <f t="shared" si="18"/>
        <v>-</v>
      </c>
      <c r="BG14" s="20">
        <v>0</v>
      </c>
      <c r="BH14" s="21">
        <v>0</v>
      </c>
      <c r="BI14" s="139" t="str">
        <f t="shared" si="19"/>
        <v>-</v>
      </c>
      <c r="BJ14" s="252">
        <v>27</v>
      </c>
      <c r="BK14" s="253">
        <v>4</v>
      </c>
      <c r="BL14" s="276">
        <f t="shared" si="20"/>
        <v>6.75</v>
      </c>
      <c r="BM14" s="252">
        <v>0</v>
      </c>
      <c r="BN14" s="253">
        <v>0</v>
      </c>
      <c r="BO14" s="276" t="str">
        <f t="shared" si="21"/>
        <v>-</v>
      </c>
      <c r="BP14" s="302">
        <v>0</v>
      </c>
      <c r="BQ14" s="303">
        <v>0</v>
      </c>
      <c r="BR14" s="276" t="str">
        <f t="shared" si="22"/>
        <v>-</v>
      </c>
      <c r="BS14" s="257">
        <v>0</v>
      </c>
      <c r="BT14" s="253">
        <v>0</v>
      </c>
      <c r="BU14" s="276" t="str">
        <f t="shared" si="23"/>
        <v>-</v>
      </c>
      <c r="BV14" s="125">
        <v>2</v>
      </c>
      <c r="BW14" s="126">
        <v>1</v>
      </c>
      <c r="BX14" s="276">
        <f t="shared" si="24"/>
        <v>2</v>
      </c>
      <c r="BY14" s="125">
        <v>0</v>
      </c>
      <c r="BZ14" s="126">
        <v>0</v>
      </c>
      <c r="CA14" s="276" t="str">
        <f t="shared" si="25"/>
        <v>-</v>
      </c>
      <c r="CB14" s="125">
        <v>0</v>
      </c>
      <c r="CC14" s="126">
        <v>0</v>
      </c>
      <c r="CD14" s="276" t="str">
        <f t="shared" si="26"/>
        <v>-</v>
      </c>
      <c r="CE14" s="125">
        <v>12</v>
      </c>
      <c r="CF14" s="126">
        <v>2</v>
      </c>
      <c r="CG14" s="276">
        <f t="shared" si="49"/>
        <v>6</v>
      </c>
      <c r="CH14" s="125">
        <v>0</v>
      </c>
      <c r="CI14" s="126">
        <v>0</v>
      </c>
      <c r="CJ14" s="276" t="str">
        <f t="shared" si="50"/>
        <v>-</v>
      </c>
      <c r="CK14" s="125">
        <v>0</v>
      </c>
      <c r="CL14" s="126">
        <v>0</v>
      </c>
      <c r="CM14" s="276" t="str">
        <f t="shared" si="51"/>
        <v>-</v>
      </c>
      <c r="CN14" s="117">
        <f t="shared" si="38"/>
        <v>209</v>
      </c>
      <c r="CO14" s="120">
        <f t="shared" si="39"/>
        <v>40</v>
      </c>
      <c r="CP14" s="147">
        <f t="shared" si="30"/>
        <v>5.2249999999999996</v>
      </c>
    </row>
    <row r="15" spans="1:94" ht="15" thickBot="1" x14ac:dyDescent="0.35">
      <c r="A15" s="294">
        <v>45758</v>
      </c>
      <c r="B15" s="20">
        <v>27</v>
      </c>
      <c r="C15" s="21">
        <v>4</v>
      </c>
      <c r="D15" s="139">
        <f t="shared" si="0"/>
        <v>6.75</v>
      </c>
      <c r="E15" s="23">
        <v>14</v>
      </c>
      <c r="F15" s="21">
        <v>2</v>
      </c>
      <c r="G15" s="139">
        <f t="shared" si="1"/>
        <v>7</v>
      </c>
      <c r="H15" s="20">
        <v>0</v>
      </c>
      <c r="I15" s="21">
        <v>0</v>
      </c>
      <c r="J15" s="139" t="str">
        <f t="shared" si="2"/>
        <v>-</v>
      </c>
      <c r="K15" s="20">
        <v>8</v>
      </c>
      <c r="L15" s="21">
        <v>1</v>
      </c>
      <c r="M15" s="139">
        <f t="shared" si="3"/>
        <v>8</v>
      </c>
      <c r="N15" s="125">
        <v>0</v>
      </c>
      <c r="O15" s="126">
        <v>0</v>
      </c>
      <c r="P15" s="139" t="str">
        <f t="shared" si="4"/>
        <v>-</v>
      </c>
      <c r="Q15" s="20">
        <v>73</v>
      </c>
      <c r="R15" s="21">
        <v>20</v>
      </c>
      <c r="S15" s="139">
        <f t="shared" si="5"/>
        <v>3.65</v>
      </c>
      <c r="T15" s="20">
        <v>0</v>
      </c>
      <c r="U15" s="21">
        <v>0</v>
      </c>
      <c r="V15" s="139" t="str">
        <f t="shared" si="67"/>
        <v>-</v>
      </c>
      <c r="W15" s="20">
        <v>0</v>
      </c>
      <c r="X15" s="21">
        <v>0</v>
      </c>
      <c r="Y15" s="139" t="str">
        <f t="shared" si="7"/>
        <v>-</v>
      </c>
      <c r="Z15" s="20">
        <v>40</v>
      </c>
      <c r="AA15" s="21">
        <v>8</v>
      </c>
      <c r="AB15" s="139">
        <f t="shared" si="45"/>
        <v>5</v>
      </c>
      <c r="AC15" s="125">
        <v>0</v>
      </c>
      <c r="AD15" s="126">
        <v>0</v>
      </c>
      <c r="AE15" s="139" t="str">
        <f t="shared" ref="AE15" si="77">IF(AD15=0,"-",AC15/AD15)</f>
        <v>-</v>
      </c>
      <c r="AF15" s="125">
        <v>0</v>
      </c>
      <c r="AG15" s="126">
        <v>0</v>
      </c>
      <c r="AH15" s="139" t="str">
        <f t="shared" ref="AH15" si="78">IF(AG15=0,"-",AF15/AG15)</f>
        <v>-</v>
      </c>
      <c r="AI15" s="125">
        <v>0</v>
      </c>
      <c r="AJ15" s="126">
        <v>0</v>
      </c>
      <c r="AK15" s="139" t="str">
        <f t="shared" ref="AK15" si="79">IF(AJ15=0,"-",AI15/AJ15)</f>
        <v>-</v>
      </c>
      <c r="AL15" s="125">
        <v>0</v>
      </c>
      <c r="AM15" s="126">
        <v>0</v>
      </c>
      <c r="AN15" s="139" t="str">
        <f t="shared" ref="AN15" si="80">IF(AM15=0,"-",AL15/AM15)</f>
        <v>-</v>
      </c>
      <c r="AO15" s="125">
        <v>0</v>
      </c>
      <c r="AP15" s="126">
        <v>0</v>
      </c>
      <c r="AQ15" s="139" t="str">
        <f t="shared" ref="AQ15" si="81">IF(AP15=0,"-",AO15/AP15)</f>
        <v>-</v>
      </c>
      <c r="AR15" s="20">
        <v>6</v>
      </c>
      <c r="AS15" s="21">
        <v>1</v>
      </c>
      <c r="AT15" s="139">
        <f t="shared" si="14"/>
        <v>6</v>
      </c>
      <c r="AU15" s="20">
        <v>0</v>
      </c>
      <c r="AV15" s="21">
        <v>0</v>
      </c>
      <c r="AW15" s="139" t="str">
        <f t="shared" si="15"/>
        <v>-</v>
      </c>
      <c r="AX15" s="20">
        <v>0</v>
      </c>
      <c r="AY15" s="21">
        <v>0</v>
      </c>
      <c r="AZ15" s="139" t="str">
        <f t="shared" si="16"/>
        <v>-</v>
      </c>
      <c r="BA15" s="20">
        <v>0</v>
      </c>
      <c r="BB15" s="21">
        <v>0</v>
      </c>
      <c r="BC15" s="139" t="str">
        <f t="shared" si="17"/>
        <v>-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52">
        <v>31</v>
      </c>
      <c r="BK15" s="253">
        <v>5</v>
      </c>
      <c r="BL15" s="276">
        <f t="shared" si="20"/>
        <v>6.2</v>
      </c>
      <c r="BM15" s="252">
        <v>0</v>
      </c>
      <c r="BN15" s="253">
        <v>0</v>
      </c>
      <c r="BO15" s="276" t="str">
        <f t="shared" si="21"/>
        <v>-</v>
      </c>
      <c r="BP15" s="302">
        <v>21</v>
      </c>
      <c r="BQ15" s="303">
        <v>3</v>
      </c>
      <c r="BR15" s="276">
        <f t="shared" si="22"/>
        <v>7</v>
      </c>
      <c r="BS15" s="257">
        <v>0</v>
      </c>
      <c r="BT15" s="253">
        <v>0</v>
      </c>
      <c r="BU15" s="276" t="str">
        <f t="shared" si="23"/>
        <v>-</v>
      </c>
      <c r="BV15" s="257">
        <v>0</v>
      </c>
      <c r="BW15" s="253">
        <v>0</v>
      </c>
      <c r="BX15" s="276" t="str">
        <f t="shared" si="24"/>
        <v>-</v>
      </c>
      <c r="BY15" s="257">
        <v>0</v>
      </c>
      <c r="BZ15" s="253">
        <v>0</v>
      </c>
      <c r="CA15" s="276" t="str">
        <f t="shared" si="25"/>
        <v>-</v>
      </c>
      <c r="CB15" s="257">
        <v>0</v>
      </c>
      <c r="CC15" s="253">
        <v>0</v>
      </c>
      <c r="CD15" s="276" t="str">
        <f t="shared" si="26"/>
        <v>-</v>
      </c>
      <c r="CE15" s="125">
        <v>23</v>
      </c>
      <c r="CF15" s="126">
        <v>4</v>
      </c>
      <c r="CG15" s="276">
        <f t="shared" si="49"/>
        <v>5.75</v>
      </c>
      <c r="CH15" s="125">
        <v>0</v>
      </c>
      <c r="CI15" s="126">
        <v>0</v>
      </c>
      <c r="CJ15" s="276" t="str">
        <f t="shared" si="50"/>
        <v>-</v>
      </c>
      <c r="CK15" s="125">
        <v>2</v>
      </c>
      <c r="CL15" s="126">
        <v>1</v>
      </c>
      <c r="CM15" s="276">
        <f t="shared" si="51"/>
        <v>2</v>
      </c>
      <c r="CN15" s="117">
        <f t="shared" si="38"/>
        <v>245</v>
      </c>
      <c r="CO15" s="120">
        <f t="shared" si="39"/>
        <v>49</v>
      </c>
      <c r="CP15" s="147">
        <f t="shared" si="30"/>
        <v>5</v>
      </c>
    </row>
    <row r="16" spans="1:94" ht="15" thickBot="1" x14ac:dyDescent="0.35">
      <c r="A16" s="294">
        <v>45759</v>
      </c>
      <c r="B16" s="20">
        <v>52</v>
      </c>
      <c r="C16" s="21">
        <v>7</v>
      </c>
      <c r="D16" s="139">
        <f t="shared" si="0"/>
        <v>7.4285714285714288</v>
      </c>
      <c r="E16" s="20">
        <v>0</v>
      </c>
      <c r="F16" s="21">
        <v>0</v>
      </c>
      <c r="G16" s="139" t="str">
        <f t="shared" si="1"/>
        <v>-</v>
      </c>
      <c r="H16" s="20">
        <v>0</v>
      </c>
      <c r="I16" s="21">
        <v>0</v>
      </c>
      <c r="J16" s="139" t="str">
        <f t="shared" si="2"/>
        <v>-</v>
      </c>
      <c r="K16" s="20">
        <v>19</v>
      </c>
      <c r="L16" s="21">
        <v>3</v>
      </c>
      <c r="M16" s="139">
        <f t="shared" si="3"/>
        <v>6.333333333333333</v>
      </c>
      <c r="N16" s="125">
        <v>0</v>
      </c>
      <c r="O16" s="126">
        <v>0</v>
      </c>
      <c r="P16" s="139" t="str">
        <f t="shared" si="4"/>
        <v>-</v>
      </c>
      <c r="Q16" s="125">
        <v>86</v>
      </c>
      <c r="R16" s="126">
        <v>18</v>
      </c>
      <c r="S16" s="139">
        <f t="shared" si="5"/>
        <v>4.7777777777777777</v>
      </c>
      <c r="T16" s="20">
        <v>0</v>
      </c>
      <c r="U16" s="21">
        <v>0</v>
      </c>
      <c r="V16" s="139" t="str">
        <f t="shared" ref="V16:V17" si="82">IF(U16=0,"-",T16/U16)</f>
        <v>-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45"/>
        <v>-</v>
      </c>
      <c r="AC16" s="20">
        <v>3</v>
      </c>
      <c r="AD16" s="21">
        <v>1</v>
      </c>
      <c r="AE16" s="139">
        <f t="shared" si="68"/>
        <v>3</v>
      </c>
      <c r="AF16" s="125">
        <v>0</v>
      </c>
      <c r="AG16" s="126">
        <v>0</v>
      </c>
      <c r="AH16" s="139" t="str">
        <f t="shared" ref="AH16:AH17" si="83">IF(AG16=0,"-",AF16/AG16)</f>
        <v>-</v>
      </c>
      <c r="AI16" s="125">
        <v>0</v>
      </c>
      <c r="AJ16" s="126">
        <v>0</v>
      </c>
      <c r="AK16" s="139" t="str">
        <f t="shared" ref="AK16:AK17" si="84">IF(AJ16=0,"-",AI16/AJ16)</f>
        <v>-</v>
      </c>
      <c r="AL16" s="125">
        <v>0</v>
      </c>
      <c r="AM16" s="126">
        <v>0</v>
      </c>
      <c r="AN16" s="139" t="str">
        <f t="shared" ref="AN16:AN17" si="85">IF(AM16=0,"-",AL16/AM16)</f>
        <v>-</v>
      </c>
      <c r="AO16" s="125">
        <v>0</v>
      </c>
      <c r="AP16" s="126">
        <v>0</v>
      </c>
      <c r="AQ16" s="139" t="str">
        <f t="shared" ref="AQ16:AQ17" si="86">IF(AP16=0,"-",AO16/AP16)</f>
        <v>-</v>
      </c>
      <c r="AR16" s="20">
        <v>0</v>
      </c>
      <c r="AS16" s="21">
        <v>0</v>
      </c>
      <c r="AT16" s="139" t="str">
        <f t="shared" si="14"/>
        <v>-</v>
      </c>
      <c r="AU16" s="20">
        <v>0</v>
      </c>
      <c r="AV16" s="21">
        <v>0</v>
      </c>
      <c r="AW16" s="139" t="str">
        <f t="shared" si="15"/>
        <v>-</v>
      </c>
      <c r="AX16" s="20">
        <v>7</v>
      </c>
      <c r="AY16" s="21">
        <v>1</v>
      </c>
      <c r="AZ16" s="139">
        <f t="shared" si="16"/>
        <v>7</v>
      </c>
      <c r="BA16" s="20">
        <v>25</v>
      </c>
      <c r="BB16" s="21">
        <v>3</v>
      </c>
      <c r="BC16" s="139">
        <f t="shared" si="17"/>
        <v>8.3333333333333339</v>
      </c>
      <c r="BD16" s="20">
        <v>0</v>
      </c>
      <c r="BE16" s="21">
        <v>0</v>
      </c>
      <c r="BF16" s="139" t="str">
        <f t="shared" si="18"/>
        <v>-</v>
      </c>
      <c r="BG16" s="20">
        <v>0</v>
      </c>
      <c r="BH16" s="21">
        <v>0</v>
      </c>
      <c r="BI16" s="139" t="str">
        <f t="shared" si="19"/>
        <v>-</v>
      </c>
      <c r="BJ16" s="252">
        <v>20</v>
      </c>
      <c r="BK16" s="253">
        <v>3</v>
      </c>
      <c r="BL16" s="276">
        <f t="shared" si="20"/>
        <v>6.666666666666667</v>
      </c>
      <c r="BM16" s="252">
        <v>0</v>
      </c>
      <c r="BN16" s="253">
        <v>0</v>
      </c>
      <c r="BO16" s="276" t="str">
        <f t="shared" si="21"/>
        <v>-</v>
      </c>
      <c r="BP16" s="302">
        <v>34</v>
      </c>
      <c r="BQ16" s="303">
        <v>5</v>
      </c>
      <c r="BR16" s="276">
        <f t="shared" si="22"/>
        <v>6.8</v>
      </c>
      <c r="BS16" s="257">
        <v>0</v>
      </c>
      <c r="BT16" s="253">
        <v>0</v>
      </c>
      <c r="BU16" s="276" t="str">
        <f t="shared" si="23"/>
        <v>-</v>
      </c>
      <c r="BV16" s="257">
        <v>0</v>
      </c>
      <c r="BW16" s="253">
        <v>0</v>
      </c>
      <c r="BX16" s="276" t="str">
        <f t="shared" ref="BX16:BX17" si="87">IF(BW16=0,"-",BV16/BW16)</f>
        <v>-</v>
      </c>
      <c r="BY16" s="257">
        <v>0</v>
      </c>
      <c r="BZ16" s="253">
        <v>0</v>
      </c>
      <c r="CA16" s="276" t="str">
        <f t="shared" ref="CA16:CA17" si="88">IF(BZ16=0,"-",BY16/BZ16)</f>
        <v>-</v>
      </c>
      <c r="CB16" s="257">
        <v>0</v>
      </c>
      <c r="CC16" s="253">
        <v>0</v>
      </c>
      <c r="CD16" s="276" t="str">
        <f t="shared" ref="CD16:CD17" si="89">IF(CC16=0,"-",CB16/CC16)</f>
        <v>-</v>
      </c>
      <c r="CE16" s="257">
        <v>0</v>
      </c>
      <c r="CF16" s="253">
        <v>0</v>
      </c>
      <c r="CG16" s="276" t="str">
        <f t="shared" si="49"/>
        <v>-</v>
      </c>
      <c r="CH16" s="257">
        <v>0</v>
      </c>
      <c r="CI16" s="253">
        <v>0</v>
      </c>
      <c r="CJ16" s="276" t="str">
        <f t="shared" si="50"/>
        <v>-</v>
      </c>
      <c r="CK16" s="257">
        <v>0</v>
      </c>
      <c r="CL16" s="253">
        <v>0</v>
      </c>
      <c r="CM16" s="276" t="str">
        <f t="shared" si="51"/>
        <v>-</v>
      </c>
      <c r="CN16" s="117">
        <f t="shared" si="38"/>
        <v>246</v>
      </c>
      <c r="CO16" s="120">
        <f t="shared" si="39"/>
        <v>41</v>
      </c>
      <c r="CP16" s="147">
        <f t="shared" si="30"/>
        <v>6</v>
      </c>
    </row>
    <row r="17" spans="1:94" ht="15" thickBot="1" x14ac:dyDescent="0.35">
      <c r="A17" s="294">
        <v>45760</v>
      </c>
      <c r="B17" s="20">
        <v>0</v>
      </c>
      <c r="C17" s="21">
        <v>0</v>
      </c>
      <c r="D17" s="139" t="str">
        <f t="shared" si="0"/>
        <v>-</v>
      </c>
      <c r="E17" s="20">
        <v>0</v>
      </c>
      <c r="F17" s="21">
        <v>0</v>
      </c>
      <c r="G17" s="139" t="str">
        <f t="shared" si="1"/>
        <v>-</v>
      </c>
      <c r="H17" s="20">
        <v>0</v>
      </c>
      <c r="I17" s="21">
        <v>0</v>
      </c>
      <c r="J17" s="139" t="str">
        <f t="shared" si="2"/>
        <v>-</v>
      </c>
      <c r="K17" s="20">
        <v>7</v>
      </c>
      <c r="L17" s="21">
        <v>1</v>
      </c>
      <c r="M17" s="139">
        <f t="shared" si="3"/>
        <v>7</v>
      </c>
      <c r="N17" s="125">
        <v>0</v>
      </c>
      <c r="O17" s="126">
        <v>0</v>
      </c>
      <c r="P17" s="139" t="str">
        <f t="shared" si="4"/>
        <v>-</v>
      </c>
      <c r="Q17" s="125">
        <v>0</v>
      </c>
      <c r="R17" s="126">
        <v>0</v>
      </c>
      <c r="S17" s="139" t="str">
        <f t="shared" si="5"/>
        <v>-</v>
      </c>
      <c r="T17" s="125">
        <v>0</v>
      </c>
      <c r="U17" s="126">
        <v>0</v>
      </c>
      <c r="V17" s="139" t="str">
        <f t="shared" si="82"/>
        <v>-</v>
      </c>
      <c r="W17" s="125">
        <v>0</v>
      </c>
      <c r="X17" s="126">
        <v>0</v>
      </c>
      <c r="Y17" s="139" t="str">
        <f t="shared" si="7"/>
        <v>-</v>
      </c>
      <c r="Z17" s="125">
        <v>0</v>
      </c>
      <c r="AA17" s="126">
        <v>0</v>
      </c>
      <c r="AB17" s="139" t="str">
        <f t="shared" si="45"/>
        <v>-</v>
      </c>
      <c r="AC17" s="125">
        <v>0</v>
      </c>
      <c r="AD17" s="126">
        <v>0</v>
      </c>
      <c r="AE17" s="139" t="str">
        <f t="shared" si="68"/>
        <v>-</v>
      </c>
      <c r="AF17" s="125">
        <v>0</v>
      </c>
      <c r="AG17" s="126">
        <v>0</v>
      </c>
      <c r="AH17" s="139" t="str">
        <f t="shared" si="83"/>
        <v>-</v>
      </c>
      <c r="AI17" s="125">
        <v>0</v>
      </c>
      <c r="AJ17" s="126">
        <v>0</v>
      </c>
      <c r="AK17" s="139" t="str">
        <f t="shared" si="84"/>
        <v>-</v>
      </c>
      <c r="AL17" s="125">
        <v>0</v>
      </c>
      <c r="AM17" s="126">
        <v>0</v>
      </c>
      <c r="AN17" s="139" t="str">
        <f t="shared" si="85"/>
        <v>-</v>
      </c>
      <c r="AO17" s="125">
        <v>0</v>
      </c>
      <c r="AP17" s="126">
        <v>0</v>
      </c>
      <c r="AQ17" s="139" t="str">
        <f t="shared" si="86"/>
        <v>-</v>
      </c>
      <c r="AR17" s="125">
        <v>0</v>
      </c>
      <c r="AS17" s="126">
        <v>0</v>
      </c>
      <c r="AT17" s="139" t="str">
        <f t="shared" si="14"/>
        <v>-</v>
      </c>
      <c r="AU17" s="125">
        <v>0</v>
      </c>
      <c r="AV17" s="126">
        <v>0</v>
      </c>
      <c r="AW17" s="139" t="str">
        <f t="shared" si="15"/>
        <v>-</v>
      </c>
      <c r="AX17" s="125">
        <v>0</v>
      </c>
      <c r="AY17" s="126">
        <v>0</v>
      </c>
      <c r="AZ17" s="139" t="str">
        <f t="shared" si="16"/>
        <v>-</v>
      </c>
      <c r="BA17" s="125">
        <v>0</v>
      </c>
      <c r="BB17" s="126">
        <v>0</v>
      </c>
      <c r="BC17" s="139" t="str">
        <f t="shared" si="17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52">
        <v>7</v>
      </c>
      <c r="BK17" s="253">
        <v>1</v>
      </c>
      <c r="BL17" s="276">
        <f t="shared" si="20"/>
        <v>7</v>
      </c>
      <c r="BM17" s="252">
        <v>14</v>
      </c>
      <c r="BN17" s="253">
        <v>2</v>
      </c>
      <c r="BO17" s="276">
        <f t="shared" si="21"/>
        <v>7</v>
      </c>
      <c r="BP17" s="302">
        <v>0</v>
      </c>
      <c r="BQ17" s="303">
        <v>0</v>
      </c>
      <c r="BR17" s="276" t="str">
        <f t="shared" si="22"/>
        <v>-</v>
      </c>
      <c r="BS17" s="257">
        <v>0</v>
      </c>
      <c r="BT17" s="253">
        <v>0</v>
      </c>
      <c r="BU17" s="276" t="str">
        <f t="shared" si="23"/>
        <v>-</v>
      </c>
      <c r="BV17" s="257">
        <v>0</v>
      </c>
      <c r="BW17" s="253">
        <v>0</v>
      </c>
      <c r="BX17" s="276" t="str">
        <f t="shared" si="87"/>
        <v>-</v>
      </c>
      <c r="BY17" s="257">
        <v>0</v>
      </c>
      <c r="BZ17" s="253">
        <v>0</v>
      </c>
      <c r="CA17" s="276" t="str">
        <f t="shared" si="88"/>
        <v>-</v>
      </c>
      <c r="CB17" s="257">
        <v>0</v>
      </c>
      <c r="CC17" s="253">
        <v>0</v>
      </c>
      <c r="CD17" s="276" t="str">
        <f t="shared" si="89"/>
        <v>-</v>
      </c>
      <c r="CE17" s="125">
        <v>24</v>
      </c>
      <c r="CF17" s="126">
        <v>5</v>
      </c>
      <c r="CG17" s="276">
        <f t="shared" si="49"/>
        <v>4.8</v>
      </c>
      <c r="CH17" s="125">
        <v>0</v>
      </c>
      <c r="CI17" s="126">
        <v>0</v>
      </c>
      <c r="CJ17" s="276" t="str">
        <f t="shared" si="50"/>
        <v>-</v>
      </c>
      <c r="CK17" s="125">
        <v>0</v>
      </c>
      <c r="CL17" s="126">
        <v>0</v>
      </c>
      <c r="CM17" s="276" t="str">
        <f t="shared" si="51"/>
        <v>-</v>
      </c>
      <c r="CN17" s="117">
        <f t="shared" si="38"/>
        <v>52</v>
      </c>
      <c r="CO17" s="120">
        <f t="shared" si="39"/>
        <v>9</v>
      </c>
      <c r="CP17" s="147">
        <f t="shared" si="30"/>
        <v>5.7777777777777777</v>
      </c>
    </row>
    <row r="18" spans="1:94" ht="15" thickBot="1" x14ac:dyDescent="0.35">
      <c r="A18" s="294">
        <v>45761</v>
      </c>
      <c r="B18" s="20">
        <v>23</v>
      </c>
      <c r="C18" s="21">
        <v>3</v>
      </c>
      <c r="D18" s="139">
        <f t="shared" si="0"/>
        <v>7.666666666666667</v>
      </c>
      <c r="E18" s="20">
        <v>12</v>
      </c>
      <c r="F18" s="21">
        <v>2</v>
      </c>
      <c r="G18" s="139">
        <f t="shared" si="1"/>
        <v>6</v>
      </c>
      <c r="H18" s="20">
        <v>0</v>
      </c>
      <c r="I18" s="21">
        <v>0</v>
      </c>
      <c r="J18" s="139" t="str">
        <f t="shared" si="2"/>
        <v>-</v>
      </c>
      <c r="K18" s="20">
        <v>24</v>
      </c>
      <c r="L18" s="21">
        <v>3</v>
      </c>
      <c r="M18" s="139">
        <f t="shared" si="3"/>
        <v>8</v>
      </c>
      <c r="N18" s="125">
        <v>0</v>
      </c>
      <c r="O18" s="126">
        <v>0</v>
      </c>
      <c r="P18" s="139" t="str">
        <f t="shared" si="4"/>
        <v>-</v>
      </c>
      <c r="Q18" s="125">
        <v>78</v>
      </c>
      <c r="R18" s="126">
        <v>22</v>
      </c>
      <c r="S18" s="139">
        <f t="shared" si="5"/>
        <v>3.5454545454545454</v>
      </c>
      <c r="T18" s="125">
        <v>0</v>
      </c>
      <c r="U18" s="126">
        <v>0</v>
      </c>
      <c r="V18" s="139" t="str">
        <f t="shared" si="67"/>
        <v>-</v>
      </c>
      <c r="W18" s="125">
        <v>0</v>
      </c>
      <c r="X18" s="126">
        <v>0</v>
      </c>
      <c r="Y18" s="139" t="str">
        <f t="shared" si="7"/>
        <v>-</v>
      </c>
      <c r="Z18" s="125">
        <v>40</v>
      </c>
      <c r="AA18" s="126">
        <v>8</v>
      </c>
      <c r="AB18" s="139">
        <f t="shared" si="45"/>
        <v>5</v>
      </c>
      <c r="AC18" s="125">
        <v>0</v>
      </c>
      <c r="AD18" s="126">
        <v>0</v>
      </c>
      <c r="AE18" s="139" t="str">
        <f t="shared" ref="AE18" si="90">IF(AD18=0,"-",AC18/AD18)</f>
        <v>-</v>
      </c>
      <c r="AF18" s="125">
        <v>0</v>
      </c>
      <c r="AG18" s="126">
        <v>0</v>
      </c>
      <c r="AH18" s="139" t="str">
        <f t="shared" ref="AH18" si="91">IF(AG18=0,"-",AF18/AG18)</f>
        <v>-</v>
      </c>
      <c r="AI18" s="125">
        <v>0</v>
      </c>
      <c r="AJ18" s="126">
        <v>0</v>
      </c>
      <c r="AK18" s="139" t="str">
        <f t="shared" ref="AK18" si="92">IF(AJ18=0,"-",AI18/AJ18)</f>
        <v>-</v>
      </c>
      <c r="AL18" s="125">
        <v>0</v>
      </c>
      <c r="AM18" s="126">
        <v>0</v>
      </c>
      <c r="AN18" s="139" t="str">
        <f t="shared" ref="AN18" si="93">IF(AM18=0,"-",AL18/AM18)</f>
        <v>-</v>
      </c>
      <c r="AO18" s="125">
        <v>0</v>
      </c>
      <c r="AP18" s="126">
        <v>0</v>
      </c>
      <c r="AQ18" s="139" t="str">
        <f t="shared" ref="AQ18" si="94">IF(AP18=0,"-",AO18/AP18)</f>
        <v>-</v>
      </c>
      <c r="AR18" s="20">
        <v>4</v>
      </c>
      <c r="AS18" s="21">
        <v>1</v>
      </c>
      <c r="AT18" s="139">
        <f t="shared" si="14"/>
        <v>4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>
        <v>0</v>
      </c>
      <c r="BA18" s="20">
        <v>0</v>
      </c>
      <c r="BB18" s="21">
        <v>0</v>
      </c>
      <c r="BC18" s="139">
        <v>0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 t="shared" si="19"/>
        <v>-</v>
      </c>
      <c r="BJ18" s="318">
        <v>38</v>
      </c>
      <c r="BK18" s="303">
        <v>6</v>
      </c>
      <c r="BL18" s="276">
        <f t="shared" si="20"/>
        <v>6.333333333333333</v>
      </c>
      <c r="BM18" s="252">
        <v>0</v>
      </c>
      <c r="BN18" s="253">
        <v>0</v>
      </c>
      <c r="BO18" s="276" t="str">
        <f t="shared" si="21"/>
        <v>-</v>
      </c>
      <c r="BP18" s="302">
        <v>0</v>
      </c>
      <c r="BQ18" s="303">
        <v>0</v>
      </c>
      <c r="BR18" s="276" t="str">
        <f t="shared" si="22"/>
        <v>-</v>
      </c>
      <c r="BS18" s="257">
        <v>12</v>
      </c>
      <c r="BT18" s="253">
        <v>2</v>
      </c>
      <c r="BU18" s="276">
        <f t="shared" si="23"/>
        <v>6</v>
      </c>
      <c r="BV18" s="20">
        <v>3</v>
      </c>
      <c r="BW18" s="21">
        <v>1</v>
      </c>
      <c r="BX18" s="139">
        <f t="shared" si="24"/>
        <v>3</v>
      </c>
      <c r="BY18" s="20">
        <v>0</v>
      </c>
      <c r="BZ18" s="21">
        <v>0</v>
      </c>
      <c r="CA18" s="139" t="str">
        <f t="shared" si="25"/>
        <v>-</v>
      </c>
      <c r="CB18" s="20">
        <v>1</v>
      </c>
      <c r="CC18" s="21">
        <v>1</v>
      </c>
      <c r="CD18" s="139">
        <f t="shared" si="26"/>
        <v>1</v>
      </c>
      <c r="CE18" s="125">
        <v>30</v>
      </c>
      <c r="CF18" s="126">
        <v>5</v>
      </c>
      <c r="CG18" s="276">
        <f t="shared" si="49"/>
        <v>6</v>
      </c>
      <c r="CH18" s="20">
        <v>0</v>
      </c>
      <c r="CI18" s="21">
        <v>0</v>
      </c>
      <c r="CJ18" s="139" t="str">
        <f t="shared" si="50"/>
        <v>-</v>
      </c>
      <c r="CK18" s="125">
        <v>0</v>
      </c>
      <c r="CL18" s="126">
        <v>0</v>
      </c>
      <c r="CM18" s="276" t="str">
        <f t="shared" ref="CM18:CM21" si="95">IF(CL18=0,"-",CK18/CL18)</f>
        <v>-</v>
      </c>
      <c r="CN18" s="117">
        <f t="shared" si="38"/>
        <v>265</v>
      </c>
      <c r="CO18" s="120">
        <f t="shared" si="39"/>
        <v>53</v>
      </c>
      <c r="CP18" s="147">
        <f t="shared" si="30"/>
        <v>5</v>
      </c>
    </row>
    <row r="19" spans="1:94" ht="15" thickBot="1" x14ac:dyDescent="0.35">
      <c r="A19" s="294">
        <v>45762</v>
      </c>
      <c r="B19" s="20">
        <v>32</v>
      </c>
      <c r="C19" s="21">
        <v>4</v>
      </c>
      <c r="D19" s="139">
        <f t="shared" si="0"/>
        <v>8</v>
      </c>
      <c r="E19" s="20">
        <v>6</v>
      </c>
      <c r="F19" s="21">
        <v>1</v>
      </c>
      <c r="G19" s="139">
        <f t="shared" si="1"/>
        <v>6</v>
      </c>
      <c r="H19" s="20">
        <v>0</v>
      </c>
      <c r="I19" s="21">
        <v>0</v>
      </c>
      <c r="J19" s="139" t="str">
        <f t="shared" si="2"/>
        <v>-</v>
      </c>
      <c r="K19" s="20">
        <v>16</v>
      </c>
      <c r="L19" s="21">
        <v>2</v>
      </c>
      <c r="M19" s="139">
        <f t="shared" si="3"/>
        <v>8</v>
      </c>
      <c r="N19" s="125">
        <v>0</v>
      </c>
      <c r="O19" s="126">
        <v>0</v>
      </c>
      <c r="P19" s="139" t="str">
        <f t="shared" si="4"/>
        <v>-</v>
      </c>
      <c r="Q19" s="125">
        <v>76</v>
      </c>
      <c r="R19" s="126">
        <v>20</v>
      </c>
      <c r="S19" s="139">
        <f t="shared" si="5"/>
        <v>3.8</v>
      </c>
      <c r="T19" s="125">
        <v>0</v>
      </c>
      <c r="U19" s="126">
        <v>0</v>
      </c>
      <c r="V19" s="139" t="str">
        <f t="shared" si="67"/>
        <v>-</v>
      </c>
      <c r="W19" s="125">
        <v>0</v>
      </c>
      <c r="X19" s="126">
        <v>0</v>
      </c>
      <c r="Y19" s="139" t="str">
        <f t="shared" si="7"/>
        <v>-</v>
      </c>
      <c r="Z19" s="125">
        <v>40</v>
      </c>
      <c r="AA19" s="126">
        <v>8</v>
      </c>
      <c r="AB19" s="139">
        <f t="shared" si="45"/>
        <v>5</v>
      </c>
      <c r="AC19" s="125">
        <v>0</v>
      </c>
      <c r="AD19" s="126">
        <v>0</v>
      </c>
      <c r="AE19" s="139" t="str">
        <f t="shared" ref="AE19" si="96">IF(AD19=0,"-",AC19/AD19)</f>
        <v>-</v>
      </c>
      <c r="AF19" s="125">
        <v>9</v>
      </c>
      <c r="AG19" s="126">
        <v>2</v>
      </c>
      <c r="AH19" s="139">
        <f t="shared" si="52"/>
        <v>4.5</v>
      </c>
      <c r="AI19" s="125">
        <v>0</v>
      </c>
      <c r="AJ19" s="126">
        <v>0</v>
      </c>
      <c r="AK19" s="139" t="str">
        <f t="shared" ref="AK19" si="97">IF(AJ19=0,"-",AI19/AJ19)</f>
        <v>-</v>
      </c>
      <c r="AL19" s="125">
        <v>0</v>
      </c>
      <c r="AM19" s="126">
        <v>0</v>
      </c>
      <c r="AN19" s="139" t="str">
        <f t="shared" ref="AN19" si="98">IF(AM19=0,"-",AL19/AM19)</f>
        <v>-</v>
      </c>
      <c r="AO19" s="125">
        <v>0</v>
      </c>
      <c r="AP19" s="126">
        <v>0</v>
      </c>
      <c r="AQ19" s="139" t="str">
        <f t="shared" ref="AQ19" si="99">IF(AP19=0,"-",AO19/AP19)</f>
        <v>-</v>
      </c>
      <c r="AR19" s="20">
        <v>3</v>
      </c>
      <c r="AS19" s="21">
        <v>1</v>
      </c>
      <c r="AT19" s="139">
        <f t="shared" si="14"/>
        <v>3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>
        <v>0</v>
      </c>
      <c r="BA19" s="20">
        <v>0</v>
      </c>
      <c r="BB19" s="21">
        <v>0</v>
      </c>
      <c r="BC19" s="139">
        <v>0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52">
        <v>27</v>
      </c>
      <c r="BK19" s="253">
        <v>4</v>
      </c>
      <c r="BL19" s="276">
        <f t="shared" si="20"/>
        <v>6.75</v>
      </c>
      <c r="BM19" s="252">
        <v>0</v>
      </c>
      <c r="BN19" s="253">
        <v>0</v>
      </c>
      <c r="BO19" s="276" t="str">
        <f t="shared" si="21"/>
        <v>-</v>
      </c>
      <c r="BP19" s="302">
        <v>0</v>
      </c>
      <c r="BQ19" s="303">
        <v>0</v>
      </c>
      <c r="BR19" s="276" t="str">
        <f t="shared" si="22"/>
        <v>-</v>
      </c>
      <c r="BS19" s="257">
        <v>6</v>
      </c>
      <c r="BT19" s="253">
        <v>1</v>
      </c>
      <c r="BU19" s="276">
        <f t="shared" si="23"/>
        <v>6</v>
      </c>
      <c r="BV19" s="20">
        <v>1</v>
      </c>
      <c r="BW19" s="21">
        <v>1</v>
      </c>
      <c r="BX19" s="139">
        <f t="shared" si="24"/>
        <v>1</v>
      </c>
      <c r="BY19" s="20">
        <v>0</v>
      </c>
      <c r="BZ19" s="21">
        <v>0</v>
      </c>
      <c r="CA19" s="139" t="str">
        <f t="shared" si="25"/>
        <v>-</v>
      </c>
      <c r="CB19" s="20">
        <v>0</v>
      </c>
      <c r="CC19" s="21">
        <v>0</v>
      </c>
      <c r="CD19" s="139" t="str">
        <f t="shared" si="26"/>
        <v>-</v>
      </c>
      <c r="CE19" s="125">
        <v>7</v>
      </c>
      <c r="CF19" s="126">
        <v>1</v>
      </c>
      <c r="CG19" s="276">
        <f t="shared" si="49"/>
        <v>7</v>
      </c>
      <c r="CH19" s="20">
        <v>0</v>
      </c>
      <c r="CI19" s="21">
        <v>0</v>
      </c>
      <c r="CJ19" s="139" t="str">
        <f t="shared" si="50"/>
        <v>-</v>
      </c>
      <c r="CK19" s="125">
        <v>0</v>
      </c>
      <c r="CL19" s="126">
        <v>0</v>
      </c>
      <c r="CM19" s="276" t="str">
        <f t="shared" si="95"/>
        <v>-</v>
      </c>
      <c r="CN19" s="117">
        <f t="shared" si="38"/>
        <v>223</v>
      </c>
      <c r="CO19" s="120">
        <f t="shared" si="39"/>
        <v>44</v>
      </c>
      <c r="CP19" s="147">
        <f t="shared" si="30"/>
        <v>5.0681818181818183</v>
      </c>
    </row>
    <row r="20" spans="1:94" ht="15" thickBot="1" x14ac:dyDescent="0.35">
      <c r="A20" s="294">
        <v>45763</v>
      </c>
      <c r="B20" s="20">
        <v>8</v>
      </c>
      <c r="C20" s="21">
        <v>1</v>
      </c>
      <c r="D20" s="139">
        <f t="shared" si="0"/>
        <v>8</v>
      </c>
      <c r="E20" s="20">
        <v>0</v>
      </c>
      <c r="F20" s="21">
        <v>0</v>
      </c>
      <c r="G20" s="139" t="str">
        <f t="shared" si="1"/>
        <v>-</v>
      </c>
      <c r="H20" s="20">
        <v>0</v>
      </c>
      <c r="I20" s="21">
        <v>0</v>
      </c>
      <c r="J20" s="139" t="str">
        <f t="shared" si="2"/>
        <v>-</v>
      </c>
      <c r="K20" s="20">
        <v>0</v>
      </c>
      <c r="L20" s="21">
        <v>0</v>
      </c>
      <c r="M20" s="139" t="str">
        <f t="shared" si="3"/>
        <v>-</v>
      </c>
      <c r="N20" s="125">
        <v>0</v>
      </c>
      <c r="O20" s="126">
        <v>0</v>
      </c>
      <c r="P20" s="139" t="str">
        <f t="shared" si="4"/>
        <v>-</v>
      </c>
      <c r="Q20" s="125">
        <v>66</v>
      </c>
      <c r="R20" s="126">
        <v>15</v>
      </c>
      <c r="S20" s="139">
        <f t="shared" si="5"/>
        <v>4.4000000000000004</v>
      </c>
      <c r="T20" s="125">
        <v>0</v>
      </c>
      <c r="U20" s="126">
        <v>0</v>
      </c>
      <c r="V20" s="139" t="str">
        <f t="shared" si="67"/>
        <v>-</v>
      </c>
      <c r="W20" s="125">
        <v>0</v>
      </c>
      <c r="X20" s="126">
        <v>0</v>
      </c>
      <c r="Y20" s="139" t="str">
        <f t="shared" si="7"/>
        <v>-</v>
      </c>
      <c r="Z20" s="125">
        <v>22</v>
      </c>
      <c r="AA20" s="126">
        <v>4</v>
      </c>
      <c r="AB20" s="139">
        <f t="shared" si="45"/>
        <v>5.5</v>
      </c>
      <c r="AC20" s="125">
        <v>0</v>
      </c>
      <c r="AD20" s="126">
        <v>0</v>
      </c>
      <c r="AE20" s="139" t="str">
        <f t="shared" si="68"/>
        <v>-</v>
      </c>
      <c r="AF20" s="125">
        <v>6</v>
      </c>
      <c r="AG20" s="126">
        <v>1</v>
      </c>
      <c r="AH20" s="139">
        <f t="shared" si="52"/>
        <v>6</v>
      </c>
      <c r="AI20" s="125">
        <v>5</v>
      </c>
      <c r="AJ20" s="126">
        <v>1</v>
      </c>
      <c r="AK20" s="139">
        <f t="shared" si="53"/>
        <v>5</v>
      </c>
      <c r="AL20" s="125">
        <v>0</v>
      </c>
      <c r="AM20" s="126">
        <v>0</v>
      </c>
      <c r="AN20" s="139" t="str">
        <f t="shared" si="54"/>
        <v>-</v>
      </c>
      <c r="AO20" s="125">
        <v>0</v>
      </c>
      <c r="AP20" s="126">
        <v>0</v>
      </c>
      <c r="AQ20" s="139" t="str">
        <f t="shared" si="55"/>
        <v>-</v>
      </c>
      <c r="AR20" s="125">
        <v>0</v>
      </c>
      <c r="AS20" s="126">
        <v>0</v>
      </c>
      <c r="AT20" s="139" t="str">
        <f t="shared" si="14"/>
        <v>-</v>
      </c>
      <c r="AU20" s="125">
        <v>0</v>
      </c>
      <c r="AV20" s="126">
        <v>0</v>
      </c>
      <c r="AW20" s="139" t="str">
        <f t="shared" si="15"/>
        <v>-</v>
      </c>
      <c r="AX20" s="125">
        <v>0</v>
      </c>
      <c r="AY20" s="126">
        <v>0</v>
      </c>
      <c r="AZ20" s="139" t="str">
        <f t="shared" ref="AZ20" si="100">IF(AY20=0,"-",AX20/AY20)</f>
        <v>-</v>
      </c>
      <c r="BA20" s="125">
        <v>0</v>
      </c>
      <c r="BB20" s="126">
        <v>0</v>
      </c>
      <c r="BC20" s="139" t="str">
        <f t="shared" ref="BC20" si="101">IF(BB20=0,"-",BA20/BB20)</f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14</v>
      </c>
      <c r="BK20" s="253">
        <v>2</v>
      </c>
      <c r="BL20" s="276">
        <f t="shared" si="20"/>
        <v>7</v>
      </c>
      <c r="BM20" s="252">
        <v>0</v>
      </c>
      <c r="BN20" s="253">
        <v>0</v>
      </c>
      <c r="BO20" s="276" t="str">
        <f t="shared" si="21"/>
        <v>-</v>
      </c>
      <c r="BP20" s="302">
        <v>0</v>
      </c>
      <c r="BQ20" s="303">
        <v>0</v>
      </c>
      <c r="BR20" s="276" t="str">
        <f t="shared" si="22"/>
        <v>-</v>
      </c>
      <c r="BS20" s="257">
        <v>0</v>
      </c>
      <c r="BT20" s="253">
        <v>0</v>
      </c>
      <c r="BU20" s="276" t="str">
        <f t="shared" si="23"/>
        <v>-</v>
      </c>
      <c r="BV20" s="257">
        <v>0</v>
      </c>
      <c r="BW20" s="253">
        <v>0</v>
      </c>
      <c r="BX20" s="276" t="str">
        <f t="shared" si="24"/>
        <v>-</v>
      </c>
      <c r="BY20" s="257">
        <v>0</v>
      </c>
      <c r="BZ20" s="253">
        <v>0</v>
      </c>
      <c r="CA20" s="276" t="str">
        <f t="shared" si="25"/>
        <v>-</v>
      </c>
      <c r="CB20" s="257">
        <v>0</v>
      </c>
      <c r="CC20" s="253">
        <v>0</v>
      </c>
      <c r="CD20" s="276" t="str">
        <f t="shared" si="26"/>
        <v>-</v>
      </c>
      <c r="CE20" s="125">
        <v>10</v>
      </c>
      <c r="CF20" s="126">
        <v>2</v>
      </c>
      <c r="CG20" s="276">
        <f t="shared" si="49"/>
        <v>5</v>
      </c>
      <c r="CH20" s="20">
        <v>0</v>
      </c>
      <c r="CI20" s="21">
        <v>0</v>
      </c>
      <c r="CJ20" s="139" t="str">
        <f t="shared" si="50"/>
        <v>-</v>
      </c>
      <c r="CK20" s="125">
        <v>0</v>
      </c>
      <c r="CL20" s="126">
        <v>0</v>
      </c>
      <c r="CM20" s="276" t="str">
        <f t="shared" si="95"/>
        <v>-</v>
      </c>
      <c r="CN20" s="117">
        <f t="shared" si="38"/>
        <v>131</v>
      </c>
      <c r="CO20" s="120">
        <f t="shared" si="39"/>
        <v>26</v>
      </c>
      <c r="CP20" s="147">
        <f t="shared" si="30"/>
        <v>5.0384615384615383</v>
      </c>
    </row>
    <row r="21" spans="1:94" ht="15" thickBot="1" x14ac:dyDescent="0.35">
      <c r="A21" s="294">
        <v>45764</v>
      </c>
      <c r="B21" s="20">
        <v>0</v>
      </c>
      <c r="C21" s="21">
        <v>0</v>
      </c>
      <c r="D21" s="139" t="str">
        <f t="shared" si="0"/>
        <v>-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0</v>
      </c>
      <c r="L21" s="21">
        <v>0</v>
      </c>
      <c r="M21" s="139" t="str">
        <f t="shared" si="3"/>
        <v>-</v>
      </c>
      <c r="N21" s="125">
        <v>0</v>
      </c>
      <c r="O21" s="126">
        <v>0</v>
      </c>
      <c r="P21" s="139" t="str">
        <f t="shared" si="4"/>
        <v>-</v>
      </c>
      <c r="Q21" s="125">
        <v>74</v>
      </c>
      <c r="R21" s="126">
        <v>15</v>
      </c>
      <c r="S21" s="139">
        <f t="shared" si="5"/>
        <v>4.9333333333333336</v>
      </c>
      <c r="T21" s="125">
        <v>0</v>
      </c>
      <c r="U21" s="126">
        <v>0</v>
      </c>
      <c r="V21" s="139" t="str">
        <f t="shared" si="67"/>
        <v>-</v>
      </c>
      <c r="W21" s="125">
        <v>0</v>
      </c>
      <c r="X21" s="126">
        <v>0</v>
      </c>
      <c r="Y21" s="139" t="str">
        <f t="shared" si="7"/>
        <v>-</v>
      </c>
      <c r="Z21" s="125">
        <v>38</v>
      </c>
      <c r="AA21" s="126">
        <v>11</v>
      </c>
      <c r="AB21" s="139">
        <f t="shared" si="45"/>
        <v>3.4545454545454546</v>
      </c>
      <c r="AC21" s="125">
        <v>0</v>
      </c>
      <c r="AD21" s="126">
        <v>0</v>
      </c>
      <c r="AE21" s="139" t="str">
        <f t="shared" si="68"/>
        <v>-</v>
      </c>
      <c r="AF21" s="125">
        <v>2</v>
      </c>
      <c r="AG21" s="126">
        <v>1</v>
      </c>
      <c r="AH21" s="139">
        <f t="shared" si="52"/>
        <v>2</v>
      </c>
      <c r="AI21" s="125">
        <v>0</v>
      </c>
      <c r="AJ21" s="126">
        <v>0</v>
      </c>
      <c r="AK21" s="139" t="str">
        <f t="shared" si="53"/>
        <v>-</v>
      </c>
      <c r="AL21" s="125">
        <v>0</v>
      </c>
      <c r="AM21" s="126">
        <v>0</v>
      </c>
      <c r="AN21" s="139" t="str">
        <f t="shared" si="54"/>
        <v>-</v>
      </c>
      <c r="AO21" s="125">
        <v>0</v>
      </c>
      <c r="AP21" s="126">
        <v>0</v>
      </c>
      <c r="AQ21" s="139" t="str">
        <f t="shared" si="55"/>
        <v>-</v>
      </c>
      <c r="AR21" s="23">
        <v>0</v>
      </c>
      <c r="AS21" s="21">
        <v>0</v>
      </c>
      <c r="AT21" s="139" t="str">
        <f t="shared" si="14"/>
        <v>-</v>
      </c>
      <c r="AU21" s="23">
        <v>0</v>
      </c>
      <c r="AV21" s="21">
        <v>0</v>
      </c>
      <c r="AW21" s="139" t="str">
        <f t="shared" si="15"/>
        <v>-</v>
      </c>
      <c r="AX21" s="20">
        <v>4</v>
      </c>
      <c r="AY21" s="21">
        <v>1</v>
      </c>
      <c r="AZ21" s="139">
        <f t="shared" si="16"/>
        <v>4</v>
      </c>
      <c r="BA21" s="20">
        <v>0</v>
      </c>
      <c r="BB21" s="21">
        <v>0</v>
      </c>
      <c r="BC21" s="139" t="str">
        <f t="shared" ref="BC21:BC28" si="102">IF(BB21=0,"-",BA21/BB21)</f>
        <v>-</v>
      </c>
      <c r="BD21" s="20">
        <v>0</v>
      </c>
      <c r="BE21" s="21">
        <v>0</v>
      </c>
      <c r="BF21" s="139" t="str">
        <f t="shared" si="18"/>
        <v>-</v>
      </c>
      <c r="BG21" s="20">
        <v>0</v>
      </c>
      <c r="BH21" s="21">
        <v>0</v>
      </c>
      <c r="BI21" s="139" t="str">
        <f t="shared" si="19"/>
        <v>-</v>
      </c>
      <c r="BJ21" s="252">
        <v>14</v>
      </c>
      <c r="BK21" s="253">
        <v>2</v>
      </c>
      <c r="BL21" s="276">
        <f t="shared" si="20"/>
        <v>7</v>
      </c>
      <c r="BM21" s="252">
        <v>0</v>
      </c>
      <c r="BN21" s="253">
        <v>0</v>
      </c>
      <c r="BO21" s="276" t="str">
        <f t="shared" si="21"/>
        <v>-</v>
      </c>
      <c r="BP21" s="302">
        <v>0</v>
      </c>
      <c r="BQ21" s="303">
        <v>0</v>
      </c>
      <c r="BR21" s="276" t="str">
        <f t="shared" si="22"/>
        <v>-</v>
      </c>
      <c r="BS21" s="257">
        <v>0</v>
      </c>
      <c r="BT21" s="253">
        <v>0</v>
      </c>
      <c r="BU21" s="276" t="str">
        <f t="shared" si="23"/>
        <v>-</v>
      </c>
      <c r="BV21" s="257">
        <v>0</v>
      </c>
      <c r="BW21" s="253">
        <v>0</v>
      </c>
      <c r="BX21" s="276" t="str">
        <f t="shared" ref="BX21:BX27" si="103">IF(BW21=0,"-",BV21/BW21)</f>
        <v>-</v>
      </c>
      <c r="BY21" s="257">
        <v>0</v>
      </c>
      <c r="BZ21" s="253">
        <v>0</v>
      </c>
      <c r="CA21" s="276" t="str">
        <f t="shared" ref="CA21:CA27" si="104">IF(BZ21=0,"-",BY21/BZ21)</f>
        <v>-</v>
      </c>
      <c r="CB21" s="257">
        <v>0</v>
      </c>
      <c r="CC21" s="253">
        <v>0</v>
      </c>
      <c r="CD21" s="276" t="str">
        <f t="shared" ref="CD21:CD27" si="105">IF(CC21=0,"-",CB21/CC21)</f>
        <v>-</v>
      </c>
      <c r="CE21" s="125">
        <v>5</v>
      </c>
      <c r="CF21" s="126">
        <v>1</v>
      </c>
      <c r="CG21" s="276">
        <f t="shared" si="49"/>
        <v>5</v>
      </c>
      <c r="CH21" s="20">
        <v>0</v>
      </c>
      <c r="CI21" s="21">
        <v>0</v>
      </c>
      <c r="CJ21" s="139" t="str">
        <f t="shared" si="50"/>
        <v>-</v>
      </c>
      <c r="CK21" s="125">
        <v>0</v>
      </c>
      <c r="CL21" s="126">
        <v>0</v>
      </c>
      <c r="CM21" s="276" t="str">
        <f t="shared" si="95"/>
        <v>-</v>
      </c>
      <c r="CN21" s="117">
        <f t="shared" si="38"/>
        <v>137</v>
      </c>
      <c r="CO21" s="120">
        <f t="shared" si="39"/>
        <v>31</v>
      </c>
      <c r="CP21" s="147">
        <f t="shared" si="30"/>
        <v>4.419354838709677</v>
      </c>
    </row>
    <row r="22" spans="1:94" ht="15" thickBot="1" x14ac:dyDescent="0.35">
      <c r="A22" s="294">
        <v>45765</v>
      </c>
      <c r="B22" s="20">
        <v>0</v>
      </c>
      <c r="C22" s="21">
        <v>0</v>
      </c>
      <c r="D22" s="139" t="str">
        <f t="shared" ref="D22:D24" si="106">IF(C22=0,"-",B22/C22)</f>
        <v>-</v>
      </c>
      <c r="E22" s="20">
        <v>0</v>
      </c>
      <c r="F22" s="21">
        <v>0</v>
      </c>
      <c r="G22" s="139" t="str">
        <f t="shared" ref="G22:G24" si="107">IF(F22=0,"-",E22/F22)</f>
        <v>-</v>
      </c>
      <c r="H22" s="20">
        <v>0</v>
      </c>
      <c r="I22" s="21">
        <v>0</v>
      </c>
      <c r="J22" s="139" t="str">
        <f t="shared" ref="J22:J24" si="108">IF(I22=0,"-",H22/I22)</f>
        <v>-</v>
      </c>
      <c r="K22" s="20">
        <v>0</v>
      </c>
      <c r="L22" s="21">
        <v>0</v>
      </c>
      <c r="M22" s="139" t="str">
        <f t="shared" ref="M22:M24" si="109">IF(L22=0,"-",K22/L22)</f>
        <v>-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0</v>
      </c>
      <c r="U22" s="21">
        <v>0</v>
      </c>
      <c r="V22" s="139" t="str">
        <f t="shared" si="67"/>
        <v>-</v>
      </c>
      <c r="W22" s="20">
        <v>0</v>
      </c>
      <c r="X22" s="21">
        <v>0</v>
      </c>
      <c r="Y22" s="139" t="str">
        <f t="shared" si="7"/>
        <v>-</v>
      </c>
      <c r="Z22" s="20">
        <v>0</v>
      </c>
      <c r="AA22" s="21">
        <v>0</v>
      </c>
      <c r="AB22" s="139" t="str">
        <f t="shared" si="45"/>
        <v>-</v>
      </c>
      <c r="AC22" s="20">
        <v>0</v>
      </c>
      <c r="AD22" s="21">
        <v>0</v>
      </c>
      <c r="AE22" s="139" t="str">
        <f t="shared" si="68"/>
        <v>-</v>
      </c>
      <c r="AF22" s="20">
        <v>0</v>
      </c>
      <c r="AG22" s="21">
        <v>0</v>
      </c>
      <c r="AH22" s="139" t="str">
        <f t="shared" si="52"/>
        <v>-</v>
      </c>
      <c r="AI22" s="20">
        <v>0</v>
      </c>
      <c r="AJ22" s="21">
        <v>0</v>
      </c>
      <c r="AK22" s="139" t="str">
        <f t="shared" si="53"/>
        <v>-</v>
      </c>
      <c r="AL22" s="20">
        <v>0</v>
      </c>
      <c r="AM22" s="21">
        <v>0</v>
      </c>
      <c r="AN22" s="139" t="str">
        <f t="shared" si="54"/>
        <v>-</v>
      </c>
      <c r="AO22" s="20">
        <v>0</v>
      </c>
      <c r="AP22" s="21">
        <v>0</v>
      </c>
      <c r="AQ22" s="139" t="str">
        <f t="shared" si="55"/>
        <v>-</v>
      </c>
      <c r="AR22" s="20">
        <v>0</v>
      </c>
      <c r="AS22" s="21">
        <v>0</v>
      </c>
      <c r="AT22" s="139" t="str">
        <f t="shared" si="14"/>
        <v>-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 t="str">
        <f t="shared" si="16"/>
        <v>-</v>
      </c>
      <c r="BA22" s="20">
        <v>0</v>
      </c>
      <c r="BB22" s="21">
        <v>0</v>
      </c>
      <c r="BC22" s="139" t="str">
        <f t="shared" si="102"/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252">
        <v>0</v>
      </c>
      <c r="BK22" s="253">
        <v>0</v>
      </c>
      <c r="BL22" s="276" t="str">
        <f t="shared" si="20"/>
        <v>-</v>
      </c>
      <c r="BM22" s="252">
        <v>0</v>
      </c>
      <c r="BN22" s="253">
        <v>0</v>
      </c>
      <c r="BO22" s="276" t="str">
        <f t="shared" si="21"/>
        <v>-</v>
      </c>
      <c r="BP22" s="302">
        <v>0</v>
      </c>
      <c r="BQ22" s="303">
        <v>0</v>
      </c>
      <c r="BR22" s="276" t="str">
        <f t="shared" si="22"/>
        <v>-</v>
      </c>
      <c r="BS22" s="257">
        <v>0</v>
      </c>
      <c r="BT22" s="253">
        <v>0</v>
      </c>
      <c r="BU22" s="276" t="str">
        <f t="shared" si="23"/>
        <v>-</v>
      </c>
      <c r="BV22" s="257">
        <v>0</v>
      </c>
      <c r="BW22" s="253">
        <v>0</v>
      </c>
      <c r="BX22" s="276" t="str">
        <f t="shared" si="103"/>
        <v>-</v>
      </c>
      <c r="BY22" s="257">
        <v>0</v>
      </c>
      <c r="BZ22" s="253">
        <v>0</v>
      </c>
      <c r="CA22" s="276" t="str">
        <f t="shared" si="104"/>
        <v>-</v>
      </c>
      <c r="CB22" s="257">
        <v>0</v>
      </c>
      <c r="CC22" s="253">
        <v>0</v>
      </c>
      <c r="CD22" s="276" t="str">
        <f t="shared" si="105"/>
        <v>-</v>
      </c>
      <c r="CE22" s="257">
        <v>0</v>
      </c>
      <c r="CF22" s="253">
        <v>0</v>
      </c>
      <c r="CG22" s="276" t="str">
        <f t="shared" si="49"/>
        <v>-</v>
      </c>
      <c r="CH22" s="257">
        <v>0</v>
      </c>
      <c r="CI22" s="253">
        <v>0</v>
      </c>
      <c r="CJ22" s="276" t="str">
        <f t="shared" si="50"/>
        <v>-</v>
      </c>
      <c r="CK22" s="257">
        <v>0</v>
      </c>
      <c r="CL22" s="253">
        <v>0</v>
      </c>
      <c r="CM22" s="276" t="str">
        <f t="shared" si="51"/>
        <v>-</v>
      </c>
      <c r="CN22" s="117">
        <f t="shared" si="38"/>
        <v>0</v>
      </c>
      <c r="CO22" s="120">
        <f t="shared" si="39"/>
        <v>0</v>
      </c>
      <c r="CP22" s="147" t="str">
        <f t="shared" si="30"/>
        <v/>
      </c>
    </row>
    <row r="23" spans="1:94" ht="15" thickBot="1" x14ac:dyDescent="0.35">
      <c r="A23" s="294">
        <v>45766</v>
      </c>
      <c r="B23" s="20">
        <v>0</v>
      </c>
      <c r="C23" s="21">
        <v>0</v>
      </c>
      <c r="D23" s="139" t="str">
        <f t="shared" si="106"/>
        <v>-</v>
      </c>
      <c r="E23" s="20">
        <v>0</v>
      </c>
      <c r="F23" s="21">
        <v>0</v>
      </c>
      <c r="G23" s="139" t="str">
        <f t="shared" si="107"/>
        <v>-</v>
      </c>
      <c r="H23" s="20">
        <v>0</v>
      </c>
      <c r="I23" s="21">
        <v>0</v>
      </c>
      <c r="J23" s="139" t="str">
        <f t="shared" si="108"/>
        <v>-</v>
      </c>
      <c r="K23" s="20">
        <v>0</v>
      </c>
      <c r="L23" s="21">
        <v>0</v>
      </c>
      <c r="M23" s="139" t="str">
        <f t="shared" si="109"/>
        <v>-</v>
      </c>
      <c r="N23" s="20">
        <v>0</v>
      </c>
      <c r="O23" s="21">
        <v>0</v>
      </c>
      <c r="P23" s="139" t="str">
        <f t="shared" si="4"/>
        <v>-</v>
      </c>
      <c r="Q23" s="20">
        <v>0</v>
      </c>
      <c r="R23" s="21">
        <v>0</v>
      </c>
      <c r="S23" s="139" t="str">
        <f t="shared" si="5"/>
        <v>-</v>
      </c>
      <c r="T23" s="20">
        <v>0</v>
      </c>
      <c r="U23" s="21">
        <v>0</v>
      </c>
      <c r="V23" s="139" t="str">
        <f t="shared" si="67"/>
        <v>-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45"/>
        <v>-</v>
      </c>
      <c r="AC23" s="20">
        <v>0</v>
      </c>
      <c r="AD23" s="21">
        <v>0</v>
      </c>
      <c r="AE23" s="139" t="str">
        <f t="shared" si="68"/>
        <v>-</v>
      </c>
      <c r="AF23" s="20">
        <v>0</v>
      </c>
      <c r="AG23" s="21">
        <v>0</v>
      </c>
      <c r="AH23" s="139" t="str">
        <f t="shared" si="52"/>
        <v>-</v>
      </c>
      <c r="AI23" s="20">
        <v>0</v>
      </c>
      <c r="AJ23" s="21">
        <v>0</v>
      </c>
      <c r="AK23" s="139" t="str">
        <f t="shared" si="53"/>
        <v>-</v>
      </c>
      <c r="AL23" s="20">
        <v>0</v>
      </c>
      <c r="AM23" s="21">
        <v>0</v>
      </c>
      <c r="AN23" s="139" t="str">
        <f t="shared" si="54"/>
        <v>-</v>
      </c>
      <c r="AO23" s="20">
        <v>0</v>
      </c>
      <c r="AP23" s="21">
        <v>0</v>
      </c>
      <c r="AQ23" s="139" t="str">
        <f t="shared" si="55"/>
        <v>-</v>
      </c>
      <c r="AR23" s="20">
        <v>0</v>
      </c>
      <c r="AS23" s="21">
        <v>0</v>
      </c>
      <c r="AT23" s="139" t="str">
        <f t="shared" ref="AT23:AT24" si="110">IF(AS23=0,"-",AR23/AS23)</f>
        <v>-</v>
      </c>
      <c r="AU23" s="20">
        <v>0</v>
      </c>
      <c r="AV23" s="21">
        <v>0</v>
      </c>
      <c r="AW23" s="139" t="str">
        <f t="shared" ref="AW23:AW24" si="111">IF(AV23=0,"-",AU23/AV23)</f>
        <v>-</v>
      </c>
      <c r="AX23" s="20">
        <v>0</v>
      </c>
      <c r="AY23" s="21">
        <v>0</v>
      </c>
      <c r="AZ23" s="139" t="str">
        <f t="shared" ref="AZ23:AZ24" si="112">IF(AY23=0,"-",AX23/AY23)</f>
        <v>-</v>
      </c>
      <c r="BA23" s="20">
        <v>0</v>
      </c>
      <c r="BB23" s="21">
        <v>0</v>
      </c>
      <c r="BC23" s="139" t="str">
        <f t="shared" ref="BC23:BC24" si="113">IF(BB23=0,"-",BA23/BB23)</f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52">
        <v>0</v>
      </c>
      <c r="BK23" s="253">
        <v>0</v>
      </c>
      <c r="BL23" s="276" t="str">
        <f t="shared" si="20"/>
        <v>-</v>
      </c>
      <c r="BM23" s="252">
        <v>0</v>
      </c>
      <c r="BN23" s="253">
        <v>0</v>
      </c>
      <c r="BO23" s="276" t="str">
        <f t="shared" si="21"/>
        <v>-</v>
      </c>
      <c r="BP23" s="302">
        <v>0</v>
      </c>
      <c r="BQ23" s="303">
        <v>0</v>
      </c>
      <c r="BR23" s="276" t="str">
        <f t="shared" si="22"/>
        <v>-</v>
      </c>
      <c r="BS23" s="257">
        <v>0</v>
      </c>
      <c r="BT23" s="253">
        <v>0</v>
      </c>
      <c r="BU23" s="276" t="str">
        <f t="shared" si="23"/>
        <v>-</v>
      </c>
      <c r="BV23" s="257">
        <v>0</v>
      </c>
      <c r="BW23" s="253">
        <v>0</v>
      </c>
      <c r="BX23" s="276" t="str">
        <f t="shared" si="103"/>
        <v>-</v>
      </c>
      <c r="BY23" s="257">
        <v>0</v>
      </c>
      <c r="BZ23" s="253">
        <v>0</v>
      </c>
      <c r="CA23" s="276" t="str">
        <f t="shared" si="104"/>
        <v>-</v>
      </c>
      <c r="CB23" s="257">
        <v>0</v>
      </c>
      <c r="CC23" s="253">
        <v>0</v>
      </c>
      <c r="CD23" s="276" t="str">
        <f t="shared" si="105"/>
        <v>-</v>
      </c>
      <c r="CE23" s="257">
        <v>0</v>
      </c>
      <c r="CF23" s="253">
        <v>0</v>
      </c>
      <c r="CG23" s="276" t="str">
        <f t="shared" si="49"/>
        <v>-</v>
      </c>
      <c r="CH23" s="257">
        <v>0</v>
      </c>
      <c r="CI23" s="253">
        <v>0</v>
      </c>
      <c r="CJ23" s="276" t="str">
        <f t="shared" si="50"/>
        <v>-</v>
      </c>
      <c r="CK23" s="257">
        <v>0</v>
      </c>
      <c r="CL23" s="253">
        <v>0</v>
      </c>
      <c r="CM23" s="276" t="str">
        <f t="shared" si="51"/>
        <v>-</v>
      </c>
      <c r="CN23" s="117">
        <f t="shared" si="38"/>
        <v>0</v>
      </c>
      <c r="CO23" s="120">
        <f t="shared" si="39"/>
        <v>0</v>
      </c>
      <c r="CP23" s="147" t="str">
        <f t="shared" si="30"/>
        <v/>
      </c>
    </row>
    <row r="24" spans="1:94" ht="15" thickBot="1" x14ac:dyDescent="0.35">
      <c r="A24" s="294">
        <v>45767</v>
      </c>
      <c r="B24" s="20">
        <v>0</v>
      </c>
      <c r="C24" s="21">
        <v>0</v>
      </c>
      <c r="D24" s="139" t="str">
        <f t="shared" si="106"/>
        <v>-</v>
      </c>
      <c r="E24" s="20">
        <v>0</v>
      </c>
      <c r="F24" s="21">
        <v>0</v>
      </c>
      <c r="G24" s="139" t="str">
        <f t="shared" si="107"/>
        <v>-</v>
      </c>
      <c r="H24" s="20">
        <v>0</v>
      </c>
      <c r="I24" s="21">
        <v>0</v>
      </c>
      <c r="J24" s="139" t="str">
        <f t="shared" si="108"/>
        <v>-</v>
      </c>
      <c r="K24" s="20">
        <v>0</v>
      </c>
      <c r="L24" s="21">
        <v>0</v>
      </c>
      <c r="M24" s="139" t="str">
        <f t="shared" si="109"/>
        <v>-</v>
      </c>
      <c r="N24" s="20">
        <v>0</v>
      </c>
      <c r="O24" s="21">
        <v>0</v>
      </c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0</v>
      </c>
      <c r="U24" s="21">
        <v>0</v>
      </c>
      <c r="V24" s="139" t="str">
        <f t="shared" si="67"/>
        <v>-</v>
      </c>
      <c r="W24" s="20">
        <v>0</v>
      </c>
      <c r="X24" s="21">
        <v>0</v>
      </c>
      <c r="Y24" s="139" t="str">
        <f t="shared" si="7"/>
        <v>-</v>
      </c>
      <c r="Z24" s="20">
        <v>0</v>
      </c>
      <c r="AA24" s="21">
        <v>0</v>
      </c>
      <c r="AB24" s="139" t="str">
        <f t="shared" si="45"/>
        <v>-</v>
      </c>
      <c r="AC24" s="20">
        <v>0</v>
      </c>
      <c r="AD24" s="21">
        <v>0</v>
      </c>
      <c r="AE24" s="139" t="str">
        <f t="shared" si="68"/>
        <v>-</v>
      </c>
      <c r="AF24" s="20">
        <v>0</v>
      </c>
      <c r="AG24" s="21">
        <v>0</v>
      </c>
      <c r="AH24" s="139" t="str">
        <f t="shared" si="52"/>
        <v>-</v>
      </c>
      <c r="AI24" s="20">
        <v>0</v>
      </c>
      <c r="AJ24" s="21">
        <v>0</v>
      </c>
      <c r="AK24" s="139" t="str">
        <f t="shared" si="53"/>
        <v>-</v>
      </c>
      <c r="AL24" s="20">
        <v>0</v>
      </c>
      <c r="AM24" s="21">
        <v>0</v>
      </c>
      <c r="AN24" s="139" t="str">
        <f t="shared" si="54"/>
        <v>-</v>
      </c>
      <c r="AO24" s="20">
        <v>0</v>
      </c>
      <c r="AP24" s="21">
        <v>0</v>
      </c>
      <c r="AQ24" s="139" t="str">
        <f t="shared" si="55"/>
        <v>-</v>
      </c>
      <c r="AR24" s="20">
        <v>0</v>
      </c>
      <c r="AS24" s="21">
        <v>0</v>
      </c>
      <c r="AT24" s="139" t="str">
        <f t="shared" si="110"/>
        <v>-</v>
      </c>
      <c r="AU24" s="20">
        <v>0</v>
      </c>
      <c r="AV24" s="21">
        <v>0</v>
      </c>
      <c r="AW24" s="139" t="str">
        <f t="shared" si="111"/>
        <v>-</v>
      </c>
      <c r="AX24" s="20">
        <v>0</v>
      </c>
      <c r="AY24" s="21">
        <v>0</v>
      </c>
      <c r="AZ24" s="139" t="str">
        <f t="shared" si="112"/>
        <v>-</v>
      </c>
      <c r="BA24" s="20">
        <v>0</v>
      </c>
      <c r="BB24" s="21">
        <v>0</v>
      </c>
      <c r="BC24" s="139" t="str">
        <f t="shared" si="113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52">
        <v>0</v>
      </c>
      <c r="BK24" s="253">
        <v>0</v>
      </c>
      <c r="BL24" s="276" t="str">
        <f t="shared" si="20"/>
        <v>-</v>
      </c>
      <c r="BM24" s="252">
        <v>0</v>
      </c>
      <c r="BN24" s="253">
        <v>0</v>
      </c>
      <c r="BO24" s="276" t="str">
        <f t="shared" si="21"/>
        <v>-</v>
      </c>
      <c r="BP24" s="302">
        <v>0</v>
      </c>
      <c r="BQ24" s="303">
        <v>0</v>
      </c>
      <c r="BR24" s="276" t="str">
        <f t="shared" si="22"/>
        <v>-</v>
      </c>
      <c r="BS24" s="256">
        <v>0</v>
      </c>
      <c r="BT24" s="253">
        <v>0</v>
      </c>
      <c r="BU24" s="276" t="str">
        <f t="shared" si="23"/>
        <v>-</v>
      </c>
      <c r="BV24" s="257">
        <v>0</v>
      </c>
      <c r="BW24" s="253">
        <v>0</v>
      </c>
      <c r="BX24" s="276" t="str">
        <f t="shared" si="103"/>
        <v>-</v>
      </c>
      <c r="BY24" s="257">
        <v>0</v>
      </c>
      <c r="BZ24" s="253">
        <v>0</v>
      </c>
      <c r="CA24" s="276" t="str">
        <f t="shared" si="104"/>
        <v>-</v>
      </c>
      <c r="CB24" s="257">
        <v>0</v>
      </c>
      <c r="CC24" s="253">
        <v>0</v>
      </c>
      <c r="CD24" s="276" t="str">
        <f t="shared" si="105"/>
        <v>-</v>
      </c>
      <c r="CE24" s="257">
        <v>0</v>
      </c>
      <c r="CF24" s="253">
        <v>0</v>
      </c>
      <c r="CG24" s="276" t="str">
        <f t="shared" si="49"/>
        <v>-</v>
      </c>
      <c r="CH24" s="257">
        <v>0</v>
      </c>
      <c r="CI24" s="253">
        <v>0</v>
      </c>
      <c r="CJ24" s="276" t="str">
        <f t="shared" si="50"/>
        <v>-</v>
      </c>
      <c r="CK24" s="257">
        <v>0</v>
      </c>
      <c r="CL24" s="253">
        <v>0</v>
      </c>
      <c r="CM24" s="276" t="str">
        <f t="shared" si="51"/>
        <v>-</v>
      </c>
      <c r="CN24" s="117">
        <f t="shared" si="38"/>
        <v>0</v>
      </c>
      <c r="CO24" s="120">
        <f t="shared" si="39"/>
        <v>0</v>
      </c>
      <c r="CP24" s="147" t="str">
        <f t="shared" si="30"/>
        <v/>
      </c>
    </row>
    <row r="25" spans="1:94" ht="15" thickBot="1" x14ac:dyDescent="0.35">
      <c r="A25" s="294">
        <v>45768</v>
      </c>
      <c r="B25" s="20">
        <v>0</v>
      </c>
      <c r="C25" s="21">
        <v>0</v>
      </c>
      <c r="D25" s="139" t="str">
        <f t="shared" ref="D25" si="114">IF(C25=0,"-",B25/C25)</f>
        <v>-</v>
      </c>
      <c r="E25" s="20">
        <v>0</v>
      </c>
      <c r="F25" s="21">
        <v>0</v>
      </c>
      <c r="G25" s="139" t="str">
        <f t="shared" ref="G25" si="115">IF(F25=0,"-",E25/F25)</f>
        <v>-</v>
      </c>
      <c r="H25" s="20">
        <v>0</v>
      </c>
      <c r="I25" s="21">
        <v>0</v>
      </c>
      <c r="J25" s="139" t="str">
        <f t="shared" ref="J25" si="116">IF(I25=0,"-",H25/I25)</f>
        <v>-</v>
      </c>
      <c r="K25" s="20">
        <v>0</v>
      </c>
      <c r="L25" s="21">
        <v>0</v>
      </c>
      <c r="M25" s="139" t="str">
        <f t="shared" ref="M25" si="117">IF(L25=0,"-",K25/L25)</f>
        <v>-</v>
      </c>
      <c r="N25" s="125">
        <v>0</v>
      </c>
      <c r="O25" s="126">
        <v>0</v>
      </c>
      <c r="P25" s="139" t="str">
        <f t="shared" si="4"/>
        <v>-</v>
      </c>
      <c r="Q25" s="20">
        <v>0</v>
      </c>
      <c r="R25" s="21">
        <v>0</v>
      </c>
      <c r="S25" s="139" t="str">
        <f t="shared" ref="S25" si="118">IF(R25=0,"-",Q25/R25)</f>
        <v>-</v>
      </c>
      <c r="T25" s="20">
        <v>0</v>
      </c>
      <c r="U25" s="21">
        <v>0</v>
      </c>
      <c r="V25" s="139" t="str">
        <f t="shared" ref="V25" si="119">IF(U25=0,"-",T25/U25)</f>
        <v>-</v>
      </c>
      <c r="W25" s="20">
        <v>0</v>
      </c>
      <c r="X25" s="21">
        <v>0</v>
      </c>
      <c r="Y25" s="139" t="str">
        <f t="shared" ref="Y25" si="120">IF(X25=0,"-",W25/X25)</f>
        <v>-</v>
      </c>
      <c r="Z25" s="20">
        <v>0</v>
      </c>
      <c r="AA25" s="21">
        <v>0</v>
      </c>
      <c r="AB25" s="139" t="str">
        <f t="shared" ref="AB25" si="121">IF(AA25=0,"-",Z25/AA25)</f>
        <v>-</v>
      </c>
      <c r="AC25" s="125">
        <v>88</v>
      </c>
      <c r="AD25" s="126">
        <v>19</v>
      </c>
      <c r="AE25" s="139">
        <f t="shared" si="68"/>
        <v>4.6315789473684212</v>
      </c>
      <c r="AF25" s="20">
        <v>0</v>
      </c>
      <c r="AG25" s="21">
        <v>0</v>
      </c>
      <c r="AH25" s="139" t="str">
        <f t="shared" ref="AH25" si="122">IF(AG25=0,"-",AF25/AG25)</f>
        <v>-</v>
      </c>
      <c r="AI25" s="20">
        <v>0</v>
      </c>
      <c r="AJ25" s="21">
        <v>0</v>
      </c>
      <c r="AK25" s="139" t="str">
        <f t="shared" ref="AK25" si="123">IF(AJ25=0,"-",AI25/AJ25)</f>
        <v>-</v>
      </c>
      <c r="AL25" s="20">
        <v>0</v>
      </c>
      <c r="AM25" s="21">
        <v>0</v>
      </c>
      <c r="AN25" s="139" t="str">
        <f t="shared" ref="AN25" si="124">IF(AM25=0,"-",AL25/AM25)</f>
        <v>-</v>
      </c>
      <c r="AO25" s="20">
        <v>0</v>
      </c>
      <c r="AP25" s="21">
        <v>0</v>
      </c>
      <c r="AQ25" s="139" t="str">
        <f t="shared" ref="AQ25" si="125">IF(AP25=0,"-",AO25/AP25)</f>
        <v>-</v>
      </c>
      <c r="AR25" s="20">
        <v>0</v>
      </c>
      <c r="AS25" s="21">
        <v>0</v>
      </c>
      <c r="AT25" s="139" t="str">
        <f t="shared" ref="AT25" si="126">IF(AS25=0,"-",AR25/AS25)</f>
        <v>-</v>
      </c>
      <c r="AU25" s="20">
        <v>0</v>
      </c>
      <c r="AV25" s="21">
        <v>0</v>
      </c>
      <c r="AW25" s="139" t="str">
        <f t="shared" ref="AW25" si="127">IF(AV25=0,"-",AU25/AV25)</f>
        <v>-</v>
      </c>
      <c r="AX25" s="20">
        <v>0</v>
      </c>
      <c r="AY25" s="21">
        <v>0</v>
      </c>
      <c r="AZ25" s="139" t="str">
        <f t="shared" ref="AZ25" si="128">IF(AY25=0,"-",AX25/AY25)</f>
        <v>-</v>
      </c>
      <c r="BA25" s="20">
        <v>0</v>
      </c>
      <c r="BB25" s="21">
        <v>0</v>
      </c>
      <c r="BC25" s="139" t="str">
        <f t="shared" ref="BC25" si="129">IF(BB25=0,"-",BA25/BB25)</f>
        <v>-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52">
        <v>0</v>
      </c>
      <c r="BK25" s="253">
        <v>0</v>
      </c>
      <c r="BL25" s="276" t="str">
        <f t="shared" si="20"/>
        <v>-</v>
      </c>
      <c r="BM25" s="252">
        <v>0</v>
      </c>
      <c r="BN25" s="253">
        <v>0</v>
      </c>
      <c r="BO25" s="276" t="str">
        <f t="shared" si="21"/>
        <v>-</v>
      </c>
      <c r="BP25" s="302">
        <v>0</v>
      </c>
      <c r="BQ25" s="303">
        <v>0</v>
      </c>
      <c r="BR25" s="276" t="str">
        <f t="shared" si="22"/>
        <v>-</v>
      </c>
      <c r="BS25" s="257">
        <v>0</v>
      </c>
      <c r="BT25" s="253">
        <v>0</v>
      </c>
      <c r="BU25" s="276" t="str">
        <f t="shared" si="23"/>
        <v>-</v>
      </c>
      <c r="BV25" s="257">
        <v>0</v>
      </c>
      <c r="BW25" s="253">
        <v>0</v>
      </c>
      <c r="BX25" s="276" t="str">
        <f t="shared" si="103"/>
        <v>-</v>
      </c>
      <c r="BY25" s="257">
        <v>0</v>
      </c>
      <c r="BZ25" s="253">
        <v>0</v>
      </c>
      <c r="CA25" s="276" t="str">
        <f t="shared" si="104"/>
        <v>-</v>
      </c>
      <c r="CB25" s="257">
        <v>0</v>
      </c>
      <c r="CC25" s="253">
        <v>0</v>
      </c>
      <c r="CD25" s="276" t="str">
        <f t="shared" si="105"/>
        <v>-</v>
      </c>
      <c r="CE25" s="257">
        <v>0</v>
      </c>
      <c r="CF25" s="253">
        <v>0</v>
      </c>
      <c r="CG25" s="276" t="str">
        <f t="shared" si="49"/>
        <v>-</v>
      </c>
      <c r="CH25" s="257">
        <v>0</v>
      </c>
      <c r="CI25" s="253">
        <v>0</v>
      </c>
      <c r="CJ25" s="276" t="str">
        <f t="shared" si="50"/>
        <v>-</v>
      </c>
      <c r="CK25" s="257">
        <v>0</v>
      </c>
      <c r="CL25" s="253">
        <v>0</v>
      </c>
      <c r="CM25" s="276" t="str">
        <f t="shared" si="51"/>
        <v>-</v>
      </c>
      <c r="CN25" s="117">
        <f t="shared" si="38"/>
        <v>88</v>
      </c>
      <c r="CO25" s="120">
        <f t="shared" si="39"/>
        <v>19</v>
      </c>
      <c r="CP25" s="147">
        <f t="shared" si="30"/>
        <v>4.6315789473684212</v>
      </c>
    </row>
    <row r="26" spans="1:94" ht="15" thickBot="1" x14ac:dyDescent="0.35">
      <c r="A26" s="294">
        <v>45769</v>
      </c>
      <c r="B26" s="20">
        <v>117</v>
      </c>
      <c r="C26" s="21">
        <v>13</v>
      </c>
      <c r="D26" s="139">
        <f t="shared" ref="D26" si="130">IF(C26=0,"-",B26/C26)</f>
        <v>9</v>
      </c>
      <c r="E26" s="20">
        <v>8</v>
      </c>
      <c r="F26" s="21">
        <v>1</v>
      </c>
      <c r="G26" s="139">
        <f t="shared" ref="G26" si="131">IF(F26=0,"-",E26/F26)</f>
        <v>8</v>
      </c>
      <c r="H26" s="20">
        <v>0</v>
      </c>
      <c r="I26" s="21">
        <v>0</v>
      </c>
      <c r="J26" s="139" t="str">
        <f t="shared" ref="J26" si="132">IF(I26=0,"-",H26/I26)</f>
        <v>-</v>
      </c>
      <c r="K26" s="20">
        <v>58</v>
      </c>
      <c r="L26" s="21">
        <v>7</v>
      </c>
      <c r="M26" s="139">
        <f t="shared" ref="M26" si="133">IF(L26=0,"-",K26/L26)</f>
        <v>8.2857142857142865</v>
      </c>
      <c r="N26" s="125">
        <v>0</v>
      </c>
      <c r="O26" s="126">
        <v>0</v>
      </c>
      <c r="P26" s="139" t="str">
        <f t="shared" si="4"/>
        <v>-</v>
      </c>
      <c r="Q26" s="125">
        <v>127</v>
      </c>
      <c r="R26" s="126">
        <v>29</v>
      </c>
      <c r="S26" s="139">
        <f t="shared" si="5"/>
        <v>4.3793103448275863</v>
      </c>
      <c r="T26" s="125">
        <v>0</v>
      </c>
      <c r="U26" s="126">
        <v>0</v>
      </c>
      <c r="V26" s="139" t="str">
        <f t="shared" si="67"/>
        <v>-</v>
      </c>
      <c r="W26" s="125">
        <v>0</v>
      </c>
      <c r="X26" s="126">
        <v>0</v>
      </c>
      <c r="Y26" s="139" t="str">
        <f t="shared" si="7"/>
        <v>-</v>
      </c>
      <c r="Z26" s="125">
        <v>50</v>
      </c>
      <c r="AA26" s="126">
        <v>10</v>
      </c>
      <c r="AB26" s="139">
        <f t="shared" si="45"/>
        <v>5</v>
      </c>
      <c r="AC26" s="125">
        <v>5</v>
      </c>
      <c r="AD26" s="126">
        <v>1</v>
      </c>
      <c r="AE26" s="139">
        <f t="shared" si="68"/>
        <v>5</v>
      </c>
      <c r="AF26" s="20">
        <v>0</v>
      </c>
      <c r="AG26" s="21">
        <v>0</v>
      </c>
      <c r="AH26" s="139" t="str">
        <f t="shared" ref="AH26" si="134">IF(AG26=0,"-",AF26/AG26)</f>
        <v>-</v>
      </c>
      <c r="AI26" s="20">
        <v>0</v>
      </c>
      <c r="AJ26" s="21">
        <v>0</v>
      </c>
      <c r="AK26" s="139" t="str">
        <f t="shared" ref="AK26" si="135">IF(AJ26=0,"-",AI26/AJ26)</f>
        <v>-</v>
      </c>
      <c r="AL26" s="20">
        <v>0</v>
      </c>
      <c r="AM26" s="21">
        <v>0</v>
      </c>
      <c r="AN26" s="139" t="str">
        <f t="shared" ref="AN26" si="136">IF(AM26=0,"-",AL26/AM26)</f>
        <v>-</v>
      </c>
      <c r="AO26" s="20">
        <v>0</v>
      </c>
      <c r="AP26" s="21">
        <v>0</v>
      </c>
      <c r="AQ26" s="139" t="str">
        <f t="shared" ref="AQ26" si="137">IF(AP26=0,"-",AO26/AP26)</f>
        <v>-</v>
      </c>
      <c r="AR26" s="125">
        <v>6</v>
      </c>
      <c r="AS26" s="126">
        <v>1</v>
      </c>
      <c r="AT26" s="139">
        <f t="shared" si="14"/>
        <v>6</v>
      </c>
      <c r="AU26" s="125">
        <v>0</v>
      </c>
      <c r="AV26" s="126">
        <v>0</v>
      </c>
      <c r="AW26" s="139" t="str">
        <f t="shared" ref="AW26:AW28" si="138">IF(AV26=0,"-",AU26/AV26)</f>
        <v>-</v>
      </c>
      <c r="AX26" s="125">
        <v>0</v>
      </c>
      <c r="AY26" s="126">
        <v>0</v>
      </c>
      <c r="AZ26" s="139" t="str">
        <f t="shared" si="16"/>
        <v>-</v>
      </c>
      <c r="BA26" s="125">
        <v>9</v>
      </c>
      <c r="BB26" s="126">
        <v>1</v>
      </c>
      <c r="BC26" s="139">
        <f t="shared" si="102"/>
        <v>9</v>
      </c>
      <c r="BD26" s="125">
        <v>0</v>
      </c>
      <c r="BE26" s="126">
        <v>0</v>
      </c>
      <c r="BF26" s="139" t="str">
        <f t="shared" si="18"/>
        <v>-</v>
      </c>
      <c r="BG26" s="125">
        <v>0</v>
      </c>
      <c r="BH26" s="126">
        <v>0</v>
      </c>
      <c r="BI26" s="139" t="str">
        <f t="shared" si="19"/>
        <v>-</v>
      </c>
      <c r="BJ26" s="252">
        <v>47</v>
      </c>
      <c r="BK26" s="253">
        <v>7</v>
      </c>
      <c r="BL26" s="276">
        <f t="shared" si="20"/>
        <v>6.7142857142857144</v>
      </c>
      <c r="BM26" s="252">
        <v>0</v>
      </c>
      <c r="BN26" s="253">
        <v>0</v>
      </c>
      <c r="BO26" s="276" t="str">
        <f t="shared" si="21"/>
        <v>-</v>
      </c>
      <c r="BP26" s="302">
        <v>0</v>
      </c>
      <c r="BQ26" s="303">
        <v>0</v>
      </c>
      <c r="BR26" s="276" t="str">
        <f t="shared" si="22"/>
        <v>-</v>
      </c>
      <c r="BS26" s="257">
        <v>8</v>
      </c>
      <c r="BT26" s="253">
        <v>1</v>
      </c>
      <c r="BU26" s="276">
        <f t="shared" si="23"/>
        <v>8</v>
      </c>
      <c r="BV26" s="257">
        <v>0</v>
      </c>
      <c r="BW26" s="253">
        <v>0</v>
      </c>
      <c r="BX26" s="276" t="str">
        <f t="shared" si="103"/>
        <v>-</v>
      </c>
      <c r="BY26" s="257">
        <v>0</v>
      </c>
      <c r="BZ26" s="253">
        <v>0</v>
      </c>
      <c r="CA26" s="276" t="str">
        <f t="shared" si="104"/>
        <v>-</v>
      </c>
      <c r="CB26" s="257">
        <v>0</v>
      </c>
      <c r="CC26" s="253">
        <v>0</v>
      </c>
      <c r="CD26" s="276" t="str">
        <f t="shared" si="105"/>
        <v>-</v>
      </c>
      <c r="CE26" s="257">
        <v>0</v>
      </c>
      <c r="CF26" s="253">
        <v>0</v>
      </c>
      <c r="CG26" s="276" t="str">
        <f t="shared" si="49"/>
        <v>-</v>
      </c>
      <c r="CH26" s="257">
        <v>0</v>
      </c>
      <c r="CI26" s="253">
        <v>0</v>
      </c>
      <c r="CJ26" s="276" t="str">
        <f t="shared" si="50"/>
        <v>-</v>
      </c>
      <c r="CK26" s="257">
        <v>0</v>
      </c>
      <c r="CL26" s="253">
        <v>0</v>
      </c>
      <c r="CM26" s="276" t="str">
        <f t="shared" si="51"/>
        <v>-</v>
      </c>
      <c r="CN26" s="117">
        <f t="shared" si="38"/>
        <v>435</v>
      </c>
      <c r="CO26" s="120">
        <f t="shared" si="39"/>
        <v>71</v>
      </c>
      <c r="CP26" s="147">
        <f t="shared" si="30"/>
        <v>6.126760563380282</v>
      </c>
    </row>
    <row r="27" spans="1:94" ht="15" thickBot="1" x14ac:dyDescent="0.35">
      <c r="A27" s="294">
        <v>45770</v>
      </c>
      <c r="B27" s="20">
        <v>17</v>
      </c>
      <c r="C27" s="21">
        <v>2</v>
      </c>
      <c r="D27" s="139">
        <f t="shared" si="0"/>
        <v>8.5</v>
      </c>
      <c r="E27" s="20">
        <v>0</v>
      </c>
      <c r="F27" s="21">
        <v>0</v>
      </c>
      <c r="G27" s="139">
        <v>0</v>
      </c>
      <c r="H27" s="20">
        <v>0</v>
      </c>
      <c r="I27" s="21">
        <v>0</v>
      </c>
      <c r="J27" s="139" t="str">
        <f t="shared" si="2"/>
        <v>-</v>
      </c>
      <c r="K27" s="20">
        <v>16</v>
      </c>
      <c r="L27" s="21">
        <v>2</v>
      </c>
      <c r="M27" s="139">
        <f t="shared" si="3"/>
        <v>8</v>
      </c>
      <c r="N27" s="125">
        <v>0</v>
      </c>
      <c r="O27" s="126">
        <v>0</v>
      </c>
      <c r="P27" s="139" t="str">
        <f t="shared" si="4"/>
        <v>-</v>
      </c>
      <c r="Q27" s="125">
        <v>105</v>
      </c>
      <c r="R27" s="126">
        <v>25</v>
      </c>
      <c r="S27" s="139">
        <f t="shared" si="5"/>
        <v>4.2</v>
      </c>
      <c r="T27" s="125">
        <v>77</v>
      </c>
      <c r="U27" s="126">
        <v>14</v>
      </c>
      <c r="V27" s="139">
        <f t="shared" si="67"/>
        <v>5.5</v>
      </c>
      <c r="W27" s="125">
        <v>0</v>
      </c>
      <c r="X27" s="126">
        <v>0</v>
      </c>
      <c r="Y27" s="139" t="str">
        <f t="shared" si="7"/>
        <v>-</v>
      </c>
      <c r="Z27" s="125">
        <v>40</v>
      </c>
      <c r="AA27" s="126">
        <v>10</v>
      </c>
      <c r="AB27" s="139">
        <f t="shared" si="45"/>
        <v>4</v>
      </c>
      <c r="AC27" s="125">
        <v>0</v>
      </c>
      <c r="AD27" s="126">
        <v>0</v>
      </c>
      <c r="AE27" s="139" t="str">
        <f t="shared" si="68"/>
        <v>-</v>
      </c>
      <c r="AF27" s="125">
        <v>0</v>
      </c>
      <c r="AG27" s="126">
        <v>0</v>
      </c>
      <c r="AH27" s="139" t="str">
        <f t="shared" si="52"/>
        <v>-</v>
      </c>
      <c r="AI27" s="125">
        <v>0</v>
      </c>
      <c r="AJ27" s="126">
        <v>0</v>
      </c>
      <c r="AK27" s="139" t="str">
        <f t="shared" si="53"/>
        <v>-</v>
      </c>
      <c r="AL27" s="125">
        <v>12</v>
      </c>
      <c r="AM27" s="126">
        <v>2</v>
      </c>
      <c r="AN27" s="139">
        <f t="shared" si="54"/>
        <v>6</v>
      </c>
      <c r="AO27" s="125">
        <v>0</v>
      </c>
      <c r="AP27" s="126">
        <v>0</v>
      </c>
      <c r="AQ27" s="139" t="str">
        <f t="shared" si="55"/>
        <v>-</v>
      </c>
      <c r="AR27" s="125">
        <v>6</v>
      </c>
      <c r="AS27" s="126">
        <v>1</v>
      </c>
      <c r="AT27" s="139">
        <f t="shared" si="14"/>
        <v>6</v>
      </c>
      <c r="AU27" s="125">
        <v>0</v>
      </c>
      <c r="AV27" s="126">
        <v>0</v>
      </c>
      <c r="AW27" s="139" t="str">
        <f t="shared" si="138"/>
        <v>-</v>
      </c>
      <c r="AX27" s="125">
        <v>0</v>
      </c>
      <c r="AY27" s="126">
        <v>0</v>
      </c>
      <c r="AZ27" s="139" t="str">
        <f t="shared" si="16"/>
        <v>-</v>
      </c>
      <c r="BA27" s="125">
        <v>8</v>
      </c>
      <c r="BB27" s="126">
        <v>1</v>
      </c>
      <c r="BC27" s="139">
        <f t="shared" si="102"/>
        <v>8</v>
      </c>
      <c r="BD27" s="125">
        <v>0</v>
      </c>
      <c r="BE27" s="126">
        <v>0</v>
      </c>
      <c r="BF27" s="139" t="str">
        <f t="shared" si="18"/>
        <v>-</v>
      </c>
      <c r="BG27" s="125">
        <v>0</v>
      </c>
      <c r="BH27" s="126">
        <v>0</v>
      </c>
      <c r="BI27" s="139" t="str">
        <f t="shared" si="19"/>
        <v>-</v>
      </c>
      <c r="BJ27" s="252">
        <v>43</v>
      </c>
      <c r="BK27" s="253">
        <v>6</v>
      </c>
      <c r="BL27" s="276">
        <f t="shared" si="20"/>
        <v>7.166666666666667</v>
      </c>
      <c r="BM27" s="252">
        <v>0</v>
      </c>
      <c r="BN27" s="253">
        <v>0</v>
      </c>
      <c r="BO27" s="276" t="str">
        <f t="shared" si="21"/>
        <v>-</v>
      </c>
      <c r="BP27" s="302">
        <v>0</v>
      </c>
      <c r="BQ27" s="303">
        <v>0</v>
      </c>
      <c r="BR27" s="276" t="str">
        <f t="shared" si="22"/>
        <v>-</v>
      </c>
      <c r="BS27" s="257">
        <v>21</v>
      </c>
      <c r="BT27" s="253">
        <v>3</v>
      </c>
      <c r="BU27" s="276">
        <f t="shared" si="23"/>
        <v>7</v>
      </c>
      <c r="BV27" s="257">
        <v>0</v>
      </c>
      <c r="BW27" s="253">
        <v>0</v>
      </c>
      <c r="BX27" s="276" t="str">
        <f t="shared" si="103"/>
        <v>-</v>
      </c>
      <c r="BY27" s="257">
        <v>0</v>
      </c>
      <c r="BZ27" s="253">
        <v>0</v>
      </c>
      <c r="CA27" s="276" t="str">
        <f t="shared" si="104"/>
        <v>-</v>
      </c>
      <c r="CB27" s="257">
        <v>0</v>
      </c>
      <c r="CC27" s="253">
        <v>0</v>
      </c>
      <c r="CD27" s="276" t="str">
        <f t="shared" si="105"/>
        <v>-</v>
      </c>
      <c r="CE27" s="257">
        <v>0</v>
      </c>
      <c r="CF27" s="253">
        <v>0</v>
      </c>
      <c r="CG27" s="276" t="str">
        <f t="shared" si="49"/>
        <v>-</v>
      </c>
      <c r="CH27" s="257">
        <v>0</v>
      </c>
      <c r="CI27" s="253">
        <v>0</v>
      </c>
      <c r="CJ27" s="276" t="str">
        <f t="shared" si="50"/>
        <v>-</v>
      </c>
      <c r="CK27" s="257">
        <v>0</v>
      </c>
      <c r="CL27" s="253">
        <v>0</v>
      </c>
      <c r="CM27" s="276" t="str">
        <f t="shared" si="51"/>
        <v>-</v>
      </c>
      <c r="CN27" s="117">
        <f t="shared" si="38"/>
        <v>345</v>
      </c>
      <c r="CO27" s="120">
        <f t="shared" si="39"/>
        <v>64</v>
      </c>
      <c r="CP27" s="147">
        <f t="shared" si="30"/>
        <v>5.390625</v>
      </c>
    </row>
    <row r="28" spans="1:94" ht="15" thickBot="1" x14ac:dyDescent="0.35">
      <c r="A28" s="294">
        <v>45771</v>
      </c>
      <c r="B28" s="20">
        <v>39</v>
      </c>
      <c r="C28" s="21">
        <v>5</v>
      </c>
      <c r="D28" s="139">
        <f t="shared" si="0"/>
        <v>7.8</v>
      </c>
      <c r="E28" s="20">
        <v>0</v>
      </c>
      <c r="F28" s="21">
        <v>0</v>
      </c>
      <c r="G28" s="139">
        <v>0</v>
      </c>
      <c r="H28" s="20">
        <v>0</v>
      </c>
      <c r="I28" s="21">
        <v>0</v>
      </c>
      <c r="J28" s="139" t="str">
        <f t="shared" si="2"/>
        <v>-</v>
      </c>
      <c r="K28" s="20">
        <v>33</v>
      </c>
      <c r="L28" s="21">
        <v>4</v>
      </c>
      <c r="M28" s="139">
        <f t="shared" si="3"/>
        <v>8.25</v>
      </c>
      <c r="N28" s="125">
        <v>0</v>
      </c>
      <c r="O28" s="126">
        <v>0</v>
      </c>
      <c r="P28" s="139" t="str">
        <f t="shared" si="4"/>
        <v>-</v>
      </c>
      <c r="Q28" s="125">
        <v>99</v>
      </c>
      <c r="R28" s="126">
        <v>22</v>
      </c>
      <c r="S28" s="139">
        <f t="shared" si="5"/>
        <v>4.5</v>
      </c>
      <c r="T28" s="125">
        <v>0</v>
      </c>
      <c r="U28" s="126">
        <v>0</v>
      </c>
      <c r="V28" s="139" t="str">
        <f t="shared" si="67"/>
        <v>-</v>
      </c>
      <c r="W28" s="125">
        <v>0</v>
      </c>
      <c r="X28" s="126">
        <v>0</v>
      </c>
      <c r="Y28" s="139" t="str">
        <f t="shared" si="7"/>
        <v>-</v>
      </c>
      <c r="Z28" s="125">
        <v>50</v>
      </c>
      <c r="AA28" s="126">
        <v>10</v>
      </c>
      <c r="AB28" s="139">
        <f t="shared" si="45"/>
        <v>5</v>
      </c>
      <c r="AC28" s="125">
        <v>2</v>
      </c>
      <c r="AD28" s="126">
        <v>1</v>
      </c>
      <c r="AE28" s="139">
        <f t="shared" si="68"/>
        <v>2</v>
      </c>
      <c r="AF28" s="125">
        <v>0</v>
      </c>
      <c r="AG28" s="126">
        <v>0</v>
      </c>
      <c r="AH28" s="139" t="str">
        <f t="shared" ref="AH28" si="139">IF(AG28=0,"-",AF28/AG28)</f>
        <v>-</v>
      </c>
      <c r="AI28" s="125">
        <v>0</v>
      </c>
      <c r="AJ28" s="126">
        <v>0</v>
      </c>
      <c r="AK28" s="139" t="str">
        <f t="shared" ref="AK28" si="140">IF(AJ28=0,"-",AI28/AJ28)</f>
        <v>-</v>
      </c>
      <c r="AL28" s="125">
        <v>0</v>
      </c>
      <c r="AM28" s="126">
        <v>0</v>
      </c>
      <c r="AN28" s="139" t="str">
        <f t="shared" si="54"/>
        <v>-</v>
      </c>
      <c r="AO28" s="125">
        <v>0</v>
      </c>
      <c r="AP28" s="126">
        <v>0</v>
      </c>
      <c r="AQ28" s="139" t="str">
        <f t="shared" si="55"/>
        <v>-</v>
      </c>
      <c r="AR28" s="125">
        <v>0</v>
      </c>
      <c r="AS28" s="126">
        <v>0</v>
      </c>
      <c r="AT28" s="139" t="str">
        <f t="shared" si="14"/>
        <v>-</v>
      </c>
      <c r="AU28" s="125">
        <v>0</v>
      </c>
      <c r="AV28" s="126">
        <v>0</v>
      </c>
      <c r="AW28" s="139" t="str">
        <f t="shared" si="138"/>
        <v>-</v>
      </c>
      <c r="AX28" s="125">
        <v>0</v>
      </c>
      <c r="AY28" s="126">
        <v>0</v>
      </c>
      <c r="AZ28" s="139" t="str">
        <f t="shared" si="16"/>
        <v>-</v>
      </c>
      <c r="BA28" s="125">
        <v>0</v>
      </c>
      <c r="BB28" s="126">
        <v>0</v>
      </c>
      <c r="BC28" s="139" t="str">
        <f t="shared" si="102"/>
        <v>-</v>
      </c>
      <c r="BD28" s="125">
        <v>0</v>
      </c>
      <c r="BE28" s="126">
        <v>0</v>
      </c>
      <c r="BF28" s="139" t="str">
        <f t="shared" si="18"/>
        <v>-</v>
      </c>
      <c r="BG28" s="125">
        <v>0</v>
      </c>
      <c r="BH28" s="126">
        <v>0</v>
      </c>
      <c r="BI28" s="139" t="str">
        <f>IF(BH28=0,"-",BG28/BH28)</f>
        <v>-</v>
      </c>
      <c r="BJ28" s="252">
        <v>14</v>
      </c>
      <c r="BK28" s="253">
        <v>2</v>
      </c>
      <c r="BL28" s="276">
        <f t="shared" si="20"/>
        <v>7</v>
      </c>
      <c r="BM28" s="252">
        <v>0</v>
      </c>
      <c r="BN28" s="253">
        <v>0</v>
      </c>
      <c r="BO28" s="276" t="str">
        <f t="shared" si="21"/>
        <v>-</v>
      </c>
      <c r="BP28" s="302">
        <v>0</v>
      </c>
      <c r="BQ28" s="303">
        <v>0</v>
      </c>
      <c r="BR28" s="276" t="str">
        <f t="shared" si="22"/>
        <v>-</v>
      </c>
      <c r="BS28" s="257">
        <v>0</v>
      </c>
      <c r="BT28" s="253">
        <v>0</v>
      </c>
      <c r="BU28" s="276" t="str">
        <f t="shared" si="23"/>
        <v>-</v>
      </c>
      <c r="BV28" s="257">
        <v>0</v>
      </c>
      <c r="BW28" s="253">
        <v>0</v>
      </c>
      <c r="BX28" s="276" t="str">
        <f t="shared" ref="BX28" si="141">IF(BW28=0,"-",BV28/BW28)</f>
        <v>-</v>
      </c>
      <c r="BY28" s="257">
        <v>0</v>
      </c>
      <c r="BZ28" s="253">
        <v>0</v>
      </c>
      <c r="CA28" s="276" t="str">
        <f t="shared" ref="CA28" si="142">IF(BZ28=0,"-",BY28/BZ28)</f>
        <v>-</v>
      </c>
      <c r="CB28" s="257">
        <v>0</v>
      </c>
      <c r="CC28" s="253">
        <v>0</v>
      </c>
      <c r="CD28" s="276" t="str">
        <f t="shared" ref="CD28" si="143">IF(CC28=0,"-",CB28/CC28)</f>
        <v>-</v>
      </c>
      <c r="CE28" s="20">
        <v>7</v>
      </c>
      <c r="CF28" s="21">
        <v>1</v>
      </c>
      <c r="CG28" s="139">
        <f t="shared" si="49"/>
        <v>7</v>
      </c>
      <c r="CH28" s="20">
        <v>0</v>
      </c>
      <c r="CI28" s="21">
        <v>0</v>
      </c>
      <c r="CJ28" s="139" t="str">
        <f t="shared" si="50"/>
        <v>-</v>
      </c>
      <c r="CK28" s="257">
        <v>0</v>
      </c>
      <c r="CL28" s="253">
        <v>0</v>
      </c>
      <c r="CM28" s="276" t="str">
        <f t="shared" ref="CM28:CM32" si="144">IF(CL28=0,"-",CK28/CL28)</f>
        <v>-</v>
      </c>
      <c r="CN28" s="117">
        <f t="shared" si="38"/>
        <v>244</v>
      </c>
      <c r="CO28" s="120">
        <f t="shared" si="39"/>
        <v>45</v>
      </c>
      <c r="CP28" s="147">
        <f t="shared" si="30"/>
        <v>5.4222222222222225</v>
      </c>
    </row>
    <row r="29" spans="1:94" ht="15" thickBot="1" x14ac:dyDescent="0.35">
      <c r="A29" s="294">
        <v>45772</v>
      </c>
      <c r="B29" s="20">
        <v>74</v>
      </c>
      <c r="C29" s="21">
        <v>9</v>
      </c>
      <c r="D29" s="139">
        <f t="shared" si="0"/>
        <v>8.2222222222222214</v>
      </c>
      <c r="E29" s="20">
        <v>16</v>
      </c>
      <c r="F29" s="21">
        <v>2</v>
      </c>
      <c r="G29" s="139">
        <v>0</v>
      </c>
      <c r="H29" s="20">
        <v>0</v>
      </c>
      <c r="I29" s="21">
        <v>0</v>
      </c>
      <c r="J29" s="139" t="str">
        <f t="shared" si="2"/>
        <v>-</v>
      </c>
      <c r="K29" s="20">
        <v>44</v>
      </c>
      <c r="L29" s="21">
        <v>5</v>
      </c>
      <c r="M29" s="139">
        <f t="shared" si="3"/>
        <v>8.8000000000000007</v>
      </c>
      <c r="N29" s="125">
        <v>0</v>
      </c>
      <c r="O29" s="126">
        <v>0</v>
      </c>
      <c r="P29" s="139" t="str">
        <f t="shared" si="4"/>
        <v>-</v>
      </c>
      <c r="Q29" s="125">
        <v>108</v>
      </c>
      <c r="R29" s="126">
        <v>27</v>
      </c>
      <c r="S29" s="139">
        <f t="shared" si="5"/>
        <v>4</v>
      </c>
      <c r="T29" s="125">
        <v>0</v>
      </c>
      <c r="U29" s="126">
        <v>0</v>
      </c>
      <c r="V29" s="139" t="str">
        <f t="shared" si="67"/>
        <v>-</v>
      </c>
      <c r="W29" s="125">
        <v>0</v>
      </c>
      <c r="X29" s="126">
        <v>0</v>
      </c>
      <c r="Y29" s="139" t="str">
        <f t="shared" si="7"/>
        <v>-</v>
      </c>
      <c r="Z29" s="125">
        <v>35</v>
      </c>
      <c r="AA29" s="126">
        <v>7</v>
      </c>
      <c r="AB29" s="139">
        <f t="shared" si="45"/>
        <v>5</v>
      </c>
      <c r="AC29" s="125">
        <v>0</v>
      </c>
      <c r="AD29" s="126">
        <v>0</v>
      </c>
      <c r="AE29" s="139" t="str">
        <f t="shared" si="68"/>
        <v>-</v>
      </c>
      <c r="AF29" s="125">
        <v>0</v>
      </c>
      <c r="AG29" s="126">
        <v>0</v>
      </c>
      <c r="AH29" s="139" t="str">
        <f t="shared" ref="AH29" si="145">IF(AG29=0,"-",AF29/AG29)</f>
        <v>-</v>
      </c>
      <c r="AI29" s="125">
        <v>0</v>
      </c>
      <c r="AJ29" s="126">
        <v>0</v>
      </c>
      <c r="AK29" s="139" t="str">
        <f t="shared" ref="AK29" si="146">IF(AJ29=0,"-",AI29/AJ29)</f>
        <v>-</v>
      </c>
      <c r="AL29" s="125">
        <v>0</v>
      </c>
      <c r="AM29" s="126">
        <v>0</v>
      </c>
      <c r="AN29" s="139" t="str">
        <f t="shared" ref="AN29" si="147">IF(AM29=0,"-",AL29/AM29)</f>
        <v>-</v>
      </c>
      <c r="AO29" s="125">
        <v>5</v>
      </c>
      <c r="AP29" s="126">
        <v>1</v>
      </c>
      <c r="AQ29" s="139">
        <f t="shared" si="55"/>
        <v>5</v>
      </c>
      <c r="AR29" s="125">
        <v>0</v>
      </c>
      <c r="AS29" s="126">
        <v>0</v>
      </c>
      <c r="AT29" s="139" t="str">
        <f t="shared" ref="AT29:AT32" si="148">IF(AS29=0,"-",AR29/AS29)</f>
        <v>-</v>
      </c>
      <c r="AU29" s="125">
        <v>0</v>
      </c>
      <c r="AV29" s="126">
        <v>0</v>
      </c>
      <c r="AW29" s="139" t="str">
        <f t="shared" ref="AW29:AW32" si="149">IF(AV29=0,"-",AU29/AV29)</f>
        <v>-</v>
      </c>
      <c r="AX29" s="125">
        <v>0</v>
      </c>
      <c r="AY29" s="126">
        <v>0</v>
      </c>
      <c r="AZ29" s="139" t="str">
        <f t="shared" ref="AZ29:AZ32" si="150">IF(AY29=0,"-",AX29/AY29)</f>
        <v>-</v>
      </c>
      <c r="BA29" s="125">
        <v>0</v>
      </c>
      <c r="BB29" s="126">
        <v>0</v>
      </c>
      <c r="BC29" s="139" t="str">
        <f t="shared" ref="BC29:BC32" si="151">IF(BB29=0,"-",BA29/BB29)</f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252">
        <v>12</v>
      </c>
      <c r="BK29" s="253">
        <v>2</v>
      </c>
      <c r="BL29" s="276">
        <f t="shared" si="20"/>
        <v>6</v>
      </c>
      <c r="BM29" s="252">
        <v>0</v>
      </c>
      <c r="BN29" s="253">
        <v>0</v>
      </c>
      <c r="BO29" s="276" t="str">
        <f t="shared" si="21"/>
        <v>-</v>
      </c>
      <c r="BP29" s="302">
        <v>18</v>
      </c>
      <c r="BQ29" s="303">
        <v>2</v>
      </c>
      <c r="BR29" s="276">
        <f t="shared" si="22"/>
        <v>9</v>
      </c>
      <c r="BS29" s="257">
        <v>0</v>
      </c>
      <c r="BT29" s="253">
        <v>0</v>
      </c>
      <c r="BU29" s="276" t="str">
        <f t="shared" si="23"/>
        <v>-</v>
      </c>
      <c r="BV29" s="125">
        <v>4</v>
      </c>
      <c r="BW29" s="126">
        <v>1</v>
      </c>
      <c r="BX29" s="139">
        <f t="shared" si="24"/>
        <v>4</v>
      </c>
      <c r="BY29" s="125">
        <v>0</v>
      </c>
      <c r="BZ29" s="126">
        <v>0</v>
      </c>
      <c r="CA29" s="139" t="str">
        <f t="shared" si="25"/>
        <v>-</v>
      </c>
      <c r="CB29" s="125">
        <v>0</v>
      </c>
      <c r="CC29" s="126">
        <v>0</v>
      </c>
      <c r="CD29" s="139" t="str">
        <f t="shared" si="26"/>
        <v>-</v>
      </c>
      <c r="CE29" s="125">
        <v>6</v>
      </c>
      <c r="CF29" s="126">
        <v>1</v>
      </c>
      <c r="CG29" s="139">
        <f t="shared" si="49"/>
        <v>6</v>
      </c>
      <c r="CH29" s="125">
        <v>0</v>
      </c>
      <c r="CI29" s="126">
        <v>0</v>
      </c>
      <c r="CJ29" s="139" t="str">
        <f t="shared" si="50"/>
        <v>-</v>
      </c>
      <c r="CK29" s="257">
        <v>0</v>
      </c>
      <c r="CL29" s="253">
        <v>0</v>
      </c>
      <c r="CM29" s="276" t="str">
        <f t="shared" si="144"/>
        <v>-</v>
      </c>
      <c r="CN29" s="117">
        <f t="shared" si="38"/>
        <v>322</v>
      </c>
      <c r="CO29" s="120">
        <f t="shared" si="39"/>
        <v>55</v>
      </c>
      <c r="CP29" s="147">
        <f t="shared" si="30"/>
        <v>5.8545454545454545</v>
      </c>
    </row>
    <row r="30" spans="1:94" ht="15" thickBot="1" x14ac:dyDescent="0.35">
      <c r="A30" s="294">
        <v>45773</v>
      </c>
      <c r="B30" s="20">
        <v>42</v>
      </c>
      <c r="C30" s="21">
        <v>5</v>
      </c>
      <c r="D30" s="139">
        <f t="shared" si="0"/>
        <v>8.4</v>
      </c>
      <c r="E30" s="20">
        <v>8</v>
      </c>
      <c r="F30" s="21">
        <v>1</v>
      </c>
      <c r="G30" s="139">
        <v>0</v>
      </c>
      <c r="H30" s="20">
        <v>0</v>
      </c>
      <c r="I30" s="21">
        <v>0</v>
      </c>
      <c r="J30" s="139" t="str">
        <f t="shared" si="2"/>
        <v>-</v>
      </c>
      <c r="K30" s="20">
        <v>33</v>
      </c>
      <c r="L30" s="21">
        <v>4</v>
      </c>
      <c r="M30" s="139">
        <f t="shared" si="3"/>
        <v>8.25</v>
      </c>
      <c r="N30" s="125">
        <v>0</v>
      </c>
      <c r="O30" s="126">
        <v>0</v>
      </c>
      <c r="P30" s="139" t="str">
        <f t="shared" si="4"/>
        <v>-</v>
      </c>
      <c r="Q30" s="125">
        <v>25</v>
      </c>
      <c r="R30" s="126">
        <v>5</v>
      </c>
      <c r="S30" s="139">
        <f t="shared" si="5"/>
        <v>5</v>
      </c>
      <c r="T30" s="125">
        <v>0</v>
      </c>
      <c r="U30" s="126">
        <v>0</v>
      </c>
      <c r="V30" s="139" t="str">
        <f t="shared" si="67"/>
        <v>-</v>
      </c>
      <c r="W30" s="125">
        <v>0</v>
      </c>
      <c r="X30" s="126">
        <v>0</v>
      </c>
      <c r="Y30" s="139" t="str">
        <f t="shared" si="7"/>
        <v>-</v>
      </c>
      <c r="Z30" s="125">
        <v>0</v>
      </c>
      <c r="AA30" s="126">
        <v>0</v>
      </c>
      <c r="AB30" s="139" t="str">
        <f t="shared" si="45"/>
        <v>-</v>
      </c>
      <c r="AC30" s="125">
        <v>0</v>
      </c>
      <c r="AD30" s="126">
        <v>0</v>
      </c>
      <c r="AE30" s="139" t="str">
        <f t="shared" si="68"/>
        <v>-</v>
      </c>
      <c r="AF30" s="125">
        <v>0</v>
      </c>
      <c r="AG30" s="126">
        <v>0</v>
      </c>
      <c r="AH30" s="139" t="str">
        <f t="shared" si="52"/>
        <v>-</v>
      </c>
      <c r="AI30" s="125">
        <v>0</v>
      </c>
      <c r="AJ30" s="126">
        <v>0</v>
      </c>
      <c r="AK30" s="139" t="str">
        <f t="shared" si="53"/>
        <v>-</v>
      </c>
      <c r="AL30" s="125">
        <v>0</v>
      </c>
      <c r="AM30" s="126">
        <v>0</v>
      </c>
      <c r="AN30" s="139" t="str">
        <f t="shared" si="54"/>
        <v>-</v>
      </c>
      <c r="AO30" s="125">
        <v>0</v>
      </c>
      <c r="AP30" s="126">
        <v>0</v>
      </c>
      <c r="AQ30" s="139" t="str">
        <f t="shared" si="55"/>
        <v>-</v>
      </c>
      <c r="AR30" s="125">
        <v>0</v>
      </c>
      <c r="AS30" s="126">
        <v>0</v>
      </c>
      <c r="AT30" s="139" t="str">
        <f t="shared" si="148"/>
        <v>-</v>
      </c>
      <c r="AU30" s="125">
        <v>0</v>
      </c>
      <c r="AV30" s="126">
        <v>0</v>
      </c>
      <c r="AW30" s="139" t="str">
        <f t="shared" si="149"/>
        <v>-</v>
      </c>
      <c r="AX30" s="125">
        <v>0</v>
      </c>
      <c r="AY30" s="126">
        <v>0</v>
      </c>
      <c r="AZ30" s="139" t="str">
        <f t="shared" si="150"/>
        <v>-</v>
      </c>
      <c r="BA30" s="125">
        <v>0</v>
      </c>
      <c r="BB30" s="126">
        <v>0</v>
      </c>
      <c r="BC30" s="139" t="str">
        <f t="shared" si="151"/>
        <v>-</v>
      </c>
      <c r="BD30" s="125">
        <v>0</v>
      </c>
      <c r="BE30" s="126">
        <v>0</v>
      </c>
      <c r="BF30" s="139" t="str">
        <f t="shared" si="18"/>
        <v>-</v>
      </c>
      <c r="BG30" s="125">
        <v>0</v>
      </c>
      <c r="BH30" s="126">
        <v>0</v>
      </c>
      <c r="BI30" s="139" t="str">
        <f t="shared" si="19"/>
        <v>-</v>
      </c>
      <c r="BJ30" s="252">
        <v>19</v>
      </c>
      <c r="BK30" s="253">
        <v>3</v>
      </c>
      <c r="BL30" s="276">
        <f t="shared" si="20"/>
        <v>6.333333333333333</v>
      </c>
      <c r="BM30" s="252">
        <v>0</v>
      </c>
      <c r="BN30" s="253">
        <v>0</v>
      </c>
      <c r="BO30" s="276" t="str">
        <f t="shared" si="21"/>
        <v>-</v>
      </c>
      <c r="BP30" s="302">
        <v>7</v>
      </c>
      <c r="BQ30" s="303">
        <v>1</v>
      </c>
      <c r="BR30" s="276">
        <f t="shared" si="22"/>
        <v>7</v>
      </c>
      <c r="BS30" s="257">
        <v>0</v>
      </c>
      <c r="BT30" s="253">
        <v>0</v>
      </c>
      <c r="BU30" s="276" t="str">
        <f t="shared" si="23"/>
        <v>-</v>
      </c>
      <c r="BV30" s="125">
        <v>0</v>
      </c>
      <c r="BW30" s="126">
        <v>0</v>
      </c>
      <c r="BX30" s="139" t="str">
        <f t="shared" si="24"/>
        <v>-</v>
      </c>
      <c r="BY30" s="125">
        <v>0</v>
      </c>
      <c r="BZ30" s="126">
        <v>0</v>
      </c>
      <c r="CA30" s="139" t="str">
        <f t="shared" si="25"/>
        <v>-</v>
      </c>
      <c r="CB30" s="125">
        <v>0</v>
      </c>
      <c r="CC30" s="126">
        <v>0</v>
      </c>
      <c r="CD30" s="139" t="str">
        <f t="shared" si="26"/>
        <v>-</v>
      </c>
      <c r="CE30" s="125">
        <v>14</v>
      </c>
      <c r="CF30" s="126">
        <v>2</v>
      </c>
      <c r="CG30" s="139">
        <f t="shared" si="49"/>
        <v>7</v>
      </c>
      <c r="CH30" s="125">
        <v>0</v>
      </c>
      <c r="CI30" s="126">
        <v>0</v>
      </c>
      <c r="CJ30" s="139" t="str">
        <f t="shared" si="50"/>
        <v>-</v>
      </c>
      <c r="CK30" s="257">
        <v>0</v>
      </c>
      <c r="CL30" s="253">
        <v>0</v>
      </c>
      <c r="CM30" s="276" t="str">
        <f t="shared" si="144"/>
        <v>-</v>
      </c>
      <c r="CN30" s="117">
        <f t="shared" si="38"/>
        <v>148</v>
      </c>
      <c r="CO30" s="120">
        <f t="shared" si="39"/>
        <v>21</v>
      </c>
      <c r="CP30" s="147">
        <f t="shared" si="30"/>
        <v>7.0476190476190474</v>
      </c>
    </row>
    <row r="31" spans="1:94" ht="15" thickBot="1" x14ac:dyDescent="0.35">
      <c r="A31" s="294">
        <v>45774</v>
      </c>
      <c r="B31" s="20">
        <v>8</v>
      </c>
      <c r="C31" s="21">
        <v>1</v>
      </c>
      <c r="D31" s="139">
        <f t="shared" si="0"/>
        <v>8</v>
      </c>
      <c r="E31" s="20">
        <v>16</v>
      </c>
      <c r="F31" s="21">
        <v>2</v>
      </c>
      <c r="G31" s="139">
        <v>0</v>
      </c>
      <c r="H31" s="20">
        <v>0</v>
      </c>
      <c r="I31" s="21">
        <v>0</v>
      </c>
      <c r="J31" s="139" t="str">
        <f t="shared" si="2"/>
        <v>-</v>
      </c>
      <c r="K31" s="20">
        <v>27</v>
      </c>
      <c r="L31" s="21">
        <v>3</v>
      </c>
      <c r="M31" s="139">
        <f t="shared" si="3"/>
        <v>9</v>
      </c>
      <c r="N31" s="125">
        <v>0</v>
      </c>
      <c r="O31" s="126">
        <v>0</v>
      </c>
      <c r="P31" s="139" t="str">
        <f t="shared" si="4"/>
        <v>-</v>
      </c>
      <c r="Q31" s="125">
        <v>0</v>
      </c>
      <c r="R31" s="126">
        <v>0</v>
      </c>
      <c r="S31" s="139" t="str">
        <f t="shared" si="5"/>
        <v>-</v>
      </c>
      <c r="T31" s="125">
        <v>0</v>
      </c>
      <c r="U31" s="126">
        <v>0</v>
      </c>
      <c r="V31" s="139" t="str">
        <f t="shared" si="67"/>
        <v>-</v>
      </c>
      <c r="W31" s="125">
        <v>0</v>
      </c>
      <c r="X31" s="126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45"/>
        <v>-</v>
      </c>
      <c r="AC31" s="125">
        <v>0</v>
      </c>
      <c r="AD31" s="126">
        <v>0</v>
      </c>
      <c r="AE31" s="139" t="str">
        <f t="shared" si="68"/>
        <v>-</v>
      </c>
      <c r="AF31" s="125">
        <v>0</v>
      </c>
      <c r="AG31" s="126">
        <v>0</v>
      </c>
      <c r="AH31" s="139" t="str">
        <f t="shared" si="52"/>
        <v>-</v>
      </c>
      <c r="AI31" s="125">
        <v>0</v>
      </c>
      <c r="AJ31" s="126">
        <v>0</v>
      </c>
      <c r="AK31" s="139" t="str">
        <f t="shared" si="53"/>
        <v>-</v>
      </c>
      <c r="AL31" s="125">
        <v>0</v>
      </c>
      <c r="AM31" s="126">
        <v>0</v>
      </c>
      <c r="AN31" s="139" t="str">
        <f t="shared" si="54"/>
        <v>-</v>
      </c>
      <c r="AO31" s="125">
        <v>0</v>
      </c>
      <c r="AP31" s="126">
        <v>0</v>
      </c>
      <c r="AQ31" s="139" t="str">
        <f t="shared" si="55"/>
        <v>-</v>
      </c>
      <c r="AR31" s="125">
        <v>0</v>
      </c>
      <c r="AS31" s="126">
        <v>0</v>
      </c>
      <c r="AT31" s="139" t="str">
        <f t="shared" si="148"/>
        <v>-</v>
      </c>
      <c r="AU31" s="125">
        <v>0</v>
      </c>
      <c r="AV31" s="126">
        <v>0</v>
      </c>
      <c r="AW31" s="139" t="str">
        <f t="shared" si="149"/>
        <v>-</v>
      </c>
      <c r="AX31" s="125">
        <v>0</v>
      </c>
      <c r="AY31" s="126">
        <v>0</v>
      </c>
      <c r="AZ31" s="139" t="str">
        <f t="shared" si="150"/>
        <v>-</v>
      </c>
      <c r="BA31" s="125">
        <v>0</v>
      </c>
      <c r="BB31" s="126">
        <v>0</v>
      </c>
      <c r="BC31" s="139" t="str">
        <f t="shared" si="151"/>
        <v>-</v>
      </c>
      <c r="BD31" s="125">
        <v>0</v>
      </c>
      <c r="BE31" s="126">
        <v>0</v>
      </c>
      <c r="BF31" s="139" t="str">
        <f t="shared" si="18"/>
        <v>-</v>
      </c>
      <c r="BG31" s="125">
        <v>0</v>
      </c>
      <c r="BH31" s="126">
        <v>0</v>
      </c>
      <c r="BI31" s="139" t="str">
        <f t="shared" si="19"/>
        <v>-</v>
      </c>
      <c r="BJ31" s="252">
        <v>12</v>
      </c>
      <c r="BK31" s="253">
        <v>2</v>
      </c>
      <c r="BL31" s="276">
        <f t="shared" si="20"/>
        <v>6</v>
      </c>
      <c r="BM31" s="252">
        <v>7</v>
      </c>
      <c r="BN31" s="253">
        <v>1</v>
      </c>
      <c r="BO31" s="276">
        <f t="shared" si="21"/>
        <v>7</v>
      </c>
      <c r="BP31" s="302">
        <v>14</v>
      </c>
      <c r="BQ31" s="303">
        <v>2</v>
      </c>
      <c r="BR31" s="276">
        <f t="shared" si="22"/>
        <v>7</v>
      </c>
      <c r="BS31" s="257">
        <v>6</v>
      </c>
      <c r="BT31" s="253">
        <v>1</v>
      </c>
      <c r="BU31" s="276">
        <f t="shared" si="23"/>
        <v>6</v>
      </c>
      <c r="BV31" s="125">
        <v>2</v>
      </c>
      <c r="BW31" s="126">
        <v>1</v>
      </c>
      <c r="BX31" s="139">
        <f t="shared" si="24"/>
        <v>2</v>
      </c>
      <c r="BY31" s="125">
        <v>0</v>
      </c>
      <c r="BZ31" s="126">
        <v>0</v>
      </c>
      <c r="CA31" s="139" t="str">
        <f t="shared" si="25"/>
        <v>-</v>
      </c>
      <c r="CB31" s="125">
        <v>0</v>
      </c>
      <c r="CC31" s="126">
        <v>0</v>
      </c>
      <c r="CD31" s="139" t="str">
        <f t="shared" si="26"/>
        <v>-</v>
      </c>
      <c r="CE31" s="125">
        <v>6</v>
      </c>
      <c r="CF31" s="126">
        <v>1</v>
      </c>
      <c r="CG31" s="139">
        <f t="shared" si="49"/>
        <v>6</v>
      </c>
      <c r="CH31" s="125">
        <v>0</v>
      </c>
      <c r="CI31" s="126">
        <v>0</v>
      </c>
      <c r="CJ31" s="139" t="str">
        <f t="shared" si="50"/>
        <v>-</v>
      </c>
      <c r="CK31" s="257">
        <v>0</v>
      </c>
      <c r="CL31" s="253">
        <v>0</v>
      </c>
      <c r="CM31" s="276" t="str">
        <f t="shared" si="144"/>
        <v>-</v>
      </c>
      <c r="CN31" s="117">
        <f t="shared" si="38"/>
        <v>98</v>
      </c>
      <c r="CO31" s="120">
        <f t="shared" si="39"/>
        <v>13</v>
      </c>
      <c r="CP31" s="147">
        <f t="shared" si="30"/>
        <v>7.5384615384615383</v>
      </c>
    </row>
    <row r="32" spans="1:94" ht="15" thickBot="1" x14ac:dyDescent="0.35">
      <c r="A32" s="294">
        <v>45775</v>
      </c>
      <c r="B32" s="20">
        <v>0</v>
      </c>
      <c r="C32" s="21">
        <v>0</v>
      </c>
      <c r="D32" s="139" t="str">
        <f t="shared" si="0"/>
        <v>-</v>
      </c>
      <c r="E32" s="20">
        <v>0</v>
      </c>
      <c r="F32" s="21">
        <v>0</v>
      </c>
      <c r="G32" s="139">
        <v>0</v>
      </c>
      <c r="H32" s="20">
        <v>0</v>
      </c>
      <c r="I32" s="21">
        <v>0</v>
      </c>
      <c r="J32" s="139" t="str">
        <f t="shared" si="2"/>
        <v>-</v>
      </c>
      <c r="K32" s="20">
        <v>0</v>
      </c>
      <c r="L32" s="21">
        <v>0</v>
      </c>
      <c r="M32" s="139" t="str">
        <f t="shared" si="3"/>
        <v>-</v>
      </c>
      <c r="N32" s="125"/>
      <c r="O32" s="126"/>
      <c r="P32" s="139" t="str">
        <f t="shared" si="4"/>
        <v>-</v>
      </c>
      <c r="Q32" s="125">
        <v>0</v>
      </c>
      <c r="R32" s="126">
        <v>0</v>
      </c>
      <c r="S32" s="139" t="str">
        <f t="shared" si="5"/>
        <v>-</v>
      </c>
      <c r="T32" s="125">
        <v>0</v>
      </c>
      <c r="U32" s="126">
        <v>0</v>
      </c>
      <c r="V32" s="139" t="str">
        <f t="shared" si="67"/>
        <v>-</v>
      </c>
      <c r="W32" s="125">
        <v>0</v>
      </c>
      <c r="X32" s="126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si="45"/>
        <v>-</v>
      </c>
      <c r="AC32" s="125">
        <v>0</v>
      </c>
      <c r="AD32" s="126">
        <v>0</v>
      </c>
      <c r="AE32" s="139" t="str">
        <f t="shared" si="68"/>
        <v>-</v>
      </c>
      <c r="AF32" s="125">
        <v>0</v>
      </c>
      <c r="AG32" s="126">
        <v>0</v>
      </c>
      <c r="AH32" s="139" t="str">
        <f t="shared" si="52"/>
        <v>-</v>
      </c>
      <c r="AI32" s="125">
        <v>0</v>
      </c>
      <c r="AJ32" s="126">
        <v>0</v>
      </c>
      <c r="AK32" s="139" t="str">
        <f t="shared" si="53"/>
        <v>-</v>
      </c>
      <c r="AL32" s="125">
        <v>0</v>
      </c>
      <c r="AM32" s="126">
        <v>0</v>
      </c>
      <c r="AN32" s="139" t="str">
        <f t="shared" si="54"/>
        <v>-</v>
      </c>
      <c r="AO32" s="125">
        <v>0</v>
      </c>
      <c r="AP32" s="126">
        <v>0</v>
      </c>
      <c r="AQ32" s="139" t="str">
        <f t="shared" si="55"/>
        <v>-</v>
      </c>
      <c r="AR32" s="125">
        <v>0</v>
      </c>
      <c r="AS32" s="126">
        <v>0</v>
      </c>
      <c r="AT32" s="139" t="str">
        <f t="shared" si="148"/>
        <v>-</v>
      </c>
      <c r="AU32" s="125">
        <v>0</v>
      </c>
      <c r="AV32" s="126">
        <v>0</v>
      </c>
      <c r="AW32" s="139" t="str">
        <f t="shared" si="149"/>
        <v>-</v>
      </c>
      <c r="AX32" s="125">
        <v>0</v>
      </c>
      <c r="AY32" s="126">
        <v>0</v>
      </c>
      <c r="AZ32" s="139" t="str">
        <f t="shared" si="150"/>
        <v>-</v>
      </c>
      <c r="BA32" s="125">
        <v>0</v>
      </c>
      <c r="BB32" s="126">
        <v>0</v>
      </c>
      <c r="BC32" s="139" t="str">
        <f t="shared" si="151"/>
        <v>-</v>
      </c>
      <c r="BD32" s="125">
        <v>0</v>
      </c>
      <c r="BE32" s="126">
        <v>0</v>
      </c>
      <c r="BF32" s="139" t="str">
        <f t="shared" si="18"/>
        <v>-</v>
      </c>
      <c r="BG32" s="125">
        <v>0</v>
      </c>
      <c r="BH32" s="126">
        <v>0</v>
      </c>
      <c r="BI32" s="139" t="str">
        <f t="shared" si="19"/>
        <v>-</v>
      </c>
      <c r="BJ32" s="318">
        <v>6</v>
      </c>
      <c r="BK32" s="253">
        <v>1</v>
      </c>
      <c r="BL32" s="276">
        <f t="shared" si="20"/>
        <v>6</v>
      </c>
      <c r="BM32" s="252">
        <v>0</v>
      </c>
      <c r="BN32" s="253">
        <v>0</v>
      </c>
      <c r="BO32" s="276" t="str">
        <f t="shared" si="21"/>
        <v>-</v>
      </c>
      <c r="BP32" s="302">
        <v>0</v>
      </c>
      <c r="BQ32" s="303">
        <v>0</v>
      </c>
      <c r="BR32" s="276" t="str">
        <f t="shared" si="22"/>
        <v>-</v>
      </c>
      <c r="BS32" s="257">
        <v>6</v>
      </c>
      <c r="BT32" s="253">
        <v>1</v>
      </c>
      <c r="BU32" s="276">
        <f t="shared" si="23"/>
        <v>6</v>
      </c>
      <c r="BV32" s="125">
        <v>0</v>
      </c>
      <c r="BW32" s="126">
        <v>0</v>
      </c>
      <c r="BX32" s="139" t="str">
        <f t="shared" si="24"/>
        <v>-</v>
      </c>
      <c r="BY32" s="125"/>
      <c r="BZ32" s="126"/>
      <c r="CA32" s="139" t="str">
        <f t="shared" si="25"/>
        <v>-</v>
      </c>
      <c r="CB32" s="125">
        <v>0</v>
      </c>
      <c r="CC32" s="126">
        <v>0</v>
      </c>
      <c r="CD32" s="139" t="str">
        <f t="shared" si="26"/>
        <v>-</v>
      </c>
      <c r="CE32" s="125">
        <v>0</v>
      </c>
      <c r="CF32" s="126">
        <v>0</v>
      </c>
      <c r="CG32" s="139" t="str">
        <f t="shared" si="49"/>
        <v>-</v>
      </c>
      <c r="CH32" s="125">
        <v>0</v>
      </c>
      <c r="CI32" s="126">
        <v>0</v>
      </c>
      <c r="CJ32" s="139" t="str">
        <f t="shared" si="50"/>
        <v>-</v>
      </c>
      <c r="CK32" s="257">
        <v>0</v>
      </c>
      <c r="CL32" s="253">
        <v>0</v>
      </c>
      <c r="CM32" s="276" t="str">
        <f t="shared" si="144"/>
        <v>-</v>
      </c>
      <c r="CN32" s="117">
        <f t="shared" si="38"/>
        <v>12</v>
      </c>
      <c r="CO32" s="120">
        <f t="shared" si="39"/>
        <v>2</v>
      </c>
      <c r="CP32" s="147">
        <f t="shared" si="30"/>
        <v>6</v>
      </c>
    </row>
    <row r="33" spans="1:94" ht="15" thickBot="1" x14ac:dyDescent="0.35">
      <c r="A33" s="294">
        <v>45776</v>
      </c>
      <c r="B33" s="20">
        <v>45</v>
      </c>
      <c r="C33" s="21">
        <v>8</v>
      </c>
      <c r="D33" s="139">
        <f t="shared" si="0"/>
        <v>5.625</v>
      </c>
      <c r="E33" s="20">
        <v>8</v>
      </c>
      <c r="F33" s="21">
        <v>1</v>
      </c>
      <c r="G33" s="139">
        <v>0</v>
      </c>
      <c r="H33" s="20">
        <v>0</v>
      </c>
      <c r="I33" s="21">
        <v>0</v>
      </c>
      <c r="J33" s="139" t="str">
        <f t="shared" si="2"/>
        <v>-</v>
      </c>
      <c r="K33" s="20">
        <v>25</v>
      </c>
      <c r="L33" s="21">
        <v>3</v>
      </c>
      <c r="M33" s="139">
        <f t="shared" si="3"/>
        <v>8.3333333333333339</v>
      </c>
      <c r="N33" s="125"/>
      <c r="O33" s="126"/>
      <c r="P33" s="139" t="str">
        <f t="shared" si="4"/>
        <v>-</v>
      </c>
      <c r="Q33" s="125">
        <v>66</v>
      </c>
      <c r="R33" s="126">
        <v>18</v>
      </c>
      <c r="S33" s="139">
        <f t="shared" si="5"/>
        <v>3.6666666666666665</v>
      </c>
      <c r="T33" s="125">
        <v>33</v>
      </c>
      <c r="U33" s="126">
        <v>7</v>
      </c>
      <c r="V33" s="139">
        <f t="shared" si="67"/>
        <v>4.7142857142857144</v>
      </c>
      <c r="W33" s="125">
        <v>0</v>
      </c>
      <c r="X33" s="126">
        <v>0</v>
      </c>
      <c r="Y33" s="139" t="str">
        <f t="shared" si="7"/>
        <v>-</v>
      </c>
      <c r="Z33" s="125">
        <v>40</v>
      </c>
      <c r="AA33" s="126">
        <v>8</v>
      </c>
      <c r="AB33" s="139">
        <f t="shared" si="45"/>
        <v>5</v>
      </c>
      <c r="AC33" s="125">
        <v>0</v>
      </c>
      <c r="AD33" s="126">
        <v>0</v>
      </c>
      <c r="AE33" s="139" t="str">
        <f t="shared" ref="AE33" si="152">IF(AD33=0,"-",AC33/AD33)</f>
        <v>-</v>
      </c>
      <c r="AF33" s="125">
        <v>0</v>
      </c>
      <c r="AG33" s="126">
        <v>0</v>
      </c>
      <c r="AH33" s="139" t="str">
        <f t="shared" ref="AH33" si="153">IF(AG33=0,"-",AF33/AG33)</f>
        <v>-</v>
      </c>
      <c r="AI33" s="125">
        <v>0</v>
      </c>
      <c r="AJ33" s="126">
        <v>0</v>
      </c>
      <c r="AK33" s="139" t="str">
        <f t="shared" ref="AK33" si="154">IF(AJ33=0,"-",AI33/AJ33)</f>
        <v>-</v>
      </c>
      <c r="AL33" s="125">
        <v>11</v>
      </c>
      <c r="AM33" s="126">
        <v>2</v>
      </c>
      <c r="AN33" s="139">
        <f t="shared" si="54"/>
        <v>5.5</v>
      </c>
      <c r="AO33" s="125">
        <v>0</v>
      </c>
      <c r="AP33" s="126">
        <v>0</v>
      </c>
      <c r="AQ33" s="139" t="str">
        <f t="shared" si="55"/>
        <v>-</v>
      </c>
      <c r="AR33" s="125">
        <v>0</v>
      </c>
      <c r="AS33" s="126">
        <v>0</v>
      </c>
      <c r="AT33" s="139" t="str">
        <f t="shared" ref="AT33:AT34" si="155">IF(AS33=0,"-",AR33/AS33)</f>
        <v>-</v>
      </c>
      <c r="AU33" s="125">
        <v>0</v>
      </c>
      <c r="AV33" s="126">
        <v>0</v>
      </c>
      <c r="AW33" s="139" t="str">
        <f t="shared" ref="AW33:AW34" si="156">IF(AV33=0,"-",AU33/AV33)</f>
        <v>-</v>
      </c>
      <c r="AX33" s="125">
        <v>0</v>
      </c>
      <c r="AY33" s="126">
        <v>0</v>
      </c>
      <c r="AZ33" s="139" t="str">
        <f t="shared" ref="AZ33:AZ34" si="157">IF(AY33=0,"-",AX33/AY33)</f>
        <v>-</v>
      </c>
      <c r="BA33" s="125">
        <v>0</v>
      </c>
      <c r="BB33" s="126">
        <v>0</v>
      </c>
      <c r="BC33" s="139" t="str">
        <f t="shared" ref="BC33:BC34" si="158">IF(BB33=0,"-",BA33/BB33)</f>
        <v>-</v>
      </c>
      <c r="BD33" s="125">
        <v>0</v>
      </c>
      <c r="BE33" s="126">
        <v>0</v>
      </c>
      <c r="BF33" s="139" t="str">
        <f t="shared" si="18"/>
        <v>-</v>
      </c>
      <c r="BG33" s="125">
        <v>0</v>
      </c>
      <c r="BH33" s="126">
        <v>0</v>
      </c>
      <c r="BI33" s="139" t="str">
        <f t="shared" si="19"/>
        <v>-</v>
      </c>
      <c r="BJ33" s="252">
        <v>7</v>
      </c>
      <c r="BK33" s="253">
        <v>1</v>
      </c>
      <c r="BL33" s="322">
        <v>7</v>
      </c>
      <c r="BM33" s="252">
        <v>0</v>
      </c>
      <c r="BN33" s="253">
        <v>0</v>
      </c>
      <c r="BO33" s="322" t="s">
        <v>90</v>
      </c>
      <c r="BP33" s="302">
        <v>0</v>
      </c>
      <c r="BQ33" s="303">
        <v>0</v>
      </c>
      <c r="BR33" s="321" t="s">
        <v>90</v>
      </c>
      <c r="BS33" s="257">
        <v>6</v>
      </c>
      <c r="BT33" s="253">
        <v>1</v>
      </c>
      <c r="BU33" s="276">
        <f t="shared" si="23"/>
        <v>6</v>
      </c>
      <c r="BV33" s="125">
        <v>0</v>
      </c>
      <c r="BW33" s="126">
        <v>0</v>
      </c>
      <c r="BX33" s="139" t="str">
        <f t="shared" ref="BX33:BX34" si="159">IF(BW33=0,"-",BV33/BW33)</f>
        <v>-</v>
      </c>
      <c r="BY33" s="125"/>
      <c r="BZ33" s="126"/>
      <c r="CA33" s="139" t="str">
        <f t="shared" ref="CA33:CA34" si="160">IF(BZ33=0,"-",BY33/BZ33)</f>
        <v>-</v>
      </c>
      <c r="CB33" s="125">
        <v>0</v>
      </c>
      <c r="CC33" s="126">
        <v>0</v>
      </c>
      <c r="CD33" s="139" t="str">
        <f t="shared" ref="CD33:CD34" si="161">IF(CC33=0,"-",CB33/CC33)</f>
        <v>-</v>
      </c>
      <c r="CE33" s="125">
        <v>0</v>
      </c>
      <c r="CF33" s="126">
        <v>0</v>
      </c>
      <c r="CG33" s="139" t="str">
        <f t="shared" ref="CG33:CG34" si="162">IF(CF33=0,"-",CE33/CF33)</f>
        <v>-</v>
      </c>
      <c r="CH33" s="125">
        <v>0</v>
      </c>
      <c r="CI33" s="126">
        <v>0</v>
      </c>
      <c r="CJ33" s="139" t="str">
        <f t="shared" ref="CJ33:CJ34" si="163">IF(CI33=0,"-",CH33/CI33)</f>
        <v>-</v>
      </c>
      <c r="CK33" s="257">
        <v>0</v>
      </c>
      <c r="CL33" s="253">
        <v>0</v>
      </c>
      <c r="CM33" s="276" t="str">
        <f t="shared" ref="CM33:CM34" si="164">IF(CL33=0,"-",CK33/CL33)</f>
        <v>-</v>
      </c>
      <c r="CN33" s="117">
        <f t="shared" si="38"/>
        <v>241</v>
      </c>
      <c r="CO33" s="120">
        <f t="shared" si="39"/>
        <v>47</v>
      </c>
      <c r="CP33" s="147">
        <f t="shared" si="30"/>
        <v>5.1276595744680851</v>
      </c>
    </row>
    <row r="34" spans="1:94" ht="15" thickBot="1" x14ac:dyDescent="0.35">
      <c r="A34" s="294">
        <v>45777</v>
      </c>
      <c r="B34" s="20">
        <v>51</v>
      </c>
      <c r="C34" s="21">
        <v>7</v>
      </c>
      <c r="D34" s="139">
        <f t="shared" si="0"/>
        <v>7.2857142857142856</v>
      </c>
      <c r="E34" s="20">
        <v>7</v>
      </c>
      <c r="F34" s="21">
        <v>1</v>
      </c>
      <c r="G34" s="139">
        <v>0</v>
      </c>
      <c r="H34" s="20">
        <v>0</v>
      </c>
      <c r="I34" s="21">
        <v>0</v>
      </c>
      <c r="J34" s="139" t="str">
        <f t="shared" si="2"/>
        <v>-</v>
      </c>
      <c r="K34" s="20">
        <v>7</v>
      </c>
      <c r="L34" s="21">
        <v>1</v>
      </c>
      <c r="M34" s="139">
        <f t="shared" si="3"/>
        <v>7</v>
      </c>
      <c r="N34" s="125"/>
      <c r="O34" s="126"/>
      <c r="P34" s="139" t="str">
        <f t="shared" si="4"/>
        <v>-</v>
      </c>
      <c r="Q34" s="125">
        <v>52</v>
      </c>
      <c r="R34" s="126">
        <v>13</v>
      </c>
      <c r="S34" s="139">
        <f t="shared" si="5"/>
        <v>4</v>
      </c>
      <c r="T34" s="125">
        <v>50</v>
      </c>
      <c r="U34" s="126">
        <v>10</v>
      </c>
      <c r="V34" s="139">
        <f t="shared" si="67"/>
        <v>5</v>
      </c>
      <c r="W34" s="125">
        <v>0</v>
      </c>
      <c r="X34" s="126">
        <v>0</v>
      </c>
      <c r="Y34" s="139" t="str">
        <f t="shared" si="7"/>
        <v>-</v>
      </c>
      <c r="Z34" s="125">
        <v>15</v>
      </c>
      <c r="AA34" s="126">
        <v>3</v>
      </c>
      <c r="AB34" s="139">
        <f t="shared" si="45"/>
        <v>5</v>
      </c>
      <c r="AC34" s="125">
        <v>75</v>
      </c>
      <c r="AD34" s="126">
        <v>16</v>
      </c>
      <c r="AE34" s="139">
        <f t="shared" si="68"/>
        <v>4.6875</v>
      </c>
      <c r="AF34" s="125">
        <v>0</v>
      </c>
      <c r="AG34" s="126">
        <v>0</v>
      </c>
      <c r="AH34" s="139" t="str">
        <f t="shared" ref="AH34" si="165">IF(AG34=0,"-",AF34/AG34)</f>
        <v>-</v>
      </c>
      <c r="AI34" s="125">
        <v>0</v>
      </c>
      <c r="AJ34" s="126">
        <v>0</v>
      </c>
      <c r="AK34" s="139" t="str">
        <f t="shared" ref="AK34" si="166">IF(AJ34=0,"-",AI34/AJ34)</f>
        <v>-</v>
      </c>
      <c r="AL34" s="125"/>
      <c r="AM34" s="126"/>
      <c r="AN34" s="139" t="str">
        <f t="shared" si="54"/>
        <v>-</v>
      </c>
      <c r="AO34" s="125"/>
      <c r="AP34" s="126"/>
      <c r="AQ34" s="139" t="str">
        <f t="shared" si="55"/>
        <v>-</v>
      </c>
      <c r="AR34" s="125">
        <v>0</v>
      </c>
      <c r="AS34" s="126">
        <v>0</v>
      </c>
      <c r="AT34" s="139" t="str">
        <f t="shared" si="155"/>
        <v>-</v>
      </c>
      <c r="AU34" s="125">
        <v>0</v>
      </c>
      <c r="AV34" s="126">
        <v>0</v>
      </c>
      <c r="AW34" s="139" t="str">
        <f t="shared" si="156"/>
        <v>-</v>
      </c>
      <c r="AX34" s="125">
        <v>0</v>
      </c>
      <c r="AY34" s="126">
        <v>0</v>
      </c>
      <c r="AZ34" s="139" t="str">
        <f t="shared" si="157"/>
        <v>-</v>
      </c>
      <c r="BA34" s="125">
        <v>0</v>
      </c>
      <c r="BB34" s="126">
        <v>0</v>
      </c>
      <c r="BC34" s="139" t="str">
        <f t="shared" si="158"/>
        <v>-</v>
      </c>
      <c r="BD34" s="125">
        <v>0</v>
      </c>
      <c r="BE34" s="126">
        <v>0</v>
      </c>
      <c r="BF34" s="139" t="str">
        <f t="shared" si="18"/>
        <v>-</v>
      </c>
      <c r="BG34" s="125">
        <v>0</v>
      </c>
      <c r="BH34" s="126">
        <v>0</v>
      </c>
      <c r="BI34" s="139" t="str">
        <f t="shared" si="19"/>
        <v>-</v>
      </c>
      <c r="BJ34" s="252">
        <v>12</v>
      </c>
      <c r="BK34" s="253">
        <v>0</v>
      </c>
      <c r="BL34" s="322" t="s">
        <v>90</v>
      </c>
      <c r="BM34" s="252">
        <v>0</v>
      </c>
      <c r="BN34" s="253">
        <v>0</v>
      </c>
      <c r="BO34" s="322" t="s">
        <v>90</v>
      </c>
      <c r="BP34" s="302">
        <v>0</v>
      </c>
      <c r="BQ34" s="303">
        <v>0</v>
      </c>
      <c r="BR34" s="321" t="s">
        <v>90</v>
      </c>
      <c r="BS34" s="257">
        <v>0</v>
      </c>
      <c r="BT34" s="253">
        <v>0</v>
      </c>
      <c r="BU34" s="276" t="str">
        <f t="shared" si="23"/>
        <v>-</v>
      </c>
      <c r="BV34" s="125">
        <v>0</v>
      </c>
      <c r="BW34" s="126">
        <v>0</v>
      </c>
      <c r="BX34" s="139" t="str">
        <f t="shared" si="159"/>
        <v>-</v>
      </c>
      <c r="BY34" s="125"/>
      <c r="BZ34" s="126"/>
      <c r="CA34" s="139" t="str">
        <f t="shared" si="160"/>
        <v>-</v>
      </c>
      <c r="CB34" s="125">
        <v>0</v>
      </c>
      <c r="CC34" s="126">
        <v>0</v>
      </c>
      <c r="CD34" s="139" t="str">
        <f t="shared" si="161"/>
        <v>-</v>
      </c>
      <c r="CE34" s="125">
        <v>0</v>
      </c>
      <c r="CF34" s="126">
        <v>0</v>
      </c>
      <c r="CG34" s="139" t="str">
        <f t="shared" si="162"/>
        <v>-</v>
      </c>
      <c r="CH34" s="125">
        <v>0</v>
      </c>
      <c r="CI34" s="126">
        <v>0</v>
      </c>
      <c r="CJ34" s="139" t="str">
        <f t="shared" si="163"/>
        <v>-</v>
      </c>
      <c r="CK34" s="257">
        <v>0</v>
      </c>
      <c r="CL34" s="253">
        <v>0</v>
      </c>
      <c r="CM34" s="276" t="str">
        <f t="shared" si="164"/>
        <v>-</v>
      </c>
      <c r="CN34" s="117">
        <f t="shared" si="38"/>
        <v>269</v>
      </c>
      <c r="CO34" s="120">
        <f t="shared" si="39"/>
        <v>51</v>
      </c>
      <c r="CP34" s="147">
        <f t="shared" si="30"/>
        <v>5.2745098039215685</v>
      </c>
    </row>
    <row r="35" spans="1:94" s="41" customFormat="1" ht="15.6" customHeight="1" thickBot="1" x14ac:dyDescent="0.35">
      <c r="A35" s="295" t="s">
        <v>33</v>
      </c>
      <c r="B35" s="43">
        <f>SUM(B5:B34)</f>
        <v>833</v>
      </c>
      <c r="C35" s="43">
        <f>SUM(C5:C34)</f>
        <v>109</v>
      </c>
      <c r="D35" s="44">
        <f>B35/C35</f>
        <v>7.6422018348623855</v>
      </c>
      <c r="E35" s="43">
        <f>SUM(E5:E34)</f>
        <v>157</v>
      </c>
      <c r="F35" s="43">
        <f>SUM(F5:F34)</f>
        <v>21</v>
      </c>
      <c r="G35" s="44">
        <f>E35/F35</f>
        <v>7.4761904761904763</v>
      </c>
      <c r="H35" s="43">
        <f>SUM(H5:H34)</f>
        <v>70</v>
      </c>
      <c r="I35" s="43">
        <f>SUM(I5:I34)</f>
        <v>8</v>
      </c>
      <c r="J35" s="44">
        <f>H35/I35</f>
        <v>8.75</v>
      </c>
      <c r="K35" s="43">
        <f>SUM(K5:K34)</f>
        <v>510</v>
      </c>
      <c r="L35" s="43">
        <f>SUM(L5:L34)</f>
        <v>64</v>
      </c>
      <c r="M35" s="44">
        <f>K35/L35</f>
        <v>7.96875</v>
      </c>
      <c r="N35" s="43">
        <f>SUM(N5:N32)</f>
        <v>0</v>
      </c>
      <c r="O35" s="43">
        <f>SUM(O5:O32)</f>
        <v>0</v>
      </c>
      <c r="P35" s="44" t="e">
        <f>N35/O35</f>
        <v>#DIV/0!</v>
      </c>
      <c r="Q35" s="43">
        <f>SUM(Q5:Q34)</f>
        <v>1755</v>
      </c>
      <c r="R35" s="43">
        <f>SUM(R5:R34)</f>
        <v>416</v>
      </c>
      <c r="S35" s="44">
        <f>Q35/R35</f>
        <v>4.21875</v>
      </c>
      <c r="T35" s="43">
        <f>SUM(T5:T34)</f>
        <v>1586</v>
      </c>
      <c r="U35" s="43">
        <f>SUM(U5:U34)</f>
        <v>284</v>
      </c>
      <c r="V35" s="44">
        <f>T35/U35</f>
        <v>5.584507042253521</v>
      </c>
      <c r="W35" s="43">
        <f>SUM(W5:W32)</f>
        <v>0</v>
      </c>
      <c r="X35" s="43">
        <f>SUM(X5:X32)</f>
        <v>0</v>
      </c>
      <c r="Y35" s="297" t="e">
        <f>W35/X35</f>
        <v>#DIV/0!</v>
      </c>
      <c r="Z35" s="43">
        <f>SUM(Z5:Z34)</f>
        <v>665</v>
      </c>
      <c r="AA35" s="43">
        <f>SUM(AA5:AA34)</f>
        <v>138</v>
      </c>
      <c r="AB35" s="297">
        <f t="shared" ref="AB35" si="167">Z35/AA35</f>
        <v>4.8188405797101446</v>
      </c>
      <c r="AC35" s="43">
        <f>SUM(AC5:AC32)</f>
        <v>180</v>
      </c>
      <c r="AD35" s="43">
        <f>SUM(AD5:AD32)</f>
        <v>38</v>
      </c>
      <c r="AE35" s="297">
        <f t="shared" ref="AE35" si="168">AC35/AD35</f>
        <v>4.7368421052631575</v>
      </c>
      <c r="AF35" s="43">
        <f>SUM(AF5:AF32)</f>
        <v>23</v>
      </c>
      <c r="AG35" s="43">
        <f>SUM(AG5:AG32)</f>
        <v>5</v>
      </c>
      <c r="AH35" s="44">
        <f>AF35/AG35</f>
        <v>4.5999999999999996</v>
      </c>
      <c r="AI35" s="43">
        <f>SUM(AI5:AI32)</f>
        <v>5</v>
      </c>
      <c r="AJ35" s="43">
        <f>SUM(AJ5:AJ32)</f>
        <v>1</v>
      </c>
      <c r="AK35" s="44">
        <f>AI35/AJ35</f>
        <v>5</v>
      </c>
      <c r="AL35" s="43">
        <f>SUM(AL5:AL32)</f>
        <v>24</v>
      </c>
      <c r="AM35" s="43">
        <f>SUM(AM5:AM32)</f>
        <v>4</v>
      </c>
      <c r="AN35" s="44">
        <f>AL35/AM35</f>
        <v>6</v>
      </c>
      <c r="AO35" s="43">
        <f>SUM(AO5:AO32)</f>
        <v>5</v>
      </c>
      <c r="AP35" s="43">
        <f>SUM(AP5:AP32)</f>
        <v>1</v>
      </c>
      <c r="AQ35" s="44">
        <f>AO35/AP35</f>
        <v>5</v>
      </c>
      <c r="AR35" s="43">
        <f>SUM(AR5:AR32)</f>
        <v>44</v>
      </c>
      <c r="AS35" s="43">
        <f>SUM(AS5:AS32)</f>
        <v>9</v>
      </c>
      <c r="AT35" s="44">
        <f>AR35/AS35</f>
        <v>4.8888888888888893</v>
      </c>
      <c r="AU35" s="43">
        <f>SUM(AU5:AU32)</f>
        <v>0</v>
      </c>
      <c r="AV35" s="43">
        <f>SUM(AV5:AV32)</f>
        <v>0</v>
      </c>
      <c r="AW35" s="44" t="e">
        <f>AU35/AV35</f>
        <v>#DIV/0!</v>
      </c>
      <c r="AX35" s="43">
        <f>SUM(AX5:AX32)</f>
        <v>19</v>
      </c>
      <c r="AY35" s="43">
        <f>SUM(AY5:AY32)</f>
        <v>5</v>
      </c>
      <c r="AZ35" s="44">
        <f>AX35/AY35</f>
        <v>3.8</v>
      </c>
      <c r="BA35" s="43">
        <f>SUM(BA5:BA32)</f>
        <v>132</v>
      </c>
      <c r="BB35" s="43">
        <f>SUM(BB5:BB32)</f>
        <v>15</v>
      </c>
      <c r="BC35" s="44">
        <f>BA35/BB35</f>
        <v>8.8000000000000007</v>
      </c>
      <c r="BD35" s="43">
        <f>SUM(BD5:BD32)</f>
        <v>0</v>
      </c>
      <c r="BE35" s="43">
        <f>SUM(BE5:BE32)</f>
        <v>0</v>
      </c>
      <c r="BF35" s="44" t="e">
        <f>BD35/BE35</f>
        <v>#DIV/0!</v>
      </c>
      <c r="BG35" s="43">
        <f>SUM(BG5:BG32)</f>
        <v>0</v>
      </c>
      <c r="BH35" s="43">
        <f>SUM(BH5:BH32)</f>
        <v>0</v>
      </c>
      <c r="BI35" s="44" t="e">
        <f>BG35/BH35</f>
        <v>#DIV/0!</v>
      </c>
      <c r="BJ35" s="43">
        <f>SUM(BJ5:BJ32)</f>
        <v>590</v>
      </c>
      <c r="BK35" s="43">
        <f>SUM(BK5:BK32)</f>
        <v>91</v>
      </c>
      <c r="BL35" s="44">
        <f>BJ35/BK35</f>
        <v>6.4835164835164836</v>
      </c>
      <c r="BM35" s="43">
        <f>SUM(BM5:BM32)</f>
        <v>21</v>
      </c>
      <c r="BN35" s="43">
        <f>SUM(BN5:BN32)</f>
        <v>3</v>
      </c>
      <c r="BO35" s="44">
        <f>BM35/BN35</f>
        <v>7</v>
      </c>
      <c r="BP35" s="43">
        <f>SUM(BP5:BP32)</f>
        <v>94</v>
      </c>
      <c r="BQ35" s="43">
        <f>SUM(BQ5:BQ32)</f>
        <v>13</v>
      </c>
      <c r="BR35" s="44">
        <f>BP35/BQ35</f>
        <v>7.2307692307692308</v>
      </c>
      <c r="BS35" s="43">
        <f>SUM(BS5:BS32)</f>
        <v>72</v>
      </c>
      <c r="BT35" s="43">
        <f>SUM(BT5:BT32)</f>
        <v>11</v>
      </c>
      <c r="BU35" s="44">
        <f>BS35/BT35</f>
        <v>6.5454545454545459</v>
      </c>
      <c r="BV35" s="43">
        <f>SUM(BV5:BV32)</f>
        <v>22</v>
      </c>
      <c r="BW35" s="43">
        <f>SUM(BW5:BW32)</f>
        <v>11</v>
      </c>
      <c r="BX35" s="140">
        <f>IF(BW35=0,"-",BV35/BW35)</f>
        <v>2</v>
      </c>
      <c r="BY35" s="43">
        <f>SUM(BY5:BY32)</f>
        <v>0</v>
      </c>
      <c r="BZ35" s="43">
        <f>SUM(BZ5:BZ32)</f>
        <v>0</v>
      </c>
      <c r="CA35" s="140" t="str">
        <f>IF(BZ35=0,"-",BY35/BZ35)</f>
        <v>-</v>
      </c>
      <c r="CB35" s="43">
        <f>SUM(CB5:CB32)</f>
        <v>9</v>
      </c>
      <c r="CC35" s="43">
        <f>SUM(CC5:CC32)</f>
        <v>3</v>
      </c>
      <c r="CD35" s="140">
        <f>IF(CC35=0,"-",CB35/CC35)</f>
        <v>3</v>
      </c>
      <c r="CE35" s="43">
        <f>SUM(CE5:CE32)</f>
        <v>225</v>
      </c>
      <c r="CF35" s="43">
        <f>SUM(CF5:CF32)</f>
        <v>37</v>
      </c>
      <c r="CG35" s="140">
        <f>IF(CF35=0,"-",CE35/CF35)</f>
        <v>6.0810810810810807</v>
      </c>
      <c r="CH35" s="43">
        <f>SUM(CH5:CH32)</f>
        <v>0</v>
      </c>
      <c r="CI35" s="43">
        <f>SUM(CI5:CI32)</f>
        <v>0</v>
      </c>
      <c r="CJ35" s="140" t="str">
        <f>IF(CI35=0,"-",CH35/CI35)</f>
        <v>-</v>
      </c>
      <c r="CK35" s="43">
        <f>SUM(CK5:CK32)</f>
        <v>2</v>
      </c>
      <c r="CL35" s="43">
        <f>SUM(CL5:CL32)</f>
        <v>1</v>
      </c>
      <c r="CM35" s="140">
        <f>IF(CL35=0,"-",CK35/CL35)</f>
        <v>2</v>
      </c>
      <c r="CN35" s="118">
        <f>SUM(CN5:CN34)</f>
        <v>7154</v>
      </c>
      <c r="CO35" s="118">
        <f>SUM(CO5:CO34)</f>
        <v>1290</v>
      </c>
      <c r="CP35" s="144">
        <f t="shared" si="30"/>
        <v>5.5457364341085276</v>
      </c>
    </row>
    <row r="36" spans="1:94" x14ac:dyDescent="0.3">
      <c r="A36" s="294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BD84-E225-44C0-960C-2BD0E62B2787}">
  <sheetPr>
    <tabColor rgb="FFFF0000"/>
  </sheetPr>
  <dimension ref="A1:CL43"/>
  <sheetViews>
    <sheetView workbookViewId="0"/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106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'April 2025'!B35</f>
        <v>833</v>
      </c>
      <c r="C4" s="68"/>
      <c r="D4" s="95" t="s">
        <v>19</v>
      </c>
      <c r="E4" s="93">
        <f>'April 2025'!AX35</f>
        <v>19</v>
      </c>
      <c r="F4" s="68"/>
      <c r="G4" s="87" t="s">
        <v>24</v>
      </c>
      <c r="H4" s="81">
        <f>'April 2025'!BM35</f>
        <v>21</v>
      </c>
    </row>
    <row r="5" spans="1:90" x14ac:dyDescent="0.3">
      <c r="A5" s="80"/>
      <c r="B5" s="81">
        <f>'April 2025'!C35</f>
        <v>109</v>
      </c>
      <c r="C5" s="68"/>
      <c r="D5" s="85"/>
      <c r="E5" s="81">
        <f>'April 2025'!AY35</f>
        <v>5</v>
      </c>
      <c r="F5" s="68"/>
      <c r="G5" s="87"/>
      <c r="H5" s="81">
        <f>'April 2025'!BN35</f>
        <v>3</v>
      </c>
    </row>
    <row r="6" spans="1:90" x14ac:dyDescent="0.3">
      <c r="A6" s="82"/>
      <c r="B6" s="26">
        <f>'April 2025'!D35</f>
        <v>7.6422018348623855</v>
      </c>
      <c r="C6" s="68"/>
      <c r="D6" s="86"/>
      <c r="E6" s="26">
        <f>'April 2025'!AZ35</f>
        <v>3.8</v>
      </c>
      <c r="F6" s="68"/>
      <c r="G6" s="88"/>
      <c r="H6" s="26">
        <f>'April 2025'!BO35</f>
        <v>7</v>
      </c>
    </row>
    <row r="7" spans="1:90" x14ac:dyDescent="0.3">
      <c r="A7" s="80" t="s">
        <v>9</v>
      </c>
      <c r="B7" s="81">
        <f>'April 2025'!E35</f>
        <v>157</v>
      </c>
      <c r="C7" s="68"/>
      <c r="D7" s="85" t="s">
        <v>20</v>
      </c>
      <c r="E7" s="81">
        <f>'April 2025'!BA35</f>
        <v>132</v>
      </c>
      <c r="F7" s="68"/>
      <c r="G7" s="87" t="s">
        <v>25</v>
      </c>
      <c r="H7" s="151">
        <f>'April 2025'!BP35</f>
        <v>94</v>
      </c>
    </row>
    <row r="8" spans="1:90" x14ac:dyDescent="0.3">
      <c r="A8" s="80"/>
      <c r="B8" s="81">
        <f>'April 2025'!F35</f>
        <v>21</v>
      </c>
      <c r="C8" s="68"/>
      <c r="D8" s="85"/>
      <c r="E8" s="81">
        <f>'April 2025'!BB35</f>
        <v>15</v>
      </c>
      <c r="F8" s="68"/>
      <c r="G8" s="87"/>
      <c r="H8" s="151">
        <f>'April 2025'!BQ35</f>
        <v>13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'April 2025'!G35</f>
        <v>7.4761904761904763</v>
      </c>
      <c r="C9" s="68"/>
      <c r="D9" s="86"/>
      <c r="E9" s="26">
        <f>'April 2025'!BC35</f>
        <v>8.8000000000000007</v>
      </c>
      <c r="F9" s="68"/>
      <c r="G9" s="88"/>
      <c r="H9" s="151">
        <f>'April 2025'!BQ35</f>
        <v>13</v>
      </c>
    </row>
    <row r="10" spans="1:90" x14ac:dyDescent="0.3">
      <c r="A10" s="80" t="s">
        <v>55</v>
      </c>
      <c r="B10" s="81">
        <f>'April 2025'!K35</f>
        <v>510</v>
      </c>
      <c r="C10" s="68"/>
      <c r="D10" s="85" t="s">
        <v>21</v>
      </c>
      <c r="E10" s="81">
        <f>'April 2025'!BD35</f>
        <v>0</v>
      </c>
      <c r="F10" s="68"/>
      <c r="G10" s="87" t="s">
        <v>26</v>
      </c>
      <c r="H10" s="151">
        <f>'April 2025'!BS35</f>
        <v>72</v>
      </c>
    </row>
    <row r="11" spans="1:90" x14ac:dyDescent="0.3">
      <c r="A11" s="80"/>
      <c r="B11" s="81">
        <f>'April 2025'!L35</f>
        <v>64</v>
      </c>
      <c r="C11" s="68"/>
      <c r="D11" s="85"/>
      <c r="E11" s="81">
        <f>'April 2025'!BE35</f>
        <v>0</v>
      </c>
      <c r="F11" s="68"/>
      <c r="G11" s="87"/>
      <c r="H11" s="81">
        <f>'April 2025'!BT35</f>
        <v>11</v>
      </c>
    </row>
    <row r="12" spans="1:90" x14ac:dyDescent="0.3">
      <c r="A12" s="82"/>
      <c r="B12" s="26">
        <f>'April 2025'!M35</f>
        <v>7.96875</v>
      </c>
      <c r="C12" s="68"/>
      <c r="D12" s="86"/>
      <c r="E12" s="81">
        <f>'April 2025'!BF36</f>
        <v>0</v>
      </c>
      <c r="F12" s="68"/>
      <c r="G12" s="88"/>
      <c r="H12" s="26">
        <f>'April 2025'!BU35</f>
        <v>6.5454545454545459</v>
      </c>
    </row>
    <row r="13" spans="1:90" x14ac:dyDescent="0.3">
      <c r="A13" s="80" t="s">
        <v>11</v>
      </c>
      <c r="B13" s="81">
        <f>'April 2025'!Q35</f>
        <v>1755</v>
      </c>
      <c r="C13" s="68"/>
      <c r="D13" s="85" t="s">
        <v>22</v>
      </c>
      <c r="E13" s="81">
        <f>'April 2025'!BG35</f>
        <v>0</v>
      </c>
      <c r="F13" s="68"/>
      <c r="G13" s="87" t="s">
        <v>27</v>
      </c>
      <c r="H13" s="81">
        <f>'April 2025'!BV35</f>
        <v>22</v>
      </c>
    </row>
    <row r="14" spans="1:90" x14ac:dyDescent="0.3">
      <c r="A14" s="80"/>
      <c r="B14" s="81">
        <f>'April 2025'!R35</f>
        <v>416</v>
      </c>
      <c r="C14" s="68"/>
      <c r="D14" s="85"/>
      <c r="E14" s="81">
        <f>'April 2025'!BH35</f>
        <v>0</v>
      </c>
      <c r="F14" s="68"/>
      <c r="G14" s="87"/>
      <c r="H14" s="81">
        <f>'April 2025'!BW35</f>
        <v>11</v>
      </c>
    </row>
    <row r="15" spans="1:90" x14ac:dyDescent="0.3">
      <c r="A15" s="82"/>
      <c r="B15" s="26">
        <f>'April 2025'!S35</f>
        <v>4.21875</v>
      </c>
      <c r="C15" s="68"/>
      <c r="D15" s="85"/>
      <c r="E15" s="26" t="e">
        <f>'April 2025'!BI35</f>
        <v>#DIV/0!</v>
      </c>
      <c r="F15" s="68"/>
      <c r="G15" s="88"/>
      <c r="H15" s="26">
        <f>'April 2025'!BX35</f>
        <v>2</v>
      </c>
    </row>
    <row r="16" spans="1:90" x14ac:dyDescent="0.3">
      <c r="A16" s="80" t="s">
        <v>44</v>
      </c>
      <c r="B16" s="81">
        <f>'April 2025'!T35</f>
        <v>1586</v>
      </c>
      <c r="C16" s="68"/>
      <c r="D16" s="85" t="s">
        <v>45</v>
      </c>
      <c r="E16" s="26">
        <f>'April 2025'!BJ35</f>
        <v>590</v>
      </c>
      <c r="F16" s="68"/>
      <c r="G16" s="96" t="s">
        <v>28</v>
      </c>
      <c r="H16" s="97">
        <f>'April 2025'!CE35</f>
        <v>225</v>
      </c>
    </row>
    <row r="17" spans="1:8" x14ac:dyDescent="0.3">
      <c r="A17" s="80"/>
      <c r="B17" s="81">
        <f>'April 2025'!U35</f>
        <v>284</v>
      </c>
      <c r="C17" s="68"/>
      <c r="D17" s="85"/>
      <c r="E17" s="81">
        <f>'April 2025'!BK35</f>
        <v>91</v>
      </c>
      <c r="F17" s="68"/>
      <c r="G17" s="96"/>
      <c r="H17" s="97">
        <f>'April 2025'!CF35</f>
        <v>37</v>
      </c>
    </row>
    <row r="18" spans="1:8" ht="15" thickBot="1" x14ac:dyDescent="0.35">
      <c r="A18" s="82"/>
      <c r="B18" s="26">
        <f>'April 2025'!V35</f>
        <v>5.584507042253521</v>
      </c>
      <c r="C18" s="68"/>
      <c r="D18" s="102"/>
      <c r="E18" s="149">
        <f>'April 2025'!BL35</f>
        <v>6.4835164835164836</v>
      </c>
      <c r="F18" s="68"/>
      <c r="G18" s="98"/>
      <c r="H18" s="99">
        <f>H16/H17</f>
        <v>6.0810810810810807</v>
      </c>
    </row>
    <row r="19" spans="1:8" x14ac:dyDescent="0.3">
      <c r="A19" s="80" t="s">
        <v>85</v>
      </c>
      <c r="B19" s="81">
        <f>'April 2025'!W35</f>
        <v>0</v>
      </c>
      <c r="C19" s="68"/>
    </row>
    <row r="20" spans="1:8" x14ac:dyDescent="0.3">
      <c r="A20" s="80"/>
      <c r="B20" s="81">
        <f>'April 2025'!X35</f>
        <v>0</v>
      </c>
      <c r="C20" s="68"/>
    </row>
    <row r="21" spans="1:8" x14ac:dyDescent="0.3">
      <c r="A21" s="100"/>
      <c r="B21" s="81">
        <f>'April 2025'!Y335</f>
        <v>0</v>
      </c>
      <c r="C21" s="68"/>
    </row>
    <row r="22" spans="1:8" x14ac:dyDescent="0.3">
      <c r="A22" s="310" t="s">
        <v>86</v>
      </c>
      <c r="B22" s="311">
        <f>'April 2025'!Z35</f>
        <v>665</v>
      </c>
      <c r="C22" s="68"/>
      <c r="D22" s="68"/>
      <c r="E22" s="68"/>
    </row>
    <row r="23" spans="1:8" x14ac:dyDescent="0.3">
      <c r="A23" s="324"/>
      <c r="B23" s="323">
        <f>'April 2025'!AA35</f>
        <v>138</v>
      </c>
      <c r="C23" s="68"/>
      <c r="D23" s="68"/>
      <c r="E23" s="68"/>
    </row>
    <row r="24" spans="1:8" x14ac:dyDescent="0.3">
      <c r="A24" s="325"/>
      <c r="B24" s="274">
        <f>'April 2025'!AB35</f>
        <v>4.8188405797101446</v>
      </c>
      <c r="C24" s="68"/>
      <c r="D24" s="68"/>
      <c r="E24" s="68"/>
    </row>
    <row r="25" spans="1:8" x14ac:dyDescent="0.3">
      <c r="A25" s="325" t="s">
        <v>79</v>
      </c>
      <c r="B25" s="274">
        <f>'April 2025'!AC35</f>
        <v>180</v>
      </c>
      <c r="C25" s="68"/>
      <c r="D25" s="68"/>
      <c r="E25" s="68"/>
    </row>
    <row r="26" spans="1:8" x14ac:dyDescent="0.3">
      <c r="A26" s="325"/>
      <c r="B26" s="274">
        <f>'April 2025'!AD35</f>
        <v>38</v>
      </c>
      <c r="C26" s="68"/>
      <c r="D26" s="68"/>
      <c r="E26" s="68"/>
    </row>
    <row r="27" spans="1:8" x14ac:dyDescent="0.3">
      <c r="A27" s="325"/>
      <c r="B27" s="274">
        <f>'April 2025'!AE35</f>
        <v>4.7368421052631575</v>
      </c>
      <c r="C27" s="68"/>
      <c r="D27" s="68"/>
      <c r="E27" s="68"/>
    </row>
    <row r="28" spans="1:8" x14ac:dyDescent="0.3">
      <c r="A28" s="308" t="s">
        <v>14</v>
      </c>
      <c r="B28" s="309">
        <f>'April 2025'!AC35</f>
        <v>180</v>
      </c>
      <c r="C28" s="68"/>
      <c r="D28" s="68"/>
      <c r="E28" s="68"/>
    </row>
    <row r="29" spans="1:8" x14ac:dyDescent="0.3">
      <c r="A29" s="83"/>
      <c r="B29" s="81">
        <f>'April 2025'!AD35</f>
        <v>38</v>
      </c>
      <c r="C29" s="68"/>
      <c r="D29" s="68"/>
      <c r="E29" s="68"/>
    </row>
    <row r="30" spans="1:8" x14ac:dyDescent="0.3">
      <c r="A30" s="84"/>
      <c r="B30" s="26">
        <f>'April 2025'!AE35</f>
        <v>4.7368421052631575</v>
      </c>
      <c r="C30" s="68"/>
      <c r="D30" s="68"/>
      <c r="E30" s="68"/>
    </row>
    <row r="31" spans="1:8" x14ac:dyDescent="0.3">
      <c r="A31" s="83" t="s">
        <v>15</v>
      </c>
      <c r="B31" s="81">
        <f>'April 2025'!AF35</f>
        <v>23</v>
      </c>
      <c r="C31" s="68"/>
      <c r="F31" s="68"/>
      <c r="G31" s="68"/>
    </row>
    <row r="32" spans="1:8" x14ac:dyDescent="0.3">
      <c r="A32" s="83"/>
      <c r="B32" s="81">
        <f>'April 2025'!AG35</f>
        <v>5</v>
      </c>
      <c r="C32" s="68"/>
      <c r="F32" s="68"/>
      <c r="G32" s="68"/>
    </row>
    <row r="33" spans="1:7" x14ac:dyDescent="0.3">
      <c r="A33" s="84"/>
      <c r="B33" s="275">
        <f>'April 2025'!AH35</f>
        <v>4.5999999999999996</v>
      </c>
      <c r="C33" s="68"/>
      <c r="F33" s="68"/>
      <c r="G33" s="68"/>
    </row>
    <row r="34" spans="1:7" x14ac:dyDescent="0.3">
      <c r="A34" s="83" t="s">
        <v>16</v>
      </c>
      <c r="B34" s="81">
        <f>'April 2025'!AL35</f>
        <v>24</v>
      </c>
      <c r="C34" s="68"/>
      <c r="F34" s="68"/>
      <c r="G34" s="68"/>
    </row>
    <row r="35" spans="1:7" x14ac:dyDescent="0.3">
      <c r="A35" s="83"/>
      <c r="B35" s="81">
        <f>'April 2025'!AM35</f>
        <v>4</v>
      </c>
      <c r="C35" s="68"/>
      <c r="F35" s="68"/>
      <c r="G35" s="68"/>
    </row>
    <row r="36" spans="1:7" x14ac:dyDescent="0.3">
      <c r="A36" s="84"/>
      <c r="B36" s="26">
        <f>'April 2025'!AN35</f>
        <v>6</v>
      </c>
      <c r="C36" s="68"/>
      <c r="F36" s="68"/>
      <c r="G36" s="68"/>
    </row>
    <row r="37" spans="1:7" x14ac:dyDescent="0.3">
      <c r="A37" s="83" t="s">
        <v>17</v>
      </c>
      <c r="B37" s="81">
        <f>'April 2025'!AO35</f>
        <v>5</v>
      </c>
      <c r="C37" s="68"/>
      <c r="F37" s="68"/>
      <c r="G37" s="68"/>
    </row>
    <row r="38" spans="1:7" x14ac:dyDescent="0.3">
      <c r="A38" s="83"/>
      <c r="B38" s="81">
        <f>'April 2025'!AP35</f>
        <v>1</v>
      </c>
      <c r="C38" s="68"/>
      <c r="F38" s="68"/>
      <c r="G38" s="68"/>
    </row>
    <row r="39" spans="1:7" x14ac:dyDescent="0.3">
      <c r="A39" s="84"/>
      <c r="B39" s="26">
        <f>'April 2025'!AQ35</f>
        <v>5</v>
      </c>
      <c r="C39" s="68"/>
      <c r="F39" s="68"/>
      <c r="G39" s="68"/>
    </row>
    <row r="40" spans="1:7" x14ac:dyDescent="0.3">
      <c r="A40" s="83" t="s">
        <v>59</v>
      </c>
      <c r="B40" s="81">
        <f>'April 2025'!AR35</f>
        <v>44</v>
      </c>
      <c r="C40" s="68"/>
      <c r="F40" s="68"/>
      <c r="G40" s="68"/>
    </row>
    <row r="41" spans="1:7" x14ac:dyDescent="0.3">
      <c r="A41" s="83"/>
      <c r="B41" s="81">
        <f>'April 2025'!AS35</f>
        <v>9</v>
      </c>
      <c r="C41" s="68"/>
      <c r="F41" s="68"/>
      <c r="G41" s="68"/>
    </row>
    <row r="42" spans="1:7" ht="15" thickBot="1" x14ac:dyDescent="0.35">
      <c r="A42" s="94"/>
      <c r="B42" s="89">
        <f>'April 2025'!AT35</f>
        <v>4.8888888888888893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D3B3-694A-4DDC-9D1A-1E3A14EB6A95}">
  <dimension ref="A1:CP126"/>
  <sheetViews>
    <sheetView workbookViewId="0">
      <pane xSplit="9" ySplit="11" topLeftCell="CB12" activePane="bottomRight" state="frozen"/>
      <selection pane="topRight" activeCell="J1" sqref="J1"/>
      <selection pane="bottomLeft" activeCell="A12" sqref="A12"/>
      <selection pane="bottomRight"/>
    </sheetView>
  </sheetViews>
  <sheetFormatPr defaultRowHeight="14.4" x14ac:dyDescent="0.3"/>
  <cols>
    <col min="1" max="1" width="32" style="296" customWidth="1"/>
    <col min="2" max="3" width="8.88671875" customWidth="1"/>
    <col min="4" max="9" width="8.88671875" style="2" customWidth="1"/>
    <col min="10" max="10" width="10" style="2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hidden="1" customWidth="1"/>
    <col min="57" max="57" width="9.6640625" hidden="1" customWidth="1"/>
    <col min="58" max="58" width="11.88671875" style="2" hidden="1" customWidth="1"/>
    <col min="59" max="59" width="8.33203125" hidden="1" customWidth="1"/>
    <col min="60" max="60" width="9.6640625" hidden="1" customWidth="1"/>
    <col min="61" max="61" width="11.88671875" style="2" hidden="1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8.88671875" style="2"/>
    <col min="85" max="85" width="8.886718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8.88671875" style="79"/>
    <col min="94" max="94" width="8.88671875" style="2"/>
  </cols>
  <sheetData>
    <row r="1" spans="1:94" ht="18.600000000000001" thickBot="1" x14ac:dyDescent="0.4">
      <c r="A1" s="290" t="s">
        <v>103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328"/>
      <c r="CH3" s="14" t="s">
        <v>26</v>
      </c>
      <c r="CI3" s="14"/>
      <c r="CJ3" s="27"/>
      <c r="CK3" s="14" t="s">
        <v>99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329" t="s">
        <v>31</v>
      </c>
      <c r="CH4" s="16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45778</v>
      </c>
      <c r="B5" s="125">
        <v>0</v>
      </c>
      <c r="C5" s="126">
        <v>0</v>
      </c>
      <c r="D5" s="276" t="str">
        <f t="shared" ref="D5:D35" si="0">IF(C5=0,"-",B5/C5)</f>
        <v>-</v>
      </c>
      <c r="E5" s="125">
        <v>0</v>
      </c>
      <c r="F5" s="126">
        <v>0</v>
      </c>
      <c r="G5" s="276" t="str">
        <f t="shared" ref="G5" si="1">IF(F5=0,"-",E5/F5)</f>
        <v>-</v>
      </c>
      <c r="H5" s="125">
        <v>0</v>
      </c>
      <c r="I5" s="126">
        <v>0</v>
      </c>
      <c r="J5" s="276" t="str">
        <f t="shared" ref="J5" si="2">IF(I5=0,"-",H5/I5)</f>
        <v>-</v>
      </c>
      <c r="K5" s="125">
        <v>0</v>
      </c>
      <c r="L5" s="126">
        <v>0</v>
      </c>
      <c r="M5" s="276" t="str">
        <f t="shared" ref="M5" si="3">IF(L5=0,"-",K5/L5)</f>
        <v>-</v>
      </c>
      <c r="N5" s="20">
        <v>0</v>
      </c>
      <c r="O5" s="21">
        <v>0</v>
      </c>
      <c r="P5" s="139" t="str">
        <f t="shared" ref="P5:P34" si="4">IF(O5=0,"-",N5/O5)</f>
        <v>-</v>
      </c>
      <c r="Q5" s="20">
        <v>8</v>
      </c>
      <c r="R5" s="21">
        <v>2</v>
      </c>
      <c r="S5" s="139">
        <f t="shared" ref="S5:S34" si="5">IF(R5=0,"-",Q5/R5)</f>
        <v>4</v>
      </c>
      <c r="T5" s="20">
        <v>0</v>
      </c>
      <c r="U5" s="21">
        <v>0</v>
      </c>
      <c r="V5" s="139" t="str">
        <f t="shared" ref="V5" si="6">IF(U5=0,"-",T5/U5)</f>
        <v>-</v>
      </c>
      <c r="W5" s="20">
        <v>0</v>
      </c>
      <c r="X5" s="21">
        <v>0</v>
      </c>
      <c r="Y5" s="139" t="str">
        <f t="shared" ref="Y5" si="7">IF(X5=0,"-",W5/X5)</f>
        <v>-</v>
      </c>
      <c r="Z5" s="20">
        <v>0</v>
      </c>
      <c r="AA5" s="21">
        <v>0</v>
      </c>
      <c r="AB5" s="139" t="str">
        <f t="shared" ref="AB5" si="8">IF(AA5=0,"-",Z5/AA5)</f>
        <v>-</v>
      </c>
      <c r="AC5" s="20">
        <v>0</v>
      </c>
      <c r="AD5" s="21">
        <v>0</v>
      </c>
      <c r="AE5" s="139" t="str">
        <f t="shared" ref="AE5" si="9">IF(AD5=0,"-",AC5/AD5)</f>
        <v>-</v>
      </c>
      <c r="AF5" s="20">
        <v>0</v>
      </c>
      <c r="AG5" s="21">
        <v>0</v>
      </c>
      <c r="AH5" s="139" t="str">
        <f t="shared" ref="AH5" si="10">IF(AG5=0,"-",AF5/AG5)</f>
        <v>-</v>
      </c>
      <c r="AI5" s="20">
        <v>0</v>
      </c>
      <c r="AJ5" s="21">
        <v>0</v>
      </c>
      <c r="AK5" s="139" t="str">
        <f t="shared" ref="AK5" si="11">IF(AJ5=0,"-",AI5/AJ5)</f>
        <v>-</v>
      </c>
      <c r="AL5" s="20">
        <v>0</v>
      </c>
      <c r="AM5" s="21">
        <v>0</v>
      </c>
      <c r="AN5" s="139" t="str">
        <f t="shared" ref="AN5" si="12">IF(AM5=0,"-",AL5/AM5)</f>
        <v>-</v>
      </c>
      <c r="AO5" s="20">
        <v>0</v>
      </c>
      <c r="AP5" s="21">
        <v>0</v>
      </c>
      <c r="AQ5" s="139" t="str">
        <f t="shared" ref="AQ5" si="13">IF(AP5=0,"-",AO5/AP5)</f>
        <v>-</v>
      </c>
      <c r="AR5" s="20">
        <v>0</v>
      </c>
      <c r="AS5" s="21">
        <v>0</v>
      </c>
      <c r="AT5" s="139" t="str">
        <f t="shared" ref="AT5:AT8" si="14">IF(AS5=0,"-",AR5/AS5)</f>
        <v>-</v>
      </c>
      <c r="AU5" s="20">
        <v>0</v>
      </c>
      <c r="AV5" s="21">
        <v>0</v>
      </c>
      <c r="AW5" s="139" t="str">
        <f t="shared" ref="AW5:AW8" si="15">IF(AV5=0,"-",AU5/AV5)</f>
        <v>-</v>
      </c>
      <c r="AX5" s="20">
        <v>0</v>
      </c>
      <c r="AY5" s="21">
        <v>0</v>
      </c>
      <c r="AZ5" s="139" t="str">
        <f t="shared" ref="AZ5:AZ8" si="16">IF(AY5=0,"-",AX5/AY5)</f>
        <v>-</v>
      </c>
      <c r="BA5" s="20">
        <v>0</v>
      </c>
      <c r="BB5" s="21">
        <v>0</v>
      </c>
      <c r="BC5" s="139" t="str">
        <f t="shared" ref="BC5:BC8" si="17">IF(BB5=0,"-",BA5/BB5)</f>
        <v>-</v>
      </c>
      <c r="BD5" s="20">
        <v>0</v>
      </c>
      <c r="BE5" s="21">
        <v>0</v>
      </c>
      <c r="BF5" s="139" t="str">
        <f t="shared" ref="BF5:BF34" si="18">IF(BE5=0,"-",BD5/BE5)</f>
        <v>-</v>
      </c>
      <c r="BG5" s="20">
        <v>0</v>
      </c>
      <c r="BH5" s="21">
        <v>0</v>
      </c>
      <c r="BI5" s="276" t="str">
        <f t="shared" ref="BI5:BI34" si="19">IF(BH5=0,"-",BG5/BH5)</f>
        <v>-</v>
      </c>
      <c r="BJ5" s="250">
        <v>20</v>
      </c>
      <c r="BK5" s="251">
        <v>3</v>
      </c>
      <c r="BL5" s="276">
        <f t="shared" ref="BL5:BL34" si="20">IF(BK5=0,"-",BJ5/BK5)</f>
        <v>6.666666666666667</v>
      </c>
      <c r="BM5" s="250">
        <v>0</v>
      </c>
      <c r="BN5" s="251">
        <v>0</v>
      </c>
      <c r="BO5" s="276" t="str">
        <f t="shared" ref="BO5:BO33" si="21">IF(BN5=0,"-",BM5/BN5)</f>
        <v>-</v>
      </c>
      <c r="BP5" s="250">
        <v>0</v>
      </c>
      <c r="BQ5" s="251">
        <v>0</v>
      </c>
      <c r="BR5" s="276" t="str">
        <f t="shared" ref="BR5:BR33" si="22">IF(BQ5=0,"-",BP5/BQ5)</f>
        <v>-</v>
      </c>
      <c r="BS5" s="250">
        <v>0</v>
      </c>
      <c r="BT5" s="251">
        <v>0</v>
      </c>
      <c r="BU5" s="276" t="str">
        <f t="shared" ref="BU5:BU34" si="23">IF(BT5=0,"-",BS5/BT5)</f>
        <v>-</v>
      </c>
      <c r="BV5" s="250">
        <v>0</v>
      </c>
      <c r="BW5" s="251">
        <v>0</v>
      </c>
      <c r="BX5" s="276" t="str">
        <f t="shared" ref="BX5:BX6" si="24">IF(BW5=0,"-",BV5/BW5)</f>
        <v>-</v>
      </c>
      <c r="BY5" s="250">
        <v>0</v>
      </c>
      <c r="BZ5" s="251">
        <v>0</v>
      </c>
      <c r="CA5" s="276" t="str">
        <f t="shared" ref="CA5:CA6" si="25">IF(BZ5=0,"-",BY5/BZ5)</f>
        <v>-</v>
      </c>
      <c r="CB5" s="250">
        <v>0</v>
      </c>
      <c r="CC5" s="251">
        <v>0</v>
      </c>
      <c r="CD5" s="276" t="str">
        <f t="shared" ref="CD5:CD6" si="26">IF(CC5=0,"-",CB5/CC5)</f>
        <v>-</v>
      </c>
      <c r="CE5" s="250">
        <v>0</v>
      </c>
      <c r="CF5" s="251">
        <v>0</v>
      </c>
      <c r="CG5" s="276" t="str">
        <f t="shared" ref="CG5:CG6" si="27">IF(CF5=0,"-",CE5/CF5)</f>
        <v>-</v>
      </c>
      <c r="CH5" s="250">
        <v>0</v>
      </c>
      <c r="CI5" s="251">
        <v>0</v>
      </c>
      <c r="CJ5" s="276" t="str">
        <f t="shared" ref="CJ5:CJ6" si="28">IF(CI5=0,"-",CH5/CI5)</f>
        <v>-</v>
      </c>
      <c r="CK5" s="250">
        <v>0</v>
      </c>
      <c r="CL5" s="251">
        <v>0</v>
      </c>
      <c r="CM5" s="276" t="str">
        <f t="shared" ref="CM5:CM6" si="29">IF(CL5=0,"-",CK5/CL5)</f>
        <v>-</v>
      </c>
      <c r="CN5" s="117">
        <f>SUM(B5,E5,H5,K5,Q5,T5,W5,Z5,AC5,AF5,AI5,AL5,AO5,AR5,AX5,BA5,BG5,BJ5,BM5,BP5,BS5,BV5,BY5,CB5,CE5,CH5,CK5)</f>
        <v>28</v>
      </c>
      <c r="CO5" s="120">
        <f>C5+F5+I5+L5+R5+U5+X5+AA5+AD5+AG5+AJ5+AS5+AV5+AY5+BB5+BE5+BH5+BK5+BN5+BQ5+BT5+CC5+CF5+CI5+CL5</f>
        <v>5</v>
      </c>
      <c r="CP5" s="147">
        <f t="shared" ref="CP5:CP36" si="30">IF(CO5=0,"",CN5/CO5)</f>
        <v>5.6</v>
      </c>
    </row>
    <row r="6" spans="1:94" ht="15" thickBot="1" x14ac:dyDescent="0.35">
      <c r="A6" s="294">
        <v>45779</v>
      </c>
      <c r="B6" s="20">
        <v>20</v>
      </c>
      <c r="C6" s="21">
        <v>3</v>
      </c>
      <c r="D6" s="139">
        <f t="shared" si="0"/>
        <v>6.666666666666667</v>
      </c>
      <c r="E6" s="20">
        <v>4</v>
      </c>
      <c r="F6" s="21">
        <v>1</v>
      </c>
      <c r="G6" s="139">
        <f t="shared" ref="G6:G35" si="31">IF(F6=0,"-",E6/F6)</f>
        <v>4</v>
      </c>
      <c r="H6" s="20">
        <v>0</v>
      </c>
      <c r="I6" s="21">
        <v>0</v>
      </c>
      <c r="J6" s="139" t="str">
        <f t="shared" ref="J6:J34" si="32">IF(I6=0,"-",H6/I6)</f>
        <v>-</v>
      </c>
      <c r="K6" s="20">
        <v>13</v>
      </c>
      <c r="L6" s="21">
        <v>2</v>
      </c>
      <c r="M6" s="139">
        <f t="shared" ref="M6:M34" si="33">IF(L6=0,"-",K6/L6)</f>
        <v>6.5</v>
      </c>
      <c r="N6" s="20">
        <v>0</v>
      </c>
      <c r="O6" s="21">
        <v>0</v>
      </c>
      <c r="P6" s="139" t="str">
        <f t="shared" si="4"/>
        <v>-</v>
      </c>
      <c r="Q6" s="20">
        <v>42</v>
      </c>
      <c r="R6" s="21">
        <v>11</v>
      </c>
      <c r="S6" s="139">
        <f t="shared" si="5"/>
        <v>3.8181818181818183</v>
      </c>
      <c r="T6" s="20">
        <v>0</v>
      </c>
      <c r="U6" s="21">
        <v>0</v>
      </c>
      <c r="V6" s="139" t="str">
        <f t="shared" ref="V6:V34" si="34">IF(U6=0,"-",T6/U6)</f>
        <v>-</v>
      </c>
      <c r="W6" s="20">
        <v>0</v>
      </c>
      <c r="X6" s="21">
        <v>0</v>
      </c>
      <c r="Y6" s="139" t="str">
        <f t="shared" ref="Y6:Y35" si="35">IF(X6=0,"-",W6/X6)</f>
        <v>-</v>
      </c>
      <c r="Z6" s="20">
        <v>0</v>
      </c>
      <c r="AA6" s="21">
        <v>0</v>
      </c>
      <c r="AB6" s="139" t="str">
        <f t="shared" ref="AB6:AB8" si="36">IF(AA6=0,"-",Z6/AA6)</f>
        <v>-</v>
      </c>
      <c r="AC6" s="20">
        <v>0</v>
      </c>
      <c r="AD6" s="21">
        <v>0</v>
      </c>
      <c r="AE6" s="139" t="str">
        <f t="shared" ref="AE6:AE26" si="37">IF(AD6=0,"-",AC6/AD6)</f>
        <v>-</v>
      </c>
      <c r="AF6" s="20">
        <v>0</v>
      </c>
      <c r="AG6" s="21">
        <v>0</v>
      </c>
      <c r="AH6" s="139" t="str">
        <f t="shared" ref="AH6:AH24" si="38">IF(AG6=0,"-",AF6/AG6)</f>
        <v>-</v>
      </c>
      <c r="AI6" s="20">
        <v>0</v>
      </c>
      <c r="AJ6" s="21">
        <v>0</v>
      </c>
      <c r="AK6" s="139" t="str">
        <f t="shared" ref="AK6:AK24" si="39">IF(AJ6=0,"-",AI6/AJ6)</f>
        <v>-</v>
      </c>
      <c r="AL6" s="20">
        <v>0</v>
      </c>
      <c r="AM6" s="21">
        <v>0</v>
      </c>
      <c r="AN6" s="139" t="str">
        <f t="shared" ref="AN6:AN31" si="40">IF(AM6=0,"-",AL6/AM6)</f>
        <v>-</v>
      </c>
      <c r="AO6" s="20">
        <v>0</v>
      </c>
      <c r="AP6" s="21">
        <v>0</v>
      </c>
      <c r="AQ6" s="139" t="str">
        <f t="shared" ref="AQ6:AQ35" si="41">IF(AP6=0,"-",AO6/AP6)</f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276" t="str">
        <f t="shared" si="19"/>
        <v>-</v>
      </c>
      <c r="BJ6" s="252">
        <v>8</v>
      </c>
      <c r="BK6" s="253">
        <v>1</v>
      </c>
      <c r="BL6" s="276">
        <f t="shared" si="20"/>
        <v>8</v>
      </c>
      <c r="BM6" s="252">
        <v>0</v>
      </c>
      <c r="BN6" s="253">
        <v>0</v>
      </c>
      <c r="BO6" s="276" t="str">
        <f t="shared" si="21"/>
        <v>-</v>
      </c>
      <c r="BP6" s="252">
        <v>0</v>
      </c>
      <c r="BQ6" s="253">
        <v>0</v>
      </c>
      <c r="BR6" s="276" t="str">
        <f t="shared" si="22"/>
        <v>-</v>
      </c>
      <c r="BS6" s="252">
        <v>0</v>
      </c>
      <c r="BT6" s="253">
        <v>0</v>
      </c>
      <c r="BU6" s="276" t="str">
        <f t="shared" si="23"/>
        <v>-</v>
      </c>
      <c r="BV6" s="252">
        <v>0</v>
      </c>
      <c r="BW6" s="253">
        <v>0</v>
      </c>
      <c r="BX6" s="276" t="str">
        <f t="shared" si="24"/>
        <v>-</v>
      </c>
      <c r="BY6" s="252">
        <v>0</v>
      </c>
      <c r="BZ6" s="253">
        <v>0</v>
      </c>
      <c r="CA6" s="276" t="str">
        <f t="shared" si="25"/>
        <v>-</v>
      </c>
      <c r="CB6" s="252">
        <v>0</v>
      </c>
      <c r="CC6" s="253">
        <v>0</v>
      </c>
      <c r="CD6" s="276" t="str">
        <f t="shared" si="26"/>
        <v>-</v>
      </c>
      <c r="CE6" s="252">
        <v>0</v>
      </c>
      <c r="CF6" s="253">
        <v>0</v>
      </c>
      <c r="CG6" s="276" t="str">
        <f t="shared" si="27"/>
        <v>-</v>
      </c>
      <c r="CH6" s="252">
        <v>0</v>
      </c>
      <c r="CI6" s="253">
        <v>0</v>
      </c>
      <c r="CJ6" s="276" t="str">
        <f t="shared" si="28"/>
        <v>-</v>
      </c>
      <c r="CK6" s="252">
        <v>0</v>
      </c>
      <c r="CL6" s="253">
        <v>0</v>
      </c>
      <c r="CM6" s="276" t="str">
        <f t="shared" si="29"/>
        <v>-</v>
      </c>
      <c r="CN6" s="117">
        <f t="shared" ref="CN6:CN34" si="42">SUM(B6,E6,H6,K6,Q6,T6,W6,Z6,AC6,AF6,AI6,AL6,AO6,AR6,AX6,BA6,BG6,BJ6,BM6,BP6,BS6,BV6,BY6,CB6,CE6,CH6,CK6)</f>
        <v>87</v>
      </c>
      <c r="CO6" s="120">
        <f t="shared" ref="CO6:CO34" si="43">C6+F6+I6+L6+R6+U6+X6+AA6+AD6+AG6+AJ6+AS6+AV6+AY6+BB6+BE6+BH6+BK6+BN6+BQ6+BT6+CC6+CF6+CI6+CL6</f>
        <v>18</v>
      </c>
      <c r="CP6" s="147">
        <f t="shared" si="30"/>
        <v>4.833333333333333</v>
      </c>
    </row>
    <row r="7" spans="1:94" ht="15" thickBot="1" x14ac:dyDescent="0.35">
      <c r="A7" s="294">
        <v>45780</v>
      </c>
      <c r="B7" s="20">
        <v>0</v>
      </c>
      <c r="C7" s="21">
        <v>0</v>
      </c>
      <c r="D7" s="139" t="str">
        <f t="shared" si="0"/>
        <v>-</v>
      </c>
      <c r="E7" s="20">
        <v>0</v>
      </c>
      <c r="F7" s="21">
        <v>0</v>
      </c>
      <c r="G7" s="139" t="str">
        <f t="shared" si="31"/>
        <v>-</v>
      </c>
      <c r="H7" s="20">
        <v>0</v>
      </c>
      <c r="I7" s="21">
        <v>0</v>
      </c>
      <c r="J7" s="139" t="str">
        <f t="shared" si="32"/>
        <v>-</v>
      </c>
      <c r="K7" s="20">
        <v>0</v>
      </c>
      <c r="L7" s="21">
        <v>0</v>
      </c>
      <c r="M7" s="139" t="str">
        <f t="shared" si="33"/>
        <v>-</v>
      </c>
      <c r="N7" s="20">
        <v>0</v>
      </c>
      <c r="O7" s="21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si="5"/>
        <v>-</v>
      </c>
      <c r="T7" s="20">
        <v>0</v>
      </c>
      <c r="U7" s="21">
        <v>0</v>
      </c>
      <c r="V7" s="139" t="str">
        <f t="shared" si="34"/>
        <v>-</v>
      </c>
      <c r="W7" s="20">
        <v>0</v>
      </c>
      <c r="X7" s="21">
        <v>0</v>
      </c>
      <c r="Y7" s="139" t="str">
        <f t="shared" si="35"/>
        <v>-</v>
      </c>
      <c r="Z7" s="20">
        <v>0</v>
      </c>
      <c r="AA7" s="21">
        <v>0</v>
      </c>
      <c r="AB7" s="139" t="str">
        <f t="shared" si="36"/>
        <v>-</v>
      </c>
      <c r="AC7" s="20">
        <v>0</v>
      </c>
      <c r="AD7" s="21">
        <v>0</v>
      </c>
      <c r="AE7" s="139" t="str">
        <f t="shared" si="37"/>
        <v>-</v>
      </c>
      <c r="AF7" s="20">
        <v>0</v>
      </c>
      <c r="AG7" s="21">
        <v>0</v>
      </c>
      <c r="AH7" s="139" t="str">
        <f t="shared" si="38"/>
        <v>-</v>
      </c>
      <c r="AI7" s="20">
        <v>0</v>
      </c>
      <c r="AJ7" s="21">
        <v>0</v>
      </c>
      <c r="AK7" s="139" t="str">
        <f t="shared" si="39"/>
        <v>-</v>
      </c>
      <c r="AL7" s="20">
        <v>0</v>
      </c>
      <c r="AM7" s="21">
        <v>0</v>
      </c>
      <c r="AN7" s="139" t="str">
        <f t="shared" si="40"/>
        <v>-</v>
      </c>
      <c r="AO7" s="20">
        <v>0</v>
      </c>
      <c r="AP7" s="21">
        <v>0</v>
      </c>
      <c r="AQ7" s="139" t="str">
        <f t="shared" si="41"/>
        <v>-</v>
      </c>
      <c r="AR7" s="20">
        <v>0</v>
      </c>
      <c r="AS7" s="21">
        <v>0</v>
      </c>
      <c r="AT7" s="139" t="str">
        <f t="shared" si="14"/>
        <v>-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276" t="str">
        <f t="shared" si="19"/>
        <v>-</v>
      </c>
      <c r="BJ7" s="252">
        <v>24</v>
      </c>
      <c r="BK7" s="253">
        <v>4</v>
      </c>
      <c r="BL7" s="276">
        <f t="shared" si="20"/>
        <v>6</v>
      </c>
      <c r="BM7" s="252">
        <v>0</v>
      </c>
      <c r="BN7" s="253">
        <v>0</v>
      </c>
      <c r="BO7" s="276" t="str">
        <f t="shared" si="21"/>
        <v>-</v>
      </c>
      <c r="BP7" s="252">
        <v>0</v>
      </c>
      <c r="BQ7" s="253">
        <v>0</v>
      </c>
      <c r="BR7" s="276" t="str">
        <f t="shared" si="22"/>
        <v>-</v>
      </c>
      <c r="BS7" s="252">
        <v>6</v>
      </c>
      <c r="BT7" s="253">
        <v>1</v>
      </c>
      <c r="BU7" s="276">
        <f t="shared" si="23"/>
        <v>6</v>
      </c>
      <c r="BV7" s="125">
        <v>2</v>
      </c>
      <c r="BW7" s="126">
        <v>1</v>
      </c>
      <c r="BX7" s="276">
        <f t="shared" ref="BX7:BX31" si="44">IF(BW7=0,"-",BV7/BW7)</f>
        <v>2</v>
      </c>
      <c r="BY7" s="125">
        <v>0</v>
      </c>
      <c r="BZ7" s="126">
        <v>0</v>
      </c>
      <c r="CA7" s="276" t="str">
        <f t="shared" ref="CA7:CA31" si="45">IF(BZ7=0,"-",BY7/BZ7)</f>
        <v>-</v>
      </c>
      <c r="CB7" s="125">
        <v>1</v>
      </c>
      <c r="CC7" s="126">
        <v>1</v>
      </c>
      <c r="CD7" s="276">
        <f t="shared" ref="CD7:CD35" si="46">IF(CC7=0,"-",CB7/CC7)</f>
        <v>1</v>
      </c>
      <c r="CE7" s="252">
        <v>0</v>
      </c>
      <c r="CF7" s="253">
        <v>0</v>
      </c>
      <c r="CG7" s="276" t="str">
        <f t="shared" ref="CG7:CG10" si="47">IF(CF7=0,"-",CE7/CF7)</f>
        <v>-</v>
      </c>
      <c r="CH7" s="252">
        <v>0</v>
      </c>
      <c r="CI7" s="253">
        <v>0</v>
      </c>
      <c r="CJ7" s="276" t="str">
        <f t="shared" ref="CJ7:CJ10" si="48">IF(CI7=0,"-",CH7/CI7)</f>
        <v>-</v>
      </c>
      <c r="CK7" s="252">
        <v>0</v>
      </c>
      <c r="CL7" s="253">
        <v>0</v>
      </c>
      <c r="CM7" s="276" t="str">
        <f t="shared" ref="CM7:CM10" si="49">IF(CL7=0,"-",CK7/CL7)</f>
        <v>-</v>
      </c>
      <c r="CN7" s="117">
        <f t="shared" si="42"/>
        <v>33</v>
      </c>
      <c r="CO7" s="120">
        <f t="shared" si="43"/>
        <v>6</v>
      </c>
      <c r="CP7" s="147">
        <f t="shared" si="30"/>
        <v>5.5</v>
      </c>
    </row>
    <row r="8" spans="1:94" ht="15" thickBot="1" x14ac:dyDescent="0.35">
      <c r="A8" s="294">
        <v>45781</v>
      </c>
      <c r="B8" s="20">
        <v>0</v>
      </c>
      <c r="C8" s="21">
        <v>0</v>
      </c>
      <c r="D8" s="139" t="str">
        <f t="shared" ref="D8" si="50">IF(C8=0,"-",B8/C8)</f>
        <v>-</v>
      </c>
      <c r="E8" s="20">
        <v>0</v>
      </c>
      <c r="F8" s="21">
        <v>0</v>
      </c>
      <c r="G8" s="139" t="str">
        <f t="shared" si="31"/>
        <v>-</v>
      </c>
      <c r="H8" s="20">
        <v>0</v>
      </c>
      <c r="I8" s="21">
        <v>0</v>
      </c>
      <c r="J8" s="139" t="str">
        <f t="shared" si="32"/>
        <v>-</v>
      </c>
      <c r="K8" s="20">
        <v>0</v>
      </c>
      <c r="L8" s="21">
        <v>0</v>
      </c>
      <c r="M8" s="139" t="str">
        <f t="shared" si="33"/>
        <v>-</v>
      </c>
      <c r="N8" s="20">
        <v>0</v>
      </c>
      <c r="O8" s="21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0</v>
      </c>
      <c r="U8" s="21">
        <v>0</v>
      </c>
      <c r="V8" s="139" t="str">
        <f t="shared" si="34"/>
        <v>-</v>
      </c>
      <c r="W8" s="20">
        <v>0</v>
      </c>
      <c r="X8" s="21">
        <v>0</v>
      </c>
      <c r="Y8" s="139" t="str">
        <f t="shared" si="35"/>
        <v>-</v>
      </c>
      <c r="Z8" s="20">
        <v>0</v>
      </c>
      <c r="AA8" s="21">
        <v>0</v>
      </c>
      <c r="AB8" s="139" t="str">
        <f t="shared" si="36"/>
        <v>-</v>
      </c>
      <c r="AC8" s="20">
        <v>0</v>
      </c>
      <c r="AD8" s="21">
        <v>0</v>
      </c>
      <c r="AE8" s="139" t="str">
        <f t="shared" si="37"/>
        <v>-</v>
      </c>
      <c r="AF8" s="20">
        <v>0</v>
      </c>
      <c r="AG8" s="21">
        <v>0</v>
      </c>
      <c r="AH8" s="139" t="str">
        <f t="shared" si="38"/>
        <v>-</v>
      </c>
      <c r="AI8" s="20">
        <v>0</v>
      </c>
      <c r="AJ8" s="21">
        <v>0</v>
      </c>
      <c r="AK8" s="139" t="str">
        <f t="shared" si="39"/>
        <v>-</v>
      </c>
      <c r="AL8" s="20">
        <v>0</v>
      </c>
      <c r="AM8" s="21">
        <v>0</v>
      </c>
      <c r="AN8" s="139" t="str">
        <f t="shared" si="40"/>
        <v>-</v>
      </c>
      <c r="AO8" s="20">
        <v>0</v>
      </c>
      <c r="AP8" s="21">
        <v>0</v>
      </c>
      <c r="AQ8" s="139" t="str">
        <f t="shared" si="41"/>
        <v>-</v>
      </c>
      <c r="AR8" s="20">
        <v>0</v>
      </c>
      <c r="AS8" s="21">
        <v>0</v>
      </c>
      <c r="AT8" s="139" t="str">
        <f t="shared" si="14"/>
        <v>-</v>
      </c>
      <c r="AU8" s="20">
        <v>0</v>
      </c>
      <c r="AV8" s="21">
        <v>0</v>
      </c>
      <c r="AW8" s="139" t="str">
        <f t="shared" si="15"/>
        <v>-</v>
      </c>
      <c r="AX8" s="20">
        <v>0</v>
      </c>
      <c r="AY8" s="21">
        <v>0</v>
      </c>
      <c r="AZ8" s="139" t="str">
        <f t="shared" si="16"/>
        <v>-</v>
      </c>
      <c r="BA8" s="20">
        <v>0</v>
      </c>
      <c r="BB8" s="21">
        <v>0</v>
      </c>
      <c r="BC8" s="139" t="str">
        <f t="shared" si="17"/>
        <v>-</v>
      </c>
      <c r="BD8" s="20">
        <v>0</v>
      </c>
      <c r="BE8" s="21">
        <v>0</v>
      </c>
      <c r="BF8" s="139" t="str">
        <f t="shared" si="18"/>
        <v>-</v>
      </c>
      <c r="BG8" s="20">
        <v>0</v>
      </c>
      <c r="BH8" s="21">
        <v>0</v>
      </c>
      <c r="BI8" s="276" t="str">
        <f t="shared" si="19"/>
        <v>-</v>
      </c>
      <c r="BJ8" s="252">
        <v>13</v>
      </c>
      <c r="BK8" s="253">
        <v>2</v>
      </c>
      <c r="BL8" s="276">
        <f t="shared" si="20"/>
        <v>6.5</v>
      </c>
      <c r="BM8" s="252">
        <v>0</v>
      </c>
      <c r="BN8" s="253">
        <v>0</v>
      </c>
      <c r="BO8" s="276" t="str">
        <f t="shared" si="21"/>
        <v>-</v>
      </c>
      <c r="BP8" s="252">
        <v>0</v>
      </c>
      <c r="BQ8" s="253">
        <v>0</v>
      </c>
      <c r="BR8" s="276" t="str">
        <f t="shared" si="22"/>
        <v>-</v>
      </c>
      <c r="BS8" s="252">
        <v>0</v>
      </c>
      <c r="BT8" s="253">
        <v>0</v>
      </c>
      <c r="BU8" s="276" t="str">
        <f t="shared" si="23"/>
        <v>-</v>
      </c>
      <c r="BV8" s="252">
        <v>0</v>
      </c>
      <c r="BW8" s="253">
        <v>0</v>
      </c>
      <c r="BX8" s="276" t="str">
        <f t="shared" si="44"/>
        <v>-</v>
      </c>
      <c r="BY8" s="252">
        <v>0</v>
      </c>
      <c r="BZ8" s="253">
        <v>0</v>
      </c>
      <c r="CA8" s="276" t="str">
        <f t="shared" si="45"/>
        <v>-</v>
      </c>
      <c r="CB8" s="252">
        <v>0</v>
      </c>
      <c r="CC8" s="253">
        <v>0</v>
      </c>
      <c r="CD8" s="276" t="str">
        <f t="shared" si="46"/>
        <v>-</v>
      </c>
      <c r="CE8" s="252">
        <v>0</v>
      </c>
      <c r="CF8" s="253">
        <v>0</v>
      </c>
      <c r="CG8" s="276" t="str">
        <f t="shared" si="47"/>
        <v>-</v>
      </c>
      <c r="CH8" s="252">
        <v>0</v>
      </c>
      <c r="CI8" s="253">
        <v>0</v>
      </c>
      <c r="CJ8" s="276" t="str">
        <f t="shared" si="48"/>
        <v>-</v>
      </c>
      <c r="CK8" s="252">
        <v>0</v>
      </c>
      <c r="CL8" s="253">
        <v>0</v>
      </c>
      <c r="CM8" s="276" t="str">
        <f t="shared" si="49"/>
        <v>-</v>
      </c>
      <c r="CN8" s="117">
        <f t="shared" si="42"/>
        <v>13</v>
      </c>
      <c r="CO8" s="120">
        <f t="shared" si="43"/>
        <v>2</v>
      </c>
      <c r="CP8" s="147">
        <f t="shared" si="30"/>
        <v>6.5</v>
      </c>
    </row>
    <row r="9" spans="1:94" ht="15" thickBot="1" x14ac:dyDescent="0.35">
      <c r="A9" s="294">
        <v>45782</v>
      </c>
      <c r="B9" s="20">
        <v>0</v>
      </c>
      <c r="C9" s="21">
        <v>0</v>
      </c>
      <c r="D9" s="139" t="str">
        <f t="shared" si="0"/>
        <v>-</v>
      </c>
      <c r="E9" s="20">
        <v>0</v>
      </c>
      <c r="F9" s="21">
        <v>0</v>
      </c>
      <c r="G9" s="139" t="str">
        <f t="shared" si="31"/>
        <v>-</v>
      </c>
      <c r="H9" s="20">
        <v>0</v>
      </c>
      <c r="I9" s="21">
        <v>0</v>
      </c>
      <c r="J9" s="139" t="str">
        <f t="shared" si="32"/>
        <v>-</v>
      </c>
      <c r="K9" s="20">
        <v>0</v>
      </c>
      <c r="L9" s="21">
        <v>0</v>
      </c>
      <c r="M9" s="139" t="str">
        <f t="shared" si="33"/>
        <v>-</v>
      </c>
      <c r="N9" s="20">
        <v>0</v>
      </c>
      <c r="O9" s="21">
        <v>0</v>
      </c>
      <c r="P9" s="139" t="str">
        <f t="shared" si="4"/>
        <v>-</v>
      </c>
      <c r="Q9" s="20">
        <v>39</v>
      </c>
      <c r="R9" s="21">
        <v>11</v>
      </c>
      <c r="S9" s="139">
        <f t="shared" si="5"/>
        <v>3.5454545454545454</v>
      </c>
      <c r="T9" s="20">
        <v>52</v>
      </c>
      <c r="U9" s="21">
        <v>11</v>
      </c>
      <c r="V9" s="139">
        <f t="shared" si="34"/>
        <v>4.7272727272727275</v>
      </c>
      <c r="W9" s="20">
        <v>0</v>
      </c>
      <c r="X9" s="21">
        <v>0</v>
      </c>
      <c r="Y9" s="139" t="str">
        <f t="shared" si="35"/>
        <v>-</v>
      </c>
      <c r="Z9" s="20">
        <v>0</v>
      </c>
      <c r="AA9" s="21">
        <v>0</v>
      </c>
      <c r="AB9" s="139" t="str">
        <f t="shared" ref="AB9" si="51">IF(AA9=0,"-",Z9/AA9)</f>
        <v>-</v>
      </c>
      <c r="AC9" s="20">
        <v>0</v>
      </c>
      <c r="AD9" s="21">
        <v>0</v>
      </c>
      <c r="AE9" s="139" t="str">
        <f t="shared" ref="AE9" si="52">IF(AD9=0,"-",AC9/AD9)</f>
        <v>-</v>
      </c>
      <c r="AF9" s="20">
        <v>0</v>
      </c>
      <c r="AG9" s="21">
        <v>0</v>
      </c>
      <c r="AH9" s="139" t="str">
        <f t="shared" ref="AH9" si="53">IF(AG9=0,"-",AF9/AG9)</f>
        <v>-</v>
      </c>
      <c r="AI9" s="20">
        <v>0</v>
      </c>
      <c r="AJ9" s="21">
        <v>0</v>
      </c>
      <c r="AK9" s="139" t="str">
        <f t="shared" ref="AK9" si="54">IF(AJ9=0,"-",AI9/AJ9)</f>
        <v>-</v>
      </c>
      <c r="AL9" s="20">
        <v>6</v>
      </c>
      <c r="AM9" s="21">
        <v>1</v>
      </c>
      <c r="AN9" s="139">
        <f t="shared" si="40"/>
        <v>6</v>
      </c>
      <c r="AO9" s="20">
        <v>0</v>
      </c>
      <c r="AP9" s="21">
        <v>0</v>
      </c>
      <c r="AQ9" s="139" t="str">
        <f t="shared" si="41"/>
        <v>-</v>
      </c>
      <c r="AR9" s="20">
        <v>0</v>
      </c>
      <c r="AS9" s="21">
        <v>0</v>
      </c>
      <c r="AT9" s="139" t="str">
        <f t="shared" ref="AT9:AT10" si="55">IF(AS9=0,"-",AR9/AS9)</f>
        <v>-</v>
      </c>
      <c r="AU9" s="20">
        <v>0</v>
      </c>
      <c r="AV9" s="21">
        <v>0</v>
      </c>
      <c r="AW9" s="139" t="str">
        <f t="shared" ref="AW9:AW10" si="56">IF(AV9=0,"-",AU9/AV9)</f>
        <v>-</v>
      </c>
      <c r="AX9" s="20">
        <v>0</v>
      </c>
      <c r="AY9" s="21">
        <v>0</v>
      </c>
      <c r="AZ9" s="139" t="str">
        <f t="shared" ref="AZ9:AZ10" si="57">IF(AY9=0,"-",AX9/AY9)</f>
        <v>-</v>
      </c>
      <c r="BA9" s="20">
        <v>0</v>
      </c>
      <c r="BB9" s="21">
        <v>0</v>
      </c>
      <c r="BC9" s="139" t="str">
        <f t="shared" ref="BC9:BC10" si="58">IF(BB9=0,"-",BA9/BB9)</f>
        <v>-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276" t="str">
        <f t="shared" si="19"/>
        <v>-</v>
      </c>
      <c r="BJ9" s="252">
        <v>0</v>
      </c>
      <c r="BK9" s="253">
        <v>0</v>
      </c>
      <c r="BL9" s="276" t="str">
        <f t="shared" si="20"/>
        <v>-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302">
        <v>0</v>
      </c>
      <c r="BT9" s="303">
        <v>0</v>
      </c>
      <c r="BU9" s="276" t="str">
        <f t="shared" si="23"/>
        <v>-</v>
      </c>
      <c r="BV9" s="302">
        <v>0</v>
      </c>
      <c r="BW9" s="303">
        <v>0</v>
      </c>
      <c r="BX9" s="276" t="str">
        <f t="shared" si="44"/>
        <v>-</v>
      </c>
      <c r="BY9" s="302">
        <v>0</v>
      </c>
      <c r="BZ9" s="303">
        <v>0</v>
      </c>
      <c r="CA9" s="276" t="str">
        <f t="shared" si="45"/>
        <v>-</v>
      </c>
      <c r="CB9" s="302">
        <v>0</v>
      </c>
      <c r="CC9" s="303">
        <v>0</v>
      </c>
      <c r="CD9" s="276" t="str">
        <f t="shared" si="46"/>
        <v>-</v>
      </c>
      <c r="CE9" s="302">
        <v>0</v>
      </c>
      <c r="CF9" s="303">
        <v>0</v>
      </c>
      <c r="CG9" s="276" t="str">
        <f t="shared" si="47"/>
        <v>-</v>
      </c>
      <c r="CH9" s="302">
        <v>0</v>
      </c>
      <c r="CI9" s="303">
        <v>0</v>
      </c>
      <c r="CJ9" s="276" t="str">
        <f t="shared" si="48"/>
        <v>-</v>
      </c>
      <c r="CK9" s="302">
        <v>0</v>
      </c>
      <c r="CL9" s="303">
        <v>0</v>
      </c>
      <c r="CM9" s="276" t="str">
        <f t="shared" si="49"/>
        <v>-</v>
      </c>
      <c r="CN9" s="117">
        <f t="shared" si="42"/>
        <v>97</v>
      </c>
      <c r="CO9" s="120">
        <f t="shared" si="43"/>
        <v>22</v>
      </c>
      <c r="CP9" s="147">
        <f t="shared" si="30"/>
        <v>4.4090909090909092</v>
      </c>
    </row>
    <row r="10" spans="1:94" ht="15" thickBot="1" x14ac:dyDescent="0.35">
      <c r="A10" s="294">
        <v>45783</v>
      </c>
      <c r="B10" s="20">
        <v>35</v>
      </c>
      <c r="C10" s="21">
        <v>6</v>
      </c>
      <c r="D10" s="139">
        <f t="shared" si="0"/>
        <v>5.833333333333333</v>
      </c>
      <c r="E10" s="20">
        <v>0</v>
      </c>
      <c r="F10" s="21">
        <v>0</v>
      </c>
      <c r="G10" s="139" t="str">
        <f t="shared" ref="G10" si="59">IF(F10=0,"-",E10/F10)</f>
        <v>-</v>
      </c>
      <c r="H10" s="20">
        <v>0</v>
      </c>
      <c r="I10" s="21">
        <v>0</v>
      </c>
      <c r="J10" s="139" t="str">
        <f t="shared" ref="J10" si="60">IF(I10=0,"-",H10/I10)</f>
        <v>-</v>
      </c>
      <c r="K10" s="20">
        <v>0</v>
      </c>
      <c r="L10" s="21">
        <v>0</v>
      </c>
      <c r="M10" s="139" t="str">
        <f t="shared" ref="M10" si="61">IF(L10=0,"-",K10/L10)</f>
        <v>-</v>
      </c>
      <c r="N10" s="125">
        <v>0</v>
      </c>
      <c r="O10" s="126">
        <v>0</v>
      </c>
      <c r="P10" s="139" t="str">
        <f t="shared" si="4"/>
        <v>-</v>
      </c>
      <c r="Q10" s="20">
        <v>45</v>
      </c>
      <c r="R10" s="21">
        <v>13</v>
      </c>
      <c r="S10" s="139">
        <f t="shared" si="5"/>
        <v>3.4615384615384617</v>
      </c>
      <c r="T10" s="20">
        <v>14</v>
      </c>
      <c r="U10" s="21">
        <v>4</v>
      </c>
      <c r="V10" s="139">
        <f t="shared" si="34"/>
        <v>3.5</v>
      </c>
      <c r="W10" s="20">
        <v>0</v>
      </c>
      <c r="X10" s="21">
        <v>0</v>
      </c>
      <c r="Y10" s="278" t="str">
        <f t="shared" si="35"/>
        <v>-</v>
      </c>
      <c r="Z10" s="20">
        <v>0</v>
      </c>
      <c r="AA10" s="21">
        <v>0</v>
      </c>
      <c r="AB10" s="139" t="str">
        <f t="shared" ref="AB10" si="62">IF(AA10=0,"-",Z10/AA10)</f>
        <v>-</v>
      </c>
      <c r="AC10" s="20">
        <v>0</v>
      </c>
      <c r="AD10" s="21">
        <v>0</v>
      </c>
      <c r="AE10" s="139" t="str">
        <f t="shared" ref="AE10" si="63">IF(AD10=0,"-",AC10/AD10)</f>
        <v>-</v>
      </c>
      <c r="AF10" s="20">
        <v>0</v>
      </c>
      <c r="AG10" s="21">
        <v>0</v>
      </c>
      <c r="AH10" s="139" t="str">
        <f t="shared" ref="AH10" si="64">IF(AG10=0,"-",AF10/AG10)</f>
        <v>-</v>
      </c>
      <c r="AI10" s="20">
        <v>0</v>
      </c>
      <c r="AJ10" s="21">
        <v>0</v>
      </c>
      <c r="AK10" s="139" t="str">
        <f t="shared" ref="AK10" si="65">IF(AJ10=0,"-",AI10/AJ10)</f>
        <v>-</v>
      </c>
      <c r="AL10" s="20">
        <v>0</v>
      </c>
      <c r="AM10" s="21">
        <v>0</v>
      </c>
      <c r="AN10" s="139" t="str">
        <f t="shared" si="40"/>
        <v>-</v>
      </c>
      <c r="AO10" s="20">
        <v>0</v>
      </c>
      <c r="AP10" s="21">
        <v>0</v>
      </c>
      <c r="AQ10" s="139" t="str">
        <f t="shared" si="41"/>
        <v>-</v>
      </c>
      <c r="AR10" s="20">
        <v>0</v>
      </c>
      <c r="AS10" s="21">
        <v>0</v>
      </c>
      <c r="AT10" s="139" t="str">
        <f t="shared" si="55"/>
        <v>-</v>
      </c>
      <c r="AU10" s="20">
        <v>0</v>
      </c>
      <c r="AV10" s="21">
        <v>0</v>
      </c>
      <c r="AW10" s="139" t="str">
        <f t="shared" si="56"/>
        <v>-</v>
      </c>
      <c r="AX10" s="20">
        <v>0</v>
      </c>
      <c r="AY10" s="21">
        <v>0</v>
      </c>
      <c r="AZ10" s="139" t="str">
        <f t="shared" si="57"/>
        <v>-</v>
      </c>
      <c r="BA10" s="20">
        <v>0</v>
      </c>
      <c r="BB10" s="21">
        <v>0</v>
      </c>
      <c r="BC10" s="139" t="str">
        <f t="shared" si="58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0">
        <v>0</v>
      </c>
      <c r="BK10" s="21">
        <v>0</v>
      </c>
      <c r="BL10" s="139" t="str">
        <f t="shared" si="20"/>
        <v>-</v>
      </c>
      <c r="BM10" s="20">
        <v>0</v>
      </c>
      <c r="BN10" s="21">
        <v>0</v>
      </c>
      <c r="BO10" s="139" t="str">
        <f t="shared" si="21"/>
        <v>-</v>
      </c>
      <c r="BP10" s="20">
        <v>0</v>
      </c>
      <c r="BQ10" s="21">
        <v>0</v>
      </c>
      <c r="BR10" s="139" t="str">
        <f t="shared" si="22"/>
        <v>-</v>
      </c>
      <c r="BS10" s="20">
        <v>0</v>
      </c>
      <c r="BT10" s="21">
        <v>0</v>
      </c>
      <c r="BU10" s="139" t="str">
        <f t="shared" si="23"/>
        <v>-</v>
      </c>
      <c r="BV10" s="20">
        <v>0</v>
      </c>
      <c r="BW10" s="21">
        <v>0</v>
      </c>
      <c r="BX10" s="139" t="str">
        <f t="shared" si="44"/>
        <v>-</v>
      </c>
      <c r="BY10" s="20">
        <v>0</v>
      </c>
      <c r="BZ10" s="21">
        <v>0</v>
      </c>
      <c r="CA10" s="139" t="str">
        <f t="shared" si="45"/>
        <v>-</v>
      </c>
      <c r="CB10" s="20">
        <v>0</v>
      </c>
      <c r="CC10" s="21">
        <v>0</v>
      </c>
      <c r="CD10" s="139" t="str">
        <f t="shared" si="46"/>
        <v>-</v>
      </c>
      <c r="CE10" s="20">
        <v>0</v>
      </c>
      <c r="CF10" s="21">
        <v>0</v>
      </c>
      <c r="CG10" s="139" t="str">
        <f t="shared" si="47"/>
        <v>-</v>
      </c>
      <c r="CH10" s="20">
        <v>0</v>
      </c>
      <c r="CI10" s="21">
        <v>0</v>
      </c>
      <c r="CJ10" s="139" t="str">
        <f t="shared" si="48"/>
        <v>-</v>
      </c>
      <c r="CK10" s="20">
        <v>0</v>
      </c>
      <c r="CL10" s="21">
        <v>0</v>
      </c>
      <c r="CM10" s="139" t="str">
        <f t="shared" si="49"/>
        <v>-</v>
      </c>
      <c r="CN10" s="117">
        <f t="shared" si="42"/>
        <v>94</v>
      </c>
      <c r="CO10" s="120">
        <f t="shared" si="43"/>
        <v>23</v>
      </c>
      <c r="CP10" s="147">
        <f t="shared" si="30"/>
        <v>4.0869565217391308</v>
      </c>
    </row>
    <row r="11" spans="1:94" ht="15" thickBot="1" x14ac:dyDescent="0.35">
      <c r="A11" s="294">
        <v>45784</v>
      </c>
      <c r="B11" s="20">
        <v>44</v>
      </c>
      <c r="C11" s="21">
        <v>5</v>
      </c>
      <c r="D11" s="139">
        <f t="shared" si="0"/>
        <v>8.8000000000000007</v>
      </c>
      <c r="E11" s="23">
        <v>9</v>
      </c>
      <c r="F11" s="21">
        <v>1</v>
      </c>
      <c r="G11" s="139">
        <f t="shared" si="31"/>
        <v>9</v>
      </c>
      <c r="H11" s="20">
        <v>0</v>
      </c>
      <c r="I11" s="21">
        <v>0</v>
      </c>
      <c r="J11" s="139" t="str">
        <f t="shared" si="32"/>
        <v>-</v>
      </c>
      <c r="K11" s="20">
        <v>11</v>
      </c>
      <c r="L11" s="21">
        <v>2</v>
      </c>
      <c r="M11" s="139">
        <f t="shared" si="33"/>
        <v>5.5</v>
      </c>
      <c r="N11" s="125">
        <v>0</v>
      </c>
      <c r="O11" s="126">
        <v>0</v>
      </c>
      <c r="P11" s="139" t="str">
        <f t="shared" si="4"/>
        <v>-</v>
      </c>
      <c r="Q11" s="20">
        <v>53</v>
      </c>
      <c r="R11" s="21">
        <v>14</v>
      </c>
      <c r="S11" s="139">
        <f t="shared" si="5"/>
        <v>3.7857142857142856</v>
      </c>
      <c r="T11" s="20">
        <v>0</v>
      </c>
      <c r="U11" s="21">
        <v>0</v>
      </c>
      <c r="V11" s="139" t="str">
        <f t="shared" si="34"/>
        <v>-</v>
      </c>
      <c r="W11" s="20">
        <v>0</v>
      </c>
      <c r="X11" s="21">
        <v>0</v>
      </c>
      <c r="Y11" s="278" t="str">
        <f t="shared" si="35"/>
        <v>-</v>
      </c>
      <c r="Z11" s="125">
        <v>15</v>
      </c>
      <c r="AA11" s="126">
        <v>3</v>
      </c>
      <c r="AB11" s="276">
        <f t="shared" ref="AB11:AB35" si="66">IF(AA11=0,"-",Z11/AA11)</f>
        <v>5</v>
      </c>
      <c r="AC11" s="20">
        <v>0</v>
      </c>
      <c r="AD11" s="21">
        <v>0</v>
      </c>
      <c r="AE11" s="139" t="str">
        <f t="shared" ref="AE11" si="67">IF(AD11=0,"-",AC11/AD11)</f>
        <v>-</v>
      </c>
      <c r="AF11" s="20">
        <v>0</v>
      </c>
      <c r="AG11" s="21">
        <v>0</v>
      </c>
      <c r="AH11" s="139" t="str">
        <f t="shared" ref="AH11" si="68">IF(AG11=0,"-",AF11/AG11)</f>
        <v>-</v>
      </c>
      <c r="AI11" s="20">
        <v>0</v>
      </c>
      <c r="AJ11" s="21">
        <v>0</v>
      </c>
      <c r="AK11" s="139" t="str">
        <f t="shared" ref="AK11" si="69">IF(AJ11=0,"-",AI11/AJ11)</f>
        <v>-</v>
      </c>
      <c r="AL11" s="20">
        <v>0</v>
      </c>
      <c r="AM11" s="21">
        <v>0</v>
      </c>
      <c r="AN11" s="139" t="str">
        <f t="shared" ref="AN11" si="70">IF(AM11=0,"-",AL11/AM11)</f>
        <v>-</v>
      </c>
      <c r="AO11" s="20">
        <v>0</v>
      </c>
      <c r="AP11" s="21">
        <v>0</v>
      </c>
      <c r="AQ11" s="139" t="str">
        <f t="shared" ref="AQ11" si="71">IF(AP11=0,"-",AO11/AP11)</f>
        <v>-</v>
      </c>
      <c r="AR11" s="20">
        <v>0</v>
      </c>
      <c r="AS11" s="21">
        <v>0</v>
      </c>
      <c r="AT11" s="139" t="str">
        <f t="shared" ref="AT11" si="72">IF(AS11=0,"-",AR11/AS11)</f>
        <v>-</v>
      </c>
      <c r="AU11" s="20">
        <v>0</v>
      </c>
      <c r="AV11" s="21">
        <v>0</v>
      </c>
      <c r="AW11" s="139" t="str">
        <f t="shared" ref="AW11" si="73">IF(AV11=0,"-",AU11/AV11)</f>
        <v>-</v>
      </c>
      <c r="AX11" s="20">
        <v>0</v>
      </c>
      <c r="AY11" s="21">
        <v>0</v>
      </c>
      <c r="AZ11" s="139" t="str">
        <f t="shared" ref="AZ11" si="74">IF(AY11=0,"-",AX11/AY11)</f>
        <v>-</v>
      </c>
      <c r="BA11" s="20"/>
      <c r="BB11" s="21">
        <v>0</v>
      </c>
      <c r="BC11" s="139" t="str">
        <f t="shared" ref="BC11" si="75">IF(BB11=0,"-",BA11/BB11)</f>
        <v>-</v>
      </c>
      <c r="BD11" s="20">
        <v>0</v>
      </c>
      <c r="BE11" s="21">
        <v>0</v>
      </c>
      <c r="BF11" s="139" t="str">
        <f t="shared" ref="BF11" si="76">IF(BE11=0,"-",BD11/BE11)</f>
        <v>-</v>
      </c>
      <c r="BG11" s="20">
        <v>0</v>
      </c>
      <c r="BH11" s="21">
        <v>0</v>
      </c>
      <c r="BI11" s="139" t="str">
        <f t="shared" ref="BI11" si="77">IF(BH11=0,"-",BG11/BH11)</f>
        <v>-</v>
      </c>
      <c r="BJ11" s="20">
        <v>0</v>
      </c>
      <c r="BK11" s="21">
        <v>0</v>
      </c>
      <c r="BL11" s="139" t="str">
        <f t="shared" ref="BL11" si="78">IF(BK11=0,"-",BJ11/BK11)</f>
        <v>-</v>
      </c>
      <c r="BM11" s="20">
        <v>0</v>
      </c>
      <c r="BN11" s="21">
        <v>0</v>
      </c>
      <c r="BO11" s="139" t="str">
        <f t="shared" ref="BO11" si="79">IF(BN11=0,"-",BM11/BN11)</f>
        <v>-</v>
      </c>
      <c r="BP11" s="20">
        <v>0</v>
      </c>
      <c r="BQ11" s="21">
        <v>0</v>
      </c>
      <c r="BR11" s="139" t="str">
        <f t="shared" ref="BR11" si="80">IF(BQ11=0,"-",BP11/BQ11)</f>
        <v>-</v>
      </c>
      <c r="BS11" s="20">
        <v>0</v>
      </c>
      <c r="BT11" s="21">
        <v>0</v>
      </c>
      <c r="BU11" s="139" t="str">
        <f t="shared" ref="BU11" si="81">IF(BT11=0,"-",BS11/BT11)</f>
        <v>-</v>
      </c>
      <c r="BV11" s="20">
        <v>7</v>
      </c>
      <c r="BW11" s="21">
        <v>1</v>
      </c>
      <c r="BX11" s="139">
        <f t="shared" ref="BX11" si="82">IF(BW11=0,"-",BV11/BW11)</f>
        <v>7</v>
      </c>
      <c r="BY11" s="20">
        <v>0</v>
      </c>
      <c r="BZ11" s="21">
        <v>0</v>
      </c>
      <c r="CA11" s="139" t="str">
        <f t="shared" ref="CA11" si="83">IF(BZ11=0,"-",BY11/BZ11)</f>
        <v>-</v>
      </c>
      <c r="CB11" s="20">
        <v>0</v>
      </c>
      <c r="CC11" s="21">
        <v>0</v>
      </c>
      <c r="CD11" s="139" t="str">
        <f t="shared" ref="CD11" si="84">IF(CC11=0,"-",CB11/CC11)</f>
        <v>-</v>
      </c>
      <c r="CE11" s="20">
        <v>14</v>
      </c>
      <c r="CF11" s="21">
        <v>2</v>
      </c>
      <c r="CG11" s="139">
        <f t="shared" ref="CG11" si="85">IF(CF11=0,"-",CE11/CF11)</f>
        <v>7</v>
      </c>
      <c r="CH11" s="20">
        <v>0</v>
      </c>
      <c r="CI11" s="21">
        <v>0</v>
      </c>
      <c r="CJ11" s="139" t="str">
        <f t="shared" ref="CJ11" si="86">IF(CI11=0,"-",CH11/CI11)</f>
        <v>-</v>
      </c>
      <c r="CK11" s="20">
        <v>0</v>
      </c>
      <c r="CL11" s="21">
        <v>0</v>
      </c>
      <c r="CM11" s="139" t="str">
        <f t="shared" ref="CM11" si="87">IF(CL11=0,"-",CK11/CL11)</f>
        <v>-</v>
      </c>
      <c r="CN11" s="117">
        <f t="shared" si="42"/>
        <v>153</v>
      </c>
      <c r="CO11" s="120">
        <f t="shared" si="43"/>
        <v>27</v>
      </c>
      <c r="CP11" s="147">
        <f t="shared" si="30"/>
        <v>5.666666666666667</v>
      </c>
    </row>
    <row r="12" spans="1:94" ht="16.2" customHeight="1" thickBot="1" x14ac:dyDescent="0.35">
      <c r="A12" s="294">
        <v>45785</v>
      </c>
      <c r="B12" s="20">
        <v>34</v>
      </c>
      <c r="C12" s="21">
        <v>5</v>
      </c>
      <c r="D12" s="139">
        <f t="shared" si="0"/>
        <v>6.8</v>
      </c>
      <c r="E12" s="23">
        <v>22</v>
      </c>
      <c r="F12" s="21">
        <v>3</v>
      </c>
      <c r="G12" s="139">
        <f t="shared" si="31"/>
        <v>7.333333333333333</v>
      </c>
      <c r="H12" s="20">
        <v>0</v>
      </c>
      <c r="I12" s="21">
        <v>0</v>
      </c>
      <c r="J12" s="139" t="str">
        <f t="shared" si="32"/>
        <v>-</v>
      </c>
      <c r="K12" s="20">
        <v>34</v>
      </c>
      <c r="L12" s="21">
        <v>4</v>
      </c>
      <c r="M12" s="139">
        <f t="shared" si="33"/>
        <v>8.5</v>
      </c>
      <c r="N12" s="125">
        <v>0</v>
      </c>
      <c r="O12" s="126">
        <v>0</v>
      </c>
      <c r="P12" s="139" t="str">
        <f t="shared" si="4"/>
        <v>-</v>
      </c>
      <c r="Q12" s="23">
        <v>39</v>
      </c>
      <c r="R12" s="21">
        <v>7</v>
      </c>
      <c r="S12" s="139">
        <f t="shared" si="5"/>
        <v>5.5714285714285712</v>
      </c>
      <c r="T12" s="20">
        <v>250</v>
      </c>
      <c r="U12" s="21">
        <v>36</v>
      </c>
      <c r="V12" s="139">
        <f t="shared" si="34"/>
        <v>6.9444444444444446</v>
      </c>
      <c r="W12" s="20">
        <v>0</v>
      </c>
      <c r="X12" s="21">
        <v>0</v>
      </c>
      <c r="Y12" s="278" t="str">
        <f t="shared" si="35"/>
        <v>-</v>
      </c>
      <c r="Z12" s="20">
        <v>9</v>
      </c>
      <c r="AA12" s="21">
        <v>2</v>
      </c>
      <c r="AB12" s="278">
        <f t="shared" si="66"/>
        <v>4.5</v>
      </c>
      <c r="AC12" s="20">
        <v>0</v>
      </c>
      <c r="AD12" s="21">
        <v>0</v>
      </c>
      <c r="AE12" s="139" t="str">
        <f t="shared" ref="AE12" si="88">IF(AD12=0,"-",AC12/AD12)</f>
        <v>-</v>
      </c>
      <c r="AF12" s="20">
        <v>0</v>
      </c>
      <c r="AG12" s="21">
        <v>0</v>
      </c>
      <c r="AH12" s="139" t="str">
        <f t="shared" ref="AH12" si="89">IF(AG12=0,"-",AF12/AG12)</f>
        <v>-</v>
      </c>
      <c r="AI12" s="20">
        <v>0</v>
      </c>
      <c r="AJ12" s="21">
        <v>0</v>
      </c>
      <c r="AK12" s="139" t="str">
        <f t="shared" ref="AK12" si="90">IF(AJ12=0,"-",AI12/AJ12)</f>
        <v>-</v>
      </c>
      <c r="AL12" s="20">
        <v>0</v>
      </c>
      <c r="AM12" s="21">
        <v>0</v>
      </c>
      <c r="AN12" s="139" t="str">
        <f t="shared" ref="AN12" si="91">IF(AM12=0,"-",AL12/AM12)</f>
        <v>-</v>
      </c>
      <c r="AO12" s="20">
        <v>0</v>
      </c>
      <c r="AP12" s="21">
        <v>0</v>
      </c>
      <c r="AQ12" s="139" t="str">
        <f t="shared" ref="AQ12" si="92">IF(AP12=0,"-",AO12/AP12)</f>
        <v>-</v>
      </c>
      <c r="AR12" s="20">
        <v>0</v>
      </c>
      <c r="AS12" s="21">
        <v>0</v>
      </c>
      <c r="AT12" s="139" t="str">
        <f t="shared" ref="AT12:AT35" si="93">IF(AS12=0,"-",AR12/AS12)</f>
        <v>-</v>
      </c>
      <c r="AU12" s="20">
        <v>0</v>
      </c>
      <c r="AV12" s="21">
        <v>0</v>
      </c>
      <c r="AW12" s="139" t="str">
        <f t="shared" ref="AW12:AW35" si="94">IF(AV12=0,"-",AU12/AV12)</f>
        <v>-</v>
      </c>
      <c r="AX12" s="20">
        <v>17</v>
      </c>
      <c r="AY12" s="21">
        <v>2</v>
      </c>
      <c r="AZ12" s="139">
        <f t="shared" ref="AZ12:AZ35" si="95">IF(AY12=0,"-",AX12/AY12)</f>
        <v>8.5</v>
      </c>
      <c r="BA12" s="20">
        <v>27</v>
      </c>
      <c r="BB12" s="21">
        <v>3</v>
      </c>
      <c r="BC12" s="139">
        <f t="shared" ref="BC12:BC17" si="96">IF(BB12=0,"-",BA12/BB12)</f>
        <v>9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0">
        <v>0</v>
      </c>
      <c r="BK12" s="21">
        <v>0</v>
      </c>
      <c r="BL12" s="139" t="str">
        <f t="shared" ref="BL12" si="97">IF(BK12=0,"-",BJ12/BK12)</f>
        <v>-</v>
      </c>
      <c r="BM12" s="20">
        <v>0</v>
      </c>
      <c r="BN12" s="21">
        <v>0</v>
      </c>
      <c r="BO12" s="139" t="str">
        <f t="shared" ref="BO12" si="98">IF(BN12=0,"-",BM12/BN12)</f>
        <v>-</v>
      </c>
      <c r="BP12" s="20">
        <v>0</v>
      </c>
      <c r="BQ12" s="21">
        <v>0</v>
      </c>
      <c r="BR12" s="139" t="str">
        <f t="shared" ref="BR12" si="99">IF(BQ12=0,"-",BP12/BQ12)</f>
        <v>-</v>
      </c>
      <c r="BS12" s="20">
        <v>0</v>
      </c>
      <c r="BT12" s="21">
        <v>0</v>
      </c>
      <c r="BU12" s="139" t="str">
        <f t="shared" ref="BU12" si="100">IF(BT12=0,"-",BS12/BT12)</f>
        <v>-</v>
      </c>
      <c r="BV12" s="257">
        <v>0</v>
      </c>
      <c r="BW12" s="253">
        <v>0</v>
      </c>
      <c r="BX12" s="276" t="str">
        <f t="shared" si="44"/>
        <v>-</v>
      </c>
      <c r="BY12" s="257">
        <v>0</v>
      </c>
      <c r="BZ12" s="253">
        <v>0</v>
      </c>
      <c r="CA12" s="276" t="str">
        <f t="shared" si="45"/>
        <v>-</v>
      </c>
      <c r="CB12" s="257">
        <v>1</v>
      </c>
      <c r="CC12" s="253">
        <v>1</v>
      </c>
      <c r="CD12" s="276">
        <f t="shared" si="46"/>
        <v>1</v>
      </c>
      <c r="CE12" s="125">
        <v>0</v>
      </c>
      <c r="CF12" s="126">
        <v>0</v>
      </c>
      <c r="CG12" s="276" t="str">
        <f t="shared" ref="CG12:CG31" si="101">IF(CF12=0,"-",CE12/CF12)</f>
        <v>-</v>
      </c>
      <c r="CH12" s="125">
        <v>0</v>
      </c>
      <c r="CI12" s="126">
        <v>0</v>
      </c>
      <c r="CJ12" s="276" t="str">
        <f t="shared" ref="CJ12:CJ31" si="102">IF(CI12=0,"-",CH12/CI12)</f>
        <v>-</v>
      </c>
      <c r="CK12" s="125">
        <v>0</v>
      </c>
      <c r="CL12" s="126">
        <v>0</v>
      </c>
      <c r="CM12" s="276" t="str">
        <f t="shared" ref="CM12:CM31" si="103">IF(CL12=0,"-",CK12/CL12)</f>
        <v>-</v>
      </c>
      <c r="CN12" s="117">
        <f t="shared" si="42"/>
        <v>433</v>
      </c>
      <c r="CO12" s="120">
        <f t="shared" si="43"/>
        <v>63</v>
      </c>
      <c r="CP12" s="147">
        <f t="shared" si="30"/>
        <v>6.8730158730158726</v>
      </c>
    </row>
    <row r="13" spans="1:94" ht="15" thickBot="1" x14ac:dyDescent="0.35">
      <c r="A13" s="294">
        <v>45786</v>
      </c>
      <c r="B13" s="20">
        <v>49</v>
      </c>
      <c r="C13" s="21">
        <v>6</v>
      </c>
      <c r="D13" s="139">
        <f t="shared" si="0"/>
        <v>8.1666666666666661</v>
      </c>
      <c r="E13" s="23">
        <v>8</v>
      </c>
      <c r="F13" s="21">
        <v>1</v>
      </c>
      <c r="G13" s="139">
        <f t="shared" si="31"/>
        <v>8</v>
      </c>
      <c r="H13" s="20">
        <v>0</v>
      </c>
      <c r="I13" s="21">
        <v>0</v>
      </c>
      <c r="J13" s="139" t="str">
        <f t="shared" si="32"/>
        <v>-</v>
      </c>
      <c r="K13" s="20">
        <v>18</v>
      </c>
      <c r="L13" s="21">
        <v>2</v>
      </c>
      <c r="M13" s="139">
        <f t="shared" si="33"/>
        <v>9</v>
      </c>
      <c r="N13" s="125">
        <v>0</v>
      </c>
      <c r="O13" s="126">
        <v>0</v>
      </c>
      <c r="P13" s="139" t="str">
        <f t="shared" si="4"/>
        <v>-</v>
      </c>
      <c r="Q13" s="125">
        <v>97</v>
      </c>
      <c r="R13" s="126">
        <v>25</v>
      </c>
      <c r="S13" s="139">
        <f t="shared" si="5"/>
        <v>3.88</v>
      </c>
      <c r="T13" s="125">
        <v>0</v>
      </c>
      <c r="U13" s="126">
        <v>0</v>
      </c>
      <c r="V13" s="139" t="str">
        <f t="shared" si="34"/>
        <v>-</v>
      </c>
      <c r="W13" s="125">
        <v>0</v>
      </c>
      <c r="X13" s="126">
        <v>0</v>
      </c>
      <c r="Y13" s="139" t="str">
        <f t="shared" si="35"/>
        <v>-</v>
      </c>
      <c r="Z13" s="125">
        <v>5</v>
      </c>
      <c r="AA13" s="126">
        <v>1</v>
      </c>
      <c r="AB13" s="139">
        <f t="shared" si="66"/>
        <v>5</v>
      </c>
      <c r="AC13" s="20">
        <v>0</v>
      </c>
      <c r="AD13" s="21">
        <v>0</v>
      </c>
      <c r="AE13" s="139" t="str">
        <f t="shared" ref="AE13" si="104">IF(AD13=0,"-",AC13/AD13)</f>
        <v>-</v>
      </c>
      <c r="AF13" s="20">
        <v>0</v>
      </c>
      <c r="AG13" s="21">
        <v>0</v>
      </c>
      <c r="AH13" s="139" t="str">
        <f t="shared" ref="AH13" si="105">IF(AG13=0,"-",AF13/AG13)</f>
        <v>-</v>
      </c>
      <c r="AI13" s="20">
        <v>0</v>
      </c>
      <c r="AJ13" s="21">
        <v>0</v>
      </c>
      <c r="AK13" s="139" t="str">
        <f t="shared" ref="AK13" si="106">IF(AJ13=0,"-",AI13/AJ13)</f>
        <v>-</v>
      </c>
      <c r="AL13" s="20">
        <v>0</v>
      </c>
      <c r="AM13" s="21">
        <v>0</v>
      </c>
      <c r="AN13" s="139" t="str">
        <f t="shared" ref="AN13" si="107">IF(AM13=0,"-",AL13/AM13)</f>
        <v>-</v>
      </c>
      <c r="AO13" s="20">
        <v>0</v>
      </c>
      <c r="AP13" s="21">
        <v>0</v>
      </c>
      <c r="AQ13" s="139" t="str">
        <f t="shared" ref="AQ13" si="108">IF(AP13=0,"-",AO13/AP13)</f>
        <v>-</v>
      </c>
      <c r="AR13" s="20">
        <v>0</v>
      </c>
      <c r="AS13" s="21">
        <v>0</v>
      </c>
      <c r="AT13" s="139" t="str">
        <f t="shared" si="93"/>
        <v>-</v>
      </c>
      <c r="AU13" s="20">
        <v>0</v>
      </c>
      <c r="AV13" s="21">
        <v>0</v>
      </c>
      <c r="AW13" s="139" t="str">
        <f t="shared" si="94"/>
        <v>-</v>
      </c>
      <c r="AX13" s="20">
        <v>0</v>
      </c>
      <c r="AY13" s="21">
        <v>0</v>
      </c>
      <c r="AZ13" s="139">
        <v>0</v>
      </c>
      <c r="BA13" s="20">
        <v>45</v>
      </c>
      <c r="BB13" s="21">
        <v>5</v>
      </c>
      <c r="BC13" s="139">
        <f t="shared" si="96"/>
        <v>9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52">
        <v>22</v>
      </c>
      <c r="BK13" s="253">
        <v>3</v>
      </c>
      <c r="BL13" s="276">
        <f t="shared" si="20"/>
        <v>7.333333333333333</v>
      </c>
      <c r="BM13" s="252">
        <v>0</v>
      </c>
      <c r="BN13" s="253">
        <v>0</v>
      </c>
      <c r="BO13" s="276" t="str">
        <f t="shared" si="21"/>
        <v>-</v>
      </c>
      <c r="BP13" s="302">
        <v>9</v>
      </c>
      <c r="BQ13" s="303">
        <v>1</v>
      </c>
      <c r="BR13" s="276">
        <f t="shared" si="22"/>
        <v>9</v>
      </c>
      <c r="BS13" s="20">
        <v>0</v>
      </c>
      <c r="BT13" s="21">
        <v>0</v>
      </c>
      <c r="BU13" s="139" t="str">
        <f t="shared" ref="BU13" si="109">IF(BT13=0,"-",BS13/BT13)</f>
        <v>-</v>
      </c>
      <c r="BV13" s="20">
        <v>0</v>
      </c>
      <c r="BW13" s="21">
        <v>0</v>
      </c>
      <c r="BX13" s="139" t="str">
        <f t="shared" si="44"/>
        <v>-</v>
      </c>
      <c r="BY13" s="20">
        <v>0</v>
      </c>
      <c r="BZ13" s="21">
        <v>0</v>
      </c>
      <c r="CA13" s="139" t="str">
        <f t="shared" si="45"/>
        <v>-</v>
      </c>
      <c r="CB13" s="20">
        <v>0</v>
      </c>
      <c r="CC13" s="21">
        <v>0</v>
      </c>
      <c r="CD13" s="139" t="str">
        <f t="shared" si="46"/>
        <v>-</v>
      </c>
      <c r="CE13" s="20">
        <v>0</v>
      </c>
      <c r="CF13" s="21">
        <v>0</v>
      </c>
      <c r="CG13" s="139" t="str">
        <f t="shared" si="101"/>
        <v>-</v>
      </c>
      <c r="CH13" s="20">
        <v>0</v>
      </c>
      <c r="CI13" s="21">
        <v>0</v>
      </c>
      <c r="CJ13" s="139" t="str">
        <f t="shared" si="102"/>
        <v>-</v>
      </c>
      <c r="CK13" s="20">
        <v>0</v>
      </c>
      <c r="CL13" s="21">
        <v>0</v>
      </c>
      <c r="CM13" s="139" t="str">
        <f t="shared" si="103"/>
        <v>-</v>
      </c>
      <c r="CN13" s="117">
        <f t="shared" si="42"/>
        <v>253</v>
      </c>
      <c r="CO13" s="120">
        <f t="shared" si="43"/>
        <v>44</v>
      </c>
      <c r="CP13" s="147">
        <f t="shared" si="30"/>
        <v>5.75</v>
      </c>
    </row>
    <row r="14" spans="1:94" ht="15" thickBot="1" x14ac:dyDescent="0.35">
      <c r="A14" s="294">
        <v>45787</v>
      </c>
      <c r="B14" s="20">
        <v>41</v>
      </c>
      <c r="C14" s="21">
        <v>6</v>
      </c>
      <c r="D14" s="139">
        <f t="shared" si="0"/>
        <v>6.833333333333333</v>
      </c>
      <c r="E14" s="23">
        <v>8</v>
      </c>
      <c r="F14" s="21">
        <v>1</v>
      </c>
      <c r="G14" s="139">
        <f t="shared" si="31"/>
        <v>8</v>
      </c>
      <c r="H14" s="20">
        <v>0</v>
      </c>
      <c r="I14" s="21">
        <v>0</v>
      </c>
      <c r="J14" s="139" t="str">
        <f t="shared" si="32"/>
        <v>-</v>
      </c>
      <c r="K14" s="20">
        <v>16</v>
      </c>
      <c r="L14" s="21">
        <v>2</v>
      </c>
      <c r="M14" s="139">
        <f t="shared" si="33"/>
        <v>8</v>
      </c>
      <c r="N14" s="125">
        <v>0</v>
      </c>
      <c r="O14" s="126">
        <v>0</v>
      </c>
      <c r="P14" s="139" t="str">
        <f t="shared" si="4"/>
        <v>-</v>
      </c>
      <c r="Q14" s="20">
        <v>28</v>
      </c>
      <c r="R14" s="21">
        <v>5</v>
      </c>
      <c r="S14" s="139">
        <f t="shared" si="5"/>
        <v>5.6</v>
      </c>
      <c r="T14" s="20">
        <v>0</v>
      </c>
      <c r="U14" s="21">
        <v>0</v>
      </c>
      <c r="V14" s="139" t="str">
        <f t="shared" si="34"/>
        <v>-</v>
      </c>
      <c r="W14" s="20">
        <v>0</v>
      </c>
      <c r="X14" s="21">
        <v>0</v>
      </c>
      <c r="Y14" s="139" t="str">
        <f t="shared" si="35"/>
        <v>-</v>
      </c>
      <c r="Z14" s="20">
        <v>0</v>
      </c>
      <c r="AA14" s="21">
        <v>0</v>
      </c>
      <c r="AB14" s="139" t="str">
        <f t="shared" si="66"/>
        <v>-</v>
      </c>
      <c r="AC14" s="20">
        <v>0</v>
      </c>
      <c r="AD14" s="21">
        <v>0</v>
      </c>
      <c r="AE14" s="139" t="str">
        <f t="shared" ref="AE14:AE15" si="110">IF(AD14=0,"-",AC14/AD14)</f>
        <v>-</v>
      </c>
      <c r="AF14" s="20">
        <v>0</v>
      </c>
      <c r="AG14" s="21">
        <v>0</v>
      </c>
      <c r="AH14" s="139" t="str">
        <f t="shared" ref="AH14:AH15" si="111">IF(AG14=0,"-",AF14/AG14)</f>
        <v>-</v>
      </c>
      <c r="AI14" s="20">
        <v>0</v>
      </c>
      <c r="AJ14" s="21">
        <v>0</v>
      </c>
      <c r="AK14" s="139" t="str">
        <f t="shared" ref="AK14:AK15" si="112">IF(AJ14=0,"-",AI14/AJ14)</f>
        <v>-</v>
      </c>
      <c r="AL14" s="125">
        <v>6</v>
      </c>
      <c r="AM14" s="126">
        <v>1</v>
      </c>
      <c r="AN14" s="139">
        <f t="shared" si="40"/>
        <v>6</v>
      </c>
      <c r="AO14" s="125">
        <v>0</v>
      </c>
      <c r="AP14" s="126">
        <v>0</v>
      </c>
      <c r="AQ14" s="139" t="str">
        <f t="shared" si="41"/>
        <v>-</v>
      </c>
      <c r="AR14" s="20">
        <v>0</v>
      </c>
      <c r="AS14" s="21">
        <v>0</v>
      </c>
      <c r="AT14" s="139" t="str">
        <f t="shared" ref="AT14" si="113">IF(AS14=0,"-",AR14/AS14)</f>
        <v>-</v>
      </c>
      <c r="AU14" s="20">
        <v>0</v>
      </c>
      <c r="AV14" s="21">
        <v>0</v>
      </c>
      <c r="AW14" s="139" t="str">
        <f t="shared" ref="AW14" si="114">IF(AV14=0,"-",AU14/AV14)</f>
        <v>-</v>
      </c>
      <c r="AX14" s="20">
        <v>0</v>
      </c>
      <c r="AY14" s="21">
        <v>0</v>
      </c>
      <c r="AZ14" s="139">
        <v>0</v>
      </c>
      <c r="BA14" s="20">
        <v>0</v>
      </c>
      <c r="BB14" s="21">
        <v>0</v>
      </c>
      <c r="BC14" s="139">
        <v>0</v>
      </c>
      <c r="BD14" s="20">
        <v>0</v>
      </c>
      <c r="BE14" s="21">
        <v>0</v>
      </c>
      <c r="BF14" s="139">
        <v>0</v>
      </c>
      <c r="BG14" s="20">
        <v>0</v>
      </c>
      <c r="BH14" s="21">
        <v>0</v>
      </c>
      <c r="BI14" s="139">
        <v>0</v>
      </c>
      <c r="BJ14" s="252">
        <v>7</v>
      </c>
      <c r="BK14" s="253">
        <v>1</v>
      </c>
      <c r="BL14" s="276">
        <f t="shared" si="20"/>
        <v>7</v>
      </c>
      <c r="BM14" s="252">
        <v>0</v>
      </c>
      <c r="BN14" s="253">
        <v>0</v>
      </c>
      <c r="BO14" s="276" t="str">
        <f t="shared" si="21"/>
        <v>-</v>
      </c>
      <c r="BP14" s="302">
        <v>9</v>
      </c>
      <c r="BQ14" s="303">
        <v>1</v>
      </c>
      <c r="BR14" s="276">
        <f t="shared" si="22"/>
        <v>9</v>
      </c>
      <c r="BS14" s="257">
        <v>0</v>
      </c>
      <c r="BT14" s="253">
        <v>0</v>
      </c>
      <c r="BU14" s="276" t="str">
        <f t="shared" si="23"/>
        <v>-</v>
      </c>
      <c r="BV14" s="125">
        <v>0</v>
      </c>
      <c r="BW14" s="126">
        <v>0</v>
      </c>
      <c r="BX14" s="276" t="str">
        <f t="shared" si="44"/>
        <v>-</v>
      </c>
      <c r="BY14" s="125">
        <v>0</v>
      </c>
      <c r="BZ14" s="126">
        <v>0</v>
      </c>
      <c r="CA14" s="276" t="str">
        <f t="shared" si="45"/>
        <v>-</v>
      </c>
      <c r="CB14" s="125">
        <v>0</v>
      </c>
      <c r="CC14" s="126">
        <v>0</v>
      </c>
      <c r="CD14" s="276" t="str">
        <f t="shared" si="46"/>
        <v>-</v>
      </c>
      <c r="CE14" s="125">
        <v>21</v>
      </c>
      <c r="CF14" s="126">
        <v>3</v>
      </c>
      <c r="CG14" s="276">
        <f t="shared" si="101"/>
        <v>7</v>
      </c>
      <c r="CH14" s="125">
        <v>0</v>
      </c>
      <c r="CI14" s="126">
        <v>0</v>
      </c>
      <c r="CJ14" s="276" t="str">
        <f t="shared" si="102"/>
        <v>-</v>
      </c>
      <c r="CK14" s="125">
        <v>0</v>
      </c>
      <c r="CL14" s="126">
        <v>0</v>
      </c>
      <c r="CM14" s="276" t="str">
        <f t="shared" si="103"/>
        <v>-</v>
      </c>
      <c r="CN14" s="117">
        <f t="shared" si="42"/>
        <v>136</v>
      </c>
      <c r="CO14" s="120">
        <f t="shared" si="43"/>
        <v>19</v>
      </c>
      <c r="CP14" s="147">
        <f t="shared" si="30"/>
        <v>7.1578947368421053</v>
      </c>
    </row>
    <row r="15" spans="1:94" ht="15" thickBot="1" x14ac:dyDescent="0.35">
      <c r="A15" s="294">
        <v>45788</v>
      </c>
      <c r="B15" s="20">
        <v>0</v>
      </c>
      <c r="C15" s="21">
        <v>0</v>
      </c>
      <c r="D15" s="139" t="str">
        <f t="shared" si="0"/>
        <v>-</v>
      </c>
      <c r="E15" s="20">
        <v>0</v>
      </c>
      <c r="F15" s="21">
        <v>0</v>
      </c>
      <c r="G15" s="139" t="str">
        <f t="shared" si="31"/>
        <v>-</v>
      </c>
      <c r="H15" s="20">
        <v>0</v>
      </c>
      <c r="I15" s="21">
        <v>0</v>
      </c>
      <c r="J15" s="139" t="str">
        <f t="shared" si="32"/>
        <v>-</v>
      </c>
      <c r="K15" s="20">
        <v>0</v>
      </c>
      <c r="L15" s="21">
        <v>0</v>
      </c>
      <c r="M15" s="139" t="str">
        <f t="shared" si="33"/>
        <v>-</v>
      </c>
      <c r="N15" s="125">
        <v>0</v>
      </c>
      <c r="O15" s="126">
        <v>0</v>
      </c>
      <c r="P15" s="139" t="str">
        <f t="shared" si="4"/>
        <v>-</v>
      </c>
      <c r="Q15" s="20">
        <v>0</v>
      </c>
      <c r="R15" s="21">
        <v>0</v>
      </c>
      <c r="S15" s="139" t="str">
        <f t="shared" si="5"/>
        <v>-</v>
      </c>
      <c r="T15" s="20">
        <v>0</v>
      </c>
      <c r="U15" s="21">
        <v>0</v>
      </c>
      <c r="V15" s="139" t="str">
        <f t="shared" si="34"/>
        <v>-</v>
      </c>
      <c r="W15" s="20">
        <v>0</v>
      </c>
      <c r="X15" s="21">
        <v>0</v>
      </c>
      <c r="Y15" s="139" t="str">
        <f t="shared" si="35"/>
        <v>-</v>
      </c>
      <c r="Z15" s="20">
        <v>0</v>
      </c>
      <c r="AA15" s="21">
        <v>0</v>
      </c>
      <c r="AB15" s="139" t="str">
        <f t="shared" si="66"/>
        <v>-</v>
      </c>
      <c r="AC15" s="20">
        <v>0</v>
      </c>
      <c r="AD15" s="21">
        <v>0</v>
      </c>
      <c r="AE15" s="139" t="str">
        <f t="shared" si="110"/>
        <v>-</v>
      </c>
      <c r="AF15" s="20">
        <v>0</v>
      </c>
      <c r="AG15" s="21">
        <v>0</v>
      </c>
      <c r="AH15" s="139" t="str">
        <f t="shared" si="111"/>
        <v>-</v>
      </c>
      <c r="AI15" s="20">
        <v>0</v>
      </c>
      <c r="AJ15" s="21">
        <v>0</v>
      </c>
      <c r="AK15" s="139" t="str">
        <f t="shared" si="112"/>
        <v>-</v>
      </c>
      <c r="AL15" s="20">
        <v>0</v>
      </c>
      <c r="AM15" s="21">
        <v>0</v>
      </c>
      <c r="AN15" s="139" t="str">
        <f t="shared" si="40"/>
        <v>-</v>
      </c>
      <c r="AO15" s="20">
        <v>0</v>
      </c>
      <c r="AP15" s="21">
        <v>0</v>
      </c>
      <c r="AQ15" s="139" t="str">
        <f t="shared" si="41"/>
        <v>-</v>
      </c>
      <c r="AR15" s="20">
        <v>7</v>
      </c>
      <c r="AS15" s="21">
        <v>1</v>
      </c>
      <c r="AT15" s="139">
        <f t="shared" si="93"/>
        <v>7</v>
      </c>
      <c r="AU15" s="20">
        <v>0</v>
      </c>
      <c r="AV15" s="21">
        <v>0</v>
      </c>
      <c r="AW15" s="139" t="str">
        <f t="shared" si="94"/>
        <v>-</v>
      </c>
      <c r="AX15" s="20">
        <v>0</v>
      </c>
      <c r="AY15" s="21">
        <v>0</v>
      </c>
      <c r="AZ15" s="139">
        <v>0</v>
      </c>
      <c r="BA15" s="20">
        <v>0</v>
      </c>
      <c r="BB15" s="21">
        <v>0</v>
      </c>
      <c r="BC15" s="139">
        <v>0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52">
        <v>7</v>
      </c>
      <c r="BK15" s="253">
        <v>1</v>
      </c>
      <c r="BL15" s="276">
        <f t="shared" si="20"/>
        <v>7</v>
      </c>
      <c r="BM15" s="252">
        <v>0</v>
      </c>
      <c r="BN15" s="253">
        <v>0</v>
      </c>
      <c r="BO15" s="276" t="str">
        <f t="shared" si="21"/>
        <v>-</v>
      </c>
      <c r="BP15" s="302">
        <v>0</v>
      </c>
      <c r="BQ15" s="303">
        <v>0</v>
      </c>
      <c r="BR15" s="276" t="str">
        <f t="shared" si="22"/>
        <v>-</v>
      </c>
      <c r="BS15" s="257">
        <v>6</v>
      </c>
      <c r="BT15" s="253">
        <v>1</v>
      </c>
      <c r="BU15" s="276">
        <f t="shared" si="23"/>
        <v>6</v>
      </c>
      <c r="BV15" s="257">
        <v>12</v>
      </c>
      <c r="BW15" s="253">
        <v>2</v>
      </c>
      <c r="BX15" s="276">
        <f t="shared" si="44"/>
        <v>6</v>
      </c>
      <c r="BY15" s="257">
        <v>0</v>
      </c>
      <c r="BZ15" s="253">
        <v>0</v>
      </c>
      <c r="CA15" s="276" t="str">
        <f t="shared" si="45"/>
        <v>-</v>
      </c>
      <c r="CB15" s="257">
        <v>0</v>
      </c>
      <c r="CC15" s="253">
        <v>0</v>
      </c>
      <c r="CD15" s="276" t="str">
        <f t="shared" si="46"/>
        <v>-</v>
      </c>
      <c r="CE15" s="125">
        <v>13</v>
      </c>
      <c r="CF15" s="126">
        <v>2</v>
      </c>
      <c r="CG15" s="276">
        <f t="shared" si="101"/>
        <v>6.5</v>
      </c>
      <c r="CH15" s="125">
        <v>0</v>
      </c>
      <c r="CI15" s="126">
        <v>0</v>
      </c>
      <c r="CJ15" s="276" t="str">
        <f t="shared" si="102"/>
        <v>-</v>
      </c>
      <c r="CK15" s="125">
        <v>0</v>
      </c>
      <c r="CL15" s="126">
        <v>0</v>
      </c>
      <c r="CM15" s="276" t="str">
        <f t="shared" si="103"/>
        <v>-</v>
      </c>
      <c r="CN15" s="117">
        <f t="shared" si="42"/>
        <v>45</v>
      </c>
      <c r="CO15" s="120">
        <f t="shared" si="43"/>
        <v>5</v>
      </c>
      <c r="CP15" s="147">
        <f t="shared" si="30"/>
        <v>9</v>
      </c>
    </row>
    <row r="16" spans="1:94" ht="15" thickBot="1" x14ac:dyDescent="0.35">
      <c r="A16" s="294">
        <v>45789</v>
      </c>
      <c r="B16" s="20">
        <v>38</v>
      </c>
      <c r="C16" s="21">
        <v>7</v>
      </c>
      <c r="D16" s="139">
        <f t="shared" si="0"/>
        <v>5.4285714285714288</v>
      </c>
      <c r="E16" s="20">
        <v>0</v>
      </c>
      <c r="F16" s="21">
        <v>0</v>
      </c>
      <c r="G16" s="139" t="str">
        <f t="shared" ref="G16" si="115">IF(F16=0,"-",E16/F16)</f>
        <v>-</v>
      </c>
      <c r="H16" s="20">
        <v>0</v>
      </c>
      <c r="I16" s="21">
        <v>0</v>
      </c>
      <c r="J16" s="139" t="str">
        <f t="shared" ref="J16" si="116">IF(I16=0,"-",H16/I16)</f>
        <v>-</v>
      </c>
      <c r="K16" s="20">
        <v>10</v>
      </c>
      <c r="L16" s="21">
        <v>2</v>
      </c>
      <c r="M16" s="139">
        <f t="shared" si="33"/>
        <v>5</v>
      </c>
      <c r="N16" s="125">
        <v>0</v>
      </c>
      <c r="O16" s="126">
        <v>0</v>
      </c>
      <c r="P16" s="139" t="str">
        <f t="shared" si="4"/>
        <v>-</v>
      </c>
      <c r="Q16" s="125">
        <v>87</v>
      </c>
      <c r="R16" s="126">
        <v>15</v>
      </c>
      <c r="S16" s="139">
        <f t="shared" si="5"/>
        <v>5.8</v>
      </c>
      <c r="T16" s="20">
        <v>67</v>
      </c>
      <c r="U16" s="21">
        <v>14</v>
      </c>
      <c r="V16" s="139">
        <f t="shared" si="34"/>
        <v>4.7857142857142856</v>
      </c>
      <c r="W16" s="20">
        <v>0</v>
      </c>
      <c r="X16" s="21">
        <v>0</v>
      </c>
      <c r="Y16" s="139" t="str">
        <f t="shared" si="35"/>
        <v>-</v>
      </c>
      <c r="Z16" s="20">
        <v>10</v>
      </c>
      <c r="AA16" s="21">
        <v>2</v>
      </c>
      <c r="AB16" s="139">
        <f t="shared" si="66"/>
        <v>5</v>
      </c>
      <c r="AC16" s="20">
        <v>0</v>
      </c>
      <c r="AD16" s="21">
        <v>0</v>
      </c>
      <c r="AE16" s="139" t="str">
        <f t="shared" si="37"/>
        <v>-</v>
      </c>
      <c r="AF16" s="125">
        <v>6</v>
      </c>
      <c r="AG16" s="126">
        <v>1</v>
      </c>
      <c r="AH16" s="139">
        <f t="shared" si="38"/>
        <v>6</v>
      </c>
      <c r="AI16" s="125">
        <v>0</v>
      </c>
      <c r="AJ16" s="126">
        <v>0</v>
      </c>
      <c r="AK16" s="139" t="str">
        <f t="shared" si="39"/>
        <v>-</v>
      </c>
      <c r="AL16" s="125">
        <v>0</v>
      </c>
      <c r="AM16" s="126">
        <v>0</v>
      </c>
      <c r="AN16" s="139" t="str">
        <f t="shared" si="40"/>
        <v>-</v>
      </c>
      <c r="AO16" s="125">
        <v>0</v>
      </c>
      <c r="AP16" s="126">
        <v>0</v>
      </c>
      <c r="AQ16" s="139" t="str">
        <f t="shared" si="41"/>
        <v>-</v>
      </c>
      <c r="AR16" s="20">
        <v>3</v>
      </c>
      <c r="AS16" s="21">
        <v>1</v>
      </c>
      <c r="AT16" s="139">
        <f t="shared" si="93"/>
        <v>3</v>
      </c>
      <c r="AU16" s="20">
        <v>0</v>
      </c>
      <c r="AV16" s="21">
        <v>0</v>
      </c>
      <c r="AW16" s="139" t="str">
        <f t="shared" si="94"/>
        <v>-</v>
      </c>
      <c r="AX16" s="20">
        <v>4</v>
      </c>
      <c r="AY16" s="21">
        <v>2</v>
      </c>
      <c r="AZ16" s="139">
        <f t="shared" si="95"/>
        <v>2</v>
      </c>
      <c r="BA16" s="20">
        <v>0</v>
      </c>
      <c r="BB16" s="21">
        <v>0</v>
      </c>
      <c r="BC16" s="139" t="str">
        <f t="shared" si="96"/>
        <v>-</v>
      </c>
      <c r="BD16" s="20">
        <v>0</v>
      </c>
      <c r="BE16" s="21">
        <v>0</v>
      </c>
      <c r="BF16" s="139" t="str">
        <f t="shared" si="18"/>
        <v>-</v>
      </c>
      <c r="BG16" s="20">
        <v>0</v>
      </c>
      <c r="BH16" s="21">
        <v>0</v>
      </c>
      <c r="BI16" s="139" t="str">
        <f t="shared" si="19"/>
        <v>-</v>
      </c>
      <c r="BJ16" s="252">
        <v>14</v>
      </c>
      <c r="BK16" s="253">
        <v>2</v>
      </c>
      <c r="BL16" s="276">
        <f t="shared" si="20"/>
        <v>7</v>
      </c>
      <c r="BM16" s="252">
        <v>0</v>
      </c>
      <c r="BN16" s="253">
        <v>0</v>
      </c>
      <c r="BO16" s="276" t="str">
        <f t="shared" si="21"/>
        <v>-</v>
      </c>
      <c r="BP16" s="302">
        <v>0</v>
      </c>
      <c r="BQ16" s="303">
        <v>0</v>
      </c>
      <c r="BR16" s="276" t="str">
        <f t="shared" si="22"/>
        <v>-</v>
      </c>
      <c r="BS16" s="257">
        <v>7</v>
      </c>
      <c r="BT16" s="253">
        <v>1</v>
      </c>
      <c r="BU16" s="276">
        <f t="shared" si="23"/>
        <v>7</v>
      </c>
      <c r="BV16" s="257">
        <v>0</v>
      </c>
      <c r="BW16" s="253">
        <v>0</v>
      </c>
      <c r="BX16" s="276" t="str">
        <f t="shared" si="44"/>
        <v>-</v>
      </c>
      <c r="BY16" s="257">
        <v>0</v>
      </c>
      <c r="BZ16" s="253">
        <v>0</v>
      </c>
      <c r="CA16" s="276" t="str">
        <f t="shared" si="45"/>
        <v>-</v>
      </c>
      <c r="CB16" s="257">
        <v>0</v>
      </c>
      <c r="CC16" s="253">
        <v>0</v>
      </c>
      <c r="CD16" s="276" t="str">
        <f t="shared" si="46"/>
        <v>-</v>
      </c>
      <c r="CE16" s="257">
        <v>18</v>
      </c>
      <c r="CF16" s="253">
        <v>3</v>
      </c>
      <c r="CG16" s="276">
        <f t="shared" si="101"/>
        <v>6</v>
      </c>
      <c r="CH16" s="257">
        <v>0</v>
      </c>
      <c r="CI16" s="253">
        <v>0</v>
      </c>
      <c r="CJ16" s="276" t="str">
        <f t="shared" si="102"/>
        <v>-</v>
      </c>
      <c r="CK16" s="257">
        <v>0</v>
      </c>
      <c r="CL16" s="253">
        <v>0</v>
      </c>
      <c r="CM16" s="276" t="str">
        <f t="shared" si="103"/>
        <v>-</v>
      </c>
      <c r="CN16" s="117">
        <f t="shared" si="42"/>
        <v>264</v>
      </c>
      <c r="CO16" s="120">
        <f t="shared" si="43"/>
        <v>50</v>
      </c>
      <c r="CP16" s="147">
        <f t="shared" si="30"/>
        <v>5.28</v>
      </c>
    </row>
    <row r="17" spans="1:94" ht="15" thickBot="1" x14ac:dyDescent="0.35">
      <c r="A17" s="294">
        <v>45790</v>
      </c>
      <c r="B17" s="20">
        <v>32</v>
      </c>
      <c r="C17" s="21">
        <v>5</v>
      </c>
      <c r="D17" s="139">
        <f t="shared" si="0"/>
        <v>6.4</v>
      </c>
      <c r="E17" s="20">
        <v>20</v>
      </c>
      <c r="F17" s="21">
        <v>3</v>
      </c>
      <c r="G17" s="139">
        <f t="shared" si="31"/>
        <v>6.666666666666667</v>
      </c>
      <c r="H17" s="20">
        <v>0</v>
      </c>
      <c r="I17" s="21">
        <v>0</v>
      </c>
      <c r="J17" s="139" t="str">
        <f t="shared" si="32"/>
        <v>-</v>
      </c>
      <c r="K17" s="20">
        <v>15</v>
      </c>
      <c r="L17" s="21">
        <v>2</v>
      </c>
      <c r="M17" s="139">
        <f t="shared" si="33"/>
        <v>7.5</v>
      </c>
      <c r="N17" s="125">
        <v>0</v>
      </c>
      <c r="O17" s="126">
        <v>0</v>
      </c>
      <c r="P17" s="139" t="str">
        <f t="shared" si="4"/>
        <v>-</v>
      </c>
      <c r="Q17" s="125">
        <v>94</v>
      </c>
      <c r="R17" s="126">
        <v>29</v>
      </c>
      <c r="S17" s="139">
        <f t="shared" si="5"/>
        <v>3.2413793103448274</v>
      </c>
      <c r="T17" s="125">
        <v>64</v>
      </c>
      <c r="U17" s="126">
        <v>13</v>
      </c>
      <c r="V17" s="139">
        <f t="shared" si="34"/>
        <v>4.9230769230769234</v>
      </c>
      <c r="W17" s="125">
        <v>0</v>
      </c>
      <c r="X17" s="126">
        <v>0</v>
      </c>
      <c r="Y17" s="139" t="str">
        <f t="shared" si="35"/>
        <v>-</v>
      </c>
      <c r="Z17" s="125">
        <v>15</v>
      </c>
      <c r="AA17" s="126">
        <v>3</v>
      </c>
      <c r="AB17" s="139">
        <f t="shared" si="66"/>
        <v>5</v>
      </c>
      <c r="AC17" s="125">
        <v>0</v>
      </c>
      <c r="AD17" s="126">
        <v>0</v>
      </c>
      <c r="AE17" s="139" t="str">
        <f t="shared" si="37"/>
        <v>-</v>
      </c>
      <c r="AF17" s="125">
        <v>0</v>
      </c>
      <c r="AG17" s="126">
        <v>0</v>
      </c>
      <c r="AH17" s="139" t="str">
        <f t="shared" si="38"/>
        <v>-</v>
      </c>
      <c r="AI17" s="125">
        <v>0</v>
      </c>
      <c r="AJ17" s="126">
        <v>0</v>
      </c>
      <c r="AK17" s="139" t="str">
        <f t="shared" si="39"/>
        <v>-</v>
      </c>
      <c r="AL17" s="125">
        <v>0</v>
      </c>
      <c r="AM17" s="126">
        <v>0</v>
      </c>
      <c r="AN17" s="139" t="str">
        <f t="shared" si="40"/>
        <v>-</v>
      </c>
      <c r="AO17" s="125">
        <v>0</v>
      </c>
      <c r="AP17" s="126">
        <v>0</v>
      </c>
      <c r="AQ17" s="139" t="str">
        <f t="shared" si="41"/>
        <v>-</v>
      </c>
      <c r="AR17" s="125">
        <v>0</v>
      </c>
      <c r="AS17" s="126">
        <v>0</v>
      </c>
      <c r="AT17" s="139" t="str">
        <f t="shared" si="93"/>
        <v>-</v>
      </c>
      <c r="AU17" s="125">
        <v>0</v>
      </c>
      <c r="AV17" s="126">
        <v>0</v>
      </c>
      <c r="AW17" s="139" t="str">
        <f t="shared" si="94"/>
        <v>-</v>
      </c>
      <c r="AX17" s="125">
        <v>1</v>
      </c>
      <c r="AY17" s="126">
        <v>1</v>
      </c>
      <c r="AZ17" s="139">
        <f t="shared" si="95"/>
        <v>1</v>
      </c>
      <c r="BA17" s="125">
        <v>0</v>
      </c>
      <c r="BB17" s="126">
        <v>0</v>
      </c>
      <c r="BC17" s="139" t="str">
        <f t="shared" si="96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52">
        <v>14</v>
      </c>
      <c r="BK17" s="253">
        <v>2</v>
      </c>
      <c r="BL17" s="276">
        <f t="shared" si="20"/>
        <v>7</v>
      </c>
      <c r="BM17" s="252">
        <v>0</v>
      </c>
      <c r="BN17" s="253">
        <v>0</v>
      </c>
      <c r="BO17" s="276" t="str">
        <f t="shared" si="21"/>
        <v>-</v>
      </c>
      <c r="BP17" s="302">
        <v>0</v>
      </c>
      <c r="BQ17" s="303">
        <v>0</v>
      </c>
      <c r="BR17" s="276" t="str">
        <f t="shared" si="22"/>
        <v>-</v>
      </c>
      <c r="BS17" s="257">
        <v>0</v>
      </c>
      <c r="BT17" s="253">
        <v>0</v>
      </c>
      <c r="BU17" s="276" t="str">
        <f t="shared" si="23"/>
        <v>-</v>
      </c>
      <c r="BV17" s="257">
        <v>12</v>
      </c>
      <c r="BW17" s="253">
        <v>2</v>
      </c>
      <c r="BX17" s="276">
        <f t="shared" si="44"/>
        <v>6</v>
      </c>
      <c r="BY17" s="257">
        <v>0</v>
      </c>
      <c r="BZ17" s="253">
        <v>0</v>
      </c>
      <c r="CA17" s="276" t="str">
        <f t="shared" si="45"/>
        <v>-</v>
      </c>
      <c r="CB17" s="257">
        <v>6</v>
      </c>
      <c r="CC17" s="253">
        <v>1</v>
      </c>
      <c r="CD17" s="276">
        <f t="shared" si="46"/>
        <v>6</v>
      </c>
      <c r="CE17" s="125">
        <v>5</v>
      </c>
      <c r="CF17" s="126">
        <v>1</v>
      </c>
      <c r="CG17" s="276">
        <f t="shared" si="101"/>
        <v>5</v>
      </c>
      <c r="CH17" s="125">
        <v>0</v>
      </c>
      <c r="CI17" s="126">
        <v>0</v>
      </c>
      <c r="CJ17" s="276" t="str">
        <f t="shared" si="102"/>
        <v>-</v>
      </c>
      <c r="CK17" s="125">
        <v>0</v>
      </c>
      <c r="CL17" s="126">
        <v>0</v>
      </c>
      <c r="CM17" s="276" t="str">
        <f t="shared" si="103"/>
        <v>-</v>
      </c>
      <c r="CN17" s="117">
        <f t="shared" si="42"/>
        <v>278</v>
      </c>
      <c r="CO17" s="120">
        <f t="shared" si="43"/>
        <v>60</v>
      </c>
      <c r="CP17" s="147">
        <f t="shared" si="30"/>
        <v>4.6333333333333337</v>
      </c>
    </row>
    <row r="18" spans="1:94" ht="15" thickBot="1" x14ac:dyDescent="0.35">
      <c r="A18" s="294">
        <v>45791</v>
      </c>
      <c r="B18" s="20">
        <v>40</v>
      </c>
      <c r="C18" s="21">
        <v>5</v>
      </c>
      <c r="D18" s="139">
        <f t="shared" si="0"/>
        <v>8</v>
      </c>
      <c r="E18" s="20">
        <v>7</v>
      </c>
      <c r="F18" s="21">
        <v>1</v>
      </c>
      <c r="G18" s="139">
        <f t="shared" si="31"/>
        <v>7</v>
      </c>
      <c r="H18" s="20">
        <v>0</v>
      </c>
      <c r="I18" s="21">
        <v>0</v>
      </c>
      <c r="J18" s="139" t="str">
        <f t="shared" si="32"/>
        <v>-</v>
      </c>
      <c r="K18" s="20">
        <v>14</v>
      </c>
      <c r="L18" s="21">
        <v>2</v>
      </c>
      <c r="M18" s="139">
        <f t="shared" si="33"/>
        <v>7</v>
      </c>
      <c r="N18" s="125">
        <v>0</v>
      </c>
      <c r="O18" s="126">
        <v>0</v>
      </c>
      <c r="P18" s="139" t="str">
        <f t="shared" si="4"/>
        <v>-</v>
      </c>
      <c r="Q18" s="125">
        <v>59</v>
      </c>
      <c r="R18" s="126">
        <v>14</v>
      </c>
      <c r="S18" s="139">
        <f t="shared" si="5"/>
        <v>4.2142857142857144</v>
      </c>
      <c r="T18" s="125">
        <v>210</v>
      </c>
      <c r="U18" s="126">
        <v>31</v>
      </c>
      <c r="V18" s="139">
        <f t="shared" si="34"/>
        <v>6.774193548387097</v>
      </c>
      <c r="W18" s="125">
        <v>0</v>
      </c>
      <c r="X18" s="126">
        <v>0</v>
      </c>
      <c r="Y18" s="139" t="str">
        <f t="shared" si="35"/>
        <v>-</v>
      </c>
      <c r="Z18" s="125">
        <v>51</v>
      </c>
      <c r="AA18" s="126">
        <v>10</v>
      </c>
      <c r="AB18" s="139">
        <f t="shared" si="66"/>
        <v>5.0999999999999996</v>
      </c>
      <c r="AC18" s="125">
        <v>0</v>
      </c>
      <c r="AD18" s="126">
        <v>0</v>
      </c>
      <c r="AE18" s="139" t="str">
        <f t="shared" si="37"/>
        <v>-</v>
      </c>
      <c r="AF18" s="125">
        <v>0</v>
      </c>
      <c r="AG18" s="126">
        <v>0</v>
      </c>
      <c r="AH18" s="139" t="str">
        <f t="shared" si="38"/>
        <v>-</v>
      </c>
      <c r="AI18" s="125">
        <v>0</v>
      </c>
      <c r="AJ18" s="126">
        <v>0</v>
      </c>
      <c r="AK18" s="139" t="str">
        <f t="shared" si="39"/>
        <v>-</v>
      </c>
      <c r="AL18" s="125">
        <v>0</v>
      </c>
      <c r="AM18" s="126">
        <v>0</v>
      </c>
      <c r="AN18" s="139" t="str">
        <f t="shared" si="40"/>
        <v>-</v>
      </c>
      <c r="AO18" s="125">
        <v>0</v>
      </c>
      <c r="AP18" s="126">
        <v>0</v>
      </c>
      <c r="AQ18" s="139" t="str">
        <f t="shared" si="41"/>
        <v>-</v>
      </c>
      <c r="AR18" s="20">
        <v>3</v>
      </c>
      <c r="AS18" s="21">
        <v>1</v>
      </c>
      <c r="AT18" s="139">
        <f t="shared" si="93"/>
        <v>3</v>
      </c>
      <c r="AU18" s="20">
        <v>0</v>
      </c>
      <c r="AV18" s="21">
        <v>0</v>
      </c>
      <c r="AW18" s="139" t="str">
        <f t="shared" si="94"/>
        <v>-</v>
      </c>
      <c r="AX18" s="20">
        <v>7</v>
      </c>
      <c r="AY18" s="21">
        <v>1</v>
      </c>
      <c r="AZ18" s="139">
        <v>0</v>
      </c>
      <c r="BA18" s="20">
        <v>2</v>
      </c>
      <c r="BB18" s="21">
        <v>1</v>
      </c>
      <c r="BC18" s="139">
        <v>0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 t="shared" si="19"/>
        <v>-</v>
      </c>
      <c r="BJ18" s="318">
        <v>10</v>
      </c>
      <c r="BK18" s="303">
        <v>2</v>
      </c>
      <c r="BL18" s="276">
        <f t="shared" si="20"/>
        <v>5</v>
      </c>
      <c r="BM18" s="252">
        <v>0</v>
      </c>
      <c r="BN18" s="253">
        <v>0</v>
      </c>
      <c r="BO18" s="276" t="str">
        <f t="shared" si="21"/>
        <v>-</v>
      </c>
      <c r="BP18" s="302">
        <v>0</v>
      </c>
      <c r="BQ18" s="303">
        <v>0</v>
      </c>
      <c r="BR18" s="276" t="str">
        <f t="shared" si="22"/>
        <v>-</v>
      </c>
      <c r="BS18" s="257">
        <v>0</v>
      </c>
      <c r="BT18" s="253">
        <v>0</v>
      </c>
      <c r="BU18" s="276" t="str">
        <f t="shared" si="23"/>
        <v>-</v>
      </c>
      <c r="BV18" s="20">
        <v>3</v>
      </c>
      <c r="BW18" s="21">
        <v>1</v>
      </c>
      <c r="BX18" s="139">
        <f t="shared" si="44"/>
        <v>3</v>
      </c>
      <c r="BY18" s="20">
        <v>0</v>
      </c>
      <c r="BZ18" s="21">
        <v>0</v>
      </c>
      <c r="CA18" s="139" t="str">
        <f t="shared" si="45"/>
        <v>-</v>
      </c>
      <c r="CB18" s="20">
        <v>0</v>
      </c>
      <c r="CC18" s="21">
        <v>0</v>
      </c>
      <c r="CD18" s="139" t="str">
        <f t="shared" si="46"/>
        <v>-</v>
      </c>
      <c r="CE18" s="125">
        <v>0</v>
      </c>
      <c r="CF18" s="126">
        <v>0</v>
      </c>
      <c r="CG18" s="276" t="str">
        <f t="shared" si="101"/>
        <v>-</v>
      </c>
      <c r="CH18" s="20">
        <v>0</v>
      </c>
      <c r="CI18" s="21">
        <v>0</v>
      </c>
      <c r="CJ18" s="139" t="str">
        <f t="shared" si="102"/>
        <v>-</v>
      </c>
      <c r="CK18" s="125">
        <v>0</v>
      </c>
      <c r="CL18" s="126">
        <v>0</v>
      </c>
      <c r="CM18" s="276" t="str">
        <f t="shared" si="103"/>
        <v>-</v>
      </c>
      <c r="CN18" s="117">
        <f t="shared" si="42"/>
        <v>406</v>
      </c>
      <c r="CO18" s="120">
        <f t="shared" si="43"/>
        <v>68</v>
      </c>
      <c r="CP18" s="147">
        <f t="shared" si="30"/>
        <v>5.9705882352941178</v>
      </c>
    </row>
    <row r="19" spans="1:94" ht="15" thickBot="1" x14ac:dyDescent="0.35">
      <c r="A19" s="294">
        <v>45792</v>
      </c>
      <c r="B19" s="20">
        <v>37</v>
      </c>
      <c r="C19" s="21">
        <v>5</v>
      </c>
      <c r="D19" s="139">
        <f t="shared" si="0"/>
        <v>7.4</v>
      </c>
      <c r="E19" s="20">
        <v>15</v>
      </c>
      <c r="F19" s="21">
        <v>2</v>
      </c>
      <c r="G19" s="139">
        <f t="shared" si="31"/>
        <v>7.5</v>
      </c>
      <c r="H19" s="20">
        <v>0</v>
      </c>
      <c r="I19" s="21">
        <v>0</v>
      </c>
      <c r="J19" s="139" t="str">
        <f t="shared" si="32"/>
        <v>-</v>
      </c>
      <c r="K19" s="20">
        <v>13</v>
      </c>
      <c r="L19" s="21">
        <v>2</v>
      </c>
      <c r="M19" s="139">
        <f t="shared" si="33"/>
        <v>6.5</v>
      </c>
      <c r="N19" s="125">
        <v>0</v>
      </c>
      <c r="O19" s="126">
        <v>0</v>
      </c>
      <c r="P19" s="139" t="str">
        <f t="shared" si="4"/>
        <v>-</v>
      </c>
      <c r="Q19" s="125">
        <v>78</v>
      </c>
      <c r="R19" s="126">
        <v>21</v>
      </c>
      <c r="S19" s="139">
        <f t="shared" si="5"/>
        <v>3.7142857142857144</v>
      </c>
      <c r="T19" s="125">
        <v>2</v>
      </c>
      <c r="U19" s="126">
        <v>1</v>
      </c>
      <c r="V19" s="139">
        <f t="shared" si="34"/>
        <v>2</v>
      </c>
      <c r="W19" s="125">
        <v>0</v>
      </c>
      <c r="X19" s="126">
        <v>0</v>
      </c>
      <c r="Y19" s="139" t="str">
        <f t="shared" si="35"/>
        <v>-</v>
      </c>
      <c r="Z19" s="125">
        <v>40</v>
      </c>
      <c r="AA19" s="126">
        <v>8</v>
      </c>
      <c r="AB19" s="139">
        <f t="shared" si="66"/>
        <v>5</v>
      </c>
      <c r="AC19" s="125">
        <v>0</v>
      </c>
      <c r="AD19" s="126">
        <v>0</v>
      </c>
      <c r="AE19" s="139" t="str">
        <f t="shared" ref="AE19" si="117">IF(AD19=0,"-",AC19/AD19)</f>
        <v>-</v>
      </c>
      <c r="AF19" s="125">
        <v>0</v>
      </c>
      <c r="AG19" s="126">
        <v>0</v>
      </c>
      <c r="AH19" s="139" t="str">
        <f t="shared" ref="AH19" si="118">IF(AG19=0,"-",AF19/AG19)</f>
        <v>-</v>
      </c>
      <c r="AI19" s="125">
        <v>0</v>
      </c>
      <c r="AJ19" s="126">
        <v>0</v>
      </c>
      <c r="AK19" s="139" t="str">
        <f t="shared" ref="AK19" si="119">IF(AJ19=0,"-",AI19/AJ19)</f>
        <v>-</v>
      </c>
      <c r="AL19" s="125">
        <v>0</v>
      </c>
      <c r="AM19" s="126">
        <v>0</v>
      </c>
      <c r="AN19" s="139" t="str">
        <f t="shared" ref="AN19" si="120">IF(AM19=0,"-",AL19/AM19)</f>
        <v>-</v>
      </c>
      <c r="AO19" s="125">
        <v>0</v>
      </c>
      <c r="AP19" s="126">
        <v>0</v>
      </c>
      <c r="AQ19" s="139" t="str">
        <f t="shared" ref="AQ19" si="121">IF(AP19=0,"-",AO19/AP19)</f>
        <v>-</v>
      </c>
      <c r="AR19" s="20">
        <v>3</v>
      </c>
      <c r="AS19" s="21">
        <v>1</v>
      </c>
      <c r="AT19" s="139">
        <f t="shared" si="93"/>
        <v>3</v>
      </c>
      <c r="AU19" s="20">
        <v>0</v>
      </c>
      <c r="AV19" s="21">
        <v>0</v>
      </c>
      <c r="AW19" s="139" t="str">
        <f t="shared" si="94"/>
        <v>-</v>
      </c>
      <c r="AX19" s="20">
        <v>1</v>
      </c>
      <c r="AY19" s="21">
        <v>1</v>
      </c>
      <c r="AZ19" s="139">
        <v>0</v>
      </c>
      <c r="BA19" s="20">
        <v>0</v>
      </c>
      <c r="BB19" s="21">
        <v>0</v>
      </c>
      <c r="BC19" s="139">
        <v>0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52">
        <v>0</v>
      </c>
      <c r="BK19" s="253">
        <v>0</v>
      </c>
      <c r="BL19" s="276">
        <v>0</v>
      </c>
      <c r="BM19" s="252">
        <v>0</v>
      </c>
      <c r="BN19" s="253">
        <v>0</v>
      </c>
      <c r="BO19" s="276" t="str">
        <f t="shared" si="21"/>
        <v>-</v>
      </c>
      <c r="BP19" s="302">
        <v>0</v>
      </c>
      <c r="BQ19" s="303">
        <v>0</v>
      </c>
      <c r="BR19" s="276" t="str">
        <f t="shared" si="22"/>
        <v>-</v>
      </c>
      <c r="BS19" s="257">
        <v>0</v>
      </c>
      <c r="BT19" s="253">
        <v>0</v>
      </c>
      <c r="BU19" s="276" t="str">
        <f t="shared" si="23"/>
        <v>-</v>
      </c>
      <c r="BV19" s="257">
        <v>0</v>
      </c>
      <c r="BW19" s="253">
        <v>0</v>
      </c>
      <c r="BX19" s="276" t="str">
        <f t="shared" si="44"/>
        <v>-</v>
      </c>
      <c r="BY19" s="257">
        <v>0</v>
      </c>
      <c r="BZ19" s="253">
        <v>0</v>
      </c>
      <c r="CA19" s="276" t="str">
        <f t="shared" si="45"/>
        <v>-</v>
      </c>
      <c r="CB19" s="257">
        <v>0</v>
      </c>
      <c r="CC19" s="253">
        <v>0</v>
      </c>
      <c r="CD19" s="276" t="str">
        <f t="shared" si="46"/>
        <v>-</v>
      </c>
      <c r="CE19" s="257">
        <v>0</v>
      </c>
      <c r="CF19" s="253">
        <v>0</v>
      </c>
      <c r="CG19" s="276" t="str">
        <f t="shared" si="101"/>
        <v>-</v>
      </c>
      <c r="CH19" s="257">
        <v>0</v>
      </c>
      <c r="CI19" s="253">
        <v>0</v>
      </c>
      <c r="CJ19" s="276" t="str">
        <f t="shared" si="102"/>
        <v>-</v>
      </c>
      <c r="CK19" s="257">
        <v>0</v>
      </c>
      <c r="CL19" s="253">
        <v>0</v>
      </c>
      <c r="CM19" s="276" t="str">
        <f t="shared" si="103"/>
        <v>-</v>
      </c>
      <c r="CN19" s="117">
        <f t="shared" si="42"/>
        <v>189</v>
      </c>
      <c r="CO19" s="120">
        <f t="shared" si="43"/>
        <v>41</v>
      </c>
      <c r="CP19" s="147">
        <f t="shared" si="30"/>
        <v>4.6097560975609753</v>
      </c>
    </row>
    <row r="20" spans="1:94" ht="15" thickBot="1" x14ac:dyDescent="0.35">
      <c r="A20" s="294">
        <v>45793</v>
      </c>
      <c r="B20" s="20">
        <v>26</v>
      </c>
      <c r="C20" s="21">
        <v>4</v>
      </c>
      <c r="D20" s="139">
        <f t="shared" si="0"/>
        <v>6.5</v>
      </c>
      <c r="E20" s="20">
        <v>0</v>
      </c>
      <c r="F20" s="21">
        <v>0</v>
      </c>
      <c r="G20" s="139" t="str">
        <f t="shared" si="31"/>
        <v>-</v>
      </c>
      <c r="H20" s="20">
        <v>0</v>
      </c>
      <c r="I20" s="21">
        <v>0</v>
      </c>
      <c r="J20" s="139" t="str">
        <f t="shared" si="32"/>
        <v>-</v>
      </c>
      <c r="K20" s="20">
        <v>0</v>
      </c>
      <c r="L20" s="21">
        <v>0</v>
      </c>
      <c r="M20" s="139" t="str">
        <f t="shared" si="33"/>
        <v>-</v>
      </c>
      <c r="N20" s="125">
        <v>0</v>
      </c>
      <c r="O20" s="126">
        <v>0</v>
      </c>
      <c r="P20" s="139" t="str">
        <f t="shared" si="4"/>
        <v>-</v>
      </c>
      <c r="Q20" s="125">
        <v>57</v>
      </c>
      <c r="R20" s="126">
        <v>4</v>
      </c>
      <c r="S20" s="139">
        <f t="shared" si="5"/>
        <v>14.25</v>
      </c>
      <c r="T20" s="125">
        <v>0</v>
      </c>
      <c r="U20" s="126">
        <v>0</v>
      </c>
      <c r="V20" s="139" t="str">
        <f t="shared" si="34"/>
        <v>-</v>
      </c>
      <c r="W20" s="125">
        <v>0</v>
      </c>
      <c r="X20" s="126">
        <v>0</v>
      </c>
      <c r="Y20" s="139" t="str">
        <f t="shared" si="35"/>
        <v>-</v>
      </c>
      <c r="Z20" s="125">
        <v>30</v>
      </c>
      <c r="AA20" s="126">
        <v>6</v>
      </c>
      <c r="AB20" s="139">
        <f t="shared" si="66"/>
        <v>5</v>
      </c>
      <c r="AC20" s="125">
        <v>0</v>
      </c>
      <c r="AD20" s="126">
        <v>0</v>
      </c>
      <c r="AE20" s="139" t="str">
        <f t="shared" si="37"/>
        <v>-</v>
      </c>
      <c r="AF20" s="125">
        <v>6</v>
      </c>
      <c r="AG20" s="126">
        <v>1</v>
      </c>
      <c r="AH20" s="139">
        <f t="shared" si="38"/>
        <v>6</v>
      </c>
      <c r="AI20" s="125">
        <v>0</v>
      </c>
      <c r="AJ20" s="126">
        <v>0</v>
      </c>
      <c r="AK20" s="139" t="str">
        <f t="shared" si="39"/>
        <v>-</v>
      </c>
      <c r="AL20" s="125">
        <v>0</v>
      </c>
      <c r="AM20" s="126">
        <v>0</v>
      </c>
      <c r="AN20" s="139" t="str">
        <f t="shared" si="40"/>
        <v>-</v>
      </c>
      <c r="AO20" s="125">
        <v>0</v>
      </c>
      <c r="AP20" s="126">
        <v>0</v>
      </c>
      <c r="AQ20" s="139" t="str">
        <f t="shared" si="41"/>
        <v>-</v>
      </c>
      <c r="AR20" s="125">
        <v>0</v>
      </c>
      <c r="AS20" s="126">
        <v>0</v>
      </c>
      <c r="AT20" s="139" t="str">
        <f t="shared" si="93"/>
        <v>-</v>
      </c>
      <c r="AU20" s="125">
        <v>0</v>
      </c>
      <c r="AV20" s="126">
        <v>0</v>
      </c>
      <c r="AW20" s="139" t="str">
        <f t="shared" si="94"/>
        <v>-</v>
      </c>
      <c r="AX20" s="125">
        <v>0</v>
      </c>
      <c r="AY20" s="126">
        <v>0</v>
      </c>
      <c r="AZ20" s="139" t="str">
        <f t="shared" ref="AZ20" si="122">IF(AY20=0,"-",AX20/AY20)</f>
        <v>-</v>
      </c>
      <c r="BA20" s="125">
        <v>33</v>
      </c>
      <c r="BB20" s="126">
        <v>4</v>
      </c>
      <c r="BC20" s="139">
        <f t="shared" ref="BC20:BC35" si="123">IF(BB20=0,"-",BA20/BB20)</f>
        <v>8.25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15</v>
      </c>
      <c r="BK20" s="253">
        <v>2</v>
      </c>
      <c r="BL20" s="276">
        <f t="shared" si="20"/>
        <v>7.5</v>
      </c>
      <c r="BM20" s="252">
        <v>2</v>
      </c>
      <c r="BN20" s="253">
        <v>1</v>
      </c>
      <c r="BO20" s="276">
        <f t="shared" si="21"/>
        <v>2</v>
      </c>
      <c r="BP20" s="302">
        <v>14</v>
      </c>
      <c r="BQ20" s="303">
        <v>2</v>
      </c>
      <c r="BR20" s="276">
        <f t="shared" si="22"/>
        <v>7</v>
      </c>
      <c r="BS20" s="257">
        <v>0</v>
      </c>
      <c r="BT20" s="253">
        <v>0</v>
      </c>
      <c r="BU20" s="276" t="str">
        <f t="shared" si="23"/>
        <v>-</v>
      </c>
      <c r="BV20" s="257">
        <v>0</v>
      </c>
      <c r="BW20" s="253">
        <v>0</v>
      </c>
      <c r="BX20" s="276" t="str">
        <f t="shared" si="44"/>
        <v>-</v>
      </c>
      <c r="BY20" s="257">
        <v>0</v>
      </c>
      <c r="BZ20" s="253">
        <v>0</v>
      </c>
      <c r="CA20" s="276" t="str">
        <f t="shared" si="45"/>
        <v>-</v>
      </c>
      <c r="CB20" s="257">
        <v>0</v>
      </c>
      <c r="CC20" s="253">
        <v>0</v>
      </c>
      <c r="CD20" s="276" t="str">
        <f t="shared" si="46"/>
        <v>-</v>
      </c>
      <c r="CE20" s="257">
        <v>0</v>
      </c>
      <c r="CF20" s="253">
        <v>0</v>
      </c>
      <c r="CG20" s="276" t="str">
        <f t="shared" ref="CG20" si="124">IF(CF20=0,"-",CE20/CF20)</f>
        <v>-</v>
      </c>
      <c r="CH20" s="257">
        <v>0</v>
      </c>
      <c r="CI20" s="253">
        <v>0</v>
      </c>
      <c r="CJ20" s="276" t="str">
        <f t="shared" ref="CJ20" si="125">IF(CI20=0,"-",CH20/CI20)</f>
        <v>-</v>
      </c>
      <c r="CK20" s="257">
        <v>0</v>
      </c>
      <c r="CL20" s="253">
        <v>0</v>
      </c>
      <c r="CM20" s="276" t="str">
        <f t="shared" ref="CM20" si="126">IF(CL20=0,"-",CK20/CL20)</f>
        <v>-</v>
      </c>
      <c r="CN20" s="117">
        <f t="shared" si="42"/>
        <v>183</v>
      </c>
      <c r="CO20" s="120">
        <f t="shared" si="43"/>
        <v>24</v>
      </c>
      <c r="CP20" s="147">
        <f t="shared" si="30"/>
        <v>7.625</v>
      </c>
    </row>
    <row r="21" spans="1:94" ht="15" thickBot="1" x14ac:dyDescent="0.35">
      <c r="A21" s="294">
        <v>45794</v>
      </c>
      <c r="B21" s="20">
        <v>27</v>
      </c>
      <c r="C21" s="21">
        <v>4</v>
      </c>
      <c r="D21" s="139">
        <f t="shared" si="0"/>
        <v>6.75</v>
      </c>
      <c r="E21" s="20">
        <v>6</v>
      </c>
      <c r="F21" s="21">
        <v>1</v>
      </c>
      <c r="G21" s="139">
        <f t="shared" si="31"/>
        <v>6</v>
      </c>
      <c r="H21" s="20">
        <v>0</v>
      </c>
      <c r="I21" s="21">
        <v>0</v>
      </c>
      <c r="J21" s="139" t="str">
        <f t="shared" si="32"/>
        <v>-</v>
      </c>
      <c r="K21" s="20">
        <v>8</v>
      </c>
      <c r="L21" s="21">
        <v>1</v>
      </c>
      <c r="M21" s="139">
        <f t="shared" si="33"/>
        <v>8</v>
      </c>
      <c r="N21" s="125">
        <v>0</v>
      </c>
      <c r="O21" s="126">
        <v>0</v>
      </c>
      <c r="P21" s="139" t="str">
        <f t="shared" si="4"/>
        <v>-</v>
      </c>
      <c r="Q21" s="125">
        <v>15</v>
      </c>
      <c r="R21" s="126">
        <v>3</v>
      </c>
      <c r="S21" s="139">
        <f t="shared" si="5"/>
        <v>5</v>
      </c>
      <c r="T21" s="125">
        <v>0</v>
      </c>
      <c r="U21" s="126">
        <v>0</v>
      </c>
      <c r="V21" s="139" t="str">
        <f t="shared" si="34"/>
        <v>-</v>
      </c>
      <c r="W21" s="125">
        <v>0</v>
      </c>
      <c r="X21" s="126">
        <v>0</v>
      </c>
      <c r="Y21" s="139" t="str">
        <f t="shared" si="35"/>
        <v>-</v>
      </c>
      <c r="Z21" s="125">
        <v>0</v>
      </c>
      <c r="AA21" s="126">
        <v>0</v>
      </c>
      <c r="AB21" s="139" t="str">
        <f t="shared" si="66"/>
        <v>-</v>
      </c>
      <c r="AC21" s="125">
        <v>0</v>
      </c>
      <c r="AD21" s="126">
        <v>0</v>
      </c>
      <c r="AE21" s="139" t="str">
        <f t="shared" si="37"/>
        <v>-</v>
      </c>
      <c r="AF21" s="125">
        <v>0</v>
      </c>
      <c r="AG21" s="126">
        <v>0</v>
      </c>
      <c r="AH21" s="139" t="str">
        <f t="shared" si="38"/>
        <v>-</v>
      </c>
      <c r="AI21" s="125">
        <v>0</v>
      </c>
      <c r="AJ21" s="126">
        <v>0</v>
      </c>
      <c r="AK21" s="139" t="str">
        <f t="shared" si="39"/>
        <v>-</v>
      </c>
      <c r="AL21" s="125">
        <v>0</v>
      </c>
      <c r="AM21" s="126">
        <v>0</v>
      </c>
      <c r="AN21" s="139" t="str">
        <f t="shared" si="40"/>
        <v>-</v>
      </c>
      <c r="AO21" s="125">
        <v>0</v>
      </c>
      <c r="AP21" s="126">
        <v>0</v>
      </c>
      <c r="AQ21" s="139" t="str">
        <f t="shared" si="41"/>
        <v>-</v>
      </c>
      <c r="AR21" s="125">
        <v>0</v>
      </c>
      <c r="AS21" s="126">
        <v>0</v>
      </c>
      <c r="AT21" s="139" t="str">
        <f t="shared" ref="AT21" si="127">IF(AS21=0,"-",AR21/AS21)</f>
        <v>-</v>
      </c>
      <c r="AU21" s="125">
        <v>0</v>
      </c>
      <c r="AV21" s="126">
        <v>0</v>
      </c>
      <c r="AW21" s="139" t="str">
        <f t="shared" ref="AW21" si="128">IF(AV21=0,"-",AU21/AV21)</f>
        <v>-</v>
      </c>
      <c r="AX21" s="125">
        <v>0</v>
      </c>
      <c r="AY21" s="126">
        <v>0</v>
      </c>
      <c r="AZ21" s="139" t="str">
        <f t="shared" ref="AZ21" si="129">IF(AY21=0,"-",AX21/AY21)</f>
        <v>-</v>
      </c>
      <c r="BA21" s="125">
        <v>0</v>
      </c>
      <c r="BB21" s="126">
        <v>0</v>
      </c>
      <c r="BC21" s="139" t="str">
        <f t="shared" si="123"/>
        <v>-</v>
      </c>
      <c r="BD21" s="125">
        <v>0</v>
      </c>
      <c r="BE21" s="126">
        <v>0</v>
      </c>
      <c r="BF21" s="139" t="str">
        <f t="shared" si="18"/>
        <v>-</v>
      </c>
      <c r="BG21" s="125">
        <v>0</v>
      </c>
      <c r="BH21" s="126">
        <v>0</v>
      </c>
      <c r="BI21" s="139" t="str">
        <f t="shared" si="19"/>
        <v>-</v>
      </c>
      <c r="BJ21" s="125">
        <v>0</v>
      </c>
      <c r="BK21" s="126">
        <v>0</v>
      </c>
      <c r="BL21" s="139" t="str">
        <f t="shared" si="20"/>
        <v>-</v>
      </c>
      <c r="BM21" s="125">
        <v>0</v>
      </c>
      <c r="BN21" s="126">
        <v>0</v>
      </c>
      <c r="BO21" s="139" t="str">
        <f t="shared" si="21"/>
        <v>-</v>
      </c>
      <c r="BP21" s="125">
        <v>0</v>
      </c>
      <c r="BQ21" s="126">
        <v>0</v>
      </c>
      <c r="BR21" s="139" t="str">
        <f t="shared" si="22"/>
        <v>-</v>
      </c>
      <c r="BS21" s="125">
        <v>0</v>
      </c>
      <c r="BT21" s="126">
        <v>0</v>
      </c>
      <c r="BU21" s="139" t="str">
        <f t="shared" si="23"/>
        <v>-</v>
      </c>
      <c r="BV21" s="125">
        <v>0</v>
      </c>
      <c r="BW21" s="126">
        <v>0</v>
      </c>
      <c r="BX21" s="139" t="str">
        <f t="shared" si="44"/>
        <v>-</v>
      </c>
      <c r="BY21" s="125">
        <v>0</v>
      </c>
      <c r="BZ21" s="126">
        <v>0</v>
      </c>
      <c r="CA21" s="139" t="str">
        <f t="shared" si="45"/>
        <v>-</v>
      </c>
      <c r="CB21" s="125">
        <v>0</v>
      </c>
      <c r="CC21" s="126">
        <v>0</v>
      </c>
      <c r="CD21" s="139" t="str">
        <f t="shared" si="46"/>
        <v>-</v>
      </c>
      <c r="CE21" s="125">
        <v>5</v>
      </c>
      <c r="CF21" s="126">
        <v>1</v>
      </c>
      <c r="CG21" s="276">
        <f t="shared" si="101"/>
        <v>5</v>
      </c>
      <c r="CH21" s="20">
        <v>0</v>
      </c>
      <c r="CI21" s="21">
        <v>0</v>
      </c>
      <c r="CJ21" s="139" t="str">
        <f t="shared" si="102"/>
        <v>-</v>
      </c>
      <c r="CK21" s="125">
        <v>0</v>
      </c>
      <c r="CL21" s="126">
        <v>0</v>
      </c>
      <c r="CM21" s="276" t="str">
        <f t="shared" si="103"/>
        <v>-</v>
      </c>
      <c r="CN21" s="117">
        <f t="shared" si="42"/>
        <v>61</v>
      </c>
      <c r="CO21" s="120">
        <f t="shared" si="43"/>
        <v>10</v>
      </c>
      <c r="CP21" s="147">
        <f t="shared" si="30"/>
        <v>6.1</v>
      </c>
    </row>
    <row r="22" spans="1:94" ht="15" thickBot="1" x14ac:dyDescent="0.35">
      <c r="A22" s="294">
        <v>45795</v>
      </c>
      <c r="B22" s="20">
        <v>0</v>
      </c>
      <c r="C22" s="21">
        <v>0</v>
      </c>
      <c r="D22" s="139" t="str">
        <f t="shared" si="0"/>
        <v>-</v>
      </c>
      <c r="E22" s="20">
        <v>0</v>
      </c>
      <c r="F22" s="21">
        <v>0</v>
      </c>
      <c r="G22" s="139" t="str">
        <f t="shared" si="31"/>
        <v>-</v>
      </c>
      <c r="H22" s="20">
        <v>0</v>
      </c>
      <c r="I22" s="21">
        <v>0</v>
      </c>
      <c r="J22" s="139" t="str">
        <f t="shared" si="32"/>
        <v>-</v>
      </c>
      <c r="K22" s="20">
        <v>0</v>
      </c>
      <c r="L22" s="21">
        <v>0</v>
      </c>
      <c r="M22" s="139" t="str">
        <f t="shared" si="33"/>
        <v>-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0</v>
      </c>
      <c r="U22" s="21">
        <v>0</v>
      </c>
      <c r="V22" s="139" t="str">
        <f t="shared" si="34"/>
        <v>-</v>
      </c>
      <c r="W22" s="20">
        <v>0</v>
      </c>
      <c r="X22" s="21">
        <v>0</v>
      </c>
      <c r="Y22" s="139" t="str">
        <f t="shared" si="35"/>
        <v>-</v>
      </c>
      <c r="Z22" s="20">
        <v>0</v>
      </c>
      <c r="AA22" s="21">
        <v>0</v>
      </c>
      <c r="AB22" s="139" t="str">
        <f t="shared" si="66"/>
        <v>-</v>
      </c>
      <c r="AC22" s="20">
        <v>0</v>
      </c>
      <c r="AD22" s="21">
        <v>0</v>
      </c>
      <c r="AE22" s="139" t="str">
        <f t="shared" si="37"/>
        <v>-</v>
      </c>
      <c r="AF22" s="20">
        <v>32</v>
      </c>
      <c r="AG22" s="21">
        <v>6</v>
      </c>
      <c r="AH22" s="139">
        <f t="shared" si="38"/>
        <v>5.333333333333333</v>
      </c>
      <c r="AI22" s="125">
        <v>0</v>
      </c>
      <c r="AJ22" s="126">
        <v>0</v>
      </c>
      <c r="AK22" s="139" t="str">
        <f t="shared" ref="AK22:AK23" si="130">IF(AJ22=0,"-",AI22/AJ22)</f>
        <v>-</v>
      </c>
      <c r="AL22" s="125">
        <v>0</v>
      </c>
      <c r="AM22" s="126">
        <v>0</v>
      </c>
      <c r="AN22" s="139" t="str">
        <f t="shared" ref="AN22:AN23" si="131">IF(AM22=0,"-",AL22/AM22)</f>
        <v>-</v>
      </c>
      <c r="AO22" s="125">
        <v>0</v>
      </c>
      <c r="AP22" s="126">
        <v>0</v>
      </c>
      <c r="AQ22" s="139" t="str">
        <f t="shared" ref="AQ22:AQ23" si="132">IF(AP22=0,"-",AO22/AP22)</f>
        <v>-</v>
      </c>
      <c r="AR22" s="20">
        <v>1</v>
      </c>
      <c r="AS22" s="21">
        <v>1</v>
      </c>
      <c r="AT22" s="139">
        <f t="shared" si="93"/>
        <v>1</v>
      </c>
      <c r="AU22" s="20">
        <v>0</v>
      </c>
      <c r="AV22" s="21">
        <v>0</v>
      </c>
      <c r="AW22" s="139" t="str">
        <f t="shared" si="94"/>
        <v>-</v>
      </c>
      <c r="AX22" s="125">
        <v>0</v>
      </c>
      <c r="AY22" s="126">
        <v>0</v>
      </c>
      <c r="AZ22" s="139" t="str">
        <f t="shared" ref="AZ22" si="133">IF(AY22=0,"-",AX22/AY22)</f>
        <v>-</v>
      </c>
      <c r="BA22" s="125">
        <v>0</v>
      </c>
      <c r="BB22" s="126">
        <v>0</v>
      </c>
      <c r="BC22" s="139" t="str">
        <f t="shared" ref="BC22" si="134">IF(BB22=0,"-",BA22/BB22)</f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125">
        <v>0</v>
      </c>
      <c r="BK22" s="126">
        <v>0</v>
      </c>
      <c r="BL22" s="139" t="str">
        <f t="shared" ref="BL22" si="135">IF(BK22=0,"-",BJ22/BK22)</f>
        <v>-</v>
      </c>
      <c r="BM22" s="125">
        <v>0</v>
      </c>
      <c r="BN22" s="126">
        <v>0</v>
      </c>
      <c r="BO22" s="139" t="str">
        <f t="shared" ref="BO22" si="136">IF(BN22=0,"-",BM22/BN22)</f>
        <v>-</v>
      </c>
      <c r="BP22" s="125">
        <v>0</v>
      </c>
      <c r="BQ22" s="126">
        <v>0</v>
      </c>
      <c r="BR22" s="139" t="str">
        <f t="shared" ref="BR22" si="137">IF(BQ22=0,"-",BP22/BQ22)</f>
        <v>-</v>
      </c>
      <c r="BS22" s="257">
        <v>6</v>
      </c>
      <c r="BT22" s="253">
        <v>1</v>
      </c>
      <c r="BU22" s="276">
        <f t="shared" si="23"/>
        <v>6</v>
      </c>
      <c r="BV22" s="125">
        <v>2</v>
      </c>
      <c r="BW22" s="126">
        <v>1</v>
      </c>
      <c r="BX22" s="139">
        <f t="shared" ref="BX22:BX23" si="138">IF(BW22=0,"-",BV22/BW22)</f>
        <v>2</v>
      </c>
      <c r="BY22" s="125">
        <v>0</v>
      </c>
      <c r="BZ22" s="126">
        <v>0</v>
      </c>
      <c r="CA22" s="139" t="str">
        <f t="shared" ref="CA22:CA23" si="139">IF(BZ22=0,"-",BY22/BZ22)</f>
        <v>-</v>
      </c>
      <c r="CB22" s="125">
        <v>2</v>
      </c>
      <c r="CC22" s="126">
        <v>1</v>
      </c>
      <c r="CD22" s="139">
        <f t="shared" ref="CD22:CD23" si="140">IF(CC22=0,"-",CB22/CC22)</f>
        <v>2</v>
      </c>
      <c r="CE22" s="257">
        <v>20</v>
      </c>
      <c r="CF22" s="253">
        <v>3</v>
      </c>
      <c r="CG22" s="276">
        <f t="shared" si="101"/>
        <v>6.666666666666667</v>
      </c>
      <c r="CH22" s="257">
        <v>0</v>
      </c>
      <c r="CI22" s="253">
        <v>0</v>
      </c>
      <c r="CJ22" s="276" t="str">
        <f t="shared" si="102"/>
        <v>-</v>
      </c>
      <c r="CK22" s="257">
        <v>0</v>
      </c>
      <c r="CL22" s="253">
        <v>0</v>
      </c>
      <c r="CM22" s="276" t="str">
        <f t="shared" si="103"/>
        <v>-</v>
      </c>
      <c r="CN22" s="117">
        <f t="shared" si="42"/>
        <v>63</v>
      </c>
      <c r="CO22" s="120">
        <f t="shared" si="43"/>
        <v>12</v>
      </c>
      <c r="CP22" s="147">
        <f t="shared" si="30"/>
        <v>5.25</v>
      </c>
    </row>
    <row r="23" spans="1:94" ht="15" thickBot="1" x14ac:dyDescent="0.35">
      <c r="A23" s="294">
        <v>45796</v>
      </c>
      <c r="B23" s="20">
        <v>19</v>
      </c>
      <c r="C23" s="21">
        <v>3</v>
      </c>
      <c r="D23" s="139">
        <f t="shared" si="0"/>
        <v>6.333333333333333</v>
      </c>
      <c r="E23" s="20">
        <v>0</v>
      </c>
      <c r="F23" s="21">
        <v>0</v>
      </c>
      <c r="G23" s="139" t="str">
        <f t="shared" ref="G23" si="141">IF(F23=0,"-",E23/F23)</f>
        <v>-</v>
      </c>
      <c r="H23" s="20">
        <v>0</v>
      </c>
      <c r="I23" s="21">
        <v>0</v>
      </c>
      <c r="J23" s="139" t="str">
        <f t="shared" ref="J23" si="142">IF(I23=0,"-",H23/I23)</f>
        <v>-</v>
      </c>
      <c r="K23" s="20">
        <v>29</v>
      </c>
      <c r="L23" s="21">
        <v>4</v>
      </c>
      <c r="M23" s="139">
        <f t="shared" si="33"/>
        <v>7.25</v>
      </c>
      <c r="N23" s="20">
        <v>0</v>
      </c>
      <c r="O23" s="21">
        <v>0</v>
      </c>
      <c r="P23" s="139" t="str">
        <f t="shared" si="4"/>
        <v>-</v>
      </c>
      <c r="Q23" s="20">
        <v>66</v>
      </c>
      <c r="R23" s="21">
        <v>16</v>
      </c>
      <c r="S23" s="139">
        <f t="shared" si="5"/>
        <v>4.125</v>
      </c>
      <c r="T23" s="20">
        <v>29</v>
      </c>
      <c r="U23" s="21">
        <v>5</v>
      </c>
      <c r="V23" s="139">
        <f t="shared" si="34"/>
        <v>5.8</v>
      </c>
      <c r="W23" s="20">
        <v>0</v>
      </c>
      <c r="X23" s="21">
        <v>0</v>
      </c>
      <c r="Y23" s="139" t="str">
        <f t="shared" si="35"/>
        <v>-</v>
      </c>
      <c r="Z23" s="20">
        <v>15</v>
      </c>
      <c r="AA23" s="21">
        <v>3</v>
      </c>
      <c r="AB23" s="139">
        <f t="shared" si="66"/>
        <v>5</v>
      </c>
      <c r="AC23" s="20">
        <v>0</v>
      </c>
      <c r="AD23" s="21">
        <v>0</v>
      </c>
      <c r="AE23" s="139" t="str">
        <f t="shared" ref="AE23" si="143">IF(AD23=0,"-",AC23/AD23)</f>
        <v>-</v>
      </c>
      <c r="AF23" s="20">
        <v>0</v>
      </c>
      <c r="AG23" s="21">
        <v>0</v>
      </c>
      <c r="AH23" s="139" t="str">
        <f t="shared" si="38"/>
        <v>-</v>
      </c>
      <c r="AI23" s="20">
        <v>0</v>
      </c>
      <c r="AJ23" s="21">
        <v>0</v>
      </c>
      <c r="AK23" s="139" t="str">
        <f t="shared" si="130"/>
        <v>-</v>
      </c>
      <c r="AL23" s="20">
        <v>0</v>
      </c>
      <c r="AM23" s="21">
        <v>0</v>
      </c>
      <c r="AN23" s="139" t="str">
        <f t="shared" si="131"/>
        <v>-</v>
      </c>
      <c r="AO23" s="20">
        <v>0</v>
      </c>
      <c r="AP23" s="21">
        <v>0</v>
      </c>
      <c r="AQ23" s="139" t="str">
        <f t="shared" si="132"/>
        <v>-</v>
      </c>
      <c r="AR23" s="20">
        <v>3</v>
      </c>
      <c r="AS23" s="21">
        <v>1</v>
      </c>
      <c r="AT23" s="139">
        <f t="shared" si="93"/>
        <v>3</v>
      </c>
      <c r="AU23" s="20">
        <v>0</v>
      </c>
      <c r="AV23" s="21">
        <v>0</v>
      </c>
      <c r="AW23" s="139" t="str">
        <f t="shared" si="94"/>
        <v>-</v>
      </c>
      <c r="AX23" s="20">
        <v>6</v>
      </c>
      <c r="AY23" s="21">
        <v>1</v>
      </c>
      <c r="AZ23" s="139">
        <f t="shared" si="95"/>
        <v>6</v>
      </c>
      <c r="BA23" s="20">
        <v>0</v>
      </c>
      <c r="BB23" s="21">
        <v>0</v>
      </c>
      <c r="BC23" s="139" t="str">
        <f t="shared" si="123"/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52">
        <v>24</v>
      </c>
      <c r="BK23" s="253">
        <v>3</v>
      </c>
      <c r="BL23" s="276">
        <f t="shared" si="20"/>
        <v>8</v>
      </c>
      <c r="BM23" s="252">
        <v>0</v>
      </c>
      <c r="BN23" s="253">
        <v>0</v>
      </c>
      <c r="BO23" s="276" t="str">
        <f t="shared" si="21"/>
        <v>-</v>
      </c>
      <c r="BP23" s="302">
        <v>0</v>
      </c>
      <c r="BQ23" s="303">
        <v>0</v>
      </c>
      <c r="BR23" s="276" t="str">
        <f t="shared" si="22"/>
        <v>-</v>
      </c>
      <c r="BS23" s="257">
        <v>0</v>
      </c>
      <c r="BT23" s="253">
        <v>0</v>
      </c>
      <c r="BU23" s="276" t="str">
        <f t="shared" si="23"/>
        <v>-</v>
      </c>
      <c r="BV23" s="257">
        <v>0</v>
      </c>
      <c r="BW23" s="253">
        <v>0</v>
      </c>
      <c r="BX23" s="276" t="str">
        <f t="shared" si="138"/>
        <v>-</v>
      </c>
      <c r="BY23" s="257">
        <v>0</v>
      </c>
      <c r="BZ23" s="253">
        <v>0</v>
      </c>
      <c r="CA23" s="276" t="str">
        <f t="shared" si="139"/>
        <v>-</v>
      </c>
      <c r="CB23" s="257">
        <v>0</v>
      </c>
      <c r="CC23" s="253">
        <v>0</v>
      </c>
      <c r="CD23" s="276" t="str">
        <f t="shared" si="140"/>
        <v>-</v>
      </c>
      <c r="CE23" s="257">
        <v>43</v>
      </c>
      <c r="CF23" s="253">
        <v>8</v>
      </c>
      <c r="CG23" s="276">
        <f t="shared" si="101"/>
        <v>5.375</v>
      </c>
      <c r="CH23" s="257">
        <v>0</v>
      </c>
      <c r="CI23" s="253">
        <v>0</v>
      </c>
      <c r="CJ23" s="276" t="str">
        <f t="shared" si="102"/>
        <v>-</v>
      </c>
      <c r="CK23" s="257">
        <v>0</v>
      </c>
      <c r="CL23" s="253">
        <v>0</v>
      </c>
      <c r="CM23" s="276" t="str">
        <f t="shared" si="103"/>
        <v>-</v>
      </c>
      <c r="CN23" s="117">
        <f t="shared" si="42"/>
        <v>234</v>
      </c>
      <c r="CO23" s="120">
        <f t="shared" si="43"/>
        <v>44</v>
      </c>
      <c r="CP23" s="147">
        <f t="shared" si="30"/>
        <v>5.3181818181818183</v>
      </c>
    </row>
    <row r="24" spans="1:94" ht="15" thickBot="1" x14ac:dyDescent="0.35">
      <c r="A24" s="294">
        <v>45797</v>
      </c>
      <c r="B24" s="20">
        <v>45</v>
      </c>
      <c r="C24" s="21">
        <v>7</v>
      </c>
      <c r="D24" s="139">
        <f t="shared" si="0"/>
        <v>6.4285714285714288</v>
      </c>
      <c r="E24" s="20">
        <v>8</v>
      </c>
      <c r="F24" s="21">
        <v>1</v>
      </c>
      <c r="G24" s="139">
        <f t="shared" si="31"/>
        <v>8</v>
      </c>
      <c r="H24" s="20">
        <v>0</v>
      </c>
      <c r="I24" s="21">
        <v>0</v>
      </c>
      <c r="J24" s="139" t="str">
        <f t="shared" si="32"/>
        <v>-</v>
      </c>
      <c r="K24" s="20">
        <v>21</v>
      </c>
      <c r="L24" s="21">
        <v>3</v>
      </c>
      <c r="M24" s="139">
        <f t="shared" si="33"/>
        <v>7</v>
      </c>
      <c r="N24" s="20">
        <v>0</v>
      </c>
      <c r="O24" s="21">
        <v>0</v>
      </c>
      <c r="P24" s="139" t="str">
        <f t="shared" si="4"/>
        <v>-</v>
      </c>
      <c r="Q24" s="20">
        <v>67</v>
      </c>
      <c r="R24" s="21">
        <v>19</v>
      </c>
      <c r="S24" s="139">
        <f t="shared" si="5"/>
        <v>3.5263157894736841</v>
      </c>
      <c r="T24" s="20">
        <v>0</v>
      </c>
      <c r="U24" s="21">
        <v>0</v>
      </c>
      <c r="V24" s="139" t="str">
        <f t="shared" si="34"/>
        <v>-</v>
      </c>
      <c r="W24" s="20">
        <v>0</v>
      </c>
      <c r="X24" s="21">
        <v>0</v>
      </c>
      <c r="Y24" s="139" t="str">
        <f t="shared" si="35"/>
        <v>-</v>
      </c>
      <c r="Z24" s="20">
        <v>30</v>
      </c>
      <c r="AA24" s="21">
        <v>6</v>
      </c>
      <c r="AB24" s="139">
        <f t="shared" si="66"/>
        <v>5</v>
      </c>
      <c r="AC24" s="20">
        <v>88</v>
      </c>
      <c r="AD24" s="21">
        <v>18</v>
      </c>
      <c r="AE24" s="139">
        <f t="shared" si="37"/>
        <v>4.8888888888888893</v>
      </c>
      <c r="AF24" s="20">
        <v>0</v>
      </c>
      <c r="AG24" s="21">
        <v>0</v>
      </c>
      <c r="AH24" s="139" t="str">
        <f t="shared" si="38"/>
        <v>-</v>
      </c>
      <c r="AI24" s="20">
        <v>0</v>
      </c>
      <c r="AJ24" s="21">
        <v>0</v>
      </c>
      <c r="AK24" s="139" t="str">
        <f t="shared" si="39"/>
        <v>-</v>
      </c>
      <c r="AL24" s="20">
        <v>0</v>
      </c>
      <c r="AM24" s="21">
        <v>0</v>
      </c>
      <c r="AN24" s="139" t="str">
        <f t="shared" si="40"/>
        <v>-</v>
      </c>
      <c r="AO24" s="20">
        <v>0</v>
      </c>
      <c r="AP24" s="21">
        <v>0</v>
      </c>
      <c r="AQ24" s="139" t="str">
        <f t="shared" si="41"/>
        <v>-</v>
      </c>
      <c r="AR24" s="20">
        <v>4</v>
      </c>
      <c r="AS24" s="21">
        <v>1</v>
      </c>
      <c r="AT24" s="139">
        <f t="shared" si="93"/>
        <v>4</v>
      </c>
      <c r="AU24" s="20">
        <v>0</v>
      </c>
      <c r="AV24" s="21">
        <v>0</v>
      </c>
      <c r="AW24" s="139" t="str">
        <f t="shared" si="94"/>
        <v>-</v>
      </c>
      <c r="AX24" s="20">
        <v>1</v>
      </c>
      <c r="AY24" s="21">
        <v>1</v>
      </c>
      <c r="AZ24" s="139">
        <f t="shared" si="95"/>
        <v>1</v>
      </c>
      <c r="BA24" s="20">
        <v>0</v>
      </c>
      <c r="BB24" s="21">
        <v>0</v>
      </c>
      <c r="BC24" s="139" t="str">
        <f t="shared" si="123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52">
        <v>16</v>
      </c>
      <c r="BK24" s="253">
        <v>2</v>
      </c>
      <c r="BL24" s="276">
        <f t="shared" si="20"/>
        <v>8</v>
      </c>
      <c r="BM24" s="252">
        <v>0</v>
      </c>
      <c r="BN24" s="253">
        <v>0</v>
      </c>
      <c r="BO24" s="276" t="str">
        <f t="shared" si="21"/>
        <v>-</v>
      </c>
      <c r="BP24" s="302">
        <v>15</v>
      </c>
      <c r="BQ24" s="303">
        <v>2</v>
      </c>
      <c r="BR24" s="276">
        <f t="shared" si="22"/>
        <v>7.5</v>
      </c>
      <c r="BS24" s="256">
        <v>7</v>
      </c>
      <c r="BT24" s="253">
        <v>1</v>
      </c>
      <c r="BU24" s="276">
        <f t="shared" si="23"/>
        <v>7</v>
      </c>
      <c r="BV24" s="257">
        <v>0</v>
      </c>
      <c r="BW24" s="253">
        <v>0</v>
      </c>
      <c r="BX24" s="276" t="str">
        <f t="shared" ref="BX24" si="144">IF(BW24=0,"-",BV24/BW24)</f>
        <v>-</v>
      </c>
      <c r="BY24" s="257">
        <v>0</v>
      </c>
      <c r="BZ24" s="253">
        <v>0</v>
      </c>
      <c r="CA24" s="276" t="str">
        <f t="shared" ref="CA24" si="145">IF(BZ24=0,"-",BY24/BZ24)</f>
        <v>-</v>
      </c>
      <c r="CB24" s="257">
        <v>0</v>
      </c>
      <c r="CC24" s="253">
        <v>0</v>
      </c>
      <c r="CD24" s="276" t="str">
        <f t="shared" ref="CD24" si="146">IF(CC24=0,"-",CB24/CC24)</f>
        <v>-</v>
      </c>
      <c r="CE24" s="257">
        <v>0</v>
      </c>
      <c r="CF24" s="253">
        <v>0</v>
      </c>
      <c r="CG24" s="276" t="str">
        <f t="shared" si="101"/>
        <v>-</v>
      </c>
      <c r="CH24" s="257">
        <v>0</v>
      </c>
      <c r="CI24" s="253">
        <v>0</v>
      </c>
      <c r="CJ24" s="276" t="str">
        <f t="shared" si="102"/>
        <v>-</v>
      </c>
      <c r="CK24" s="257">
        <v>0</v>
      </c>
      <c r="CL24" s="253">
        <v>0</v>
      </c>
      <c r="CM24" s="276" t="str">
        <f t="shared" si="103"/>
        <v>-</v>
      </c>
      <c r="CN24" s="117">
        <f t="shared" si="42"/>
        <v>302</v>
      </c>
      <c r="CO24" s="120">
        <f t="shared" si="43"/>
        <v>61</v>
      </c>
      <c r="CP24" s="147">
        <f t="shared" si="30"/>
        <v>4.9508196721311473</v>
      </c>
    </row>
    <row r="25" spans="1:94" ht="15" thickBot="1" x14ac:dyDescent="0.35">
      <c r="A25" s="294">
        <v>45798</v>
      </c>
      <c r="B25" s="20">
        <v>32</v>
      </c>
      <c r="C25" s="21">
        <v>4</v>
      </c>
      <c r="D25" s="139">
        <f t="shared" si="0"/>
        <v>8</v>
      </c>
      <c r="E25" s="20">
        <v>23</v>
      </c>
      <c r="F25" s="21">
        <v>3</v>
      </c>
      <c r="G25" s="139">
        <f t="shared" si="31"/>
        <v>7.666666666666667</v>
      </c>
      <c r="H25" s="20">
        <v>8</v>
      </c>
      <c r="I25" s="21">
        <v>1</v>
      </c>
      <c r="J25" s="139">
        <f t="shared" si="32"/>
        <v>8</v>
      </c>
      <c r="K25" s="20">
        <v>23</v>
      </c>
      <c r="L25" s="21">
        <v>3</v>
      </c>
      <c r="M25" s="139">
        <f t="shared" si="33"/>
        <v>7.666666666666667</v>
      </c>
      <c r="N25" s="125">
        <v>0</v>
      </c>
      <c r="O25" s="126">
        <v>0</v>
      </c>
      <c r="P25" s="139" t="str">
        <f t="shared" si="4"/>
        <v>-</v>
      </c>
      <c r="Q25" s="20">
        <v>85</v>
      </c>
      <c r="R25" s="21">
        <v>23</v>
      </c>
      <c r="S25" s="139">
        <f t="shared" si="5"/>
        <v>3.6956521739130435</v>
      </c>
      <c r="T25" s="20">
        <v>0</v>
      </c>
      <c r="U25" s="21">
        <v>0</v>
      </c>
      <c r="V25" s="139" t="str">
        <f t="shared" si="34"/>
        <v>-</v>
      </c>
      <c r="W25" s="20">
        <v>0</v>
      </c>
      <c r="X25" s="21">
        <v>0</v>
      </c>
      <c r="Y25" s="139" t="str">
        <f t="shared" si="35"/>
        <v>-</v>
      </c>
      <c r="Z25" s="20">
        <v>40</v>
      </c>
      <c r="AA25" s="21">
        <v>8</v>
      </c>
      <c r="AB25" s="139">
        <f t="shared" si="66"/>
        <v>5</v>
      </c>
      <c r="AC25" s="125">
        <v>36</v>
      </c>
      <c r="AD25" s="126">
        <v>7</v>
      </c>
      <c r="AE25" s="139">
        <f t="shared" si="37"/>
        <v>5.1428571428571432</v>
      </c>
      <c r="AF25" s="20">
        <v>0</v>
      </c>
      <c r="AG25" s="21">
        <v>0</v>
      </c>
      <c r="AH25" s="139" t="str">
        <f t="shared" ref="AH25:AH26" si="147">IF(AG25=0,"-",AF25/AG25)</f>
        <v>-</v>
      </c>
      <c r="AI25" s="20">
        <v>0</v>
      </c>
      <c r="AJ25" s="21">
        <v>0</v>
      </c>
      <c r="AK25" s="139" t="str">
        <f t="shared" ref="AK25:AK26" si="148">IF(AJ25=0,"-",AI25/AJ25)</f>
        <v>-</v>
      </c>
      <c r="AL25" s="20">
        <v>0</v>
      </c>
      <c r="AM25" s="21">
        <v>0</v>
      </c>
      <c r="AN25" s="139" t="str">
        <f t="shared" ref="AN25:AN26" si="149">IF(AM25=0,"-",AL25/AM25)</f>
        <v>-</v>
      </c>
      <c r="AO25" s="20">
        <v>0</v>
      </c>
      <c r="AP25" s="21">
        <v>0</v>
      </c>
      <c r="AQ25" s="139" t="str">
        <f t="shared" ref="AQ25:AQ26" si="150">IF(AP25=0,"-",AO25/AP25)</f>
        <v>-</v>
      </c>
      <c r="AR25" s="20">
        <v>0</v>
      </c>
      <c r="AS25" s="21">
        <v>0</v>
      </c>
      <c r="AT25" s="139" t="str">
        <f t="shared" si="93"/>
        <v>-</v>
      </c>
      <c r="AU25" s="20">
        <v>0</v>
      </c>
      <c r="AV25" s="21">
        <v>0</v>
      </c>
      <c r="AW25" s="139" t="str">
        <f t="shared" si="94"/>
        <v>-</v>
      </c>
      <c r="AX25" s="20">
        <v>0</v>
      </c>
      <c r="AY25" s="21">
        <v>0</v>
      </c>
      <c r="AZ25" s="139" t="str">
        <f t="shared" si="95"/>
        <v>-</v>
      </c>
      <c r="BA25" s="20">
        <v>30</v>
      </c>
      <c r="BB25" s="21">
        <v>3</v>
      </c>
      <c r="BC25" s="139">
        <f t="shared" si="123"/>
        <v>10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52">
        <v>28</v>
      </c>
      <c r="BK25" s="253">
        <v>5</v>
      </c>
      <c r="BL25" s="276">
        <f t="shared" si="20"/>
        <v>5.6</v>
      </c>
      <c r="BM25" s="252">
        <v>0</v>
      </c>
      <c r="BN25" s="253">
        <v>0</v>
      </c>
      <c r="BO25" s="276" t="str">
        <f t="shared" si="21"/>
        <v>-</v>
      </c>
      <c r="BP25" s="302">
        <v>0</v>
      </c>
      <c r="BQ25" s="303">
        <v>0</v>
      </c>
      <c r="BR25" s="276" t="str">
        <f t="shared" si="22"/>
        <v>-</v>
      </c>
      <c r="BS25" s="257">
        <v>0</v>
      </c>
      <c r="BT25" s="253">
        <v>0</v>
      </c>
      <c r="BU25" s="276" t="str">
        <f t="shared" si="23"/>
        <v>-</v>
      </c>
      <c r="BV25" s="257">
        <v>0</v>
      </c>
      <c r="BW25" s="253">
        <v>0</v>
      </c>
      <c r="BX25" s="276" t="str">
        <f t="shared" ref="BX25" si="151">IF(BW25=0,"-",BV25/BW25)</f>
        <v>-</v>
      </c>
      <c r="BY25" s="257">
        <v>0</v>
      </c>
      <c r="BZ25" s="253">
        <v>0</v>
      </c>
      <c r="CA25" s="276" t="str">
        <f t="shared" ref="CA25" si="152">IF(BZ25=0,"-",BY25/BZ25)</f>
        <v>-</v>
      </c>
      <c r="CB25" s="257">
        <v>0</v>
      </c>
      <c r="CC25" s="253">
        <v>0</v>
      </c>
      <c r="CD25" s="276" t="str">
        <f t="shared" ref="CD25" si="153">IF(CC25=0,"-",CB25/CC25)</f>
        <v>-</v>
      </c>
      <c r="CE25" s="257">
        <v>13</v>
      </c>
      <c r="CF25" s="253">
        <v>2</v>
      </c>
      <c r="CG25" s="276">
        <f t="shared" si="101"/>
        <v>6.5</v>
      </c>
      <c r="CH25" s="257">
        <v>0</v>
      </c>
      <c r="CI25" s="253">
        <v>0</v>
      </c>
      <c r="CJ25" s="276" t="str">
        <f t="shared" si="102"/>
        <v>-</v>
      </c>
      <c r="CK25" s="257">
        <v>0</v>
      </c>
      <c r="CL25" s="253">
        <v>0</v>
      </c>
      <c r="CM25" s="276" t="str">
        <f t="shared" si="103"/>
        <v>-</v>
      </c>
      <c r="CN25" s="117">
        <f t="shared" si="42"/>
        <v>318</v>
      </c>
      <c r="CO25" s="120">
        <f t="shared" si="43"/>
        <v>59</v>
      </c>
      <c r="CP25" s="147">
        <f t="shared" si="30"/>
        <v>5.3898305084745761</v>
      </c>
    </row>
    <row r="26" spans="1:94" ht="15" thickBot="1" x14ac:dyDescent="0.35">
      <c r="A26" s="294">
        <v>45799</v>
      </c>
      <c r="B26" s="20">
        <v>41</v>
      </c>
      <c r="C26" s="21">
        <v>5</v>
      </c>
      <c r="D26" s="139">
        <f t="shared" si="0"/>
        <v>8.1999999999999993</v>
      </c>
      <c r="E26" s="20">
        <v>8</v>
      </c>
      <c r="F26" s="21">
        <v>1</v>
      </c>
      <c r="G26" s="139">
        <f t="shared" si="31"/>
        <v>8</v>
      </c>
      <c r="H26" s="20">
        <v>0</v>
      </c>
      <c r="I26" s="21">
        <v>0</v>
      </c>
      <c r="J26" s="139" t="str">
        <f t="shared" si="32"/>
        <v>-</v>
      </c>
      <c r="K26" s="20">
        <v>16</v>
      </c>
      <c r="L26" s="21">
        <v>2</v>
      </c>
      <c r="M26" s="139">
        <f t="shared" si="33"/>
        <v>8</v>
      </c>
      <c r="N26" s="125">
        <v>0</v>
      </c>
      <c r="O26" s="126">
        <v>0</v>
      </c>
      <c r="P26" s="139" t="str">
        <f t="shared" si="4"/>
        <v>-</v>
      </c>
      <c r="Q26" s="125">
        <v>86</v>
      </c>
      <c r="R26" s="126">
        <v>21</v>
      </c>
      <c r="S26" s="139">
        <f t="shared" si="5"/>
        <v>4.0952380952380949</v>
      </c>
      <c r="T26" s="125">
        <v>296</v>
      </c>
      <c r="U26" s="126">
        <v>47</v>
      </c>
      <c r="V26" s="139">
        <f t="shared" si="34"/>
        <v>6.2978723404255321</v>
      </c>
      <c r="W26" s="125">
        <v>0</v>
      </c>
      <c r="X26" s="126">
        <v>0</v>
      </c>
      <c r="Y26" s="139" t="str">
        <f t="shared" si="35"/>
        <v>-</v>
      </c>
      <c r="Z26" s="125">
        <v>30</v>
      </c>
      <c r="AA26" s="126">
        <v>6</v>
      </c>
      <c r="AB26" s="139">
        <f t="shared" si="66"/>
        <v>5</v>
      </c>
      <c r="AC26" s="125">
        <v>0</v>
      </c>
      <c r="AD26" s="126">
        <v>0</v>
      </c>
      <c r="AE26" s="139" t="str">
        <f t="shared" si="37"/>
        <v>-</v>
      </c>
      <c r="AF26" s="125">
        <v>0</v>
      </c>
      <c r="AG26" s="126">
        <v>0</v>
      </c>
      <c r="AH26" s="139" t="str">
        <f t="shared" si="147"/>
        <v>-</v>
      </c>
      <c r="AI26" s="125">
        <v>0</v>
      </c>
      <c r="AJ26" s="126">
        <v>0</v>
      </c>
      <c r="AK26" s="139" t="str">
        <f t="shared" si="148"/>
        <v>-</v>
      </c>
      <c r="AL26" s="125">
        <v>0</v>
      </c>
      <c r="AM26" s="126">
        <v>0</v>
      </c>
      <c r="AN26" s="139" t="str">
        <f t="shared" si="149"/>
        <v>-</v>
      </c>
      <c r="AO26" s="125">
        <v>0</v>
      </c>
      <c r="AP26" s="126">
        <v>0</v>
      </c>
      <c r="AQ26" s="139" t="str">
        <f t="shared" si="150"/>
        <v>-</v>
      </c>
      <c r="AR26" s="125">
        <v>0</v>
      </c>
      <c r="AS26" s="126">
        <v>0</v>
      </c>
      <c r="AT26" s="139" t="str">
        <f t="shared" si="93"/>
        <v>-</v>
      </c>
      <c r="AU26" s="125">
        <v>0</v>
      </c>
      <c r="AV26" s="126">
        <v>0</v>
      </c>
      <c r="AW26" s="139" t="str">
        <f t="shared" si="94"/>
        <v>-</v>
      </c>
      <c r="AX26" s="125">
        <v>3</v>
      </c>
      <c r="AY26" s="126">
        <v>1</v>
      </c>
      <c r="AZ26" s="139">
        <f t="shared" si="95"/>
        <v>3</v>
      </c>
      <c r="BA26" s="125">
        <v>29</v>
      </c>
      <c r="BB26" s="126">
        <v>3</v>
      </c>
      <c r="BC26" s="139">
        <f t="shared" si="123"/>
        <v>9.6666666666666661</v>
      </c>
      <c r="BD26" s="125">
        <v>0</v>
      </c>
      <c r="BE26" s="126">
        <v>0</v>
      </c>
      <c r="BF26" s="139" t="str">
        <f t="shared" si="18"/>
        <v>-</v>
      </c>
      <c r="BG26" s="125">
        <v>0</v>
      </c>
      <c r="BH26" s="126">
        <v>0</v>
      </c>
      <c r="BI26" s="139" t="str">
        <f t="shared" si="19"/>
        <v>-</v>
      </c>
      <c r="BJ26" s="252">
        <v>1</v>
      </c>
      <c r="BK26" s="253">
        <v>1</v>
      </c>
      <c r="BL26" s="276">
        <f t="shared" si="20"/>
        <v>1</v>
      </c>
      <c r="BM26" s="252">
        <v>0</v>
      </c>
      <c r="BN26" s="253">
        <v>0</v>
      </c>
      <c r="BO26" s="276" t="str">
        <f t="shared" si="21"/>
        <v>-</v>
      </c>
      <c r="BP26" s="302">
        <v>0</v>
      </c>
      <c r="BQ26" s="303">
        <v>0</v>
      </c>
      <c r="BR26" s="276" t="str">
        <f t="shared" si="22"/>
        <v>-</v>
      </c>
      <c r="BS26" s="257">
        <v>0</v>
      </c>
      <c r="BT26" s="253">
        <v>0</v>
      </c>
      <c r="BU26" s="276" t="str">
        <f t="shared" si="23"/>
        <v>-</v>
      </c>
      <c r="BV26" s="257">
        <v>0</v>
      </c>
      <c r="BW26" s="253">
        <v>0</v>
      </c>
      <c r="BX26" s="276" t="str">
        <f t="shared" ref="BX26" si="154">IF(BW26=0,"-",BV26/BW26)</f>
        <v>-</v>
      </c>
      <c r="BY26" s="257">
        <v>0</v>
      </c>
      <c r="BZ26" s="253">
        <v>0</v>
      </c>
      <c r="CA26" s="276" t="str">
        <f t="shared" ref="CA26" si="155">IF(BZ26=0,"-",BY26/BZ26)</f>
        <v>-</v>
      </c>
      <c r="CB26" s="257">
        <v>0</v>
      </c>
      <c r="CC26" s="253">
        <v>0</v>
      </c>
      <c r="CD26" s="276" t="str">
        <f t="shared" ref="CD26" si="156">IF(CC26=0,"-",CB26/CC26)</f>
        <v>-</v>
      </c>
      <c r="CE26" s="257">
        <v>6</v>
      </c>
      <c r="CF26" s="253">
        <v>1</v>
      </c>
      <c r="CG26" s="276">
        <f t="shared" si="101"/>
        <v>6</v>
      </c>
      <c r="CH26" s="257">
        <v>0</v>
      </c>
      <c r="CI26" s="253">
        <v>0</v>
      </c>
      <c r="CJ26" s="276" t="str">
        <f t="shared" si="102"/>
        <v>-</v>
      </c>
      <c r="CK26" s="257">
        <v>0</v>
      </c>
      <c r="CL26" s="253">
        <v>0</v>
      </c>
      <c r="CM26" s="276" t="str">
        <f t="shared" si="103"/>
        <v>-</v>
      </c>
      <c r="CN26" s="117">
        <f t="shared" si="42"/>
        <v>516</v>
      </c>
      <c r="CO26" s="120">
        <f t="shared" si="43"/>
        <v>88</v>
      </c>
      <c r="CP26" s="147">
        <f t="shared" si="30"/>
        <v>5.8636363636363633</v>
      </c>
    </row>
    <row r="27" spans="1:94" ht="15" thickBot="1" x14ac:dyDescent="0.35">
      <c r="A27" s="294">
        <v>45800</v>
      </c>
      <c r="B27" s="20">
        <v>8</v>
      </c>
      <c r="C27" s="21">
        <v>1</v>
      </c>
      <c r="D27" s="139">
        <f t="shared" si="0"/>
        <v>8</v>
      </c>
      <c r="E27" s="20">
        <v>26</v>
      </c>
      <c r="F27" s="21">
        <v>3</v>
      </c>
      <c r="G27" s="139">
        <f t="shared" si="31"/>
        <v>8.6666666666666661</v>
      </c>
      <c r="H27" s="20">
        <v>0</v>
      </c>
      <c r="I27" s="21">
        <v>0</v>
      </c>
      <c r="J27" s="139" t="str">
        <f t="shared" si="32"/>
        <v>-</v>
      </c>
      <c r="K27" s="20">
        <v>28</v>
      </c>
      <c r="L27" s="21">
        <v>3</v>
      </c>
      <c r="M27" s="139">
        <f t="shared" si="33"/>
        <v>9.3333333333333339</v>
      </c>
      <c r="N27" s="125">
        <v>0</v>
      </c>
      <c r="O27" s="126">
        <v>0</v>
      </c>
      <c r="P27" s="139" t="str">
        <f t="shared" si="4"/>
        <v>-</v>
      </c>
      <c r="Q27" s="125">
        <v>137</v>
      </c>
      <c r="R27" s="126">
        <v>30</v>
      </c>
      <c r="S27" s="139">
        <f t="shared" si="5"/>
        <v>4.5666666666666664</v>
      </c>
      <c r="T27" s="125">
        <v>0</v>
      </c>
      <c r="U27" s="126">
        <v>0</v>
      </c>
      <c r="V27" s="139" t="str">
        <f t="shared" si="34"/>
        <v>-</v>
      </c>
      <c r="W27" s="125">
        <v>0</v>
      </c>
      <c r="X27" s="126">
        <v>0</v>
      </c>
      <c r="Y27" s="139" t="str">
        <f t="shared" si="35"/>
        <v>-</v>
      </c>
      <c r="Z27" s="125">
        <v>25</v>
      </c>
      <c r="AA27" s="126">
        <v>5</v>
      </c>
      <c r="AB27" s="139">
        <f t="shared" si="66"/>
        <v>5</v>
      </c>
      <c r="AC27" s="125">
        <v>0</v>
      </c>
      <c r="AD27" s="126">
        <v>0</v>
      </c>
      <c r="AE27" s="139" t="str">
        <f t="shared" ref="AE27:AE29" si="157">IF(AD27=0,"-",AC27/AD27)</f>
        <v>-</v>
      </c>
      <c r="AF27" s="125">
        <v>0</v>
      </c>
      <c r="AG27" s="126">
        <v>0</v>
      </c>
      <c r="AH27" s="139" t="str">
        <f t="shared" ref="AH27:AH29" si="158">IF(AG27=0,"-",AF27/AG27)</f>
        <v>-</v>
      </c>
      <c r="AI27" s="125">
        <v>0</v>
      </c>
      <c r="AJ27" s="126">
        <v>0</v>
      </c>
      <c r="AK27" s="139" t="str">
        <f t="shared" ref="AK27:AK29" si="159">IF(AJ27=0,"-",AI27/AJ27)</f>
        <v>-</v>
      </c>
      <c r="AL27" s="125">
        <v>0</v>
      </c>
      <c r="AM27" s="126">
        <v>0</v>
      </c>
      <c r="AN27" s="139" t="str">
        <f t="shared" ref="AN27:AN29" si="160">IF(AM27=0,"-",AL27/AM27)</f>
        <v>-</v>
      </c>
      <c r="AO27" s="125">
        <v>0</v>
      </c>
      <c r="AP27" s="126">
        <v>0</v>
      </c>
      <c r="AQ27" s="139" t="str">
        <f t="shared" ref="AQ27:AQ29" si="161">IF(AP27=0,"-",AO27/AP27)</f>
        <v>-</v>
      </c>
      <c r="AR27" s="125">
        <v>3</v>
      </c>
      <c r="AS27" s="126">
        <v>1</v>
      </c>
      <c r="AT27" s="139">
        <f t="shared" si="93"/>
        <v>3</v>
      </c>
      <c r="AU27" s="125">
        <v>0</v>
      </c>
      <c r="AV27" s="126">
        <v>0</v>
      </c>
      <c r="AW27" s="139" t="str">
        <f t="shared" si="94"/>
        <v>-</v>
      </c>
      <c r="AX27" s="125">
        <v>0</v>
      </c>
      <c r="AY27" s="126">
        <v>0</v>
      </c>
      <c r="AZ27" s="139" t="str">
        <f t="shared" si="95"/>
        <v>-</v>
      </c>
      <c r="BA27" s="125">
        <v>0</v>
      </c>
      <c r="BB27" s="126">
        <v>0</v>
      </c>
      <c r="BC27" s="139" t="str">
        <f t="shared" si="123"/>
        <v>-</v>
      </c>
      <c r="BD27" s="125">
        <v>0</v>
      </c>
      <c r="BE27" s="126">
        <v>0</v>
      </c>
      <c r="BF27" s="139" t="str">
        <f t="shared" si="18"/>
        <v>-</v>
      </c>
      <c r="BG27" s="125">
        <v>0</v>
      </c>
      <c r="BH27" s="126">
        <v>0</v>
      </c>
      <c r="BI27" s="139" t="str">
        <f t="shared" si="19"/>
        <v>-</v>
      </c>
      <c r="BJ27" s="252">
        <v>19</v>
      </c>
      <c r="BK27" s="253">
        <v>3</v>
      </c>
      <c r="BL27" s="276">
        <f t="shared" si="20"/>
        <v>6.333333333333333</v>
      </c>
      <c r="BM27" s="252">
        <v>0</v>
      </c>
      <c r="BN27" s="253">
        <v>0</v>
      </c>
      <c r="BO27" s="276" t="str">
        <f t="shared" ref="BO27" si="162">IF(BN27=0,"-",BM27/BN27)</f>
        <v>-</v>
      </c>
      <c r="BP27" s="302">
        <v>0</v>
      </c>
      <c r="BQ27" s="303">
        <v>0</v>
      </c>
      <c r="BR27" s="276" t="str">
        <f t="shared" ref="BR27" si="163">IF(BQ27=0,"-",BP27/BQ27)</f>
        <v>-</v>
      </c>
      <c r="BS27" s="257">
        <v>0</v>
      </c>
      <c r="BT27" s="253">
        <v>0</v>
      </c>
      <c r="BU27" s="276" t="str">
        <f t="shared" ref="BU27" si="164">IF(BT27=0,"-",BS27/BT27)</f>
        <v>-</v>
      </c>
      <c r="BV27" s="257">
        <v>0</v>
      </c>
      <c r="BW27" s="253">
        <v>0</v>
      </c>
      <c r="BX27" s="276" t="str">
        <f t="shared" ref="BX27" si="165">IF(BW27=0,"-",BV27/BW27)</f>
        <v>-</v>
      </c>
      <c r="BY27" s="257">
        <v>0</v>
      </c>
      <c r="BZ27" s="253">
        <v>0</v>
      </c>
      <c r="CA27" s="276" t="str">
        <f t="shared" ref="CA27" si="166">IF(BZ27=0,"-",BY27/BZ27)</f>
        <v>-</v>
      </c>
      <c r="CB27" s="257">
        <v>0</v>
      </c>
      <c r="CC27" s="253">
        <v>0</v>
      </c>
      <c r="CD27" s="276" t="str">
        <f t="shared" ref="CD27" si="167">IF(CC27=0,"-",CB27/CC27)</f>
        <v>-</v>
      </c>
      <c r="CE27" s="257">
        <v>27</v>
      </c>
      <c r="CF27" s="253">
        <v>4</v>
      </c>
      <c r="CG27" s="276">
        <f t="shared" si="101"/>
        <v>6.75</v>
      </c>
      <c r="CH27" s="257">
        <v>0</v>
      </c>
      <c r="CI27" s="253">
        <v>0</v>
      </c>
      <c r="CJ27" s="276" t="str">
        <f t="shared" si="102"/>
        <v>-</v>
      </c>
      <c r="CK27" s="257">
        <v>0</v>
      </c>
      <c r="CL27" s="253">
        <v>0</v>
      </c>
      <c r="CM27" s="276" t="str">
        <f t="shared" si="103"/>
        <v>-</v>
      </c>
      <c r="CN27" s="117">
        <f t="shared" si="42"/>
        <v>273</v>
      </c>
      <c r="CO27" s="120">
        <f t="shared" si="43"/>
        <v>50</v>
      </c>
      <c r="CP27" s="147">
        <f t="shared" si="30"/>
        <v>5.46</v>
      </c>
    </row>
    <row r="28" spans="1:94" ht="15" thickBot="1" x14ac:dyDescent="0.35">
      <c r="A28" s="294">
        <v>45801</v>
      </c>
      <c r="B28" s="20">
        <v>56</v>
      </c>
      <c r="C28" s="21">
        <v>8</v>
      </c>
      <c r="D28" s="139">
        <f t="shared" si="0"/>
        <v>7</v>
      </c>
      <c r="E28" s="20">
        <v>0</v>
      </c>
      <c r="F28" s="21">
        <v>0</v>
      </c>
      <c r="G28" s="139" t="str">
        <f t="shared" si="31"/>
        <v>-</v>
      </c>
      <c r="H28" s="20">
        <v>0</v>
      </c>
      <c r="I28" s="21">
        <v>0</v>
      </c>
      <c r="J28" s="139" t="str">
        <f t="shared" si="32"/>
        <v>-</v>
      </c>
      <c r="K28" s="20">
        <v>28</v>
      </c>
      <c r="L28" s="21">
        <v>3</v>
      </c>
      <c r="M28" s="139">
        <f t="shared" si="33"/>
        <v>9.3333333333333339</v>
      </c>
      <c r="N28" s="125">
        <v>0</v>
      </c>
      <c r="O28" s="126">
        <v>0</v>
      </c>
      <c r="P28" s="139" t="str">
        <f t="shared" si="4"/>
        <v>-</v>
      </c>
      <c r="Q28" s="125">
        <v>6</v>
      </c>
      <c r="R28" s="126">
        <v>1</v>
      </c>
      <c r="S28" s="139">
        <f t="shared" si="5"/>
        <v>6</v>
      </c>
      <c r="T28" s="125">
        <v>0</v>
      </c>
      <c r="U28" s="126">
        <v>0</v>
      </c>
      <c r="V28" s="139" t="str">
        <f t="shared" ref="V28:V29" si="168">IF(U28=0,"-",T28/U28)</f>
        <v>-</v>
      </c>
      <c r="W28" s="125">
        <v>0</v>
      </c>
      <c r="X28" s="126">
        <v>0</v>
      </c>
      <c r="Y28" s="139" t="str">
        <f t="shared" si="35"/>
        <v>-</v>
      </c>
      <c r="Z28" s="125">
        <v>0</v>
      </c>
      <c r="AA28" s="126">
        <v>0</v>
      </c>
      <c r="AB28" s="139" t="str">
        <f t="shared" si="66"/>
        <v>-</v>
      </c>
      <c r="AC28" s="125">
        <v>0</v>
      </c>
      <c r="AD28" s="126">
        <v>0</v>
      </c>
      <c r="AE28" s="139" t="str">
        <f t="shared" si="157"/>
        <v>-</v>
      </c>
      <c r="AF28" s="125">
        <v>0</v>
      </c>
      <c r="AG28" s="126">
        <v>0</v>
      </c>
      <c r="AH28" s="139" t="str">
        <f t="shared" si="158"/>
        <v>-</v>
      </c>
      <c r="AI28" s="125">
        <v>0</v>
      </c>
      <c r="AJ28" s="126">
        <v>0</v>
      </c>
      <c r="AK28" s="139" t="str">
        <f t="shared" si="159"/>
        <v>-</v>
      </c>
      <c r="AL28" s="125">
        <v>0</v>
      </c>
      <c r="AM28" s="126">
        <v>0</v>
      </c>
      <c r="AN28" s="139" t="str">
        <f t="shared" si="160"/>
        <v>-</v>
      </c>
      <c r="AO28" s="125">
        <v>0</v>
      </c>
      <c r="AP28" s="126">
        <v>0</v>
      </c>
      <c r="AQ28" s="139" t="str">
        <f t="shared" si="161"/>
        <v>-</v>
      </c>
      <c r="AR28" s="125">
        <v>4</v>
      </c>
      <c r="AS28" s="126">
        <v>1</v>
      </c>
      <c r="AT28" s="139">
        <f t="shared" si="93"/>
        <v>4</v>
      </c>
      <c r="AU28" s="125">
        <v>0</v>
      </c>
      <c r="AV28" s="126">
        <v>0</v>
      </c>
      <c r="AW28" s="139" t="str">
        <f t="shared" si="94"/>
        <v>-</v>
      </c>
      <c r="AX28" s="125">
        <v>0</v>
      </c>
      <c r="AY28" s="126">
        <v>0</v>
      </c>
      <c r="AZ28" s="139" t="str">
        <f t="shared" si="95"/>
        <v>-</v>
      </c>
      <c r="BA28" s="125">
        <v>0</v>
      </c>
      <c r="BB28" s="126">
        <v>0</v>
      </c>
      <c r="BC28" s="139" t="str">
        <f t="shared" si="123"/>
        <v>-</v>
      </c>
      <c r="BD28" s="125">
        <v>0</v>
      </c>
      <c r="BE28" s="126">
        <v>0</v>
      </c>
      <c r="BF28" s="139" t="str">
        <f t="shared" si="18"/>
        <v>-</v>
      </c>
      <c r="BG28" s="125">
        <v>0</v>
      </c>
      <c r="BH28" s="126">
        <v>0</v>
      </c>
      <c r="BI28" s="139" t="str">
        <f t="shared" si="19"/>
        <v>-</v>
      </c>
      <c r="BJ28" s="252">
        <v>69</v>
      </c>
      <c r="BK28" s="253">
        <v>8</v>
      </c>
      <c r="BL28" s="276">
        <f t="shared" si="20"/>
        <v>8.625</v>
      </c>
      <c r="BM28" s="252">
        <v>0</v>
      </c>
      <c r="BN28" s="253">
        <v>0</v>
      </c>
      <c r="BO28" s="276" t="str">
        <f t="shared" si="21"/>
        <v>-</v>
      </c>
      <c r="BP28" s="302">
        <v>0</v>
      </c>
      <c r="BQ28" s="303">
        <v>0</v>
      </c>
      <c r="BR28" s="276" t="str">
        <f t="shared" si="22"/>
        <v>-</v>
      </c>
      <c r="BS28" s="257">
        <v>5</v>
      </c>
      <c r="BT28" s="253">
        <v>1</v>
      </c>
      <c r="BU28" s="276">
        <f t="shared" si="23"/>
        <v>5</v>
      </c>
      <c r="BV28" s="257">
        <v>0</v>
      </c>
      <c r="BW28" s="253">
        <v>0</v>
      </c>
      <c r="BX28" s="276" t="str">
        <f t="shared" ref="BX28" si="169">IF(BW28=0,"-",BV28/BW28)</f>
        <v>-</v>
      </c>
      <c r="BY28" s="257">
        <v>0</v>
      </c>
      <c r="BZ28" s="253">
        <v>0</v>
      </c>
      <c r="CA28" s="276" t="str">
        <f t="shared" ref="CA28" si="170">IF(BZ28=0,"-",BY28/BZ28)</f>
        <v>-</v>
      </c>
      <c r="CB28" s="257">
        <v>0</v>
      </c>
      <c r="CC28" s="253">
        <v>0</v>
      </c>
      <c r="CD28" s="276" t="str">
        <f t="shared" ref="CD28" si="171">IF(CC28=0,"-",CB28/CC28)</f>
        <v>-</v>
      </c>
      <c r="CE28" s="20">
        <v>19</v>
      </c>
      <c r="CF28" s="21">
        <v>3</v>
      </c>
      <c r="CG28" s="139">
        <f t="shared" si="101"/>
        <v>6.333333333333333</v>
      </c>
      <c r="CH28" s="20">
        <v>0</v>
      </c>
      <c r="CI28" s="21">
        <v>0</v>
      </c>
      <c r="CJ28" s="139" t="str">
        <f t="shared" si="102"/>
        <v>-</v>
      </c>
      <c r="CK28" s="257">
        <v>0</v>
      </c>
      <c r="CL28" s="253">
        <v>0</v>
      </c>
      <c r="CM28" s="276" t="str">
        <f t="shared" si="103"/>
        <v>-</v>
      </c>
      <c r="CN28" s="117">
        <f t="shared" si="42"/>
        <v>187</v>
      </c>
      <c r="CO28" s="120">
        <f t="shared" si="43"/>
        <v>25</v>
      </c>
      <c r="CP28" s="147">
        <f t="shared" si="30"/>
        <v>7.48</v>
      </c>
    </row>
    <row r="29" spans="1:94" ht="15" thickBot="1" x14ac:dyDescent="0.35">
      <c r="A29" s="294">
        <v>45802</v>
      </c>
      <c r="B29" s="20">
        <v>16</v>
      </c>
      <c r="C29" s="21">
        <v>2</v>
      </c>
      <c r="D29" s="139">
        <f t="shared" si="0"/>
        <v>8</v>
      </c>
      <c r="E29" s="20">
        <v>8</v>
      </c>
      <c r="F29" s="21">
        <v>1</v>
      </c>
      <c r="G29" s="139">
        <f t="shared" si="31"/>
        <v>8</v>
      </c>
      <c r="H29" s="20">
        <v>0</v>
      </c>
      <c r="I29" s="21">
        <v>0</v>
      </c>
      <c r="J29" s="139" t="str">
        <f t="shared" si="32"/>
        <v>-</v>
      </c>
      <c r="K29" s="20">
        <v>33</v>
      </c>
      <c r="L29" s="21">
        <v>4</v>
      </c>
      <c r="M29" s="139">
        <f t="shared" si="33"/>
        <v>8.25</v>
      </c>
      <c r="N29" s="125">
        <v>0</v>
      </c>
      <c r="O29" s="126">
        <v>0</v>
      </c>
      <c r="P29" s="139" t="str">
        <f t="shared" si="4"/>
        <v>-</v>
      </c>
      <c r="Q29" s="125">
        <v>0</v>
      </c>
      <c r="R29" s="126">
        <v>0</v>
      </c>
      <c r="S29" s="139" t="str">
        <f t="shared" si="5"/>
        <v>-</v>
      </c>
      <c r="T29" s="125">
        <v>0</v>
      </c>
      <c r="U29" s="126">
        <v>0</v>
      </c>
      <c r="V29" s="139" t="str">
        <f t="shared" si="168"/>
        <v>-</v>
      </c>
      <c r="W29" s="125">
        <v>0</v>
      </c>
      <c r="X29" s="126">
        <v>0</v>
      </c>
      <c r="Y29" s="139" t="str">
        <f t="shared" si="35"/>
        <v>-</v>
      </c>
      <c r="Z29" s="125">
        <v>0</v>
      </c>
      <c r="AA29" s="126">
        <v>0</v>
      </c>
      <c r="AB29" s="139" t="str">
        <f t="shared" si="66"/>
        <v>-</v>
      </c>
      <c r="AC29" s="125">
        <v>0</v>
      </c>
      <c r="AD29" s="126">
        <v>0</v>
      </c>
      <c r="AE29" s="139" t="str">
        <f t="shared" si="157"/>
        <v>-</v>
      </c>
      <c r="AF29" s="125">
        <v>0</v>
      </c>
      <c r="AG29" s="126">
        <v>0</v>
      </c>
      <c r="AH29" s="139" t="str">
        <f t="shared" si="158"/>
        <v>-</v>
      </c>
      <c r="AI29" s="125">
        <v>0</v>
      </c>
      <c r="AJ29" s="126">
        <v>0</v>
      </c>
      <c r="AK29" s="139" t="str">
        <f t="shared" si="159"/>
        <v>-</v>
      </c>
      <c r="AL29" s="125">
        <v>0</v>
      </c>
      <c r="AM29" s="126">
        <v>0</v>
      </c>
      <c r="AN29" s="139" t="str">
        <f t="shared" si="160"/>
        <v>-</v>
      </c>
      <c r="AO29" s="125">
        <v>0</v>
      </c>
      <c r="AP29" s="126">
        <v>0</v>
      </c>
      <c r="AQ29" s="139" t="str">
        <f t="shared" si="161"/>
        <v>-</v>
      </c>
      <c r="AR29" s="125">
        <v>0</v>
      </c>
      <c r="AS29" s="126">
        <v>0</v>
      </c>
      <c r="AT29" s="139" t="str">
        <f t="shared" si="93"/>
        <v>-</v>
      </c>
      <c r="AU29" s="125">
        <v>0</v>
      </c>
      <c r="AV29" s="126">
        <v>0</v>
      </c>
      <c r="AW29" s="139" t="str">
        <f t="shared" si="94"/>
        <v>-</v>
      </c>
      <c r="AX29" s="125">
        <v>0</v>
      </c>
      <c r="AY29" s="126">
        <v>0</v>
      </c>
      <c r="AZ29" s="139" t="str">
        <f t="shared" si="95"/>
        <v>-</v>
      </c>
      <c r="BA29" s="125">
        <v>0</v>
      </c>
      <c r="BB29" s="126">
        <v>0</v>
      </c>
      <c r="BC29" s="139" t="str">
        <f t="shared" si="123"/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252">
        <v>26</v>
      </c>
      <c r="BK29" s="253">
        <v>4</v>
      </c>
      <c r="BL29" s="276">
        <f t="shared" si="20"/>
        <v>6.5</v>
      </c>
      <c r="BM29" s="252">
        <v>0</v>
      </c>
      <c r="BN29" s="253">
        <v>0</v>
      </c>
      <c r="BO29" s="276" t="str">
        <f t="shared" ref="BO29" si="172">IF(BN29=0,"-",BM29/BN29)</f>
        <v>-</v>
      </c>
      <c r="BP29" s="302">
        <v>0</v>
      </c>
      <c r="BQ29" s="303">
        <v>0</v>
      </c>
      <c r="BR29" s="276" t="str">
        <f t="shared" ref="BR29" si="173">IF(BQ29=0,"-",BP29/BQ29)</f>
        <v>-</v>
      </c>
      <c r="BS29" s="302">
        <v>0</v>
      </c>
      <c r="BT29" s="303">
        <v>0</v>
      </c>
      <c r="BU29" s="276" t="str">
        <f t="shared" si="23"/>
        <v>-</v>
      </c>
      <c r="BV29" s="257">
        <v>0</v>
      </c>
      <c r="BW29" s="253">
        <v>0</v>
      </c>
      <c r="BX29" s="276" t="str">
        <f t="shared" ref="BX29" si="174">IF(BW29=0,"-",BV29/BW29)</f>
        <v>-</v>
      </c>
      <c r="BY29" s="125">
        <v>0</v>
      </c>
      <c r="BZ29" s="126">
        <v>0</v>
      </c>
      <c r="CA29" s="139" t="str">
        <f t="shared" si="45"/>
        <v>-</v>
      </c>
      <c r="CB29" s="125">
        <v>1</v>
      </c>
      <c r="CC29" s="126">
        <v>1</v>
      </c>
      <c r="CD29" s="139">
        <f t="shared" si="46"/>
        <v>1</v>
      </c>
      <c r="CE29" s="125">
        <v>0</v>
      </c>
      <c r="CF29" s="126">
        <v>0</v>
      </c>
      <c r="CG29" s="139" t="str">
        <f t="shared" si="101"/>
        <v>-</v>
      </c>
      <c r="CH29" s="125">
        <v>0</v>
      </c>
      <c r="CI29" s="126">
        <v>0</v>
      </c>
      <c r="CJ29" s="139" t="str">
        <f t="shared" si="102"/>
        <v>-</v>
      </c>
      <c r="CK29" s="257">
        <v>0</v>
      </c>
      <c r="CL29" s="253">
        <v>0</v>
      </c>
      <c r="CM29" s="276" t="str">
        <f t="shared" si="103"/>
        <v>-</v>
      </c>
      <c r="CN29" s="117">
        <f t="shared" si="42"/>
        <v>84</v>
      </c>
      <c r="CO29" s="120">
        <f t="shared" si="43"/>
        <v>12</v>
      </c>
      <c r="CP29" s="147">
        <f t="shared" si="30"/>
        <v>7</v>
      </c>
    </row>
    <row r="30" spans="1:94" ht="15" thickBot="1" x14ac:dyDescent="0.35">
      <c r="A30" s="294">
        <v>45803</v>
      </c>
      <c r="B30" s="20">
        <v>19</v>
      </c>
      <c r="C30" s="21">
        <v>4</v>
      </c>
      <c r="D30" s="139">
        <f t="shared" si="0"/>
        <v>4.75</v>
      </c>
      <c r="E30" s="20">
        <v>0</v>
      </c>
      <c r="F30" s="21">
        <v>0</v>
      </c>
      <c r="G30" s="139" t="str">
        <f t="shared" si="31"/>
        <v>-</v>
      </c>
      <c r="H30" s="20">
        <v>0</v>
      </c>
      <c r="I30" s="21">
        <v>0</v>
      </c>
      <c r="J30" s="139" t="str">
        <f t="shared" si="32"/>
        <v>-</v>
      </c>
      <c r="K30" s="20">
        <v>0</v>
      </c>
      <c r="L30" s="21">
        <v>0</v>
      </c>
      <c r="M30" s="139" t="str">
        <f t="shared" si="33"/>
        <v>-</v>
      </c>
      <c r="N30" s="125">
        <v>0</v>
      </c>
      <c r="O30" s="126">
        <v>0</v>
      </c>
      <c r="P30" s="139" t="str">
        <f t="shared" si="4"/>
        <v>-</v>
      </c>
      <c r="Q30" s="125">
        <v>54</v>
      </c>
      <c r="R30" s="126">
        <v>15</v>
      </c>
      <c r="S30" s="139">
        <f t="shared" si="5"/>
        <v>3.6</v>
      </c>
      <c r="T30" s="125">
        <v>0</v>
      </c>
      <c r="U30" s="126">
        <v>0</v>
      </c>
      <c r="V30" s="139" t="str">
        <f t="shared" ref="V30" si="175">IF(U30=0,"-",T30/U30)</f>
        <v>-</v>
      </c>
      <c r="W30" s="125">
        <v>0</v>
      </c>
      <c r="X30" s="126">
        <v>0</v>
      </c>
      <c r="Y30" s="139" t="str">
        <f t="shared" si="35"/>
        <v>-</v>
      </c>
      <c r="Z30" s="125">
        <v>40</v>
      </c>
      <c r="AA30" s="126">
        <v>8</v>
      </c>
      <c r="AB30" s="139">
        <f t="shared" si="66"/>
        <v>5</v>
      </c>
      <c r="AC30" s="125">
        <v>0</v>
      </c>
      <c r="AD30" s="126">
        <v>0</v>
      </c>
      <c r="AE30" s="139" t="str">
        <f t="shared" ref="AE30" si="176">IF(AD30=0,"-",AC30/AD30)</f>
        <v>-</v>
      </c>
      <c r="AF30" s="125">
        <v>0</v>
      </c>
      <c r="AG30" s="126">
        <v>0</v>
      </c>
      <c r="AH30" s="139" t="str">
        <f t="shared" ref="AH30" si="177">IF(AG30=0,"-",AF30/AG30)</f>
        <v>-</v>
      </c>
      <c r="AI30" s="125">
        <v>0</v>
      </c>
      <c r="AJ30" s="126">
        <v>0</v>
      </c>
      <c r="AK30" s="139" t="str">
        <f t="shared" ref="AK30" si="178">IF(AJ30=0,"-",AI30/AJ30)</f>
        <v>-</v>
      </c>
      <c r="AL30" s="125">
        <v>10</v>
      </c>
      <c r="AM30" s="126">
        <v>2</v>
      </c>
      <c r="AN30" s="139">
        <f t="shared" si="40"/>
        <v>5</v>
      </c>
      <c r="AO30" s="125">
        <v>0</v>
      </c>
      <c r="AP30" s="126">
        <v>0</v>
      </c>
      <c r="AQ30" s="139" t="str">
        <f t="shared" si="41"/>
        <v>-</v>
      </c>
      <c r="AR30" s="125">
        <v>0</v>
      </c>
      <c r="AS30" s="126">
        <v>0</v>
      </c>
      <c r="AT30" s="139" t="str">
        <f t="shared" si="93"/>
        <v>-</v>
      </c>
      <c r="AU30" s="125">
        <v>0</v>
      </c>
      <c r="AV30" s="126">
        <v>0</v>
      </c>
      <c r="AW30" s="139" t="str">
        <f t="shared" si="94"/>
        <v>-</v>
      </c>
      <c r="AX30" s="125">
        <v>4</v>
      </c>
      <c r="AY30" s="126">
        <v>2</v>
      </c>
      <c r="AZ30" s="139">
        <f t="shared" si="95"/>
        <v>2</v>
      </c>
      <c r="BA30" s="125">
        <v>0</v>
      </c>
      <c r="BB30" s="126">
        <v>0</v>
      </c>
      <c r="BC30" s="139" t="str">
        <f t="shared" si="123"/>
        <v>-</v>
      </c>
      <c r="BD30" s="125">
        <v>0</v>
      </c>
      <c r="BE30" s="126">
        <v>0</v>
      </c>
      <c r="BF30" s="139" t="str">
        <f t="shared" si="18"/>
        <v>-</v>
      </c>
      <c r="BG30" s="125">
        <v>0</v>
      </c>
      <c r="BH30" s="126">
        <v>0</v>
      </c>
      <c r="BI30" s="139" t="str">
        <f t="shared" si="19"/>
        <v>-</v>
      </c>
      <c r="BJ30" s="252">
        <v>0</v>
      </c>
      <c r="BK30" s="253">
        <v>0</v>
      </c>
      <c r="BL30" s="276" t="str">
        <f t="shared" si="20"/>
        <v>-</v>
      </c>
      <c r="BM30" s="252">
        <v>0</v>
      </c>
      <c r="BN30" s="253">
        <v>0</v>
      </c>
      <c r="BO30" s="276" t="str">
        <f t="shared" si="21"/>
        <v>-</v>
      </c>
      <c r="BP30" s="302">
        <v>0</v>
      </c>
      <c r="BQ30" s="303">
        <v>0</v>
      </c>
      <c r="BR30" s="276" t="str">
        <f t="shared" si="22"/>
        <v>-</v>
      </c>
      <c r="BS30" s="257">
        <v>0</v>
      </c>
      <c r="BT30" s="253">
        <v>0</v>
      </c>
      <c r="BU30" s="276" t="str">
        <f t="shared" si="23"/>
        <v>-</v>
      </c>
      <c r="BV30" s="125">
        <v>2</v>
      </c>
      <c r="BW30" s="126">
        <v>1</v>
      </c>
      <c r="BX30" s="139">
        <f t="shared" si="44"/>
        <v>2</v>
      </c>
      <c r="BY30" s="125">
        <v>0</v>
      </c>
      <c r="BZ30" s="126">
        <v>0</v>
      </c>
      <c r="CA30" s="139" t="str">
        <f t="shared" si="45"/>
        <v>-</v>
      </c>
      <c r="CB30" s="125">
        <v>3</v>
      </c>
      <c r="CC30" s="126">
        <v>1</v>
      </c>
      <c r="CD30" s="139">
        <f t="shared" si="46"/>
        <v>3</v>
      </c>
      <c r="CE30" s="125">
        <v>0</v>
      </c>
      <c r="CF30" s="126">
        <v>0</v>
      </c>
      <c r="CG30" s="139" t="str">
        <f t="shared" ref="CG30" si="179">IF(CF30=0,"-",CE30/CF30)</f>
        <v>-</v>
      </c>
      <c r="CH30" s="125">
        <v>0</v>
      </c>
      <c r="CI30" s="126">
        <v>0</v>
      </c>
      <c r="CJ30" s="139" t="str">
        <f t="shared" ref="CJ30" si="180">IF(CI30=0,"-",CH30/CI30)</f>
        <v>-</v>
      </c>
      <c r="CK30" s="257">
        <v>0</v>
      </c>
      <c r="CL30" s="253">
        <v>0</v>
      </c>
      <c r="CM30" s="276" t="str">
        <f t="shared" ref="CM30" si="181">IF(CL30=0,"-",CK30/CL30)</f>
        <v>-</v>
      </c>
      <c r="CN30" s="117">
        <f t="shared" si="42"/>
        <v>132</v>
      </c>
      <c r="CO30" s="120">
        <f t="shared" si="43"/>
        <v>30</v>
      </c>
      <c r="CP30" s="147">
        <f t="shared" si="30"/>
        <v>4.4000000000000004</v>
      </c>
    </row>
    <row r="31" spans="1:94" ht="15" thickBot="1" x14ac:dyDescent="0.35">
      <c r="A31" s="294">
        <v>45804</v>
      </c>
      <c r="B31" s="20">
        <v>41</v>
      </c>
      <c r="C31" s="21">
        <v>5</v>
      </c>
      <c r="D31" s="139">
        <f t="shared" si="0"/>
        <v>8.1999999999999993</v>
      </c>
      <c r="E31" s="20">
        <v>8</v>
      </c>
      <c r="F31" s="21">
        <v>1</v>
      </c>
      <c r="G31" s="139">
        <f t="shared" si="31"/>
        <v>8</v>
      </c>
      <c r="H31" s="20">
        <v>0</v>
      </c>
      <c r="I31" s="21">
        <v>0</v>
      </c>
      <c r="J31" s="139" t="str">
        <f t="shared" si="32"/>
        <v>-</v>
      </c>
      <c r="K31" s="20">
        <v>25</v>
      </c>
      <c r="L31" s="21">
        <v>3</v>
      </c>
      <c r="M31" s="139">
        <f t="shared" si="33"/>
        <v>8.3333333333333339</v>
      </c>
      <c r="N31" s="125">
        <v>0</v>
      </c>
      <c r="O31" s="126">
        <v>0</v>
      </c>
      <c r="P31" s="139" t="str">
        <f t="shared" si="4"/>
        <v>-</v>
      </c>
      <c r="Q31" s="125">
        <v>59</v>
      </c>
      <c r="R31" s="126">
        <v>15</v>
      </c>
      <c r="S31" s="139">
        <f t="shared" si="5"/>
        <v>3.9333333333333331</v>
      </c>
      <c r="T31" s="125">
        <v>1</v>
      </c>
      <c r="U31" s="126">
        <v>1</v>
      </c>
      <c r="V31" s="139">
        <f t="shared" si="34"/>
        <v>1</v>
      </c>
      <c r="W31" s="125">
        <v>0</v>
      </c>
      <c r="X31" s="126">
        <v>0</v>
      </c>
      <c r="Y31" s="139" t="str">
        <f t="shared" si="35"/>
        <v>-</v>
      </c>
      <c r="Z31" s="125">
        <v>40</v>
      </c>
      <c r="AA31" s="126">
        <v>8</v>
      </c>
      <c r="AB31" s="139">
        <f t="shared" si="66"/>
        <v>5</v>
      </c>
      <c r="AC31" s="125">
        <v>0</v>
      </c>
      <c r="AD31" s="126">
        <v>0</v>
      </c>
      <c r="AE31" s="139" t="str">
        <f t="shared" ref="AE31" si="182">IF(AD31=0,"-",AC31/AD31)</f>
        <v>-</v>
      </c>
      <c r="AF31" s="125">
        <v>0</v>
      </c>
      <c r="AG31" s="126">
        <v>0</v>
      </c>
      <c r="AH31" s="139" t="str">
        <f t="shared" ref="AH31" si="183">IF(AG31=0,"-",AF31/AG31)</f>
        <v>-</v>
      </c>
      <c r="AI31" s="125">
        <v>0</v>
      </c>
      <c r="AJ31" s="126">
        <v>0</v>
      </c>
      <c r="AK31" s="139" t="str">
        <f t="shared" ref="AK31" si="184">IF(AJ31=0,"-",AI31/AJ31)</f>
        <v>-</v>
      </c>
      <c r="AL31" s="125">
        <v>0</v>
      </c>
      <c r="AM31" s="126">
        <v>0</v>
      </c>
      <c r="AN31" s="139" t="str">
        <f t="shared" si="40"/>
        <v>-</v>
      </c>
      <c r="AO31" s="125">
        <v>0</v>
      </c>
      <c r="AP31" s="126">
        <v>0</v>
      </c>
      <c r="AQ31" s="139" t="str">
        <f t="shared" si="41"/>
        <v>-</v>
      </c>
      <c r="AR31" s="125">
        <v>0</v>
      </c>
      <c r="AS31" s="126">
        <v>0</v>
      </c>
      <c r="AT31" s="139" t="str">
        <f t="shared" ref="AT31" si="185">IF(AS31=0,"-",AR31/AS31)</f>
        <v>-</v>
      </c>
      <c r="AU31" s="125">
        <v>0</v>
      </c>
      <c r="AV31" s="126">
        <v>0</v>
      </c>
      <c r="AW31" s="139" t="str">
        <f t="shared" si="94"/>
        <v>-</v>
      </c>
      <c r="AX31" s="125">
        <v>0</v>
      </c>
      <c r="AY31" s="126">
        <v>0</v>
      </c>
      <c r="AZ31" s="139" t="str">
        <f t="shared" si="95"/>
        <v>-</v>
      </c>
      <c r="BA31" s="125">
        <v>0</v>
      </c>
      <c r="BB31" s="126">
        <v>0</v>
      </c>
      <c r="BC31" s="139" t="str">
        <f t="shared" si="123"/>
        <v>-</v>
      </c>
      <c r="BD31" s="125">
        <v>0</v>
      </c>
      <c r="BE31" s="126">
        <v>0</v>
      </c>
      <c r="BF31" s="139" t="str">
        <f t="shared" si="18"/>
        <v>-</v>
      </c>
      <c r="BG31" s="125">
        <v>0</v>
      </c>
      <c r="BH31" s="126">
        <v>0</v>
      </c>
      <c r="BI31" s="139" t="str">
        <f t="shared" si="19"/>
        <v>-</v>
      </c>
      <c r="BJ31" s="252">
        <v>18</v>
      </c>
      <c r="BK31" s="253">
        <v>3</v>
      </c>
      <c r="BL31" s="276">
        <f t="shared" si="20"/>
        <v>6</v>
      </c>
      <c r="BM31" s="252">
        <v>0</v>
      </c>
      <c r="BN31" s="253">
        <v>0</v>
      </c>
      <c r="BO31" s="276" t="str">
        <f t="shared" ref="BO31" si="186">IF(BN31=0,"-",BM31/BN31)</f>
        <v>-</v>
      </c>
      <c r="BP31" s="302">
        <v>0</v>
      </c>
      <c r="BQ31" s="303">
        <v>0</v>
      </c>
      <c r="BR31" s="276" t="str">
        <f t="shared" ref="BR31" si="187">IF(BQ31=0,"-",BP31/BQ31)</f>
        <v>-</v>
      </c>
      <c r="BS31" s="257">
        <v>0</v>
      </c>
      <c r="BT31" s="253">
        <v>0</v>
      </c>
      <c r="BU31" s="276" t="str">
        <f t="shared" ref="BU31" si="188">IF(BT31=0,"-",BS31/BT31)</f>
        <v>-</v>
      </c>
      <c r="BV31" s="252">
        <v>0</v>
      </c>
      <c r="BW31" s="253">
        <v>0</v>
      </c>
      <c r="BX31" s="276" t="str">
        <f t="shared" si="44"/>
        <v>-</v>
      </c>
      <c r="BY31" s="302">
        <v>0</v>
      </c>
      <c r="BZ31" s="303">
        <v>0</v>
      </c>
      <c r="CA31" s="276" t="str">
        <f t="shared" si="45"/>
        <v>-</v>
      </c>
      <c r="CB31" s="257">
        <v>0</v>
      </c>
      <c r="CC31" s="253">
        <v>0</v>
      </c>
      <c r="CD31" s="276" t="str">
        <f t="shared" si="46"/>
        <v>-</v>
      </c>
      <c r="CE31" s="252">
        <v>0</v>
      </c>
      <c r="CF31" s="253">
        <v>0</v>
      </c>
      <c r="CG31" s="276" t="str">
        <f t="shared" si="101"/>
        <v>-</v>
      </c>
      <c r="CH31" s="302">
        <v>0</v>
      </c>
      <c r="CI31" s="303">
        <v>0</v>
      </c>
      <c r="CJ31" s="276" t="str">
        <f t="shared" si="102"/>
        <v>-</v>
      </c>
      <c r="CK31" s="257">
        <v>0</v>
      </c>
      <c r="CL31" s="253">
        <v>0</v>
      </c>
      <c r="CM31" s="276" t="str">
        <f t="shared" si="103"/>
        <v>-</v>
      </c>
      <c r="CN31" s="117">
        <f t="shared" si="42"/>
        <v>192</v>
      </c>
      <c r="CO31" s="120">
        <f t="shared" si="43"/>
        <v>36</v>
      </c>
      <c r="CP31" s="147">
        <f t="shared" si="30"/>
        <v>5.333333333333333</v>
      </c>
    </row>
    <row r="32" spans="1:94" ht="15" thickBot="1" x14ac:dyDescent="0.35">
      <c r="A32" s="294">
        <v>45805</v>
      </c>
      <c r="B32" s="20">
        <v>47</v>
      </c>
      <c r="C32" s="21">
        <v>7</v>
      </c>
      <c r="D32" s="139">
        <f t="shared" si="0"/>
        <v>6.7142857142857144</v>
      </c>
      <c r="E32" s="20">
        <v>8</v>
      </c>
      <c r="F32" s="21">
        <v>1</v>
      </c>
      <c r="G32" s="139">
        <f t="shared" si="31"/>
        <v>8</v>
      </c>
      <c r="H32" s="20">
        <v>0</v>
      </c>
      <c r="I32" s="21">
        <v>0</v>
      </c>
      <c r="J32" s="139" t="str">
        <f t="shared" si="32"/>
        <v>-</v>
      </c>
      <c r="K32" s="20">
        <v>27</v>
      </c>
      <c r="L32" s="21">
        <v>4</v>
      </c>
      <c r="M32" s="139">
        <f t="shared" si="33"/>
        <v>6.75</v>
      </c>
      <c r="N32" s="125"/>
      <c r="O32" s="126"/>
      <c r="P32" s="139" t="str">
        <f t="shared" si="4"/>
        <v>-</v>
      </c>
      <c r="Q32" s="125">
        <v>104</v>
      </c>
      <c r="R32" s="126">
        <v>24</v>
      </c>
      <c r="S32" s="139">
        <f t="shared" si="5"/>
        <v>4.333333333333333</v>
      </c>
      <c r="T32" s="125">
        <v>0</v>
      </c>
      <c r="U32" s="126">
        <v>0</v>
      </c>
      <c r="V32" s="139" t="str">
        <f t="shared" si="34"/>
        <v>-</v>
      </c>
      <c r="W32" s="125">
        <v>0</v>
      </c>
      <c r="X32" s="126">
        <v>0</v>
      </c>
      <c r="Y32" s="139" t="str">
        <f t="shared" si="35"/>
        <v>-</v>
      </c>
      <c r="Z32" s="125">
        <v>40</v>
      </c>
      <c r="AA32" s="126">
        <v>8</v>
      </c>
      <c r="AB32" s="139">
        <f t="shared" si="66"/>
        <v>5</v>
      </c>
      <c r="AC32" s="125">
        <v>0</v>
      </c>
      <c r="AD32" s="126">
        <v>0</v>
      </c>
      <c r="AE32" s="139" t="str">
        <f t="shared" ref="AE32" si="189">IF(AD32=0,"-",AC32/AD32)</f>
        <v>-</v>
      </c>
      <c r="AF32" s="125">
        <v>0</v>
      </c>
      <c r="AG32" s="126">
        <v>0</v>
      </c>
      <c r="AH32" s="139" t="str">
        <f t="shared" ref="AH32" si="190">IF(AG32=0,"-",AF32/AG32)</f>
        <v>-</v>
      </c>
      <c r="AI32" s="125">
        <v>0</v>
      </c>
      <c r="AJ32" s="126">
        <v>0</v>
      </c>
      <c r="AK32" s="139" t="str">
        <f t="shared" ref="AK32" si="191">IF(AJ32=0,"-",AI32/AJ32)</f>
        <v>-</v>
      </c>
      <c r="AL32" s="125">
        <v>0</v>
      </c>
      <c r="AM32" s="126">
        <v>0</v>
      </c>
      <c r="AN32" s="139" t="str">
        <f t="shared" ref="AN32" si="192">IF(AM32=0,"-",AL32/AM32)</f>
        <v>-</v>
      </c>
      <c r="AO32" s="125">
        <v>0</v>
      </c>
      <c r="AP32" s="126">
        <v>0</v>
      </c>
      <c r="AQ32" s="139" t="str">
        <f t="shared" ref="AQ32" si="193">IF(AP32=0,"-",AO32/AP32)</f>
        <v>-</v>
      </c>
      <c r="AR32" s="125">
        <v>0</v>
      </c>
      <c r="AS32" s="126">
        <v>0</v>
      </c>
      <c r="AT32" s="139" t="str">
        <f t="shared" ref="AT32" si="194">IF(AS32=0,"-",AR32/AS32)</f>
        <v>-</v>
      </c>
      <c r="AU32" s="125">
        <v>0</v>
      </c>
      <c r="AV32" s="126">
        <v>0</v>
      </c>
      <c r="AW32" s="139" t="str">
        <f t="shared" ref="AW32" si="195">IF(AV32=0,"-",AU32/AV32)</f>
        <v>-</v>
      </c>
      <c r="AX32" s="125">
        <v>6</v>
      </c>
      <c r="AY32" s="126">
        <v>3</v>
      </c>
      <c r="AZ32" s="139">
        <f t="shared" ref="AZ32" si="196">IF(AY32=0,"-",AX32/AY32)</f>
        <v>2</v>
      </c>
      <c r="BA32" s="125">
        <v>0</v>
      </c>
      <c r="BB32" s="126">
        <v>0</v>
      </c>
      <c r="BC32" s="139" t="str">
        <f t="shared" ref="BC32" si="197">IF(BB32=0,"-",BA32/BB32)</f>
        <v>-</v>
      </c>
      <c r="BD32" s="125">
        <v>0</v>
      </c>
      <c r="BE32" s="126">
        <v>0</v>
      </c>
      <c r="BF32" s="139" t="str">
        <f t="shared" si="18"/>
        <v>-</v>
      </c>
      <c r="BG32" s="125">
        <v>0</v>
      </c>
      <c r="BH32" s="126">
        <v>0</v>
      </c>
      <c r="BI32" s="139" t="str">
        <f t="shared" si="19"/>
        <v>-</v>
      </c>
      <c r="BJ32" s="318">
        <v>13</v>
      </c>
      <c r="BK32" s="253">
        <v>2</v>
      </c>
      <c r="BL32" s="276">
        <f t="shared" si="20"/>
        <v>6.5</v>
      </c>
      <c r="BM32" s="252">
        <v>0</v>
      </c>
      <c r="BN32" s="253">
        <v>0</v>
      </c>
      <c r="BO32" s="276" t="str">
        <f t="shared" ref="BO32" si="198">IF(BN32=0,"-",BM32/BN32)</f>
        <v>-</v>
      </c>
      <c r="BP32" s="302">
        <v>0</v>
      </c>
      <c r="BQ32" s="303">
        <v>0</v>
      </c>
      <c r="BR32" s="276" t="str">
        <f t="shared" ref="BR32" si="199">IF(BQ32=0,"-",BP32/BQ32)</f>
        <v>-</v>
      </c>
      <c r="BS32" s="257">
        <v>0</v>
      </c>
      <c r="BT32" s="253">
        <v>0</v>
      </c>
      <c r="BU32" s="276" t="str">
        <f t="shared" ref="BU32" si="200">IF(BT32=0,"-",BS32/BT32)</f>
        <v>-</v>
      </c>
      <c r="BV32" s="252">
        <v>0</v>
      </c>
      <c r="BW32" s="253">
        <v>0</v>
      </c>
      <c r="BX32" s="276" t="str">
        <f t="shared" ref="BX32" si="201">IF(BW32=0,"-",BV32/BW32)</f>
        <v>-</v>
      </c>
      <c r="BY32" s="302">
        <v>0</v>
      </c>
      <c r="BZ32" s="303">
        <v>0</v>
      </c>
      <c r="CA32" s="276" t="str">
        <f t="shared" ref="CA32" si="202">IF(BZ32=0,"-",BY32/BZ32)</f>
        <v>-</v>
      </c>
      <c r="CB32" s="257">
        <v>0</v>
      </c>
      <c r="CC32" s="253">
        <v>0</v>
      </c>
      <c r="CD32" s="276" t="str">
        <f t="shared" ref="CD32" si="203">IF(CC32=0,"-",CB32/CC32)</f>
        <v>-</v>
      </c>
      <c r="CE32" s="252">
        <v>0</v>
      </c>
      <c r="CF32" s="253">
        <v>0</v>
      </c>
      <c r="CG32" s="276" t="str">
        <f t="shared" ref="CG32" si="204">IF(CF32=0,"-",CE32/CF32)</f>
        <v>-</v>
      </c>
      <c r="CH32" s="302">
        <v>0</v>
      </c>
      <c r="CI32" s="303">
        <v>0</v>
      </c>
      <c r="CJ32" s="276" t="str">
        <f t="shared" ref="CJ32" si="205">IF(CI32=0,"-",CH32/CI32)</f>
        <v>-</v>
      </c>
      <c r="CK32" s="257">
        <v>0</v>
      </c>
      <c r="CL32" s="253">
        <v>0</v>
      </c>
      <c r="CM32" s="276" t="str">
        <f t="shared" ref="CM32" si="206">IF(CL32=0,"-",CK32/CL32)</f>
        <v>-</v>
      </c>
      <c r="CN32" s="117">
        <f t="shared" si="42"/>
        <v>245</v>
      </c>
      <c r="CO32" s="120">
        <f t="shared" si="43"/>
        <v>49</v>
      </c>
      <c r="CP32" s="147">
        <f t="shared" si="30"/>
        <v>5</v>
      </c>
    </row>
    <row r="33" spans="1:94" ht="15" thickBot="1" x14ac:dyDescent="0.35">
      <c r="A33" s="294">
        <v>45806</v>
      </c>
      <c r="B33" s="20">
        <v>33</v>
      </c>
      <c r="C33" s="21">
        <v>4</v>
      </c>
      <c r="D33" s="139">
        <f t="shared" si="0"/>
        <v>8.25</v>
      </c>
      <c r="E33" s="20">
        <v>0</v>
      </c>
      <c r="F33" s="21">
        <v>0</v>
      </c>
      <c r="G33" s="139" t="str">
        <f t="shared" si="31"/>
        <v>-</v>
      </c>
      <c r="H33" s="20">
        <v>0</v>
      </c>
      <c r="I33" s="21">
        <v>0</v>
      </c>
      <c r="J33" s="139" t="str">
        <f t="shared" si="32"/>
        <v>-</v>
      </c>
      <c r="K33" s="20">
        <v>0</v>
      </c>
      <c r="L33" s="21">
        <v>0</v>
      </c>
      <c r="M33" s="139" t="str">
        <f t="shared" si="33"/>
        <v>-</v>
      </c>
      <c r="N33" s="125"/>
      <c r="O33" s="126"/>
      <c r="P33" s="139" t="str">
        <f t="shared" si="4"/>
        <v>-</v>
      </c>
      <c r="Q33" s="125">
        <v>61</v>
      </c>
      <c r="R33" s="126">
        <v>13</v>
      </c>
      <c r="S33" s="139">
        <f t="shared" si="5"/>
        <v>4.6923076923076925</v>
      </c>
      <c r="T33" s="125">
        <v>174</v>
      </c>
      <c r="U33" s="126">
        <v>29</v>
      </c>
      <c r="V33" s="139">
        <f t="shared" si="34"/>
        <v>6</v>
      </c>
      <c r="W33" s="125">
        <v>0</v>
      </c>
      <c r="X33" s="126">
        <v>0</v>
      </c>
      <c r="Y33" s="139" t="str">
        <f t="shared" si="35"/>
        <v>-</v>
      </c>
      <c r="Z33" s="125">
        <v>45</v>
      </c>
      <c r="AA33" s="126">
        <v>9</v>
      </c>
      <c r="AB33" s="139">
        <f t="shared" si="66"/>
        <v>5</v>
      </c>
      <c r="AC33" s="125">
        <v>0</v>
      </c>
      <c r="AD33" s="126">
        <v>0</v>
      </c>
      <c r="AE33" s="139" t="str">
        <f t="shared" ref="AE33" si="207">IF(AD33=0,"-",AC33/AD33)</f>
        <v>-</v>
      </c>
      <c r="AF33" s="125">
        <v>0</v>
      </c>
      <c r="AG33" s="126">
        <v>0</v>
      </c>
      <c r="AH33" s="139" t="str">
        <f t="shared" ref="AH33" si="208">IF(AG33=0,"-",AF33/AG33)</f>
        <v>-</v>
      </c>
      <c r="AI33" s="125">
        <v>0</v>
      </c>
      <c r="AJ33" s="126">
        <v>0</v>
      </c>
      <c r="AK33" s="139" t="str">
        <f t="shared" ref="AK33" si="209">IF(AJ33=0,"-",AI33/AJ33)</f>
        <v>-</v>
      </c>
      <c r="AL33" s="125">
        <v>0</v>
      </c>
      <c r="AM33" s="126">
        <v>0</v>
      </c>
      <c r="AN33" s="139" t="str">
        <f t="shared" ref="AN33" si="210">IF(AM33=0,"-",AL33/AM33)</f>
        <v>-</v>
      </c>
      <c r="AO33" s="125">
        <v>0</v>
      </c>
      <c r="AP33" s="126">
        <v>0</v>
      </c>
      <c r="AQ33" s="139" t="str">
        <f t="shared" ref="AQ33" si="211">IF(AP33=0,"-",AO33/AP33)</f>
        <v>-</v>
      </c>
      <c r="AR33" s="125">
        <v>1</v>
      </c>
      <c r="AS33" s="126">
        <v>1</v>
      </c>
      <c r="AT33" s="139">
        <f t="shared" si="93"/>
        <v>1</v>
      </c>
      <c r="AU33" s="125">
        <v>0</v>
      </c>
      <c r="AV33" s="126">
        <v>0</v>
      </c>
      <c r="AW33" s="139" t="str">
        <f t="shared" si="94"/>
        <v>-</v>
      </c>
      <c r="AX33" s="125">
        <v>0</v>
      </c>
      <c r="AY33" s="126">
        <v>0</v>
      </c>
      <c r="AZ33" s="139" t="str">
        <f t="shared" si="95"/>
        <v>-</v>
      </c>
      <c r="BA33" s="125">
        <v>0</v>
      </c>
      <c r="BB33" s="126">
        <v>0</v>
      </c>
      <c r="BC33" s="139" t="str">
        <f t="shared" si="123"/>
        <v>-</v>
      </c>
      <c r="BD33" s="125">
        <v>0</v>
      </c>
      <c r="BE33" s="126">
        <v>0</v>
      </c>
      <c r="BF33" s="139" t="str">
        <f t="shared" si="18"/>
        <v>-</v>
      </c>
      <c r="BG33" s="125">
        <v>0</v>
      </c>
      <c r="BH33" s="126">
        <v>0</v>
      </c>
      <c r="BI33" s="139" t="str">
        <f t="shared" si="19"/>
        <v>-</v>
      </c>
      <c r="BJ33" s="252">
        <v>27</v>
      </c>
      <c r="BK33" s="253">
        <v>4</v>
      </c>
      <c r="BL33" s="276">
        <f t="shared" si="20"/>
        <v>6.75</v>
      </c>
      <c r="BM33" s="252">
        <v>0</v>
      </c>
      <c r="BN33" s="253">
        <v>0</v>
      </c>
      <c r="BO33" s="276" t="str">
        <f t="shared" si="21"/>
        <v>-</v>
      </c>
      <c r="BP33" s="302">
        <v>0</v>
      </c>
      <c r="BQ33" s="303">
        <v>0</v>
      </c>
      <c r="BR33" s="276" t="str">
        <f t="shared" si="22"/>
        <v>-</v>
      </c>
      <c r="BS33" s="257">
        <v>7</v>
      </c>
      <c r="BT33" s="253">
        <v>1</v>
      </c>
      <c r="BU33" s="276">
        <f t="shared" si="23"/>
        <v>7</v>
      </c>
      <c r="BV33" s="252">
        <v>0</v>
      </c>
      <c r="BW33" s="253">
        <v>0</v>
      </c>
      <c r="BX33" s="276" t="str">
        <f t="shared" ref="BX33" si="212">IF(BW33=0,"-",BV33/BW33)</f>
        <v>-</v>
      </c>
      <c r="BY33" s="302">
        <v>0</v>
      </c>
      <c r="BZ33" s="303">
        <v>0</v>
      </c>
      <c r="CA33" s="276" t="str">
        <f t="shared" ref="CA33" si="213">IF(BZ33=0,"-",BY33/BZ33)</f>
        <v>-</v>
      </c>
      <c r="CB33" s="257">
        <v>0</v>
      </c>
      <c r="CC33" s="253">
        <v>0</v>
      </c>
      <c r="CD33" s="276" t="str">
        <f t="shared" ref="CD33" si="214">IF(CC33=0,"-",CB33/CC33)</f>
        <v>-</v>
      </c>
      <c r="CE33" s="252">
        <v>5</v>
      </c>
      <c r="CF33" s="253">
        <v>1</v>
      </c>
      <c r="CG33" s="276">
        <f t="shared" ref="CG33:CG34" si="215">IF(CF33=0,"-",CE33/CF33)</f>
        <v>5</v>
      </c>
      <c r="CH33" s="302">
        <v>0</v>
      </c>
      <c r="CI33" s="303">
        <v>0</v>
      </c>
      <c r="CJ33" s="276" t="str">
        <f t="shared" ref="CJ33:CJ34" si="216">IF(CI33=0,"-",CH33/CI33)</f>
        <v>-</v>
      </c>
      <c r="CK33" s="257">
        <v>0</v>
      </c>
      <c r="CL33" s="253">
        <v>0</v>
      </c>
      <c r="CM33" s="276" t="str">
        <f t="shared" ref="CM33:CM34" si="217">IF(CL33=0,"-",CK33/CL33)</f>
        <v>-</v>
      </c>
      <c r="CN33" s="117">
        <f t="shared" si="42"/>
        <v>353</v>
      </c>
      <c r="CO33" s="120">
        <f t="shared" si="43"/>
        <v>62</v>
      </c>
      <c r="CP33" s="147">
        <f t="shared" si="30"/>
        <v>5.693548387096774</v>
      </c>
    </row>
    <row r="34" spans="1:94" ht="15" thickBot="1" x14ac:dyDescent="0.35">
      <c r="A34" s="294">
        <v>45807</v>
      </c>
      <c r="B34" s="20">
        <v>50</v>
      </c>
      <c r="C34" s="21">
        <v>6</v>
      </c>
      <c r="D34" s="139">
        <f t="shared" si="0"/>
        <v>8.3333333333333339</v>
      </c>
      <c r="E34" s="20">
        <v>7</v>
      </c>
      <c r="F34" s="21">
        <v>1</v>
      </c>
      <c r="G34" s="139">
        <f t="shared" si="31"/>
        <v>7</v>
      </c>
      <c r="H34" s="20">
        <v>0</v>
      </c>
      <c r="I34" s="21">
        <v>0</v>
      </c>
      <c r="J34" s="139" t="str">
        <f t="shared" si="32"/>
        <v>-</v>
      </c>
      <c r="K34" s="20">
        <v>25</v>
      </c>
      <c r="L34" s="21">
        <v>3</v>
      </c>
      <c r="M34" s="139">
        <f t="shared" si="33"/>
        <v>8.3333333333333339</v>
      </c>
      <c r="N34" s="125"/>
      <c r="O34" s="126"/>
      <c r="P34" s="139" t="str">
        <f t="shared" si="4"/>
        <v>-</v>
      </c>
      <c r="Q34" s="125">
        <v>85</v>
      </c>
      <c r="R34" s="126">
        <v>21</v>
      </c>
      <c r="S34" s="139">
        <f t="shared" si="5"/>
        <v>4.0476190476190474</v>
      </c>
      <c r="T34" s="125">
        <v>114</v>
      </c>
      <c r="U34" s="126">
        <v>20</v>
      </c>
      <c r="V34" s="139">
        <f t="shared" si="34"/>
        <v>5.7</v>
      </c>
      <c r="W34" s="125">
        <v>0</v>
      </c>
      <c r="X34" s="126">
        <v>0</v>
      </c>
      <c r="Y34" s="139" t="str">
        <f t="shared" si="35"/>
        <v>-</v>
      </c>
      <c r="Z34" s="125">
        <v>40</v>
      </c>
      <c r="AA34" s="126">
        <v>8</v>
      </c>
      <c r="AB34" s="139">
        <f t="shared" si="66"/>
        <v>5</v>
      </c>
      <c r="AC34" s="125">
        <v>0</v>
      </c>
      <c r="AD34" s="126">
        <v>0</v>
      </c>
      <c r="AE34" s="139" t="str">
        <f t="shared" ref="AE34:AE35" si="218">IF(AD34=0,"-",AC34/AD34)</f>
        <v>-</v>
      </c>
      <c r="AF34" s="125">
        <v>0</v>
      </c>
      <c r="AG34" s="126">
        <v>0</v>
      </c>
      <c r="AH34" s="139" t="str">
        <f t="shared" ref="AH34:AH35" si="219">IF(AG34=0,"-",AF34/AG34)</f>
        <v>-</v>
      </c>
      <c r="AI34" s="125">
        <v>0</v>
      </c>
      <c r="AJ34" s="126">
        <v>0</v>
      </c>
      <c r="AK34" s="139" t="str">
        <f t="shared" ref="AK34:AK35" si="220">IF(AJ34=0,"-",AI34/AJ34)</f>
        <v>-</v>
      </c>
      <c r="AL34" s="125">
        <v>0</v>
      </c>
      <c r="AM34" s="126">
        <v>0</v>
      </c>
      <c r="AN34" s="139" t="str">
        <f t="shared" ref="AN34:AN35" si="221">IF(AM34=0,"-",AL34/AM34)</f>
        <v>-</v>
      </c>
      <c r="AO34" s="125">
        <v>0</v>
      </c>
      <c r="AP34" s="126">
        <v>0</v>
      </c>
      <c r="AQ34" s="139" t="str">
        <f t="shared" si="41"/>
        <v>-</v>
      </c>
      <c r="AR34" s="125">
        <v>7</v>
      </c>
      <c r="AS34" s="126">
        <v>1</v>
      </c>
      <c r="AT34" s="139">
        <f t="shared" si="93"/>
        <v>7</v>
      </c>
      <c r="AU34" s="125">
        <v>0</v>
      </c>
      <c r="AV34" s="126">
        <v>0</v>
      </c>
      <c r="AW34" s="139" t="str">
        <f t="shared" si="94"/>
        <v>-</v>
      </c>
      <c r="AX34" s="125">
        <v>2</v>
      </c>
      <c r="AY34" s="126">
        <v>1</v>
      </c>
      <c r="AZ34" s="139">
        <f t="shared" si="95"/>
        <v>2</v>
      </c>
      <c r="BA34" s="125">
        <v>0</v>
      </c>
      <c r="BB34" s="126">
        <v>0</v>
      </c>
      <c r="BC34" s="139" t="str">
        <f t="shared" si="123"/>
        <v>-</v>
      </c>
      <c r="BD34" s="125">
        <v>0</v>
      </c>
      <c r="BE34" s="126">
        <v>0</v>
      </c>
      <c r="BF34" s="139" t="str">
        <f t="shared" si="18"/>
        <v>-</v>
      </c>
      <c r="BG34" s="125">
        <v>0</v>
      </c>
      <c r="BH34" s="126">
        <v>0</v>
      </c>
      <c r="BI34" s="139" t="str">
        <f t="shared" si="19"/>
        <v>-</v>
      </c>
      <c r="BJ34" s="252">
        <v>30</v>
      </c>
      <c r="BK34" s="253">
        <v>5</v>
      </c>
      <c r="BL34" s="276">
        <f t="shared" si="20"/>
        <v>6</v>
      </c>
      <c r="BM34" s="252">
        <v>0</v>
      </c>
      <c r="BN34" s="253">
        <v>0</v>
      </c>
      <c r="BO34" s="276" t="str">
        <f t="shared" ref="BO34" si="222">IF(BN34=0,"-",BM34/BN34)</f>
        <v>-</v>
      </c>
      <c r="BP34" s="302">
        <v>0</v>
      </c>
      <c r="BQ34" s="303">
        <v>0</v>
      </c>
      <c r="BR34" s="276" t="str">
        <f t="shared" ref="BR34" si="223">IF(BQ34=0,"-",BP34/BQ34)</f>
        <v>-</v>
      </c>
      <c r="BS34" s="257">
        <v>6</v>
      </c>
      <c r="BT34" s="253">
        <v>1</v>
      </c>
      <c r="BU34" s="276">
        <f t="shared" si="23"/>
        <v>6</v>
      </c>
      <c r="BV34" s="252">
        <v>0</v>
      </c>
      <c r="BW34" s="253">
        <v>0</v>
      </c>
      <c r="BX34" s="276" t="str">
        <f t="shared" ref="BX34" si="224">IF(BW34=0,"-",BV34/BW34)</f>
        <v>-</v>
      </c>
      <c r="BY34" s="302">
        <v>0</v>
      </c>
      <c r="BZ34" s="303">
        <v>0</v>
      </c>
      <c r="CA34" s="276" t="str">
        <f t="shared" ref="CA34" si="225">IF(BZ34=0,"-",BY34/BZ34)</f>
        <v>-</v>
      </c>
      <c r="CB34" s="257">
        <v>0</v>
      </c>
      <c r="CC34" s="253">
        <v>0</v>
      </c>
      <c r="CD34" s="276" t="str">
        <f t="shared" ref="CD34" si="226">IF(CC34=0,"-",CB34/CC34)</f>
        <v>-</v>
      </c>
      <c r="CE34" s="252">
        <v>0</v>
      </c>
      <c r="CF34" s="253">
        <v>0</v>
      </c>
      <c r="CG34" s="276" t="str">
        <f t="shared" si="215"/>
        <v>-</v>
      </c>
      <c r="CH34" s="302">
        <v>0</v>
      </c>
      <c r="CI34" s="303">
        <v>0</v>
      </c>
      <c r="CJ34" s="276" t="str">
        <f t="shared" si="216"/>
        <v>-</v>
      </c>
      <c r="CK34" s="257">
        <v>0</v>
      </c>
      <c r="CL34" s="253">
        <v>0</v>
      </c>
      <c r="CM34" s="276" t="str">
        <f t="shared" si="217"/>
        <v>-</v>
      </c>
      <c r="CN34" s="117">
        <f t="shared" si="42"/>
        <v>366</v>
      </c>
      <c r="CO34" s="120">
        <f t="shared" si="43"/>
        <v>67</v>
      </c>
      <c r="CP34" s="147">
        <f t="shared" si="30"/>
        <v>5.4626865671641793</v>
      </c>
    </row>
    <row r="35" spans="1:94" ht="15" thickBot="1" x14ac:dyDescent="0.35">
      <c r="A35" s="294">
        <v>45808</v>
      </c>
      <c r="B35" s="20">
        <v>49</v>
      </c>
      <c r="C35" s="21">
        <v>6</v>
      </c>
      <c r="D35" s="139">
        <f t="shared" si="0"/>
        <v>8.1666666666666661</v>
      </c>
      <c r="E35" s="20">
        <v>9</v>
      </c>
      <c r="F35" s="21">
        <v>1</v>
      </c>
      <c r="G35" s="139">
        <f t="shared" si="31"/>
        <v>9</v>
      </c>
      <c r="H35" s="20">
        <v>0</v>
      </c>
      <c r="I35" s="21">
        <v>0</v>
      </c>
      <c r="J35" s="139" t="str">
        <f t="shared" ref="J35" si="227">IF(I35=0,"-",H35/I35)</f>
        <v>-</v>
      </c>
      <c r="K35" s="20">
        <v>8</v>
      </c>
      <c r="L35" s="21">
        <v>1</v>
      </c>
      <c r="M35" s="139">
        <f t="shared" ref="M35" si="228">IF(L35=0,"-",K35/L35)</f>
        <v>8</v>
      </c>
      <c r="N35" s="125"/>
      <c r="O35" s="126"/>
      <c r="P35" s="139" t="str">
        <f t="shared" ref="P35" si="229">IF(O35=0,"-",N35/O35)</f>
        <v>-</v>
      </c>
      <c r="Q35" s="125">
        <v>18</v>
      </c>
      <c r="R35" s="126">
        <v>3</v>
      </c>
      <c r="S35" s="139">
        <f t="shared" ref="S35" si="230">IF(R35=0,"-",Q35/R35)</f>
        <v>6</v>
      </c>
      <c r="T35" s="125">
        <v>0</v>
      </c>
      <c r="U35" s="126">
        <v>0</v>
      </c>
      <c r="V35" s="139" t="str">
        <f t="shared" ref="V35" si="231">IF(U35=0,"-",T35/U35)</f>
        <v>-</v>
      </c>
      <c r="W35" s="125">
        <v>0</v>
      </c>
      <c r="X35" s="126">
        <v>0</v>
      </c>
      <c r="Y35" s="139" t="str">
        <f t="shared" si="35"/>
        <v>-</v>
      </c>
      <c r="Z35" s="125">
        <v>0</v>
      </c>
      <c r="AA35" s="126">
        <v>0</v>
      </c>
      <c r="AB35" s="139" t="str">
        <f t="shared" si="66"/>
        <v>-</v>
      </c>
      <c r="AC35" s="125">
        <v>0</v>
      </c>
      <c r="AD35" s="126">
        <v>0</v>
      </c>
      <c r="AE35" s="139" t="str">
        <f t="shared" si="218"/>
        <v>-</v>
      </c>
      <c r="AF35" s="125">
        <v>0</v>
      </c>
      <c r="AG35" s="126">
        <v>0</v>
      </c>
      <c r="AH35" s="139" t="str">
        <f t="shared" si="219"/>
        <v>-</v>
      </c>
      <c r="AI35" s="125">
        <v>0</v>
      </c>
      <c r="AJ35" s="126">
        <v>0</v>
      </c>
      <c r="AK35" s="139" t="str">
        <f t="shared" si="220"/>
        <v>-</v>
      </c>
      <c r="AL35" s="125">
        <v>0</v>
      </c>
      <c r="AM35" s="126">
        <v>0</v>
      </c>
      <c r="AN35" s="139" t="str">
        <f t="shared" si="221"/>
        <v>-</v>
      </c>
      <c r="AO35" s="125">
        <v>0</v>
      </c>
      <c r="AP35" s="126">
        <v>0</v>
      </c>
      <c r="AQ35" s="139" t="str">
        <f t="shared" si="41"/>
        <v>-</v>
      </c>
      <c r="AR35" s="125">
        <v>0</v>
      </c>
      <c r="AS35" s="126">
        <v>0</v>
      </c>
      <c r="AT35" s="139" t="str">
        <f t="shared" si="93"/>
        <v>-</v>
      </c>
      <c r="AU35" s="125">
        <v>0</v>
      </c>
      <c r="AV35" s="126">
        <v>0</v>
      </c>
      <c r="AW35" s="139" t="str">
        <f t="shared" si="94"/>
        <v>-</v>
      </c>
      <c r="AX35" s="125">
        <v>0</v>
      </c>
      <c r="AY35" s="126">
        <v>0</v>
      </c>
      <c r="AZ35" s="139" t="str">
        <f t="shared" si="95"/>
        <v>-</v>
      </c>
      <c r="BA35" s="125">
        <v>0</v>
      </c>
      <c r="BB35" s="126">
        <v>0</v>
      </c>
      <c r="BC35" s="139" t="str">
        <f t="shared" si="123"/>
        <v>-</v>
      </c>
      <c r="BD35" s="125">
        <v>0</v>
      </c>
      <c r="BE35" s="126">
        <v>0</v>
      </c>
      <c r="BF35" s="139" t="str">
        <f t="shared" ref="BF35" si="232">IF(BE35=0,"-",BD35/BE35)</f>
        <v>-</v>
      </c>
      <c r="BG35" s="125">
        <v>0</v>
      </c>
      <c r="BH35" s="126">
        <v>0</v>
      </c>
      <c r="BI35" s="139" t="str">
        <f t="shared" ref="BI35" si="233">IF(BH35=0,"-",BG35/BH35)</f>
        <v>-</v>
      </c>
      <c r="BJ35" s="252">
        <v>13</v>
      </c>
      <c r="BK35" s="253">
        <v>2</v>
      </c>
      <c r="BL35" s="276">
        <f t="shared" ref="BL35" si="234">IF(BK35=0,"-",BJ35/BK35)</f>
        <v>6.5</v>
      </c>
      <c r="BM35" s="252">
        <v>0</v>
      </c>
      <c r="BN35" s="253">
        <v>0</v>
      </c>
      <c r="BO35" s="276" t="str">
        <f t="shared" ref="BO35" si="235">IF(BN35=0,"-",BM35/BN35)</f>
        <v>-</v>
      </c>
      <c r="BP35" s="302">
        <v>0</v>
      </c>
      <c r="BQ35" s="303">
        <v>0</v>
      </c>
      <c r="BR35" s="276" t="str">
        <f t="shared" ref="BR35" si="236">IF(BQ35=0,"-",BP35/BQ35)</f>
        <v>-</v>
      </c>
      <c r="BS35" s="257">
        <v>0</v>
      </c>
      <c r="BT35" s="253">
        <v>0</v>
      </c>
      <c r="BU35" s="276" t="str">
        <f t="shared" ref="BU35" si="237">IF(BT35=0,"-",BS35/BT35)</f>
        <v>-</v>
      </c>
      <c r="BV35" s="252">
        <v>0</v>
      </c>
      <c r="BW35" s="253">
        <v>0</v>
      </c>
      <c r="BX35" s="276" t="str">
        <f t="shared" ref="BX35" si="238">IF(BW35=0,"-",BV35/BW35)</f>
        <v>-</v>
      </c>
      <c r="CA35" s="299"/>
      <c r="CB35" s="330">
        <v>1</v>
      </c>
      <c r="CC35" s="331">
        <v>1</v>
      </c>
      <c r="CD35" s="139">
        <f t="shared" si="46"/>
        <v>1</v>
      </c>
      <c r="CE35" s="252">
        <v>0</v>
      </c>
      <c r="CF35" s="253">
        <v>0</v>
      </c>
      <c r="CG35" s="276" t="str">
        <f t="shared" ref="CG35" si="239">IF(CF35=0,"-",CE35/CF35)</f>
        <v>-</v>
      </c>
      <c r="CH35" s="302">
        <v>0</v>
      </c>
      <c r="CI35" s="303">
        <v>0</v>
      </c>
      <c r="CJ35" s="276" t="str">
        <f t="shared" ref="CJ35" si="240">IF(CI35=0,"-",CH35/CI35)</f>
        <v>-</v>
      </c>
      <c r="CK35" s="257">
        <v>0</v>
      </c>
      <c r="CL35" s="253">
        <v>0</v>
      </c>
      <c r="CM35" s="276" t="str">
        <f t="shared" ref="CM35" si="241">IF(CL35=0,"-",CK35/CL35)</f>
        <v>-</v>
      </c>
      <c r="CN35" s="117">
        <f t="shared" ref="CN35" si="242">SUM(B35,E35,H35,K35,Q35,T35,W35,Z35,AC35,AF35,AI35,AL35,AO35,AR35,AX35,BA35,BG35,BJ35,BM35,BP35,BS35,BV35,BY35,CB35,CE35,CH35,CK35)</f>
        <v>98</v>
      </c>
      <c r="CO35" s="120">
        <f t="shared" ref="CO35" si="243">C35+F35+I35+L35+R35+U35+X35+AA35+AD35+AG35+AJ35+AS35+AV35+AY35+BB35+BE35+BH35+BK35+BN35+BQ35+BT35+CC35+CF35+CI35+CL35</f>
        <v>14</v>
      </c>
      <c r="CP35" s="147">
        <f t="shared" ref="CP35" si="244">IF(CO35=0,"",CN35/CO35)</f>
        <v>7</v>
      </c>
    </row>
    <row r="36" spans="1:94" s="41" customFormat="1" ht="15.6" customHeight="1" thickBot="1" x14ac:dyDescent="0.35">
      <c r="A36" s="295" t="s">
        <v>33</v>
      </c>
      <c r="B36" s="43">
        <f>SUM(B5:B35)</f>
        <v>879</v>
      </c>
      <c r="C36" s="43">
        <f t="shared" ref="C36:BN36" si="245">SUM(C5:C35)</f>
        <v>123</v>
      </c>
      <c r="D36" s="332">
        <f t="shared" si="245"/>
        <v>179.95476190476191</v>
      </c>
      <c r="E36" s="43">
        <f t="shared" si="245"/>
        <v>204</v>
      </c>
      <c r="F36" s="43">
        <f t="shared" si="245"/>
        <v>27</v>
      </c>
      <c r="G36" s="332">
        <f t="shared" si="245"/>
        <v>135.83333333333334</v>
      </c>
      <c r="H36" s="43">
        <f t="shared" si="245"/>
        <v>8</v>
      </c>
      <c r="I36" s="43">
        <f t="shared" si="245"/>
        <v>1</v>
      </c>
      <c r="J36" s="43">
        <f t="shared" si="245"/>
        <v>8</v>
      </c>
      <c r="K36" s="43">
        <f t="shared" si="245"/>
        <v>415</v>
      </c>
      <c r="L36" s="43">
        <f t="shared" si="245"/>
        <v>54</v>
      </c>
      <c r="M36" s="332">
        <f t="shared" si="245"/>
        <v>159.75</v>
      </c>
      <c r="N36" s="43">
        <f t="shared" si="245"/>
        <v>0</v>
      </c>
      <c r="O36" s="43">
        <f t="shared" si="245"/>
        <v>0</v>
      </c>
      <c r="P36" s="43">
        <f t="shared" si="245"/>
        <v>0</v>
      </c>
      <c r="Q36" s="43">
        <f t="shared" si="245"/>
        <v>1569</v>
      </c>
      <c r="R36" s="43">
        <f t="shared" si="245"/>
        <v>375</v>
      </c>
      <c r="S36" s="332">
        <f t="shared" si="245"/>
        <v>122.49773455311883</v>
      </c>
      <c r="T36" s="43">
        <f t="shared" si="245"/>
        <v>1273</v>
      </c>
      <c r="U36" s="43">
        <f t="shared" si="245"/>
        <v>212</v>
      </c>
      <c r="V36" s="332">
        <f t="shared" si="245"/>
        <v>58.452574269321012</v>
      </c>
      <c r="W36" s="43">
        <f t="shared" si="245"/>
        <v>0</v>
      </c>
      <c r="X36" s="43">
        <f t="shared" si="245"/>
        <v>0</v>
      </c>
      <c r="Y36" s="43">
        <f t="shared" si="245"/>
        <v>0</v>
      </c>
      <c r="Z36" s="43">
        <f t="shared" si="245"/>
        <v>520</v>
      </c>
      <c r="AA36" s="43">
        <f t="shared" si="245"/>
        <v>104</v>
      </c>
      <c r="AB36" s="332">
        <f t="shared" si="245"/>
        <v>89.6</v>
      </c>
      <c r="AC36" s="43">
        <f t="shared" si="245"/>
        <v>124</v>
      </c>
      <c r="AD36" s="43">
        <f t="shared" si="245"/>
        <v>25</v>
      </c>
      <c r="AE36" s="332">
        <f t="shared" si="245"/>
        <v>10.031746031746032</v>
      </c>
      <c r="AF36" s="43">
        <f t="shared" si="245"/>
        <v>44</v>
      </c>
      <c r="AG36" s="43">
        <f t="shared" si="245"/>
        <v>8</v>
      </c>
      <c r="AH36" s="332">
        <f t="shared" si="245"/>
        <v>17.333333333333332</v>
      </c>
      <c r="AI36" s="43">
        <f t="shared" si="245"/>
        <v>0</v>
      </c>
      <c r="AJ36" s="43">
        <f t="shared" si="245"/>
        <v>0</v>
      </c>
      <c r="AK36" s="43">
        <f t="shared" si="245"/>
        <v>0</v>
      </c>
      <c r="AL36" s="43">
        <f t="shared" si="245"/>
        <v>22</v>
      </c>
      <c r="AM36" s="43">
        <f t="shared" si="245"/>
        <v>4</v>
      </c>
      <c r="AN36" s="43">
        <f t="shared" si="245"/>
        <v>17</v>
      </c>
      <c r="AO36" s="43">
        <f t="shared" si="245"/>
        <v>0</v>
      </c>
      <c r="AP36" s="43">
        <f t="shared" si="245"/>
        <v>0</v>
      </c>
      <c r="AQ36" s="43">
        <f t="shared" si="245"/>
        <v>0</v>
      </c>
      <c r="AR36" s="43">
        <f t="shared" si="245"/>
        <v>39</v>
      </c>
      <c r="AS36" s="43">
        <f t="shared" si="245"/>
        <v>11</v>
      </c>
      <c r="AT36" s="43">
        <f t="shared" si="245"/>
        <v>39</v>
      </c>
      <c r="AU36" s="43">
        <f t="shared" si="245"/>
        <v>0</v>
      </c>
      <c r="AV36" s="43">
        <f t="shared" si="245"/>
        <v>0</v>
      </c>
      <c r="AW36" s="43">
        <f t="shared" si="245"/>
        <v>0</v>
      </c>
      <c r="AX36" s="43">
        <f t="shared" si="245"/>
        <v>52</v>
      </c>
      <c r="AY36" s="43">
        <f t="shared" si="245"/>
        <v>16</v>
      </c>
      <c r="AZ36" s="43">
        <f t="shared" si="245"/>
        <v>27.5</v>
      </c>
      <c r="BA36" s="43">
        <f t="shared" si="245"/>
        <v>166</v>
      </c>
      <c r="BB36" s="43">
        <f t="shared" si="245"/>
        <v>19</v>
      </c>
      <c r="BC36" s="332">
        <f t="shared" si="245"/>
        <v>45.916666666666664</v>
      </c>
      <c r="BD36" s="43">
        <f t="shared" si="245"/>
        <v>0</v>
      </c>
      <c r="BE36" s="43">
        <f t="shared" si="245"/>
        <v>0</v>
      </c>
      <c r="BF36" s="43">
        <f t="shared" si="245"/>
        <v>0</v>
      </c>
      <c r="BG36" s="43">
        <f t="shared" si="245"/>
        <v>0</v>
      </c>
      <c r="BH36" s="43">
        <f t="shared" si="245"/>
        <v>0</v>
      </c>
      <c r="BI36" s="43">
        <f t="shared" si="245"/>
        <v>0</v>
      </c>
      <c r="BJ36" s="43">
        <f t="shared" si="245"/>
        <v>438</v>
      </c>
      <c r="BK36" s="43">
        <f t="shared" si="245"/>
        <v>65</v>
      </c>
      <c r="BL36" s="332">
        <f t="shared" si="245"/>
        <v>150.80833333333334</v>
      </c>
      <c r="BM36" s="43">
        <f t="shared" si="245"/>
        <v>2</v>
      </c>
      <c r="BN36" s="43">
        <f t="shared" si="245"/>
        <v>1</v>
      </c>
      <c r="BO36" s="43">
        <f t="shared" ref="BO36:CM36" si="246">SUM(BO5:BO35)</f>
        <v>2</v>
      </c>
      <c r="BP36" s="43">
        <f t="shared" si="246"/>
        <v>47</v>
      </c>
      <c r="BQ36" s="43">
        <f t="shared" si="246"/>
        <v>6</v>
      </c>
      <c r="BR36" s="43">
        <f t="shared" si="246"/>
        <v>32.5</v>
      </c>
      <c r="BS36" s="43">
        <f t="shared" si="246"/>
        <v>50</v>
      </c>
      <c r="BT36" s="43">
        <f t="shared" si="246"/>
        <v>8</v>
      </c>
      <c r="BU36" s="43">
        <f t="shared" si="246"/>
        <v>50</v>
      </c>
      <c r="BV36" s="43">
        <f t="shared" si="246"/>
        <v>40</v>
      </c>
      <c r="BW36" s="43">
        <f t="shared" si="246"/>
        <v>9</v>
      </c>
      <c r="BX36" s="43">
        <f t="shared" si="246"/>
        <v>28</v>
      </c>
      <c r="BY36" s="43">
        <f t="shared" si="246"/>
        <v>0</v>
      </c>
      <c r="BZ36" s="43">
        <f t="shared" si="246"/>
        <v>0</v>
      </c>
      <c r="CA36" s="43">
        <f t="shared" si="246"/>
        <v>0</v>
      </c>
      <c r="CB36" s="43">
        <f t="shared" si="246"/>
        <v>15</v>
      </c>
      <c r="CC36" s="43">
        <f t="shared" si="246"/>
        <v>7</v>
      </c>
      <c r="CD36" s="43">
        <f t="shared" si="246"/>
        <v>15</v>
      </c>
      <c r="CE36" s="43">
        <f t="shared" si="246"/>
        <v>209</v>
      </c>
      <c r="CF36" s="43">
        <f t="shared" si="246"/>
        <v>34</v>
      </c>
      <c r="CG36" s="332">
        <f t="shared" si="246"/>
        <v>79.124999999999986</v>
      </c>
      <c r="CH36" s="43">
        <f t="shared" si="246"/>
        <v>0</v>
      </c>
      <c r="CI36" s="43">
        <f t="shared" si="246"/>
        <v>0</v>
      </c>
      <c r="CJ36" s="43">
        <f t="shared" si="246"/>
        <v>0</v>
      </c>
      <c r="CK36" s="43">
        <f t="shared" si="246"/>
        <v>0</v>
      </c>
      <c r="CL36" s="43">
        <f t="shared" si="246"/>
        <v>0</v>
      </c>
      <c r="CM36" s="43">
        <f t="shared" si="246"/>
        <v>0</v>
      </c>
      <c r="CN36" s="118">
        <f>SUM(CN5:CN35)</f>
        <v>6116</v>
      </c>
      <c r="CO36" s="118">
        <f>SUM(CO5:CO35)</f>
        <v>1096</v>
      </c>
      <c r="CP36" s="144">
        <f t="shared" si="30"/>
        <v>5.5802919708029197</v>
      </c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86B9-2D53-4210-A0B4-2605C5DA0361}">
  <sheetPr>
    <tabColor rgb="FFFF0000"/>
  </sheetPr>
  <dimension ref="A1:CL43"/>
  <sheetViews>
    <sheetView workbookViewId="0">
      <selection activeCell="B4" sqref="B4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92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 xml:space="preserve"> 'May 2025'!B36</f>
        <v>879</v>
      </c>
      <c r="C4" s="68"/>
      <c r="D4" s="95" t="s">
        <v>19</v>
      </c>
      <c r="E4" s="93">
        <f>'May 2025'!AX36</f>
        <v>52</v>
      </c>
      <c r="F4" s="68"/>
      <c r="G4" s="87" t="s">
        <v>24</v>
      </c>
      <c r="H4" s="81">
        <f>'May 2025'!BM36</f>
        <v>2</v>
      </c>
    </row>
    <row r="5" spans="1:90" x14ac:dyDescent="0.3">
      <c r="A5" s="80"/>
      <c r="B5" s="81">
        <f>'May 2025'!C36</f>
        <v>123</v>
      </c>
      <c r="C5" s="68"/>
      <c r="D5" s="85"/>
      <c r="E5" s="81">
        <f>'May 2025'!AY36</f>
        <v>16</v>
      </c>
      <c r="F5" s="68"/>
      <c r="G5" s="87"/>
      <c r="H5" s="81">
        <f>'May 2025'!BN36</f>
        <v>1</v>
      </c>
    </row>
    <row r="6" spans="1:90" x14ac:dyDescent="0.3">
      <c r="A6" s="82"/>
      <c r="B6" s="275">
        <f>'May 2025'!D36</f>
        <v>179.95476190476191</v>
      </c>
      <c r="C6" s="68"/>
      <c r="D6" s="86"/>
      <c r="E6" s="26">
        <f>'May 2025'!AZ36</f>
        <v>27.5</v>
      </c>
      <c r="F6" s="68"/>
      <c r="G6" s="88"/>
      <c r="H6" s="26">
        <f>'May 2025'!BO36</f>
        <v>2</v>
      </c>
    </row>
    <row r="7" spans="1:90" x14ac:dyDescent="0.3">
      <c r="A7" s="80" t="s">
        <v>9</v>
      </c>
      <c r="B7" s="81">
        <f>'May 2025'!E36</f>
        <v>204</v>
      </c>
      <c r="C7" s="68"/>
      <c r="D7" s="85" t="s">
        <v>20</v>
      </c>
      <c r="E7" s="81">
        <f>'May 2025'!BA36</f>
        <v>166</v>
      </c>
      <c r="F7" s="68"/>
      <c r="G7" s="87" t="s">
        <v>25</v>
      </c>
      <c r="H7" s="151">
        <f>'May 2025'!BP36</f>
        <v>47</v>
      </c>
    </row>
    <row r="8" spans="1:90" x14ac:dyDescent="0.3">
      <c r="A8" s="80"/>
      <c r="B8" s="81">
        <f>'May 2025'!F36</f>
        <v>27</v>
      </c>
      <c r="C8" s="68"/>
      <c r="D8" s="85"/>
      <c r="E8" s="81">
        <f>'May 2025'!BB36</f>
        <v>19</v>
      </c>
      <c r="F8" s="68"/>
      <c r="G8" s="87"/>
      <c r="H8" s="151">
        <f>'May 2025'!BQ36</f>
        <v>6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'May 2025'!G36</f>
        <v>135.83333333333334</v>
      </c>
      <c r="C9" s="68"/>
      <c r="D9" s="86"/>
      <c r="E9" s="26">
        <f>'May 2025'!BC36</f>
        <v>45.916666666666664</v>
      </c>
      <c r="F9" s="68"/>
      <c r="G9" s="88"/>
      <c r="H9" s="151">
        <f>'May 2025'!BQ36</f>
        <v>6</v>
      </c>
    </row>
    <row r="10" spans="1:90" x14ac:dyDescent="0.3">
      <c r="A10" s="80" t="s">
        <v>55</v>
      </c>
      <c r="B10" s="81">
        <f>'May 2025'!K36</f>
        <v>415</v>
      </c>
      <c r="C10" s="68"/>
      <c r="D10" s="85" t="s">
        <v>21</v>
      </c>
      <c r="E10" s="81">
        <f>'May 2025'!BD36</f>
        <v>0</v>
      </c>
      <c r="F10" s="68"/>
      <c r="G10" s="87" t="s">
        <v>26</v>
      </c>
      <c r="H10" s="151">
        <f>'May 2025'!BS36</f>
        <v>50</v>
      </c>
    </row>
    <row r="11" spans="1:90" x14ac:dyDescent="0.3">
      <c r="A11" s="80"/>
      <c r="B11" s="81">
        <f>'May 2025'!L36</f>
        <v>54</v>
      </c>
      <c r="C11" s="68"/>
      <c r="D11" s="85"/>
      <c r="E11" s="81">
        <f>'May 2025'!BE36</f>
        <v>0</v>
      </c>
      <c r="F11" s="68"/>
      <c r="G11" s="87"/>
      <c r="H11" s="81">
        <f>'May 2025'!BT36</f>
        <v>8</v>
      </c>
    </row>
    <row r="12" spans="1:90" x14ac:dyDescent="0.3">
      <c r="A12" s="82"/>
      <c r="B12" s="26">
        <f>'May 2025'!M36</f>
        <v>159.75</v>
      </c>
      <c r="C12" s="68"/>
      <c r="D12" s="86"/>
      <c r="E12" s="81">
        <f>'May 2025'!BF36</f>
        <v>0</v>
      </c>
      <c r="F12" s="68"/>
      <c r="G12" s="88"/>
      <c r="H12" s="26">
        <f>'May 2025'!BU36</f>
        <v>50</v>
      </c>
    </row>
    <row r="13" spans="1:90" x14ac:dyDescent="0.3">
      <c r="A13" s="80" t="s">
        <v>11</v>
      </c>
      <c r="B13" s="81">
        <f>'May 2025'!Q36</f>
        <v>1569</v>
      </c>
      <c r="C13" s="68"/>
      <c r="D13" s="85" t="s">
        <v>22</v>
      </c>
      <c r="E13" s="81">
        <f>'May 2025'!BG36</f>
        <v>0</v>
      </c>
      <c r="F13" s="68"/>
      <c r="G13" s="87" t="s">
        <v>27</v>
      </c>
      <c r="H13" s="81">
        <f>'May 2025'!BV36</f>
        <v>40</v>
      </c>
    </row>
    <row r="14" spans="1:90" x14ac:dyDescent="0.3">
      <c r="A14" s="80"/>
      <c r="B14" s="81">
        <f>'May 2025'!R36</f>
        <v>375</v>
      </c>
      <c r="C14" s="68"/>
      <c r="D14" s="85"/>
      <c r="E14" s="81">
        <f>'May 2025'!BH36</f>
        <v>0</v>
      </c>
      <c r="F14" s="68"/>
      <c r="G14" s="87"/>
      <c r="H14" s="81">
        <f>'May 2025'!BW36</f>
        <v>9</v>
      </c>
    </row>
    <row r="15" spans="1:90" x14ac:dyDescent="0.3">
      <c r="A15" s="82"/>
      <c r="B15" s="26">
        <f>'May 2025'!S36</f>
        <v>122.49773455311883</v>
      </c>
      <c r="C15" s="68"/>
      <c r="D15" s="85"/>
      <c r="E15" s="26">
        <f>'May 2025'!BI36</f>
        <v>0</v>
      </c>
      <c r="F15" s="68"/>
      <c r="G15" s="88"/>
      <c r="H15" s="26">
        <f>'May 2025'!BX36</f>
        <v>28</v>
      </c>
    </row>
    <row r="16" spans="1:90" x14ac:dyDescent="0.3">
      <c r="A16" s="80" t="s">
        <v>44</v>
      </c>
      <c r="B16" s="81">
        <f>'May 2025'!T36</f>
        <v>1273</v>
      </c>
      <c r="C16" s="68"/>
      <c r="D16" s="85" t="s">
        <v>45</v>
      </c>
      <c r="E16" s="26">
        <f>'May 2025'!BJ36</f>
        <v>438</v>
      </c>
      <c r="F16" s="68"/>
      <c r="G16" s="96" t="s">
        <v>28</v>
      </c>
      <c r="H16" s="97">
        <f>'May 2025'!CE36</f>
        <v>209</v>
      </c>
    </row>
    <row r="17" spans="1:8" x14ac:dyDescent="0.3">
      <c r="A17" s="80"/>
      <c r="B17" s="81">
        <f>'May 2025'!U36</f>
        <v>212</v>
      </c>
      <c r="C17" s="68"/>
      <c r="D17" s="85"/>
      <c r="E17" s="81">
        <f>'May 2025'!BK36</f>
        <v>65</v>
      </c>
      <c r="F17" s="68"/>
      <c r="G17" s="96"/>
      <c r="H17" s="97">
        <f>'May 2025'!CF36</f>
        <v>34</v>
      </c>
    </row>
    <row r="18" spans="1:8" ht="15" thickBot="1" x14ac:dyDescent="0.35">
      <c r="A18" s="82"/>
      <c r="B18" s="26">
        <f>'May 2025'!V36</f>
        <v>58.452574269321012</v>
      </c>
      <c r="C18" s="68"/>
      <c r="D18" s="102"/>
      <c r="E18" s="149">
        <f>'May 2025'!BL36</f>
        <v>150.80833333333334</v>
      </c>
      <c r="F18" s="68"/>
      <c r="G18" s="98"/>
      <c r="H18" s="99">
        <f>H16/H17</f>
        <v>6.1470588235294121</v>
      </c>
    </row>
    <row r="19" spans="1:8" x14ac:dyDescent="0.3">
      <c r="A19" s="80" t="s">
        <v>85</v>
      </c>
      <c r="B19" s="81">
        <f>'May 2025'!W36</f>
        <v>0</v>
      </c>
      <c r="C19" s="68"/>
    </row>
    <row r="20" spans="1:8" x14ac:dyDescent="0.3">
      <c r="A20" s="80"/>
      <c r="B20" s="81">
        <f>'May 2025'!X36</f>
        <v>0</v>
      </c>
      <c r="C20" s="68"/>
    </row>
    <row r="21" spans="1:8" x14ac:dyDescent="0.3">
      <c r="A21" s="100"/>
      <c r="B21" s="81">
        <f>'May 2025'!Y336</f>
        <v>0</v>
      </c>
      <c r="C21" s="68"/>
    </row>
    <row r="22" spans="1:8" x14ac:dyDescent="0.3">
      <c r="A22" s="310" t="s">
        <v>86</v>
      </c>
      <c r="B22" s="311">
        <f>'May 2025'!Z36</f>
        <v>520</v>
      </c>
      <c r="C22" s="68"/>
      <c r="D22" s="68"/>
      <c r="E22" s="68"/>
    </row>
    <row r="23" spans="1:8" x14ac:dyDescent="0.3">
      <c r="A23" s="324"/>
      <c r="B23" s="323">
        <f>'May 2025'!AA36</f>
        <v>104</v>
      </c>
      <c r="C23" s="68"/>
      <c r="D23" s="68"/>
      <c r="E23" s="68"/>
    </row>
    <row r="24" spans="1:8" x14ac:dyDescent="0.3">
      <c r="A24" s="325"/>
      <c r="B24" s="274">
        <f>'May 2025'!AB36</f>
        <v>89.6</v>
      </c>
      <c r="C24" s="68"/>
      <c r="D24" s="68"/>
      <c r="E24" s="68"/>
    </row>
    <row r="25" spans="1:8" x14ac:dyDescent="0.3">
      <c r="A25" s="325" t="s">
        <v>79</v>
      </c>
      <c r="B25" s="274">
        <f>'May 2025'!AC36</f>
        <v>124</v>
      </c>
      <c r="C25" s="68"/>
      <c r="D25" s="68"/>
      <c r="E25" s="68"/>
    </row>
    <row r="26" spans="1:8" x14ac:dyDescent="0.3">
      <c r="A26" s="325"/>
      <c r="B26" s="274">
        <f>'May 2025'!AD36</f>
        <v>25</v>
      </c>
      <c r="C26" s="68"/>
      <c r="D26" s="68"/>
      <c r="E26" s="68"/>
    </row>
    <row r="27" spans="1:8" x14ac:dyDescent="0.3">
      <c r="A27" s="325"/>
      <c r="B27" s="274">
        <f>'May 2025'!AE36</f>
        <v>10.031746031746032</v>
      </c>
      <c r="C27" s="68"/>
      <c r="D27" s="68"/>
      <c r="E27" s="68"/>
    </row>
    <row r="28" spans="1:8" x14ac:dyDescent="0.3">
      <c r="A28" s="308" t="s">
        <v>14</v>
      </c>
      <c r="B28" s="309">
        <f>'May 2025'!AC36</f>
        <v>124</v>
      </c>
      <c r="C28" s="68"/>
      <c r="D28" s="68"/>
      <c r="E28" s="68"/>
    </row>
    <row r="29" spans="1:8" x14ac:dyDescent="0.3">
      <c r="A29" s="83"/>
      <c r="B29" s="81">
        <f>'May 2025'!AD36</f>
        <v>25</v>
      </c>
      <c r="C29" s="68"/>
      <c r="D29" s="68"/>
      <c r="E29" s="68"/>
    </row>
    <row r="30" spans="1:8" x14ac:dyDescent="0.3">
      <c r="A30" s="84"/>
      <c r="B30" s="26">
        <f>'May 2025'!AE36</f>
        <v>10.031746031746032</v>
      </c>
      <c r="C30" s="68"/>
      <c r="D30" s="68"/>
      <c r="E30" s="68"/>
    </row>
    <row r="31" spans="1:8" x14ac:dyDescent="0.3">
      <c r="A31" s="83" t="s">
        <v>15</v>
      </c>
      <c r="B31" s="81">
        <f>'May 2025'!AF36</f>
        <v>44</v>
      </c>
      <c r="C31" s="68"/>
      <c r="F31" s="68"/>
      <c r="G31" s="68"/>
    </row>
    <row r="32" spans="1:8" x14ac:dyDescent="0.3">
      <c r="A32" s="83"/>
      <c r="B32" s="81">
        <f>'May 2025'!AG36</f>
        <v>8</v>
      </c>
      <c r="C32" s="68"/>
      <c r="F32" s="68"/>
      <c r="G32" s="68"/>
    </row>
    <row r="33" spans="1:7" x14ac:dyDescent="0.3">
      <c r="A33" s="84"/>
      <c r="B33" s="275">
        <f>'May 2025'!AH36</f>
        <v>17.333333333333332</v>
      </c>
      <c r="C33" s="68"/>
      <c r="F33" s="68"/>
      <c r="G33" s="68"/>
    </row>
    <row r="34" spans="1:7" x14ac:dyDescent="0.3">
      <c r="A34" s="83" t="s">
        <v>16</v>
      </c>
      <c r="B34" s="81">
        <f>'May 2025'!AL36</f>
        <v>22</v>
      </c>
      <c r="C34" s="68"/>
      <c r="F34" s="68"/>
      <c r="G34" s="68"/>
    </row>
    <row r="35" spans="1:7" x14ac:dyDescent="0.3">
      <c r="A35" s="83"/>
      <c r="B35" s="81">
        <f>'May 2025'!AM36</f>
        <v>4</v>
      </c>
      <c r="C35" s="68"/>
      <c r="F35" s="68"/>
      <c r="G35" s="68"/>
    </row>
    <row r="36" spans="1:7" x14ac:dyDescent="0.3">
      <c r="A36" s="84"/>
      <c r="B36" s="26">
        <f>'May 2025'!AN36</f>
        <v>17</v>
      </c>
      <c r="C36" s="68"/>
      <c r="F36" s="68"/>
      <c r="G36" s="68"/>
    </row>
    <row r="37" spans="1:7" x14ac:dyDescent="0.3">
      <c r="A37" s="83" t="s">
        <v>17</v>
      </c>
      <c r="B37" s="81">
        <f>'May 2025'!AO36</f>
        <v>0</v>
      </c>
      <c r="C37" s="68"/>
      <c r="F37" s="68"/>
      <c r="G37" s="68"/>
    </row>
    <row r="38" spans="1:7" x14ac:dyDescent="0.3">
      <c r="A38" s="83"/>
      <c r="B38" s="81">
        <f>'May 2025'!AP36</f>
        <v>0</v>
      </c>
      <c r="C38" s="68"/>
      <c r="F38" s="68"/>
      <c r="G38" s="68"/>
    </row>
    <row r="39" spans="1:7" x14ac:dyDescent="0.3">
      <c r="A39" s="84"/>
      <c r="B39" s="26">
        <f>'May 2025'!AQ36</f>
        <v>0</v>
      </c>
      <c r="C39" s="68"/>
      <c r="F39" s="68"/>
      <c r="G39" s="68"/>
    </row>
    <row r="40" spans="1:7" x14ac:dyDescent="0.3">
      <c r="A40" s="83" t="s">
        <v>59</v>
      </c>
      <c r="B40" s="81">
        <f>'May 2025'!AR36</f>
        <v>39</v>
      </c>
      <c r="C40" s="68"/>
      <c r="F40" s="68"/>
      <c r="G40" s="68"/>
    </row>
    <row r="41" spans="1:7" x14ac:dyDescent="0.3">
      <c r="A41" s="83"/>
      <c r="B41" s="81">
        <f>'May 2025'!AS36</f>
        <v>11</v>
      </c>
      <c r="C41" s="68"/>
      <c r="F41" s="68"/>
      <c r="G41" s="68"/>
    </row>
    <row r="42" spans="1:7" ht="15" thickBot="1" x14ac:dyDescent="0.35">
      <c r="A42" s="94"/>
      <c r="B42" s="89">
        <f>'May 2025'!AT36</f>
        <v>39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8D01-D89A-4B43-97E2-21D30DA331F2}">
  <dimension ref="A1:CP125"/>
  <sheetViews>
    <sheetView workbookViewId="0">
      <pane xSplit="9" ySplit="11" topLeftCell="J12" activePane="bottomRight" state="frozen"/>
      <selection pane="topRight" activeCell="J1" sqref="J1"/>
      <selection pane="bottomLeft" activeCell="A12" sqref="A12"/>
      <selection pane="bottomRight"/>
    </sheetView>
  </sheetViews>
  <sheetFormatPr defaultRowHeight="14.4" x14ac:dyDescent="0.3"/>
  <cols>
    <col min="1" max="1" width="32" style="296" customWidth="1"/>
    <col min="2" max="3" width="8.88671875" customWidth="1"/>
    <col min="4" max="9" width="8.88671875" style="2" customWidth="1"/>
    <col min="10" max="10" width="10" style="2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customWidth="1"/>
    <col min="57" max="57" width="9.6640625" customWidth="1"/>
    <col min="58" max="58" width="11.88671875" style="2" customWidth="1"/>
    <col min="59" max="59" width="8.33203125" hidden="1" customWidth="1"/>
    <col min="60" max="60" width="9.6640625" hidden="1" customWidth="1"/>
    <col min="61" max="61" width="11.88671875" style="2" hidden="1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9.109375" style="2"/>
    <col min="85" max="85" width="9.1093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9.109375" style="79"/>
    <col min="94" max="94" width="9.109375" style="2"/>
  </cols>
  <sheetData>
    <row r="1" spans="1:94" ht="18.600000000000001" thickBot="1" x14ac:dyDescent="0.4">
      <c r="A1" s="290" t="s">
        <v>100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328"/>
      <c r="CH3" s="14" t="s">
        <v>26</v>
      </c>
      <c r="CI3" s="14"/>
      <c r="CJ3" s="27"/>
      <c r="CK3" s="14" t="s">
        <v>99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329" t="s">
        <v>31</v>
      </c>
      <c r="CH4" s="16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45809</v>
      </c>
      <c r="B5" s="125">
        <v>18</v>
      </c>
      <c r="C5" s="126">
        <v>2</v>
      </c>
      <c r="D5" s="276">
        <f t="shared" ref="D5:D33" si="0">IF(C5=0,"-",B5/C5)</f>
        <v>9</v>
      </c>
      <c r="E5" s="125">
        <v>0</v>
      </c>
      <c r="F5" s="126">
        <v>0</v>
      </c>
      <c r="G5" s="276" t="str">
        <f t="shared" ref="G5:G30" si="1">IF(F5=0,"-",E5/F5)</f>
        <v>-</v>
      </c>
      <c r="H5" s="125">
        <v>0</v>
      </c>
      <c r="I5" s="126">
        <v>0</v>
      </c>
      <c r="J5" s="276" t="str">
        <f t="shared" ref="J5:J31" si="2">IF(I5=0,"-",H5/I5)</f>
        <v>-</v>
      </c>
      <c r="K5" s="125">
        <v>18</v>
      </c>
      <c r="L5" s="126">
        <v>2</v>
      </c>
      <c r="M5" s="276">
        <f t="shared" ref="M5:M33" si="3">IF(L5=0,"-",K5/L5)</f>
        <v>9</v>
      </c>
      <c r="N5" s="20">
        <v>0</v>
      </c>
      <c r="O5" s="21">
        <v>0</v>
      </c>
      <c r="P5" s="139" t="str">
        <f t="shared" ref="P5:P34" si="4">IF(O5=0,"-",N5/O5)</f>
        <v>-</v>
      </c>
      <c r="Q5" s="20">
        <v>0</v>
      </c>
      <c r="R5" s="21">
        <v>0</v>
      </c>
      <c r="S5" s="139" t="str">
        <f t="shared" ref="S5:S34" si="5">IF(R5=0,"-",Q5/R5)</f>
        <v>-</v>
      </c>
      <c r="T5" s="20">
        <v>0</v>
      </c>
      <c r="U5" s="21">
        <v>0</v>
      </c>
      <c r="V5" s="139" t="str">
        <f t="shared" ref="V5:V34" si="6">IF(U5=0,"-",T5/U5)</f>
        <v>-</v>
      </c>
      <c r="W5" s="20">
        <v>0</v>
      </c>
      <c r="X5" s="21">
        <v>0</v>
      </c>
      <c r="Y5" s="139" t="str">
        <f t="shared" ref="Y5:Y34" si="7">IF(X5=0,"-",W5/X5)</f>
        <v>-</v>
      </c>
      <c r="Z5" s="20">
        <v>0</v>
      </c>
      <c r="AA5" s="21">
        <v>0</v>
      </c>
      <c r="AB5" s="139" t="str">
        <f t="shared" ref="AB5:AB34" si="8">IF(AA5=0,"-",Z5/AA5)</f>
        <v>-</v>
      </c>
      <c r="AC5" s="20">
        <v>0</v>
      </c>
      <c r="AD5" s="21">
        <v>0</v>
      </c>
      <c r="AE5" s="139" t="str">
        <f t="shared" ref="AE5:AE33" si="9">IF(AD5=0,"-",AC5/AD5)</f>
        <v>-</v>
      </c>
      <c r="AF5" s="20">
        <v>0</v>
      </c>
      <c r="AG5" s="21">
        <v>0</v>
      </c>
      <c r="AH5" s="139" t="str">
        <f t="shared" ref="AH5:AH33" si="10">IF(AG5=0,"-",AF5/AG5)</f>
        <v>-</v>
      </c>
      <c r="AI5" s="20">
        <v>0</v>
      </c>
      <c r="AJ5" s="21">
        <v>0</v>
      </c>
      <c r="AK5" s="139" t="str">
        <f t="shared" ref="AK5:AK33" si="11">IF(AJ5=0,"-",AI5/AJ5)</f>
        <v>-</v>
      </c>
      <c r="AL5" s="20">
        <v>0</v>
      </c>
      <c r="AM5" s="21">
        <v>0</v>
      </c>
      <c r="AN5" s="139" t="str">
        <f t="shared" ref="AN5:AN33" si="12">IF(AM5=0,"-",AL5/AM5)</f>
        <v>-</v>
      </c>
      <c r="AO5" s="20">
        <v>0</v>
      </c>
      <c r="AP5" s="21">
        <v>0</v>
      </c>
      <c r="AQ5" s="139" t="str">
        <f t="shared" ref="AQ5:AQ33" si="13">IF(AP5=0,"-",AO5/AP5)</f>
        <v>-</v>
      </c>
      <c r="AR5" s="20">
        <v>0</v>
      </c>
      <c r="AS5" s="21">
        <v>0</v>
      </c>
      <c r="AT5" s="139" t="str">
        <f t="shared" ref="AT5:AT31" si="14">IF(AS5=0,"-",AR5/AS5)</f>
        <v>-</v>
      </c>
      <c r="AU5" s="20">
        <v>0</v>
      </c>
      <c r="AV5" s="21">
        <v>0</v>
      </c>
      <c r="AW5" s="139" t="str">
        <f t="shared" ref="AW5:AW31" si="15">IF(AV5=0,"-",AU5/AV5)</f>
        <v>-</v>
      </c>
      <c r="AX5" s="20">
        <v>0</v>
      </c>
      <c r="AY5" s="21">
        <v>0</v>
      </c>
      <c r="AZ5" s="139" t="str">
        <f t="shared" ref="AZ5:AZ31" si="16">IF(AY5=0,"-",AX5/AY5)</f>
        <v>-</v>
      </c>
      <c r="BA5" s="20">
        <v>0</v>
      </c>
      <c r="BB5" s="21">
        <v>0</v>
      </c>
      <c r="BC5" s="139" t="str">
        <f t="shared" ref="BC5:BC29" si="17">IF(BB5=0,"-",BA5/BB5)</f>
        <v>-</v>
      </c>
      <c r="BD5" s="20">
        <v>0</v>
      </c>
      <c r="BE5" s="21">
        <v>0</v>
      </c>
      <c r="BF5" s="139" t="str">
        <f t="shared" ref="BF5:BF29" si="18">IF(BE5=0,"-",BD5/BE5)</f>
        <v>-</v>
      </c>
      <c r="BG5" s="20">
        <v>0</v>
      </c>
      <c r="BH5" s="21">
        <v>0</v>
      </c>
      <c r="BI5" s="139" t="str">
        <f t="shared" ref="BI5:BI34" si="19">IF(BH5=0,"-",BG5/BH5)</f>
        <v>-</v>
      </c>
      <c r="BJ5" s="250">
        <v>24</v>
      </c>
      <c r="BK5" s="251">
        <v>4</v>
      </c>
      <c r="BL5" s="276">
        <f t="shared" ref="BL5:BL34" si="20">IF(BK5=0,"-",BJ5/BK5)</f>
        <v>6</v>
      </c>
      <c r="BM5" s="250">
        <v>0</v>
      </c>
      <c r="BN5" s="251">
        <v>0</v>
      </c>
      <c r="BO5" s="276" t="str">
        <f t="shared" ref="BO5:BO34" si="21">IF(BN5=0,"-",BM5/BN5)</f>
        <v>-</v>
      </c>
      <c r="BP5" s="326">
        <v>0</v>
      </c>
      <c r="BQ5" s="327">
        <v>0</v>
      </c>
      <c r="BR5" s="276" t="str">
        <f t="shared" ref="BR5:BR34" si="22">IF(BQ5=0,"-",BP5/BQ5)</f>
        <v>-</v>
      </c>
      <c r="BS5" s="254">
        <v>0</v>
      </c>
      <c r="BT5" s="255">
        <v>0</v>
      </c>
      <c r="BU5" s="276" t="str">
        <f t="shared" ref="BU5:BU34" si="23">IF(BT5=0,"-",BS5/BT5)</f>
        <v>-</v>
      </c>
      <c r="BV5" s="250">
        <v>2</v>
      </c>
      <c r="BW5" s="251">
        <v>2</v>
      </c>
      <c r="BX5" s="276">
        <f t="shared" ref="BX5:BX34" si="24">IF(BW5=0,"-",BV5/BW5)</f>
        <v>1</v>
      </c>
      <c r="BY5" s="250">
        <v>0</v>
      </c>
      <c r="BZ5" s="251">
        <v>0</v>
      </c>
      <c r="CA5" s="276" t="str">
        <f t="shared" ref="CA5:CA34" si="25">IF(BZ5=0,"-",BY5/BZ5)</f>
        <v>-</v>
      </c>
      <c r="CB5" s="250">
        <v>0</v>
      </c>
      <c r="CC5" s="251">
        <v>0</v>
      </c>
      <c r="CD5" s="276" t="str">
        <f t="shared" ref="CD5:CD34" si="26">IF(CC5=0,"-",CB5/CC5)</f>
        <v>-</v>
      </c>
      <c r="CE5" s="250">
        <v>0</v>
      </c>
      <c r="CF5" s="251">
        <v>0</v>
      </c>
      <c r="CG5" s="276" t="str">
        <f t="shared" ref="CG5:CG34" si="27">IF(CF5=0,"-",CE5/CF5)</f>
        <v>-</v>
      </c>
      <c r="CH5" s="250">
        <v>0</v>
      </c>
      <c r="CI5" s="251">
        <v>0</v>
      </c>
      <c r="CJ5" s="276" t="str">
        <f t="shared" ref="CJ5:CJ34" si="28">IF(CI5=0,"-",CH5/CI5)</f>
        <v>-</v>
      </c>
      <c r="CK5" s="250">
        <v>0</v>
      </c>
      <c r="CL5" s="251">
        <v>0</v>
      </c>
      <c r="CM5" s="276" t="str">
        <f t="shared" ref="CM5:CM34" si="29">IF(CL5=0,"-",CK5/CL5)</f>
        <v>-</v>
      </c>
      <c r="CN5" s="117">
        <f>SUM(B5,E5,H5,K5,Q5,T5,W5,Z5,AC5,AF5,AI5,AL5,AO5,AR5,AX5,BA5,BG5,BJ5,BM5,BP5,BS5,BV5,BY5,CB5,CE5,CH5,CK5)</f>
        <v>62</v>
      </c>
      <c r="CO5" s="120">
        <f>C5+F5+I5+L5+R5+U5+X5+AA5+AD5+AG5+AJ5+AS5+AV5+AY5+BB5+BE5+BH5+BK5+BN5+BQ5+BT5+CC5+CF5+CI5+CL5</f>
        <v>8</v>
      </c>
      <c r="CP5" s="147">
        <f t="shared" ref="CP5:CP35" si="30">IF(CO5=0,"",CN5/CO5)</f>
        <v>7.75</v>
      </c>
    </row>
    <row r="6" spans="1:94" ht="15" thickBot="1" x14ac:dyDescent="0.35">
      <c r="A6" s="294">
        <v>45810</v>
      </c>
      <c r="B6" s="20">
        <v>61</v>
      </c>
      <c r="C6" s="21">
        <v>7</v>
      </c>
      <c r="D6" s="139">
        <f t="shared" si="0"/>
        <v>8.7142857142857135</v>
      </c>
      <c r="E6" s="20">
        <v>8</v>
      </c>
      <c r="F6" s="21">
        <v>1</v>
      </c>
      <c r="G6" s="139">
        <f t="shared" si="1"/>
        <v>8</v>
      </c>
      <c r="H6" s="20">
        <v>0</v>
      </c>
      <c r="I6" s="21">
        <v>0</v>
      </c>
      <c r="J6" s="139" t="str">
        <f t="shared" si="2"/>
        <v>-</v>
      </c>
      <c r="K6" s="20">
        <v>25</v>
      </c>
      <c r="L6" s="21">
        <v>3</v>
      </c>
      <c r="M6" s="139">
        <f t="shared" si="3"/>
        <v>8.3333333333333339</v>
      </c>
      <c r="N6" s="20">
        <v>0</v>
      </c>
      <c r="O6" s="21">
        <v>0</v>
      </c>
      <c r="P6" s="139" t="str">
        <f t="shared" si="4"/>
        <v>-</v>
      </c>
      <c r="Q6" s="20">
        <v>92</v>
      </c>
      <c r="R6" s="21">
        <v>24</v>
      </c>
      <c r="S6" s="139">
        <f t="shared" si="5"/>
        <v>3.8333333333333335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139" t="str">
        <f t="shared" si="7"/>
        <v>-</v>
      </c>
      <c r="Z6" s="20">
        <v>35</v>
      </c>
      <c r="AA6" s="21">
        <v>7</v>
      </c>
      <c r="AB6" s="139">
        <f t="shared" si="8"/>
        <v>5</v>
      </c>
      <c r="AC6" s="20">
        <v>112</v>
      </c>
      <c r="AD6" s="21">
        <v>19</v>
      </c>
      <c r="AE6" s="139">
        <f t="shared" si="9"/>
        <v>5.8947368421052628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2</v>
      </c>
      <c r="AY6" s="21">
        <v>2</v>
      </c>
      <c r="AZ6" s="139">
        <f t="shared" si="16"/>
        <v>1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276" t="str">
        <f t="shared" si="19"/>
        <v>-</v>
      </c>
      <c r="BJ6" s="252">
        <v>27</v>
      </c>
      <c r="BK6" s="253">
        <v>4</v>
      </c>
      <c r="BL6" s="276">
        <f t="shared" si="20"/>
        <v>6.75</v>
      </c>
      <c r="BM6" s="252">
        <v>0</v>
      </c>
      <c r="BN6" s="253">
        <v>0</v>
      </c>
      <c r="BO6" s="276" t="str">
        <f t="shared" si="21"/>
        <v>-</v>
      </c>
      <c r="BP6" s="302">
        <v>0</v>
      </c>
      <c r="BQ6" s="303">
        <v>0</v>
      </c>
      <c r="BR6" s="276" t="str">
        <f t="shared" si="22"/>
        <v>-</v>
      </c>
      <c r="BS6" s="256">
        <v>7</v>
      </c>
      <c r="BT6" s="253">
        <v>1</v>
      </c>
      <c r="BU6" s="276">
        <f t="shared" si="23"/>
        <v>7</v>
      </c>
      <c r="BV6" s="252">
        <v>0</v>
      </c>
      <c r="BW6" s="253">
        <v>0</v>
      </c>
      <c r="BX6" s="276" t="str">
        <f t="shared" si="24"/>
        <v>-</v>
      </c>
      <c r="BY6" s="252">
        <v>0</v>
      </c>
      <c r="BZ6" s="253">
        <v>0</v>
      </c>
      <c r="CA6" s="276" t="str">
        <f t="shared" si="25"/>
        <v>-</v>
      </c>
      <c r="CB6" s="252">
        <v>0</v>
      </c>
      <c r="CC6" s="253">
        <v>0</v>
      </c>
      <c r="CD6" s="276" t="str">
        <f t="shared" si="26"/>
        <v>-</v>
      </c>
      <c r="CE6" s="252">
        <v>0</v>
      </c>
      <c r="CF6" s="253">
        <v>0</v>
      </c>
      <c r="CG6" s="276" t="str">
        <f t="shared" si="27"/>
        <v>-</v>
      </c>
      <c r="CH6" s="252">
        <v>0</v>
      </c>
      <c r="CI6" s="253">
        <v>0</v>
      </c>
      <c r="CJ6" s="276" t="str">
        <f t="shared" si="28"/>
        <v>-</v>
      </c>
      <c r="CK6" s="252">
        <v>0</v>
      </c>
      <c r="CL6" s="253">
        <v>0</v>
      </c>
      <c r="CM6" s="276" t="str">
        <f t="shared" si="29"/>
        <v>-</v>
      </c>
      <c r="CN6" s="117">
        <f t="shared" ref="CN6:CN34" si="31">SUM(B6,E6,H6,K6,Q6,T6,W6,Z6,AC6,AF6,AI6,AL6,AO6,AR6,AX6,BA6,BG6,BJ6,BM6,BP6,BS6,BV6,BY6,CB6,CE6,CH6,CK6)</f>
        <v>369</v>
      </c>
      <c r="CO6" s="120">
        <f t="shared" ref="CO6:CO34" si="32">C6+F6+I6+L6+R6+U6+X6+AA6+AD6+AG6+AJ6+AS6+AV6+AY6+BB6+BE6+BH6+BK6+BN6+BQ6+BT6+CC6+CF6+CI6+CL6</f>
        <v>68</v>
      </c>
      <c r="CP6" s="147">
        <f t="shared" si="30"/>
        <v>5.4264705882352944</v>
      </c>
    </row>
    <row r="7" spans="1:94" ht="15" thickBot="1" x14ac:dyDescent="0.35">
      <c r="A7" s="294">
        <v>45811</v>
      </c>
      <c r="B7" s="20">
        <v>56</v>
      </c>
      <c r="C7" s="21">
        <v>7</v>
      </c>
      <c r="D7" s="139">
        <f t="shared" si="0"/>
        <v>8</v>
      </c>
      <c r="E7" s="20">
        <v>9</v>
      </c>
      <c r="F7" s="21">
        <v>1</v>
      </c>
      <c r="G7" s="139">
        <f t="shared" si="1"/>
        <v>9</v>
      </c>
      <c r="H7" s="20">
        <v>0</v>
      </c>
      <c r="I7" s="21">
        <v>0</v>
      </c>
      <c r="J7" s="139" t="str">
        <f t="shared" si="2"/>
        <v>-</v>
      </c>
      <c r="K7" s="20">
        <v>18</v>
      </c>
      <c r="L7" s="21">
        <v>2</v>
      </c>
      <c r="M7" s="139">
        <f t="shared" si="3"/>
        <v>9</v>
      </c>
      <c r="N7" s="20">
        <v>0</v>
      </c>
      <c r="O7" s="21">
        <v>0</v>
      </c>
      <c r="P7" s="139" t="str">
        <f t="shared" si="4"/>
        <v>-</v>
      </c>
      <c r="Q7" s="20">
        <v>140</v>
      </c>
      <c r="R7" s="21">
        <v>35</v>
      </c>
      <c r="S7" s="139">
        <f t="shared" si="5"/>
        <v>4</v>
      </c>
      <c r="T7" s="20">
        <v>24</v>
      </c>
      <c r="U7" s="21">
        <v>4</v>
      </c>
      <c r="V7" s="139">
        <f t="shared" si="6"/>
        <v>6</v>
      </c>
      <c r="W7" s="20">
        <v>0</v>
      </c>
      <c r="X7" s="21">
        <v>0</v>
      </c>
      <c r="Y7" s="139" t="str">
        <f t="shared" si="7"/>
        <v>-</v>
      </c>
      <c r="Z7" s="20">
        <v>40</v>
      </c>
      <c r="AA7" s="21">
        <v>8</v>
      </c>
      <c r="AB7" s="139">
        <f t="shared" si="8"/>
        <v>5</v>
      </c>
      <c r="AC7" s="20">
        <v>56</v>
      </c>
      <c r="AD7" s="21">
        <v>11</v>
      </c>
      <c r="AE7" s="139">
        <f t="shared" si="9"/>
        <v>5.0909090909090908</v>
      </c>
      <c r="AF7" s="20">
        <v>0</v>
      </c>
      <c r="AG7" s="21">
        <v>0</v>
      </c>
      <c r="AH7" s="139" t="str">
        <f t="shared" si="10"/>
        <v>-</v>
      </c>
      <c r="AI7" s="20">
        <v>0</v>
      </c>
      <c r="AJ7" s="21">
        <v>0</v>
      </c>
      <c r="AK7" s="139" t="str">
        <f t="shared" si="11"/>
        <v>-</v>
      </c>
      <c r="AL7" s="20">
        <v>0</v>
      </c>
      <c r="AM7" s="21">
        <v>0</v>
      </c>
      <c r="AN7" s="139" t="str">
        <f t="shared" si="12"/>
        <v>-</v>
      </c>
      <c r="AO7" s="20">
        <v>0</v>
      </c>
      <c r="AP7" s="21">
        <v>0</v>
      </c>
      <c r="AQ7" s="139" t="str">
        <f t="shared" si="13"/>
        <v>-</v>
      </c>
      <c r="AR7" s="20">
        <v>0</v>
      </c>
      <c r="AS7" s="21">
        <v>0</v>
      </c>
      <c r="AT7" s="139" t="str">
        <f t="shared" si="14"/>
        <v>-</v>
      </c>
      <c r="AU7" s="20">
        <v>0</v>
      </c>
      <c r="AV7" s="21">
        <v>0</v>
      </c>
      <c r="AW7" s="139" t="str">
        <f t="shared" si="15"/>
        <v>-</v>
      </c>
      <c r="AX7" s="20">
        <v>11</v>
      </c>
      <c r="AY7" s="21">
        <v>2</v>
      </c>
      <c r="AZ7" s="139">
        <f t="shared" si="16"/>
        <v>5.5</v>
      </c>
      <c r="BA7" s="20">
        <v>1</v>
      </c>
      <c r="BB7" s="21">
        <v>1</v>
      </c>
      <c r="BC7" s="139">
        <f t="shared" si="17"/>
        <v>1</v>
      </c>
      <c r="BD7" s="20">
        <v>1</v>
      </c>
      <c r="BE7" s="21">
        <v>1</v>
      </c>
      <c r="BF7" s="139">
        <f t="shared" si="18"/>
        <v>1</v>
      </c>
      <c r="BG7" s="20">
        <v>0</v>
      </c>
      <c r="BH7" s="21">
        <v>0</v>
      </c>
      <c r="BI7" s="276" t="str">
        <f t="shared" si="19"/>
        <v>-</v>
      </c>
      <c r="BJ7" s="252">
        <v>20</v>
      </c>
      <c r="BK7" s="253">
        <v>3</v>
      </c>
      <c r="BL7" s="276">
        <f t="shared" si="20"/>
        <v>6.666666666666667</v>
      </c>
      <c r="BM7" s="252">
        <v>0</v>
      </c>
      <c r="BN7" s="253">
        <v>0</v>
      </c>
      <c r="BO7" s="276" t="str">
        <f t="shared" si="21"/>
        <v>-</v>
      </c>
      <c r="BP7" s="302">
        <v>0</v>
      </c>
      <c r="BQ7" s="303">
        <v>0</v>
      </c>
      <c r="BR7" s="276" t="str">
        <f t="shared" si="22"/>
        <v>-</v>
      </c>
      <c r="BS7" s="256">
        <v>0</v>
      </c>
      <c r="BT7" s="253">
        <v>0</v>
      </c>
      <c r="BU7" s="276" t="str">
        <f t="shared" si="23"/>
        <v>-</v>
      </c>
      <c r="BV7" s="125">
        <v>10</v>
      </c>
      <c r="BW7" s="126">
        <v>2</v>
      </c>
      <c r="BX7" s="276">
        <f t="shared" si="24"/>
        <v>5</v>
      </c>
      <c r="BY7" s="125">
        <v>0</v>
      </c>
      <c r="BZ7" s="126">
        <v>0</v>
      </c>
      <c r="CA7" s="276" t="str">
        <f t="shared" si="25"/>
        <v>-</v>
      </c>
      <c r="CB7" s="125">
        <v>1</v>
      </c>
      <c r="CC7" s="126">
        <v>1</v>
      </c>
      <c r="CD7" s="276">
        <f t="shared" si="26"/>
        <v>1</v>
      </c>
      <c r="CE7" s="252">
        <v>0</v>
      </c>
      <c r="CF7" s="253">
        <v>0</v>
      </c>
      <c r="CG7" s="276" t="str">
        <f t="shared" si="27"/>
        <v>-</v>
      </c>
      <c r="CH7" s="252">
        <v>0</v>
      </c>
      <c r="CI7" s="253">
        <v>0</v>
      </c>
      <c r="CJ7" s="276" t="str">
        <f t="shared" si="28"/>
        <v>-</v>
      </c>
      <c r="CK7" s="252">
        <v>0</v>
      </c>
      <c r="CL7" s="253">
        <v>0</v>
      </c>
      <c r="CM7" s="276" t="str">
        <f t="shared" si="29"/>
        <v>-</v>
      </c>
      <c r="CN7" s="117">
        <f t="shared" si="31"/>
        <v>386</v>
      </c>
      <c r="CO7" s="120">
        <f t="shared" si="32"/>
        <v>76</v>
      </c>
      <c r="CP7" s="147">
        <f t="shared" si="30"/>
        <v>5.0789473684210522</v>
      </c>
    </row>
    <row r="8" spans="1:94" ht="15" thickBot="1" x14ac:dyDescent="0.35">
      <c r="A8" s="294">
        <v>45812</v>
      </c>
      <c r="B8" s="20">
        <v>49</v>
      </c>
      <c r="C8" s="21">
        <v>6</v>
      </c>
      <c r="D8" s="139">
        <f t="shared" si="0"/>
        <v>8.1666666666666661</v>
      </c>
      <c r="E8" s="20">
        <v>8</v>
      </c>
      <c r="F8" s="21">
        <v>1</v>
      </c>
      <c r="G8" s="139">
        <f t="shared" si="1"/>
        <v>8</v>
      </c>
      <c r="H8" s="20">
        <v>0</v>
      </c>
      <c r="I8" s="21">
        <v>0</v>
      </c>
      <c r="J8" s="139" t="str">
        <f t="shared" si="2"/>
        <v>-</v>
      </c>
      <c r="K8" s="20">
        <v>34</v>
      </c>
      <c r="L8" s="21">
        <v>4</v>
      </c>
      <c r="M8" s="139">
        <f t="shared" si="3"/>
        <v>8.5</v>
      </c>
      <c r="N8" s="20">
        <v>0</v>
      </c>
      <c r="O8" s="21">
        <v>0</v>
      </c>
      <c r="P8" s="139" t="str">
        <f t="shared" si="4"/>
        <v>-</v>
      </c>
      <c r="Q8" s="20">
        <v>117</v>
      </c>
      <c r="R8" s="21">
        <v>28</v>
      </c>
      <c r="S8" s="139">
        <f t="shared" si="5"/>
        <v>4.1785714285714288</v>
      </c>
      <c r="T8" s="20">
        <v>30</v>
      </c>
      <c r="U8" s="21">
        <v>6</v>
      </c>
      <c r="V8" s="139">
        <f t="shared" si="6"/>
        <v>5</v>
      </c>
      <c r="W8" s="20">
        <v>0</v>
      </c>
      <c r="X8" s="21">
        <v>0</v>
      </c>
      <c r="Y8" s="139" t="str">
        <f t="shared" si="7"/>
        <v>-</v>
      </c>
      <c r="Z8" s="20">
        <v>30</v>
      </c>
      <c r="AA8" s="21">
        <v>6</v>
      </c>
      <c r="AB8" s="139">
        <f t="shared" si="8"/>
        <v>5</v>
      </c>
      <c r="AC8" s="20">
        <v>0</v>
      </c>
      <c r="AD8" s="21">
        <v>0</v>
      </c>
      <c r="AE8" s="139" t="str">
        <f t="shared" si="9"/>
        <v>-</v>
      </c>
      <c r="AF8" s="20">
        <v>6</v>
      </c>
      <c r="AG8" s="21">
        <v>1</v>
      </c>
      <c r="AH8" s="139">
        <f t="shared" si="10"/>
        <v>6</v>
      </c>
      <c r="AI8" s="20">
        <v>0</v>
      </c>
      <c r="AJ8" s="21">
        <v>0</v>
      </c>
      <c r="AK8" s="139" t="str">
        <f t="shared" si="11"/>
        <v>-</v>
      </c>
      <c r="AL8" s="20">
        <v>0</v>
      </c>
      <c r="AM8" s="21">
        <v>0</v>
      </c>
      <c r="AN8" s="139" t="str">
        <f t="shared" si="12"/>
        <v>-</v>
      </c>
      <c r="AO8" s="20">
        <v>0</v>
      </c>
      <c r="AP8" s="21">
        <v>0</v>
      </c>
      <c r="AQ8" s="139" t="str">
        <f t="shared" si="13"/>
        <v>-</v>
      </c>
      <c r="AR8" s="20">
        <v>5</v>
      </c>
      <c r="AS8" s="21">
        <v>1</v>
      </c>
      <c r="AT8" s="139">
        <f t="shared" si="14"/>
        <v>5</v>
      </c>
      <c r="AU8" s="20">
        <v>0</v>
      </c>
      <c r="AV8" s="21">
        <v>0</v>
      </c>
      <c r="AW8" s="139" t="str">
        <f t="shared" si="15"/>
        <v>-</v>
      </c>
      <c r="AX8" s="20">
        <v>3</v>
      </c>
      <c r="AY8" s="21">
        <v>2</v>
      </c>
      <c r="AZ8" s="139">
        <f t="shared" si="16"/>
        <v>1.5</v>
      </c>
      <c r="BA8" s="20">
        <v>0</v>
      </c>
      <c r="BB8" s="21">
        <v>0</v>
      </c>
      <c r="BC8" s="139" t="str">
        <f t="shared" si="17"/>
        <v>-</v>
      </c>
      <c r="BD8" s="20">
        <v>0</v>
      </c>
      <c r="BE8" s="21">
        <v>0</v>
      </c>
      <c r="BF8" s="139" t="str">
        <f t="shared" si="18"/>
        <v>-</v>
      </c>
      <c r="BG8" s="20">
        <v>0</v>
      </c>
      <c r="BH8" s="21">
        <v>0</v>
      </c>
      <c r="BI8" s="276" t="str">
        <f t="shared" si="19"/>
        <v>-</v>
      </c>
      <c r="BJ8" s="252">
        <v>14</v>
      </c>
      <c r="BK8" s="253">
        <v>2</v>
      </c>
      <c r="BL8" s="276">
        <f t="shared" si="20"/>
        <v>7</v>
      </c>
      <c r="BM8" s="252">
        <v>0</v>
      </c>
      <c r="BN8" s="253">
        <v>0</v>
      </c>
      <c r="BO8" s="276" t="str">
        <f t="shared" si="21"/>
        <v>-</v>
      </c>
      <c r="BP8" s="302">
        <v>0</v>
      </c>
      <c r="BQ8" s="303">
        <v>0</v>
      </c>
      <c r="BR8" s="276" t="str">
        <f t="shared" si="22"/>
        <v>-</v>
      </c>
      <c r="BS8" s="256">
        <v>0</v>
      </c>
      <c r="BT8" s="253">
        <v>0</v>
      </c>
      <c r="BU8" s="276" t="str">
        <f t="shared" si="23"/>
        <v>-</v>
      </c>
      <c r="BV8" s="252">
        <v>1</v>
      </c>
      <c r="BW8" s="253">
        <v>1</v>
      </c>
      <c r="BX8" s="276">
        <f t="shared" si="24"/>
        <v>1</v>
      </c>
      <c r="BY8" s="252">
        <v>0</v>
      </c>
      <c r="BZ8" s="253">
        <v>0</v>
      </c>
      <c r="CA8" s="276" t="str">
        <f t="shared" si="25"/>
        <v>-</v>
      </c>
      <c r="CB8" s="252">
        <v>0</v>
      </c>
      <c r="CC8" s="253">
        <v>0</v>
      </c>
      <c r="CD8" s="276" t="str">
        <f t="shared" si="26"/>
        <v>-</v>
      </c>
      <c r="CE8" s="252">
        <v>0</v>
      </c>
      <c r="CF8" s="253">
        <v>0</v>
      </c>
      <c r="CG8" s="276" t="str">
        <f t="shared" si="27"/>
        <v>-</v>
      </c>
      <c r="CH8" s="252">
        <v>0</v>
      </c>
      <c r="CI8" s="253">
        <v>0</v>
      </c>
      <c r="CJ8" s="276" t="str">
        <f t="shared" si="28"/>
        <v>-</v>
      </c>
      <c r="CK8" s="252">
        <v>0</v>
      </c>
      <c r="CL8" s="253">
        <v>0</v>
      </c>
      <c r="CM8" s="276" t="str">
        <f t="shared" si="29"/>
        <v>-</v>
      </c>
      <c r="CN8" s="117">
        <f t="shared" si="31"/>
        <v>297</v>
      </c>
      <c r="CO8" s="120">
        <f t="shared" si="32"/>
        <v>57</v>
      </c>
      <c r="CP8" s="147">
        <f t="shared" si="30"/>
        <v>5.2105263157894735</v>
      </c>
    </row>
    <row r="9" spans="1:94" ht="15" thickBot="1" x14ac:dyDescent="0.35">
      <c r="A9" s="294">
        <v>45813</v>
      </c>
      <c r="B9" s="20">
        <v>42</v>
      </c>
      <c r="C9" s="21">
        <v>5</v>
      </c>
      <c r="D9" s="139">
        <f t="shared" si="0"/>
        <v>8.4</v>
      </c>
      <c r="E9" s="20">
        <v>25</v>
      </c>
      <c r="F9" s="21">
        <v>3</v>
      </c>
      <c r="G9" s="139">
        <f t="shared" si="1"/>
        <v>8.3333333333333339</v>
      </c>
      <c r="H9" s="20">
        <v>0</v>
      </c>
      <c r="I9" s="21">
        <v>0</v>
      </c>
      <c r="J9" s="139" t="str">
        <f t="shared" si="2"/>
        <v>-</v>
      </c>
      <c r="K9" s="20">
        <v>24</v>
      </c>
      <c r="L9" s="21">
        <v>3</v>
      </c>
      <c r="M9" s="139">
        <f t="shared" si="3"/>
        <v>8</v>
      </c>
      <c r="N9" s="20">
        <v>0</v>
      </c>
      <c r="O9" s="21">
        <v>0</v>
      </c>
      <c r="P9" s="139" t="str">
        <f t="shared" si="4"/>
        <v>-</v>
      </c>
      <c r="Q9" s="20">
        <v>107</v>
      </c>
      <c r="R9" s="21">
        <v>26</v>
      </c>
      <c r="S9" s="139">
        <f t="shared" si="5"/>
        <v>4.115384615384615</v>
      </c>
      <c r="T9" s="20">
        <v>0</v>
      </c>
      <c r="U9" s="21">
        <v>0</v>
      </c>
      <c r="V9" s="139" t="str">
        <f t="shared" si="6"/>
        <v>-</v>
      </c>
      <c r="W9" s="20">
        <v>0</v>
      </c>
      <c r="X9" s="21">
        <v>0</v>
      </c>
      <c r="Y9" s="139" t="str">
        <f t="shared" si="7"/>
        <v>-</v>
      </c>
      <c r="Z9" s="20">
        <v>25</v>
      </c>
      <c r="AA9" s="21">
        <v>5</v>
      </c>
      <c r="AB9" s="139">
        <f t="shared" si="8"/>
        <v>5</v>
      </c>
      <c r="AC9" s="20">
        <v>14</v>
      </c>
      <c r="AD9" s="21">
        <v>3</v>
      </c>
      <c r="AE9" s="139">
        <f t="shared" si="9"/>
        <v>4.666666666666667</v>
      </c>
      <c r="AF9" s="20">
        <v>0</v>
      </c>
      <c r="AG9" s="21">
        <v>0</v>
      </c>
      <c r="AH9" s="139" t="str">
        <f t="shared" si="10"/>
        <v>-</v>
      </c>
      <c r="AI9" s="20">
        <v>0</v>
      </c>
      <c r="AJ9" s="21">
        <v>0</v>
      </c>
      <c r="AK9" s="139" t="str">
        <f t="shared" si="11"/>
        <v>-</v>
      </c>
      <c r="AL9" s="20">
        <v>0</v>
      </c>
      <c r="AM9" s="21">
        <v>0</v>
      </c>
      <c r="AN9" s="139" t="str">
        <f t="shared" si="12"/>
        <v>-</v>
      </c>
      <c r="AO9" s="20">
        <v>0</v>
      </c>
      <c r="AP9" s="21">
        <v>0</v>
      </c>
      <c r="AQ9" s="139" t="str">
        <f t="shared" si="13"/>
        <v>-</v>
      </c>
      <c r="AR9" s="20">
        <v>0</v>
      </c>
      <c r="AS9" s="21">
        <v>0</v>
      </c>
      <c r="AT9" s="139" t="str">
        <f t="shared" si="14"/>
        <v>-</v>
      </c>
      <c r="AU9" s="20">
        <v>0</v>
      </c>
      <c r="AV9" s="21">
        <v>0</v>
      </c>
      <c r="AW9" s="139" t="str">
        <f t="shared" si="15"/>
        <v>-</v>
      </c>
      <c r="AX9" s="20">
        <v>2</v>
      </c>
      <c r="AY9" s="21">
        <v>1</v>
      </c>
      <c r="AZ9" s="139">
        <f t="shared" si="16"/>
        <v>2</v>
      </c>
      <c r="BA9" s="20">
        <v>1</v>
      </c>
      <c r="BB9" s="21">
        <v>1</v>
      </c>
      <c r="BC9" s="139">
        <f t="shared" si="17"/>
        <v>1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276" t="str">
        <f t="shared" si="19"/>
        <v>-</v>
      </c>
      <c r="BJ9" s="252">
        <v>20</v>
      </c>
      <c r="BK9" s="253">
        <v>3</v>
      </c>
      <c r="BL9" s="276">
        <f t="shared" si="20"/>
        <v>6.666666666666667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257">
        <v>0</v>
      </c>
      <c r="BT9" s="253">
        <v>0</v>
      </c>
      <c r="BU9" s="276" t="str">
        <f t="shared" si="23"/>
        <v>-</v>
      </c>
      <c r="BV9" s="302">
        <v>0</v>
      </c>
      <c r="BW9" s="303">
        <v>0</v>
      </c>
      <c r="BX9" s="276" t="str">
        <f t="shared" si="24"/>
        <v>-</v>
      </c>
      <c r="BY9" s="302">
        <v>0</v>
      </c>
      <c r="BZ9" s="303">
        <v>0</v>
      </c>
      <c r="CA9" s="276" t="str">
        <f t="shared" si="25"/>
        <v>-</v>
      </c>
      <c r="CB9" s="302">
        <v>0</v>
      </c>
      <c r="CC9" s="303">
        <v>0</v>
      </c>
      <c r="CD9" s="276" t="str">
        <f t="shared" si="26"/>
        <v>-</v>
      </c>
      <c r="CE9" s="302">
        <v>5</v>
      </c>
      <c r="CF9" s="303">
        <v>1</v>
      </c>
      <c r="CG9" s="276">
        <f t="shared" si="27"/>
        <v>5</v>
      </c>
      <c r="CH9" s="302">
        <v>0</v>
      </c>
      <c r="CI9" s="303">
        <v>0</v>
      </c>
      <c r="CJ9" s="276" t="str">
        <f t="shared" si="28"/>
        <v>-</v>
      </c>
      <c r="CK9" s="302">
        <v>0</v>
      </c>
      <c r="CL9" s="303">
        <v>0</v>
      </c>
      <c r="CM9" s="276" t="str">
        <f t="shared" si="29"/>
        <v>-</v>
      </c>
      <c r="CN9" s="117">
        <f t="shared" si="31"/>
        <v>265</v>
      </c>
      <c r="CO9" s="120">
        <f t="shared" si="32"/>
        <v>51</v>
      </c>
      <c r="CP9" s="147">
        <f t="shared" si="30"/>
        <v>5.1960784313725492</v>
      </c>
    </row>
    <row r="10" spans="1:94" ht="15" thickBot="1" x14ac:dyDescent="0.35">
      <c r="A10" s="294">
        <v>45814</v>
      </c>
      <c r="B10" s="20">
        <v>32</v>
      </c>
      <c r="C10" s="21">
        <v>4</v>
      </c>
      <c r="D10" s="139">
        <f t="shared" si="0"/>
        <v>8</v>
      </c>
      <c r="E10" s="20">
        <v>0</v>
      </c>
      <c r="F10" s="21">
        <v>0</v>
      </c>
      <c r="G10" s="139" t="str">
        <f t="shared" si="1"/>
        <v>-</v>
      </c>
      <c r="H10" s="20">
        <v>0</v>
      </c>
      <c r="I10" s="21">
        <v>0</v>
      </c>
      <c r="J10" s="139" t="str">
        <f t="shared" si="2"/>
        <v>-</v>
      </c>
      <c r="K10" s="20">
        <v>24</v>
      </c>
      <c r="L10" s="21">
        <v>3</v>
      </c>
      <c r="M10" s="139">
        <f t="shared" si="3"/>
        <v>8</v>
      </c>
      <c r="N10" s="125">
        <v>0</v>
      </c>
      <c r="O10" s="126">
        <v>0</v>
      </c>
      <c r="P10" s="139" t="str">
        <f t="shared" si="4"/>
        <v>-</v>
      </c>
      <c r="Q10" s="20">
        <v>101</v>
      </c>
      <c r="R10" s="21">
        <v>23</v>
      </c>
      <c r="S10" s="139">
        <f t="shared" si="5"/>
        <v>4.3913043478260869</v>
      </c>
      <c r="T10" s="20">
        <v>1</v>
      </c>
      <c r="U10" s="21">
        <v>1</v>
      </c>
      <c r="V10" s="139">
        <f t="shared" si="6"/>
        <v>1</v>
      </c>
      <c r="W10" s="20">
        <v>0</v>
      </c>
      <c r="X10" s="21">
        <v>0</v>
      </c>
      <c r="Y10" s="278" t="str">
        <f t="shared" si="7"/>
        <v>-</v>
      </c>
      <c r="Z10" s="20">
        <v>30</v>
      </c>
      <c r="AA10" s="21">
        <v>6</v>
      </c>
      <c r="AB10" s="139">
        <f t="shared" si="8"/>
        <v>5</v>
      </c>
      <c r="AC10" s="20">
        <v>0</v>
      </c>
      <c r="AD10" s="21">
        <v>0</v>
      </c>
      <c r="AE10" s="139" t="str">
        <f t="shared" si="9"/>
        <v>-</v>
      </c>
      <c r="AF10" s="20">
        <v>12</v>
      </c>
      <c r="AG10" s="21">
        <v>2</v>
      </c>
      <c r="AH10" s="139">
        <f t="shared" si="10"/>
        <v>6</v>
      </c>
      <c r="AI10" s="20">
        <v>0</v>
      </c>
      <c r="AJ10" s="21">
        <v>0</v>
      </c>
      <c r="AK10" s="139" t="str">
        <f t="shared" si="11"/>
        <v>-</v>
      </c>
      <c r="AL10" s="20">
        <v>0</v>
      </c>
      <c r="AM10" s="21">
        <v>0</v>
      </c>
      <c r="AN10" s="139" t="str">
        <f t="shared" si="12"/>
        <v>-</v>
      </c>
      <c r="AO10" s="20">
        <v>0</v>
      </c>
      <c r="AP10" s="21">
        <v>0</v>
      </c>
      <c r="AQ10" s="139" t="str">
        <f t="shared" si="13"/>
        <v>-</v>
      </c>
      <c r="AR10" s="20">
        <v>0</v>
      </c>
      <c r="AS10" s="21">
        <v>0</v>
      </c>
      <c r="AT10" s="139" t="str">
        <f t="shared" si="14"/>
        <v>-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0</v>
      </c>
      <c r="BB10" s="21">
        <v>0</v>
      </c>
      <c r="BC10" s="139" t="str">
        <f t="shared" si="17"/>
        <v>-</v>
      </c>
      <c r="BD10" s="20">
        <v>10</v>
      </c>
      <c r="BE10" s="21">
        <v>1</v>
      </c>
      <c r="BF10" s="139">
        <f t="shared" si="18"/>
        <v>10</v>
      </c>
      <c r="BG10" s="20">
        <v>0</v>
      </c>
      <c r="BH10" s="21">
        <v>0</v>
      </c>
      <c r="BI10" s="139" t="str">
        <f t="shared" si="19"/>
        <v>-</v>
      </c>
      <c r="BJ10" s="252">
        <v>11</v>
      </c>
      <c r="BK10" s="253">
        <v>2</v>
      </c>
      <c r="BL10" s="139">
        <f t="shared" si="20"/>
        <v>5.5</v>
      </c>
      <c r="BM10" s="252">
        <v>0</v>
      </c>
      <c r="BN10" s="253">
        <v>0</v>
      </c>
      <c r="BO10" s="139" t="str">
        <f t="shared" si="21"/>
        <v>-</v>
      </c>
      <c r="BP10" s="302">
        <v>7</v>
      </c>
      <c r="BQ10" s="303">
        <v>1</v>
      </c>
      <c r="BR10" s="139">
        <f t="shared" si="22"/>
        <v>7</v>
      </c>
      <c r="BS10" s="257">
        <v>0</v>
      </c>
      <c r="BT10" s="253">
        <v>0</v>
      </c>
      <c r="BU10" s="139" t="str">
        <f t="shared" si="23"/>
        <v>-</v>
      </c>
      <c r="BV10" s="20">
        <v>2</v>
      </c>
      <c r="BW10" s="21">
        <v>1</v>
      </c>
      <c r="BX10" s="139">
        <f t="shared" si="24"/>
        <v>2</v>
      </c>
      <c r="BY10" s="20">
        <v>0</v>
      </c>
      <c r="BZ10" s="21">
        <v>0</v>
      </c>
      <c r="CA10" s="139" t="str">
        <f t="shared" si="25"/>
        <v>-</v>
      </c>
      <c r="CB10" s="20">
        <v>0</v>
      </c>
      <c r="CC10" s="21">
        <v>0</v>
      </c>
      <c r="CD10" s="139" t="str">
        <f t="shared" si="26"/>
        <v>-</v>
      </c>
      <c r="CE10" s="20">
        <v>0</v>
      </c>
      <c r="CF10" s="21">
        <v>0</v>
      </c>
      <c r="CG10" s="139" t="str">
        <f t="shared" si="27"/>
        <v>-</v>
      </c>
      <c r="CH10" s="20">
        <v>0</v>
      </c>
      <c r="CI10" s="21">
        <v>0</v>
      </c>
      <c r="CJ10" s="139" t="str">
        <f t="shared" si="28"/>
        <v>-</v>
      </c>
      <c r="CK10" s="20">
        <v>0</v>
      </c>
      <c r="CL10" s="21">
        <v>0</v>
      </c>
      <c r="CM10" s="139" t="str">
        <f t="shared" si="29"/>
        <v>-</v>
      </c>
      <c r="CN10" s="117">
        <f t="shared" si="31"/>
        <v>220</v>
      </c>
      <c r="CO10" s="120">
        <f t="shared" si="32"/>
        <v>43</v>
      </c>
      <c r="CP10" s="147">
        <f t="shared" si="30"/>
        <v>5.1162790697674421</v>
      </c>
    </row>
    <row r="11" spans="1:94" ht="15" thickBot="1" x14ac:dyDescent="0.35">
      <c r="A11" s="294">
        <v>45815</v>
      </c>
      <c r="B11" s="20">
        <v>69</v>
      </c>
      <c r="C11" s="21">
        <v>8</v>
      </c>
      <c r="D11" s="139">
        <f t="shared" si="0"/>
        <v>8.625</v>
      </c>
      <c r="E11" s="23">
        <v>9</v>
      </c>
      <c r="F11" s="21">
        <v>1</v>
      </c>
      <c r="G11" s="139">
        <f t="shared" si="1"/>
        <v>9</v>
      </c>
      <c r="H11" s="20">
        <v>0</v>
      </c>
      <c r="I11" s="21">
        <v>0</v>
      </c>
      <c r="J11" s="139" t="str">
        <f t="shared" si="2"/>
        <v>-</v>
      </c>
      <c r="K11" s="20">
        <v>0</v>
      </c>
      <c r="L11" s="21">
        <v>0</v>
      </c>
      <c r="M11" s="139" t="str">
        <f t="shared" si="3"/>
        <v>-</v>
      </c>
      <c r="N11" s="125">
        <v>0</v>
      </c>
      <c r="O11" s="126">
        <v>0</v>
      </c>
      <c r="P11" s="139" t="str">
        <f t="shared" si="4"/>
        <v>-</v>
      </c>
      <c r="Q11" s="20">
        <v>15</v>
      </c>
      <c r="R11" s="21">
        <v>3</v>
      </c>
      <c r="S11" s="139">
        <f t="shared" si="5"/>
        <v>5</v>
      </c>
      <c r="T11" s="20">
        <v>0</v>
      </c>
      <c r="U11" s="21">
        <v>0</v>
      </c>
      <c r="V11" s="139" t="str">
        <f t="shared" si="6"/>
        <v>-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0</v>
      </c>
      <c r="AD11" s="21">
        <v>0</v>
      </c>
      <c r="AE11" s="139" t="str">
        <f t="shared" si="9"/>
        <v>-</v>
      </c>
      <c r="AF11" s="20">
        <v>0</v>
      </c>
      <c r="AG11" s="21">
        <v>0</v>
      </c>
      <c r="AH11" s="139" t="str">
        <f t="shared" si="10"/>
        <v>-</v>
      </c>
      <c r="AI11" s="20">
        <v>0</v>
      </c>
      <c r="AJ11" s="21">
        <v>0</v>
      </c>
      <c r="AK11" s="139" t="str">
        <f t="shared" si="11"/>
        <v>-</v>
      </c>
      <c r="AL11" s="20">
        <v>0</v>
      </c>
      <c r="AM11" s="21">
        <v>0</v>
      </c>
      <c r="AN11" s="139" t="str">
        <f t="shared" si="12"/>
        <v>-</v>
      </c>
      <c r="AO11" s="20">
        <v>0</v>
      </c>
      <c r="AP11" s="21">
        <v>0</v>
      </c>
      <c r="AQ11" s="139" t="str">
        <f t="shared" si="13"/>
        <v>-</v>
      </c>
      <c r="AR11" s="20">
        <v>0</v>
      </c>
      <c r="AS11" s="21">
        <v>0</v>
      </c>
      <c r="AT11" s="139" t="str">
        <f t="shared" si="14"/>
        <v>-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0</v>
      </c>
      <c r="BB11" s="21">
        <v>0</v>
      </c>
      <c r="BC11" s="139" t="str">
        <f t="shared" si="17"/>
        <v>-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52">
        <v>17</v>
      </c>
      <c r="BK11" s="253">
        <v>3</v>
      </c>
      <c r="BL11" s="139">
        <f t="shared" si="20"/>
        <v>5.666666666666667</v>
      </c>
      <c r="BM11" s="252">
        <v>0</v>
      </c>
      <c r="BN11" s="253">
        <v>0</v>
      </c>
      <c r="BO11" s="139" t="str">
        <f t="shared" si="21"/>
        <v>-</v>
      </c>
      <c r="BP11" s="302">
        <v>0</v>
      </c>
      <c r="BQ11" s="303">
        <v>0</v>
      </c>
      <c r="BR11" s="139" t="str">
        <f t="shared" si="22"/>
        <v>-</v>
      </c>
      <c r="BS11" s="257">
        <v>0</v>
      </c>
      <c r="BT11" s="253">
        <v>0</v>
      </c>
      <c r="BU11" s="139" t="str">
        <f t="shared" si="23"/>
        <v>-</v>
      </c>
      <c r="BV11" s="20">
        <v>1</v>
      </c>
      <c r="BW11" s="21">
        <v>1</v>
      </c>
      <c r="BX11" s="139">
        <f t="shared" si="24"/>
        <v>1</v>
      </c>
      <c r="BY11" s="20">
        <v>0</v>
      </c>
      <c r="BZ11" s="21">
        <v>0</v>
      </c>
      <c r="CA11" s="139" t="str">
        <f t="shared" si="25"/>
        <v>-</v>
      </c>
      <c r="CB11" s="20">
        <v>0</v>
      </c>
      <c r="CC11" s="21">
        <v>0</v>
      </c>
      <c r="CD11" s="139" t="str">
        <f t="shared" si="26"/>
        <v>-</v>
      </c>
      <c r="CE11" s="20">
        <v>0</v>
      </c>
      <c r="CF11" s="21">
        <v>0</v>
      </c>
      <c r="CG11" s="139" t="str">
        <f t="shared" si="27"/>
        <v>-</v>
      </c>
      <c r="CH11" s="20">
        <v>0</v>
      </c>
      <c r="CI11" s="21">
        <v>0</v>
      </c>
      <c r="CJ11" s="139" t="str">
        <f t="shared" si="28"/>
        <v>-</v>
      </c>
      <c r="CK11" s="20">
        <v>0</v>
      </c>
      <c r="CL11" s="21">
        <v>0</v>
      </c>
      <c r="CM11" s="139" t="str">
        <f t="shared" si="29"/>
        <v>-</v>
      </c>
      <c r="CN11" s="117">
        <f t="shared" si="31"/>
        <v>111</v>
      </c>
      <c r="CO11" s="120">
        <f t="shared" si="32"/>
        <v>15</v>
      </c>
      <c r="CP11" s="147">
        <f t="shared" si="30"/>
        <v>7.4</v>
      </c>
    </row>
    <row r="12" spans="1:94" ht="16.2" customHeight="1" thickBot="1" x14ac:dyDescent="0.35">
      <c r="A12" s="294">
        <v>45816</v>
      </c>
      <c r="B12" s="20">
        <v>40</v>
      </c>
      <c r="C12" s="21">
        <v>6</v>
      </c>
      <c r="D12" s="139">
        <f t="shared" si="0"/>
        <v>6.666666666666667</v>
      </c>
      <c r="E12" s="23">
        <v>15</v>
      </c>
      <c r="F12" s="21">
        <v>2</v>
      </c>
      <c r="G12" s="139">
        <f t="shared" si="1"/>
        <v>7.5</v>
      </c>
      <c r="H12" s="20">
        <v>0</v>
      </c>
      <c r="I12" s="21">
        <v>0</v>
      </c>
      <c r="J12" s="139" t="str">
        <f t="shared" si="2"/>
        <v>-</v>
      </c>
      <c r="K12" s="20">
        <v>23</v>
      </c>
      <c r="L12" s="21">
        <v>3</v>
      </c>
      <c r="M12" s="139">
        <f t="shared" si="3"/>
        <v>7.666666666666667</v>
      </c>
      <c r="N12" s="125">
        <v>0</v>
      </c>
      <c r="O12" s="126">
        <v>0</v>
      </c>
      <c r="P12" s="139" t="str">
        <f t="shared" si="4"/>
        <v>-</v>
      </c>
      <c r="Q12" s="23">
        <v>0</v>
      </c>
      <c r="R12" s="21">
        <v>0</v>
      </c>
      <c r="S12" s="139" t="str">
        <f t="shared" si="5"/>
        <v>-</v>
      </c>
      <c r="T12" s="23">
        <v>0</v>
      </c>
      <c r="U12" s="21">
        <v>0</v>
      </c>
      <c r="V12" s="139" t="str">
        <f t="shared" si="6"/>
        <v>-</v>
      </c>
      <c r="W12" s="23">
        <v>0</v>
      </c>
      <c r="X12" s="21">
        <v>0</v>
      </c>
      <c r="Y12" s="139" t="str">
        <f t="shared" si="7"/>
        <v>-</v>
      </c>
      <c r="Z12" s="23">
        <v>0</v>
      </c>
      <c r="AA12" s="21">
        <v>0</v>
      </c>
      <c r="AB12" s="139" t="str">
        <f t="shared" si="8"/>
        <v>-</v>
      </c>
      <c r="AC12" s="23">
        <v>0</v>
      </c>
      <c r="AD12" s="21">
        <v>0</v>
      </c>
      <c r="AE12" s="139" t="str">
        <f t="shared" si="9"/>
        <v>-</v>
      </c>
      <c r="AF12" s="23">
        <v>0</v>
      </c>
      <c r="AG12" s="21">
        <v>0</v>
      </c>
      <c r="AH12" s="139" t="str">
        <f t="shared" si="10"/>
        <v>-</v>
      </c>
      <c r="AI12" s="23">
        <v>0</v>
      </c>
      <c r="AJ12" s="21">
        <v>0</v>
      </c>
      <c r="AK12" s="139" t="str">
        <f t="shared" si="11"/>
        <v>-</v>
      </c>
      <c r="AL12" s="23">
        <v>0</v>
      </c>
      <c r="AM12" s="21">
        <v>0</v>
      </c>
      <c r="AN12" s="139" t="str">
        <f t="shared" si="12"/>
        <v>-</v>
      </c>
      <c r="AO12" s="23">
        <v>0</v>
      </c>
      <c r="AP12" s="21">
        <v>0</v>
      </c>
      <c r="AQ12" s="139" t="str">
        <f t="shared" si="13"/>
        <v>-</v>
      </c>
      <c r="AR12" s="20">
        <v>0</v>
      </c>
      <c r="AS12" s="21">
        <v>0</v>
      </c>
      <c r="AT12" s="139" t="str">
        <f t="shared" si="14"/>
        <v>-</v>
      </c>
      <c r="AU12" s="20">
        <v>0</v>
      </c>
      <c r="AV12" s="21">
        <v>0</v>
      </c>
      <c r="AW12" s="139" t="str">
        <f t="shared" si="15"/>
        <v>-</v>
      </c>
      <c r="AX12" s="20">
        <v>0</v>
      </c>
      <c r="AY12" s="21">
        <v>0</v>
      </c>
      <c r="AZ12" s="139" t="str">
        <f t="shared" si="16"/>
        <v>-</v>
      </c>
      <c r="BA12" s="20">
        <v>0</v>
      </c>
      <c r="BB12" s="21">
        <v>0</v>
      </c>
      <c r="BC12" s="139" t="str">
        <f t="shared" si="17"/>
        <v>-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52">
        <v>13</v>
      </c>
      <c r="BK12" s="253">
        <v>2</v>
      </c>
      <c r="BL12" s="139">
        <f t="shared" si="20"/>
        <v>6.5</v>
      </c>
      <c r="BM12" s="252">
        <v>0</v>
      </c>
      <c r="BN12" s="253">
        <v>0</v>
      </c>
      <c r="BO12" s="139" t="str">
        <f t="shared" si="21"/>
        <v>-</v>
      </c>
      <c r="BP12" s="302">
        <v>0</v>
      </c>
      <c r="BQ12" s="303">
        <v>0</v>
      </c>
      <c r="BR12" s="139" t="str">
        <f t="shared" si="22"/>
        <v>-</v>
      </c>
      <c r="BS12" s="257">
        <v>7</v>
      </c>
      <c r="BT12" s="253">
        <v>1</v>
      </c>
      <c r="BU12" s="139">
        <f t="shared" si="23"/>
        <v>7</v>
      </c>
      <c r="BV12" s="257">
        <v>0</v>
      </c>
      <c r="BW12" s="253">
        <v>0</v>
      </c>
      <c r="BX12" s="276" t="str">
        <f t="shared" si="24"/>
        <v>-</v>
      </c>
      <c r="BY12" s="257">
        <v>0</v>
      </c>
      <c r="BZ12" s="253">
        <v>0</v>
      </c>
      <c r="CA12" s="276" t="str">
        <f t="shared" si="25"/>
        <v>-</v>
      </c>
      <c r="CB12" s="20">
        <v>0</v>
      </c>
      <c r="CC12" s="21">
        <v>0</v>
      </c>
      <c r="CD12" s="139" t="str">
        <f t="shared" si="26"/>
        <v>-</v>
      </c>
      <c r="CE12" s="20">
        <v>0</v>
      </c>
      <c r="CF12" s="21">
        <v>0</v>
      </c>
      <c r="CG12" s="139" t="str">
        <f t="shared" si="27"/>
        <v>-</v>
      </c>
      <c r="CH12" s="20">
        <v>0</v>
      </c>
      <c r="CI12" s="21">
        <v>0</v>
      </c>
      <c r="CJ12" s="139" t="str">
        <f t="shared" si="28"/>
        <v>-</v>
      </c>
      <c r="CK12" s="20">
        <v>0</v>
      </c>
      <c r="CL12" s="21">
        <v>0</v>
      </c>
      <c r="CM12" s="139" t="str">
        <f t="shared" si="29"/>
        <v>-</v>
      </c>
      <c r="CN12" s="117">
        <f t="shared" si="31"/>
        <v>98</v>
      </c>
      <c r="CO12" s="120">
        <f t="shared" si="32"/>
        <v>14</v>
      </c>
      <c r="CP12" s="147">
        <f t="shared" si="30"/>
        <v>7</v>
      </c>
    </row>
    <row r="13" spans="1:94" ht="15" thickBot="1" x14ac:dyDescent="0.35">
      <c r="A13" s="294">
        <v>45817</v>
      </c>
      <c r="B13" s="20">
        <v>38</v>
      </c>
      <c r="C13" s="21">
        <v>6</v>
      </c>
      <c r="D13" s="139">
        <f t="shared" si="0"/>
        <v>6.333333333333333</v>
      </c>
      <c r="E13" s="23">
        <v>0</v>
      </c>
      <c r="F13" s="21">
        <v>0</v>
      </c>
      <c r="G13" s="139" t="str">
        <f t="shared" si="1"/>
        <v>-</v>
      </c>
      <c r="H13" s="20">
        <v>0</v>
      </c>
      <c r="I13" s="21">
        <v>0</v>
      </c>
      <c r="J13" s="139" t="str">
        <f t="shared" si="2"/>
        <v>-</v>
      </c>
      <c r="K13" s="20">
        <v>16</v>
      </c>
      <c r="L13" s="21">
        <v>2</v>
      </c>
      <c r="M13" s="139">
        <f t="shared" si="3"/>
        <v>8</v>
      </c>
      <c r="N13" s="125">
        <v>0</v>
      </c>
      <c r="O13" s="126">
        <v>0</v>
      </c>
      <c r="P13" s="139" t="str">
        <f t="shared" si="4"/>
        <v>-</v>
      </c>
      <c r="Q13" s="125">
        <v>68</v>
      </c>
      <c r="R13" s="126">
        <v>15</v>
      </c>
      <c r="S13" s="139">
        <f t="shared" si="5"/>
        <v>4.5333333333333332</v>
      </c>
      <c r="T13" s="125">
        <v>0</v>
      </c>
      <c r="U13" s="126">
        <v>0</v>
      </c>
      <c r="V13" s="139" t="str">
        <f t="shared" si="6"/>
        <v>-</v>
      </c>
      <c r="W13" s="125">
        <v>0</v>
      </c>
      <c r="X13" s="126">
        <v>0</v>
      </c>
      <c r="Y13" s="139" t="str">
        <f t="shared" si="7"/>
        <v>-</v>
      </c>
      <c r="Z13" s="125">
        <v>30</v>
      </c>
      <c r="AA13" s="126">
        <v>6</v>
      </c>
      <c r="AB13" s="139">
        <f t="shared" si="8"/>
        <v>5</v>
      </c>
      <c r="AC13" s="20">
        <v>0</v>
      </c>
      <c r="AD13" s="21">
        <v>0</v>
      </c>
      <c r="AE13" s="139" t="str">
        <f t="shared" si="9"/>
        <v>-</v>
      </c>
      <c r="AF13" s="20">
        <v>5</v>
      </c>
      <c r="AG13" s="21">
        <v>1</v>
      </c>
      <c r="AH13" s="139">
        <f t="shared" si="10"/>
        <v>5</v>
      </c>
      <c r="AI13" s="23">
        <v>0</v>
      </c>
      <c r="AJ13" s="21">
        <v>0</v>
      </c>
      <c r="AK13" s="139" t="str">
        <f t="shared" si="11"/>
        <v>-</v>
      </c>
      <c r="AL13" s="23">
        <v>0</v>
      </c>
      <c r="AM13" s="21">
        <v>0</v>
      </c>
      <c r="AN13" s="139" t="str">
        <f t="shared" si="12"/>
        <v>-</v>
      </c>
      <c r="AO13" s="23">
        <v>0</v>
      </c>
      <c r="AP13" s="21">
        <v>0</v>
      </c>
      <c r="AQ13" s="139" t="str">
        <f t="shared" si="13"/>
        <v>-</v>
      </c>
      <c r="AR13" s="20">
        <v>9</v>
      </c>
      <c r="AS13" s="21">
        <v>1</v>
      </c>
      <c r="AT13" s="139">
        <f t="shared" si="14"/>
        <v>9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>
        <v>0</v>
      </c>
      <c r="BA13" s="20">
        <v>0</v>
      </c>
      <c r="BB13" s="21">
        <v>0</v>
      </c>
      <c r="BC13" s="139" t="str">
        <f t="shared" si="17"/>
        <v>-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52">
        <v>0</v>
      </c>
      <c r="BK13" s="253">
        <v>0</v>
      </c>
      <c r="BL13" s="276" t="str">
        <f t="shared" si="20"/>
        <v>-</v>
      </c>
      <c r="BM13" s="252">
        <v>0</v>
      </c>
      <c r="BN13" s="253">
        <v>0</v>
      </c>
      <c r="BO13" s="276" t="str">
        <f t="shared" si="21"/>
        <v>-</v>
      </c>
      <c r="BP13" s="302">
        <v>0</v>
      </c>
      <c r="BQ13" s="303">
        <v>0</v>
      </c>
      <c r="BR13" s="276" t="str">
        <f t="shared" si="22"/>
        <v>-</v>
      </c>
      <c r="BS13" s="257">
        <v>0</v>
      </c>
      <c r="BT13" s="253">
        <v>0</v>
      </c>
      <c r="BU13" s="139" t="str">
        <f t="shared" si="23"/>
        <v>-</v>
      </c>
      <c r="BV13" s="20">
        <v>4</v>
      </c>
      <c r="BW13" s="21">
        <v>1</v>
      </c>
      <c r="BX13" s="139">
        <f t="shared" si="24"/>
        <v>4</v>
      </c>
      <c r="BY13" s="20">
        <v>0</v>
      </c>
      <c r="BZ13" s="21">
        <v>0</v>
      </c>
      <c r="CA13" s="139" t="str">
        <f t="shared" si="25"/>
        <v>-</v>
      </c>
      <c r="CB13" s="20">
        <v>2</v>
      </c>
      <c r="CC13" s="21">
        <v>1</v>
      </c>
      <c r="CD13" s="139">
        <f t="shared" si="26"/>
        <v>2</v>
      </c>
      <c r="CE13" s="20">
        <v>0</v>
      </c>
      <c r="CF13" s="21">
        <v>0</v>
      </c>
      <c r="CG13" s="139" t="str">
        <f t="shared" si="27"/>
        <v>-</v>
      </c>
      <c r="CH13" s="20">
        <v>0</v>
      </c>
      <c r="CI13" s="21">
        <v>0</v>
      </c>
      <c r="CJ13" s="139" t="str">
        <f t="shared" si="28"/>
        <v>-</v>
      </c>
      <c r="CK13" s="20">
        <v>0</v>
      </c>
      <c r="CL13" s="21">
        <v>0</v>
      </c>
      <c r="CM13" s="139" t="str">
        <f t="shared" si="29"/>
        <v>-</v>
      </c>
      <c r="CN13" s="117">
        <f t="shared" si="31"/>
        <v>172</v>
      </c>
      <c r="CO13" s="120">
        <f t="shared" si="32"/>
        <v>32</v>
      </c>
      <c r="CP13" s="147">
        <f t="shared" si="30"/>
        <v>5.375</v>
      </c>
    </row>
    <row r="14" spans="1:94" ht="15" thickBot="1" x14ac:dyDescent="0.35">
      <c r="A14" s="294">
        <v>45818</v>
      </c>
      <c r="B14" s="20">
        <v>21</v>
      </c>
      <c r="C14" s="21">
        <v>4</v>
      </c>
      <c r="D14" s="139">
        <f t="shared" si="0"/>
        <v>5.25</v>
      </c>
      <c r="E14" s="23">
        <v>26</v>
      </c>
      <c r="F14" s="21">
        <v>4</v>
      </c>
      <c r="G14" s="139">
        <f t="shared" si="1"/>
        <v>6.5</v>
      </c>
      <c r="H14" s="20">
        <v>0</v>
      </c>
      <c r="I14" s="21">
        <v>0</v>
      </c>
      <c r="J14" s="139" t="str">
        <f t="shared" si="2"/>
        <v>-</v>
      </c>
      <c r="K14" s="20">
        <v>8</v>
      </c>
      <c r="L14" s="21">
        <v>1</v>
      </c>
      <c r="M14" s="139">
        <f t="shared" si="3"/>
        <v>8</v>
      </c>
      <c r="N14" s="125">
        <v>0</v>
      </c>
      <c r="O14" s="126">
        <v>0</v>
      </c>
      <c r="P14" s="139" t="str">
        <f t="shared" si="4"/>
        <v>-</v>
      </c>
      <c r="Q14" s="20">
        <v>45</v>
      </c>
      <c r="R14" s="21">
        <v>10</v>
      </c>
      <c r="S14" s="139">
        <f t="shared" si="5"/>
        <v>4.5</v>
      </c>
      <c r="T14" s="20">
        <v>49</v>
      </c>
      <c r="U14" s="21">
        <v>10</v>
      </c>
      <c r="V14" s="139">
        <f t="shared" si="6"/>
        <v>4.9000000000000004</v>
      </c>
      <c r="W14" s="20">
        <v>0</v>
      </c>
      <c r="X14" s="21">
        <v>0</v>
      </c>
      <c r="Y14" s="139" t="str">
        <f t="shared" si="7"/>
        <v>-</v>
      </c>
      <c r="Z14" s="20">
        <v>56</v>
      </c>
      <c r="AA14" s="21">
        <v>11</v>
      </c>
      <c r="AB14" s="139">
        <f t="shared" si="8"/>
        <v>5.0909090909090908</v>
      </c>
      <c r="AC14" s="20">
        <v>6</v>
      </c>
      <c r="AD14" s="21">
        <v>2</v>
      </c>
      <c r="AE14" s="139">
        <f t="shared" si="9"/>
        <v>3</v>
      </c>
      <c r="AF14" s="20">
        <v>0</v>
      </c>
      <c r="AG14" s="21">
        <v>0</v>
      </c>
      <c r="AH14" s="139" t="str">
        <f t="shared" si="10"/>
        <v>-</v>
      </c>
      <c r="AI14" s="20">
        <v>0</v>
      </c>
      <c r="AJ14" s="21">
        <v>0</v>
      </c>
      <c r="AK14" s="139" t="str">
        <f t="shared" si="11"/>
        <v>-</v>
      </c>
      <c r="AL14" s="20">
        <v>0</v>
      </c>
      <c r="AM14" s="21">
        <v>0</v>
      </c>
      <c r="AN14" s="139" t="str">
        <f t="shared" si="12"/>
        <v>-</v>
      </c>
      <c r="AO14" s="20">
        <v>0</v>
      </c>
      <c r="AP14" s="21">
        <v>0</v>
      </c>
      <c r="AQ14" s="139" t="str">
        <f t="shared" si="13"/>
        <v>-</v>
      </c>
      <c r="AR14" s="20">
        <v>5</v>
      </c>
      <c r="AS14" s="21">
        <v>1</v>
      </c>
      <c r="AT14" s="139">
        <f t="shared" si="14"/>
        <v>5</v>
      </c>
      <c r="AU14" s="20">
        <v>0</v>
      </c>
      <c r="AV14" s="21">
        <v>0</v>
      </c>
      <c r="AW14" s="139" t="str">
        <f t="shared" si="15"/>
        <v>-</v>
      </c>
      <c r="AX14" s="20">
        <v>1</v>
      </c>
      <c r="AY14" s="21">
        <v>1</v>
      </c>
      <c r="AZ14" s="139">
        <v>0</v>
      </c>
      <c r="BA14" s="20">
        <v>0</v>
      </c>
      <c r="BB14" s="21">
        <v>0</v>
      </c>
      <c r="BC14" s="139" t="str">
        <f t="shared" si="17"/>
        <v>-</v>
      </c>
      <c r="BD14" s="20">
        <v>0</v>
      </c>
      <c r="BE14" s="21">
        <v>0</v>
      </c>
      <c r="BF14" s="139" t="str">
        <f t="shared" si="18"/>
        <v>-</v>
      </c>
      <c r="BG14" s="20">
        <v>0</v>
      </c>
      <c r="BH14" s="21">
        <v>0</v>
      </c>
      <c r="BI14" s="139">
        <v>0</v>
      </c>
      <c r="BJ14" s="252">
        <v>14</v>
      </c>
      <c r="BK14" s="253">
        <v>2</v>
      </c>
      <c r="BL14" s="276">
        <f t="shared" si="20"/>
        <v>7</v>
      </c>
      <c r="BM14" s="252">
        <v>0</v>
      </c>
      <c r="BN14" s="253">
        <v>0</v>
      </c>
      <c r="BO14" s="276" t="str">
        <f t="shared" si="21"/>
        <v>-</v>
      </c>
      <c r="BP14" s="302">
        <v>9</v>
      </c>
      <c r="BQ14" s="303">
        <v>1</v>
      </c>
      <c r="BR14" s="276">
        <f t="shared" si="22"/>
        <v>9</v>
      </c>
      <c r="BS14" s="257">
        <v>0</v>
      </c>
      <c r="BT14" s="253">
        <v>0</v>
      </c>
      <c r="BU14" s="276" t="str">
        <f t="shared" si="23"/>
        <v>-</v>
      </c>
      <c r="BV14" s="125">
        <v>10</v>
      </c>
      <c r="BW14" s="126">
        <v>1</v>
      </c>
      <c r="BX14" s="276">
        <f t="shared" si="24"/>
        <v>10</v>
      </c>
      <c r="BY14" s="125">
        <v>0</v>
      </c>
      <c r="BZ14" s="126">
        <v>0</v>
      </c>
      <c r="CA14" s="276" t="str">
        <f t="shared" si="25"/>
        <v>-</v>
      </c>
      <c r="CB14" s="125">
        <v>0</v>
      </c>
      <c r="CC14" s="126">
        <v>0</v>
      </c>
      <c r="CD14" s="276" t="str">
        <f t="shared" si="26"/>
        <v>-</v>
      </c>
      <c r="CE14" s="20">
        <v>5</v>
      </c>
      <c r="CF14" s="21">
        <v>1</v>
      </c>
      <c r="CG14" s="139">
        <f t="shared" si="27"/>
        <v>5</v>
      </c>
      <c r="CH14" s="20">
        <v>0</v>
      </c>
      <c r="CI14" s="21">
        <v>0</v>
      </c>
      <c r="CJ14" s="139" t="str">
        <f t="shared" si="28"/>
        <v>-</v>
      </c>
      <c r="CK14" s="20">
        <v>0</v>
      </c>
      <c r="CL14" s="21">
        <v>0</v>
      </c>
      <c r="CM14" s="139" t="str">
        <f t="shared" si="29"/>
        <v>-</v>
      </c>
      <c r="CN14" s="117">
        <f t="shared" si="31"/>
        <v>255</v>
      </c>
      <c r="CO14" s="120">
        <f t="shared" si="32"/>
        <v>48</v>
      </c>
      <c r="CP14" s="147">
        <f t="shared" si="30"/>
        <v>5.3125</v>
      </c>
    </row>
    <row r="15" spans="1:94" ht="15" thickBot="1" x14ac:dyDescent="0.35">
      <c r="A15" s="294">
        <v>45819</v>
      </c>
      <c r="B15" s="20">
        <v>50</v>
      </c>
      <c r="C15" s="21">
        <v>7</v>
      </c>
      <c r="D15" s="139">
        <f t="shared" si="0"/>
        <v>7.1428571428571432</v>
      </c>
      <c r="E15" s="20">
        <v>6</v>
      </c>
      <c r="F15" s="21">
        <v>1</v>
      </c>
      <c r="G15" s="139">
        <f t="shared" si="1"/>
        <v>6</v>
      </c>
      <c r="H15" s="20">
        <v>0</v>
      </c>
      <c r="I15" s="21">
        <v>0</v>
      </c>
      <c r="J15" s="139" t="str">
        <f t="shared" si="2"/>
        <v>-</v>
      </c>
      <c r="K15" s="20">
        <v>36</v>
      </c>
      <c r="L15" s="21">
        <v>6</v>
      </c>
      <c r="M15" s="139">
        <f t="shared" si="3"/>
        <v>6</v>
      </c>
      <c r="N15" s="125">
        <v>0</v>
      </c>
      <c r="O15" s="126">
        <v>0</v>
      </c>
      <c r="P15" s="139" t="str">
        <f t="shared" si="4"/>
        <v>-</v>
      </c>
      <c r="Q15" s="20">
        <v>79</v>
      </c>
      <c r="R15" s="21">
        <v>21</v>
      </c>
      <c r="S15" s="139">
        <f t="shared" si="5"/>
        <v>3.7619047619047619</v>
      </c>
      <c r="T15" s="20">
        <v>0</v>
      </c>
      <c r="U15" s="21">
        <v>0</v>
      </c>
      <c r="V15" s="139" t="str">
        <f t="shared" si="6"/>
        <v>-</v>
      </c>
      <c r="W15" s="20">
        <v>0</v>
      </c>
      <c r="X15" s="21">
        <v>0</v>
      </c>
      <c r="Y15" s="139" t="str">
        <f t="shared" si="7"/>
        <v>-</v>
      </c>
      <c r="Z15" s="20">
        <v>0</v>
      </c>
      <c r="AA15" s="21">
        <v>0</v>
      </c>
      <c r="AB15" s="139" t="str">
        <f t="shared" si="8"/>
        <v>-</v>
      </c>
      <c r="AC15" s="20">
        <v>0</v>
      </c>
      <c r="AD15" s="21">
        <v>0</v>
      </c>
      <c r="AE15" s="139" t="str">
        <f t="shared" si="9"/>
        <v>-</v>
      </c>
      <c r="AF15" s="20">
        <v>6</v>
      </c>
      <c r="AG15" s="21">
        <v>1</v>
      </c>
      <c r="AH15" s="139">
        <f t="shared" si="10"/>
        <v>6</v>
      </c>
      <c r="AI15" s="20">
        <v>0</v>
      </c>
      <c r="AJ15" s="21">
        <v>0</v>
      </c>
      <c r="AK15" s="139" t="str">
        <f t="shared" si="11"/>
        <v>-</v>
      </c>
      <c r="AL15" s="20">
        <v>0</v>
      </c>
      <c r="AM15" s="21">
        <v>0</v>
      </c>
      <c r="AN15" s="139" t="str">
        <f t="shared" si="12"/>
        <v>-</v>
      </c>
      <c r="AO15" s="20">
        <v>0</v>
      </c>
      <c r="AP15" s="21">
        <v>0</v>
      </c>
      <c r="AQ15" s="139" t="str">
        <f t="shared" si="13"/>
        <v>-</v>
      </c>
      <c r="AR15" s="20">
        <v>4</v>
      </c>
      <c r="AS15" s="21">
        <v>2</v>
      </c>
      <c r="AT15" s="139">
        <f t="shared" si="14"/>
        <v>2</v>
      </c>
      <c r="AU15" s="20">
        <v>0</v>
      </c>
      <c r="AV15" s="21">
        <v>0</v>
      </c>
      <c r="AW15" s="139" t="str">
        <f t="shared" si="15"/>
        <v>-</v>
      </c>
      <c r="AX15" s="20">
        <v>0</v>
      </c>
      <c r="AY15" s="21">
        <v>0</v>
      </c>
      <c r="AZ15" s="139">
        <v>0</v>
      </c>
      <c r="BA15" s="20">
        <v>0</v>
      </c>
      <c r="BB15" s="21">
        <v>0</v>
      </c>
      <c r="BC15" s="139">
        <v>0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52">
        <v>12</v>
      </c>
      <c r="BK15" s="253">
        <v>2</v>
      </c>
      <c r="BL15" s="276">
        <f t="shared" si="20"/>
        <v>6</v>
      </c>
      <c r="BM15" s="252">
        <v>0</v>
      </c>
      <c r="BN15" s="253">
        <v>0</v>
      </c>
      <c r="BO15" s="276" t="str">
        <f t="shared" si="21"/>
        <v>-</v>
      </c>
      <c r="BP15" s="302">
        <v>7</v>
      </c>
      <c r="BQ15" s="303">
        <v>1</v>
      </c>
      <c r="BR15" s="276">
        <f t="shared" si="22"/>
        <v>7</v>
      </c>
      <c r="BS15" s="257">
        <v>7</v>
      </c>
      <c r="BT15" s="253">
        <v>1</v>
      </c>
      <c r="BU15" s="276">
        <f t="shared" si="23"/>
        <v>7</v>
      </c>
      <c r="BV15" s="257">
        <v>0</v>
      </c>
      <c r="BW15" s="253">
        <v>0</v>
      </c>
      <c r="BX15" s="276" t="str">
        <f t="shared" si="24"/>
        <v>-</v>
      </c>
      <c r="BY15" s="257">
        <v>0</v>
      </c>
      <c r="BZ15" s="253">
        <v>0</v>
      </c>
      <c r="CA15" s="276" t="str">
        <f t="shared" si="25"/>
        <v>-</v>
      </c>
      <c r="CB15" s="257">
        <v>7</v>
      </c>
      <c r="CC15" s="253">
        <v>1</v>
      </c>
      <c r="CD15" s="276">
        <f t="shared" si="26"/>
        <v>7</v>
      </c>
      <c r="CE15" s="125">
        <v>0</v>
      </c>
      <c r="CF15" s="126">
        <v>0</v>
      </c>
      <c r="CG15" s="276" t="str">
        <f t="shared" si="27"/>
        <v>-</v>
      </c>
      <c r="CH15" s="125">
        <v>0</v>
      </c>
      <c r="CI15" s="126">
        <v>0</v>
      </c>
      <c r="CJ15" s="276" t="str">
        <f t="shared" si="28"/>
        <v>-</v>
      </c>
      <c r="CK15" s="125">
        <v>0</v>
      </c>
      <c r="CL15" s="126">
        <v>0</v>
      </c>
      <c r="CM15" s="276" t="str">
        <f t="shared" si="29"/>
        <v>-</v>
      </c>
      <c r="CN15" s="117">
        <f t="shared" si="31"/>
        <v>214</v>
      </c>
      <c r="CO15" s="120">
        <f t="shared" si="32"/>
        <v>43</v>
      </c>
      <c r="CP15" s="147">
        <f t="shared" si="30"/>
        <v>4.9767441860465116</v>
      </c>
    </row>
    <row r="16" spans="1:94" ht="15" thickBot="1" x14ac:dyDescent="0.35">
      <c r="A16" s="294">
        <v>45820</v>
      </c>
      <c r="B16" s="20">
        <v>42</v>
      </c>
      <c r="C16" s="21">
        <v>5</v>
      </c>
      <c r="D16" s="139">
        <f t="shared" si="0"/>
        <v>8.4</v>
      </c>
      <c r="E16" s="20">
        <v>8</v>
      </c>
      <c r="F16" s="21">
        <v>1</v>
      </c>
      <c r="G16" s="139">
        <f t="shared" si="1"/>
        <v>8</v>
      </c>
      <c r="H16" s="20">
        <v>0</v>
      </c>
      <c r="I16" s="21">
        <v>0</v>
      </c>
      <c r="J16" s="139" t="str">
        <f t="shared" si="2"/>
        <v>-</v>
      </c>
      <c r="K16" s="20">
        <v>8</v>
      </c>
      <c r="L16" s="21">
        <v>1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125">
        <v>31</v>
      </c>
      <c r="R16" s="126">
        <v>6</v>
      </c>
      <c r="S16" s="139">
        <f t="shared" si="5"/>
        <v>5.166666666666667</v>
      </c>
      <c r="T16" s="20">
        <v>0</v>
      </c>
      <c r="U16" s="21">
        <v>0</v>
      </c>
      <c r="V16" s="139" t="str">
        <f t="shared" si="6"/>
        <v>-</v>
      </c>
      <c r="W16" s="20">
        <v>0</v>
      </c>
      <c r="X16" s="21">
        <v>0</v>
      </c>
      <c r="Y16" s="139" t="str">
        <f t="shared" si="7"/>
        <v>-</v>
      </c>
      <c r="Z16" s="20">
        <v>161</v>
      </c>
      <c r="AA16" s="21">
        <v>40</v>
      </c>
      <c r="AB16" s="139">
        <f t="shared" si="8"/>
        <v>4.0250000000000004</v>
      </c>
      <c r="AC16" s="20">
        <v>0</v>
      </c>
      <c r="AD16" s="21">
        <v>0</v>
      </c>
      <c r="AE16" s="139" t="str">
        <f t="shared" si="9"/>
        <v>-</v>
      </c>
      <c r="AF16" s="20">
        <v>0</v>
      </c>
      <c r="AG16" s="21">
        <v>0</v>
      </c>
      <c r="AH16" s="139" t="str">
        <f t="shared" si="10"/>
        <v>-</v>
      </c>
      <c r="AI16" s="20">
        <v>0</v>
      </c>
      <c r="AJ16" s="21">
        <v>0</v>
      </c>
      <c r="AK16" s="139" t="str">
        <f t="shared" si="11"/>
        <v>-</v>
      </c>
      <c r="AL16" s="20">
        <v>0</v>
      </c>
      <c r="AM16" s="21">
        <v>0</v>
      </c>
      <c r="AN16" s="139" t="str">
        <f t="shared" si="12"/>
        <v>-</v>
      </c>
      <c r="AO16" s="20">
        <v>0</v>
      </c>
      <c r="AP16" s="21">
        <v>0</v>
      </c>
      <c r="AQ16" s="139" t="str">
        <f t="shared" si="13"/>
        <v>-</v>
      </c>
      <c r="AR16" s="20">
        <v>0</v>
      </c>
      <c r="AS16" s="21">
        <v>0</v>
      </c>
      <c r="AT16" s="139" t="str">
        <f t="shared" si="14"/>
        <v>-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ref="AZ16" si="33">IF(AY16=0,"-",AX16/AY16)</f>
        <v>-</v>
      </c>
      <c r="BA16" s="20">
        <v>0</v>
      </c>
      <c r="BB16" s="21">
        <v>0</v>
      </c>
      <c r="BC16" s="139" t="str">
        <f t="shared" ref="BC16" si="34">IF(BB16=0,"-",BA16/BB16)</f>
        <v>-</v>
      </c>
      <c r="BD16" s="20">
        <v>0</v>
      </c>
      <c r="BE16" s="21">
        <v>0</v>
      </c>
      <c r="BF16" s="139" t="str">
        <f t="shared" si="18"/>
        <v>-</v>
      </c>
      <c r="BG16" s="20">
        <v>0</v>
      </c>
      <c r="BH16" s="21">
        <v>0</v>
      </c>
      <c r="BI16" s="139" t="str">
        <f t="shared" si="19"/>
        <v>-</v>
      </c>
      <c r="BJ16" s="252">
        <v>33</v>
      </c>
      <c r="BK16" s="253">
        <v>5</v>
      </c>
      <c r="BL16" s="276">
        <f t="shared" si="20"/>
        <v>6.6</v>
      </c>
      <c r="BM16" s="252">
        <v>0</v>
      </c>
      <c r="BN16" s="253">
        <v>0</v>
      </c>
      <c r="BO16" s="276" t="str">
        <f t="shared" si="21"/>
        <v>-</v>
      </c>
      <c r="BP16" s="302">
        <v>0</v>
      </c>
      <c r="BQ16" s="303">
        <v>0</v>
      </c>
      <c r="BR16" s="276" t="str">
        <f t="shared" si="22"/>
        <v>-</v>
      </c>
      <c r="BS16" s="257">
        <v>7</v>
      </c>
      <c r="BT16" s="253">
        <v>1</v>
      </c>
      <c r="BU16" s="276">
        <f t="shared" si="23"/>
        <v>7</v>
      </c>
      <c r="BV16" s="257">
        <v>21</v>
      </c>
      <c r="BW16" s="253">
        <v>3</v>
      </c>
      <c r="BX16" s="276">
        <f t="shared" si="24"/>
        <v>7</v>
      </c>
      <c r="BY16" s="257">
        <v>0</v>
      </c>
      <c r="BZ16" s="253">
        <v>0</v>
      </c>
      <c r="CA16" s="276" t="str">
        <f t="shared" si="25"/>
        <v>-</v>
      </c>
      <c r="CB16" s="257">
        <v>0</v>
      </c>
      <c r="CC16" s="253">
        <v>0</v>
      </c>
      <c r="CD16" s="276" t="str">
        <f t="shared" si="26"/>
        <v>-</v>
      </c>
      <c r="CE16" s="257">
        <v>10</v>
      </c>
      <c r="CF16" s="253">
        <v>2</v>
      </c>
      <c r="CG16" s="276">
        <f t="shared" si="27"/>
        <v>5</v>
      </c>
      <c r="CH16" s="257">
        <v>0</v>
      </c>
      <c r="CI16" s="253">
        <v>0</v>
      </c>
      <c r="CJ16" s="276" t="str">
        <f t="shared" si="28"/>
        <v>-</v>
      </c>
      <c r="CK16" s="257">
        <v>0</v>
      </c>
      <c r="CL16" s="253">
        <v>0</v>
      </c>
      <c r="CM16" s="276" t="str">
        <f t="shared" si="29"/>
        <v>-</v>
      </c>
      <c r="CN16" s="117">
        <f t="shared" si="31"/>
        <v>321</v>
      </c>
      <c r="CO16" s="120">
        <f t="shared" si="32"/>
        <v>61</v>
      </c>
      <c r="CP16" s="147">
        <f t="shared" si="30"/>
        <v>5.2622950819672134</v>
      </c>
    </row>
    <row r="17" spans="1:94" ht="15" thickBot="1" x14ac:dyDescent="0.35">
      <c r="A17" s="294">
        <v>45821</v>
      </c>
      <c r="B17" s="20">
        <v>57</v>
      </c>
      <c r="C17" s="21">
        <v>7</v>
      </c>
      <c r="D17" s="139">
        <f t="shared" si="0"/>
        <v>8.1428571428571423</v>
      </c>
      <c r="E17" s="20">
        <v>15</v>
      </c>
      <c r="F17" s="21">
        <v>2</v>
      </c>
      <c r="G17" s="139">
        <f t="shared" si="1"/>
        <v>7.5</v>
      </c>
      <c r="H17" s="20">
        <v>0</v>
      </c>
      <c r="I17" s="21">
        <v>0</v>
      </c>
      <c r="J17" s="139" t="str">
        <f t="shared" si="2"/>
        <v>-</v>
      </c>
      <c r="K17" s="20">
        <v>18</v>
      </c>
      <c r="L17" s="21">
        <v>2</v>
      </c>
      <c r="M17" s="139">
        <f t="shared" si="3"/>
        <v>9</v>
      </c>
      <c r="N17" s="125">
        <v>0</v>
      </c>
      <c r="O17" s="126">
        <v>0</v>
      </c>
      <c r="P17" s="139" t="str">
        <f t="shared" si="4"/>
        <v>-</v>
      </c>
      <c r="Q17" s="125">
        <v>179</v>
      </c>
      <c r="R17" s="126">
        <v>41</v>
      </c>
      <c r="S17" s="139">
        <f t="shared" si="5"/>
        <v>4.3658536585365857</v>
      </c>
      <c r="T17" s="20">
        <v>0</v>
      </c>
      <c r="U17" s="21">
        <v>0</v>
      </c>
      <c r="V17" s="139" t="str">
        <f t="shared" si="6"/>
        <v>-</v>
      </c>
      <c r="W17" s="20">
        <v>0</v>
      </c>
      <c r="X17" s="21">
        <v>0</v>
      </c>
      <c r="Y17" s="139" t="str">
        <f t="shared" si="7"/>
        <v>-</v>
      </c>
      <c r="Z17" s="20">
        <v>0</v>
      </c>
      <c r="AA17" s="21">
        <v>0</v>
      </c>
      <c r="AB17" s="139" t="str">
        <f t="shared" si="8"/>
        <v>-</v>
      </c>
      <c r="AC17" s="20">
        <v>0</v>
      </c>
      <c r="AD17" s="21">
        <v>0</v>
      </c>
      <c r="AE17" s="139" t="str">
        <f t="shared" si="9"/>
        <v>-</v>
      </c>
      <c r="AF17" s="20">
        <v>0</v>
      </c>
      <c r="AG17" s="21">
        <v>0</v>
      </c>
      <c r="AH17" s="139" t="str">
        <f t="shared" si="10"/>
        <v>-</v>
      </c>
      <c r="AI17" s="20">
        <v>0</v>
      </c>
      <c r="AJ17" s="21">
        <v>0</v>
      </c>
      <c r="AK17" s="139" t="str">
        <f t="shared" si="11"/>
        <v>-</v>
      </c>
      <c r="AL17" s="20">
        <v>0</v>
      </c>
      <c r="AM17" s="21">
        <v>0</v>
      </c>
      <c r="AN17" s="139" t="str">
        <f t="shared" si="12"/>
        <v>-</v>
      </c>
      <c r="AO17" s="20">
        <v>0</v>
      </c>
      <c r="AP17" s="21">
        <v>0</v>
      </c>
      <c r="AQ17" s="139" t="str">
        <f t="shared" si="13"/>
        <v>-</v>
      </c>
      <c r="AR17" s="125">
        <v>8</v>
      </c>
      <c r="AS17" s="126">
        <v>2</v>
      </c>
      <c r="AT17" s="139">
        <f t="shared" si="14"/>
        <v>4</v>
      </c>
      <c r="AU17" s="125">
        <v>0</v>
      </c>
      <c r="AV17" s="126">
        <v>0</v>
      </c>
      <c r="AW17" s="139" t="str">
        <f t="shared" si="15"/>
        <v>-</v>
      </c>
      <c r="AX17" s="125">
        <v>1</v>
      </c>
      <c r="AY17" s="126">
        <v>1</v>
      </c>
      <c r="AZ17" s="139">
        <f t="shared" si="16"/>
        <v>1</v>
      </c>
      <c r="BA17" s="125">
        <v>0</v>
      </c>
      <c r="BB17" s="126">
        <v>0</v>
      </c>
      <c r="BC17" s="139" t="str">
        <f t="shared" si="17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52">
        <v>6</v>
      </c>
      <c r="BK17" s="253">
        <v>1</v>
      </c>
      <c r="BL17" s="276">
        <f t="shared" si="20"/>
        <v>6</v>
      </c>
      <c r="BM17" s="252">
        <v>0</v>
      </c>
      <c r="BN17" s="253">
        <v>0</v>
      </c>
      <c r="BO17" s="276" t="str">
        <f t="shared" si="21"/>
        <v>-</v>
      </c>
      <c r="BP17" s="302">
        <v>0</v>
      </c>
      <c r="BQ17" s="303">
        <v>0</v>
      </c>
      <c r="BR17" s="276" t="str">
        <f t="shared" si="22"/>
        <v>-</v>
      </c>
      <c r="BS17" s="257">
        <v>0</v>
      </c>
      <c r="BT17" s="253">
        <v>0</v>
      </c>
      <c r="BU17" s="276" t="str">
        <f t="shared" si="23"/>
        <v>-</v>
      </c>
      <c r="BV17" s="125">
        <v>0</v>
      </c>
      <c r="BW17" s="126">
        <v>0</v>
      </c>
      <c r="BX17" s="276" t="str">
        <f t="shared" si="24"/>
        <v>-</v>
      </c>
      <c r="BY17" s="125">
        <v>0</v>
      </c>
      <c r="BZ17" s="126">
        <v>0</v>
      </c>
      <c r="CA17" s="276" t="str">
        <f t="shared" si="25"/>
        <v>-</v>
      </c>
      <c r="CB17" s="125">
        <v>0</v>
      </c>
      <c r="CC17" s="126">
        <v>0</v>
      </c>
      <c r="CD17" s="276" t="str">
        <f t="shared" si="26"/>
        <v>-</v>
      </c>
      <c r="CE17" s="125">
        <v>0</v>
      </c>
      <c r="CF17" s="126">
        <v>0</v>
      </c>
      <c r="CG17" s="276" t="str">
        <f t="shared" si="27"/>
        <v>-</v>
      </c>
      <c r="CH17" s="125">
        <v>0</v>
      </c>
      <c r="CI17" s="126">
        <v>0</v>
      </c>
      <c r="CJ17" s="276" t="str">
        <f t="shared" si="28"/>
        <v>-</v>
      </c>
      <c r="CK17" s="125">
        <v>0</v>
      </c>
      <c r="CL17" s="126">
        <v>0</v>
      </c>
      <c r="CM17" s="276" t="str">
        <f t="shared" si="29"/>
        <v>-</v>
      </c>
      <c r="CN17" s="117">
        <f t="shared" si="31"/>
        <v>284</v>
      </c>
      <c r="CO17" s="120">
        <f t="shared" si="32"/>
        <v>56</v>
      </c>
      <c r="CP17" s="147">
        <f t="shared" si="30"/>
        <v>5.0714285714285712</v>
      </c>
    </row>
    <row r="18" spans="1:94" ht="15" thickBot="1" x14ac:dyDescent="0.35">
      <c r="A18" s="294">
        <v>45822</v>
      </c>
      <c r="B18" s="20">
        <v>29</v>
      </c>
      <c r="C18" s="21">
        <v>4</v>
      </c>
      <c r="D18" s="139">
        <f t="shared" si="0"/>
        <v>7.25</v>
      </c>
      <c r="E18" s="20">
        <v>7</v>
      </c>
      <c r="F18" s="21">
        <v>1</v>
      </c>
      <c r="G18" s="139">
        <f t="shared" si="1"/>
        <v>7</v>
      </c>
      <c r="H18" s="20">
        <v>0</v>
      </c>
      <c r="I18" s="21">
        <v>0</v>
      </c>
      <c r="J18" s="139" t="str">
        <f t="shared" si="2"/>
        <v>-</v>
      </c>
      <c r="K18" s="20">
        <v>8</v>
      </c>
      <c r="L18" s="21">
        <v>1</v>
      </c>
      <c r="M18" s="139">
        <f t="shared" si="3"/>
        <v>8</v>
      </c>
      <c r="N18" s="125">
        <v>0</v>
      </c>
      <c r="O18" s="126">
        <v>0</v>
      </c>
      <c r="P18" s="139" t="str">
        <f t="shared" si="4"/>
        <v>-</v>
      </c>
      <c r="Q18" s="125">
        <v>152</v>
      </c>
      <c r="R18" s="126">
        <v>31</v>
      </c>
      <c r="S18" s="139">
        <f t="shared" si="5"/>
        <v>4.903225806451613</v>
      </c>
      <c r="T18" s="20">
        <v>0</v>
      </c>
      <c r="U18" s="21">
        <v>0</v>
      </c>
      <c r="V18" s="139" t="str">
        <f t="shared" si="6"/>
        <v>-</v>
      </c>
      <c r="W18" s="20">
        <v>0</v>
      </c>
      <c r="X18" s="21">
        <v>0</v>
      </c>
      <c r="Y18" s="139" t="str">
        <f t="shared" si="7"/>
        <v>-</v>
      </c>
      <c r="Z18" s="20">
        <v>0</v>
      </c>
      <c r="AA18" s="21">
        <v>0</v>
      </c>
      <c r="AB18" s="139" t="str">
        <f t="shared" si="8"/>
        <v>-</v>
      </c>
      <c r="AC18" s="20">
        <v>0</v>
      </c>
      <c r="AD18" s="21">
        <v>0</v>
      </c>
      <c r="AE18" s="139" t="str">
        <f t="shared" si="9"/>
        <v>-</v>
      </c>
      <c r="AF18" s="20">
        <v>0</v>
      </c>
      <c r="AG18" s="21">
        <v>0</v>
      </c>
      <c r="AH18" s="139" t="str">
        <f t="shared" si="10"/>
        <v>-</v>
      </c>
      <c r="AI18" s="20">
        <v>0</v>
      </c>
      <c r="AJ18" s="21">
        <v>0</v>
      </c>
      <c r="AK18" s="139" t="str">
        <f t="shared" si="11"/>
        <v>-</v>
      </c>
      <c r="AL18" s="20">
        <v>0</v>
      </c>
      <c r="AM18" s="21">
        <v>0</v>
      </c>
      <c r="AN18" s="139" t="str">
        <f t="shared" si="12"/>
        <v>-</v>
      </c>
      <c r="AO18" s="20">
        <v>0</v>
      </c>
      <c r="AP18" s="21">
        <v>0</v>
      </c>
      <c r="AQ18" s="139" t="str">
        <f t="shared" si="13"/>
        <v>-</v>
      </c>
      <c r="AR18" s="20">
        <v>0</v>
      </c>
      <c r="AS18" s="21">
        <v>0</v>
      </c>
      <c r="AT18" s="139" t="str">
        <f t="shared" si="14"/>
        <v>-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0</v>
      </c>
      <c r="BB18" s="21">
        <v>0</v>
      </c>
      <c r="BC18" s="139" t="str">
        <f t="shared" si="17"/>
        <v>-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 t="shared" si="19"/>
        <v>-</v>
      </c>
      <c r="BJ18" s="318">
        <v>6</v>
      </c>
      <c r="BK18" s="303">
        <v>1</v>
      </c>
      <c r="BL18" s="276">
        <f t="shared" si="20"/>
        <v>6</v>
      </c>
      <c r="BM18" s="252">
        <v>7</v>
      </c>
      <c r="BN18" s="253">
        <v>1</v>
      </c>
      <c r="BO18" s="276">
        <f t="shared" si="21"/>
        <v>7</v>
      </c>
      <c r="BP18" s="302">
        <v>35</v>
      </c>
      <c r="BQ18" s="303">
        <v>5</v>
      </c>
      <c r="BR18" s="276">
        <f t="shared" si="22"/>
        <v>7</v>
      </c>
      <c r="BS18" s="257">
        <v>0</v>
      </c>
      <c r="BT18" s="253">
        <v>0</v>
      </c>
      <c r="BU18" s="276" t="str">
        <f t="shared" si="23"/>
        <v>-</v>
      </c>
      <c r="BV18" s="125">
        <v>0</v>
      </c>
      <c r="BW18" s="126">
        <v>0</v>
      </c>
      <c r="BX18" s="276" t="str">
        <f t="shared" si="24"/>
        <v>-</v>
      </c>
      <c r="BY18" s="125">
        <v>0</v>
      </c>
      <c r="BZ18" s="126">
        <v>0</v>
      </c>
      <c r="CA18" s="276" t="str">
        <f t="shared" si="25"/>
        <v>-</v>
      </c>
      <c r="CB18" s="125">
        <v>0</v>
      </c>
      <c r="CC18" s="126">
        <v>0</v>
      </c>
      <c r="CD18" s="276" t="str">
        <f t="shared" si="26"/>
        <v>-</v>
      </c>
      <c r="CE18" s="125">
        <v>0</v>
      </c>
      <c r="CF18" s="126">
        <v>0</v>
      </c>
      <c r="CG18" s="276" t="str">
        <f t="shared" si="27"/>
        <v>-</v>
      </c>
      <c r="CH18" s="125">
        <v>0</v>
      </c>
      <c r="CI18" s="126">
        <v>0</v>
      </c>
      <c r="CJ18" s="276" t="str">
        <f t="shared" si="28"/>
        <v>-</v>
      </c>
      <c r="CK18" s="125">
        <v>0</v>
      </c>
      <c r="CL18" s="126">
        <v>0</v>
      </c>
      <c r="CM18" s="276" t="str">
        <f t="shared" si="29"/>
        <v>-</v>
      </c>
      <c r="CN18" s="117">
        <f t="shared" si="31"/>
        <v>244</v>
      </c>
      <c r="CO18" s="120">
        <f t="shared" si="32"/>
        <v>44</v>
      </c>
      <c r="CP18" s="147">
        <f t="shared" si="30"/>
        <v>5.5454545454545459</v>
      </c>
    </row>
    <row r="19" spans="1:94" ht="15" thickBot="1" x14ac:dyDescent="0.35">
      <c r="A19" s="294">
        <v>45823</v>
      </c>
      <c r="B19" s="20">
        <v>0</v>
      </c>
      <c r="C19" s="21">
        <v>0</v>
      </c>
      <c r="D19" s="139" t="str">
        <f t="shared" si="0"/>
        <v>-</v>
      </c>
      <c r="E19" s="20">
        <v>0</v>
      </c>
      <c r="F19" s="21">
        <v>0</v>
      </c>
      <c r="G19" s="139" t="str">
        <f t="shared" si="1"/>
        <v>-</v>
      </c>
      <c r="H19" s="20">
        <v>0</v>
      </c>
      <c r="I19" s="21">
        <v>0</v>
      </c>
      <c r="J19" s="139" t="str">
        <f t="shared" si="2"/>
        <v>-</v>
      </c>
      <c r="K19" s="20">
        <v>0</v>
      </c>
      <c r="L19" s="21">
        <v>0</v>
      </c>
      <c r="M19" s="139" t="str">
        <f t="shared" si="3"/>
        <v>-</v>
      </c>
      <c r="N19" s="125">
        <v>0</v>
      </c>
      <c r="O19" s="126">
        <v>0</v>
      </c>
      <c r="P19" s="139" t="str">
        <f t="shared" si="4"/>
        <v>-</v>
      </c>
      <c r="Q19" s="125">
        <v>0</v>
      </c>
      <c r="R19" s="126">
        <v>0</v>
      </c>
      <c r="S19" s="139" t="str">
        <f t="shared" si="5"/>
        <v>-</v>
      </c>
      <c r="T19" s="125">
        <v>0</v>
      </c>
      <c r="U19" s="126">
        <v>0</v>
      </c>
      <c r="V19" s="139" t="str">
        <f t="shared" si="6"/>
        <v>-</v>
      </c>
      <c r="W19" s="125">
        <v>0</v>
      </c>
      <c r="X19" s="126">
        <v>0</v>
      </c>
      <c r="Y19" s="139" t="str">
        <f t="shared" si="7"/>
        <v>-</v>
      </c>
      <c r="Z19" s="125">
        <v>0</v>
      </c>
      <c r="AA19" s="126">
        <v>0</v>
      </c>
      <c r="AB19" s="139" t="str">
        <f t="shared" si="8"/>
        <v>-</v>
      </c>
      <c r="AC19" s="125">
        <v>0</v>
      </c>
      <c r="AD19" s="126">
        <v>0</v>
      </c>
      <c r="AE19" s="139" t="str">
        <f t="shared" si="9"/>
        <v>-</v>
      </c>
      <c r="AF19" s="125">
        <v>0</v>
      </c>
      <c r="AG19" s="126">
        <v>0</v>
      </c>
      <c r="AH19" s="139" t="str">
        <f t="shared" si="10"/>
        <v>-</v>
      </c>
      <c r="AI19" s="125">
        <v>0</v>
      </c>
      <c r="AJ19" s="126">
        <v>0</v>
      </c>
      <c r="AK19" s="139" t="str">
        <f t="shared" si="11"/>
        <v>-</v>
      </c>
      <c r="AL19" s="125">
        <v>0</v>
      </c>
      <c r="AM19" s="126">
        <v>0</v>
      </c>
      <c r="AN19" s="139" t="str">
        <f t="shared" si="12"/>
        <v>-</v>
      </c>
      <c r="AO19" s="125">
        <v>0</v>
      </c>
      <c r="AP19" s="126">
        <v>0</v>
      </c>
      <c r="AQ19" s="139" t="str">
        <f t="shared" si="13"/>
        <v>-</v>
      </c>
      <c r="AR19" s="20">
        <v>0</v>
      </c>
      <c r="AS19" s="21">
        <v>0</v>
      </c>
      <c r="AT19" s="139" t="str">
        <f t="shared" si="14"/>
        <v>-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0</v>
      </c>
      <c r="BB19" s="21">
        <v>0</v>
      </c>
      <c r="BC19" s="139" t="str">
        <f t="shared" si="17"/>
        <v>-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52">
        <v>27</v>
      </c>
      <c r="BK19" s="253">
        <v>4</v>
      </c>
      <c r="BL19" s="276">
        <v>0</v>
      </c>
      <c r="BM19" s="252">
        <v>14</v>
      </c>
      <c r="BN19" s="253">
        <v>2</v>
      </c>
      <c r="BO19" s="276">
        <f t="shared" si="21"/>
        <v>7</v>
      </c>
      <c r="BP19" s="302">
        <v>20</v>
      </c>
      <c r="BQ19" s="303">
        <v>3</v>
      </c>
      <c r="BR19" s="276">
        <f t="shared" si="22"/>
        <v>6.666666666666667</v>
      </c>
      <c r="BS19" s="257">
        <v>7</v>
      </c>
      <c r="BT19" s="253">
        <v>1</v>
      </c>
      <c r="BU19" s="276">
        <f t="shared" si="23"/>
        <v>7</v>
      </c>
      <c r="BV19" s="125">
        <v>0</v>
      </c>
      <c r="BW19" s="126">
        <v>0</v>
      </c>
      <c r="BX19" s="276" t="str">
        <f t="shared" si="24"/>
        <v>-</v>
      </c>
      <c r="BY19" s="125">
        <v>0</v>
      </c>
      <c r="BZ19" s="126">
        <v>0</v>
      </c>
      <c r="CA19" s="276" t="str">
        <f t="shared" si="25"/>
        <v>-</v>
      </c>
      <c r="CB19" s="125">
        <v>0</v>
      </c>
      <c r="CC19" s="126">
        <v>0</v>
      </c>
      <c r="CD19" s="276" t="str">
        <f t="shared" si="26"/>
        <v>-</v>
      </c>
      <c r="CE19" s="125">
        <v>0</v>
      </c>
      <c r="CF19" s="126">
        <v>0</v>
      </c>
      <c r="CG19" s="276" t="str">
        <f t="shared" si="27"/>
        <v>-</v>
      </c>
      <c r="CH19" s="125">
        <v>0</v>
      </c>
      <c r="CI19" s="126">
        <v>0</v>
      </c>
      <c r="CJ19" s="276" t="str">
        <f t="shared" si="28"/>
        <v>-</v>
      </c>
      <c r="CK19" s="125">
        <v>0</v>
      </c>
      <c r="CL19" s="126">
        <v>0</v>
      </c>
      <c r="CM19" s="276" t="str">
        <f t="shared" si="29"/>
        <v>-</v>
      </c>
      <c r="CN19" s="117">
        <f t="shared" si="31"/>
        <v>68</v>
      </c>
      <c r="CO19" s="120">
        <f t="shared" si="32"/>
        <v>10</v>
      </c>
      <c r="CP19" s="147">
        <f t="shared" si="30"/>
        <v>6.8</v>
      </c>
    </row>
    <row r="20" spans="1:94" ht="15" thickBot="1" x14ac:dyDescent="0.35">
      <c r="A20" s="294">
        <v>45824</v>
      </c>
      <c r="B20" s="20">
        <v>0</v>
      </c>
      <c r="C20" s="21">
        <v>0</v>
      </c>
      <c r="D20" s="139" t="str">
        <f t="shared" si="0"/>
        <v>-</v>
      </c>
      <c r="E20" s="20">
        <v>0</v>
      </c>
      <c r="F20" s="21">
        <v>0</v>
      </c>
      <c r="G20" s="139" t="str">
        <f t="shared" si="1"/>
        <v>-</v>
      </c>
      <c r="H20" s="20">
        <v>0</v>
      </c>
      <c r="I20" s="21">
        <v>0</v>
      </c>
      <c r="J20" s="139" t="str">
        <f t="shared" si="2"/>
        <v>-</v>
      </c>
      <c r="K20" s="20">
        <v>0</v>
      </c>
      <c r="L20" s="21">
        <v>0</v>
      </c>
      <c r="M20" s="139" t="str">
        <f t="shared" si="3"/>
        <v>-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0</v>
      </c>
      <c r="U20" s="21">
        <v>0</v>
      </c>
      <c r="V20" s="139" t="str">
        <f t="shared" si="6"/>
        <v>-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0</v>
      </c>
      <c r="AD20" s="21">
        <v>0</v>
      </c>
      <c r="AE20" s="139" t="str">
        <f t="shared" si="9"/>
        <v>-</v>
      </c>
      <c r="AF20" s="20">
        <v>0</v>
      </c>
      <c r="AG20" s="21">
        <v>0</v>
      </c>
      <c r="AH20" s="139" t="str">
        <f t="shared" si="10"/>
        <v>-</v>
      </c>
      <c r="AI20" s="20">
        <v>0</v>
      </c>
      <c r="AJ20" s="21">
        <v>0</v>
      </c>
      <c r="AK20" s="139" t="str">
        <f t="shared" si="11"/>
        <v>-</v>
      </c>
      <c r="AL20" s="20">
        <v>0</v>
      </c>
      <c r="AM20" s="21">
        <v>0</v>
      </c>
      <c r="AN20" s="139" t="str">
        <f t="shared" si="12"/>
        <v>-</v>
      </c>
      <c r="AO20" s="20">
        <v>0</v>
      </c>
      <c r="AP20" s="21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14"/>
        <v>-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0</v>
      </c>
      <c r="BB20" s="21">
        <v>0</v>
      </c>
      <c r="BC20" s="139" t="str">
        <f t="shared" si="17"/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12</v>
      </c>
      <c r="BK20" s="253">
        <v>2</v>
      </c>
      <c r="BL20" s="276">
        <f t="shared" si="20"/>
        <v>6</v>
      </c>
      <c r="BM20" s="252">
        <v>0</v>
      </c>
      <c r="BN20" s="253">
        <v>0</v>
      </c>
      <c r="BO20" s="276" t="str">
        <f t="shared" si="21"/>
        <v>-</v>
      </c>
      <c r="BP20" s="302">
        <v>7</v>
      </c>
      <c r="BQ20" s="303">
        <v>1</v>
      </c>
      <c r="BR20" s="276">
        <f t="shared" si="22"/>
        <v>7</v>
      </c>
      <c r="BS20" s="257">
        <v>0</v>
      </c>
      <c r="BT20" s="253">
        <v>0</v>
      </c>
      <c r="BU20" s="276" t="str">
        <f t="shared" si="23"/>
        <v>-</v>
      </c>
      <c r="BV20" s="257">
        <v>6</v>
      </c>
      <c r="BW20" s="253">
        <v>1</v>
      </c>
      <c r="BX20" s="276">
        <f t="shared" si="24"/>
        <v>6</v>
      </c>
      <c r="BY20" s="257">
        <v>0</v>
      </c>
      <c r="BZ20" s="253">
        <v>0</v>
      </c>
      <c r="CA20" s="276" t="str">
        <f t="shared" si="25"/>
        <v>-</v>
      </c>
      <c r="CB20" s="257">
        <v>3</v>
      </c>
      <c r="CC20" s="253">
        <v>1</v>
      </c>
      <c r="CD20" s="276">
        <f t="shared" si="26"/>
        <v>3</v>
      </c>
      <c r="CE20" s="257">
        <v>40</v>
      </c>
      <c r="CF20" s="253">
        <v>6</v>
      </c>
      <c r="CG20" s="276">
        <f t="shared" si="27"/>
        <v>6.666666666666667</v>
      </c>
      <c r="CH20" s="257">
        <v>0</v>
      </c>
      <c r="CI20" s="253">
        <v>0</v>
      </c>
      <c r="CJ20" s="276" t="str">
        <f t="shared" si="28"/>
        <v>-</v>
      </c>
      <c r="CK20" s="257">
        <v>0</v>
      </c>
      <c r="CL20" s="253">
        <v>0</v>
      </c>
      <c r="CM20" s="276" t="str">
        <f t="shared" si="29"/>
        <v>-</v>
      </c>
      <c r="CN20" s="117">
        <f t="shared" si="31"/>
        <v>68</v>
      </c>
      <c r="CO20" s="120">
        <f t="shared" si="32"/>
        <v>10</v>
      </c>
      <c r="CP20" s="147">
        <f t="shared" si="30"/>
        <v>6.8</v>
      </c>
    </row>
    <row r="21" spans="1:94" ht="15" thickBot="1" x14ac:dyDescent="0.35">
      <c r="A21" s="294">
        <v>45825</v>
      </c>
      <c r="B21" s="20">
        <v>0</v>
      </c>
      <c r="C21" s="21">
        <v>0</v>
      </c>
      <c r="D21" s="139" t="str">
        <f t="shared" si="0"/>
        <v>-</v>
      </c>
      <c r="E21" s="20">
        <v>6</v>
      </c>
      <c r="F21" s="21">
        <v>1</v>
      </c>
      <c r="G21" s="139">
        <f t="shared" si="1"/>
        <v>6</v>
      </c>
      <c r="H21" s="20">
        <v>36</v>
      </c>
      <c r="I21" s="21">
        <v>12</v>
      </c>
      <c r="J21" s="139">
        <f t="shared" si="2"/>
        <v>3</v>
      </c>
      <c r="K21" s="20">
        <v>8</v>
      </c>
      <c r="L21" s="21">
        <v>1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125">
        <v>77</v>
      </c>
      <c r="R21" s="126">
        <v>22</v>
      </c>
      <c r="S21" s="139">
        <f t="shared" si="5"/>
        <v>3.5</v>
      </c>
      <c r="T21" s="125">
        <v>0</v>
      </c>
      <c r="U21" s="126">
        <v>0</v>
      </c>
      <c r="V21" s="139" t="str">
        <f t="shared" si="6"/>
        <v>-</v>
      </c>
      <c r="W21" s="125">
        <v>0</v>
      </c>
      <c r="X21" s="126">
        <v>0</v>
      </c>
      <c r="Y21" s="139" t="str">
        <f t="shared" si="7"/>
        <v>-</v>
      </c>
      <c r="Z21" s="125">
        <v>60</v>
      </c>
      <c r="AA21" s="126">
        <v>12</v>
      </c>
      <c r="AB21" s="139">
        <f t="shared" si="8"/>
        <v>5</v>
      </c>
      <c r="AC21" s="20">
        <v>0</v>
      </c>
      <c r="AD21" s="21">
        <v>0</v>
      </c>
      <c r="AE21" s="139" t="str">
        <f t="shared" si="9"/>
        <v>-</v>
      </c>
      <c r="AF21" s="20">
        <v>0</v>
      </c>
      <c r="AG21" s="21">
        <v>0</v>
      </c>
      <c r="AH21" s="139" t="str">
        <f t="shared" si="10"/>
        <v>-</v>
      </c>
      <c r="AI21" s="20">
        <v>0</v>
      </c>
      <c r="AJ21" s="21">
        <v>0</v>
      </c>
      <c r="AK21" s="139" t="str">
        <f t="shared" si="11"/>
        <v>-</v>
      </c>
      <c r="AL21" s="20">
        <v>0</v>
      </c>
      <c r="AM21" s="21">
        <v>0</v>
      </c>
      <c r="AN21" s="139" t="str">
        <f t="shared" si="12"/>
        <v>-</v>
      </c>
      <c r="AO21" s="20">
        <v>0</v>
      </c>
      <c r="AP21" s="21">
        <v>0</v>
      </c>
      <c r="AQ21" s="139" t="str">
        <f t="shared" si="13"/>
        <v>-</v>
      </c>
      <c r="AR21" s="20">
        <v>0</v>
      </c>
      <c r="AS21" s="21">
        <v>0</v>
      </c>
      <c r="AT21" s="139" t="str">
        <f t="shared" si="14"/>
        <v>-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125">
        <v>0</v>
      </c>
      <c r="BH21" s="126">
        <v>0</v>
      </c>
      <c r="BI21" s="139" t="str">
        <f t="shared" si="19"/>
        <v>-</v>
      </c>
      <c r="BJ21" s="252">
        <v>14</v>
      </c>
      <c r="BK21" s="253">
        <v>2</v>
      </c>
      <c r="BL21" s="139">
        <f t="shared" si="20"/>
        <v>7</v>
      </c>
      <c r="BM21" s="252">
        <v>0</v>
      </c>
      <c r="BN21" s="253">
        <v>0</v>
      </c>
      <c r="BO21" s="139" t="str">
        <f t="shared" si="21"/>
        <v>-</v>
      </c>
      <c r="BP21" s="302">
        <v>0</v>
      </c>
      <c r="BQ21" s="303">
        <v>0</v>
      </c>
      <c r="BR21" s="139" t="str">
        <f t="shared" si="22"/>
        <v>-</v>
      </c>
      <c r="BS21" s="257">
        <v>0</v>
      </c>
      <c r="BT21" s="253">
        <v>0</v>
      </c>
      <c r="BU21" s="139" t="str">
        <f t="shared" si="23"/>
        <v>-</v>
      </c>
      <c r="BV21" s="257">
        <v>0</v>
      </c>
      <c r="BW21" s="253">
        <v>0</v>
      </c>
      <c r="BX21" s="139" t="str">
        <f t="shared" si="24"/>
        <v>-</v>
      </c>
      <c r="BY21" s="257">
        <v>0</v>
      </c>
      <c r="BZ21" s="253">
        <v>0</v>
      </c>
      <c r="CA21" s="139" t="str">
        <f t="shared" si="25"/>
        <v>-</v>
      </c>
      <c r="CB21" s="257">
        <v>0</v>
      </c>
      <c r="CC21" s="253">
        <v>0</v>
      </c>
      <c r="CD21" s="139" t="str">
        <f t="shared" si="26"/>
        <v>-</v>
      </c>
      <c r="CE21" s="125">
        <v>20</v>
      </c>
      <c r="CF21" s="126">
        <v>3</v>
      </c>
      <c r="CG21" s="276">
        <f t="shared" si="27"/>
        <v>6.666666666666667</v>
      </c>
      <c r="CH21" s="20">
        <v>0</v>
      </c>
      <c r="CI21" s="21">
        <v>0</v>
      </c>
      <c r="CJ21" s="139" t="str">
        <f t="shared" si="28"/>
        <v>-</v>
      </c>
      <c r="CK21" s="125">
        <v>0</v>
      </c>
      <c r="CL21" s="126">
        <v>0</v>
      </c>
      <c r="CM21" s="276" t="str">
        <f t="shared" si="29"/>
        <v>-</v>
      </c>
      <c r="CN21" s="117">
        <f t="shared" si="31"/>
        <v>221</v>
      </c>
      <c r="CO21" s="120">
        <f t="shared" si="32"/>
        <v>53</v>
      </c>
      <c r="CP21" s="147">
        <f t="shared" si="30"/>
        <v>4.1698113207547172</v>
      </c>
    </row>
    <row r="22" spans="1:94" ht="15" thickBot="1" x14ac:dyDescent="0.35">
      <c r="A22" s="294">
        <v>45826</v>
      </c>
      <c r="B22" s="20">
        <v>54</v>
      </c>
      <c r="C22" s="21">
        <v>7</v>
      </c>
      <c r="D22" s="139">
        <f t="shared" si="0"/>
        <v>7.7142857142857144</v>
      </c>
      <c r="E22" s="20">
        <v>13</v>
      </c>
      <c r="F22" s="21">
        <v>2</v>
      </c>
      <c r="G22" s="139">
        <f t="shared" si="1"/>
        <v>6.5</v>
      </c>
      <c r="H22" s="20">
        <v>6</v>
      </c>
      <c r="I22" s="21">
        <v>2</v>
      </c>
      <c r="J22" s="139">
        <f t="shared" si="2"/>
        <v>3</v>
      </c>
      <c r="K22" s="20">
        <v>6</v>
      </c>
      <c r="L22" s="21">
        <v>1</v>
      </c>
      <c r="M22" s="139">
        <f t="shared" si="3"/>
        <v>6</v>
      </c>
      <c r="N22" s="20">
        <v>0</v>
      </c>
      <c r="O22" s="21">
        <v>0</v>
      </c>
      <c r="P22" s="139" t="str">
        <f t="shared" si="4"/>
        <v>-</v>
      </c>
      <c r="Q22" s="20">
        <v>65</v>
      </c>
      <c r="R22" s="21">
        <v>17</v>
      </c>
      <c r="S22" s="139">
        <f t="shared" si="5"/>
        <v>3.8235294117647061</v>
      </c>
      <c r="T22" s="20">
        <v>0</v>
      </c>
      <c r="U22" s="21">
        <v>0</v>
      </c>
      <c r="V22" s="139" t="str">
        <f t="shared" si="6"/>
        <v>-</v>
      </c>
      <c r="W22" s="20">
        <v>0</v>
      </c>
      <c r="X22" s="21">
        <v>0</v>
      </c>
      <c r="Y22" s="139" t="str">
        <f t="shared" si="7"/>
        <v>-</v>
      </c>
      <c r="Z22" s="20">
        <v>60</v>
      </c>
      <c r="AA22" s="21">
        <v>10</v>
      </c>
      <c r="AB22" s="139">
        <f t="shared" si="8"/>
        <v>6</v>
      </c>
      <c r="AC22" s="20">
        <v>0</v>
      </c>
      <c r="AD22" s="21">
        <v>0</v>
      </c>
      <c r="AE22" s="139" t="str">
        <f t="shared" si="9"/>
        <v>-</v>
      </c>
      <c r="AF22" s="20">
        <v>0</v>
      </c>
      <c r="AG22" s="21">
        <v>0</v>
      </c>
      <c r="AH22" s="139" t="str">
        <f t="shared" si="10"/>
        <v>-</v>
      </c>
      <c r="AI22" s="20">
        <v>0</v>
      </c>
      <c r="AJ22" s="21">
        <v>0</v>
      </c>
      <c r="AK22" s="139" t="str">
        <f t="shared" si="11"/>
        <v>-</v>
      </c>
      <c r="AL22" s="20">
        <v>0</v>
      </c>
      <c r="AM22" s="21">
        <v>0</v>
      </c>
      <c r="AN22" s="139" t="str">
        <f t="shared" si="12"/>
        <v>-</v>
      </c>
      <c r="AO22" s="20">
        <v>0</v>
      </c>
      <c r="AP22" s="21">
        <v>0</v>
      </c>
      <c r="AQ22" s="139" t="str">
        <f t="shared" si="13"/>
        <v>-</v>
      </c>
      <c r="AR22" s="20">
        <v>0</v>
      </c>
      <c r="AS22" s="21">
        <v>0</v>
      </c>
      <c r="AT22" s="139" t="str">
        <f t="shared" si="14"/>
        <v>-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 t="str">
        <f t="shared" si="16"/>
        <v>-</v>
      </c>
      <c r="BA22" s="20">
        <v>0</v>
      </c>
      <c r="BB22" s="21">
        <v>0</v>
      </c>
      <c r="BC22" s="139" t="str">
        <f t="shared" si="17"/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252">
        <v>13</v>
      </c>
      <c r="BK22" s="253">
        <v>2</v>
      </c>
      <c r="BL22" s="139">
        <f t="shared" si="20"/>
        <v>6.5</v>
      </c>
      <c r="BM22" s="252">
        <v>0</v>
      </c>
      <c r="BN22" s="253">
        <v>0</v>
      </c>
      <c r="BO22" s="139" t="str">
        <f t="shared" si="21"/>
        <v>-</v>
      </c>
      <c r="BP22" s="302">
        <v>0</v>
      </c>
      <c r="BQ22" s="303">
        <v>0</v>
      </c>
      <c r="BR22" s="139" t="str">
        <f t="shared" si="22"/>
        <v>-</v>
      </c>
      <c r="BS22" s="257">
        <v>0</v>
      </c>
      <c r="BT22" s="253">
        <v>0</v>
      </c>
      <c r="BU22" s="276" t="str">
        <f t="shared" si="23"/>
        <v>-</v>
      </c>
      <c r="BV22" s="125">
        <v>9</v>
      </c>
      <c r="BW22" s="126">
        <v>2</v>
      </c>
      <c r="BX22" s="139">
        <f t="shared" si="24"/>
        <v>4.5</v>
      </c>
      <c r="BY22" s="125">
        <v>0</v>
      </c>
      <c r="BZ22" s="126">
        <v>0</v>
      </c>
      <c r="CA22" s="139" t="str">
        <f t="shared" si="25"/>
        <v>-</v>
      </c>
      <c r="CB22" s="125">
        <v>0</v>
      </c>
      <c r="CC22" s="126">
        <v>0</v>
      </c>
      <c r="CD22" s="139" t="str">
        <f t="shared" si="26"/>
        <v>-</v>
      </c>
      <c r="CE22" s="257">
        <v>88</v>
      </c>
      <c r="CF22" s="253">
        <v>13</v>
      </c>
      <c r="CG22" s="276">
        <f t="shared" si="27"/>
        <v>6.7692307692307692</v>
      </c>
      <c r="CH22" s="257">
        <v>0</v>
      </c>
      <c r="CI22" s="253">
        <v>0</v>
      </c>
      <c r="CJ22" s="276" t="str">
        <f t="shared" si="28"/>
        <v>-</v>
      </c>
      <c r="CK22" s="257">
        <v>0</v>
      </c>
      <c r="CL22" s="253">
        <v>0</v>
      </c>
      <c r="CM22" s="276" t="str">
        <f t="shared" si="29"/>
        <v>-</v>
      </c>
      <c r="CN22" s="117">
        <f t="shared" si="31"/>
        <v>314</v>
      </c>
      <c r="CO22" s="120">
        <f t="shared" si="32"/>
        <v>54</v>
      </c>
      <c r="CP22" s="147">
        <f t="shared" si="30"/>
        <v>5.8148148148148149</v>
      </c>
    </row>
    <row r="23" spans="1:94" ht="15" thickBot="1" x14ac:dyDescent="0.35">
      <c r="A23" s="294">
        <v>45827</v>
      </c>
      <c r="B23" s="20">
        <v>40</v>
      </c>
      <c r="C23" s="21">
        <v>6</v>
      </c>
      <c r="D23" s="139">
        <f t="shared" si="0"/>
        <v>6.666666666666667</v>
      </c>
      <c r="E23" s="20">
        <v>6</v>
      </c>
      <c r="F23" s="21">
        <v>1</v>
      </c>
      <c r="G23" s="139">
        <f t="shared" si="1"/>
        <v>6</v>
      </c>
      <c r="H23" s="20">
        <v>0</v>
      </c>
      <c r="I23" s="21">
        <v>0</v>
      </c>
      <c r="J23" s="139" t="str">
        <f t="shared" si="2"/>
        <v>-</v>
      </c>
      <c r="K23" s="20">
        <v>32</v>
      </c>
      <c r="L23" s="21">
        <v>4</v>
      </c>
      <c r="M23" s="139">
        <f t="shared" si="3"/>
        <v>8</v>
      </c>
      <c r="N23" s="20">
        <v>0</v>
      </c>
      <c r="O23" s="21">
        <v>0</v>
      </c>
      <c r="P23" s="139" t="str">
        <f t="shared" si="4"/>
        <v>-</v>
      </c>
      <c r="Q23" s="20">
        <v>121</v>
      </c>
      <c r="R23" s="21">
        <v>28</v>
      </c>
      <c r="S23" s="139">
        <f t="shared" si="5"/>
        <v>4.3214285714285712</v>
      </c>
      <c r="T23" s="20">
        <v>0</v>
      </c>
      <c r="U23" s="21">
        <v>0</v>
      </c>
      <c r="V23" s="139" t="str">
        <f t="shared" si="6"/>
        <v>-</v>
      </c>
      <c r="W23" s="20">
        <v>0</v>
      </c>
      <c r="X23" s="21">
        <v>0</v>
      </c>
      <c r="Y23" s="139" t="str">
        <f t="shared" si="7"/>
        <v>-</v>
      </c>
      <c r="Z23" s="20">
        <v>60</v>
      </c>
      <c r="AA23" s="21">
        <v>10</v>
      </c>
      <c r="AB23" s="139">
        <f t="shared" si="8"/>
        <v>6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0</v>
      </c>
      <c r="AJ23" s="21">
        <v>0</v>
      </c>
      <c r="AK23" s="139" t="str">
        <f t="shared" si="11"/>
        <v>-</v>
      </c>
      <c r="AL23" s="20">
        <v>0</v>
      </c>
      <c r="AM23" s="21">
        <v>0</v>
      </c>
      <c r="AN23" s="139" t="str">
        <f t="shared" si="12"/>
        <v>-</v>
      </c>
      <c r="AO23" s="20">
        <v>0</v>
      </c>
      <c r="AP23" s="21">
        <v>0</v>
      </c>
      <c r="AQ23" s="139" t="str">
        <f t="shared" si="13"/>
        <v>-</v>
      </c>
      <c r="AR23" s="20">
        <v>0</v>
      </c>
      <c r="AS23" s="21">
        <v>0</v>
      </c>
      <c r="AT23" s="139" t="str">
        <f t="shared" si="14"/>
        <v>-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16"/>
        <v>-</v>
      </c>
      <c r="BA23" s="20">
        <v>0</v>
      </c>
      <c r="BB23" s="21">
        <v>0</v>
      </c>
      <c r="BC23" s="139" t="str">
        <f t="shared" si="17"/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52">
        <v>6</v>
      </c>
      <c r="BK23" s="253">
        <v>1</v>
      </c>
      <c r="BL23" s="276">
        <f t="shared" si="20"/>
        <v>6</v>
      </c>
      <c r="BM23" s="252">
        <v>0</v>
      </c>
      <c r="BN23" s="253">
        <v>0</v>
      </c>
      <c r="BO23" s="276" t="str">
        <f t="shared" si="21"/>
        <v>-</v>
      </c>
      <c r="BP23" s="302">
        <v>0</v>
      </c>
      <c r="BQ23" s="303">
        <v>0</v>
      </c>
      <c r="BR23" s="276" t="str">
        <f t="shared" si="22"/>
        <v>-</v>
      </c>
      <c r="BS23" s="257">
        <v>0</v>
      </c>
      <c r="BT23" s="253">
        <v>0</v>
      </c>
      <c r="BU23" s="276" t="str">
        <f t="shared" si="23"/>
        <v>-</v>
      </c>
      <c r="BV23" s="257">
        <v>3</v>
      </c>
      <c r="BW23" s="253">
        <v>1</v>
      </c>
      <c r="BX23" s="276">
        <f t="shared" si="24"/>
        <v>3</v>
      </c>
      <c r="BY23" s="257">
        <v>0</v>
      </c>
      <c r="BZ23" s="253">
        <v>0</v>
      </c>
      <c r="CA23" s="276" t="str">
        <f t="shared" si="25"/>
        <v>-</v>
      </c>
      <c r="CB23" s="257">
        <v>0</v>
      </c>
      <c r="CC23" s="253">
        <v>0</v>
      </c>
      <c r="CD23" s="276" t="str">
        <f t="shared" si="26"/>
        <v>-</v>
      </c>
      <c r="CE23" s="257">
        <v>12</v>
      </c>
      <c r="CF23" s="253">
        <v>2</v>
      </c>
      <c r="CG23" s="276">
        <f t="shared" si="27"/>
        <v>6</v>
      </c>
      <c r="CH23" s="257">
        <v>0</v>
      </c>
      <c r="CI23" s="253">
        <v>0</v>
      </c>
      <c r="CJ23" s="276" t="str">
        <f t="shared" si="28"/>
        <v>-</v>
      </c>
      <c r="CK23" s="257">
        <v>0</v>
      </c>
      <c r="CL23" s="253">
        <v>0</v>
      </c>
      <c r="CM23" s="276" t="str">
        <f t="shared" si="29"/>
        <v>-</v>
      </c>
      <c r="CN23" s="117">
        <f t="shared" si="31"/>
        <v>280</v>
      </c>
      <c r="CO23" s="120">
        <f t="shared" si="32"/>
        <v>52</v>
      </c>
      <c r="CP23" s="147">
        <f t="shared" si="30"/>
        <v>5.384615384615385</v>
      </c>
    </row>
    <row r="24" spans="1:94" ht="15" thickBot="1" x14ac:dyDescent="0.35">
      <c r="A24" s="294">
        <v>45828</v>
      </c>
      <c r="B24" s="20">
        <v>38</v>
      </c>
      <c r="C24" s="21">
        <v>5</v>
      </c>
      <c r="D24" s="139">
        <f t="shared" si="0"/>
        <v>7.6</v>
      </c>
      <c r="E24" s="20">
        <v>0</v>
      </c>
      <c r="F24" s="21">
        <v>0</v>
      </c>
      <c r="G24" s="139" t="str">
        <f t="shared" si="1"/>
        <v>-</v>
      </c>
      <c r="H24" s="20">
        <v>0</v>
      </c>
      <c r="I24" s="21">
        <v>0</v>
      </c>
      <c r="J24" s="139" t="str">
        <f t="shared" si="2"/>
        <v>-</v>
      </c>
      <c r="K24" s="20">
        <v>0</v>
      </c>
      <c r="L24" s="21">
        <v>0</v>
      </c>
      <c r="M24" s="139" t="str">
        <f t="shared" si="3"/>
        <v>-</v>
      </c>
      <c r="N24" s="20">
        <v>0</v>
      </c>
      <c r="O24" s="21">
        <v>0</v>
      </c>
      <c r="P24" s="139" t="str">
        <f t="shared" si="4"/>
        <v>-</v>
      </c>
      <c r="Q24" s="20">
        <v>45</v>
      </c>
      <c r="R24" s="21">
        <v>12</v>
      </c>
      <c r="S24" s="139">
        <f t="shared" si="5"/>
        <v>3.75</v>
      </c>
      <c r="T24" s="20">
        <v>0</v>
      </c>
      <c r="U24" s="21">
        <v>0</v>
      </c>
      <c r="V24" s="139" t="str">
        <f t="shared" si="6"/>
        <v>-</v>
      </c>
      <c r="W24" s="20">
        <v>0</v>
      </c>
      <c r="X24" s="21">
        <v>0</v>
      </c>
      <c r="Y24" s="139" t="str">
        <f t="shared" si="7"/>
        <v>-</v>
      </c>
      <c r="Z24" s="20">
        <v>60</v>
      </c>
      <c r="AA24" s="21">
        <v>10</v>
      </c>
      <c r="AB24" s="139">
        <f t="shared" si="8"/>
        <v>6</v>
      </c>
      <c r="AC24" s="20">
        <v>0</v>
      </c>
      <c r="AD24" s="21">
        <v>0</v>
      </c>
      <c r="AE24" s="139" t="str">
        <f t="shared" si="9"/>
        <v>-</v>
      </c>
      <c r="AF24" s="20">
        <v>0</v>
      </c>
      <c r="AG24" s="21">
        <v>0</v>
      </c>
      <c r="AH24" s="139" t="str">
        <f t="shared" si="10"/>
        <v>-</v>
      </c>
      <c r="AI24" s="20">
        <v>0</v>
      </c>
      <c r="AJ24" s="21">
        <v>0</v>
      </c>
      <c r="AK24" s="139" t="str">
        <f t="shared" si="11"/>
        <v>-</v>
      </c>
      <c r="AL24" s="20">
        <v>0</v>
      </c>
      <c r="AM24" s="21">
        <v>0</v>
      </c>
      <c r="AN24" s="139" t="str">
        <f t="shared" si="12"/>
        <v>-</v>
      </c>
      <c r="AO24" s="20">
        <v>0</v>
      </c>
      <c r="AP24" s="21">
        <v>0</v>
      </c>
      <c r="AQ24" s="139" t="str">
        <f t="shared" si="13"/>
        <v>-</v>
      </c>
      <c r="AR24" s="20">
        <v>10</v>
      </c>
      <c r="AS24" s="21">
        <v>2</v>
      </c>
      <c r="AT24" s="139">
        <f t="shared" si="14"/>
        <v>5</v>
      </c>
      <c r="AU24" s="20">
        <v>0</v>
      </c>
      <c r="AV24" s="21">
        <v>0</v>
      </c>
      <c r="AW24" s="139" t="str">
        <f t="shared" si="15"/>
        <v>-</v>
      </c>
      <c r="AX24" s="20">
        <v>4</v>
      </c>
      <c r="AY24" s="21">
        <v>1</v>
      </c>
      <c r="AZ24" s="139">
        <f t="shared" si="16"/>
        <v>4</v>
      </c>
      <c r="BA24" s="20">
        <v>0</v>
      </c>
      <c r="BB24" s="21">
        <v>0</v>
      </c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52">
        <v>6</v>
      </c>
      <c r="BK24" s="253">
        <v>1</v>
      </c>
      <c r="BL24" s="276">
        <f t="shared" si="20"/>
        <v>6</v>
      </c>
      <c r="BM24" s="252">
        <v>0</v>
      </c>
      <c r="BN24" s="253">
        <v>0</v>
      </c>
      <c r="BO24" s="276" t="str">
        <f t="shared" si="21"/>
        <v>-</v>
      </c>
      <c r="BP24" s="302">
        <v>7</v>
      </c>
      <c r="BQ24" s="303">
        <v>1</v>
      </c>
      <c r="BR24" s="276">
        <f t="shared" si="22"/>
        <v>7</v>
      </c>
      <c r="BS24" s="256">
        <v>0</v>
      </c>
      <c r="BT24" s="253">
        <v>0</v>
      </c>
      <c r="BU24" s="276" t="str">
        <f t="shared" si="23"/>
        <v>-</v>
      </c>
      <c r="BV24" s="257">
        <v>1</v>
      </c>
      <c r="BW24" s="253">
        <v>1</v>
      </c>
      <c r="BX24" s="276">
        <f t="shared" si="24"/>
        <v>1</v>
      </c>
      <c r="BY24" s="257">
        <v>0</v>
      </c>
      <c r="BZ24" s="253">
        <v>0</v>
      </c>
      <c r="CA24" s="276" t="str">
        <f t="shared" si="25"/>
        <v>-</v>
      </c>
      <c r="CB24" s="257">
        <v>0</v>
      </c>
      <c r="CC24" s="253">
        <v>0</v>
      </c>
      <c r="CD24" s="276" t="str">
        <f t="shared" si="26"/>
        <v>-</v>
      </c>
      <c r="CE24" s="257">
        <v>0</v>
      </c>
      <c r="CF24" s="253">
        <v>0</v>
      </c>
      <c r="CG24" s="276" t="str">
        <f t="shared" si="27"/>
        <v>-</v>
      </c>
      <c r="CH24" s="257">
        <v>0</v>
      </c>
      <c r="CI24" s="253">
        <v>0</v>
      </c>
      <c r="CJ24" s="276" t="str">
        <f t="shared" si="28"/>
        <v>-</v>
      </c>
      <c r="CK24" s="257">
        <v>0</v>
      </c>
      <c r="CL24" s="253">
        <v>0</v>
      </c>
      <c r="CM24" s="276" t="str">
        <f t="shared" si="29"/>
        <v>-</v>
      </c>
      <c r="CN24" s="117">
        <f t="shared" si="31"/>
        <v>171</v>
      </c>
      <c r="CO24" s="120">
        <f t="shared" si="32"/>
        <v>32</v>
      </c>
      <c r="CP24" s="147">
        <f t="shared" si="30"/>
        <v>5.34375</v>
      </c>
    </row>
    <row r="25" spans="1:94" ht="15" thickBot="1" x14ac:dyDescent="0.35">
      <c r="A25" s="294">
        <v>45829</v>
      </c>
      <c r="B25" s="20">
        <v>44</v>
      </c>
      <c r="C25" s="21">
        <v>5</v>
      </c>
      <c r="D25" s="139">
        <f t="shared" si="0"/>
        <v>8.8000000000000007</v>
      </c>
      <c r="E25" s="20">
        <v>0</v>
      </c>
      <c r="F25" s="21">
        <v>0</v>
      </c>
      <c r="G25" s="139" t="str">
        <f t="shared" si="1"/>
        <v>-</v>
      </c>
      <c r="H25" s="20">
        <v>0</v>
      </c>
      <c r="I25" s="21">
        <v>0</v>
      </c>
      <c r="J25" s="139" t="str">
        <f t="shared" si="2"/>
        <v>-</v>
      </c>
      <c r="K25" s="20">
        <v>39</v>
      </c>
      <c r="L25" s="21">
        <v>4</v>
      </c>
      <c r="M25" s="139">
        <f t="shared" si="3"/>
        <v>9.75</v>
      </c>
      <c r="N25" s="125">
        <v>0</v>
      </c>
      <c r="O25" s="126">
        <v>0</v>
      </c>
      <c r="P25" s="139" t="str">
        <f t="shared" si="4"/>
        <v>-</v>
      </c>
      <c r="Q25" s="20">
        <v>0</v>
      </c>
      <c r="R25" s="21">
        <v>0</v>
      </c>
      <c r="S25" s="139" t="str">
        <f t="shared" si="5"/>
        <v>-</v>
      </c>
      <c r="T25" s="20">
        <v>0</v>
      </c>
      <c r="U25" s="21">
        <v>0</v>
      </c>
      <c r="V25" s="139" t="str">
        <f t="shared" si="6"/>
        <v>-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9"/>
        <v>-</v>
      </c>
      <c r="AF25" s="20">
        <v>0</v>
      </c>
      <c r="AG25" s="21">
        <v>0</v>
      </c>
      <c r="AH25" s="139" t="str">
        <f t="shared" si="10"/>
        <v>-</v>
      </c>
      <c r="AI25" s="20">
        <v>0</v>
      </c>
      <c r="AJ25" s="21">
        <v>0</v>
      </c>
      <c r="AK25" s="139" t="str">
        <f t="shared" si="11"/>
        <v>-</v>
      </c>
      <c r="AL25" s="20">
        <v>0</v>
      </c>
      <c r="AM25" s="21">
        <v>0</v>
      </c>
      <c r="AN25" s="139" t="str">
        <f t="shared" si="12"/>
        <v>-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si="14"/>
        <v>-</v>
      </c>
      <c r="AU25" s="20">
        <v>0</v>
      </c>
      <c r="AV25" s="21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>
        <v>0</v>
      </c>
      <c r="BB25" s="21">
        <v>0</v>
      </c>
      <c r="BC25" s="139" t="str">
        <f t="shared" si="17"/>
        <v>-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52">
        <v>40</v>
      </c>
      <c r="BK25" s="253">
        <v>6</v>
      </c>
      <c r="BL25" s="276">
        <f t="shared" si="20"/>
        <v>6.666666666666667</v>
      </c>
      <c r="BM25" s="252">
        <v>7</v>
      </c>
      <c r="BN25" s="253">
        <v>1</v>
      </c>
      <c r="BO25" s="276">
        <f t="shared" si="21"/>
        <v>7</v>
      </c>
      <c r="BP25" s="302">
        <v>28</v>
      </c>
      <c r="BQ25" s="303">
        <v>4</v>
      </c>
      <c r="BR25" s="276">
        <f t="shared" si="22"/>
        <v>7</v>
      </c>
      <c r="BS25" s="257">
        <v>0</v>
      </c>
      <c r="BT25" s="253">
        <v>0</v>
      </c>
      <c r="BU25" s="276" t="str">
        <f t="shared" si="23"/>
        <v>-</v>
      </c>
      <c r="BV25" s="257">
        <v>0</v>
      </c>
      <c r="BW25" s="253">
        <v>0</v>
      </c>
      <c r="BX25" s="276" t="str">
        <f t="shared" si="24"/>
        <v>-</v>
      </c>
      <c r="BY25" s="257">
        <v>0</v>
      </c>
      <c r="BZ25" s="253">
        <v>0</v>
      </c>
      <c r="CA25" s="276" t="str">
        <f t="shared" si="25"/>
        <v>-</v>
      </c>
      <c r="CB25" s="257">
        <v>0</v>
      </c>
      <c r="CC25" s="253">
        <v>0</v>
      </c>
      <c r="CD25" s="276" t="str">
        <f t="shared" si="26"/>
        <v>-</v>
      </c>
      <c r="CE25" s="257">
        <v>0</v>
      </c>
      <c r="CF25" s="253">
        <v>0</v>
      </c>
      <c r="CG25" s="276" t="str">
        <f t="shared" si="27"/>
        <v>-</v>
      </c>
      <c r="CH25" s="257">
        <v>0</v>
      </c>
      <c r="CI25" s="253">
        <v>0</v>
      </c>
      <c r="CJ25" s="276" t="str">
        <f t="shared" si="28"/>
        <v>-</v>
      </c>
      <c r="CK25" s="257">
        <v>0</v>
      </c>
      <c r="CL25" s="253">
        <v>0</v>
      </c>
      <c r="CM25" s="276" t="str">
        <f t="shared" si="29"/>
        <v>-</v>
      </c>
      <c r="CN25" s="117">
        <f t="shared" si="31"/>
        <v>158</v>
      </c>
      <c r="CO25" s="120">
        <f t="shared" si="32"/>
        <v>20</v>
      </c>
      <c r="CP25" s="147">
        <f t="shared" si="30"/>
        <v>7.9</v>
      </c>
    </row>
    <row r="26" spans="1:94" ht="15" thickBot="1" x14ac:dyDescent="0.35">
      <c r="A26" s="294">
        <v>45830</v>
      </c>
      <c r="B26" s="20">
        <v>0</v>
      </c>
      <c r="C26" s="21">
        <v>0</v>
      </c>
      <c r="D26" s="139" t="str">
        <f t="shared" si="0"/>
        <v>-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2"/>
        <v>-</v>
      </c>
      <c r="K26" s="20">
        <v>0</v>
      </c>
      <c r="L26" s="21">
        <v>0</v>
      </c>
      <c r="M26" s="139" t="str">
        <f t="shared" si="3"/>
        <v>-</v>
      </c>
      <c r="N26" s="125">
        <v>0</v>
      </c>
      <c r="O26" s="126">
        <v>0</v>
      </c>
      <c r="P26" s="139" t="str">
        <f t="shared" si="4"/>
        <v>-</v>
      </c>
      <c r="Q26" s="125">
        <v>0</v>
      </c>
      <c r="R26" s="126">
        <v>0</v>
      </c>
      <c r="S26" s="139" t="str">
        <f t="shared" si="5"/>
        <v>-</v>
      </c>
      <c r="T26" s="20">
        <v>0</v>
      </c>
      <c r="U26" s="21">
        <v>0</v>
      </c>
      <c r="V26" s="139" t="str">
        <f t="shared" si="6"/>
        <v>-</v>
      </c>
      <c r="W26" s="20">
        <v>0</v>
      </c>
      <c r="X26" s="21">
        <v>0</v>
      </c>
      <c r="Y26" s="139" t="str">
        <f t="shared" si="7"/>
        <v>-</v>
      </c>
      <c r="Z26" s="20">
        <v>0</v>
      </c>
      <c r="AA26" s="21">
        <v>0</v>
      </c>
      <c r="AB26" s="139" t="str">
        <f t="shared" si="8"/>
        <v>-</v>
      </c>
      <c r="AC26" s="125">
        <v>175</v>
      </c>
      <c r="AD26" s="126">
        <v>36</v>
      </c>
      <c r="AE26" s="139">
        <f t="shared" si="9"/>
        <v>4.8611111111111107</v>
      </c>
      <c r="AF26" s="20">
        <v>0</v>
      </c>
      <c r="AG26" s="21">
        <v>0</v>
      </c>
      <c r="AH26" s="139" t="str">
        <f t="shared" si="10"/>
        <v>-</v>
      </c>
      <c r="AI26" s="20">
        <v>0</v>
      </c>
      <c r="AJ26" s="21">
        <v>0</v>
      </c>
      <c r="AK26" s="139" t="str">
        <f t="shared" si="11"/>
        <v>-</v>
      </c>
      <c r="AL26" s="20">
        <v>0</v>
      </c>
      <c r="AM26" s="21">
        <v>0</v>
      </c>
      <c r="AN26" s="139" t="str">
        <f t="shared" si="12"/>
        <v>-</v>
      </c>
      <c r="AO26" s="20">
        <v>0</v>
      </c>
      <c r="AP26" s="21">
        <v>0</v>
      </c>
      <c r="AQ26" s="139" t="str">
        <f t="shared" si="13"/>
        <v>-</v>
      </c>
      <c r="AR26" s="20">
        <v>0</v>
      </c>
      <c r="AS26" s="21">
        <v>0</v>
      </c>
      <c r="AT26" s="139" t="str">
        <f t="shared" si="14"/>
        <v>-</v>
      </c>
      <c r="AU26" s="20">
        <v>0</v>
      </c>
      <c r="AV26" s="21">
        <v>0</v>
      </c>
      <c r="AW26" s="139" t="str">
        <f t="shared" si="15"/>
        <v>-</v>
      </c>
      <c r="AX26" s="20">
        <v>0</v>
      </c>
      <c r="AY26" s="21">
        <v>0</v>
      </c>
      <c r="AZ26" s="139" t="str">
        <f t="shared" si="16"/>
        <v>-</v>
      </c>
      <c r="BA26" s="20">
        <v>0</v>
      </c>
      <c r="BB26" s="21">
        <v>0</v>
      </c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125">
        <v>0</v>
      </c>
      <c r="BH26" s="126">
        <v>0</v>
      </c>
      <c r="BI26" s="139" t="str">
        <f t="shared" si="19"/>
        <v>-</v>
      </c>
      <c r="BJ26" s="252">
        <v>21</v>
      </c>
      <c r="BK26" s="253">
        <v>3</v>
      </c>
      <c r="BL26" s="276">
        <f t="shared" si="20"/>
        <v>7</v>
      </c>
      <c r="BM26" s="252">
        <v>0</v>
      </c>
      <c r="BN26" s="253">
        <v>0</v>
      </c>
      <c r="BO26" s="276" t="str">
        <f t="shared" si="21"/>
        <v>-</v>
      </c>
      <c r="BP26" s="302">
        <v>0</v>
      </c>
      <c r="BQ26" s="303">
        <v>0</v>
      </c>
      <c r="BR26" s="276" t="str">
        <f t="shared" si="22"/>
        <v>-</v>
      </c>
      <c r="BS26" s="257">
        <v>7</v>
      </c>
      <c r="BT26" s="253">
        <v>1</v>
      </c>
      <c r="BU26" s="276">
        <f t="shared" si="23"/>
        <v>7</v>
      </c>
      <c r="BV26" s="257">
        <v>3</v>
      </c>
      <c r="BW26" s="253">
        <v>2</v>
      </c>
      <c r="BX26" s="276">
        <f t="shared" si="24"/>
        <v>1.5</v>
      </c>
      <c r="BY26" s="257">
        <v>0</v>
      </c>
      <c r="BZ26" s="253">
        <v>0</v>
      </c>
      <c r="CA26" s="276" t="str">
        <f t="shared" si="25"/>
        <v>-</v>
      </c>
      <c r="CB26" s="257">
        <v>2</v>
      </c>
      <c r="CC26" s="253">
        <v>1</v>
      </c>
      <c r="CD26" s="276">
        <f t="shared" si="26"/>
        <v>2</v>
      </c>
      <c r="CE26" s="257">
        <v>28</v>
      </c>
      <c r="CF26" s="253">
        <v>4</v>
      </c>
      <c r="CG26" s="276">
        <f t="shared" si="27"/>
        <v>7</v>
      </c>
      <c r="CH26" s="257">
        <v>0</v>
      </c>
      <c r="CI26" s="253">
        <v>0</v>
      </c>
      <c r="CJ26" s="276" t="str">
        <f t="shared" si="28"/>
        <v>-</v>
      </c>
      <c r="CK26" s="257">
        <v>0</v>
      </c>
      <c r="CL26" s="253">
        <v>0</v>
      </c>
      <c r="CM26" s="276" t="str">
        <f t="shared" si="29"/>
        <v>-</v>
      </c>
      <c r="CN26" s="117">
        <f t="shared" si="31"/>
        <v>236</v>
      </c>
      <c r="CO26" s="120">
        <f t="shared" si="32"/>
        <v>45</v>
      </c>
      <c r="CP26" s="147">
        <f t="shared" si="30"/>
        <v>5.2444444444444445</v>
      </c>
    </row>
    <row r="27" spans="1:94" ht="15" thickBot="1" x14ac:dyDescent="0.35">
      <c r="A27" s="294">
        <v>45831</v>
      </c>
      <c r="B27" s="20">
        <v>24</v>
      </c>
      <c r="C27" s="21">
        <v>3</v>
      </c>
      <c r="D27" s="139">
        <f t="shared" si="0"/>
        <v>8</v>
      </c>
      <c r="E27" s="20">
        <v>14</v>
      </c>
      <c r="F27" s="21">
        <v>2</v>
      </c>
      <c r="G27" s="139">
        <f t="shared" si="1"/>
        <v>7</v>
      </c>
      <c r="H27" s="20">
        <v>0</v>
      </c>
      <c r="I27" s="21">
        <v>0</v>
      </c>
      <c r="J27" s="139" t="str">
        <f t="shared" si="2"/>
        <v>-</v>
      </c>
      <c r="K27" s="20">
        <v>23</v>
      </c>
      <c r="L27" s="21">
        <v>3</v>
      </c>
      <c r="M27" s="139">
        <f t="shared" si="3"/>
        <v>7.666666666666667</v>
      </c>
      <c r="N27" s="125">
        <v>0</v>
      </c>
      <c r="O27" s="126">
        <v>0</v>
      </c>
      <c r="P27" s="139" t="str">
        <f t="shared" si="4"/>
        <v>-</v>
      </c>
      <c r="Q27" s="125">
        <v>99</v>
      </c>
      <c r="R27" s="126">
        <v>21</v>
      </c>
      <c r="S27" s="139">
        <f t="shared" si="5"/>
        <v>4.7142857142857144</v>
      </c>
      <c r="T27" s="20">
        <v>0</v>
      </c>
      <c r="U27" s="21">
        <v>0</v>
      </c>
      <c r="V27" s="139" t="str">
        <f t="shared" si="6"/>
        <v>-</v>
      </c>
      <c r="W27" s="125">
        <v>0</v>
      </c>
      <c r="X27" s="126">
        <v>0</v>
      </c>
      <c r="Y27" s="139" t="str">
        <f t="shared" si="7"/>
        <v>-</v>
      </c>
      <c r="Z27" s="125">
        <v>30</v>
      </c>
      <c r="AA27" s="126">
        <v>5</v>
      </c>
      <c r="AB27" s="139">
        <f t="shared" si="8"/>
        <v>6</v>
      </c>
      <c r="AC27" s="125">
        <v>176</v>
      </c>
      <c r="AD27" s="126">
        <v>28</v>
      </c>
      <c r="AE27" s="139">
        <f t="shared" si="9"/>
        <v>6.2857142857142856</v>
      </c>
      <c r="AF27" s="125">
        <v>0</v>
      </c>
      <c r="AG27" s="126">
        <v>0</v>
      </c>
      <c r="AH27" s="139" t="str">
        <f t="shared" si="10"/>
        <v>-</v>
      </c>
      <c r="AI27" s="125">
        <v>0</v>
      </c>
      <c r="AJ27" s="126">
        <v>0</v>
      </c>
      <c r="AK27" s="139" t="str">
        <f t="shared" si="11"/>
        <v>-</v>
      </c>
      <c r="AL27" s="125">
        <v>0</v>
      </c>
      <c r="AM27" s="126">
        <v>0</v>
      </c>
      <c r="AN27" s="139" t="str">
        <f t="shared" si="12"/>
        <v>-</v>
      </c>
      <c r="AO27" s="125">
        <v>0</v>
      </c>
      <c r="AP27" s="126">
        <v>0</v>
      </c>
      <c r="AQ27" s="139" t="str">
        <f t="shared" si="13"/>
        <v>-</v>
      </c>
      <c r="AR27" s="125">
        <v>7</v>
      </c>
      <c r="AS27" s="126">
        <v>1</v>
      </c>
      <c r="AT27" s="139">
        <f t="shared" si="14"/>
        <v>7</v>
      </c>
      <c r="AU27" s="125">
        <v>0</v>
      </c>
      <c r="AV27" s="126">
        <v>0</v>
      </c>
      <c r="AW27" s="139" t="str">
        <f t="shared" si="15"/>
        <v>-</v>
      </c>
      <c r="AX27" s="125">
        <v>6</v>
      </c>
      <c r="AY27" s="126">
        <v>2</v>
      </c>
      <c r="AZ27" s="139">
        <f t="shared" si="16"/>
        <v>3</v>
      </c>
      <c r="BA27" s="20">
        <v>0</v>
      </c>
      <c r="BB27" s="21">
        <v>0</v>
      </c>
      <c r="BC27" s="139" t="str">
        <f t="shared" si="17"/>
        <v>-</v>
      </c>
      <c r="BD27" s="20">
        <v>0</v>
      </c>
      <c r="BE27" s="21">
        <v>0</v>
      </c>
      <c r="BF27" s="139" t="str">
        <f t="shared" si="18"/>
        <v>-</v>
      </c>
      <c r="BG27" s="125">
        <v>0</v>
      </c>
      <c r="BH27" s="126">
        <v>0</v>
      </c>
      <c r="BI27" s="139" t="str">
        <f t="shared" si="19"/>
        <v>-</v>
      </c>
      <c r="BJ27" s="252">
        <v>25</v>
      </c>
      <c r="BK27" s="253">
        <v>4</v>
      </c>
      <c r="BL27" s="276">
        <f t="shared" si="20"/>
        <v>6.25</v>
      </c>
      <c r="BM27" s="252">
        <v>0</v>
      </c>
      <c r="BN27" s="253">
        <v>0</v>
      </c>
      <c r="BO27" s="276" t="str">
        <f t="shared" si="21"/>
        <v>-</v>
      </c>
      <c r="BP27" s="302">
        <v>0</v>
      </c>
      <c r="BQ27" s="303">
        <v>0</v>
      </c>
      <c r="BR27" s="276" t="str">
        <f t="shared" si="22"/>
        <v>-</v>
      </c>
      <c r="BS27" s="257">
        <v>0</v>
      </c>
      <c r="BT27" s="253">
        <v>0</v>
      </c>
      <c r="BU27" s="276" t="str">
        <f t="shared" si="23"/>
        <v>-</v>
      </c>
      <c r="BV27" s="257">
        <v>2</v>
      </c>
      <c r="BW27" s="253">
        <v>1</v>
      </c>
      <c r="BX27" s="276">
        <f t="shared" si="24"/>
        <v>2</v>
      </c>
      <c r="BY27" s="257">
        <v>0</v>
      </c>
      <c r="BZ27" s="253">
        <v>0</v>
      </c>
      <c r="CA27" s="276" t="str">
        <f t="shared" si="25"/>
        <v>-</v>
      </c>
      <c r="CB27" s="257">
        <v>7</v>
      </c>
      <c r="CC27" s="253">
        <v>1</v>
      </c>
      <c r="CD27" s="276">
        <f t="shared" si="26"/>
        <v>7</v>
      </c>
      <c r="CE27" s="257">
        <v>7</v>
      </c>
      <c r="CF27" s="253">
        <v>1</v>
      </c>
      <c r="CG27" s="276">
        <f t="shared" si="27"/>
        <v>7</v>
      </c>
      <c r="CH27" s="257">
        <v>0</v>
      </c>
      <c r="CI27" s="253">
        <v>0</v>
      </c>
      <c r="CJ27" s="276" t="str">
        <f t="shared" si="28"/>
        <v>-</v>
      </c>
      <c r="CK27" s="257">
        <v>0</v>
      </c>
      <c r="CL27" s="253">
        <v>0</v>
      </c>
      <c r="CM27" s="276" t="str">
        <f t="shared" si="29"/>
        <v>-</v>
      </c>
      <c r="CN27" s="117">
        <f t="shared" si="31"/>
        <v>420</v>
      </c>
      <c r="CO27" s="120">
        <f t="shared" si="32"/>
        <v>71</v>
      </c>
      <c r="CP27" s="147">
        <f t="shared" si="30"/>
        <v>5.915492957746479</v>
      </c>
    </row>
    <row r="28" spans="1:94" ht="15" thickBot="1" x14ac:dyDescent="0.35">
      <c r="A28" s="294">
        <v>45832</v>
      </c>
      <c r="B28" s="20">
        <v>52</v>
      </c>
      <c r="C28" s="21">
        <v>6</v>
      </c>
      <c r="D28" s="139">
        <f t="shared" si="0"/>
        <v>8.6666666666666661</v>
      </c>
      <c r="E28" s="20">
        <v>6</v>
      </c>
      <c r="F28" s="21">
        <v>1</v>
      </c>
      <c r="G28" s="139">
        <f t="shared" si="1"/>
        <v>6</v>
      </c>
      <c r="H28" s="20">
        <v>0</v>
      </c>
      <c r="I28" s="21">
        <v>0</v>
      </c>
      <c r="J28" s="139" t="str">
        <f t="shared" si="2"/>
        <v>-</v>
      </c>
      <c r="K28" s="20">
        <v>8</v>
      </c>
      <c r="L28" s="21">
        <v>1</v>
      </c>
      <c r="M28" s="139">
        <f t="shared" si="3"/>
        <v>8</v>
      </c>
      <c r="N28" s="125">
        <v>0</v>
      </c>
      <c r="O28" s="126">
        <v>0</v>
      </c>
      <c r="P28" s="139" t="str">
        <f t="shared" si="4"/>
        <v>-</v>
      </c>
      <c r="Q28" s="125">
        <v>83</v>
      </c>
      <c r="R28" s="126">
        <v>14</v>
      </c>
      <c r="S28" s="139">
        <f t="shared" si="5"/>
        <v>5.9285714285714288</v>
      </c>
      <c r="T28" s="20">
        <v>0</v>
      </c>
      <c r="U28" s="21">
        <v>0</v>
      </c>
      <c r="V28" s="139" t="str">
        <f t="shared" si="6"/>
        <v>-</v>
      </c>
      <c r="W28" s="125">
        <v>0</v>
      </c>
      <c r="X28" s="126">
        <v>0</v>
      </c>
      <c r="Y28" s="139" t="str">
        <f t="shared" si="7"/>
        <v>-</v>
      </c>
      <c r="Z28" s="125">
        <v>85</v>
      </c>
      <c r="AA28" s="126">
        <v>17</v>
      </c>
      <c r="AB28" s="139">
        <f t="shared" si="8"/>
        <v>5</v>
      </c>
      <c r="AC28" s="125">
        <v>280</v>
      </c>
      <c r="AD28" s="126">
        <v>47</v>
      </c>
      <c r="AE28" s="139">
        <f t="shared" si="9"/>
        <v>5.957446808510638</v>
      </c>
      <c r="AF28" s="125">
        <v>0</v>
      </c>
      <c r="AG28" s="126">
        <v>0</v>
      </c>
      <c r="AH28" s="139" t="str">
        <f t="shared" si="10"/>
        <v>-</v>
      </c>
      <c r="AI28" s="125">
        <v>0</v>
      </c>
      <c r="AJ28" s="126">
        <v>0</v>
      </c>
      <c r="AK28" s="139" t="str">
        <f t="shared" si="11"/>
        <v>-</v>
      </c>
      <c r="AL28" s="125">
        <v>0</v>
      </c>
      <c r="AM28" s="126">
        <v>0</v>
      </c>
      <c r="AN28" s="139" t="str">
        <f t="shared" si="12"/>
        <v>-</v>
      </c>
      <c r="AO28" s="125">
        <v>0</v>
      </c>
      <c r="AP28" s="126">
        <v>0</v>
      </c>
      <c r="AQ28" s="139" t="str">
        <f t="shared" si="13"/>
        <v>-</v>
      </c>
      <c r="AR28" s="125">
        <v>0</v>
      </c>
      <c r="AS28" s="126">
        <v>0</v>
      </c>
      <c r="AT28" s="139" t="str">
        <f t="shared" si="14"/>
        <v>-</v>
      </c>
      <c r="AU28" s="125">
        <v>0</v>
      </c>
      <c r="AV28" s="126">
        <v>0</v>
      </c>
      <c r="AW28" s="139" t="str">
        <f t="shared" si="15"/>
        <v>-</v>
      </c>
      <c r="AX28" s="125">
        <v>0</v>
      </c>
      <c r="AY28" s="126">
        <v>0</v>
      </c>
      <c r="AZ28" s="139" t="str">
        <f t="shared" si="16"/>
        <v>-</v>
      </c>
      <c r="BA28" s="125">
        <v>0</v>
      </c>
      <c r="BB28" s="126">
        <v>0</v>
      </c>
      <c r="BC28" s="139" t="str">
        <f t="shared" si="17"/>
        <v>-</v>
      </c>
      <c r="BD28" s="125">
        <v>0</v>
      </c>
      <c r="BE28" s="126">
        <v>0</v>
      </c>
      <c r="BF28" s="139" t="str">
        <f t="shared" si="18"/>
        <v>-</v>
      </c>
      <c r="BG28" s="125">
        <v>0</v>
      </c>
      <c r="BH28" s="126">
        <v>0</v>
      </c>
      <c r="BI28" s="139" t="str">
        <f t="shared" si="19"/>
        <v>-</v>
      </c>
      <c r="BJ28" s="252">
        <v>21</v>
      </c>
      <c r="BK28" s="253">
        <v>3</v>
      </c>
      <c r="BL28" s="139">
        <f t="shared" si="20"/>
        <v>7</v>
      </c>
      <c r="BM28" s="252">
        <v>0</v>
      </c>
      <c r="BN28" s="253">
        <v>0</v>
      </c>
      <c r="BO28" s="139" t="str">
        <f t="shared" si="21"/>
        <v>-</v>
      </c>
      <c r="BP28" s="302">
        <v>0</v>
      </c>
      <c r="BQ28" s="303">
        <v>0</v>
      </c>
      <c r="BR28" s="139" t="str">
        <f t="shared" si="22"/>
        <v>-</v>
      </c>
      <c r="BS28" s="257">
        <v>7</v>
      </c>
      <c r="BT28" s="253">
        <v>1</v>
      </c>
      <c r="BU28" s="139">
        <f t="shared" si="23"/>
        <v>7</v>
      </c>
      <c r="BV28" s="257">
        <v>12</v>
      </c>
      <c r="BW28" s="253">
        <v>3</v>
      </c>
      <c r="BX28" s="276">
        <f t="shared" si="24"/>
        <v>4</v>
      </c>
      <c r="BY28" s="257">
        <v>0</v>
      </c>
      <c r="BZ28" s="253">
        <v>0</v>
      </c>
      <c r="CA28" s="276" t="str">
        <f t="shared" si="25"/>
        <v>-</v>
      </c>
      <c r="CB28" s="257">
        <v>0</v>
      </c>
      <c r="CC28" s="253">
        <v>0</v>
      </c>
      <c r="CD28" s="276" t="str">
        <f t="shared" si="26"/>
        <v>-</v>
      </c>
      <c r="CE28" s="20">
        <v>0</v>
      </c>
      <c r="CF28" s="21">
        <v>0</v>
      </c>
      <c r="CG28" s="139" t="str">
        <f t="shared" si="27"/>
        <v>-</v>
      </c>
      <c r="CH28" s="20">
        <v>0</v>
      </c>
      <c r="CI28" s="21">
        <v>0</v>
      </c>
      <c r="CJ28" s="139" t="str">
        <f t="shared" si="28"/>
        <v>-</v>
      </c>
      <c r="CK28" s="257">
        <v>0</v>
      </c>
      <c r="CL28" s="253">
        <v>0</v>
      </c>
      <c r="CM28" s="276" t="str">
        <f t="shared" si="29"/>
        <v>-</v>
      </c>
      <c r="CN28" s="117">
        <f t="shared" si="31"/>
        <v>554</v>
      </c>
      <c r="CO28" s="120">
        <f t="shared" si="32"/>
        <v>90</v>
      </c>
      <c r="CP28" s="147">
        <f t="shared" si="30"/>
        <v>6.1555555555555559</v>
      </c>
    </row>
    <row r="29" spans="1:94" ht="15" thickBot="1" x14ac:dyDescent="0.35">
      <c r="A29" s="294">
        <v>45833</v>
      </c>
      <c r="B29" s="20">
        <v>36</v>
      </c>
      <c r="C29" s="21">
        <v>5</v>
      </c>
      <c r="D29" s="139">
        <f t="shared" si="0"/>
        <v>7.2</v>
      </c>
      <c r="E29" s="20">
        <v>14</v>
      </c>
      <c r="F29" s="21">
        <v>2</v>
      </c>
      <c r="G29" s="139">
        <f t="shared" si="1"/>
        <v>7</v>
      </c>
      <c r="H29" s="20">
        <v>0</v>
      </c>
      <c r="I29" s="21">
        <v>0</v>
      </c>
      <c r="J29" s="139" t="str">
        <f t="shared" si="2"/>
        <v>-</v>
      </c>
      <c r="K29" s="20">
        <v>24</v>
      </c>
      <c r="L29" s="21">
        <v>3</v>
      </c>
      <c r="M29" s="139">
        <f t="shared" si="3"/>
        <v>8</v>
      </c>
      <c r="N29" s="125">
        <v>0</v>
      </c>
      <c r="O29" s="126">
        <v>0</v>
      </c>
      <c r="P29" s="139" t="str">
        <f t="shared" si="4"/>
        <v>-</v>
      </c>
      <c r="Q29" s="125">
        <v>62</v>
      </c>
      <c r="R29" s="126">
        <v>12</v>
      </c>
      <c r="S29" s="139">
        <f t="shared" si="5"/>
        <v>5.166666666666667</v>
      </c>
      <c r="T29" s="125">
        <v>0</v>
      </c>
      <c r="U29" s="126">
        <v>0</v>
      </c>
      <c r="V29" s="139" t="str">
        <f t="shared" si="6"/>
        <v>-</v>
      </c>
      <c r="W29" s="125">
        <v>0</v>
      </c>
      <c r="X29" s="126">
        <v>0</v>
      </c>
      <c r="Y29" s="139" t="str">
        <f t="shared" si="7"/>
        <v>-</v>
      </c>
      <c r="Z29" s="125">
        <v>94</v>
      </c>
      <c r="AA29" s="126">
        <v>20</v>
      </c>
      <c r="AB29" s="139">
        <f t="shared" si="8"/>
        <v>4.7</v>
      </c>
      <c r="AC29" s="125">
        <v>0</v>
      </c>
      <c r="AD29" s="126">
        <v>0</v>
      </c>
      <c r="AE29" s="139" t="str">
        <f t="shared" si="9"/>
        <v>-</v>
      </c>
      <c r="AF29" s="125">
        <v>0</v>
      </c>
      <c r="AG29" s="126">
        <v>0</v>
      </c>
      <c r="AH29" s="139" t="str">
        <f t="shared" ref="AH29" si="35">IF(AG29=0,"-",AF29/AG29)</f>
        <v>-</v>
      </c>
      <c r="AI29" s="125">
        <v>0</v>
      </c>
      <c r="AJ29" s="126">
        <v>0</v>
      </c>
      <c r="AK29" s="139" t="str">
        <f t="shared" ref="AK29" si="36">IF(AJ29=0,"-",AI29/AJ29)</f>
        <v>-</v>
      </c>
      <c r="AL29" s="125">
        <v>0</v>
      </c>
      <c r="AM29" s="126">
        <v>0</v>
      </c>
      <c r="AN29" s="139" t="str">
        <f t="shared" ref="AN29" si="37">IF(AM29=0,"-",AL29/AM29)</f>
        <v>-</v>
      </c>
      <c r="AO29" s="125">
        <v>0</v>
      </c>
      <c r="AP29" s="126">
        <v>0</v>
      </c>
      <c r="AQ29" s="139" t="str">
        <f t="shared" ref="AQ29" si="38">IF(AP29=0,"-",AO29/AP29)</f>
        <v>-</v>
      </c>
      <c r="AR29" s="125">
        <v>6</v>
      </c>
      <c r="AS29" s="126">
        <v>1</v>
      </c>
      <c r="AT29" s="139">
        <f t="shared" si="14"/>
        <v>6</v>
      </c>
      <c r="AU29" s="125">
        <v>0</v>
      </c>
      <c r="AV29" s="126">
        <v>0</v>
      </c>
      <c r="AW29" s="139" t="str">
        <f t="shared" si="15"/>
        <v>-</v>
      </c>
      <c r="AX29" s="125">
        <v>0</v>
      </c>
      <c r="AY29" s="126">
        <v>0</v>
      </c>
      <c r="AZ29" s="139">
        <v>0</v>
      </c>
      <c r="BA29" s="125">
        <v>0</v>
      </c>
      <c r="BB29" s="126">
        <v>0</v>
      </c>
      <c r="BC29" s="139" t="str">
        <f t="shared" si="17"/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252">
        <v>12</v>
      </c>
      <c r="BK29" s="253">
        <v>2</v>
      </c>
      <c r="BL29" s="276">
        <f t="shared" si="20"/>
        <v>6</v>
      </c>
      <c r="BM29" s="252">
        <v>0</v>
      </c>
      <c r="BN29" s="253">
        <v>0</v>
      </c>
      <c r="BO29" s="276" t="str">
        <f t="shared" si="21"/>
        <v>-</v>
      </c>
      <c r="BP29" s="302">
        <v>0</v>
      </c>
      <c r="BQ29" s="303">
        <v>0</v>
      </c>
      <c r="BR29" s="276" t="str">
        <f t="shared" si="22"/>
        <v>-</v>
      </c>
      <c r="BS29" s="257">
        <v>6</v>
      </c>
      <c r="BT29" s="253">
        <v>1</v>
      </c>
      <c r="BU29" s="276">
        <f t="shared" si="23"/>
        <v>6</v>
      </c>
      <c r="BV29" s="257">
        <v>6</v>
      </c>
      <c r="BW29" s="253">
        <v>2</v>
      </c>
      <c r="BX29" s="276">
        <f t="shared" si="24"/>
        <v>3</v>
      </c>
      <c r="BY29" s="125">
        <v>0</v>
      </c>
      <c r="BZ29" s="126">
        <v>0</v>
      </c>
      <c r="CA29" s="139" t="str">
        <f t="shared" si="25"/>
        <v>-</v>
      </c>
      <c r="CB29" s="125">
        <v>0</v>
      </c>
      <c r="CC29" s="126">
        <v>0</v>
      </c>
      <c r="CD29" s="139" t="str">
        <f t="shared" si="26"/>
        <v>-</v>
      </c>
      <c r="CE29" s="20">
        <v>0</v>
      </c>
      <c r="CF29" s="21">
        <v>0</v>
      </c>
      <c r="CG29" s="139" t="str">
        <f t="shared" si="27"/>
        <v>-</v>
      </c>
      <c r="CH29" s="20">
        <v>0</v>
      </c>
      <c r="CI29" s="21">
        <v>0</v>
      </c>
      <c r="CJ29" s="139" t="str">
        <f t="shared" si="28"/>
        <v>-</v>
      </c>
      <c r="CK29" s="257">
        <v>0</v>
      </c>
      <c r="CL29" s="253">
        <v>0</v>
      </c>
      <c r="CM29" s="276" t="str">
        <f t="shared" si="29"/>
        <v>-</v>
      </c>
      <c r="CN29" s="117">
        <f t="shared" si="31"/>
        <v>260</v>
      </c>
      <c r="CO29" s="120">
        <f t="shared" si="32"/>
        <v>46</v>
      </c>
      <c r="CP29" s="147">
        <f t="shared" si="30"/>
        <v>5.6521739130434785</v>
      </c>
    </row>
    <row r="30" spans="1:94" ht="15" thickBot="1" x14ac:dyDescent="0.35">
      <c r="A30" s="294">
        <v>45834</v>
      </c>
      <c r="B30" s="20">
        <v>25</v>
      </c>
      <c r="C30" s="21">
        <v>3</v>
      </c>
      <c r="D30" s="139">
        <f t="shared" si="0"/>
        <v>8.3333333333333339</v>
      </c>
      <c r="E30" s="20">
        <v>8</v>
      </c>
      <c r="F30" s="21">
        <v>1</v>
      </c>
      <c r="G30" s="139">
        <f t="shared" si="1"/>
        <v>8</v>
      </c>
      <c r="H30" s="20">
        <v>0</v>
      </c>
      <c r="I30" s="21">
        <v>0</v>
      </c>
      <c r="J30" s="139" t="str">
        <f t="shared" si="2"/>
        <v>-</v>
      </c>
      <c r="K30" s="20">
        <v>0</v>
      </c>
      <c r="L30" s="21">
        <v>0</v>
      </c>
      <c r="M30" s="139">
        <v>0</v>
      </c>
      <c r="N30" s="125">
        <v>0</v>
      </c>
      <c r="O30" s="126">
        <v>0</v>
      </c>
      <c r="P30" s="139" t="str">
        <f t="shared" si="4"/>
        <v>-</v>
      </c>
      <c r="Q30" s="125">
        <v>103</v>
      </c>
      <c r="R30" s="126">
        <v>20</v>
      </c>
      <c r="S30" s="139">
        <f t="shared" si="5"/>
        <v>5.15</v>
      </c>
      <c r="T30" s="125">
        <v>258</v>
      </c>
      <c r="U30" s="126">
        <v>42</v>
      </c>
      <c r="V30" s="139">
        <f t="shared" si="6"/>
        <v>6.1428571428571432</v>
      </c>
      <c r="W30" s="125">
        <v>0</v>
      </c>
      <c r="X30" s="126">
        <v>0</v>
      </c>
      <c r="Y30" s="139" t="str">
        <f t="shared" si="7"/>
        <v>-</v>
      </c>
      <c r="Z30" s="125">
        <v>30</v>
      </c>
      <c r="AA30" s="126">
        <v>6</v>
      </c>
      <c r="AB30" s="139">
        <f t="shared" si="8"/>
        <v>5</v>
      </c>
      <c r="AC30" s="125">
        <v>0</v>
      </c>
      <c r="AD30" s="126">
        <v>0</v>
      </c>
      <c r="AE30" s="139" t="str">
        <f t="shared" ref="AE30" si="39">IF(AD30=0,"-",AC30/AD30)</f>
        <v>-</v>
      </c>
      <c r="AF30" s="125">
        <v>0</v>
      </c>
      <c r="AG30" s="126">
        <v>0</v>
      </c>
      <c r="AH30" s="139" t="str">
        <f t="shared" ref="AH30" si="40">IF(AG30=0,"-",AF30/AG30)</f>
        <v>-</v>
      </c>
      <c r="AI30" s="125">
        <v>0</v>
      </c>
      <c r="AJ30" s="126">
        <v>0</v>
      </c>
      <c r="AK30" s="139" t="str">
        <f t="shared" ref="AK30" si="41">IF(AJ30=0,"-",AI30/AJ30)</f>
        <v>-</v>
      </c>
      <c r="AL30" s="125">
        <v>0</v>
      </c>
      <c r="AM30" s="126">
        <v>0</v>
      </c>
      <c r="AN30" s="139" t="str">
        <f t="shared" ref="AN30" si="42">IF(AM30=0,"-",AL30/AM30)</f>
        <v>-</v>
      </c>
      <c r="AO30" s="125">
        <v>0</v>
      </c>
      <c r="AP30" s="126">
        <v>0</v>
      </c>
      <c r="AQ30" s="139" t="str">
        <f t="shared" ref="AQ30" si="43">IF(AP30=0,"-",AO30/AP30)</f>
        <v>-</v>
      </c>
      <c r="AR30" s="125">
        <v>6</v>
      </c>
      <c r="AS30" s="126">
        <v>3</v>
      </c>
      <c r="AT30" s="139">
        <f t="shared" si="14"/>
        <v>2</v>
      </c>
      <c r="AU30" s="125">
        <v>0</v>
      </c>
      <c r="AV30" s="126">
        <v>0</v>
      </c>
      <c r="AW30" s="139" t="str">
        <f t="shared" si="15"/>
        <v>-</v>
      </c>
      <c r="AX30" s="125">
        <v>6</v>
      </c>
      <c r="AY30" s="126">
        <v>2</v>
      </c>
      <c r="AZ30" s="139">
        <f t="shared" si="16"/>
        <v>3</v>
      </c>
      <c r="BA30" s="125">
        <v>0</v>
      </c>
      <c r="BB30" s="126">
        <v>0</v>
      </c>
      <c r="BC30" s="139" t="str">
        <f t="shared" ref="BC30:BC31" si="44">IF(BB30=0,"-",BA30/BB30)</f>
        <v>-</v>
      </c>
      <c r="BD30" s="125">
        <v>0</v>
      </c>
      <c r="BE30" s="126">
        <v>0</v>
      </c>
      <c r="BF30" s="139" t="str">
        <f t="shared" ref="BF30:BF31" si="45">IF(BE30=0,"-",BD30/BE30)</f>
        <v>-</v>
      </c>
      <c r="BG30" s="125">
        <v>0</v>
      </c>
      <c r="BH30" s="126">
        <v>0</v>
      </c>
      <c r="BI30" s="139" t="str">
        <f t="shared" si="19"/>
        <v>-</v>
      </c>
      <c r="BJ30" s="252">
        <v>14</v>
      </c>
      <c r="BK30" s="253">
        <v>2</v>
      </c>
      <c r="BL30" s="276">
        <f t="shared" si="20"/>
        <v>7</v>
      </c>
      <c r="BM30" s="252">
        <v>0</v>
      </c>
      <c r="BN30" s="253">
        <v>0</v>
      </c>
      <c r="BO30" s="276" t="str">
        <f t="shared" si="21"/>
        <v>-</v>
      </c>
      <c r="BP30" s="302">
        <v>0</v>
      </c>
      <c r="BQ30" s="303">
        <v>0</v>
      </c>
      <c r="BR30" s="276" t="str">
        <f t="shared" si="22"/>
        <v>-</v>
      </c>
      <c r="BS30" s="257">
        <v>6</v>
      </c>
      <c r="BT30" s="253">
        <v>1</v>
      </c>
      <c r="BU30" s="276">
        <f t="shared" si="23"/>
        <v>6</v>
      </c>
      <c r="BV30" s="125">
        <v>5</v>
      </c>
      <c r="BW30" s="126">
        <v>1</v>
      </c>
      <c r="BX30" s="139">
        <f t="shared" si="24"/>
        <v>5</v>
      </c>
      <c r="BY30" s="125">
        <v>0</v>
      </c>
      <c r="BZ30" s="126">
        <v>0</v>
      </c>
      <c r="CA30" s="139" t="str">
        <f t="shared" si="25"/>
        <v>-</v>
      </c>
      <c r="CB30" s="125">
        <v>0</v>
      </c>
      <c r="CC30" s="126">
        <v>0</v>
      </c>
      <c r="CD30" s="139" t="str">
        <f t="shared" si="26"/>
        <v>-</v>
      </c>
      <c r="CE30" s="20">
        <v>0</v>
      </c>
      <c r="CF30" s="21">
        <v>0</v>
      </c>
      <c r="CG30" s="139" t="str">
        <f t="shared" si="27"/>
        <v>-</v>
      </c>
      <c r="CH30" s="20">
        <v>0</v>
      </c>
      <c r="CI30" s="21">
        <v>0</v>
      </c>
      <c r="CJ30" s="139" t="str">
        <f t="shared" si="28"/>
        <v>-</v>
      </c>
      <c r="CK30" s="257">
        <v>0</v>
      </c>
      <c r="CL30" s="253">
        <v>0</v>
      </c>
      <c r="CM30" s="276" t="str">
        <f t="shared" si="29"/>
        <v>-</v>
      </c>
      <c r="CN30" s="117">
        <f t="shared" si="31"/>
        <v>461</v>
      </c>
      <c r="CO30" s="120">
        <f t="shared" si="32"/>
        <v>80</v>
      </c>
      <c r="CP30" s="147">
        <f t="shared" si="30"/>
        <v>5.7625000000000002</v>
      </c>
    </row>
    <row r="31" spans="1:94" ht="15" thickBot="1" x14ac:dyDescent="0.35">
      <c r="A31" s="294">
        <v>45835</v>
      </c>
      <c r="B31" s="20">
        <v>24</v>
      </c>
      <c r="C31" s="21">
        <v>3</v>
      </c>
      <c r="D31" s="139">
        <f t="shared" si="0"/>
        <v>8</v>
      </c>
      <c r="E31" s="20">
        <v>0</v>
      </c>
      <c r="F31" s="21">
        <v>0</v>
      </c>
      <c r="G31" s="139">
        <v>0</v>
      </c>
      <c r="H31" s="20">
        <v>0</v>
      </c>
      <c r="I31" s="21">
        <v>0</v>
      </c>
      <c r="J31" s="139" t="str">
        <f t="shared" si="2"/>
        <v>-</v>
      </c>
      <c r="K31" s="20">
        <v>33</v>
      </c>
      <c r="L31" s="21">
        <v>4</v>
      </c>
      <c r="M31" s="139">
        <f t="shared" si="3"/>
        <v>8.25</v>
      </c>
      <c r="N31" s="125">
        <v>0</v>
      </c>
      <c r="O31" s="126">
        <v>0</v>
      </c>
      <c r="P31" s="139" t="str">
        <f t="shared" si="4"/>
        <v>-</v>
      </c>
      <c r="Q31" s="125">
        <v>90</v>
      </c>
      <c r="R31" s="126">
        <v>21</v>
      </c>
      <c r="S31" s="139">
        <f t="shared" si="5"/>
        <v>4.2857142857142856</v>
      </c>
      <c r="T31" s="125">
        <v>19</v>
      </c>
      <c r="U31" s="126">
        <v>4</v>
      </c>
      <c r="V31" s="139">
        <f t="shared" si="6"/>
        <v>4.75</v>
      </c>
      <c r="W31" s="125">
        <v>0</v>
      </c>
      <c r="X31" s="126">
        <v>0</v>
      </c>
      <c r="Y31" s="139" t="str">
        <f t="shared" si="7"/>
        <v>-</v>
      </c>
      <c r="Z31" s="125">
        <v>30</v>
      </c>
      <c r="AA31" s="126">
        <v>6</v>
      </c>
      <c r="AB31" s="139">
        <f t="shared" si="8"/>
        <v>5</v>
      </c>
      <c r="AC31" s="125">
        <v>0</v>
      </c>
      <c r="AD31" s="126">
        <v>0</v>
      </c>
      <c r="AE31" s="139" t="str">
        <f t="shared" ref="AE31" si="46">IF(AD31=0,"-",AC31/AD31)</f>
        <v>-</v>
      </c>
      <c r="AF31" s="125">
        <v>0</v>
      </c>
      <c r="AG31" s="126">
        <v>0</v>
      </c>
      <c r="AH31" s="139" t="str">
        <f t="shared" ref="AH31" si="47">IF(AG31=0,"-",AF31/AG31)</f>
        <v>-</v>
      </c>
      <c r="AI31" s="125">
        <v>0</v>
      </c>
      <c r="AJ31" s="126">
        <v>0</v>
      </c>
      <c r="AK31" s="139" t="str">
        <f t="shared" ref="AK31" si="48">IF(AJ31=0,"-",AI31/AJ31)</f>
        <v>-</v>
      </c>
      <c r="AL31" s="125">
        <v>0</v>
      </c>
      <c r="AM31" s="126">
        <v>0</v>
      </c>
      <c r="AN31" s="139" t="str">
        <f t="shared" ref="AN31" si="49">IF(AM31=0,"-",AL31/AM31)</f>
        <v>-</v>
      </c>
      <c r="AO31" s="125">
        <v>0</v>
      </c>
      <c r="AP31" s="126">
        <v>0</v>
      </c>
      <c r="AQ31" s="139" t="str">
        <f t="shared" ref="AQ31" si="50">IF(AP31=0,"-",AO31/AP31)</f>
        <v>-</v>
      </c>
      <c r="AR31" s="125">
        <v>0</v>
      </c>
      <c r="AS31" s="126">
        <v>0</v>
      </c>
      <c r="AT31" s="139" t="str">
        <f t="shared" si="14"/>
        <v>-</v>
      </c>
      <c r="AU31" s="125">
        <v>0</v>
      </c>
      <c r="AV31" s="126">
        <v>0</v>
      </c>
      <c r="AW31" s="139" t="str">
        <f t="shared" si="15"/>
        <v>-</v>
      </c>
      <c r="AX31" s="125">
        <v>0</v>
      </c>
      <c r="AY31" s="126">
        <v>0</v>
      </c>
      <c r="AZ31" s="139" t="str">
        <f t="shared" si="16"/>
        <v>-</v>
      </c>
      <c r="BA31" s="125">
        <v>0</v>
      </c>
      <c r="BB31" s="126">
        <v>0</v>
      </c>
      <c r="BC31" s="139" t="str">
        <f t="shared" si="44"/>
        <v>-</v>
      </c>
      <c r="BD31" s="125">
        <v>0</v>
      </c>
      <c r="BE31" s="126">
        <v>0</v>
      </c>
      <c r="BF31" s="139" t="str">
        <f t="shared" si="45"/>
        <v>-</v>
      </c>
      <c r="BG31" s="125">
        <v>0</v>
      </c>
      <c r="BH31" s="126">
        <v>0</v>
      </c>
      <c r="BI31" s="139" t="str">
        <f t="shared" si="19"/>
        <v>-</v>
      </c>
      <c r="BJ31" s="252">
        <v>51</v>
      </c>
      <c r="BK31" s="253">
        <v>7</v>
      </c>
      <c r="BL31" s="276">
        <f t="shared" si="20"/>
        <v>7.2857142857142856</v>
      </c>
      <c r="BM31" s="252">
        <v>0</v>
      </c>
      <c r="BN31" s="253">
        <v>0</v>
      </c>
      <c r="BO31" s="276" t="str">
        <f t="shared" si="21"/>
        <v>-</v>
      </c>
      <c r="BP31" s="302">
        <v>0</v>
      </c>
      <c r="BQ31" s="303">
        <v>0</v>
      </c>
      <c r="BR31" s="276" t="str">
        <f t="shared" si="22"/>
        <v>-</v>
      </c>
      <c r="BS31" s="257">
        <v>0</v>
      </c>
      <c r="BT31" s="253">
        <v>0</v>
      </c>
      <c r="BU31" s="276" t="str">
        <f t="shared" si="23"/>
        <v>-</v>
      </c>
      <c r="BV31" s="257">
        <v>0</v>
      </c>
      <c r="BW31" s="253">
        <v>0</v>
      </c>
      <c r="BX31" s="276" t="str">
        <f t="shared" si="24"/>
        <v>-</v>
      </c>
      <c r="BY31" s="257">
        <v>0</v>
      </c>
      <c r="BZ31" s="253">
        <v>0</v>
      </c>
      <c r="CA31" s="276" t="str">
        <f t="shared" si="25"/>
        <v>-</v>
      </c>
      <c r="CB31" s="257">
        <v>0</v>
      </c>
      <c r="CC31" s="253">
        <v>0</v>
      </c>
      <c r="CD31" s="276" t="str">
        <f t="shared" si="26"/>
        <v>-</v>
      </c>
      <c r="CE31" s="20">
        <v>0</v>
      </c>
      <c r="CF31" s="21">
        <v>0</v>
      </c>
      <c r="CG31" s="139" t="str">
        <f t="shared" si="27"/>
        <v>-</v>
      </c>
      <c r="CH31" s="20">
        <v>0</v>
      </c>
      <c r="CI31" s="21">
        <v>0</v>
      </c>
      <c r="CJ31" s="139" t="str">
        <f t="shared" si="28"/>
        <v>-</v>
      </c>
      <c r="CK31" s="257">
        <v>0</v>
      </c>
      <c r="CL31" s="253">
        <v>0</v>
      </c>
      <c r="CM31" s="276" t="str">
        <f t="shared" si="29"/>
        <v>-</v>
      </c>
      <c r="CN31" s="117">
        <f t="shared" si="31"/>
        <v>247</v>
      </c>
      <c r="CO31" s="120">
        <f t="shared" si="32"/>
        <v>45</v>
      </c>
      <c r="CP31" s="147">
        <f t="shared" si="30"/>
        <v>5.4888888888888889</v>
      </c>
    </row>
    <row r="32" spans="1:94" ht="15" thickBot="1" x14ac:dyDescent="0.35">
      <c r="A32" s="294">
        <v>45836</v>
      </c>
      <c r="B32" s="20">
        <v>49</v>
      </c>
      <c r="C32" s="21">
        <v>6</v>
      </c>
      <c r="D32" s="139">
        <f t="shared" si="0"/>
        <v>8.1666666666666661</v>
      </c>
      <c r="E32" s="20">
        <v>0</v>
      </c>
      <c r="F32" s="21">
        <v>0</v>
      </c>
      <c r="G32" s="139">
        <v>0</v>
      </c>
      <c r="H32" s="20">
        <v>0</v>
      </c>
      <c r="I32" s="21">
        <v>0</v>
      </c>
      <c r="J32" s="139" t="str">
        <f t="shared" ref="J32" si="51">IF(I32=0,"-",H32/I32)</f>
        <v>-</v>
      </c>
      <c r="K32" s="20">
        <v>0</v>
      </c>
      <c r="L32" s="21">
        <v>0</v>
      </c>
      <c r="M32" s="139" t="str">
        <f t="shared" si="3"/>
        <v>-</v>
      </c>
      <c r="N32" s="125"/>
      <c r="O32" s="126"/>
      <c r="P32" s="139" t="str">
        <f t="shared" si="4"/>
        <v>-</v>
      </c>
      <c r="Q32" s="125">
        <v>16</v>
      </c>
      <c r="R32" s="126">
        <v>3</v>
      </c>
      <c r="S32" s="139">
        <f t="shared" si="5"/>
        <v>5.333333333333333</v>
      </c>
      <c r="T32" s="125">
        <v>0</v>
      </c>
      <c r="U32" s="126">
        <v>0</v>
      </c>
      <c r="V32" s="139" t="str">
        <f t="shared" si="6"/>
        <v>-</v>
      </c>
      <c r="W32" s="125">
        <v>0</v>
      </c>
      <c r="X32" s="126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si="8"/>
        <v>-</v>
      </c>
      <c r="AC32" s="125">
        <v>120</v>
      </c>
      <c r="AD32" s="126">
        <v>21</v>
      </c>
      <c r="AE32" s="139">
        <f t="shared" si="9"/>
        <v>5.7142857142857144</v>
      </c>
      <c r="AF32" s="125">
        <v>0</v>
      </c>
      <c r="AG32" s="126">
        <v>0</v>
      </c>
      <c r="AH32" s="139" t="str">
        <f t="shared" si="10"/>
        <v>-</v>
      </c>
      <c r="AI32" s="125">
        <v>24</v>
      </c>
      <c r="AJ32" s="126">
        <v>4</v>
      </c>
      <c r="AK32" s="139">
        <f t="shared" si="11"/>
        <v>6</v>
      </c>
      <c r="AL32" s="125">
        <v>0</v>
      </c>
      <c r="AM32" s="126">
        <v>0</v>
      </c>
      <c r="AN32" s="139" t="str">
        <f t="shared" si="12"/>
        <v>-</v>
      </c>
      <c r="AO32" s="125">
        <v>37</v>
      </c>
      <c r="AP32" s="126">
        <v>6</v>
      </c>
      <c r="AQ32" s="139">
        <f t="shared" si="13"/>
        <v>6.166666666666667</v>
      </c>
      <c r="AR32" s="125">
        <v>0</v>
      </c>
      <c r="AS32" s="126">
        <v>0</v>
      </c>
      <c r="AT32" s="139" t="str">
        <f t="shared" ref="AT32:AT34" si="52">IF(AS32=0,"-",AR32/AS32)</f>
        <v>-</v>
      </c>
      <c r="AU32" s="125">
        <v>0</v>
      </c>
      <c r="AV32" s="126">
        <v>0</v>
      </c>
      <c r="AW32" s="139" t="str">
        <f t="shared" ref="AW32:AW34" si="53">IF(AV32=0,"-",AU32/AV32)</f>
        <v>-</v>
      </c>
      <c r="AX32" s="125">
        <v>0</v>
      </c>
      <c r="AY32" s="126">
        <v>0</v>
      </c>
      <c r="AZ32" s="139" t="str">
        <f t="shared" ref="AZ32:AZ34" si="54">IF(AY32=0,"-",AX32/AY32)</f>
        <v>-</v>
      </c>
      <c r="BA32" s="125">
        <v>0</v>
      </c>
      <c r="BB32" s="126">
        <v>0</v>
      </c>
      <c r="BC32" s="139" t="str">
        <f t="shared" ref="BC32:BC34" si="55">IF(BB32=0,"-",BA32/BB32)</f>
        <v>-</v>
      </c>
      <c r="BD32" s="125">
        <v>0</v>
      </c>
      <c r="BE32" s="126">
        <v>0</v>
      </c>
      <c r="BF32" s="139" t="str">
        <f t="shared" ref="BF32:BF34" si="56">IF(BE32=0,"-",BD32/BE32)</f>
        <v>-</v>
      </c>
      <c r="BG32" s="125">
        <v>0</v>
      </c>
      <c r="BH32" s="126">
        <v>0</v>
      </c>
      <c r="BI32" s="139" t="str">
        <f t="shared" si="19"/>
        <v>-</v>
      </c>
      <c r="BJ32" s="318">
        <v>7</v>
      </c>
      <c r="BK32" s="253">
        <v>1</v>
      </c>
      <c r="BL32" s="276">
        <f t="shared" si="20"/>
        <v>7</v>
      </c>
      <c r="BM32" s="252">
        <v>0</v>
      </c>
      <c r="BN32" s="253">
        <v>0</v>
      </c>
      <c r="BO32" s="276" t="str">
        <f t="shared" si="21"/>
        <v>-</v>
      </c>
      <c r="BP32" s="302">
        <v>0</v>
      </c>
      <c r="BQ32" s="303">
        <v>0</v>
      </c>
      <c r="BR32" s="276" t="str">
        <f t="shared" si="22"/>
        <v>-</v>
      </c>
      <c r="BS32" s="257">
        <v>0</v>
      </c>
      <c r="BT32" s="253">
        <v>0</v>
      </c>
      <c r="BU32" s="276" t="str">
        <f t="shared" si="23"/>
        <v>-</v>
      </c>
      <c r="BV32" s="257">
        <v>0</v>
      </c>
      <c r="BW32" s="253">
        <v>0</v>
      </c>
      <c r="BX32" s="276" t="str">
        <f t="shared" si="24"/>
        <v>-</v>
      </c>
      <c r="BY32" s="257">
        <v>0</v>
      </c>
      <c r="BZ32" s="253">
        <v>0</v>
      </c>
      <c r="CA32" s="276" t="str">
        <f t="shared" si="25"/>
        <v>-</v>
      </c>
      <c r="CB32" s="257">
        <v>0</v>
      </c>
      <c r="CC32" s="253">
        <v>0</v>
      </c>
      <c r="CD32" s="276" t="str">
        <f t="shared" si="26"/>
        <v>-</v>
      </c>
      <c r="CE32" s="20">
        <v>0</v>
      </c>
      <c r="CF32" s="21">
        <v>0</v>
      </c>
      <c r="CG32" s="139" t="str">
        <f t="shared" si="27"/>
        <v>-</v>
      </c>
      <c r="CH32" s="20">
        <v>0</v>
      </c>
      <c r="CI32" s="21">
        <v>0</v>
      </c>
      <c r="CJ32" s="139" t="str">
        <f t="shared" si="28"/>
        <v>-</v>
      </c>
      <c r="CK32" s="257">
        <v>0</v>
      </c>
      <c r="CL32" s="253">
        <v>0</v>
      </c>
      <c r="CM32" s="276" t="str">
        <f t="shared" si="29"/>
        <v>-</v>
      </c>
      <c r="CN32" s="117">
        <f t="shared" si="31"/>
        <v>253</v>
      </c>
      <c r="CO32" s="120">
        <f t="shared" si="32"/>
        <v>35</v>
      </c>
      <c r="CP32" s="147">
        <f t="shared" si="30"/>
        <v>7.2285714285714286</v>
      </c>
    </row>
    <row r="33" spans="1:94" ht="15" thickBot="1" x14ac:dyDescent="0.35">
      <c r="A33" s="294">
        <v>45837</v>
      </c>
      <c r="B33" s="20">
        <v>25</v>
      </c>
      <c r="C33" s="21">
        <v>3</v>
      </c>
      <c r="D33" s="139">
        <f t="shared" si="0"/>
        <v>8.3333333333333339</v>
      </c>
      <c r="E33" s="20">
        <v>0</v>
      </c>
      <c r="F33" s="21">
        <v>0</v>
      </c>
      <c r="G33" s="139">
        <v>0</v>
      </c>
      <c r="H33" s="20">
        <v>0</v>
      </c>
      <c r="I33" s="21">
        <v>0</v>
      </c>
      <c r="J33" s="139" t="str">
        <f t="shared" ref="J33" si="57">IF(I33=0,"-",H33/I33)</f>
        <v>-</v>
      </c>
      <c r="K33" s="20">
        <v>25</v>
      </c>
      <c r="L33" s="21">
        <v>3</v>
      </c>
      <c r="M33" s="139">
        <f t="shared" si="3"/>
        <v>8.3333333333333339</v>
      </c>
      <c r="N33" s="125"/>
      <c r="O33" s="126"/>
      <c r="P33" s="139" t="str">
        <f t="shared" si="4"/>
        <v>-</v>
      </c>
      <c r="Q33" s="125">
        <v>0</v>
      </c>
      <c r="R33" s="126">
        <v>0</v>
      </c>
      <c r="S33" s="139" t="str">
        <f t="shared" si="5"/>
        <v>-</v>
      </c>
      <c r="T33" s="125">
        <v>0</v>
      </c>
      <c r="U33" s="126">
        <v>0</v>
      </c>
      <c r="V33" s="139" t="str">
        <f t="shared" si="6"/>
        <v>-</v>
      </c>
      <c r="W33" s="125">
        <v>0</v>
      </c>
      <c r="X33" s="126">
        <v>0</v>
      </c>
      <c r="Y33" s="139" t="str">
        <f t="shared" si="7"/>
        <v>-</v>
      </c>
      <c r="Z33" s="125">
        <v>0</v>
      </c>
      <c r="AA33" s="126">
        <v>0</v>
      </c>
      <c r="AB33" s="139" t="str">
        <f t="shared" si="8"/>
        <v>-</v>
      </c>
      <c r="AC33" s="125">
        <v>0</v>
      </c>
      <c r="AD33" s="126">
        <v>0</v>
      </c>
      <c r="AE33" s="139" t="str">
        <f t="shared" si="9"/>
        <v>-</v>
      </c>
      <c r="AF33" s="125">
        <v>0</v>
      </c>
      <c r="AG33" s="126">
        <v>0</v>
      </c>
      <c r="AH33" s="139" t="str">
        <f t="shared" si="10"/>
        <v>-</v>
      </c>
      <c r="AI33" s="125">
        <v>0</v>
      </c>
      <c r="AJ33" s="126">
        <v>0</v>
      </c>
      <c r="AK33" s="139" t="str">
        <f t="shared" si="11"/>
        <v>-</v>
      </c>
      <c r="AL33" s="125">
        <v>0</v>
      </c>
      <c r="AM33" s="126">
        <v>0</v>
      </c>
      <c r="AN33" s="139" t="str">
        <f t="shared" si="12"/>
        <v>-</v>
      </c>
      <c r="AO33" s="125">
        <v>0</v>
      </c>
      <c r="AP33" s="126">
        <v>0</v>
      </c>
      <c r="AQ33" s="139" t="str">
        <f t="shared" si="13"/>
        <v>-</v>
      </c>
      <c r="AR33" s="125">
        <v>0</v>
      </c>
      <c r="AS33" s="126">
        <v>0</v>
      </c>
      <c r="AT33" s="139" t="str">
        <f t="shared" si="52"/>
        <v>-</v>
      </c>
      <c r="AU33" s="125">
        <v>0</v>
      </c>
      <c r="AV33" s="126">
        <v>0</v>
      </c>
      <c r="AW33" s="139" t="str">
        <f t="shared" si="53"/>
        <v>-</v>
      </c>
      <c r="AX33" s="125">
        <v>0</v>
      </c>
      <c r="AY33" s="126">
        <v>0</v>
      </c>
      <c r="AZ33" s="139" t="str">
        <f t="shared" si="54"/>
        <v>-</v>
      </c>
      <c r="BA33" s="125">
        <v>0</v>
      </c>
      <c r="BB33" s="126">
        <v>0</v>
      </c>
      <c r="BC33" s="139" t="str">
        <f t="shared" si="55"/>
        <v>-</v>
      </c>
      <c r="BD33" s="125">
        <v>0</v>
      </c>
      <c r="BE33" s="126">
        <v>0</v>
      </c>
      <c r="BF33" s="139" t="str">
        <f t="shared" si="56"/>
        <v>-</v>
      </c>
      <c r="BG33" s="125">
        <v>0</v>
      </c>
      <c r="BH33" s="126">
        <v>0</v>
      </c>
      <c r="BI33" s="139" t="str">
        <f t="shared" si="19"/>
        <v>-</v>
      </c>
      <c r="BJ33" s="252">
        <v>46</v>
      </c>
      <c r="BK33" s="253">
        <v>7</v>
      </c>
      <c r="BL33" s="276">
        <f t="shared" si="20"/>
        <v>6.5714285714285712</v>
      </c>
      <c r="BM33" s="252">
        <v>0</v>
      </c>
      <c r="BN33" s="253">
        <v>0</v>
      </c>
      <c r="BO33" s="276" t="str">
        <f t="shared" si="21"/>
        <v>-</v>
      </c>
      <c r="BP33" s="302">
        <v>0</v>
      </c>
      <c r="BQ33" s="303">
        <v>0</v>
      </c>
      <c r="BR33" s="276" t="str">
        <f t="shared" si="22"/>
        <v>-</v>
      </c>
      <c r="BS33" s="257">
        <v>0</v>
      </c>
      <c r="BT33" s="253">
        <v>0</v>
      </c>
      <c r="BU33" s="276" t="str">
        <f t="shared" si="23"/>
        <v>-</v>
      </c>
      <c r="BV33" s="257">
        <v>0</v>
      </c>
      <c r="BW33" s="253">
        <v>0</v>
      </c>
      <c r="BX33" s="276" t="str">
        <f t="shared" si="24"/>
        <v>-</v>
      </c>
      <c r="BY33" s="257">
        <v>0</v>
      </c>
      <c r="BZ33" s="253">
        <v>0</v>
      </c>
      <c r="CA33" s="276" t="str">
        <f t="shared" si="25"/>
        <v>-</v>
      </c>
      <c r="CB33" s="257">
        <v>0</v>
      </c>
      <c r="CC33" s="253">
        <v>0</v>
      </c>
      <c r="CD33" s="276" t="str">
        <f t="shared" si="26"/>
        <v>-</v>
      </c>
      <c r="CE33" s="20">
        <v>0</v>
      </c>
      <c r="CF33" s="21">
        <v>0</v>
      </c>
      <c r="CG33" s="139" t="str">
        <f t="shared" si="27"/>
        <v>-</v>
      </c>
      <c r="CH33" s="20">
        <v>0</v>
      </c>
      <c r="CI33" s="21">
        <v>0</v>
      </c>
      <c r="CJ33" s="139" t="str">
        <f t="shared" si="28"/>
        <v>-</v>
      </c>
      <c r="CK33" s="257">
        <v>0</v>
      </c>
      <c r="CL33" s="253">
        <v>0</v>
      </c>
      <c r="CM33" s="276" t="str">
        <f t="shared" si="29"/>
        <v>-</v>
      </c>
      <c r="CN33" s="117">
        <f t="shared" si="31"/>
        <v>96</v>
      </c>
      <c r="CO33" s="120">
        <f t="shared" si="32"/>
        <v>13</v>
      </c>
      <c r="CP33" s="147">
        <f t="shared" si="30"/>
        <v>7.384615384615385</v>
      </c>
    </row>
    <row r="34" spans="1:94" ht="15" thickBot="1" x14ac:dyDescent="0.35">
      <c r="A34" s="294">
        <v>45838</v>
      </c>
      <c r="B34" s="20">
        <v>0</v>
      </c>
      <c r="C34" s="21">
        <v>0</v>
      </c>
      <c r="D34" s="139">
        <v>0</v>
      </c>
      <c r="E34" s="20">
        <v>0</v>
      </c>
      <c r="F34" s="21">
        <v>0</v>
      </c>
      <c r="G34" s="139">
        <v>0</v>
      </c>
      <c r="H34" s="20">
        <v>0</v>
      </c>
      <c r="I34" s="21">
        <v>0</v>
      </c>
      <c r="J34" s="139">
        <v>0</v>
      </c>
      <c r="K34" s="20">
        <v>0</v>
      </c>
      <c r="L34" s="21">
        <v>0</v>
      </c>
      <c r="M34" s="139">
        <v>0</v>
      </c>
      <c r="N34" s="125"/>
      <c r="O34" s="126"/>
      <c r="P34" s="139" t="str">
        <f t="shared" si="4"/>
        <v>-</v>
      </c>
      <c r="Q34" s="125">
        <v>54</v>
      </c>
      <c r="R34" s="126">
        <v>10</v>
      </c>
      <c r="S34" s="139">
        <f t="shared" si="5"/>
        <v>5.4</v>
      </c>
      <c r="T34" s="125">
        <v>14</v>
      </c>
      <c r="U34" s="126">
        <v>5</v>
      </c>
      <c r="V34" s="139">
        <f t="shared" si="6"/>
        <v>2.8</v>
      </c>
      <c r="W34" s="125">
        <v>0</v>
      </c>
      <c r="X34" s="126">
        <v>0</v>
      </c>
      <c r="Y34" s="139" t="str">
        <f t="shared" si="7"/>
        <v>-</v>
      </c>
      <c r="Z34" s="125">
        <v>51</v>
      </c>
      <c r="AA34" s="126">
        <v>11</v>
      </c>
      <c r="AB34" s="139">
        <f t="shared" si="8"/>
        <v>4.6363636363636367</v>
      </c>
      <c r="AC34" s="125">
        <v>0</v>
      </c>
      <c r="AD34" s="126">
        <v>0</v>
      </c>
      <c r="AE34" s="139" t="str">
        <f t="shared" ref="AE34" si="58">IF(AD34=0,"-",AC34/AD34)</f>
        <v>-</v>
      </c>
      <c r="AF34" s="125">
        <v>0</v>
      </c>
      <c r="AG34" s="126">
        <v>0</v>
      </c>
      <c r="AH34" s="139" t="str">
        <f t="shared" ref="AH34" si="59">IF(AG34=0,"-",AF34/AG34)</f>
        <v>-</v>
      </c>
      <c r="AI34" s="125">
        <v>0</v>
      </c>
      <c r="AJ34" s="126">
        <v>0</v>
      </c>
      <c r="AK34" s="139" t="str">
        <f t="shared" ref="AK34" si="60">IF(AJ34=0,"-",AI34/AJ34)</f>
        <v>-</v>
      </c>
      <c r="AL34" s="125">
        <v>0</v>
      </c>
      <c r="AM34" s="126">
        <v>0</v>
      </c>
      <c r="AN34" s="139" t="str">
        <f t="shared" ref="AN34" si="61">IF(AM34=0,"-",AL34/AM34)</f>
        <v>-</v>
      </c>
      <c r="AO34" s="125">
        <v>0</v>
      </c>
      <c r="AP34" s="126">
        <v>0</v>
      </c>
      <c r="AQ34" s="139" t="str">
        <f t="shared" ref="AQ34" si="62">IF(AP34=0,"-",AO34/AP34)</f>
        <v>-</v>
      </c>
      <c r="AR34" s="125">
        <v>0</v>
      </c>
      <c r="AS34" s="126">
        <v>0</v>
      </c>
      <c r="AT34" s="139" t="str">
        <f t="shared" si="52"/>
        <v>-</v>
      </c>
      <c r="AU34" s="125">
        <v>0</v>
      </c>
      <c r="AV34" s="126">
        <v>0</v>
      </c>
      <c r="AW34" s="139" t="str">
        <f t="shared" si="53"/>
        <v>-</v>
      </c>
      <c r="AX34" s="125">
        <v>0</v>
      </c>
      <c r="AY34" s="126">
        <v>0</v>
      </c>
      <c r="AZ34" s="139" t="str">
        <f t="shared" si="54"/>
        <v>-</v>
      </c>
      <c r="BA34" s="125">
        <v>0</v>
      </c>
      <c r="BB34" s="126">
        <v>0</v>
      </c>
      <c r="BC34" s="139" t="str">
        <f t="shared" si="55"/>
        <v>-</v>
      </c>
      <c r="BD34" s="125">
        <v>0</v>
      </c>
      <c r="BE34" s="126">
        <v>0</v>
      </c>
      <c r="BF34" s="139" t="str">
        <f t="shared" si="56"/>
        <v>-</v>
      </c>
      <c r="BG34" s="125">
        <v>0</v>
      </c>
      <c r="BH34" s="126">
        <v>0</v>
      </c>
      <c r="BI34" s="139" t="str">
        <f t="shared" si="19"/>
        <v>-</v>
      </c>
      <c r="BJ34" s="252">
        <v>76</v>
      </c>
      <c r="BK34" s="253">
        <v>13</v>
      </c>
      <c r="BL34" s="276">
        <f t="shared" si="20"/>
        <v>5.8461538461538458</v>
      </c>
      <c r="BM34" s="252">
        <v>0</v>
      </c>
      <c r="BN34" s="253">
        <v>0</v>
      </c>
      <c r="BO34" s="276" t="str">
        <f t="shared" si="21"/>
        <v>-</v>
      </c>
      <c r="BP34" s="302">
        <v>0</v>
      </c>
      <c r="BQ34" s="303">
        <v>0</v>
      </c>
      <c r="BR34" s="276" t="str">
        <f t="shared" si="22"/>
        <v>-</v>
      </c>
      <c r="BS34" s="257">
        <v>0</v>
      </c>
      <c r="BT34" s="253">
        <v>0</v>
      </c>
      <c r="BU34" s="276" t="str">
        <f t="shared" si="23"/>
        <v>-</v>
      </c>
      <c r="BV34" s="257">
        <v>0</v>
      </c>
      <c r="BW34" s="253">
        <v>0</v>
      </c>
      <c r="BX34" s="276" t="str">
        <f t="shared" si="24"/>
        <v>-</v>
      </c>
      <c r="BY34" s="257">
        <v>0</v>
      </c>
      <c r="BZ34" s="253">
        <v>0</v>
      </c>
      <c r="CA34" s="276" t="str">
        <f t="shared" si="25"/>
        <v>-</v>
      </c>
      <c r="CB34" s="257">
        <v>0</v>
      </c>
      <c r="CC34" s="253">
        <v>0</v>
      </c>
      <c r="CD34" s="276" t="str">
        <f t="shared" si="26"/>
        <v>-</v>
      </c>
      <c r="CE34" s="20">
        <v>0</v>
      </c>
      <c r="CF34" s="21">
        <v>0</v>
      </c>
      <c r="CG34" s="139" t="str">
        <f t="shared" si="27"/>
        <v>-</v>
      </c>
      <c r="CH34" s="20">
        <v>0</v>
      </c>
      <c r="CI34" s="21">
        <v>0</v>
      </c>
      <c r="CJ34" s="139" t="str">
        <f t="shared" si="28"/>
        <v>-</v>
      </c>
      <c r="CK34" s="257">
        <v>0</v>
      </c>
      <c r="CL34" s="253">
        <v>0</v>
      </c>
      <c r="CM34" s="276" t="str">
        <f t="shared" si="29"/>
        <v>-</v>
      </c>
      <c r="CN34" s="117">
        <f t="shared" si="31"/>
        <v>195</v>
      </c>
      <c r="CO34" s="120">
        <f t="shared" si="32"/>
        <v>39</v>
      </c>
      <c r="CP34" s="147">
        <f t="shared" si="30"/>
        <v>5</v>
      </c>
    </row>
    <row r="35" spans="1:94" s="41" customFormat="1" ht="15.6" customHeight="1" thickBot="1" x14ac:dyDescent="0.35">
      <c r="A35" s="295" t="s">
        <v>33</v>
      </c>
      <c r="B35" s="43">
        <f t="shared" ref="B35:AG35" si="63">SUM(B5:B34)</f>
        <v>1015</v>
      </c>
      <c r="C35" s="43">
        <f t="shared" si="63"/>
        <v>130</v>
      </c>
      <c r="D35" s="332">
        <f t="shared" si="63"/>
        <v>195.57261904761904</v>
      </c>
      <c r="E35" s="43">
        <f t="shared" si="63"/>
        <v>203</v>
      </c>
      <c r="F35" s="43">
        <f t="shared" si="63"/>
        <v>28</v>
      </c>
      <c r="G35" s="332">
        <f t="shared" si="63"/>
        <v>131.33333333333334</v>
      </c>
      <c r="H35" s="43">
        <f t="shared" si="63"/>
        <v>42</v>
      </c>
      <c r="I35" s="43">
        <f t="shared" si="63"/>
        <v>14</v>
      </c>
      <c r="J35" s="43">
        <f t="shared" si="63"/>
        <v>6</v>
      </c>
      <c r="K35" s="43">
        <f t="shared" si="63"/>
        <v>458</v>
      </c>
      <c r="L35" s="43">
        <f t="shared" si="63"/>
        <v>57</v>
      </c>
      <c r="M35" s="332">
        <f t="shared" si="63"/>
        <v>177.5</v>
      </c>
      <c r="N35" s="43">
        <f t="shared" si="63"/>
        <v>0</v>
      </c>
      <c r="O35" s="43">
        <f t="shared" si="63"/>
        <v>0</v>
      </c>
      <c r="P35" s="43">
        <f t="shared" si="63"/>
        <v>0</v>
      </c>
      <c r="Q35" s="43">
        <f t="shared" si="63"/>
        <v>1941</v>
      </c>
      <c r="R35" s="43">
        <f t="shared" si="63"/>
        <v>443</v>
      </c>
      <c r="S35" s="332">
        <f t="shared" si="63"/>
        <v>104.12310736377314</v>
      </c>
      <c r="T35" s="43">
        <f t="shared" si="63"/>
        <v>395</v>
      </c>
      <c r="U35" s="43">
        <f t="shared" si="63"/>
        <v>72</v>
      </c>
      <c r="V35" s="332">
        <f t="shared" si="63"/>
        <v>30.592857142857142</v>
      </c>
      <c r="W35" s="43">
        <f t="shared" si="63"/>
        <v>0</v>
      </c>
      <c r="X35" s="43">
        <f t="shared" si="63"/>
        <v>0</v>
      </c>
      <c r="Y35" s="43">
        <f t="shared" si="63"/>
        <v>0</v>
      </c>
      <c r="Z35" s="43">
        <f t="shared" si="63"/>
        <v>967</v>
      </c>
      <c r="AA35" s="43">
        <f t="shared" si="63"/>
        <v>196</v>
      </c>
      <c r="AB35" s="332">
        <f t="shared" si="63"/>
        <v>92.452272727272742</v>
      </c>
      <c r="AC35" s="43">
        <f t="shared" si="63"/>
        <v>939</v>
      </c>
      <c r="AD35" s="43">
        <f t="shared" si="63"/>
        <v>167</v>
      </c>
      <c r="AE35" s="332">
        <f t="shared" si="63"/>
        <v>41.470870519302771</v>
      </c>
      <c r="AF35" s="43">
        <f t="shared" si="63"/>
        <v>29</v>
      </c>
      <c r="AG35" s="43">
        <f t="shared" si="63"/>
        <v>5</v>
      </c>
      <c r="AH35" s="332">
        <f t="shared" ref="AH35:CO35" si="64">SUM(AH5:AH34)</f>
        <v>23</v>
      </c>
      <c r="AI35" s="43">
        <f t="shared" si="64"/>
        <v>24</v>
      </c>
      <c r="AJ35" s="43">
        <f t="shared" si="64"/>
        <v>4</v>
      </c>
      <c r="AK35" s="43">
        <f t="shared" si="64"/>
        <v>6</v>
      </c>
      <c r="AL35" s="43">
        <f t="shared" si="64"/>
        <v>0</v>
      </c>
      <c r="AM35" s="43">
        <f t="shared" si="64"/>
        <v>0</v>
      </c>
      <c r="AN35" s="43">
        <f t="shared" si="64"/>
        <v>0</v>
      </c>
      <c r="AO35" s="43">
        <f t="shared" si="64"/>
        <v>37</v>
      </c>
      <c r="AP35" s="43">
        <f t="shared" si="64"/>
        <v>6</v>
      </c>
      <c r="AQ35" s="43">
        <f t="shared" si="64"/>
        <v>6.166666666666667</v>
      </c>
      <c r="AR35" s="43">
        <f t="shared" si="64"/>
        <v>60</v>
      </c>
      <c r="AS35" s="43">
        <f t="shared" si="64"/>
        <v>14</v>
      </c>
      <c r="AT35" s="43">
        <f t="shared" si="64"/>
        <v>45</v>
      </c>
      <c r="AU35" s="43">
        <f t="shared" si="64"/>
        <v>0</v>
      </c>
      <c r="AV35" s="43">
        <f t="shared" si="64"/>
        <v>0</v>
      </c>
      <c r="AW35" s="43">
        <f t="shared" si="64"/>
        <v>0</v>
      </c>
      <c r="AX35" s="43">
        <f t="shared" si="64"/>
        <v>36</v>
      </c>
      <c r="AY35" s="43">
        <f t="shared" si="64"/>
        <v>14</v>
      </c>
      <c r="AZ35" s="43">
        <f t="shared" si="64"/>
        <v>21</v>
      </c>
      <c r="BA35" s="43">
        <f t="shared" si="64"/>
        <v>2</v>
      </c>
      <c r="BB35" s="43">
        <f t="shared" si="64"/>
        <v>2</v>
      </c>
      <c r="BC35" s="332">
        <f t="shared" si="64"/>
        <v>2</v>
      </c>
      <c r="BD35" s="43">
        <f t="shared" si="64"/>
        <v>11</v>
      </c>
      <c r="BE35" s="43">
        <f t="shared" si="64"/>
        <v>2</v>
      </c>
      <c r="BF35" s="43">
        <f t="shared" si="64"/>
        <v>11</v>
      </c>
      <c r="BG35" s="43">
        <f t="shared" si="64"/>
        <v>0</v>
      </c>
      <c r="BH35" s="43">
        <f t="shared" si="64"/>
        <v>0</v>
      </c>
      <c r="BI35" s="43">
        <f t="shared" si="64"/>
        <v>0</v>
      </c>
      <c r="BJ35" s="43">
        <f t="shared" si="64"/>
        <v>608</v>
      </c>
      <c r="BK35" s="43">
        <f t="shared" si="64"/>
        <v>94</v>
      </c>
      <c r="BL35" s="332">
        <f t="shared" si="64"/>
        <v>180.46996336996335</v>
      </c>
      <c r="BM35" s="43">
        <f t="shared" si="64"/>
        <v>28</v>
      </c>
      <c r="BN35" s="43">
        <f t="shared" si="64"/>
        <v>4</v>
      </c>
      <c r="BO35" s="43">
        <f t="shared" si="64"/>
        <v>21</v>
      </c>
      <c r="BP35" s="43">
        <f t="shared" si="64"/>
        <v>120</v>
      </c>
      <c r="BQ35" s="43">
        <f t="shared" si="64"/>
        <v>17</v>
      </c>
      <c r="BR35" s="43">
        <f t="shared" si="64"/>
        <v>57.666666666666664</v>
      </c>
      <c r="BS35" s="43">
        <f t="shared" si="64"/>
        <v>61</v>
      </c>
      <c r="BT35" s="43">
        <f t="shared" si="64"/>
        <v>9</v>
      </c>
      <c r="BU35" s="43">
        <f t="shared" si="64"/>
        <v>61</v>
      </c>
      <c r="BV35" s="43">
        <f t="shared" si="64"/>
        <v>98</v>
      </c>
      <c r="BW35" s="43">
        <f t="shared" si="64"/>
        <v>26</v>
      </c>
      <c r="BX35" s="43">
        <f t="shared" si="64"/>
        <v>61</v>
      </c>
      <c r="BY35" s="43">
        <f t="shared" si="64"/>
        <v>0</v>
      </c>
      <c r="BZ35" s="43">
        <f t="shared" si="64"/>
        <v>0</v>
      </c>
      <c r="CA35" s="43">
        <f t="shared" si="64"/>
        <v>0</v>
      </c>
      <c r="CB35" s="43">
        <f t="shared" si="64"/>
        <v>22</v>
      </c>
      <c r="CC35" s="43">
        <f t="shared" si="64"/>
        <v>6</v>
      </c>
      <c r="CD35" s="43">
        <f t="shared" si="64"/>
        <v>22</v>
      </c>
      <c r="CE35" s="43">
        <f t="shared" si="64"/>
        <v>215</v>
      </c>
      <c r="CF35" s="43">
        <f t="shared" si="64"/>
        <v>33</v>
      </c>
      <c r="CG35" s="332">
        <f t="shared" si="64"/>
        <v>55.102564102564102</v>
      </c>
      <c r="CH35" s="43">
        <f t="shared" si="64"/>
        <v>0</v>
      </c>
      <c r="CI35" s="43">
        <f t="shared" si="64"/>
        <v>0</v>
      </c>
      <c r="CJ35" s="43">
        <f t="shared" si="64"/>
        <v>0</v>
      </c>
      <c r="CK35" s="43">
        <f t="shared" si="64"/>
        <v>0</v>
      </c>
      <c r="CL35" s="43">
        <f t="shared" si="64"/>
        <v>0</v>
      </c>
      <c r="CM35" s="43">
        <f t="shared" si="64"/>
        <v>0</v>
      </c>
      <c r="CN35" s="118">
        <f t="shared" si="64"/>
        <v>7300</v>
      </c>
      <c r="CO35" s="118">
        <f t="shared" si="64"/>
        <v>1311</v>
      </c>
      <c r="CP35" s="144">
        <f t="shared" si="30"/>
        <v>5.5682684973302825</v>
      </c>
    </row>
    <row r="36" spans="1:94" x14ac:dyDescent="0.3">
      <c r="A36" s="294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743E-70C2-494A-B79A-7A8CB06C7837}">
  <sheetPr>
    <tabColor rgb="FFFF0000"/>
  </sheetPr>
  <dimension ref="A1:CL43"/>
  <sheetViews>
    <sheetView workbookViewId="0">
      <selection activeCell="L9" sqref="L9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92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June25!B35</f>
        <v>1015</v>
      </c>
      <c r="C4" s="68"/>
      <c r="D4" s="95" t="s">
        <v>19</v>
      </c>
      <c r="E4" s="93">
        <f>June25!AX35</f>
        <v>36</v>
      </c>
      <c r="F4" s="68"/>
      <c r="G4" s="87" t="s">
        <v>24</v>
      </c>
      <c r="H4" s="81">
        <f>June25!BM35</f>
        <v>28</v>
      </c>
    </row>
    <row r="5" spans="1:90" x14ac:dyDescent="0.3">
      <c r="A5" s="80"/>
      <c r="B5" s="81">
        <f>June25!C35</f>
        <v>130</v>
      </c>
      <c r="C5" s="68"/>
      <c r="D5" s="85"/>
      <c r="E5" s="81">
        <f>June25!AY35</f>
        <v>14</v>
      </c>
      <c r="F5" s="68"/>
      <c r="G5" s="87"/>
      <c r="H5" s="81">
        <f>June25!BN35</f>
        <v>4</v>
      </c>
    </row>
    <row r="6" spans="1:90" x14ac:dyDescent="0.3">
      <c r="A6" s="82"/>
      <c r="B6" s="275">
        <f>June25!D35</f>
        <v>195.57261904761904</v>
      </c>
      <c r="C6" s="68"/>
      <c r="D6" s="86"/>
      <c r="E6" s="26">
        <f>June25!AZ35</f>
        <v>21</v>
      </c>
      <c r="F6" s="68"/>
      <c r="G6" s="88"/>
      <c r="H6" s="26">
        <f>June25!BO35</f>
        <v>21</v>
      </c>
    </row>
    <row r="7" spans="1:90" x14ac:dyDescent="0.3">
      <c r="A7" s="80" t="s">
        <v>9</v>
      </c>
      <c r="B7" s="81">
        <f>June25!E35</f>
        <v>203</v>
      </c>
      <c r="C7" s="68"/>
      <c r="D7" s="85" t="s">
        <v>20</v>
      </c>
      <c r="E7" s="81">
        <f>June25!BA35</f>
        <v>2</v>
      </c>
      <c r="F7" s="68"/>
      <c r="G7" s="87" t="s">
        <v>25</v>
      </c>
      <c r="H7" s="151">
        <f>June25!BP35</f>
        <v>120</v>
      </c>
    </row>
    <row r="8" spans="1:90" x14ac:dyDescent="0.3">
      <c r="A8" s="80"/>
      <c r="B8" s="81">
        <f>June25!F35</f>
        <v>28</v>
      </c>
      <c r="C8" s="68"/>
      <c r="D8" s="85"/>
      <c r="E8" s="81">
        <f>June25!BB35</f>
        <v>2</v>
      </c>
      <c r="F8" s="68"/>
      <c r="G8" s="87"/>
      <c r="H8" s="151">
        <f>June25!BQ35</f>
        <v>17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June25!G35</f>
        <v>131.33333333333334</v>
      </c>
      <c r="C9" s="68"/>
      <c r="D9" s="86"/>
      <c r="E9" s="26">
        <f>June25!BC35</f>
        <v>2</v>
      </c>
      <c r="F9" s="68"/>
      <c r="G9" s="88"/>
      <c r="H9" s="151">
        <f>June25!BQ35</f>
        <v>17</v>
      </c>
    </row>
    <row r="10" spans="1:90" x14ac:dyDescent="0.3">
      <c r="A10" s="80" t="s">
        <v>55</v>
      </c>
      <c r="B10" s="81">
        <f>June25!K35</f>
        <v>458</v>
      </c>
      <c r="C10" s="68"/>
      <c r="D10" s="85" t="s">
        <v>21</v>
      </c>
      <c r="E10" s="81">
        <f>June25!BD35</f>
        <v>11</v>
      </c>
      <c r="F10" s="68"/>
      <c r="G10" s="87" t="s">
        <v>26</v>
      </c>
      <c r="H10" s="151">
        <f>June25!BS35</f>
        <v>61</v>
      </c>
    </row>
    <row r="11" spans="1:90" x14ac:dyDescent="0.3">
      <c r="A11" s="80"/>
      <c r="B11" s="81">
        <f>June25!L35</f>
        <v>57</v>
      </c>
      <c r="C11" s="68"/>
      <c r="D11" s="85"/>
      <c r="E11" s="81">
        <f>June25!BE35</f>
        <v>2</v>
      </c>
      <c r="F11" s="68"/>
      <c r="G11" s="87"/>
      <c r="H11" s="81">
        <f>June25!BT35</f>
        <v>9</v>
      </c>
    </row>
    <row r="12" spans="1:90" x14ac:dyDescent="0.3">
      <c r="A12" s="82"/>
      <c r="B12" s="26">
        <f>June25!M35</f>
        <v>177.5</v>
      </c>
      <c r="C12" s="68"/>
      <c r="D12" s="86"/>
      <c r="E12" s="81">
        <f>June25!BF35</f>
        <v>11</v>
      </c>
      <c r="F12" s="68"/>
      <c r="G12" s="88"/>
      <c r="H12" s="26">
        <f>June25!BU35</f>
        <v>61</v>
      </c>
    </row>
    <row r="13" spans="1:90" x14ac:dyDescent="0.3">
      <c r="A13" s="80" t="s">
        <v>11</v>
      </c>
      <c r="B13" s="81">
        <f>June25!Q35</f>
        <v>1941</v>
      </c>
      <c r="C13" s="68"/>
      <c r="D13" s="85" t="s">
        <v>22</v>
      </c>
      <c r="E13" s="81">
        <f>June25!BG35</f>
        <v>0</v>
      </c>
      <c r="F13" s="68"/>
      <c r="G13" s="87" t="s">
        <v>27</v>
      </c>
      <c r="H13" s="81">
        <f>June25!BV35</f>
        <v>98</v>
      </c>
    </row>
    <row r="14" spans="1:90" x14ac:dyDescent="0.3">
      <c r="A14" s="80"/>
      <c r="B14" s="81">
        <f>June25!R35</f>
        <v>443</v>
      </c>
      <c r="C14" s="68"/>
      <c r="D14" s="85"/>
      <c r="E14" s="81">
        <f>June25!BH35</f>
        <v>0</v>
      </c>
      <c r="F14" s="68"/>
      <c r="G14" s="87"/>
      <c r="H14" s="81">
        <f>June25!BW35</f>
        <v>26</v>
      </c>
    </row>
    <row r="15" spans="1:90" x14ac:dyDescent="0.3">
      <c r="A15" s="82"/>
      <c r="B15" s="26">
        <f>June25!S35</f>
        <v>104.12310736377314</v>
      </c>
      <c r="C15" s="68"/>
      <c r="D15" s="85"/>
      <c r="E15" s="26">
        <f>June25!BI35</f>
        <v>0</v>
      </c>
      <c r="F15" s="68"/>
      <c r="G15" s="88"/>
      <c r="H15" s="26">
        <f>June25!BX35</f>
        <v>61</v>
      </c>
    </row>
    <row r="16" spans="1:90" x14ac:dyDescent="0.3">
      <c r="A16" s="80" t="s">
        <v>44</v>
      </c>
      <c r="B16" s="81">
        <f>June25!T35</f>
        <v>395</v>
      </c>
      <c r="C16" s="68"/>
      <c r="D16" s="85" t="s">
        <v>45</v>
      </c>
      <c r="E16" s="26">
        <f>June25!BJ35</f>
        <v>608</v>
      </c>
      <c r="F16" s="68"/>
      <c r="G16" s="96" t="s">
        <v>28</v>
      </c>
      <c r="H16" s="97">
        <f>June25!CE35</f>
        <v>215</v>
      </c>
    </row>
    <row r="17" spans="1:8" x14ac:dyDescent="0.3">
      <c r="A17" s="80"/>
      <c r="B17" s="81">
        <f>June25!U35</f>
        <v>72</v>
      </c>
      <c r="C17" s="68"/>
      <c r="D17" s="85"/>
      <c r="E17" s="81">
        <f>June25!BK35</f>
        <v>94</v>
      </c>
      <c r="F17" s="68"/>
      <c r="G17" s="96"/>
      <c r="H17" s="97">
        <f>June25!CF35</f>
        <v>33</v>
      </c>
    </row>
    <row r="18" spans="1:8" ht="15" thickBot="1" x14ac:dyDescent="0.35">
      <c r="A18" s="82"/>
      <c r="B18" s="26">
        <f>June25!V35</f>
        <v>30.592857142857142</v>
      </c>
      <c r="C18" s="68"/>
      <c r="D18" s="102"/>
      <c r="E18" s="149">
        <f>June25!BL35</f>
        <v>180.46996336996335</v>
      </c>
      <c r="F18" s="68"/>
      <c r="G18" s="98"/>
      <c r="H18" s="99">
        <f>H16/H17</f>
        <v>6.5151515151515156</v>
      </c>
    </row>
    <row r="19" spans="1:8" x14ac:dyDescent="0.3">
      <c r="A19" s="80" t="s">
        <v>85</v>
      </c>
      <c r="B19" s="81">
        <f>June25!W35</f>
        <v>0</v>
      </c>
      <c r="C19" s="68"/>
    </row>
    <row r="20" spans="1:8" x14ac:dyDescent="0.3">
      <c r="A20" s="80"/>
      <c r="B20" s="81">
        <f>June25!X35</f>
        <v>0</v>
      </c>
      <c r="C20" s="68"/>
    </row>
    <row r="21" spans="1:8" x14ac:dyDescent="0.3">
      <c r="A21" s="100"/>
      <c r="B21" s="81">
        <f>June25!Y335</f>
        <v>0</v>
      </c>
      <c r="C21" s="68"/>
    </row>
    <row r="22" spans="1:8" x14ac:dyDescent="0.3">
      <c r="A22" s="310" t="s">
        <v>86</v>
      </c>
      <c r="B22" s="311">
        <f>June25!Z35</f>
        <v>967</v>
      </c>
      <c r="C22" s="68"/>
      <c r="D22" s="68"/>
      <c r="E22" s="68"/>
    </row>
    <row r="23" spans="1:8" x14ac:dyDescent="0.3">
      <c r="A23" s="324"/>
      <c r="B23" s="323">
        <f>June25!AA35</f>
        <v>196</v>
      </c>
      <c r="C23" s="68"/>
      <c r="D23" s="68"/>
      <c r="E23" s="68"/>
    </row>
    <row r="24" spans="1:8" x14ac:dyDescent="0.3">
      <c r="A24" s="325"/>
      <c r="B24" s="274">
        <f>June25!AB35</f>
        <v>92.452272727272742</v>
      </c>
      <c r="C24" s="68"/>
      <c r="D24" s="68"/>
      <c r="E24" s="68"/>
    </row>
    <row r="25" spans="1:8" x14ac:dyDescent="0.3">
      <c r="A25" s="325" t="s">
        <v>79</v>
      </c>
      <c r="B25" s="274">
        <f>June25!AC35</f>
        <v>939</v>
      </c>
      <c r="C25" s="68"/>
      <c r="D25" s="68"/>
      <c r="E25" s="68"/>
    </row>
    <row r="26" spans="1:8" x14ac:dyDescent="0.3">
      <c r="A26" s="325"/>
      <c r="B26" s="274">
        <f>June25!AD35</f>
        <v>167</v>
      </c>
      <c r="C26" s="68"/>
      <c r="D26" s="68"/>
      <c r="E26" s="68"/>
    </row>
    <row r="27" spans="1:8" x14ac:dyDescent="0.3">
      <c r="A27" s="325"/>
      <c r="B27" s="274">
        <f>June25!AE35</f>
        <v>41.470870519302771</v>
      </c>
      <c r="C27" s="68"/>
      <c r="D27" s="68"/>
      <c r="E27" s="68"/>
    </row>
    <row r="28" spans="1:8" x14ac:dyDescent="0.3">
      <c r="A28" s="308" t="s">
        <v>14</v>
      </c>
      <c r="B28" s="309">
        <f>June25!AC35</f>
        <v>939</v>
      </c>
      <c r="C28" s="68"/>
      <c r="D28" s="68"/>
      <c r="E28" s="68"/>
    </row>
    <row r="29" spans="1:8" x14ac:dyDescent="0.3">
      <c r="A29" s="83"/>
      <c r="B29" s="81">
        <f>June25!AD35</f>
        <v>167</v>
      </c>
      <c r="C29" s="68"/>
      <c r="D29" s="68"/>
      <c r="E29" s="68"/>
    </row>
    <row r="30" spans="1:8" x14ac:dyDescent="0.3">
      <c r="A30" s="84"/>
      <c r="B30" s="26">
        <f>June25!AE35</f>
        <v>41.470870519302771</v>
      </c>
      <c r="C30" s="68"/>
      <c r="D30" s="68"/>
      <c r="E30" s="68"/>
    </row>
    <row r="31" spans="1:8" x14ac:dyDescent="0.3">
      <c r="A31" s="83" t="s">
        <v>15</v>
      </c>
      <c r="B31" s="81">
        <f>June25!AF35</f>
        <v>29</v>
      </c>
      <c r="C31" s="68"/>
      <c r="F31" s="68"/>
      <c r="G31" s="68"/>
    </row>
    <row r="32" spans="1:8" x14ac:dyDescent="0.3">
      <c r="A32" s="83"/>
      <c r="B32" s="81">
        <f>June25!AG35</f>
        <v>5</v>
      </c>
      <c r="C32" s="68"/>
      <c r="F32" s="68"/>
      <c r="G32" s="68"/>
    </row>
    <row r="33" spans="1:7" x14ac:dyDescent="0.3">
      <c r="A33" s="84"/>
      <c r="B33" s="275">
        <f>June25!AH35</f>
        <v>23</v>
      </c>
      <c r="C33" s="68"/>
      <c r="F33" s="68"/>
      <c r="G33" s="68"/>
    </row>
    <row r="34" spans="1:7" x14ac:dyDescent="0.3">
      <c r="A34" s="83" t="s">
        <v>16</v>
      </c>
      <c r="B34" s="81">
        <f>June25!AL35</f>
        <v>0</v>
      </c>
      <c r="C34" s="68"/>
      <c r="F34" s="68"/>
      <c r="G34" s="68"/>
    </row>
    <row r="35" spans="1:7" x14ac:dyDescent="0.3">
      <c r="A35" s="83"/>
      <c r="B35" s="81">
        <f>June25!AM35</f>
        <v>0</v>
      </c>
      <c r="C35" s="68"/>
      <c r="F35" s="68"/>
      <c r="G35" s="68"/>
    </row>
    <row r="36" spans="1:7" x14ac:dyDescent="0.3">
      <c r="A36" s="84"/>
      <c r="B36" s="26">
        <f>June25!AN35</f>
        <v>0</v>
      </c>
      <c r="C36" s="68"/>
      <c r="F36" s="68"/>
      <c r="G36" s="68"/>
    </row>
    <row r="37" spans="1:7" x14ac:dyDescent="0.3">
      <c r="A37" s="83" t="s">
        <v>17</v>
      </c>
      <c r="B37" s="81">
        <f>June25!AO35</f>
        <v>37</v>
      </c>
      <c r="C37" s="68"/>
      <c r="F37" s="68"/>
      <c r="G37" s="68"/>
    </row>
    <row r="38" spans="1:7" x14ac:dyDescent="0.3">
      <c r="A38" s="83"/>
      <c r="B38" s="81">
        <f>June25!AP35</f>
        <v>6</v>
      </c>
      <c r="C38" s="68"/>
      <c r="F38" s="68"/>
      <c r="G38" s="68"/>
    </row>
    <row r="39" spans="1:7" x14ac:dyDescent="0.3">
      <c r="A39" s="84"/>
      <c r="B39" s="26">
        <f>June25!AQ35</f>
        <v>6.166666666666667</v>
      </c>
      <c r="C39" s="68"/>
      <c r="F39" s="68"/>
      <c r="G39" s="68"/>
    </row>
    <row r="40" spans="1:7" x14ac:dyDescent="0.3">
      <c r="A40" s="83" t="s">
        <v>59</v>
      </c>
      <c r="B40" s="81">
        <f>June25!AR35</f>
        <v>60</v>
      </c>
      <c r="C40" s="68"/>
      <c r="F40" s="68"/>
      <c r="G40" s="68"/>
    </row>
    <row r="41" spans="1:7" x14ac:dyDescent="0.3">
      <c r="A41" s="83"/>
      <c r="B41" s="81">
        <f>June25!AS35</f>
        <v>14</v>
      </c>
      <c r="C41" s="68"/>
      <c r="F41" s="68"/>
      <c r="G41" s="68"/>
    </row>
    <row r="42" spans="1:7" ht="15" thickBot="1" x14ac:dyDescent="0.35">
      <c r="A42" s="94"/>
      <c r="B42" s="89">
        <f>June25!AT35</f>
        <v>45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2BA2-0524-4944-AA63-09CE8774F3C3}">
  <dimension ref="A1:CP126"/>
  <sheetViews>
    <sheetView workbookViewId="0">
      <pane xSplit="9" ySplit="11" topLeftCell="J32" activePane="bottomRight" state="frozen"/>
      <selection pane="topRight" activeCell="J1" sqref="J1"/>
      <selection pane="bottomLeft" activeCell="A12" sqref="A12"/>
      <selection pane="bottomRight" activeCell="J5" sqref="J5:J35"/>
    </sheetView>
  </sheetViews>
  <sheetFormatPr defaultRowHeight="14.4" x14ac:dyDescent="0.3"/>
  <cols>
    <col min="1" max="1" width="32" style="296" customWidth="1"/>
    <col min="2" max="3" width="8.88671875" customWidth="1"/>
    <col min="4" max="9" width="8.88671875" style="2" customWidth="1"/>
    <col min="10" max="10" width="10" style="2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customWidth="1"/>
    <col min="57" max="57" width="9.6640625" customWidth="1"/>
    <col min="58" max="58" width="11.88671875" style="2" customWidth="1"/>
    <col min="59" max="59" width="8.33203125" customWidth="1"/>
    <col min="60" max="60" width="9.6640625" customWidth="1"/>
    <col min="61" max="61" width="11.88671875" style="2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9.109375" style="2"/>
    <col min="85" max="85" width="9.1093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9.109375" style="79"/>
    <col min="94" max="94" width="9.109375" style="2"/>
  </cols>
  <sheetData>
    <row r="1" spans="1:94" ht="18.600000000000001" thickBot="1" x14ac:dyDescent="0.4">
      <c r="A1" s="290" t="s">
        <v>102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328"/>
      <c r="CH3" s="14" t="s">
        <v>26</v>
      </c>
      <c r="CI3" s="14"/>
      <c r="CJ3" s="27"/>
      <c r="CK3" s="14" t="s">
        <v>99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329" t="s">
        <v>31</v>
      </c>
      <c r="CH4" s="16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45839</v>
      </c>
      <c r="B5" s="125">
        <v>60</v>
      </c>
      <c r="C5" s="126">
        <v>7</v>
      </c>
      <c r="D5" s="276">
        <f t="shared" ref="D5:D35" si="0">IF(C5=0,"-",B5/C5)</f>
        <v>8.5714285714285712</v>
      </c>
      <c r="E5" s="125">
        <v>0</v>
      </c>
      <c r="F5" s="126">
        <v>0</v>
      </c>
      <c r="G5" s="139" t="str">
        <f t="shared" ref="G5:G35" si="1">IF(F5=0,"-",E5/F5)</f>
        <v>-</v>
      </c>
      <c r="H5" s="125">
        <v>0</v>
      </c>
      <c r="I5" s="126">
        <v>0</v>
      </c>
      <c r="J5" s="139" t="str">
        <f t="shared" ref="J5:J35" si="2">IF(I5=0,"-",H5/I5)</f>
        <v>-</v>
      </c>
      <c r="K5" s="125">
        <v>23</v>
      </c>
      <c r="L5" s="126">
        <v>3</v>
      </c>
      <c r="M5" s="276">
        <f t="shared" ref="M5:M36" si="3">IF(L5=0,"-",K5/L5)</f>
        <v>7.666666666666667</v>
      </c>
      <c r="N5" s="20">
        <v>0</v>
      </c>
      <c r="O5" s="21">
        <v>0</v>
      </c>
      <c r="P5" s="139" t="str">
        <f t="shared" ref="P5:P34" si="4">IF(O5=0,"-",N5/O5)</f>
        <v>-</v>
      </c>
      <c r="Q5" s="20">
        <v>94</v>
      </c>
      <c r="R5" s="21">
        <v>25</v>
      </c>
      <c r="S5" s="139">
        <f t="shared" ref="S5:S34" si="5">IF(R5=0,"-",Q5/R5)</f>
        <v>3.76</v>
      </c>
      <c r="T5" s="20">
        <v>0</v>
      </c>
      <c r="U5" s="21">
        <v>0</v>
      </c>
      <c r="V5" s="139" t="str">
        <f t="shared" ref="V5:V36" si="6">IF(U5=0,"-",T5/U5)</f>
        <v>-</v>
      </c>
      <c r="W5" s="20">
        <v>0</v>
      </c>
      <c r="X5" s="21">
        <v>0</v>
      </c>
      <c r="Y5" s="139" t="str">
        <f t="shared" ref="Y5:Y34" si="7">IF(X5=0,"-",W5/X5)</f>
        <v>-</v>
      </c>
      <c r="Z5" s="20">
        <v>68</v>
      </c>
      <c r="AA5" s="21">
        <v>14</v>
      </c>
      <c r="AB5" s="139">
        <f t="shared" ref="AB5:AB34" si="8">IF(AA5=0,"-",Z5/AA5)</f>
        <v>4.8571428571428568</v>
      </c>
      <c r="AC5" s="20">
        <v>0</v>
      </c>
      <c r="AD5" s="21">
        <v>0</v>
      </c>
      <c r="AE5" s="139" t="str">
        <f t="shared" ref="AE5:AE34" si="9">IF(AD5=0,"-",AC5/AD5)</f>
        <v>-</v>
      </c>
      <c r="AF5" s="20">
        <v>0</v>
      </c>
      <c r="AG5" s="21">
        <v>0</v>
      </c>
      <c r="AH5" s="139" t="str">
        <f t="shared" ref="AH5:AH34" si="10">IF(AG5=0,"-",AF5/AG5)</f>
        <v>-</v>
      </c>
      <c r="AI5" s="20">
        <v>5</v>
      </c>
      <c r="AJ5" s="21">
        <v>1</v>
      </c>
      <c r="AK5" s="139">
        <f t="shared" ref="AK5:AK34" si="11">IF(AJ5=0,"-",AI5/AJ5)</f>
        <v>5</v>
      </c>
      <c r="AL5" s="20">
        <v>0</v>
      </c>
      <c r="AM5" s="21">
        <v>0</v>
      </c>
      <c r="AN5" s="139" t="str">
        <f t="shared" ref="AN5:AN34" si="12">IF(AM5=0,"-",AL5/AM5)</f>
        <v>-</v>
      </c>
      <c r="AO5" s="20">
        <v>0</v>
      </c>
      <c r="AP5" s="21">
        <v>0</v>
      </c>
      <c r="AQ5" s="139" t="str">
        <f t="shared" ref="AQ5:AQ34" si="13">IF(AP5=0,"-",AO5/AP5)</f>
        <v>-</v>
      </c>
      <c r="AR5" s="20">
        <v>0</v>
      </c>
      <c r="AS5" s="21">
        <v>0</v>
      </c>
      <c r="AT5" s="139" t="str">
        <f t="shared" ref="AT5" si="14">IF(AS5=0,"-",AR5/AS5)</f>
        <v>-</v>
      </c>
      <c r="AU5" s="20">
        <v>0</v>
      </c>
      <c r="AV5" s="21">
        <v>0</v>
      </c>
      <c r="AW5" s="139" t="str">
        <f t="shared" ref="AW5" si="15">IF(AV5=0,"-",AU5/AV5)</f>
        <v>-</v>
      </c>
      <c r="AX5" s="20">
        <v>0</v>
      </c>
      <c r="AY5" s="21">
        <v>0</v>
      </c>
      <c r="AZ5" s="139" t="str">
        <f t="shared" ref="AZ5" si="16">IF(AY5=0,"-",AX5/AY5)</f>
        <v>-</v>
      </c>
      <c r="BA5" s="20">
        <v>0</v>
      </c>
      <c r="BB5" s="21">
        <v>0</v>
      </c>
      <c r="BC5" s="139" t="str">
        <f t="shared" ref="BC5" si="17">IF(BB5=0,"-",BA5/BB5)</f>
        <v>-</v>
      </c>
      <c r="BD5" s="20">
        <v>0</v>
      </c>
      <c r="BE5" s="21">
        <v>0</v>
      </c>
      <c r="BF5" s="139" t="str">
        <f t="shared" ref="BF5" si="18">IF(BE5=0,"-",BD5/BE5)</f>
        <v>-</v>
      </c>
      <c r="BG5" s="20">
        <v>22</v>
      </c>
      <c r="BH5" s="21">
        <v>1</v>
      </c>
      <c r="BI5" s="139">
        <f t="shared" ref="BI5:BI34" si="19">IF(BH5=0,"-",BG5/BH5)</f>
        <v>22</v>
      </c>
      <c r="BJ5" s="250">
        <v>20</v>
      </c>
      <c r="BK5" s="251">
        <v>3</v>
      </c>
      <c r="BL5" s="276">
        <f t="shared" ref="BL5:BL34" si="20">IF(BK5=0,"-",BJ5/BK5)</f>
        <v>6.666666666666667</v>
      </c>
      <c r="BM5" s="250">
        <v>0</v>
      </c>
      <c r="BN5" s="251">
        <v>0</v>
      </c>
      <c r="BO5" s="276" t="str">
        <f t="shared" ref="BO5:BO34" si="21">IF(BN5=0,"-",BM5/BN5)</f>
        <v>-</v>
      </c>
      <c r="BP5" s="326">
        <v>0</v>
      </c>
      <c r="BQ5" s="327">
        <v>0</v>
      </c>
      <c r="BR5" s="276" t="str">
        <f t="shared" ref="BR5:BR34" si="22">IF(BQ5=0,"-",BP5/BQ5)</f>
        <v>-</v>
      </c>
      <c r="BS5" s="254">
        <v>13</v>
      </c>
      <c r="BT5" s="255">
        <v>2</v>
      </c>
      <c r="BU5" s="276">
        <f t="shared" ref="BU5:BU34" si="23">IF(BT5=0,"-",BS5/BT5)</f>
        <v>6.5</v>
      </c>
      <c r="BV5" s="250">
        <v>0</v>
      </c>
      <c r="BW5" s="251">
        <v>0</v>
      </c>
      <c r="BX5" s="276" t="str">
        <f t="shared" ref="BX5:BX34" si="24">IF(BW5=0,"-",BV5/BW5)</f>
        <v>-</v>
      </c>
      <c r="BY5" s="250">
        <v>0</v>
      </c>
      <c r="BZ5" s="251">
        <v>0</v>
      </c>
      <c r="CA5" s="276" t="str">
        <f t="shared" ref="CA5:CA34" si="25">IF(BZ5=0,"-",BY5/BZ5)</f>
        <v>-</v>
      </c>
      <c r="CB5" s="250">
        <v>2</v>
      </c>
      <c r="CC5" s="251">
        <v>1</v>
      </c>
      <c r="CD5" s="276">
        <f t="shared" ref="CD5:CD34" si="26">IF(CC5=0,"-",CB5/CC5)</f>
        <v>2</v>
      </c>
      <c r="CE5" s="250">
        <v>0</v>
      </c>
      <c r="CF5" s="251">
        <v>0</v>
      </c>
      <c r="CG5" s="276" t="str">
        <f t="shared" ref="CG5:CG35" si="27">IF(CF5=0,"-",CE5/CF5)</f>
        <v>-</v>
      </c>
      <c r="CH5" s="250">
        <v>0</v>
      </c>
      <c r="CI5" s="251">
        <v>0</v>
      </c>
      <c r="CJ5" s="276" t="str">
        <f t="shared" ref="CJ5" si="28">IF(CI5=0,"-",CH5/CI5)</f>
        <v>-</v>
      </c>
      <c r="CK5" s="250">
        <v>0</v>
      </c>
      <c r="CL5" s="251">
        <v>0</v>
      </c>
      <c r="CM5" s="276" t="str">
        <f t="shared" ref="CM5" si="29">IF(CL5=0,"-",CK5/CL5)</f>
        <v>-</v>
      </c>
      <c r="CN5" s="117">
        <f>SUM(B5,E5,H5,K5,Q5,T5,W5,Z5,AC5,AF5,AI5,AL5,AO5,AR5,AX5,BA5,BG5,BJ5,BM5,BP5,BS5,BV5,BY5,CB5,CE5,CH5,CK5)</f>
        <v>307</v>
      </c>
      <c r="CO5" s="120">
        <f>C5+F5+I5+L5+R5+U5+X5+AA5+AD5+AG5+AJ5+AS5+AV5+AY5+BB5+BE5+BH5+BK5+BN5+BQ5+BT5+CC5+CF5+CI5+CL5</f>
        <v>57</v>
      </c>
      <c r="CP5" s="147">
        <f t="shared" ref="CP5:CP36" si="30">IF(CO5=0,"",CN5/CO5)</f>
        <v>5.3859649122807021</v>
      </c>
    </row>
    <row r="6" spans="1:94" ht="15" thickBot="1" x14ac:dyDescent="0.35">
      <c r="A6" s="294">
        <v>45840</v>
      </c>
      <c r="B6" s="20">
        <v>55</v>
      </c>
      <c r="C6" s="21">
        <v>7</v>
      </c>
      <c r="D6" s="139">
        <f t="shared" si="0"/>
        <v>7.8571428571428568</v>
      </c>
      <c r="E6" s="20">
        <v>0</v>
      </c>
      <c r="F6" s="21">
        <v>0</v>
      </c>
      <c r="G6" s="139" t="str">
        <f t="shared" si="1"/>
        <v>-</v>
      </c>
      <c r="H6" s="20">
        <v>0</v>
      </c>
      <c r="I6" s="21">
        <v>0</v>
      </c>
      <c r="J6" s="139" t="str">
        <f t="shared" si="2"/>
        <v>-</v>
      </c>
      <c r="K6" s="20">
        <v>8</v>
      </c>
      <c r="L6" s="21">
        <v>1</v>
      </c>
      <c r="M6" s="139">
        <f t="shared" si="3"/>
        <v>8</v>
      </c>
      <c r="N6" s="20">
        <v>0</v>
      </c>
      <c r="O6" s="21">
        <v>0</v>
      </c>
      <c r="P6" s="139" t="str">
        <f t="shared" si="4"/>
        <v>-</v>
      </c>
      <c r="Q6" s="20">
        <v>90</v>
      </c>
      <c r="R6" s="21">
        <v>22</v>
      </c>
      <c r="S6" s="139">
        <f t="shared" si="5"/>
        <v>4.0909090909090908</v>
      </c>
      <c r="T6" s="20">
        <v>58</v>
      </c>
      <c r="U6" s="21">
        <v>12</v>
      </c>
      <c r="V6" s="139">
        <f t="shared" si="6"/>
        <v>4.833333333333333</v>
      </c>
      <c r="W6" s="20">
        <v>0</v>
      </c>
      <c r="X6" s="21">
        <v>0</v>
      </c>
      <c r="Y6" s="139" t="str">
        <f t="shared" si="7"/>
        <v>-</v>
      </c>
      <c r="Z6" s="20">
        <v>30</v>
      </c>
      <c r="AA6" s="21">
        <v>6</v>
      </c>
      <c r="AB6" s="139">
        <f t="shared" si="8"/>
        <v>5</v>
      </c>
      <c r="AC6" s="20">
        <v>0</v>
      </c>
      <c r="AD6" s="21">
        <v>0</v>
      </c>
      <c r="AE6" s="139" t="str">
        <f t="shared" ref="AE6" si="31">IF(AD6=0,"-",AC6/AD6)</f>
        <v>-</v>
      </c>
      <c r="AF6" s="20">
        <v>0</v>
      </c>
      <c r="AG6" s="21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ref="AT6" si="32">IF(AS6=0,"-",AR6/AS6)</f>
        <v>-</v>
      </c>
      <c r="AU6" s="20">
        <v>0</v>
      </c>
      <c r="AV6" s="21">
        <v>0</v>
      </c>
      <c r="AW6" s="139" t="str">
        <f t="shared" ref="AW6" si="33">IF(AV6=0,"-",AU6/AV6)</f>
        <v>-</v>
      </c>
      <c r="AX6" s="20">
        <v>0</v>
      </c>
      <c r="AY6" s="21">
        <v>0</v>
      </c>
      <c r="AZ6" s="139" t="str">
        <f t="shared" ref="AZ6" si="34">IF(AY6=0,"-",AX6/AY6)</f>
        <v>-</v>
      </c>
      <c r="BA6" s="20">
        <v>0</v>
      </c>
      <c r="BB6" s="21">
        <v>0</v>
      </c>
      <c r="BC6" s="139" t="str">
        <f t="shared" ref="BC6" si="35">IF(BB6=0,"-",BA6/BB6)</f>
        <v>-</v>
      </c>
      <c r="BD6" s="20">
        <v>0</v>
      </c>
      <c r="BE6" s="21">
        <v>0</v>
      </c>
      <c r="BF6" s="139" t="str">
        <f t="shared" ref="BF6" si="36">IF(BE6=0,"-",BD6/BE6)</f>
        <v>-</v>
      </c>
      <c r="BG6" s="20">
        <v>11</v>
      </c>
      <c r="BH6" s="21">
        <v>1</v>
      </c>
      <c r="BI6" s="276">
        <f t="shared" si="19"/>
        <v>11</v>
      </c>
      <c r="BJ6" s="252">
        <v>25</v>
      </c>
      <c r="BK6" s="253">
        <v>4</v>
      </c>
      <c r="BL6" s="276">
        <f t="shared" si="20"/>
        <v>6.25</v>
      </c>
      <c r="BM6" s="252">
        <v>0</v>
      </c>
      <c r="BN6" s="253">
        <v>0</v>
      </c>
      <c r="BO6" s="276" t="str">
        <f t="shared" si="21"/>
        <v>-</v>
      </c>
      <c r="BP6" s="302">
        <v>14</v>
      </c>
      <c r="BQ6" s="303">
        <v>2</v>
      </c>
      <c r="BR6" s="276">
        <f t="shared" si="22"/>
        <v>7</v>
      </c>
      <c r="BS6" s="256">
        <v>0</v>
      </c>
      <c r="BT6" s="253">
        <v>0</v>
      </c>
      <c r="BU6" s="276" t="str">
        <f t="shared" si="23"/>
        <v>-</v>
      </c>
      <c r="BV6" s="252">
        <v>0</v>
      </c>
      <c r="BW6" s="253">
        <v>0</v>
      </c>
      <c r="BX6" s="276" t="str">
        <f t="shared" si="24"/>
        <v>-</v>
      </c>
      <c r="BY6" s="252">
        <v>0</v>
      </c>
      <c r="BZ6" s="253">
        <v>0</v>
      </c>
      <c r="CA6" s="276" t="str">
        <f t="shared" si="25"/>
        <v>-</v>
      </c>
      <c r="CB6" s="252">
        <v>0</v>
      </c>
      <c r="CC6" s="253">
        <v>0</v>
      </c>
      <c r="CD6" s="276" t="str">
        <f t="shared" si="26"/>
        <v>-</v>
      </c>
      <c r="CE6" s="252">
        <v>0</v>
      </c>
      <c r="CF6" s="253">
        <v>0</v>
      </c>
      <c r="CG6" s="276" t="str">
        <f t="shared" si="27"/>
        <v>-</v>
      </c>
      <c r="CH6" s="252">
        <v>0</v>
      </c>
      <c r="CI6" s="253">
        <v>0</v>
      </c>
      <c r="CJ6" s="276" t="str">
        <f t="shared" ref="CJ6:CJ35" si="37">IF(CI6=0,"-",CH6/CI6)</f>
        <v>-</v>
      </c>
      <c r="CK6" s="252">
        <v>0</v>
      </c>
      <c r="CL6" s="253">
        <v>0</v>
      </c>
      <c r="CM6" s="276" t="str">
        <f t="shared" ref="CM6:CM35" si="38">IF(CL6=0,"-",CK6/CL6)</f>
        <v>-</v>
      </c>
      <c r="CN6" s="117">
        <f t="shared" ref="CN6:CN34" si="39">SUM(B6,E6,H6,K6,Q6,T6,W6,Z6,AC6,AF6,AI6,AL6,AO6,AR6,AX6,BA6,BG6,BJ6,BM6,BP6,BS6,BV6,BY6,CB6,CE6,CH6,CK6)</f>
        <v>291</v>
      </c>
      <c r="CO6" s="120">
        <f t="shared" ref="CO6:CO34" si="40">C6+F6+I6+L6+R6+U6+X6+AA6+AD6+AG6+AJ6+AS6+AV6+AY6+BB6+BE6+BH6+BK6+BN6+BQ6+BT6+CC6+CF6+CI6+CL6</f>
        <v>55</v>
      </c>
      <c r="CP6" s="147">
        <f t="shared" si="30"/>
        <v>5.290909090909091</v>
      </c>
    </row>
    <row r="7" spans="1:94" ht="15" thickBot="1" x14ac:dyDescent="0.35">
      <c r="A7" s="294">
        <v>45841</v>
      </c>
      <c r="B7" s="20">
        <v>16</v>
      </c>
      <c r="C7" s="21">
        <v>2</v>
      </c>
      <c r="D7" s="139">
        <f t="shared" si="0"/>
        <v>8</v>
      </c>
      <c r="E7" s="20">
        <v>0</v>
      </c>
      <c r="F7" s="21">
        <v>0</v>
      </c>
      <c r="G7" s="139" t="str">
        <f t="shared" si="1"/>
        <v>-</v>
      </c>
      <c r="H7" s="20">
        <v>0</v>
      </c>
      <c r="I7" s="21">
        <v>0</v>
      </c>
      <c r="J7" s="139" t="str">
        <f t="shared" si="2"/>
        <v>-</v>
      </c>
      <c r="K7" s="20">
        <v>19</v>
      </c>
      <c r="L7" s="21">
        <v>2</v>
      </c>
      <c r="M7" s="139">
        <f t="shared" si="3"/>
        <v>9.5</v>
      </c>
      <c r="N7" s="20">
        <v>0</v>
      </c>
      <c r="O7" s="21">
        <v>0</v>
      </c>
      <c r="P7" s="139" t="str">
        <f t="shared" si="4"/>
        <v>-</v>
      </c>
      <c r="Q7" s="20">
        <v>121</v>
      </c>
      <c r="R7" s="21">
        <v>33</v>
      </c>
      <c r="S7" s="139">
        <f t="shared" si="5"/>
        <v>3.6666666666666665</v>
      </c>
      <c r="T7" s="20">
        <v>0</v>
      </c>
      <c r="U7" s="21">
        <v>0</v>
      </c>
      <c r="V7" s="139" t="str">
        <f t="shared" si="6"/>
        <v>-</v>
      </c>
      <c r="W7" s="20">
        <v>0</v>
      </c>
      <c r="X7" s="21">
        <v>0</v>
      </c>
      <c r="Y7" s="139" t="str">
        <f t="shared" si="7"/>
        <v>-</v>
      </c>
      <c r="Z7" s="20">
        <v>30</v>
      </c>
      <c r="AA7" s="21">
        <v>6</v>
      </c>
      <c r="AB7" s="139">
        <f t="shared" si="8"/>
        <v>5</v>
      </c>
      <c r="AC7" s="20">
        <v>0</v>
      </c>
      <c r="AD7" s="21">
        <v>0</v>
      </c>
      <c r="AE7" s="139" t="str">
        <f t="shared" si="9"/>
        <v>-</v>
      </c>
      <c r="AF7" s="20">
        <v>6</v>
      </c>
      <c r="AG7" s="21">
        <v>1</v>
      </c>
      <c r="AH7" s="139">
        <f t="shared" si="10"/>
        <v>6</v>
      </c>
      <c r="AI7" s="20">
        <v>6</v>
      </c>
      <c r="AJ7" s="21">
        <v>1</v>
      </c>
      <c r="AK7" s="139">
        <f t="shared" si="11"/>
        <v>6</v>
      </c>
      <c r="AL7" s="20">
        <v>0</v>
      </c>
      <c r="AM7" s="21">
        <v>0</v>
      </c>
      <c r="AN7" s="139" t="str">
        <f t="shared" si="12"/>
        <v>-</v>
      </c>
      <c r="AO7" s="20">
        <v>12</v>
      </c>
      <c r="AP7" s="21">
        <v>2</v>
      </c>
      <c r="AQ7" s="139">
        <f t="shared" si="13"/>
        <v>6</v>
      </c>
      <c r="AR7" s="20">
        <v>7</v>
      </c>
      <c r="AS7" s="21">
        <v>1</v>
      </c>
      <c r="AT7" s="139">
        <f t="shared" ref="AT7:AT34" si="41">IF(AS7=0,"-",AR7/AS7)</f>
        <v>7</v>
      </c>
      <c r="AU7" s="20">
        <v>0</v>
      </c>
      <c r="AV7" s="21">
        <v>0</v>
      </c>
      <c r="AW7" s="139" t="str">
        <f t="shared" ref="AW7:AW34" si="42">IF(AV7=0,"-",AU7/AV7)</f>
        <v>-</v>
      </c>
      <c r="AX7" s="20">
        <v>4</v>
      </c>
      <c r="AY7" s="21">
        <v>1</v>
      </c>
      <c r="AZ7" s="139">
        <f t="shared" ref="AZ7" si="43">IF(AY7=0,"-",AX7/AY7)</f>
        <v>4</v>
      </c>
      <c r="BA7" s="20">
        <v>0</v>
      </c>
      <c r="BB7" s="21">
        <v>0</v>
      </c>
      <c r="BC7" s="139" t="str">
        <f t="shared" ref="BC7" si="44">IF(BB7=0,"-",BA7/BB7)</f>
        <v>-</v>
      </c>
      <c r="BD7" s="20">
        <v>0</v>
      </c>
      <c r="BE7" s="21">
        <v>0</v>
      </c>
      <c r="BF7" s="139" t="str">
        <f t="shared" ref="BF7" si="45">IF(BE7=0,"-",BD7/BE7)</f>
        <v>-</v>
      </c>
      <c r="BG7" s="20">
        <v>11</v>
      </c>
      <c r="BH7" s="21">
        <v>1</v>
      </c>
      <c r="BI7" s="276">
        <f t="shared" si="19"/>
        <v>11</v>
      </c>
      <c r="BJ7" s="252">
        <v>33</v>
      </c>
      <c r="BK7" s="253">
        <v>5</v>
      </c>
      <c r="BL7" s="276">
        <f t="shared" si="20"/>
        <v>6.6</v>
      </c>
      <c r="BM7" s="252">
        <v>0</v>
      </c>
      <c r="BN7" s="253">
        <v>0</v>
      </c>
      <c r="BO7" s="276" t="str">
        <f t="shared" si="21"/>
        <v>-</v>
      </c>
      <c r="BP7" s="302">
        <v>7</v>
      </c>
      <c r="BQ7" s="303">
        <v>1</v>
      </c>
      <c r="BR7" s="276">
        <f t="shared" si="22"/>
        <v>7</v>
      </c>
      <c r="BS7" s="256">
        <v>0</v>
      </c>
      <c r="BT7" s="253">
        <v>0</v>
      </c>
      <c r="BU7" s="276" t="str">
        <f t="shared" si="23"/>
        <v>-</v>
      </c>
      <c r="BV7" s="125">
        <v>8</v>
      </c>
      <c r="BW7" s="126">
        <v>2</v>
      </c>
      <c r="BX7" s="276">
        <f t="shared" si="24"/>
        <v>4</v>
      </c>
      <c r="BY7" s="125">
        <v>0</v>
      </c>
      <c r="BZ7" s="126">
        <v>0</v>
      </c>
      <c r="CA7" s="276" t="str">
        <f t="shared" si="25"/>
        <v>-</v>
      </c>
      <c r="CB7" s="125">
        <v>2</v>
      </c>
      <c r="CC7" s="126">
        <v>1</v>
      </c>
      <c r="CD7" s="276">
        <f t="shared" si="26"/>
        <v>2</v>
      </c>
      <c r="CE7" s="252">
        <v>0</v>
      </c>
      <c r="CF7" s="253">
        <v>0</v>
      </c>
      <c r="CG7" s="276" t="str">
        <f t="shared" ref="CG7:CG8" si="46">IF(CF7=0,"-",CE7/CF7)</f>
        <v>-</v>
      </c>
      <c r="CH7" s="252">
        <v>0</v>
      </c>
      <c r="CI7" s="253">
        <v>0</v>
      </c>
      <c r="CJ7" s="276" t="str">
        <f t="shared" ref="CJ7:CJ8" si="47">IF(CI7=0,"-",CH7/CI7)</f>
        <v>-</v>
      </c>
      <c r="CK7" s="252">
        <v>0</v>
      </c>
      <c r="CL7" s="253">
        <v>0</v>
      </c>
      <c r="CM7" s="276" t="str">
        <f t="shared" ref="CM7:CM8" si="48">IF(CL7=0,"-",CK7/CL7)</f>
        <v>-</v>
      </c>
      <c r="CN7" s="117">
        <f t="shared" si="39"/>
        <v>282</v>
      </c>
      <c r="CO7" s="120">
        <f t="shared" si="40"/>
        <v>55</v>
      </c>
      <c r="CP7" s="147">
        <f t="shared" si="30"/>
        <v>5.127272727272727</v>
      </c>
    </row>
    <row r="8" spans="1:94" ht="15" thickBot="1" x14ac:dyDescent="0.35">
      <c r="A8" s="294">
        <v>45842</v>
      </c>
      <c r="B8" s="20">
        <v>31</v>
      </c>
      <c r="C8" s="21">
        <v>4</v>
      </c>
      <c r="D8" s="139">
        <f t="shared" si="0"/>
        <v>7.75</v>
      </c>
      <c r="E8" s="20">
        <v>0</v>
      </c>
      <c r="F8" s="21">
        <v>0</v>
      </c>
      <c r="G8" s="139" t="str">
        <f t="shared" ref="G8" si="49">IF(F8=0,"-",E8/F8)</f>
        <v>-</v>
      </c>
      <c r="H8" s="20">
        <v>0</v>
      </c>
      <c r="I8" s="21">
        <v>0</v>
      </c>
      <c r="J8" s="139" t="str">
        <f t="shared" si="2"/>
        <v>-</v>
      </c>
      <c r="K8" s="20">
        <v>9</v>
      </c>
      <c r="L8" s="21">
        <v>1</v>
      </c>
      <c r="M8" s="139">
        <f t="shared" si="3"/>
        <v>9</v>
      </c>
      <c r="N8" s="20">
        <v>0</v>
      </c>
      <c r="O8" s="21">
        <v>0</v>
      </c>
      <c r="P8" s="139" t="str">
        <f t="shared" si="4"/>
        <v>-</v>
      </c>
      <c r="Q8" s="20">
        <v>54</v>
      </c>
      <c r="R8" s="21">
        <v>16</v>
      </c>
      <c r="S8" s="139">
        <f t="shared" si="5"/>
        <v>3.375</v>
      </c>
      <c r="T8" s="20">
        <v>0</v>
      </c>
      <c r="U8" s="21">
        <v>0</v>
      </c>
      <c r="V8" s="139" t="str">
        <f t="shared" ref="V8" si="50">IF(U8=0,"-",T8/U8)</f>
        <v>-</v>
      </c>
      <c r="W8" s="20">
        <v>0</v>
      </c>
      <c r="X8" s="21">
        <v>0</v>
      </c>
      <c r="Y8" s="139" t="str">
        <f t="shared" si="7"/>
        <v>-</v>
      </c>
      <c r="Z8" s="20">
        <v>50</v>
      </c>
      <c r="AA8" s="21">
        <v>10</v>
      </c>
      <c r="AB8" s="139">
        <f t="shared" si="8"/>
        <v>5</v>
      </c>
      <c r="AC8" s="20">
        <v>24</v>
      </c>
      <c r="AD8" s="21">
        <v>6</v>
      </c>
      <c r="AE8" s="139">
        <f t="shared" si="9"/>
        <v>4</v>
      </c>
      <c r="AF8" s="20">
        <v>0</v>
      </c>
      <c r="AG8" s="21">
        <v>0</v>
      </c>
      <c r="AH8" s="139" t="str">
        <f t="shared" si="10"/>
        <v>-</v>
      </c>
      <c r="AI8" s="20">
        <v>6</v>
      </c>
      <c r="AJ8" s="21">
        <v>1</v>
      </c>
      <c r="AK8" s="139">
        <f t="shared" si="11"/>
        <v>6</v>
      </c>
      <c r="AL8" s="20">
        <v>0</v>
      </c>
      <c r="AM8" s="21">
        <v>0</v>
      </c>
      <c r="AN8" s="139" t="str">
        <f t="shared" ref="AN8:AN10" si="51">IF(AM8=0,"-",AL8/AM8)</f>
        <v>-</v>
      </c>
      <c r="AO8" s="20">
        <v>0</v>
      </c>
      <c r="AP8" s="21">
        <v>0</v>
      </c>
      <c r="AQ8" s="139" t="str">
        <f t="shared" si="13"/>
        <v>-</v>
      </c>
      <c r="AR8" s="20">
        <v>0</v>
      </c>
      <c r="AS8" s="21">
        <v>0</v>
      </c>
      <c r="AT8" s="139" t="str">
        <f t="shared" si="41"/>
        <v>-</v>
      </c>
      <c r="AU8" s="20">
        <v>0</v>
      </c>
      <c r="AV8" s="21">
        <v>0</v>
      </c>
      <c r="AW8" s="139" t="str">
        <f t="shared" si="42"/>
        <v>-</v>
      </c>
      <c r="AX8" s="20">
        <v>0</v>
      </c>
      <c r="AY8" s="21">
        <v>0</v>
      </c>
      <c r="AZ8" s="139" t="str">
        <f t="shared" ref="AZ8:AZ34" si="52">IF(AY8=0,"-",AX8/AY8)</f>
        <v>-</v>
      </c>
      <c r="BA8" s="20">
        <v>0</v>
      </c>
      <c r="BB8" s="21">
        <v>0</v>
      </c>
      <c r="BC8" s="139" t="str">
        <f t="shared" ref="BC8:BC34" si="53">IF(BB8=0,"-",BA8/BB8)</f>
        <v>-</v>
      </c>
      <c r="BD8" s="20">
        <v>0</v>
      </c>
      <c r="BE8" s="21">
        <v>0</v>
      </c>
      <c r="BF8" s="139" t="str">
        <f t="shared" ref="BF8:BF34" si="54">IF(BE8=0,"-",BD8/BE8)</f>
        <v>-</v>
      </c>
      <c r="BG8" s="20">
        <v>12</v>
      </c>
      <c r="BH8" s="21">
        <v>1</v>
      </c>
      <c r="BI8" s="276">
        <f t="shared" si="19"/>
        <v>12</v>
      </c>
      <c r="BJ8" s="252">
        <v>40</v>
      </c>
      <c r="BK8" s="253">
        <v>6</v>
      </c>
      <c r="BL8" s="276">
        <f t="shared" si="20"/>
        <v>6.666666666666667</v>
      </c>
      <c r="BM8" s="252">
        <v>0</v>
      </c>
      <c r="BN8" s="253">
        <v>0</v>
      </c>
      <c r="BO8" s="276" t="str">
        <f t="shared" si="21"/>
        <v>-</v>
      </c>
      <c r="BP8" s="302">
        <v>0</v>
      </c>
      <c r="BQ8" s="303">
        <v>0</v>
      </c>
      <c r="BR8" s="276" t="str">
        <f t="shared" si="22"/>
        <v>-</v>
      </c>
      <c r="BS8" s="256">
        <v>0</v>
      </c>
      <c r="BT8" s="253">
        <v>0</v>
      </c>
      <c r="BU8" s="276" t="str">
        <f t="shared" si="23"/>
        <v>-</v>
      </c>
      <c r="BV8" s="252">
        <v>4</v>
      </c>
      <c r="BW8" s="253">
        <v>1</v>
      </c>
      <c r="BX8" s="276">
        <f t="shared" si="24"/>
        <v>4</v>
      </c>
      <c r="BY8" s="252">
        <v>0</v>
      </c>
      <c r="BZ8" s="253">
        <v>0</v>
      </c>
      <c r="CA8" s="276" t="str">
        <f t="shared" si="25"/>
        <v>-</v>
      </c>
      <c r="CB8" s="252">
        <v>0</v>
      </c>
      <c r="CC8" s="253">
        <v>0</v>
      </c>
      <c r="CD8" s="276" t="str">
        <f t="shared" si="26"/>
        <v>-</v>
      </c>
      <c r="CE8" s="252">
        <v>0</v>
      </c>
      <c r="CF8" s="253">
        <v>0</v>
      </c>
      <c r="CG8" s="276" t="str">
        <f t="shared" si="46"/>
        <v>-</v>
      </c>
      <c r="CH8" s="252">
        <v>0</v>
      </c>
      <c r="CI8" s="253">
        <v>0</v>
      </c>
      <c r="CJ8" s="276" t="str">
        <f t="shared" si="47"/>
        <v>-</v>
      </c>
      <c r="CK8" s="252">
        <v>0</v>
      </c>
      <c r="CL8" s="253">
        <v>0</v>
      </c>
      <c r="CM8" s="276" t="str">
        <f t="shared" si="48"/>
        <v>-</v>
      </c>
      <c r="CN8" s="117">
        <f t="shared" si="39"/>
        <v>230</v>
      </c>
      <c r="CO8" s="120">
        <f t="shared" si="40"/>
        <v>45</v>
      </c>
      <c r="CP8" s="147">
        <f t="shared" si="30"/>
        <v>5.1111111111111107</v>
      </c>
    </row>
    <row r="9" spans="1:94" ht="15" thickBot="1" x14ac:dyDescent="0.35">
      <c r="A9" s="294">
        <v>45843</v>
      </c>
      <c r="B9" s="20">
        <v>42</v>
      </c>
      <c r="C9" s="21">
        <v>7</v>
      </c>
      <c r="D9" s="139">
        <f t="shared" si="0"/>
        <v>6</v>
      </c>
      <c r="E9" s="20">
        <v>0</v>
      </c>
      <c r="F9" s="21">
        <v>0</v>
      </c>
      <c r="G9" s="139" t="str">
        <f t="shared" ref="G9" si="55">IF(F9=0,"-",E9/F9)</f>
        <v>-</v>
      </c>
      <c r="H9" s="20">
        <v>0</v>
      </c>
      <c r="I9" s="21">
        <v>0</v>
      </c>
      <c r="J9" s="139" t="str">
        <f t="shared" si="2"/>
        <v>-</v>
      </c>
      <c r="K9" s="20">
        <v>16</v>
      </c>
      <c r="L9" s="21">
        <v>2</v>
      </c>
      <c r="M9" s="139">
        <f t="shared" si="3"/>
        <v>8</v>
      </c>
      <c r="N9" s="20">
        <v>0</v>
      </c>
      <c r="O9" s="21">
        <v>0</v>
      </c>
      <c r="P9" s="139" t="str">
        <f t="shared" si="4"/>
        <v>-</v>
      </c>
      <c r="Q9" s="20">
        <v>24</v>
      </c>
      <c r="R9" s="21">
        <v>4</v>
      </c>
      <c r="S9" s="139">
        <f t="shared" si="5"/>
        <v>6</v>
      </c>
      <c r="T9" s="20">
        <v>0</v>
      </c>
      <c r="U9" s="21">
        <v>0</v>
      </c>
      <c r="V9" s="139" t="str">
        <f t="shared" ref="V9:V10" si="56">IF(U9=0,"-",T9/U9)</f>
        <v>-</v>
      </c>
      <c r="W9" s="20">
        <v>0</v>
      </c>
      <c r="X9" s="21">
        <v>0</v>
      </c>
      <c r="Y9" s="139" t="str">
        <f t="shared" si="7"/>
        <v>-</v>
      </c>
      <c r="Z9" s="20">
        <v>0</v>
      </c>
      <c r="AA9" s="21">
        <v>0</v>
      </c>
      <c r="AB9" s="139" t="str">
        <f t="shared" si="8"/>
        <v>-</v>
      </c>
      <c r="AC9" s="20">
        <v>43</v>
      </c>
      <c r="AD9" s="21">
        <v>10</v>
      </c>
      <c r="AE9" s="139">
        <f t="shared" si="9"/>
        <v>4.3</v>
      </c>
      <c r="AF9" s="20">
        <v>0</v>
      </c>
      <c r="AG9" s="21">
        <v>0</v>
      </c>
      <c r="AH9" s="139" t="str">
        <f t="shared" ref="AH9:AH10" si="57">IF(AG9=0,"-",AF9/AG9)</f>
        <v>-</v>
      </c>
      <c r="AI9" s="20">
        <v>0</v>
      </c>
      <c r="AJ9" s="21">
        <v>0</v>
      </c>
      <c r="AK9" s="139" t="str">
        <f t="shared" si="11"/>
        <v>-</v>
      </c>
      <c r="AL9" s="20">
        <v>0</v>
      </c>
      <c r="AM9" s="21">
        <v>0</v>
      </c>
      <c r="AN9" s="139" t="str">
        <f t="shared" si="51"/>
        <v>-</v>
      </c>
      <c r="AO9" s="20">
        <v>0</v>
      </c>
      <c r="AP9" s="21">
        <v>0</v>
      </c>
      <c r="AQ9" s="139" t="str">
        <f t="shared" si="13"/>
        <v>-</v>
      </c>
      <c r="AR9" s="20">
        <v>0</v>
      </c>
      <c r="AS9" s="21">
        <v>0</v>
      </c>
      <c r="AT9" s="139" t="str">
        <f t="shared" ref="AT9:AT11" si="58">IF(AS9=0,"-",AR9/AS9)</f>
        <v>-</v>
      </c>
      <c r="AU9" s="20">
        <v>0</v>
      </c>
      <c r="AV9" s="21">
        <v>0</v>
      </c>
      <c r="AW9" s="139" t="str">
        <f t="shared" ref="AW9:AW11" si="59">IF(AV9=0,"-",AU9/AV9)</f>
        <v>-</v>
      </c>
      <c r="AX9" s="20">
        <v>0</v>
      </c>
      <c r="AY9" s="21">
        <v>0</v>
      </c>
      <c r="AZ9" s="139" t="str">
        <f t="shared" ref="AZ9:AZ11" si="60">IF(AY9=0,"-",AX9/AY9)</f>
        <v>-</v>
      </c>
      <c r="BA9" s="20">
        <v>0</v>
      </c>
      <c r="BB9" s="21">
        <v>0</v>
      </c>
      <c r="BC9" s="139" t="str">
        <f t="shared" ref="BC9:BC11" si="61">IF(BB9=0,"-",BA9/BB9)</f>
        <v>-</v>
      </c>
      <c r="BD9" s="20">
        <v>0</v>
      </c>
      <c r="BE9" s="21">
        <v>0</v>
      </c>
      <c r="BF9" s="139" t="str">
        <f t="shared" ref="BF9:BF11" si="62">IF(BE9=0,"-",BD9/BE9)</f>
        <v>-</v>
      </c>
      <c r="BG9" s="20">
        <v>0</v>
      </c>
      <c r="BH9" s="21">
        <v>0</v>
      </c>
      <c r="BI9" s="276" t="str">
        <f t="shared" si="19"/>
        <v>-</v>
      </c>
      <c r="BJ9" s="252">
        <v>0</v>
      </c>
      <c r="BK9" s="253">
        <v>0</v>
      </c>
      <c r="BL9" s="276" t="str">
        <f t="shared" si="20"/>
        <v>-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257">
        <v>0</v>
      </c>
      <c r="BT9" s="253">
        <v>0</v>
      </c>
      <c r="BU9" s="276" t="str">
        <f t="shared" si="23"/>
        <v>-</v>
      </c>
      <c r="BV9" s="302">
        <v>0</v>
      </c>
      <c r="BW9" s="303">
        <v>0</v>
      </c>
      <c r="BX9" s="276" t="str">
        <f t="shared" si="24"/>
        <v>-</v>
      </c>
      <c r="BY9" s="302">
        <v>0</v>
      </c>
      <c r="BZ9" s="303">
        <v>0</v>
      </c>
      <c r="CA9" s="276" t="str">
        <f t="shared" si="25"/>
        <v>-</v>
      </c>
      <c r="CB9" s="302">
        <v>0</v>
      </c>
      <c r="CC9" s="303">
        <v>0</v>
      </c>
      <c r="CD9" s="276" t="str">
        <f t="shared" si="26"/>
        <v>-</v>
      </c>
      <c r="CE9" s="302">
        <v>18</v>
      </c>
      <c r="CF9" s="303">
        <v>3</v>
      </c>
      <c r="CG9" s="276">
        <f t="shared" si="27"/>
        <v>6</v>
      </c>
      <c r="CH9" s="302">
        <v>0</v>
      </c>
      <c r="CI9" s="303">
        <v>0</v>
      </c>
      <c r="CJ9" s="276" t="str">
        <f t="shared" si="37"/>
        <v>-</v>
      </c>
      <c r="CK9" s="302">
        <v>0</v>
      </c>
      <c r="CL9" s="303">
        <v>0</v>
      </c>
      <c r="CM9" s="276" t="str">
        <f t="shared" si="38"/>
        <v>-</v>
      </c>
      <c r="CN9" s="117">
        <f t="shared" si="39"/>
        <v>143</v>
      </c>
      <c r="CO9" s="120">
        <f t="shared" si="40"/>
        <v>26</v>
      </c>
      <c r="CP9" s="147">
        <f t="shared" si="30"/>
        <v>5.5</v>
      </c>
    </row>
    <row r="10" spans="1:94" ht="15" thickBot="1" x14ac:dyDescent="0.35">
      <c r="A10" s="294">
        <v>45844</v>
      </c>
      <c r="B10" s="20">
        <v>19</v>
      </c>
      <c r="C10" s="21">
        <v>3</v>
      </c>
      <c r="D10" s="139">
        <f t="shared" si="0"/>
        <v>6.333333333333333</v>
      </c>
      <c r="E10" s="20">
        <v>0</v>
      </c>
      <c r="F10" s="21">
        <v>0</v>
      </c>
      <c r="G10" s="139" t="str">
        <f t="shared" ref="G10" si="63">IF(F10=0,"-",E10/F10)</f>
        <v>-</v>
      </c>
      <c r="H10" s="20">
        <v>0</v>
      </c>
      <c r="I10" s="21">
        <v>0</v>
      </c>
      <c r="J10" s="139" t="str">
        <f t="shared" si="2"/>
        <v>-</v>
      </c>
      <c r="K10" s="20">
        <v>0</v>
      </c>
      <c r="L10" s="21">
        <v>0</v>
      </c>
      <c r="M10" s="139" t="str">
        <f t="shared" si="3"/>
        <v>-</v>
      </c>
      <c r="N10" s="20">
        <v>0</v>
      </c>
      <c r="O10" s="21">
        <v>0</v>
      </c>
      <c r="P10" s="139" t="str">
        <f t="shared" si="4"/>
        <v>-</v>
      </c>
      <c r="Q10" s="20">
        <v>0</v>
      </c>
      <c r="R10" s="21">
        <v>0</v>
      </c>
      <c r="S10" s="139" t="str">
        <f t="shared" si="5"/>
        <v>-</v>
      </c>
      <c r="T10" s="20">
        <v>0</v>
      </c>
      <c r="U10" s="21">
        <v>0</v>
      </c>
      <c r="V10" s="139" t="str">
        <f t="shared" si="56"/>
        <v>-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57"/>
        <v>-</v>
      </c>
      <c r="AI10" s="20">
        <v>0</v>
      </c>
      <c r="AJ10" s="21">
        <v>0</v>
      </c>
      <c r="AK10" s="139" t="str">
        <f t="shared" si="11"/>
        <v>-</v>
      </c>
      <c r="AL10" s="20">
        <v>0</v>
      </c>
      <c r="AM10" s="21">
        <v>0</v>
      </c>
      <c r="AN10" s="139" t="str">
        <f t="shared" si="51"/>
        <v>-</v>
      </c>
      <c r="AO10" s="20">
        <v>0</v>
      </c>
      <c r="AP10" s="21">
        <v>0</v>
      </c>
      <c r="AQ10" s="139" t="str">
        <f t="shared" si="13"/>
        <v>-</v>
      </c>
      <c r="AR10" s="20">
        <v>0</v>
      </c>
      <c r="AS10" s="21">
        <v>0</v>
      </c>
      <c r="AT10" s="139" t="str">
        <f t="shared" si="58"/>
        <v>-</v>
      </c>
      <c r="AU10" s="20">
        <v>0</v>
      </c>
      <c r="AV10" s="21">
        <v>0</v>
      </c>
      <c r="AW10" s="139" t="str">
        <f t="shared" si="59"/>
        <v>-</v>
      </c>
      <c r="AX10" s="20">
        <v>0</v>
      </c>
      <c r="AY10" s="21">
        <v>0</v>
      </c>
      <c r="AZ10" s="139" t="str">
        <f t="shared" si="60"/>
        <v>-</v>
      </c>
      <c r="BA10" s="20">
        <v>0</v>
      </c>
      <c r="BB10" s="21">
        <v>0</v>
      </c>
      <c r="BC10" s="139" t="str">
        <f t="shared" si="61"/>
        <v>-</v>
      </c>
      <c r="BD10" s="20">
        <v>0</v>
      </c>
      <c r="BE10" s="21">
        <v>0</v>
      </c>
      <c r="BF10" s="139" t="str">
        <f t="shared" si="62"/>
        <v>-</v>
      </c>
      <c r="BG10" s="20">
        <v>0</v>
      </c>
      <c r="BH10" s="21">
        <v>0</v>
      </c>
      <c r="BI10" s="139" t="str">
        <f t="shared" si="19"/>
        <v>-</v>
      </c>
      <c r="BJ10" s="252">
        <v>13</v>
      </c>
      <c r="BK10" s="253">
        <v>2</v>
      </c>
      <c r="BL10" s="139">
        <f t="shared" si="20"/>
        <v>6.5</v>
      </c>
      <c r="BM10" s="252">
        <v>0</v>
      </c>
      <c r="BN10" s="253">
        <v>0</v>
      </c>
      <c r="BO10" s="139" t="str">
        <f t="shared" si="21"/>
        <v>-</v>
      </c>
      <c r="BP10" s="302">
        <v>0</v>
      </c>
      <c r="BQ10" s="303">
        <v>0</v>
      </c>
      <c r="BR10" s="139" t="str">
        <f t="shared" si="22"/>
        <v>-</v>
      </c>
      <c r="BS10" s="257">
        <v>6</v>
      </c>
      <c r="BT10" s="253">
        <v>1</v>
      </c>
      <c r="BU10" s="139">
        <f t="shared" si="23"/>
        <v>6</v>
      </c>
      <c r="BV10" s="20">
        <v>1</v>
      </c>
      <c r="BW10" s="21">
        <v>1</v>
      </c>
      <c r="BX10" s="139">
        <f t="shared" si="24"/>
        <v>1</v>
      </c>
      <c r="BY10" s="20">
        <v>0</v>
      </c>
      <c r="BZ10" s="21">
        <v>0</v>
      </c>
      <c r="CA10" s="139" t="str">
        <f t="shared" si="25"/>
        <v>-</v>
      </c>
      <c r="CB10" s="20">
        <v>1</v>
      </c>
      <c r="CC10" s="21">
        <v>1</v>
      </c>
      <c r="CD10" s="139">
        <f t="shared" si="26"/>
        <v>1</v>
      </c>
      <c r="CE10" s="20">
        <v>0</v>
      </c>
      <c r="CF10" s="21">
        <v>0</v>
      </c>
      <c r="CG10" s="139" t="str">
        <f t="shared" si="27"/>
        <v>-</v>
      </c>
      <c r="CH10" s="20">
        <v>0</v>
      </c>
      <c r="CI10" s="21">
        <v>0</v>
      </c>
      <c r="CJ10" s="139" t="str">
        <f t="shared" si="37"/>
        <v>-</v>
      </c>
      <c r="CK10" s="20">
        <v>0</v>
      </c>
      <c r="CL10" s="21">
        <v>0</v>
      </c>
      <c r="CM10" s="139" t="str">
        <f t="shared" si="38"/>
        <v>-</v>
      </c>
      <c r="CN10" s="117">
        <f t="shared" si="39"/>
        <v>40</v>
      </c>
      <c r="CO10" s="120">
        <f t="shared" si="40"/>
        <v>7</v>
      </c>
      <c r="CP10" s="147">
        <f t="shared" si="30"/>
        <v>5.7142857142857144</v>
      </c>
    </row>
    <row r="11" spans="1:94" ht="15" thickBot="1" x14ac:dyDescent="0.35">
      <c r="A11" s="294">
        <v>45845</v>
      </c>
      <c r="B11" s="20">
        <v>75</v>
      </c>
      <c r="C11" s="21">
        <v>11</v>
      </c>
      <c r="D11" s="139">
        <f t="shared" si="0"/>
        <v>6.8181818181818183</v>
      </c>
      <c r="E11" s="20">
        <v>0</v>
      </c>
      <c r="F11" s="21">
        <v>0</v>
      </c>
      <c r="G11" s="139" t="str">
        <f t="shared" ref="G11" si="64">IF(F11=0,"-",E11/F11)</f>
        <v>-</v>
      </c>
      <c r="H11" s="20">
        <v>0</v>
      </c>
      <c r="I11" s="21">
        <v>0</v>
      </c>
      <c r="J11" s="139" t="str">
        <f t="shared" si="2"/>
        <v>-</v>
      </c>
      <c r="K11" s="20">
        <v>24</v>
      </c>
      <c r="L11" s="21">
        <v>3</v>
      </c>
      <c r="M11" s="139">
        <f t="shared" si="3"/>
        <v>8</v>
      </c>
      <c r="N11" s="125">
        <v>0</v>
      </c>
      <c r="O11" s="126">
        <v>0</v>
      </c>
      <c r="P11" s="139" t="str">
        <f t="shared" si="4"/>
        <v>-</v>
      </c>
      <c r="Q11" s="20">
        <v>116</v>
      </c>
      <c r="R11" s="21">
        <v>27</v>
      </c>
      <c r="S11" s="139">
        <f t="shared" si="5"/>
        <v>4.2962962962962967</v>
      </c>
      <c r="T11" s="20">
        <v>16</v>
      </c>
      <c r="U11" s="21">
        <v>3</v>
      </c>
      <c r="V11" s="139">
        <f t="shared" si="6"/>
        <v>5.333333333333333</v>
      </c>
      <c r="W11" s="20">
        <v>0</v>
      </c>
      <c r="X11" s="21">
        <v>0</v>
      </c>
      <c r="Y11" s="139" t="str">
        <f t="shared" si="7"/>
        <v>-</v>
      </c>
      <c r="Z11" s="20">
        <v>50</v>
      </c>
      <c r="AA11" s="21">
        <v>10</v>
      </c>
      <c r="AB11" s="139">
        <f t="shared" si="8"/>
        <v>5</v>
      </c>
      <c r="AC11" s="20">
        <v>0</v>
      </c>
      <c r="AD11" s="21">
        <v>0</v>
      </c>
      <c r="AE11" s="139" t="str">
        <f t="shared" si="9"/>
        <v>-</v>
      </c>
      <c r="AF11" s="20">
        <v>6</v>
      </c>
      <c r="AG11" s="21">
        <v>1</v>
      </c>
      <c r="AH11" s="139">
        <f t="shared" si="10"/>
        <v>6</v>
      </c>
      <c r="AI11" s="20">
        <v>0</v>
      </c>
      <c r="AJ11" s="21">
        <v>0</v>
      </c>
      <c r="AK11" s="139" t="str">
        <f t="shared" ref="AK11:AK12" si="65">IF(AJ11=0,"-",AI11/AJ11)</f>
        <v>-</v>
      </c>
      <c r="AL11" s="20">
        <v>0</v>
      </c>
      <c r="AM11" s="21">
        <v>0</v>
      </c>
      <c r="AN11" s="139" t="str">
        <f t="shared" ref="AN11:AN12" si="66">IF(AM11=0,"-",AL11/AM11)</f>
        <v>-</v>
      </c>
      <c r="AO11" s="20">
        <v>0</v>
      </c>
      <c r="AP11" s="21">
        <v>0</v>
      </c>
      <c r="AQ11" s="139" t="str">
        <f t="shared" ref="AQ11:AQ12" si="67">IF(AP11=0,"-",AO11/AP11)</f>
        <v>-</v>
      </c>
      <c r="AR11" s="20">
        <v>0</v>
      </c>
      <c r="AS11" s="21">
        <v>0</v>
      </c>
      <c r="AT11" s="139" t="str">
        <f t="shared" si="58"/>
        <v>-</v>
      </c>
      <c r="AU11" s="20">
        <v>0</v>
      </c>
      <c r="AV11" s="21">
        <v>0</v>
      </c>
      <c r="AW11" s="139" t="str">
        <f t="shared" si="59"/>
        <v>-</v>
      </c>
      <c r="AX11" s="20">
        <v>0</v>
      </c>
      <c r="AY11" s="21">
        <v>0</v>
      </c>
      <c r="AZ11" s="139" t="str">
        <f t="shared" si="60"/>
        <v>-</v>
      </c>
      <c r="BA11" s="20">
        <v>0</v>
      </c>
      <c r="BB11" s="21">
        <v>0</v>
      </c>
      <c r="BC11" s="139" t="str">
        <f t="shared" si="61"/>
        <v>-</v>
      </c>
      <c r="BD11" s="20">
        <v>0</v>
      </c>
      <c r="BE11" s="21">
        <v>0</v>
      </c>
      <c r="BF11" s="139" t="str">
        <f t="shared" si="62"/>
        <v>-</v>
      </c>
      <c r="BG11" s="20">
        <v>11</v>
      </c>
      <c r="BH11" s="21">
        <v>1</v>
      </c>
      <c r="BI11" s="139">
        <f t="shared" si="19"/>
        <v>11</v>
      </c>
      <c r="BJ11" s="252">
        <v>19</v>
      </c>
      <c r="BK11" s="253">
        <v>3</v>
      </c>
      <c r="BL11" s="139">
        <f t="shared" si="20"/>
        <v>6.333333333333333</v>
      </c>
      <c r="BM11" s="252">
        <v>0</v>
      </c>
      <c r="BN11" s="253">
        <v>0</v>
      </c>
      <c r="BO11" s="139" t="str">
        <f t="shared" si="21"/>
        <v>-</v>
      </c>
      <c r="BP11" s="302">
        <v>0</v>
      </c>
      <c r="BQ11" s="303">
        <v>0</v>
      </c>
      <c r="BR11" s="139" t="str">
        <f t="shared" si="22"/>
        <v>-</v>
      </c>
      <c r="BS11" s="257">
        <v>6</v>
      </c>
      <c r="BT11" s="253">
        <v>1</v>
      </c>
      <c r="BU11" s="139">
        <f t="shared" si="23"/>
        <v>6</v>
      </c>
      <c r="BV11" s="20">
        <v>0</v>
      </c>
      <c r="BW11" s="21">
        <v>0</v>
      </c>
      <c r="BX11" s="139" t="str">
        <f t="shared" si="24"/>
        <v>-</v>
      </c>
      <c r="BY11" s="20">
        <v>0</v>
      </c>
      <c r="BZ11" s="21">
        <v>0</v>
      </c>
      <c r="CA11" s="139" t="str">
        <f t="shared" si="25"/>
        <v>-</v>
      </c>
      <c r="CB11" s="20">
        <v>0</v>
      </c>
      <c r="CC11" s="21">
        <v>0</v>
      </c>
      <c r="CD11" s="139" t="str">
        <f t="shared" si="26"/>
        <v>-</v>
      </c>
      <c r="CE11" s="20">
        <v>0</v>
      </c>
      <c r="CF11" s="21">
        <v>0</v>
      </c>
      <c r="CG11" s="139" t="str">
        <f t="shared" ref="CG11" si="68">IF(CF11=0,"-",CE11/CF11)</f>
        <v>-</v>
      </c>
      <c r="CH11" s="20">
        <v>0</v>
      </c>
      <c r="CI11" s="21">
        <v>0</v>
      </c>
      <c r="CJ11" s="139" t="str">
        <f t="shared" ref="CJ11" si="69">IF(CI11=0,"-",CH11/CI11)</f>
        <v>-</v>
      </c>
      <c r="CK11" s="20">
        <v>0</v>
      </c>
      <c r="CL11" s="21">
        <v>0</v>
      </c>
      <c r="CM11" s="139" t="str">
        <f t="shared" ref="CM11" si="70">IF(CL11=0,"-",CK11/CL11)</f>
        <v>-</v>
      </c>
      <c r="CN11" s="117">
        <f t="shared" si="39"/>
        <v>323</v>
      </c>
      <c r="CO11" s="120">
        <f t="shared" si="40"/>
        <v>60</v>
      </c>
      <c r="CP11" s="147">
        <f t="shared" si="30"/>
        <v>5.3833333333333337</v>
      </c>
    </row>
    <row r="12" spans="1:94" ht="16.2" customHeight="1" thickBot="1" x14ac:dyDescent="0.35">
      <c r="A12" s="294">
        <v>45846</v>
      </c>
      <c r="B12" s="20">
        <v>60</v>
      </c>
      <c r="C12" s="21">
        <v>7</v>
      </c>
      <c r="D12" s="139">
        <f t="shared" si="0"/>
        <v>8.5714285714285712</v>
      </c>
      <c r="E12" s="23">
        <v>16</v>
      </c>
      <c r="F12" s="21">
        <v>2</v>
      </c>
      <c r="G12" s="139">
        <f t="shared" si="1"/>
        <v>8</v>
      </c>
      <c r="H12" s="20">
        <v>0</v>
      </c>
      <c r="I12" s="21">
        <v>0</v>
      </c>
      <c r="J12" s="139" t="str">
        <f t="shared" si="2"/>
        <v>-</v>
      </c>
      <c r="K12" s="20">
        <v>49</v>
      </c>
      <c r="L12" s="21">
        <v>6</v>
      </c>
      <c r="M12" s="139">
        <f t="shared" si="3"/>
        <v>8.1666666666666661</v>
      </c>
      <c r="N12" s="125">
        <v>0</v>
      </c>
      <c r="O12" s="126">
        <v>0</v>
      </c>
      <c r="P12" s="139" t="str">
        <f t="shared" si="4"/>
        <v>-</v>
      </c>
      <c r="Q12" s="23">
        <v>105</v>
      </c>
      <c r="R12" s="21">
        <v>24</v>
      </c>
      <c r="S12" s="139">
        <f t="shared" si="5"/>
        <v>4.375</v>
      </c>
      <c r="T12" s="23">
        <v>0</v>
      </c>
      <c r="U12" s="21">
        <v>0</v>
      </c>
      <c r="V12" s="139" t="str">
        <f t="shared" si="6"/>
        <v>-</v>
      </c>
      <c r="W12" s="23">
        <v>0</v>
      </c>
      <c r="X12" s="21">
        <v>0</v>
      </c>
      <c r="Y12" s="139" t="str">
        <f t="shared" si="7"/>
        <v>-</v>
      </c>
      <c r="Z12" s="23">
        <v>30</v>
      </c>
      <c r="AA12" s="21">
        <v>6</v>
      </c>
      <c r="AB12" s="139">
        <f t="shared" si="8"/>
        <v>5</v>
      </c>
      <c r="AC12" s="23">
        <v>0</v>
      </c>
      <c r="AD12" s="21">
        <v>0</v>
      </c>
      <c r="AE12" s="139" t="str">
        <f t="shared" si="9"/>
        <v>-</v>
      </c>
      <c r="AF12" s="23">
        <v>0</v>
      </c>
      <c r="AG12" s="21">
        <v>0</v>
      </c>
      <c r="AH12" s="139" t="str">
        <f t="shared" si="10"/>
        <v>-</v>
      </c>
      <c r="AI12" s="23">
        <v>0</v>
      </c>
      <c r="AJ12" s="21">
        <v>0</v>
      </c>
      <c r="AK12" s="139" t="str">
        <f t="shared" si="65"/>
        <v>-</v>
      </c>
      <c r="AL12" s="23">
        <v>0</v>
      </c>
      <c r="AM12" s="21">
        <v>0</v>
      </c>
      <c r="AN12" s="139" t="str">
        <f t="shared" si="66"/>
        <v>-</v>
      </c>
      <c r="AO12" s="23">
        <v>0</v>
      </c>
      <c r="AP12" s="21">
        <v>0</v>
      </c>
      <c r="AQ12" s="139" t="str">
        <f t="shared" si="67"/>
        <v>-</v>
      </c>
      <c r="AR12" s="20">
        <v>0</v>
      </c>
      <c r="AS12" s="21">
        <v>0</v>
      </c>
      <c r="AT12" s="139" t="str">
        <f t="shared" ref="AT12" si="71">IF(AS12=0,"-",AR12/AS12)</f>
        <v>-</v>
      </c>
      <c r="AU12" s="20">
        <v>0</v>
      </c>
      <c r="AV12" s="21">
        <v>0</v>
      </c>
      <c r="AW12" s="139" t="str">
        <f t="shared" ref="AW12" si="72">IF(AV12=0,"-",AU12/AV12)</f>
        <v>-</v>
      </c>
      <c r="AX12" s="20">
        <v>0</v>
      </c>
      <c r="AY12" s="21">
        <v>0</v>
      </c>
      <c r="AZ12" s="139" t="str">
        <f t="shared" ref="AZ12" si="73">IF(AY12=0,"-",AX12/AY12)</f>
        <v>-</v>
      </c>
      <c r="BA12" s="20">
        <v>0</v>
      </c>
      <c r="BB12" s="21">
        <v>0</v>
      </c>
      <c r="BC12" s="139" t="str">
        <f t="shared" ref="BC12" si="74">IF(BB12=0,"-",BA12/BB12)</f>
        <v>-</v>
      </c>
      <c r="BD12" s="20">
        <v>0</v>
      </c>
      <c r="BE12" s="21">
        <v>0</v>
      </c>
      <c r="BF12" s="139" t="str">
        <f t="shared" ref="BF12" si="75">IF(BE12=0,"-",BD12/BE12)</f>
        <v>-</v>
      </c>
      <c r="BG12" s="20">
        <v>49</v>
      </c>
      <c r="BH12" s="21">
        <v>6</v>
      </c>
      <c r="BI12" s="139">
        <f t="shared" si="19"/>
        <v>8.1666666666666661</v>
      </c>
      <c r="BJ12" s="252">
        <v>0</v>
      </c>
      <c r="BK12" s="253">
        <v>0</v>
      </c>
      <c r="BL12" s="139" t="str">
        <f t="shared" si="20"/>
        <v>-</v>
      </c>
      <c r="BM12" s="252">
        <v>0</v>
      </c>
      <c r="BN12" s="253">
        <v>0</v>
      </c>
      <c r="BO12" s="139" t="str">
        <f t="shared" si="21"/>
        <v>-</v>
      </c>
      <c r="BP12" s="302">
        <v>0</v>
      </c>
      <c r="BQ12" s="303">
        <v>0</v>
      </c>
      <c r="BR12" s="139" t="str">
        <f t="shared" si="22"/>
        <v>-</v>
      </c>
      <c r="BS12" s="257">
        <v>0</v>
      </c>
      <c r="BT12" s="253">
        <v>0</v>
      </c>
      <c r="BU12" s="139" t="str">
        <f t="shared" si="23"/>
        <v>-</v>
      </c>
      <c r="BV12" s="257">
        <v>3</v>
      </c>
      <c r="BW12" s="253">
        <v>1</v>
      </c>
      <c r="BX12" s="276">
        <f t="shared" si="24"/>
        <v>3</v>
      </c>
      <c r="BY12" s="257">
        <v>0</v>
      </c>
      <c r="BZ12" s="253">
        <v>0</v>
      </c>
      <c r="CA12" s="276" t="str">
        <f t="shared" si="25"/>
        <v>-</v>
      </c>
      <c r="CB12" s="20">
        <v>0</v>
      </c>
      <c r="CC12" s="21">
        <v>0</v>
      </c>
      <c r="CD12" s="139" t="str">
        <f t="shared" si="26"/>
        <v>-</v>
      </c>
      <c r="CE12" s="20">
        <v>6</v>
      </c>
      <c r="CF12" s="21">
        <v>1</v>
      </c>
      <c r="CG12" s="139">
        <f t="shared" si="27"/>
        <v>6</v>
      </c>
      <c r="CH12" s="20">
        <v>0</v>
      </c>
      <c r="CI12" s="21">
        <v>0</v>
      </c>
      <c r="CJ12" s="139" t="str">
        <f t="shared" si="37"/>
        <v>-</v>
      </c>
      <c r="CK12" s="20">
        <v>0</v>
      </c>
      <c r="CL12" s="21">
        <v>0</v>
      </c>
      <c r="CM12" s="139" t="str">
        <f t="shared" si="38"/>
        <v>-</v>
      </c>
      <c r="CN12" s="117">
        <f t="shared" si="39"/>
        <v>318</v>
      </c>
      <c r="CO12" s="120">
        <f t="shared" si="40"/>
        <v>52</v>
      </c>
      <c r="CP12" s="147">
        <f t="shared" si="30"/>
        <v>6.115384615384615</v>
      </c>
    </row>
    <row r="13" spans="1:94" ht="15" thickBot="1" x14ac:dyDescent="0.35">
      <c r="A13" s="294">
        <v>45847</v>
      </c>
      <c r="B13" s="20">
        <v>35</v>
      </c>
      <c r="C13" s="21">
        <v>4</v>
      </c>
      <c r="D13" s="139">
        <f t="shared" si="0"/>
        <v>8.75</v>
      </c>
      <c r="E13" s="23">
        <v>0</v>
      </c>
      <c r="F13" s="21">
        <v>0</v>
      </c>
      <c r="G13" s="139" t="str">
        <f t="shared" si="1"/>
        <v>-</v>
      </c>
      <c r="H13" s="20">
        <v>0</v>
      </c>
      <c r="I13" s="21">
        <v>0</v>
      </c>
      <c r="J13" s="139" t="str">
        <f t="shared" si="2"/>
        <v>-</v>
      </c>
      <c r="K13" s="20">
        <v>18</v>
      </c>
      <c r="L13" s="21">
        <v>2</v>
      </c>
      <c r="M13" s="139">
        <f t="shared" si="3"/>
        <v>9</v>
      </c>
      <c r="N13" s="125">
        <v>0</v>
      </c>
      <c r="O13" s="126">
        <v>0</v>
      </c>
      <c r="P13" s="139" t="str">
        <f t="shared" si="4"/>
        <v>-</v>
      </c>
      <c r="Q13" s="125">
        <v>92</v>
      </c>
      <c r="R13" s="126">
        <v>21</v>
      </c>
      <c r="S13" s="139">
        <f t="shared" si="5"/>
        <v>4.3809523809523814</v>
      </c>
      <c r="T13" s="125">
        <v>14</v>
      </c>
      <c r="U13" s="126">
        <v>3</v>
      </c>
      <c r="V13" s="139">
        <f t="shared" si="6"/>
        <v>4.666666666666667</v>
      </c>
      <c r="W13" s="125">
        <v>0</v>
      </c>
      <c r="X13" s="126">
        <v>0</v>
      </c>
      <c r="Y13" s="139" t="str">
        <f t="shared" si="7"/>
        <v>-</v>
      </c>
      <c r="Z13" s="125">
        <v>45</v>
      </c>
      <c r="AA13" s="126">
        <v>9</v>
      </c>
      <c r="AB13" s="139">
        <f t="shared" si="8"/>
        <v>5</v>
      </c>
      <c r="AC13" s="20">
        <v>52</v>
      </c>
      <c r="AD13" s="21">
        <v>11</v>
      </c>
      <c r="AE13" s="139">
        <f t="shared" si="9"/>
        <v>4.7272727272727275</v>
      </c>
      <c r="AF13" s="23">
        <v>0</v>
      </c>
      <c r="AG13" s="21">
        <v>0</v>
      </c>
      <c r="AH13" s="139" t="str">
        <f t="shared" ref="AH13" si="76">IF(AG13=0,"-",AF13/AG13)</f>
        <v>-</v>
      </c>
      <c r="AI13" s="23">
        <v>0</v>
      </c>
      <c r="AJ13" s="21">
        <v>0</v>
      </c>
      <c r="AK13" s="139" t="str">
        <f t="shared" ref="AK13" si="77">IF(AJ13=0,"-",AI13/AJ13)</f>
        <v>-</v>
      </c>
      <c r="AL13" s="23">
        <v>11</v>
      </c>
      <c r="AM13" s="21">
        <v>2</v>
      </c>
      <c r="AN13" s="139">
        <f t="shared" si="12"/>
        <v>5.5</v>
      </c>
      <c r="AO13" s="20">
        <v>0</v>
      </c>
      <c r="AP13" s="21">
        <v>0</v>
      </c>
      <c r="AQ13" s="139" t="str">
        <f t="shared" ref="AQ13" si="78">IF(AP13=0,"-",AO13/AP13)</f>
        <v>-</v>
      </c>
      <c r="AR13" s="20">
        <v>13</v>
      </c>
      <c r="AS13" s="21">
        <v>2</v>
      </c>
      <c r="AT13" s="139">
        <f t="shared" ref="AT13:AT15" si="79">IF(AS13=0,"-",AR13/AS13)</f>
        <v>6.5</v>
      </c>
      <c r="AU13" s="20">
        <v>0</v>
      </c>
      <c r="AV13" s="21">
        <v>0</v>
      </c>
      <c r="AW13" s="139" t="str">
        <f t="shared" ref="AW13:AW15" si="80">IF(AV13=0,"-",AU13/AV13)</f>
        <v>-</v>
      </c>
      <c r="AX13" s="20">
        <v>11</v>
      </c>
      <c r="AY13" s="21">
        <v>2</v>
      </c>
      <c r="AZ13" s="139">
        <f t="shared" ref="AZ13:AZ15" si="81">IF(AY13=0,"-",AX13/AY13)</f>
        <v>5.5</v>
      </c>
      <c r="BA13" s="20">
        <v>0</v>
      </c>
      <c r="BB13" s="21">
        <v>0</v>
      </c>
      <c r="BC13" s="139" t="str">
        <f t="shared" ref="BC13:BC15" si="82">IF(BB13=0,"-",BA13/BB13)</f>
        <v>-</v>
      </c>
      <c r="BD13" s="20">
        <v>0</v>
      </c>
      <c r="BE13" s="21">
        <v>0</v>
      </c>
      <c r="BF13" s="139" t="str">
        <f t="shared" ref="BF13:BF15" si="83">IF(BE13=0,"-",BD13/BE13)</f>
        <v>-</v>
      </c>
      <c r="BG13" s="20">
        <v>0</v>
      </c>
      <c r="BH13" s="21">
        <v>0</v>
      </c>
      <c r="BI13" s="139" t="str">
        <f t="shared" si="19"/>
        <v>-</v>
      </c>
      <c r="BJ13" s="252">
        <v>13</v>
      </c>
      <c r="BK13" s="253">
        <v>2</v>
      </c>
      <c r="BL13" s="276">
        <f t="shared" si="20"/>
        <v>6.5</v>
      </c>
      <c r="BM13" s="252">
        <v>0</v>
      </c>
      <c r="BN13" s="253">
        <v>0</v>
      </c>
      <c r="BO13" s="276" t="str">
        <f t="shared" si="21"/>
        <v>-</v>
      </c>
      <c r="BP13" s="302">
        <v>0</v>
      </c>
      <c r="BQ13" s="303">
        <v>0</v>
      </c>
      <c r="BR13" s="276" t="str">
        <f t="shared" si="22"/>
        <v>-</v>
      </c>
      <c r="BS13" s="257">
        <v>13</v>
      </c>
      <c r="BT13" s="253">
        <v>2</v>
      </c>
      <c r="BU13" s="139">
        <f t="shared" si="23"/>
        <v>6.5</v>
      </c>
      <c r="BV13" s="20">
        <v>6</v>
      </c>
      <c r="BW13" s="21">
        <v>1</v>
      </c>
      <c r="BX13" s="139">
        <f t="shared" si="24"/>
        <v>6</v>
      </c>
      <c r="BY13" s="20">
        <v>0</v>
      </c>
      <c r="BZ13" s="21">
        <v>0</v>
      </c>
      <c r="CA13" s="139" t="str">
        <f t="shared" si="25"/>
        <v>-</v>
      </c>
      <c r="CB13" s="20">
        <v>0</v>
      </c>
      <c r="CC13" s="21">
        <v>0</v>
      </c>
      <c r="CD13" s="139" t="str">
        <f t="shared" si="26"/>
        <v>-</v>
      </c>
      <c r="CE13" s="20">
        <v>0</v>
      </c>
      <c r="CF13" s="21">
        <v>0</v>
      </c>
      <c r="CG13" s="139" t="str">
        <f t="shared" si="27"/>
        <v>-</v>
      </c>
      <c r="CH13" s="20">
        <v>0</v>
      </c>
      <c r="CI13" s="21">
        <v>0</v>
      </c>
      <c r="CJ13" s="139" t="str">
        <f t="shared" si="37"/>
        <v>-</v>
      </c>
      <c r="CK13" s="20">
        <v>0</v>
      </c>
      <c r="CL13" s="21">
        <v>0</v>
      </c>
      <c r="CM13" s="139" t="str">
        <f t="shared" si="38"/>
        <v>-</v>
      </c>
      <c r="CN13" s="117">
        <f t="shared" si="39"/>
        <v>323</v>
      </c>
      <c r="CO13" s="120">
        <f t="shared" si="40"/>
        <v>58</v>
      </c>
      <c r="CP13" s="147">
        <f t="shared" si="30"/>
        <v>5.568965517241379</v>
      </c>
    </row>
    <row r="14" spans="1:94" ht="15" thickBot="1" x14ac:dyDescent="0.35">
      <c r="A14" s="294">
        <v>45848</v>
      </c>
      <c r="B14" s="20">
        <v>50</v>
      </c>
      <c r="C14" s="21">
        <v>6</v>
      </c>
      <c r="D14" s="139">
        <f t="shared" si="0"/>
        <v>8.3333333333333339</v>
      </c>
      <c r="E14" s="23">
        <v>16</v>
      </c>
      <c r="F14" s="21">
        <v>2</v>
      </c>
      <c r="G14" s="139">
        <f t="shared" si="1"/>
        <v>8</v>
      </c>
      <c r="H14" s="20">
        <v>0</v>
      </c>
      <c r="I14" s="21">
        <v>0</v>
      </c>
      <c r="J14" s="139" t="str">
        <f t="shared" si="2"/>
        <v>-</v>
      </c>
      <c r="K14" s="20">
        <v>16</v>
      </c>
      <c r="L14" s="21">
        <v>2</v>
      </c>
      <c r="M14" s="139">
        <f t="shared" si="3"/>
        <v>8</v>
      </c>
      <c r="N14" s="125">
        <v>0</v>
      </c>
      <c r="O14" s="126">
        <v>0</v>
      </c>
      <c r="P14" s="139" t="str">
        <f t="shared" si="4"/>
        <v>-</v>
      </c>
      <c r="Q14" s="20">
        <v>183</v>
      </c>
      <c r="R14" s="21">
        <v>40</v>
      </c>
      <c r="S14" s="139">
        <f t="shared" si="5"/>
        <v>4.5750000000000002</v>
      </c>
      <c r="T14" s="20">
        <v>0</v>
      </c>
      <c r="U14" s="21">
        <v>0</v>
      </c>
      <c r="V14" s="139" t="str">
        <f t="shared" si="6"/>
        <v>-</v>
      </c>
      <c r="W14" s="20">
        <v>0</v>
      </c>
      <c r="X14" s="21">
        <v>0</v>
      </c>
      <c r="Y14" s="139" t="str">
        <f t="shared" si="7"/>
        <v>-</v>
      </c>
      <c r="Z14" s="20">
        <v>30</v>
      </c>
      <c r="AA14" s="21">
        <v>6</v>
      </c>
      <c r="AB14" s="139">
        <f t="shared" si="8"/>
        <v>5</v>
      </c>
      <c r="AC14" s="20">
        <v>0</v>
      </c>
      <c r="AD14" s="21">
        <v>0</v>
      </c>
      <c r="AE14" s="139" t="str">
        <f t="shared" si="9"/>
        <v>-</v>
      </c>
      <c r="AF14" s="20">
        <v>0</v>
      </c>
      <c r="AG14" s="21">
        <v>0</v>
      </c>
      <c r="AH14" s="139" t="str">
        <f t="shared" si="10"/>
        <v>-</v>
      </c>
      <c r="AI14" s="20">
        <v>0</v>
      </c>
      <c r="AJ14" s="21">
        <v>0</v>
      </c>
      <c r="AK14" s="139" t="str">
        <f t="shared" si="11"/>
        <v>-</v>
      </c>
      <c r="AL14" s="20">
        <v>0</v>
      </c>
      <c r="AM14" s="21">
        <v>0</v>
      </c>
      <c r="AN14" s="139" t="str">
        <f t="shared" si="12"/>
        <v>-</v>
      </c>
      <c r="AO14" s="20">
        <v>0</v>
      </c>
      <c r="AP14" s="21">
        <v>0</v>
      </c>
      <c r="AQ14" s="139" t="str">
        <f t="shared" si="13"/>
        <v>-</v>
      </c>
      <c r="AR14" s="20">
        <v>0</v>
      </c>
      <c r="AS14" s="21">
        <v>0</v>
      </c>
      <c r="AT14" s="139" t="str">
        <f t="shared" si="79"/>
        <v>-</v>
      </c>
      <c r="AU14" s="20">
        <v>0</v>
      </c>
      <c r="AV14" s="21">
        <v>0</v>
      </c>
      <c r="AW14" s="139" t="str">
        <f t="shared" si="80"/>
        <v>-</v>
      </c>
      <c r="AX14" s="20">
        <v>6</v>
      </c>
      <c r="AY14" s="21">
        <v>2</v>
      </c>
      <c r="AZ14" s="139">
        <f t="shared" si="81"/>
        <v>3</v>
      </c>
      <c r="BA14" s="20">
        <v>0</v>
      </c>
      <c r="BB14" s="21">
        <v>0</v>
      </c>
      <c r="BC14" s="139" t="str">
        <f t="shared" si="82"/>
        <v>-</v>
      </c>
      <c r="BD14" s="20">
        <v>0</v>
      </c>
      <c r="BE14" s="21">
        <v>0</v>
      </c>
      <c r="BF14" s="139" t="str">
        <f t="shared" si="83"/>
        <v>-</v>
      </c>
      <c r="BG14" s="20">
        <v>0</v>
      </c>
      <c r="BH14" s="21">
        <v>0</v>
      </c>
      <c r="BI14" s="139">
        <v>0</v>
      </c>
      <c r="BJ14" s="252">
        <v>13</v>
      </c>
      <c r="BK14" s="253">
        <v>2</v>
      </c>
      <c r="BL14" s="276">
        <f t="shared" si="20"/>
        <v>6.5</v>
      </c>
      <c r="BM14" s="252">
        <v>0</v>
      </c>
      <c r="BN14" s="253">
        <v>0</v>
      </c>
      <c r="BO14" s="276" t="str">
        <f t="shared" si="21"/>
        <v>-</v>
      </c>
      <c r="BP14" s="302">
        <v>0</v>
      </c>
      <c r="BQ14" s="303">
        <v>0</v>
      </c>
      <c r="BR14" s="276" t="str">
        <f t="shared" si="22"/>
        <v>-</v>
      </c>
      <c r="BS14" s="257">
        <v>6</v>
      </c>
      <c r="BT14" s="253">
        <v>1</v>
      </c>
      <c r="BU14" s="276">
        <f t="shared" si="23"/>
        <v>6</v>
      </c>
      <c r="BV14" s="125">
        <v>0</v>
      </c>
      <c r="BW14" s="126">
        <v>0</v>
      </c>
      <c r="BX14" s="276" t="str">
        <f t="shared" si="24"/>
        <v>-</v>
      </c>
      <c r="BY14" s="125">
        <v>0</v>
      </c>
      <c r="BZ14" s="126">
        <v>0</v>
      </c>
      <c r="CA14" s="276" t="str">
        <f t="shared" si="25"/>
        <v>-</v>
      </c>
      <c r="CB14" s="125">
        <v>0</v>
      </c>
      <c r="CC14" s="126">
        <v>0</v>
      </c>
      <c r="CD14" s="276" t="str">
        <f t="shared" si="26"/>
        <v>-</v>
      </c>
      <c r="CE14" s="20">
        <v>0</v>
      </c>
      <c r="CF14" s="21">
        <v>0</v>
      </c>
      <c r="CG14" s="139" t="str">
        <f t="shared" ref="CG14" si="84">IF(CF14=0,"-",CE14/CF14)</f>
        <v>-</v>
      </c>
      <c r="CH14" s="20">
        <v>0</v>
      </c>
      <c r="CI14" s="21">
        <v>0</v>
      </c>
      <c r="CJ14" s="139" t="str">
        <f t="shared" ref="CJ14" si="85">IF(CI14=0,"-",CH14/CI14)</f>
        <v>-</v>
      </c>
      <c r="CK14" s="20">
        <v>0</v>
      </c>
      <c r="CL14" s="21">
        <v>0</v>
      </c>
      <c r="CM14" s="139" t="str">
        <f t="shared" ref="CM14" si="86">IF(CL14=0,"-",CK14/CL14)</f>
        <v>-</v>
      </c>
      <c r="CN14" s="117">
        <f t="shared" si="39"/>
        <v>320</v>
      </c>
      <c r="CO14" s="120">
        <f t="shared" si="40"/>
        <v>61</v>
      </c>
      <c r="CP14" s="147">
        <f t="shared" si="30"/>
        <v>5.2459016393442619</v>
      </c>
    </row>
    <row r="15" spans="1:94" ht="15" thickBot="1" x14ac:dyDescent="0.35">
      <c r="A15" s="294">
        <v>45849</v>
      </c>
      <c r="B15" s="20">
        <v>52</v>
      </c>
      <c r="C15" s="21">
        <v>6</v>
      </c>
      <c r="D15" s="139">
        <f t="shared" si="0"/>
        <v>8.6666666666666661</v>
      </c>
      <c r="E15" s="20">
        <v>0</v>
      </c>
      <c r="F15" s="21">
        <v>0</v>
      </c>
      <c r="G15" s="139" t="str">
        <f t="shared" si="1"/>
        <v>-</v>
      </c>
      <c r="H15" s="20">
        <v>0</v>
      </c>
      <c r="I15" s="21">
        <v>0</v>
      </c>
      <c r="J15" s="139" t="str">
        <f t="shared" si="2"/>
        <v>-</v>
      </c>
      <c r="K15" s="20">
        <v>25</v>
      </c>
      <c r="L15" s="21">
        <v>3</v>
      </c>
      <c r="M15" s="139">
        <f t="shared" si="3"/>
        <v>8.3333333333333339</v>
      </c>
      <c r="N15" s="125">
        <v>0</v>
      </c>
      <c r="O15" s="126">
        <v>0</v>
      </c>
      <c r="P15" s="139" t="str">
        <f t="shared" si="4"/>
        <v>-</v>
      </c>
      <c r="Q15" s="20">
        <v>75</v>
      </c>
      <c r="R15" s="21">
        <v>18</v>
      </c>
      <c r="S15" s="139">
        <f t="shared" si="5"/>
        <v>4.166666666666667</v>
      </c>
      <c r="T15" s="20">
        <v>0</v>
      </c>
      <c r="U15" s="21">
        <v>0</v>
      </c>
      <c r="V15" s="139" t="str">
        <f t="shared" si="6"/>
        <v>-</v>
      </c>
      <c r="W15" s="20">
        <v>0</v>
      </c>
      <c r="X15" s="21">
        <v>0</v>
      </c>
      <c r="Y15" s="139" t="str">
        <f t="shared" si="7"/>
        <v>-</v>
      </c>
      <c r="Z15" s="20">
        <v>46</v>
      </c>
      <c r="AA15" s="21">
        <v>10</v>
      </c>
      <c r="AB15" s="139">
        <f t="shared" si="8"/>
        <v>4.5999999999999996</v>
      </c>
      <c r="AC15" s="20">
        <v>0</v>
      </c>
      <c r="AD15" s="21">
        <v>0</v>
      </c>
      <c r="AE15" s="139" t="str">
        <f t="shared" ref="AE15:AE17" si="87">IF(AD15=0,"-",AC15/AD15)</f>
        <v>-</v>
      </c>
      <c r="AF15" s="20">
        <v>0</v>
      </c>
      <c r="AG15" s="21">
        <v>0</v>
      </c>
      <c r="AH15" s="139" t="str">
        <f t="shared" ref="AH15:AH18" si="88">IF(AG15=0,"-",AF15/AG15)</f>
        <v>-</v>
      </c>
      <c r="AI15" s="20">
        <v>6</v>
      </c>
      <c r="AJ15" s="21">
        <v>1</v>
      </c>
      <c r="AK15" s="139">
        <f t="shared" si="11"/>
        <v>6</v>
      </c>
      <c r="AL15" s="20">
        <v>0</v>
      </c>
      <c r="AM15" s="21">
        <v>0</v>
      </c>
      <c r="AN15" s="139" t="str">
        <f t="shared" ref="AN15" si="89">IF(AM15=0,"-",AL15/AM15)</f>
        <v>-</v>
      </c>
      <c r="AO15" s="20">
        <v>0</v>
      </c>
      <c r="AP15" s="21">
        <v>0</v>
      </c>
      <c r="AQ15" s="139" t="str">
        <f t="shared" ref="AQ15" si="90">IF(AP15=0,"-",AO15/AP15)</f>
        <v>-</v>
      </c>
      <c r="AR15" s="20">
        <v>0</v>
      </c>
      <c r="AS15" s="21">
        <v>0</v>
      </c>
      <c r="AT15" s="139" t="str">
        <f t="shared" si="79"/>
        <v>-</v>
      </c>
      <c r="AU15" s="20">
        <v>0</v>
      </c>
      <c r="AV15" s="21">
        <v>0</v>
      </c>
      <c r="AW15" s="139" t="str">
        <f t="shared" si="80"/>
        <v>-</v>
      </c>
      <c r="AX15" s="20">
        <v>0</v>
      </c>
      <c r="AY15" s="21">
        <v>0</v>
      </c>
      <c r="AZ15" s="139" t="str">
        <f t="shared" si="81"/>
        <v>-</v>
      </c>
      <c r="BA15" s="20">
        <v>0</v>
      </c>
      <c r="BB15" s="21">
        <v>0</v>
      </c>
      <c r="BC15" s="139" t="str">
        <f t="shared" si="82"/>
        <v>-</v>
      </c>
      <c r="BD15" s="20">
        <v>0</v>
      </c>
      <c r="BE15" s="21">
        <v>0</v>
      </c>
      <c r="BF15" s="139" t="str">
        <f t="shared" si="83"/>
        <v>-</v>
      </c>
      <c r="BG15" s="20">
        <v>0</v>
      </c>
      <c r="BH15" s="21">
        <v>0</v>
      </c>
      <c r="BI15" s="139" t="str">
        <f t="shared" si="19"/>
        <v>-</v>
      </c>
      <c r="BJ15" s="252">
        <v>6</v>
      </c>
      <c r="BK15" s="253">
        <v>1</v>
      </c>
      <c r="BL15" s="276">
        <f t="shared" si="20"/>
        <v>6</v>
      </c>
      <c r="BM15" s="252">
        <v>0</v>
      </c>
      <c r="BN15" s="253">
        <v>0</v>
      </c>
      <c r="BO15" s="276" t="str">
        <f t="shared" si="21"/>
        <v>-</v>
      </c>
      <c r="BP15" s="302">
        <v>0</v>
      </c>
      <c r="BQ15" s="303">
        <v>0</v>
      </c>
      <c r="BR15" s="276" t="str">
        <f t="shared" si="22"/>
        <v>-</v>
      </c>
      <c r="BS15" s="257">
        <v>0</v>
      </c>
      <c r="BT15" s="253">
        <v>0</v>
      </c>
      <c r="BU15" s="276" t="str">
        <f t="shared" si="23"/>
        <v>-</v>
      </c>
      <c r="BV15" s="257">
        <v>2</v>
      </c>
      <c r="BW15" s="253">
        <v>1</v>
      </c>
      <c r="BX15" s="276">
        <f t="shared" si="24"/>
        <v>2</v>
      </c>
      <c r="BY15" s="257">
        <v>0</v>
      </c>
      <c r="BZ15" s="253">
        <v>0</v>
      </c>
      <c r="CA15" s="276" t="str">
        <f t="shared" si="25"/>
        <v>-</v>
      </c>
      <c r="CB15" s="257">
        <v>0</v>
      </c>
      <c r="CC15" s="253">
        <v>0</v>
      </c>
      <c r="CD15" s="276" t="str">
        <f t="shared" si="26"/>
        <v>-</v>
      </c>
      <c r="CE15" s="20">
        <v>0</v>
      </c>
      <c r="CF15" s="21">
        <v>0</v>
      </c>
      <c r="CG15" s="139" t="str">
        <f t="shared" ref="CG15:CG20" si="91">IF(CF15=0,"-",CE15/CF15)</f>
        <v>-</v>
      </c>
      <c r="CH15" s="20">
        <v>0</v>
      </c>
      <c r="CI15" s="21">
        <v>0</v>
      </c>
      <c r="CJ15" s="139" t="str">
        <f t="shared" ref="CJ15:CJ20" si="92">IF(CI15=0,"-",CH15/CI15)</f>
        <v>-</v>
      </c>
      <c r="CK15" s="20">
        <v>0</v>
      </c>
      <c r="CL15" s="21">
        <v>0</v>
      </c>
      <c r="CM15" s="139" t="str">
        <f t="shared" ref="CM15:CM20" si="93">IF(CL15=0,"-",CK15/CL15)</f>
        <v>-</v>
      </c>
      <c r="CN15" s="117">
        <f t="shared" si="39"/>
        <v>212</v>
      </c>
      <c r="CO15" s="120">
        <f t="shared" si="40"/>
        <v>39</v>
      </c>
      <c r="CP15" s="147">
        <f t="shared" si="30"/>
        <v>5.4358974358974361</v>
      </c>
    </row>
    <row r="16" spans="1:94" ht="15" thickBot="1" x14ac:dyDescent="0.35">
      <c r="A16" s="294">
        <v>45850</v>
      </c>
      <c r="B16" s="20">
        <v>87</v>
      </c>
      <c r="C16" s="21">
        <v>10</v>
      </c>
      <c r="D16" s="139">
        <f t="shared" si="0"/>
        <v>8.6999999999999993</v>
      </c>
      <c r="E16" s="20">
        <v>0</v>
      </c>
      <c r="F16" s="21">
        <v>0</v>
      </c>
      <c r="G16" s="139" t="str">
        <f t="shared" ref="G16" si="94">IF(F16=0,"-",E16/F16)</f>
        <v>-</v>
      </c>
      <c r="H16" s="20">
        <v>0</v>
      </c>
      <c r="I16" s="21">
        <v>0</v>
      </c>
      <c r="J16" s="139" t="str">
        <f t="shared" si="2"/>
        <v>-</v>
      </c>
      <c r="K16" s="20">
        <v>24</v>
      </c>
      <c r="L16" s="21">
        <v>3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125">
        <v>30</v>
      </c>
      <c r="R16" s="126">
        <v>5</v>
      </c>
      <c r="S16" s="139">
        <f t="shared" si="5"/>
        <v>6</v>
      </c>
      <c r="T16" s="20">
        <v>0</v>
      </c>
      <c r="U16" s="21">
        <v>0</v>
      </c>
      <c r="V16" s="139" t="str">
        <f t="shared" ref="V16:V17" si="95">IF(U16=0,"-",T16/U16)</f>
        <v>-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8"/>
        <v>-</v>
      </c>
      <c r="AC16" s="20">
        <v>0</v>
      </c>
      <c r="AD16" s="21">
        <v>0</v>
      </c>
      <c r="AE16" s="139" t="str">
        <f t="shared" si="87"/>
        <v>-</v>
      </c>
      <c r="AF16" s="20">
        <v>0</v>
      </c>
      <c r="AG16" s="21">
        <v>0</v>
      </c>
      <c r="AH16" s="139" t="str">
        <f t="shared" si="88"/>
        <v>-</v>
      </c>
      <c r="AI16" s="20">
        <v>15</v>
      </c>
      <c r="AJ16" s="21">
        <v>3</v>
      </c>
      <c r="AK16" s="139">
        <f t="shared" si="11"/>
        <v>5</v>
      </c>
      <c r="AL16" s="20">
        <v>0</v>
      </c>
      <c r="AM16" s="21">
        <v>0</v>
      </c>
      <c r="AN16" s="139" t="str">
        <f t="shared" ref="AN16:AN17" si="96">IF(AM16=0,"-",AL16/AM16)</f>
        <v>-</v>
      </c>
      <c r="AO16" s="20">
        <v>0</v>
      </c>
      <c r="AP16" s="21">
        <v>0</v>
      </c>
      <c r="AQ16" s="139" t="str">
        <f t="shared" ref="AQ16:AQ17" si="97">IF(AP16=0,"-",AO16/AP16)</f>
        <v>-</v>
      </c>
      <c r="AR16" s="20">
        <v>0</v>
      </c>
      <c r="AS16" s="21">
        <v>0</v>
      </c>
      <c r="AT16" s="139" t="str">
        <f t="shared" ref="AT16:AT17" si="98">IF(AS16=0,"-",AR16/AS16)</f>
        <v>-</v>
      </c>
      <c r="AU16" s="20">
        <v>0</v>
      </c>
      <c r="AV16" s="21">
        <v>0</v>
      </c>
      <c r="AW16" s="139" t="str">
        <f t="shared" ref="AW16:AW17" si="99">IF(AV16=0,"-",AU16/AV16)</f>
        <v>-</v>
      </c>
      <c r="AX16" s="20">
        <v>0</v>
      </c>
      <c r="AY16" s="21">
        <v>0</v>
      </c>
      <c r="AZ16" s="139" t="str">
        <f t="shared" ref="AZ16:AZ17" si="100">IF(AY16=0,"-",AX16/AY16)</f>
        <v>-</v>
      </c>
      <c r="BA16" s="20">
        <v>0</v>
      </c>
      <c r="BB16" s="21">
        <v>0</v>
      </c>
      <c r="BC16" s="139" t="str">
        <f t="shared" ref="BC16:BC17" si="101">IF(BB16=0,"-",BA16/BB16)</f>
        <v>-</v>
      </c>
      <c r="BD16" s="20">
        <v>0</v>
      </c>
      <c r="BE16" s="21">
        <v>0</v>
      </c>
      <c r="BF16" s="139" t="str">
        <f t="shared" ref="BF16:BF17" si="102">IF(BE16=0,"-",BD16/BE16)</f>
        <v>-</v>
      </c>
      <c r="BG16" s="20">
        <v>0</v>
      </c>
      <c r="BH16" s="21">
        <v>0</v>
      </c>
      <c r="BI16" s="139" t="str">
        <f t="shared" si="19"/>
        <v>-</v>
      </c>
      <c r="BJ16" s="252">
        <v>7</v>
      </c>
      <c r="BK16" s="253">
        <v>1</v>
      </c>
      <c r="BL16" s="276">
        <f t="shared" si="20"/>
        <v>7</v>
      </c>
      <c r="BM16" s="252">
        <v>0</v>
      </c>
      <c r="BN16" s="253">
        <v>0</v>
      </c>
      <c r="BO16" s="276" t="str">
        <f t="shared" si="21"/>
        <v>-</v>
      </c>
      <c r="BP16" s="302">
        <v>0</v>
      </c>
      <c r="BQ16" s="303">
        <v>0</v>
      </c>
      <c r="BR16" s="276" t="str">
        <f t="shared" si="22"/>
        <v>-</v>
      </c>
      <c r="BS16" s="257">
        <v>0</v>
      </c>
      <c r="BT16" s="253">
        <v>0</v>
      </c>
      <c r="BU16" s="276" t="str">
        <f t="shared" si="23"/>
        <v>-</v>
      </c>
      <c r="BV16" s="257">
        <v>7</v>
      </c>
      <c r="BW16" s="253">
        <v>1</v>
      </c>
      <c r="BX16" s="276">
        <f t="shared" si="24"/>
        <v>7</v>
      </c>
      <c r="BY16" s="257">
        <v>0</v>
      </c>
      <c r="BZ16" s="253">
        <v>0</v>
      </c>
      <c r="CA16" s="276" t="str">
        <f t="shared" si="25"/>
        <v>-</v>
      </c>
      <c r="CB16" s="257">
        <v>0</v>
      </c>
      <c r="CC16" s="253">
        <v>0</v>
      </c>
      <c r="CD16" s="276" t="str">
        <f t="shared" si="26"/>
        <v>-</v>
      </c>
      <c r="CE16" s="20">
        <v>0</v>
      </c>
      <c r="CF16" s="21">
        <v>0</v>
      </c>
      <c r="CG16" s="139" t="str">
        <f t="shared" si="91"/>
        <v>-</v>
      </c>
      <c r="CH16" s="20">
        <v>0</v>
      </c>
      <c r="CI16" s="21">
        <v>0</v>
      </c>
      <c r="CJ16" s="139" t="str">
        <f t="shared" si="92"/>
        <v>-</v>
      </c>
      <c r="CK16" s="20">
        <v>0</v>
      </c>
      <c r="CL16" s="21">
        <v>0</v>
      </c>
      <c r="CM16" s="139" t="str">
        <f t="shared" si="93"/>
        <v>-</v>
      </c>
      <c r="CN16" s="117">
        <f t="shared" si="39"/>
        <v>170</v>
      </c>
      <c r="CO16" s="120">
        <f t="shared" si="40"/>
        <v>22</v>
      </c>
      <c r="CP16" s="147">
        <f t="shared" si="30"/>
        <v>7.7272727272727275</v>
      </c>
    </row>
    <row r="17" spans="1:94" ht="15" thickBot="1" x14ac:dyDescent="0.35">
      <c r="A17" s="294">
        <v>45851</v>
      </c>
      <c r="B17" s="20">
        <v>42</v>
      </c>
      <c r="C17" s="21">
        <v>5</v>
      </c>
      <c r="D17" s="139">
        <f t="shared" si="0"/>
        <v>8.4</v>
      </c>
      <c r="E17" s="20">
        <v>0</v>
      </c>
      <c r="F17" s="21">
        <v>0</v>
      </c>
      <c r="G17" s="139" t="str">
        <f t="shared" si="1"/>
        <v>-</v>
      </c>
      <c r="H17" s="20">
        <v>0</v>
      </c>
      <c r="I17" s="21">
        <v>0</v>
      </c>
      <c r="J17" s="139" t="str">
        <f t="shared" si="2"/>
        <v>-</v>
      </c>
      <c r="K17" s="20">
        <v>25</v>
      </c>
      <c r="L17" s="21">
        <v>3</v>
      </c>
      <c r="M17" s="139">
        <f t="shared" si="3"/>
        <v>8.3333333333333339</v>
      </c>
      <c r="N17" s="125">
        <v>0</v>
      </c>
      <c r="O17" s="126">
        <v>0</v>
      </c>
      <c r="P17" s="139" t="str">
        <f t="shared" si="4"/>
        <v>-</v>
      </c>
      <c r="Q17" s="125">
        <v>0</v>
      </c>
      <c r="R17" s="126">
        <v>0</v>
      </c>
      <c r="S17" s="139" t="str">
        <f t="shared" si="5"/>
        <v>-</v>
      </c>
      <c r="T17" s="125">
        <v>0</v>
      </c>
      <c r="U17" s="126">
        <v>0</v>
      </c>
      <c r="V17" s="139" t="str">
        <f t="shared" si="95"/>
        <v>-</v>
      </c>
      <c r="W17" s="125">
        <v>0</v>
      </c>
      <c r="X17" s="126">
        <v>0</v>
      </c>
      <c r="Y17" s="139" t="str">
        <f t="shared" si="7"/>
        <v>-</v>
      </c>
      <c r="Z17" s="125">
        <v>0</v>
      </c>
      <c r="AA17" s="126">
        <v>0</v>
      </c>
      <c r="AB17" s="139" t="str">
        <f t="shared" si="8"/>
        <v>-</v>
      </c>
      <c r="AC17" s="125">
        <v>0</v>
      </c>
      <c r="AD17" s="126">
        <v>0</v>
      </c>
      <c r="AE17" s="139" t="str">
        <f t="shared" si="87"/>
        <v>-</v>
      </c>
      <c r="AF17" s="125">
        <v>0</v>
      </c>
      <c r="AG17" s="126">
        <v>0</v>
      </c>
      <c r="AH17" s="139" t="str">
        <f t="shared" si="88"/>
        <v>-</v>
      </c>
      <c r="AI17" s="125">
        <v>0</v>
      </c>
      <c r="AJ17" s="126">
        <v>0</v>
      </c>
      <c r="AK17" s="139" t="str">
        <f t="shared" si="11"/>
        <v>-</v>
      </c>
      <c r="AL17" s="125">
        <v>0</v>
      </c>
      <c r="AM17" s="126">
        <v>0</v>
      </c>
      <c r="AN17" s="139" t="str">
        <f t="shared" si="96"/>
        <v>-</v>
      </c>
      <c r="AO17" s="125">
        <v>0</v>
      </c>
      <c r="AP17" s="126">
        <v>0</v>
      </c>
      <c r="AQ17" s="139" t="str">
        <f t="shared" si="97"/>
        <v>-</v>
      </c>
      <c r="AR17" s="20">
        <v>0</v>
      </c>
      <c r="AS17" s="21">
        <v>0</v>
      </c>
      <c r="AT17" s="139" t="str">
        <f t="shared" si="98"/>
        <v>-</v>
      </c>
      <c r="AU17" s="20">
        <v>0</v>
      </c>
      <c r="AV17" s="21">
        <v>0</v>
      </c>
      <c r="AW17" s="139" t="str">
        <f t="shared" si="99"/>
        <v>-</v>
      </c>
      <c r="AX17" s="20">
        <v>0</v>
      </c>
      <c r="AY17" s="21">
        <v>0</v>
      </c>
      <c r="AZ17" s="139" t="str">
        <f t="shared" si="100"/>
        <v>-</v>
      </c>
      <c r="BA17" s="20">
        <v>0</v>
      </c>
      <c r="BB17" s="21">
        <v>0</v>
      </c>
      <c r="BC17" s="139" t="str">
        <f t="shared" si="101"/>
        <v>-</v>
      </c>
      <c r="BD17" s="20">
        <v>0</v>
      </c>
      <c r="BE17" s="21">
        <v>0</v>
      </c>
      <c r="BF17" s="139" t="str">
        <f t="shared" si="102"/>
        <v>-</v>
      </c>
      <c r="BG17" s="20">
        <v>0</v>
      </c>
      <c r="BH17" s="21">
        <v>0</v>
      </c>
      <c r="BI17" s="139" t="str">
        <f t="shared" si="19"/>
        <v>-</v>
      </c>
      <c r="BJ17" s="252">
        <v>0</v>
      </c>
      <c r="BK17" s="253">
        <v>0</v>
      </c>
      <c r="BL17" s="276" t="str">
        <f t="shared" si="20"/>
        <v>-</v>
      </c>
      <c r="BM17" s="252">
        <v>0</v>
      </c>
      <c r="BN17" s="253">
        <v>0</v>
      </c>
      <c r="BO17" s="276" t="str">
        <f t="shared" si="21"/>
        <v>-</v>
      </c>
      <c r="BP17" s="302">
        <v>0</v>
      </c>
      <c r="BQ17" s="303">
        <v>0</v>
      </c>
      <c r="BR17" s="276" t="str">
        <f t="shared" si="22"/>
        <v>-</v>
      </c>
      <c r="BS17" s="257">
        <v>0</v>
      </c>
      <c r="BT17" s="253">
        <v>0</v>
      </c>
      <c r="BU17" s="276" t="str">
        <f t="shared" si="23"/>
        <v>-</v>
      </c>
      <c r="BV17" s="125">
        <v>0</v>
      </c>
      <c r="BW17" s="126">
        <v>0</v>
      </c>
      <c r="BX17" s="276" t="str">
        <f t="shared" si="24"/>
        <v>-</v>
      </c>
      <c r="BY17" s="125">
        <v>0</v>
      </c>
      <c r="BZ17" s="126">
        <v>0</v>
      </c>
      <c r="CA17" s="276" t="str">
        <f t="shared" si="25"/>
        <v>-</v>
      </c>
      <c r="CB17" s="125">
        <v>0</v>
      </c>
      <c r="CC17" s="126">
        <v>0</v>
      </c>
      <c r="CD17" s="276" t="str">
        <f t="shared" si="26"/>
        <v>-</v>
      </c>
      <c r="CE17" s="20">
        <v>0</v>
      </c>
      <c r="CF17" s="21">
        <v>0</v>
      </c>
      <c r="CG17" s="139" t="str">
        <f t="shared" si="91"/>
        <v>-</v>
      </c>
      <c r="CH17" s="20">
        <v>0</v>
      </c>
      <c r="CI17" s="21">
        <v>0</v>
      </c>
      <c r="CJ17" s="139" t="str">
        <f t="shared" si="92"/>
        <v>-</v>
      </c>
      <c r="CK17" s="20">
        <v>0</v>
      </c>
      <c r="CL17" s="21">
        <v>0</v>
      </c>
      <c r="CM17" s="139" t="str">
        <f t="shared" si="93"/>
        <v>-</v>
      </c>
      <c r="CN17" s="117">
        <f t="shared" si="39"/>
        <v>67</v>
      </c>
      <c r="CO17" s="120">
        <f t="shared" si="40"/>
        <v>8</v>
      </c>
      <c r="CP17" s="147">
        <f t="shared" si="30"/>
        <v>8.375</v>
      </c>
    </row>
    <row r="18" spans="1:94" ht="15" thickBot="1" x14ac:dyDescent="0.35">
      <c r="A18" s="294">
        <v>45852</v>
      </c>
      <c r="B18" s="20">
        <v>35</v>
      </c>
      <c r="C18" s="21">
        <v>4</v>
      </c>
      <c r="D18" s="139">
        <f t="shared" si="0"/>
        <v>8.75</v>
      </c>
      <c r="E18" s="20">
        <v>0</v>
      </c>
      <c r="F18" s="21">
        <v>0</v>
      </c>
      <c r="G18" s="139" t="str">
        <f t="shared" si="1"/>
        <v>-</v>
      </c>
      <c r="H18" s="20">
        <v>0</v>
      </c>
      <c r="I18" s="21">
        <v>0</v>
      </c>
      <c r="J18" s="139" t="str">
        <f t="shared" si="2"/>
        <v>-</v>
      </c>
      <c r="K18" s="20">
        <v>25</v>
      </c>
      <c r="L18" s="21">
        <v>3</v>
      </c>
      <c r="M18" s="139">
        <f t="shared" si="3"/>
        <v>8.3333333333333339</v>
      </c>
      <c r="N18" s="125">
        <v>0</v>
      </c>
      <c r="O18" s="126">
        <v>0</v>
      </c>
      <c r="P18" s="139" t="str">
        <f t="shared" si="4"/>
        <v>-</v>
      </c>
      <c r="Q18" s="125">
        <v>95</v>
      </c>
      <c r="R18" s="126">
        <v>17</v>
      </c>
      <c r="S18" s="139">
        <f t="shared" si="5"/>
        <v>5.5882352941176467</v>
      </c>
      <c r="T18" s="20">
        <v>49</v>
      </c>
      <c r="U18" s="21">
        <v>10</v>
      </c>
      <c r="V18" s="139">
        <f t="shared" si="6"/>
        <v>4.9000000000000004</v>
      </c>
      <c r="W18" s="20">
        <v>0</v>
      </c>
      <c r="X18" s="21">
        <v>0</v>
      </c>
      <c r="Y18" s="139" t="str">
        <f t="shared" si="7"/>
        <v>-</v>
      </c>
      <c r="Z18" s="20">
        <v>30</v>
      </c>
      <c r="AA18" s="21">
        <v>6</v>
      </c>
      <c r="AB18" s="139">
        <f t="shared" si="8"/>
        <v>5</v>
      </c>
      <c r="AC18" s="125">
        <v>0</v>
      </c>
      <c r="AD18" s="126">
        <v>0</v>
      </c>
      <c r="AE18" s="139" t="str">
        <f t="shared" ref="AE18" si="103">IF(AD18=0,"-",AC18/AD18)</f>
        <v>-</v>
      </c>
      <c r="AF18" s="125">
        <v>0</v>
      </c>
      <c r="AG18" s="126">
        <v>0</v>
      </c>
      <c r="AH18" s="139" t="str">
        <f t="shared" si="88"/>
        <v>-</v>
      </c>
      <c r="AI18" s="20">
        <v>11</v>
      </c>
      <c r="AJ18" s="21">
        <v>2</v>
      </c>
      <c r="AK18" s="139">
        <f t="shared" si="11"/>
        <v>5.5</v>
      </c>
      <c r="AL18" s="125">
        <v>0</v>
      </c>
      <c r="AM18" s="126">
        <v>0</v>
      </c>
      <c r="AN18" s="139" t="str">
        <f t="shared" ref="AN18" si="104">IF(AM18=0,"-",AL18/AM18)</f>
        <v>-</v>
      </c>
      <c r="AO18" s="125">
        <v>0</v>
      </c>
      <c r="AP18" s="126">
        <v>0</v>
      </c>
      <c r="AQ18" s="139" t="str">
        <f t="shared" ref="AQ18" si="105">IF(AP18=0,"-",AO18/AP18)</f>
        <v>-</v>
      </c>
      <c r="AR18" s="20">
        <v>8</v>
      </c>
      <c r="AS18" s="21">
        <v>1</v>
      </c>
      <c r="AT18" s="139">
        <f t="shared" ref="AT18" si="106">IF(AS18=0,"-",AR18/AS18)</f>
        <v>8</v>
      </c>
      <c r="AU18" s="20">
        <v>0</v>
      </c>
      <c r="AV18" s="21">
        <v>0</v>
      </c>
      <c r="AW18" s="139" t="str">
        <f t="shared" ref="AW18" si="107">IF(AV18=0,"-",AU18/AV18)</f>
        <v>-</v>
      </c>
      <c r="AX18" s="20">
        <v>1</v>
      </c>
      <c r="AY18" s="21">
        <v>1</v>
      </c>
      <c r="AZ18" s="139">
        <f t="shared" ref="AZ18" si="108">IF(AY18=0,"-",AX18/AY18)</f>
        <v>1</v>
      </c>
      <c r="BA18" s="20">
        <v>0</v>
      </c>
      <c r="BB18" s="21">
        <v>0</v>
      </c>
      <c r="BC18" s="139" t="str">
        <f t="shared" ref="BC18" si="109">IF(BB18=0,"-",BA18/BB18)</f>
        <v>-</v>
      </c>
      <c r="BD18" s="20">
        <v>0</v>
      </c>
      <c r="BE18" s="21">
        <v>0</v>
      </c>
      <c r="BF18" s="139" t="str">
        <f t="shared" ref="BF18" si="110">IF(BE18=0,"-",BD18/BE18)</f>
        <v>-</v>
      </c>
      <c r="BG18" s="20">
        <v>0</v>
      </c>
      <c r="BH18" s="21">
        <v>0</v>
      </c>
      <c r="BI18" s="139" t="str">
        <f t="shared" si="19"/>
        <v>-</v>
      </c>
      <c r="BJ18" s="318">
        <v>7</v>
      </c>
      <c r="BK18" s="303">
        <v>2</v>
      </c>
      <c r="BL18" s="276">
        <f t="shared" si="20"/>
        <v>3.5</v>
      </c>
      <c r="BM18" s="252">
        <v>0</v>
      </c>
      <c r="BN18" s="253">
        <v>0</v>
      </c>
      <c r="BO18" s="276" t="str">
        <f t="shared" si="21"/>
        <v>-</v>
      </c>
      <c r="BP18" s="302">
        <v>0</v>
      </c>
      <c r="BQ18" s="303">
        <v>0</v>
      </c>
      <c r="BR18" s="276" t="str">
        <f t="shared" si="22"/>
        <v>-</v>
      </c>
      <c r="BS18" s="257">
        <v>0</v>
      </c>
      <c r="BT18" s="253">
        <v>0</v>
      </c>
      <c r="BU18" s="276" t="str">
        <f t="shared" si="23"/>
        <v>-</v>
      </c>
      <c r="BV18" s="125">
        <v>1</v>
      </c>
      <c r="BW18" s="126">
        <v>1</v>
      </c>
      <c r="BX18" s="276">
        <f t="shared" si="24"/>
        <v>1</v>
      </c>
      <c r="BY18" s="125">
        <v>0</v>
      </c>
      <c r="BZ18" s="126">
        <v>0</v>
      </c>
      <c r="CA18" s="276" t="str">
        <f t="shared" si="25"/>
        <v>-</v>
      </c>
      <c r="CB18" s="125">
        <v>4</v>
      </c>
      <c r="CC18" s="126">
        <v>1</v>
      </c>
      <c r="CD18" s="276">
        <f t="shared" si="26"/>
        <v>4</v>
      </c>
      <c r="CE18" s="20">
        <v>0</v>
      </c>
      <c r="CF18" s="21">
        <v>0</v>
      </c>
      <c r="CG18" s="139" t="str">
        <f t="shared" si="91"/>
        <v>-</v>
      </c>
      <c r="CH18" s="20">
        <v>0</v>
      </c>
      <c r="CI18" s="21">
        <v>0</v>
      </c>
      <c r="CJ18" s="139" t="str">
        <f t="shared" si="92"/>
        <v>-</v>
      </c>
      <c r="CK18" s="20">
        <v>0</v>
      </c>
      <c r="CL18" s="21">
        <v>0</v>
      </c>
      <c r="CM18" s="139" t="str">
        <f t="shared" si="93"/>
        <v>-</v>
      </c>
      <c r="CN18" s="117">
        <f t="shared" si="39"/>
        <v>266</v>
      </c>
      <c r="CO18" s="120">
        <f t="shared" si="40"/>
        <v>47</v>
      </c>
      <c r="CP18" s="147">
        <f t="shared" si="30"/>
        <v>5.6595744680851068</v>
      </c>
    </row>
    <row r="19" spans="1:94" ht="15" thickBot="1" x14ac:dyDescent="0.35">
      <c r="A19" s="294">
        <v>45853</v>
      </c>
      <c r="B19" s="20">
        <v>45</v>
      </c>
      <c r="C19" s="21">
        <v>5</v>
      </c>
      <c r="D19" s="139">
        <f t="shared" si="0"/>
        <v>9</v>
      </c>
      <c r="E19" s="20">
        <v>0</v>
      </c>
      <c r="F19" s="21">
        <v>0</v>
      </c>
      <c r="G19" s="139" t="str">
        <f t="shared" ref="G19" si="111">IF(F19=0,"-",E19/F19)</f>
        <v>-</v>
      </c>
      <c r="H19" s="20">
        <v>0</v>
      </c>
      <c r="I19" s="21">
        <v>0</v>
      </c>
      <c r="J19" s="139" t="str">
        <f t="shared" si="2"/>
        <v>-</v>
      </c>
      <c r="K19" s="20">
        <v>80</v>
      </c>
      <c r="L19" s="21">
        <v>10</v>
      </c>
      <c r="M19" s="139">
        <f t="shared" si="3"/>
        <v>8</v>
      </c>
      <c r="N19" s="125">
        <v>0</v>
      </c>
      <c r="O19" s="126">
        <v>0</v>
      </c>
      <c r="P19" s="139" t="str">
        <f t="shared" si="4"/>
        <v>-</v>
      </c>
      <c r="Q19" s="125">
        <v>79</v>
      </c>
      <c r="R19" s="126">
        <v>19</v>
      </c>
      <c r="S19" s="139">
        <f t="shared" si="5"/>
        <v>4.1578947368421053</v>
      </c>
      <c r="T19" s="125">
        <v>0</v>
      </c>
      <c r="U19" s="126">
        <v>0</v>
      </c>
      <c r="V19" s="139" t="str">
        <f t="shared" si="6"/>
        <v>-</v>
      </c>
      <c r="W19" s="125">
        <v>0</v>
      </c>
      <c r="X19" s="126">
        <v>0</v>
      </c>
      <c r="Y19" s="139" t="str">
        <f t="shared" si="7"/>
        <v>-</v>
      </c>
      <c r="Z19" s="125">
        <v>30</v>
      </c>
      <c r="AA19" s="126">
        <v>6</v>
      </c>
      <c r="AB19" s="139">
        <f t="shared" si="8"/>
        <v>5</v>
      </c>
      <c r="AC19" s="125">
        <v>61</v>
      </c>
      <c r="AD19" s="126">
        <v>12</v>
      </c>
      <c r="AE19" s="139">
        <f t="shared" si="9"/>
        <v>5.083333333333333</v>
      </c>
      <c r="AF19" s="125">
        <v>0</v>
      </c>
      <c r="AG19" s="126">
        <v>0</v>
      </c>
      <c r="AH19" s="139" t="str">
        <f t="shared" si="10"/>
        <v>-</v>
      </c>
      <c r="AI19" s="125">
        <v>6</v>
      </c>
      <c r="AJ19" s="126">
        <v>1</v>
      </c>
      <c r="AK19" s="139">
        <f t="shared" si="11"/>
        <v>6</v>
      </c>
      <c r="AL19" s="125">
        <v>12</v>
      </c>
      <c r="AM19" s="126">
        <v>2</v>
      </c>
      <c r="AN19" s="139">
        <f t="shared" si="12"/>
        <v>6</v>
      </c>
      <c r="AO19" s="125">
        <v>6</v>
      </c>
      <c r="AP19" s="126">
        <v>1</v>
      </c>
      <c r="AQ19" s="139">
        <f t="shared" si="13"/>
        <v>6</v>
      </c>
      <c r="AR19" s="20">
        <v>7</v>
      </c>
      <c r="AS19" s="21">
        <v>1</v>
      </c>
      <c r="AT19" s="139">
        <f t="shared" si="41"/>
        <v>7</v>
      </c>
      <c r="AU19" s="20">
        <v>0</v>
      </c>
      <c r="AV19" s="21">
        <v>0</v>
      </c>
      <c r="AW19" s="139" t="str">
        <f t="shared" si="42"/>
        <v>-</v>
      </c>
      <c r="AX19" s="20">
        <v>0</v>
      </c>
      <c r="AY19" s="21">
        <v>0</v>
      </c>
      <c r="AZ19" s="139" t="str">
        <f t="shared" si="52"/>
        <v>-</v>
      </c>
      <c r="BA19" s="20">
        <v>0</v>
      </c>
      <c r="BB19" s="21">
        <v>0</v>
      </c>
      <c r="BC19" s="139" t="str">
        <f t="shared" ref="BC19:BC20" si="112">IF(BB19=0,"-",BA19/BB19)</f>
        <v>-</v>
      </c>
      <c r="BD19" s="20">
        <v>0</v>
      </c>
      <c r="BE19" s="21">
        <v>0</v>
      </c>
      <c r="BF19" s="139" t="str">
        <f t="shared" ref="BF19:BF20" si="113">IF(BE19=0,"-",BD19/BE19)</f>
        <v>-</v>
      </c>
      <c r="BG19" s="20">
        <v>0</v>
      </c>
      <c r="BH19" s="21">
        <v>0</v>
      </c>
      <c r="BI19" s="139" t="str">
        <f t="shared" si="19"/>
        <v>-</v>
      </c>
      <c r="BJ19" s="252">
        <v>0</v>
      </c>
      <c r="BK19" s="253">
        <v>0</v>
      </c>
      <c r="BL19" s="276">
        <v>0</v>
      </c>
      <c r="BM19" s="252">
        <v>0</v>
      </c>
      <c r="BN19" s="253">
        <v>0</v>
      </c>
      <c r="BO19" s="276" t="str">
        <f t="shared" si="21"/>
        <v>-</v>
      </c>
      <c r="BP19" s="302">
        <v>0</v>
      </c>
      <c r="BQ19" s="303">
        <v>0</v>
      </c>
      <c r="BR19" s="276" t="str">
        <f t="shared" si="22"/>
        <v>-</v>
      </c>
      <c r="BS19" s="257">
        <v>0</v>
      </c>
      <c r="BT19" s="253">
        <v>0</v>
      </c>
      <c r="BU19" s="276" t="str">
        <f t="shared" si="23"/>
        <v>-</v>
      </c>
      <c r="BV19" s="125">
        <v>0</v>
      </c>
      <c r="BW19" s="126">
        <v>0</v>
      </c>
      <c r="BX19" s="276" t="str">
        <f t="shared" si="24"/>
        <v>-</v>
      </c>
      <c r="BY19" s="125">
        <v>0</v>
      </c>
      <c r="BZ19" s="126">
        <v>0</v>
      </c>
      <c r="CA19" s="276" t="str">
        <f t="shared" si="25"/>
        <v>-</v>
      </c>
      <c r="CB19" s="125">
        <v>0</v>
      </c>
      <c r="CC19" s="126">
        <v>0</v>
      </c>
      <c r="CD19" s="276" t="str">
        <f t="shared" si="26"/>
        <v>-</v>
      </c>
      <c r="CE19" s="20">
        <v>0</v>
      </c>
      <c r="CF19" s="21">
        <v>0</v>
      </c>
      <c r="CG19" s="139" t="str">
        <f t="shared" si="91"/>
        <v>-</v>
      </c>
      <c r="CH19" s="20">
        <v>0</v>
      </c>
      <c r="CI19" s="21">
        <v>0</v>
      </c>
      <c r="CJ19" s="139" t="str">
        <f t="shared" si="92"/>
        <v>-</v>
      </c>
      <c r="CK19" s="20">
        <v>0</v>
      </c>
      <c r="CL19" s="21">
        <v>0</v>
      </c>
      <c r="CM19" s="139" t="str">
        <f t="shared" si="93"/>
        <v>-</v>
      </c>
      <c r="CN19" s="117">
        <f t="shared" si="39"/>
        <v>326</v>
      </c>
      <c r="CO19" s="120">
        <f t="shared" si="40"/>
        <v>54</v>
      </c>
      <c r="CP19" s="147">
        <f t="shared" si="30"/>
        <v>6.0370370370370372</v>
      </c>
    </row>
    <row r="20" spans="1:94" ht="15" thickBot="1" x14ac:dyDescent="0.35">
      <c r="A20" s="294">
        <v>45854</v>
      </c>
      <c r="B20" s="20">
        <v>52</v>
      </c>
      <c r="C20" s="21">
        <v>6</v>
      </c>
      <c r="D20" s="139">
        <f t="shared" si="0"/>
        <v>8.6666666666666661</v>
      </c>
      <c r="E20" s="20">
        <v>0</v>
      </c>
      <c r="F20" s="21">
        <v>0</v>
      </c>
      <c r="G20" s="139" t="str">
        <f t="shared" ref="G20" si="114">IF(F20=0,"-",E20/F20)</f>
        <v>-</v>
      </c>
      <c r="H20" s="20">
        <v>0</v>
      </c>
      <c r="I20" s="21">
        <v>0</v>
      </c>
      <c r="J20" s="139" t="str">
        <f t="shared" si="2"/>
        <v>-</v>
      </c>
      <c r="K20" s="20">
        <v>24</v>
      </c>
      <c r="L20" s="21">
        <v>3</v>
      </c>
      <c r="M20" s="139">
        <f t="shared" si="3"/>
        <v>8</v>
      </c>
      <c r="N20" s="20">
        <v>0</v>
      </c>
      <c r="O20" s="21">
        <v>0</v>
      </c>
      <c r="P20" s="139" t="str">
        <f t="shared" si="4"/>
        <v>-</v>
      </c>
      <c r="Q20" s="20">
        <v>90</v>
      </c>
      <c r="R20" s="21">
        <v>19</v>
      </c>
      <c r="S20" s="139">
        <f t="shared" si="5"/>
        <v>4.7368421052631575</v>
      </c>
      <c r="T20" s="20">
        <v>19</v>
      </c>
      <c r="U20" s="21">
        <v>5</v>
      </c>
      <c r="V20" s="139">
        <f t="shared" si="6"/>
        <v>3.8</v>
      </c>
      <c r="W20" s="20">
        <v>0</v>
      </c>
      <c r="X20" s="21">
        <v>0</v>
      </c>
      <c r="Y20" s="139" t="str">
        <f t="shared" si="7"/>
        <v>-</v>
      </c>
      <c r="Z20" s="20">
        <v>30</v>
      </c>
      <c r="AA20" s="21">
        <v>6</v>
      </c>
      <c r="AB20" s="139">
        <f t="shared" si="8"/>
        <v>5</v>
      </c>
      <c r="AC20" s="20">
        <v>0</v>
      </c>
      <c r="AD20" s="21">
        <v>0</v>
      </c>
      <c r="AE20" s="139" t="str">
        <f t="shared" si="9"/>
        <v>-</v>
      </c>
      <c r="AF20" s="20">
        <v>0</v>
      </c>
      <c r="AG20" s="21">
        <v>0</v>
      </c>
      <c r="AH20" s="139" t="str">
        <f t="shared" si="10"/>
        <v>-</v>
      </c>
      <c r="AI20" s="20">
        <v>6</v>
      </c>
      <c r="AJ20" s="21">
        <v>1</v>
      </c>
      <c r="AK20" s="139">
        <f t="shared" si="11"/>
        <v>6</v>
      </c>
      <c r="AL20" s="20">
        <v>0</v>
      </c>
      <c r="AM20" s="21">
        <v>0</v>
      </c>
      <c r="AN20" s="139" t="str">
        <f t="shared" si="12"/>
        <v>-</v>
      </c>
      <c r="AO20" s="20">
        <v>0</v>
      </c>
      <c r="AP20" s="21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41"/>
        <v>-</v>
      </c>
      <c r="AU20" s="20">
        <v>0</v>
      </c>
      <c r="AV20" s="21">
        <v>0</v>
      </c>
      <c r="AW20" s="139" t="str">
        <f t="shared" si="42"/>
        <v>-</v>
      </c>
      <c r="AX20" s="20">
        <v>1</v>
      </c>
      <c r="AY20" s="21">
        <v>1</v>
      </c>
      <c r="AZ20" s="139">
        <f t="shared" si="52"/>
        <v>1</v>
      </c>
      <c r="BA20" s="20">
        <v>0</v>
      </c>
      <c r="BB20" s="21">
        <v>0</v>
      </c>
      <c r="BC20" s="139" t="str">
        <f t="shared" si="112"/>
        <v>-</v>
      </c>
      <c r="BD20" s="20">
        <v>0</v>
      </c>
      <c r="BE20" s="21">
        <v>0</v>
      </c>
      <c r="BF20" s="139" t="str">
        <f t="shared" si="113"/>
        <v>-</v>
      </c>
      <c r="BG20" s="20">
        <v>0</v>
      </c>
      <c r="BH20" s="21">
        <v>0</v>
      </c>
      <c r="BI20" s="139" t="str">
        <f t="shared" si="19"/>
        <v>-</v>
      </c>
      <c r="BJ20" s="252">
        <v>28</v>
      </c>
      <c r="BK20" s="253">
        <v>4</v>
      </c>
      <c r="BL20" s="276">
        <f t="shared" si="20"/>
        <v>7</v>
      </c>
      <c r="BM20" s="252">
        <v>8</v>
      </c>
      <c r="BN20" s="253">
        <v>1</v>
      </c>
      <c r="BO20" s="276">
        <f t="shared" si="21"/>
        <v>8</v>
      </c>
      <c r="BP20" s="302">
        <v>14</v>
      </c>
      <c r="BQ20" s="303">
        <v>2</v>
      </c>
      <c r="BR20" s="276">
        <f t="shared" si="22"/>
        <v>7</v>
      </c>
      <c r="BS20" s="257">
        <v>6</v>
      </c>
      <c r="BT20" s="253">
        <v>1</v>
      </c>
      <c r="BU20" s="276">
        <f t="shared" si="23"/>
        <v>6</v>
      </c>
      <c r="BV20" s="257">
        <v>5</v>
      </c>
      <c r="BW20" s="253">
        <v>1</v>
      </c>
      <c r="BX20" s="276">
        <f t="shared" si="24"/>
        <v>5</v>
      </c>
      <c r="BY20" s="257">
        <v>0</v>
      </c>
      <c r="BZ20" s="253">
        <v>0</v>
      </c>
      <c r="CA20" s="276" t="str">
        <f t="shared" si="25"/>
        <v>-</v>
      </c>
      <c r="CB20" s="257">
        <v>6</v>
      </c>
      <c r="CC20" s="253">
        <v>1</v>
      </c>
      <c r="CD20" s="276">
        <f t="shared" si="26"/>
        <v>6</v>
      </c>
      <c r="CE20" s="20">
        <v>0</v>
      </c>
      <c r="CF20" s="21">
        <v>0</v>
      </c>
      <c r="CG20" s="139" t="str">
        <f t="shared" si="91"/>
        <v>-</v>
      </c>
      <c r="CH20" s="20">
        <v>0</v>
      </c>
      <c r="CI20" s="21">
        <v>0</v>
      </c>
      <c r="CJ20" s="139" t="str">
        <f t="shared" si="92"/>
        <v>-</v>
      </c>
      <c r="CK20" s="20">
        <v>0</v>
      </c>
      <c r="CL20" s="21">
        <v>0</v>
      </c>
      <c r="CM20" s="139" t="str">
        <f t="shared" si="93"/>
        <v>-</v>
      </c>
      <c r="CN20" s="117">
        <f t="shared" si="39"/>
        <v>289</v>
      </c>
      <c r="CO20" s="120">
        <f t="shared" si="40"/>
        <v>50</v>
      </c>
      <c r="CP20" s="147">
        <f t="shared" si="30"/>
        <v>5.78</v>
      </c>
    </row>
    <row r="21" spans="1:94" ht="15" thickBot="1" x14ac:dyDescent="0.35">
      <c r="A21" s="294">
        <v>45855</v>
      </c>
      <c r="B21" s="20">
        <v>36</v>
      </c>
      <c r="C21" s="21">
        <v>4</v>
      </c>
      <c r="D21" s="139">
        <f t="shared" si="0"/>
        <v>9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17</v>
      </c>
      <c r="L21" s="21">
        <v>2</v>
      </c>
      <c r="M21" s="139">
        <f t="shared" si="3"/>
        <v>8.5</v>
      </c>
      <c r="N21" s="125">
        <v>0</v>
      </c>
      <c r="O21" s="126">
        <v>0</v>
      </c>
      <c r="P21" s="139" t="str">
        <f t="shared" si="4"/>
        <v>-</v>
      </c>
      <c r="Q21" s="125">
        <v>70</v>
      </c>
      <c r="R21" s="126">
        <v>17</v>
      </c>
      <c r="S21" s="139">
        <f t="shared" si="5"/>
        <v>4.117647058823529</v>
      </c>
      <c r="T21" s="125">
        <v>0</v>
      </c>
      <c r="U21" s="126">
        <v>0</v>
      </c>
      <c r="V21" s="139" t="str">
        <f t="shared" si="6"/>
        <v>-</v>
      </c>
      <c r="W21" s="125">
        <v>0</v>
      </c>
      <c r="X21" s="126">
        <v>0</v>
      </c>
      <c r="Y21" s="139" t="str">
        <f t="shared" si="7"/>
        <v>-</v>
      </c>
      <c r="Z21" s="125">
        <v>30</v>
      </c>
      <c r="AA21" s="126">
        <v>6</v>
      </c>
      <c r="AB21" s="139">
        <f t="shared" si="8"/>
        <v>5</v>
      </c>
      <c r="AC21" s="20">
        <v>0</v>
      </c>
      <c r="AD21" s="21">
        <v>0</v>
      </c>
      <c r="AE21" s="139" t="str">
        <f t="shared" ref="AE21" si="115">IF(AD21=0,"-",AC21/AD21)</f>
        <v>-</v>
      </c>
      <c r="AF21" s="20">
        <v>0</v>
      </c>
      <c r="AG21" s="21">
        <v>0</v>
      </c>
      <c r="AH21" s="139" t="str">
        <f t="shared" ref="AH21" si="116">IF(AG21=0,"-",AF21/AG21)</f>
        <v>-</v>
      </c>
      <c r="AI21" s="20">
        <v>12</v>
      </c>
      <c r="AJ21" s="21">
        <v>2</v>
      </c>
      <c r="AK21" s="139">
        <f t="shared" si="11"/>
        <v>6</v>
      </c>
      <c r="AL21" s="20">
        <v>0</v>
      </c>
      <c r="AM21" s="21">
        <v>0</v>
      </c>
      <c r="AN21" s="139" t="str">
        <f t="shared" ref="AN21" si="117">IF(AM21=0,"-",AL21/AM21)</f>
        <v>-</v>
      </c>
      <c r="AO21" s="20">
        <v>0</v>
      </c>
      <c r="AP21" s="21">
        <v>0</v>
      </c>
      <c r="AQ21" s="139" t="str">
        <f t="shared" ref="AQ21" si="118">IF(AP21=0,"-",AO21/AP21)</f>
        <v>-</v>
      </c>
      <c r="AR21" s="20">
        <v>9</v>
      </c>
      <c r="AS21" s="21">
        <v>1</v>
      </c>
      <c r="AT21" s="139">
        <f t="shared" si="41"/>
        <v>9</v>
      </c>
      <c r="AU21" s="20">
        <v>0</v>
      </c>
      <c r="AV21" s="21">
        <v>0</v>
      </c>
      <c r="AW21" s="139" t="str">
        <f t="shared" si="42"/>
        <v>-</v>
      </c>
      <c r="AX21" s="20">
        <v>0</v>
      </c>
      <c r="AY21" s="21">
        <v>0</v>
      </c>
      <c r="AZ21" s="139" t="str">
        <f t="shared" si="52"/>
        <v>-</v>
      </c>
      <c r="BA21" s="20">
        <v>0</v>
      </c>
      <c r="BB21" s="21">
        <v>0</v>
      </c>
      <c r="BC21" s="139" t="str">
        <f t="shared" ref="BC21" si="119">IF(BB21=0,"-",BA21/BB21)</f>
        <v>-</v>
      </c>
      <c r="BD21" s="20">
        <v>0</v>
      </c>
      <c r="BE21" s="21">
        <v>0</v>
      </c>
      <c r="BF21" s="139" t="str">
        <f t="shared" ref="BF21" si="120">IF(BE21=0,"-",BD21/BE21)</f>
        <v>-</v>
      </c>
      <c r="BG21" s="125">
        <v>0</v>
      </c>
      <c r="BH21" s="126">
        <v>0</v>
      </c>
      <c r="BI21" s="139" t="str">
        <f t="shared" si="19"/>
        <v>-</v>
      </c>
      <c r="BJ21" s="252">
        <v>18</v>
      </c>
      <c r="BK21" s="253">
        <v>3</v>
      </c>
      <c r="BL21" s="139">
        <f t="shared" si="20"/>
        <v>6</v>
      </c>
      <c r="BM21" s="252">
        <v>0</v>
      </c>
      <c r="BN21" s="253">
        <v>0</v>
      </c>
      <c r="BO21" s="139" t="str">
        <f t="shared" si="21"/>
        <v>-</v>
      </c>
      <c r="BP21" s="302">
        <v>0</v>
      </c>
      <c r="BQ21" s="303">
        <v>0</v>
      </c>
      <c r="BR21" s="139" t="str">
        <f t="shared" si="22"/>
        <v>-</v>
      </c>
      <c r="BS21" s="257">
        <v>0</v>
      </c>
      <c r="BT21" s="253">
        <v>0</v>
      </c>
      <c r="BU21" s="139" t="str">
        <f t="shared" si="23"/>
        <v>-</v>
      </c>
      <c r="BV21" s="257">
        <v>0</v>
      </c>
      <c r="BW21" s="253">
        <v>0</v>
      </c>
      <c r="BX21" s="139" t="str">
        <f t="shared" si="24"/>
        <v>-</v>
      </c>
      <c r="BY21" s="257">
        <v>0</v>
      </c>
      <c r="BZ21" s="253">
        <v>0</v>
      </c>
      <c r="CA21" s="139" t="str">
        <f t="shared" si="25"/>
        <v>-</v>
      </c>
      <c r="CB21" s="257">
        <v>0</v>
      </c>
      <c r="CC21" s="253">
        <v>0</v>
      </c>
      <c r="CD21" s="139" t="str">
        <f t="shared" si="26"/>
        <v>-</v>
      </c>
      <c r="CE21" s="125">
        <v>5</v>
      </c>
      <c r="CF21" s="126">
        <v>1</v>
      </c>
      <c r="CG21" s="276">
        <f t="shared" si="27"/>
        <v>5</v>
      </c>
      <c r="CH21" s="20">
        <v>0</v>
      </c>
      <c r="CI21" s="21">
        <v>0</v>
      </c>
      <c r="CJ21" s="139" t="str">
        <f t="shared" si="37"/>
        <v>-</v>
      </c>
      <c r="CK21" s="125">
        <v>0</v>
      </c>
      <c r="CL21" s="126">
        <v>0</v>
      </c>
      <c r="CM21" s="276" t="str">
        <f t="shared" si="38"/>
        <v>-</v>
      </c>
      <c r="CN21" s="117">
        <f t="shared" si="39"/>
        <v>197</v>
      </c>
      <c r="CO21" s="120">
        <f t="shared" si="40"/>
        <v>36</v>
      </c>
      <c r="CP21" s="147">
        <f t="shared" si="30"/>
        <v>5.4722222222222223</v>
      </c>
    </row>
    <row r="22" spans="1:94" ht="15" thickBot="1" x14ac:dyDescent="0.35">
      <c r="A22" s="294">
        <v>45856</v>
      </c>
      <c r="B22" s="20">
        <v>75</v>
      </c>
      <c r="C22" s="21">
        <v>9</v>
      </c>
      <c r="D22" s="139">
        <f t="shared" si="0"/>
        <v>8.3333333333333339</v>
      </c>
      <c r="E22" s="20">
        <v>0</v>
      </c>
      <c r="F22" s="21">
        <v>0</v>
      </c>
      <c r="G22" s="139" t="str">
        <f t="shared" ref="G22" si="121">IF(F22=0,"-",E22/F22)</f>
        <v>-</v>
      </c>
      <c r="H22" s="20">
        <v>0</v>
      </c>
      <c r="I22" s="21">
        <v>0</v>
      </c>
      <c r="J22" s="139" t="str">
        <f t="shared" si="2"/>
        <v>-</v>
      </c>
      <c r="K22" s="20">
        <v>16</v>
      </c>
      <c r="L22" s="21">
        <v>2</v>
      </c>
      <c r="M22" s="139">
        <f t="shared" si="3"/>
        <v>8</v>
      </c>
      <c r="N22" s="20">
        <v>0</v>
      </c>
      <c r="O22" s="21">
        <v>0</v>
      </c>
      <c r="P22" s="139" t="str">
        <f t="shared" si="4"/>
        <v>-</v>
      </c>
      <c r="Q22" s="20">
        <v>63</v>
      </c>
      <c r="R22" s="21">
        <v>15</v>
      </c>
      <c r="S22" s="139">
        <f t="shared" si="5"/>
        <v>4.2</v>
      </c>
      <c r="T22" s="20">
        <v>60</v>
      </c>
      <c r="U22" s="21">
        <v>10</v>
      </c>
      <c r="V22" s="139">
        <f t="shared" si="6"/>
        <v>6</v>
      </c>
      <c r="W22" s="20">
        <v>0</v>
      </c>
      <c r="X22" s="21">
        <v>0</v>
      </c>
      <c r="Y22" s="139" t="str">
        <f t="shared" si="7"/>
        <v>-</v>
      </c>
      <c r="Z22" s="20">
        <v>30</v>
      </c>
      <c r="AA22" s="21">
        <v>6</v>
      </c>
      <c r="AB22" s="139">
        <f t="shared" si="8"/>
        <v>5</v>
      </c>
      <c r="AC22" s="20">
        <v>0</v>
      </c>
      <c r="AD22" s="21">
        <v>0</v>
      </c>
      <c r="AE22" s="139" t="str">
        <f t="shared" si="9"/>
        <v>-</v>
      </c>
      <c r="AF22" s="20">
        <v>0</v>
      </c>
      <c r="AG22" s="21">
        <v>0</v>
      </c>
      <c r="AH22" s="139" t="str">
        <f t="shared" si="10"/>
        <v>-</v>
      </c>
      <c r="AI22" s="20">
        <v>12</v>
      </c>
      <c r="AJ22" s="21">
        <v>2</v>
      </c>
      <c r="AK22" s="139">
        <f t="shared" si="11"/>
        <v>6</v>
      </c>
      <c r="AL22" s="20">
        <v>0</v>
      </c>
      <c r="AM22" s="21">
        <v>0</v>
      </c>
      <c r="AN22" s="139" t="str">
        <f t="shared" si="12"/>
        <v>-</v>
      </c>
      <c r="AO22" s="20">
        <v>6</v>
      </c>
      <c r="AP22" s="21">
        <v>1</v>
      </c>
      <c r="AQ22" s="139">
        <f t="shared" si="13"/>
        <v>6</v>
      </c>
      <c r="AR22" s="20">
        <v>0</v>
      </c>
      <c r="AS22" s="21">
        <v>0</v>
      </c>
      <c r="AT22" s="139" t="str">
        <f t="shared" si="41"/>
        <v>-</v>
      </c>
      <c r="AU22" s="20">
        <v>0</v>
      </c>
      <c r="AV22" s="21">
        <v>0</v>
      </c>
      <c r="AW22" s="139" t="str">
        <f t="shared" si="42"/>
        <v>-</v>
      </c>
      <c r="AX22" s="20">
        <v>0</v>
      </c>
      <c r="AY22" s="21">
        <v>0</v>
      </c>
      <c r="AZ22" s="139" t="str">
        <f t="shared" ref="AZ22:AZ24" si="122">IF(AY22=0,"-",AX22/AY22)</f>
        <v>-</v>
      </c>
      <c r="BA22" s="20">
        <v>0</v>
      </c>
      <c r="BB22" s="21">
        <v>0</v>
      </c>
      <c r="BC22" s="139" t="str">
        <f t="shared" si="53"/>
        <v>-</v>
      </c>
      <c r="BD22" s="20">
        <v>0</v>
      </c>
      <c r="BE22" s="21">
        <v>0</v>
      </c>
      <c r="BF22" s="139" t="str">
        <f t="shared" si="54"/>
        <v>-</v>
      </c>
      <c r="BG22" s="20">
        <v>0</v>
      </c>
      <c r="BH22" s="21">
        <v>0</v>
      </c>
      <c r="BI22" s="139" t="str">
        <f t="shared" si="19"/>
        <v>-</v>
      </c>
      <c r="BJ22" s="252">
        <v>14</v>
      </c>
      <c r="BK22" s="253">
        <v>2</v>
      </c>
      <c r="BL22" s="139">
        <f t="shared" si="20"/>
        <v>7</v>
      </c>
      <c r="BM22" s="252">
        <v>0</v>
      </c>
      <c r="BN22" s="253">
        <v>0</v>
      </c>
      <c r="BO22" s="139" t="str">
        <f t="shared" si="21"/>
        <v>-</v>
      </c>
      <c r="BP22" s="302">
        <v>7</v>
      </c>
      <c r="BQ22" s="303">
        <v>1</v>
      </c>
      <c r="BR22" s="139">
        <f t="shared" si="22"/>
        <v>7</v>
      </c>
      <c r="BS22" s="257">
        <v>7</v>
      </c>
      <c r="BT22" s="253">
        <v>1</v>
      </c>
      <c r="BU22" s="276">
        <f t="shared" si="23"/>
        <v>7</v>
      </c>
      <c r="BV22" s="257">
        <v>0</v>
      </c>
      <c r="BW22" s="253">
        <v>0</v>
      </c>
      <c r="BX22" s="139" t="str">
        <f t="shared" ref="BX22:BX24" si="123">IF(BW22=0,"-",BV22/BW22)</f>
        <v>-</v>
      </c>
      <c r="BY22" s="257">
        <v>0</v>
      </c>
      <c r="BZ22" s="253">
        <v>0</v>
      </c>
      <c r="CA22" s="139" t="str">
        <f t="shared" ref="CA22:CA24" si="124">IF(BZ22=0,"-",BY22/BZ22)</f>
        <v>-</v>
      </c>
      <c r="CB22" s="257">
        <v>0</v>
      </c>
      <c r="CC22" s="253">
        <v>0</v>
      </c>
      <c r="CD22" s="139" t="str">
        <f t="shared" ref="CD22:CD24" si="125">IF(CC22=0,"-",CB22/CC22)</f>
        <v>-</v>
      </c>
      <c r="CE22" s="257">
        <v>14</v>
      </c>
      <c r="CF22" s="253">
        <v>2</v>
      </c>
      <c r="CG22" s="276">
        <f t="shared" si="27"/>
        <v>7</v>
      </c>
      <c r="CH22" s="257">
        <v>0</v>
      </c>
      <c r="CI22" s="253">
        <v>0</v>
      </c>
      <c r="CJ22" s="276" t="str">
        <f t="shared" si="37"/>
        <v>-</v>
      </c>
      <c r="CK22" s="257">
        <v>0</v>
      </c>
      <c r="CL22" s="253">
        <v>0</v>
      </c>
      <c r="CM22" s="276" t="str">
        <f t="shared" si="38"/>
        <v>-</v>
      </c>
      <c r="CN22" s="117">
        <f t="shared" si="39"/>
        <v>304</v>
      </c>
      <c r="CO22" s="120">
        <f t="shared" si="40"/>
        <v>50</v>
      </c>
      <c r="CP22" s="147">
        <f t="shared" si="30"/>
        <v>6.08</v>
      </c>
    </row>
    <row r="23" spans="1:94" ht="15" thickBot="1" x14ac:dyDescent="0.35">
      <c r="A23" s="294">
        <v>45857</v>
      </c>
      <c r="B23" s="20">
        <v>89</v>
      </c>
      <c r="C23" s="21">
        <v>11</v>
      </c>
      <c r="D23" s="139">
        <f t="shared" si="0"/>
        <v>8.0909090909090917</v>
      </c>
      <c r="E23" s="20">
        <v>0</v>
      </c>
      <c r="F23" s="21">
        <v>0</v>
      </c>
      <c r="G23" s="139" t="str">
        <f t="shared" ref="G23" si="126">IF(F23=0,"-",E23/F23)</f>
        <v>-</v>
      </c>
      <c r="H23" s="20">
        <v>0</v>
      </c>
      <c r="I23" s="21">
        <v>0</v>
      </c>
      <c r="J23" s="139" t="str">
        <f t="shared" si="2"/>
        <v>-</v>
      </c>
      <c r="K23" s="20">
        <v>8</v>
      </c>
      <c r="L23" s="21">
        <v>1</v>
      </c>
      <c r="M23" s="139">
        <f t="shared" si="3"/>
        <v>8</v>
      </c>
      <c r="N23" s="20">
        <v>0</v>
      </c>
      <c r="O23" s="21">
        <v>0</v>
      </c>
      <c r="P23" s="139" t="str">
        <f t="shared" si="4"/>
        <v>-</v>
      </c>
      <c r="Q23" s="20">
        <v>12</v>
      </c>
      <c r="R23" s="21">
        <v>2</v>
      </c>
      <c r="S23" s="139">
        <f t="shared" si="5"/>
        <v>6</v>
      </c>
      <c r="T23" s="20">
        <v>0</v>
      </c>
      <c r="U23" s="21">
        <v>0</v>
      </c>
      <c r="V23" s="139" t="str">
        <f t="shared" si="6"/>
        <v>-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8"/>
        <v>-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0</v>
      </c>
      <c r="AJ23" s="21">
        <v>0</v>
      </c>
      <c r="AK23" s="139" t="str">
        <f t="shared" si="11"/>
        <v>-</v>
      </c>
      <c r="AL23" s="20">
        <v>0</v>
      </c>
      <c r="AM23" s="21">
        <v>0</v>
      </c>
      <c r="AN23" s="139" t="str">
        <f t="shared" si="12"/>
        <v>-</v>
      </c>
      <c r="AO23" s="20">
        <v>0</v>
      </c>
      <c r="AP23" s="21">
        <v>0</v>
      </c>
      <c r="AQ23" s="139" t="str">
        <f t="shared" si="13"/>
        <v>-</v>
      </c>
      <c r="AR23" s="20">
        <v>0</v>
      </c>
      <c r="AS23" s="21">
        <v>0</v>
      </c>
      <c r="AT23" s="139" t="str">
        <f t="shared" si="41"/>
        <v>-</v>
      </c>
      <c r="AU23" s="20">
        <v>0</v>
      </c>
      <c r="AV23" s="21">
        <v>0</v>
      </c>
      <c r="AW23" s="139" t="str">
        <f t="shared" si="42"/>
        <v>-</v>
      </c>
      <c r="AX23" s="20">
        <v>0</v>
      </c>
      <c r="AY23" s="21">
        <v>0</v>
      </c>
      <c r="AZ23" s="139" t="str">
        <f t="shared" si="122"/>
        <v>-</v>
      </c>
      <c r="BA23" s="20">
        <v>0</v>
      </c>
      <c r="BB23" s="21">
        <v>0</v>
      </c>
      <c r="BC23" s="139" t="str">
        <f t="shared" si="53"/>
        <v>-</v>
      </c>
      <c r="BD23" s="20">
        <v>0</v>
      </c>
      <c r="BE23" s="21">
        <v>0</v>
      </c>
      <c r="BF23" s="139" t="str">
        <f t="shared" si="54"/>
        <v>-</v>
      </c>
      <c r="BG23" s="20">
        <v>0</v>
      </c>
      <c r="BH23" s="21">
        <v>0</v>
      </c>
      <c r="BI23" s="139" t="str">
        <f t="shared" si="19"/>
        <v>-</v>
      </c>
      <c r="BJ23" s="252">
        <v>6</v>
      </c>
      <c r="BK23" s="253">
        <v>1</v>
      </c>
      <c r="BL23" s="276">
        <f t="shared" si="20"/>
        <v>6</v>
      </c>
      <c r="BM23" s="252">
        <v>0</v>
      </c>
      <c r="BN23" s="253">
        <v>0</v>
      </c>
      <c r="BO23" s="276" t="str">
        <f t="shared" si="21"/>
        <v>-</v>
      </c>
      <c r="BP23" s="302">
        <v>0</v>
      </c>
      <c r="BQ23" s="303">
        <v>0</v>
      </c>
      <c r="BR23" s="276" t="str">
        <f t="shared" si="22"/>
        <v>-</v>
      </c>
      <c r="BS23" s="257">
        <v>0</v>
      </c>
      <c r="BT23" s="253">
        <v>0</v>
      </c>
      <c r="BU23" s="276" t="str">
        <f t="shared" si="23"/>
        <v>-</v>
      </c>
      <c r="BV23" s="257">
        <v>0</v>
      </c>
      <c r="BW23" s="253">
        <v>0</v>
      </c>
      <c r="BX23" s="139" t="str">
        <f t="shared" si="123"/>
        <v>-</v>
      </c>
      <c r="BY23" s="257">
        <v>0</v>
      </c>
      <c r="BZ23" s="253">
        <v>0</v>
      </c>
      <c r="CA23" s="139" t="str">
        <f t="shared" si="124"/>
        <v>-</v>
      </c>
      <c r="CB23" s="257">
        <v>0</v>
      </c>
      <c r="CC23" s="253">
        <v>0</v>
      </c>
      <c r="CD23" s="139" t="str">
        <f t="shared" si="125"/>
        <v>-</v>
      </c>
      <c r="CE23" s="257">
        <v>7</v>
      </c>
      <c r="CF23" s="253">
        <v>1</v>
      </c>
      <c r="CG23" s="276">
        <f t="shared" si="27"/>
        <v>7</v>
      </c>
      <c r="CH23" s="257">
        <v>0</v>
      </c>
      <c r="CI23" s="253">
        <v>0</v>
      </c>
      <c r="CJ23" s="276" t="str">
        <f t="shared" si="37"/>
        <v>-</v>
      </c>
      <c r="CK23" s="257">
        <v>0</v>
      </c>
      <c r="CL23" s="253">
        <v>0</v>
      </c>
      <c r="CM23" s="276" t="str">
        <f t="shared" si="38"/>
        <v>-</v>
      </c>
      <c r="CN23" s="117">
        <f t="shared" si="39"/>
        <v>122</v>
      </c>
      <c r="CO23" s="120">
        <f t="shared" si="40"/>
        <v>16</v>
      </c>
      <c r="CP23" s="147">
        <f t="shared" si="30"/>
        <v>7.625</v>
      </c>
    </row>
    <row r="24" spans="1:94" ht="15" thickBot="1" x14ac:dyDescent="0.35">
      <c r="A24" s="294">
        <v>45858</v>
      </c>
      <c r="B24" s="20">
        <v>22</v>
      </c>
      <c r="C24" s="21">
        <v>5</v>
      </c>
      <c r="D24" s="139">
        <f t="shared" si="0"/>
        <v>4.4000000000000004</v>
      </c>
      <c r="E24" s="20">
        <v>0</v>
      </c>
      <c r="F24" s="21">
        <v>0</v>
      </c>
      <c r="G24" s="139" t="str">
        <f t="shared" ref="G24" si="127">IF(F24=0,"-",E24/F24)</f>
        <v>-</v>
      </c>
      <c r="H24" s="20">
        <v>0</v>
      </c>
      <c r="I24" s="21">
        <v>0</v>
      </c>
      <c r="J24" s="139" t="str">
        <f t="shared" si="2"/>
        <v>-</v>
      </c>
      <c r="K24" s="20">
        <v>16</v>
      </c>
      <c r="L24" s="21">
        <v>2</v>
      </c>
      <c r="M24" s="139">
        <f t="shared" si="3"/>
        <v>8</v>
      </c>
      <c r="N24" s="20">
        <v>0</v>
      </c>
      <c r="O24" s="21">
        <v>0</v>
      </c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0</v>
      </c>
      <c r="U24" s="21">
        <v>0</v>
      </c>
      <c r="V24" s="139" t="str">
        <f t="shared" si="6"/>
        <v>-</v>
      </c>
      <c r="W24" s="20">
        <v>0</v>
      </c>
      <c r="X24" s="21">
        <v>0</v>
      </c>
      <c r="Y24" s="139" t="str">
        <f t="shared" si="7"/>
        <v>-</v>
      </c>
      <c r="Z24" s="20">
        <v>0</v>
      </c>
      <c r="AA24" s="21">
        <v>0</v>
      </c>
      <c r="AB24" s="139" t="str">
        <f t="shared" si="8"/>
        <v>-</v>
      </c>
      <c r="AC24" s="20">
        <v>0</v>
      </c>
      <c r="AD24" s="21">
        <v>0</v>
      </c>
      <c r="AE24" s="139" t="str">
        <f t="shared" si="9"/>
        <v>-</v>
      </c>
      <c r="AF24" s="20">
        <v>0</v>
      </c>
      <c r="AG24" s="21">
        <v>0</v>
      </c>
      <c r="AH24" s="139" t="str">
        <f t="shared" si="10"/>
        <v>-</v>
      </c>
      <c r="AI24" s="20">
        <v>0</v>
      </c>
      <c r="AJ24" s="21">
        <v>0</v>
      </c>
      <c r="AK24" s="139" t="str">
        <f t="shared" si="11"/>
        <v>-</v>
      </c>
      <c r="AL24" s="20">
        <v>0</v>
      </c>
      <c r="AM24" s="21">
        <v>0</v>
      </c>
      <c r="AN24" s="139" t="str">
        <f t="shared" si="12"/>
        <v>-</v>
      </c>
      <c r="AO24" s="20">
        <v>0</v>
      </c>
      <c r="AP24" s="21">
        <v>0</v>
      </c>
      <c r="AQ24" s="139" t="str">
        <f t="shared" si="13"/>
        <v>-</v>
      </c>
      <c r="AR24" s="20">
        <v>0</v>
      </c>
      <c r="AS24" s="21">
        <v>0</v>
      </c>
      <c r="AT24" s="139" t="str">
        <f t="shared" si="41"/>
        <v>-</v>
      </c>
      <c r="AU24" s="20">
        <v>0</v>
      </c>
      <c r="AV24" s="21">
        <v>0</v>
      </c>
      <c r="AW24" s="139" t="str">
        <f t="shared" si="42"/>
        <v>-</v>
      </c>
      <c r="AX24" s="20">
        <v>0</v>
      </c>
      <c r="AY24" s="21">
        <v>0</v>
      </c>
      <c r="AZ24" s="139" t="str">
        <f t="shared" si="122"/>
        <v>-</v>
      </c>
      <c r="BA24" s="20">
        <v>0</v>
      </c>
      <c r="BB24" s="21">
        <v>0</v>
      </c>
      <c r="BC24" s="139" t="str">
        <f t="shared" si="53"/>
        <v>-</v>
      </c>
      <c r="BD24" s="20">
        <v>0</v>
      </c>
      <c r="BE24" s="21">
        <v>0</v>
      </c>
      <c r="BF24" s="139" t="str">
        <f t="shared" si="54"/>
        <v>-</v>
      </c>
      <c r="BG24" s="20">
        <v>0</v>
      </c>
      <c r="BH24" s="21">
        <v>0</v>
      </c>
      <c r="BI24" s="139" t="str">
        <f t="shared" si="19"/>
        <v>-</v>
      </c>
      <c r="BJ24" s="252">
        <v>13</v>
      </c>
      <c r="BK24" s="253">
        <v>2</v>
      </c>
      <c r="BL24" s="276">
        <f t="shared" si="20"/>
        <v>6.5</v>
      </c>
      <c r="BM24" s="252">
        <v>0</v>
      </c>
      <c r="BN24" s="253">
        <v>0</v>
      </c>
      <c r="BO24" s="276" t="str">
        <f t="shared" si="21"/>
        <v>-</v>
      </c>
      <c r="BP24" s="302">
        <v>0</v>
      </c>
      <c r="BQ24" s="303">
        <v>0</v>
      </c>
      <c r="BR24" s="276" t="str">
        <f t="shared" si="22"/>
        <v>-</v>
      </c>
      <c r="BS24" s="256">
        <v>0</v>
      </c>
      <c r="BT24" s="253">
        <v>0</v>
      </c>
      <c r="BU24" s="276" t="str">
        <f t="shared" si="23"/>
        <v>-</v>
      </c>
      <c r="BV24" s="257">
        <v>0</v>
      </c>
      <c r="BW24" s="253">
        <v>0</v>
      </c>
      <c r="BX24" s="139" t="str">
        <f t="shared" si="123"/>
        <v>-</v>
      </c>
      <c r="BY24" s="257">
        <v>0</v>
      </c>
      <c r="BZ24" s="253">
        <v>0</v>
      </c>
      <c r="CA24" s="139" t="str">
        <f t="shared" si="124"/>
        <v>-</v>
      </c>
      <c r="CB24" s="257">
        <v>0</v>
      </c>
      <c r="CC24" s="253">
        <v>0</v>
      </c>
      <c r="CD24" s="139" t="str">
        <f t="shared" si="125"/>
        <v>-</v>
      </c>
      <c r="CE24" s="257">
        <v>0</v>
      </c>
      <c r="CF24" s="253">
        <v>0</v>
      </c>
      <c r="CG24" s="139" t="str">
        <f t="shared" si="27"/>
        <v>-</v>
      </c>
      <c r="CH24" s="257">
        <v>0</v>
      </c>
      <c r="CI24" s="253">
        <v>0</v>
      </c>
      <c r="CJ24" s="139" t="str">
        <f t="shared" si="37"/>
        <v>-</v>
      </c>
      <c r="CK24" s="257">
        <v>0</v>
      </c>
      <c r="CL24" s="253">
        <v>0</v>
      </c>
      <c r="CM24" s="139" t="str">
        <f t="shared" si="38"/>
        <v>-</v>
      </c>
      <c r="CN24" s="117">
        <f t="shared" si="39"/>
        <v>51</v>
      </c>
      <c r="CO24" s="120">
        <f t="shared" si="40"/>
        <v>9</v>
      </c>
      <c r="CP24" s="147">
        <f t="shared" si="30"/>
        <v>5.666666666666667</v>
      </c>
    </row>
    <row r="25" spans="1:94" ht="15" thickBot="1" x14ac:dyDescent="0.35">
      <c r="A25" s="294">
        <v>45859</v>
      </c>
      <c r="B25" s="20">
        <v>25</v>
      </c>
      <c r="C25" s="21">
        <v>4</v>
      </c>
      <c r="D25" s="139">
        <f t="shared" si="0"/>
        <v>6.25</v>
      </c>
      <c r="E25" s="20">
        <v>6</v>
      </c>
      <c r="F25" s="21">
        <v>1</v>
      </c>
      <c r="G25" s="139">
        <f t="shared" si="1"/>
        <v>6</v>
      </c>
      <c r="H25" s="20">
        <v>0</v>
      </c>
      <c r="I25" s="21">
        <v>0</v>
      </c>
      <c r="J25" s="139" t="str">
        <f t="shared" si="2"/>
        <v>-</v>
      </c>
      <c r="K25" s="20">
        <v>13</v>
      </c>
      <c r="L25" s="21">
        <v>2</v>
      </c>
      <c r="M25" s="139">
        <f t="shared" si="3"/>
        <v>6.5</v>
      </c>
      <c r="N25" s="125">
        <v>0</v>
      </c>
      <c r="O25" s="126">
        <v>0</v>
      </c>
      <c r="P25" s="139" t="str">
        <f t="shared" si="4"/>
        <v>-</v>
      </c>
      <c r="Q25" s="20">
        <v>79</v>
      </c>
      <c r="R25" s="21">
        <v>17</v>
      </c>
      <c r="S25" s="139">
        <f t="shared" si="5"/>
        <v>4.6470588235294121</v>
      </c>
      <c r="T25" s="20">
        <v>67</v>
      </c>
      <c r="U25" s="21">
        <v>13</v>
      </c>
      <c r="V25" s="139">
        <f t="shared" si="6"/>
        <v>5.1538461538461542</v>
      </c>
      <c r="W25" s="20">
        <v>0</v>
      </c>
      <c r="X25" s="21">
        <v>0</v>
      </c>
      <c r="Y25" s="139" t="str">
        <f t="shared" si="7"/>
        <v>-</v>
      </c>
      <c r="Z25" s="20">
        <v>30</v>
      </c>
      <c r="AA25" s="21">
        <v>6</v>
      </c>
      <c r="AB25" s="139">
        <f t="shared" si="8"/>
        <v>5</v>
      </c>
      <c r="AC25" s="20">
        <v>0</v>
      </c>
      <c r="AD25" s="21">
        <v>0</v>
      </c>
      <c r="AE25" s="139" t="str">
        <f t="shared" ref="AE25" si="128">IF(AD25=0,"-",AC25/AD25)</f>
        <v>-</v>
      </c>
      <c r="AF25" s="20">
        <v>0</v>
      </c>
      <c r="AG25" s="21">
        <v>0</v>
      </c>
      <c r="AH25" s="139" t="str">
        <f t="shared" ref="AH25" si="129">IF(AG25=0,"-",AF25/AG25)</f>
        <v>-</v>
      </c>
      <c r="AI25" s="20">
        <v>0</v>
      </c>
      <c r="AJ25" s="21">
        <v>0</v>
      </c>
      <c r="AK25" s="139" t="str">
        <f t="shared" ref="AK25" si="130">IF(AJ25=0,"-",AI25/AJ25)</f>
        <v>-</v>
      </c>
      <c r="AL25" s="20">
        <v>6</v>
      </c>
      <c r="AM25" s="21">
        <v>1</v>
      </c>
      <c r="AN25" s="139">
        <f t="shared" si="12"/>
        <v>6</v>
      </c>
      <c r="AO25" s="20">
        <v>0</v>
      </c>
      <c r="AP25" s="21">
        <v>0</v>
      </c>
      <c r="AQ25" s="139" t="str">
        <f t="shared" si="13"/>
        <v>-</v>
      </c>
      <c r="AR25" s="20">
        <v>7</v>
      </c>
      <c r="AS25" s="21">
        <v>1</v>
      </c>
      <c r="AT25" s="139">
        <f t="shared" si="41"/>
        <v>7</v>
      </c>
      <c r="AU25" s="20">
        <v>0</v>
      </c>
      <c r="AV25" s="21">
        <v>0</v>
      </c>
      <c r="AW25" s="139" t="str">
        <f t="shared" si="42"/>
        <v>-</v>
      </c>
      <c r="AX25" s="20">
        <v>3</v>
      </c>
      <c r="AY25" s="21">
        <v>1</v>
      </c>
      <c r="AZ25" s="139">
        <f t="shared" si="52"/>
        <v>3</v>
      </c>
      <c r="BA25" s="20">
        <v>0</v>
      </c>
      <c r="BB25" s="21">
        <v>0</v>
      </c>
      <c r="BC25" s="139" t="str">
        <f t="shared" si="53"/>
        <v>-</v>
      </c>
      <c r="BD25" s="20">
        <v>0</v>
      </c>
      <c r="BE25" s="21">
        <v>0</v>
      </c>
      <c r="BF25" s="139" t="str">
        <f t="shared" si="54"/>
        <v>-</v>
      </c>
      <c r="BG25" s="20">
        <v>0</v>
      </c>
      <c r="BH25" s="21">
        <v>0</v>
      </c>
      <c r="BI25" s="139" t="str">
        <f t="shared" si="19"/>
        <v>-</v>
      </c>
      <c r="BJ25" s="252">
        <v>24</v>
      </c>
      <c r="BK25" s="253">
        <v>4</v>
      </c>
      <c r="BL25" s="276">
        <f t="shared" si="20"/>
        <v>6</v>
      </c>
      <c r="BM25" s="252">
        <v>0</v>
      </c>
      <c r="BN25" s="253">
        <v>0</v>
      </c>
      <c r="BO25" s="276" t="str">
        <f t="shared" si="21"/>
        <v>-</v>
      </c>
      <c r="BP25" s="302">
        <v>0</v>
      </c>
      <c r="BQ25" s="303">
        <v>0</v>
      </c>
      <c r="BR25" s="276" t="str">
        <f t="shared" si="22"/>
        <v>-</v>
      </c>
      <c r="BS25" s="257">
        <v>0</v>
      </c>
      <c r="BT25" s="253">
        <v>0</v>
      </c>
      <c r="BU25" s="276" t="str">
        <f t="shared" si="23"/>
        <v>-</v>
      </c>
      <c r="BV25" s="257">
        <v>5</v>
      </c>
      <c r="BW25" s="253">
        <v>3</v>
      </c>
      <c r="BX25" s="276">
        <f t="shared" si="24"/>
        <v>1.6666666666666667</v>
      </c>
      <c r="BY25" s="257">
        <v>0</v>
      </c>
      <c r="BZ25" s="253">
        <v>0</v>
      </c>
      <c r="CA25" s="276" t="str">
        <f t="shared" si="25"/>
        <v>-</v>
      </c>
      <c r="CB25" s="257">
        <v>0</v>
      </c>
      <c r="CC25" s="253">
        <v>0</v>
      </c>
      <c r="CD25" s="276" t="str">
        <f t="shared" si="26"/>
        <v>-</v>
      </c>
      <c r="CE25" s="257">
        <v>0</v>
      </c>
      <c r="CF25" s="253">
        <v>0</v>
      </c>
      <c r="CG25" s="139" t="str">
        <f t="shared" ref="CG25:CG26" si="131">IF(CF25=0,"-",CE25/CF25)</f>
        <v>-</v>
      </c>
      <c r="CH25" s="257">
        <v>0</v>
      </c>
      <c r="CI25" s="253">
        <v>0</v>
      </c>
      <c r="CJ25" s="139" t="str">
        <f t="shared" ref="CJ25:CJ26" si="132">IF(CI25=0,"-",CH25/CI25)</f>
        <v>-</v>
      </c>
      <c r="CK25" s="257">
        <v>0</v>
      </c>
      <c r="CL25" s="253">
        <v>0</v>
      </c>
      <c r="CM25" s="139" t="str">
        <f t="shared" ref="CM25:CM26" si="133">IF(CL25=0,"-",CK25/CL25)</f>
        <v>-</v>
      </c>
      <c r="CN25" s="117">
        <f t="shared" si="39"/>
        <v>265</v>
      </c>
      <c r="CO25" s="120">
        <f t="shared" si="40"/>
        <v>49</v>
      </c>
      <c r="CP25" s="147">
        <f t="shared" si="30"/>
        <v>5.408163265306122</v>
      </c>
    </row>
    <row r="26" spans="1:94" ht="15" thickBot="1" x14ac:dyDescent="0.35">
      <c r="A26" s="294">
        <v>45860</v>
      </c>
      <c r="B26" s="20">
        <v>33</v>
      </c>
      <c r="C26" s="21">
        <v>4</v>
      </c>
      <c r="D26" s="139">
        <f t="shared" si="0"/>
        <v>8.25</v>
      </c>
      <c r="E26" s="20">
        <v>0</v>
      </c>
      <c r="F26" s="21">
        <v>0</v>
      </c>
      <c r="G26" s="139" t="str">
        <f t="shared" si="1"/>
        <v>-</v>
      </c>
      <c r="H26" s="20">
        <v>14</v>
      </c>
      <c r="I26" s="21">
        <v>4</v>
      </c>
      <c r="J26" s="139">
        <f t="shared" si="2"/>
        <v>3.5</v>
      </c>
      <c r="K26" s="20">
        <v>9</v>
      </c>
      <c r="L26" s="21">
        <v>1</v>
      </c>
      <c r="M26" s="139">
        <f t="shared" si="3"/>
        <v>9</v>
      </c>
      <c r="N26" s="125">
        <v>0</v>
      </c>
      <c r="O26" s="126">
        <v>0</v>
      </c>
      <c r="P26" s="139" t="str">
        <f t="shared" si="4"/>
        <v>-</v>
      </c>
      <c r="Q26" s="125">
        <v>168</v>
      </c>
      <c r="R26" s="126">
        <v>34</v>
      </c>
      <c r="S26" s="139">
        <f t="shared" si="5"/>
        <v>4.9411764705882355</v>
      </c>
      <c r="T26" s="20">
        <v>0</v>
      </c>
      <c r="U26" s="21">
        <v>0</v>
      </c>
      <c r="V26" s="139" t="str">
        <f t="shared" si="6"/>
        <v>-</v>
      </c>
      <c r="W26" s="20">
        <v>0</v>
      </c>
      <c r="X26" s="21">
        <v>0</v>
      </c>
      <c r="Y26" s="139" t="str">
        <f t="shared" si="7"/>
        <v>-</v>
      </c>
      <c r="Z26" s="20">
        <v>30</v>
      </c>
      <c r="AA26" s="21">
        <v>6</v>
      </c>
      <c r="AB26" s="139">
        <f t="shared" si="8"/>
        <v>5</v>
      </c>
      <c r="AC26" s="20">
        <v>0</v>
      </c>
      <c r="AD26" s="21">
        <v>0</v>
      </c>
      <c r="AE26" s="139" t="str">
        <f t="shared" ref="AE26" si="134">IF(AD26=0,"-",AC26/AD26)</f>
        <v>-</v>
      </c>
      <c r="AF26" s="20">
        <v>0</v>
      </c>
      <c r="AG26" s="21">
        <v>0</v>
      </c>
      <c r="AH26" s="139" t="str">
        <f t="shared" ref="AH26" si="135">IF(AG26=0,"-",AF26/AG26)</f>
        <v>-</v>
      </c>
      <c r="AI26" s="20">
        <v>6</v>
      </c>
      <c r="AJ26" s="21">
        <v>1</v>
      </c>
      <c r="AK26" s="139">
        <f t="shared" si="11"/>
        <v>6</v>
      </c>
      <c r="AL26" s="20">
        <v>0</v>
      </c>
      <c r="AM26" s="21">
        <v>0</v>
      </c>
      <c r="AN26" s="139" t="str">
        <f t="shared" si="12"/>
        <v>-</v>
      </c>
      <c r="AO26" s="20">
        <v>6</v>
      </c>
      <c r="AP26" s="21">
        <v>1</v>
      </c>
      <c r="AQ26" s="139">
        <f t="shared" si="13"/>
        <v>6</v>
      </c>
      <c r="AR26" s="20">
        <v>3</v>
      </c>
      <c r="AS26" s="21">
        <v>1</v>
      </c>
      <c r="AT26" s="139">
        <f t="shared" si="41"/>
        <v>3</v>
      </c>
      <c r="AU26" s="20">
        <v>0</v>
      </c>
      <c r="AV26" s="21">
        <v>0</v>
      </c>
      <c r="AW26" s="139" t="str">
        <f t="shared" si="42"/>
        <v>-</v>
      </c>
      <c r="AX26" s="20">
        <v>0</v>
      </c>
      <c r="AY26" s="21">
        <v>0</v>
      </c>
      <c r="AZ26" s="139" t="str">
        <f t="shared" si="52"/>
        <v>-</v>
      </c>
      <c r="BA26" s="20">
        <v>0</v>
      </c>
      <c r="BB26" s="21">
        <v>0</v>
      </c>
      <c r="BC26" s="139" t="str">
        <f t="shared" si="53"/>
        <v>-</v>
      </c>
      <c r="BD26" s="20">
        <v>0</v>
      </c>
      <c r="BE26" s="21">
        <v>0</v>
      </c>
      <c r="BF26" s="139" t="str">
        <f t="shared" si="54"/>
        <v>-</v>
      </c>
      <c r="BG26" s="125">
        <v>0</v>
      </c>
      <c r="BH26" s="126">
        <v>0</v>
      </c>
      <c r="BI26" s="139" t="str">
        <f t="shared" si="19"/>
        <v>-</v>
      </c>
      <c r="BJ26" s="252">
        <v>0</v>
      </c>
      <c r="BK26" s="253">
        <v>0</v>
      </c>
      <c r="BL26" s="276" t="str">
        <f t="shared" si="20"/>
        <v>-</v>
      </c>
      <c r="BM26" s="252">
        <v>0</v>
      </c>
      <c r="BN26" s="253">
        <v>0</v>
      </c>
      <c r="BO26" s="276" t="str">
        <f t="shared" si="21"/>
        <v>-</v>
      </c>
      <c r="BP26" s="302">
        <v>0</v>
      </c>
      <c r="BQ26" s="303">
        <v>0</v>
      </c>
      <c r="BR26" s="276" t="str">
        <f t="shared" si="22"/>
        <v>-</v>
      </c>
      <c r="BS26" s="257">
        <v>6</v>
      </c>
      <c r="BT26" s="253">
        <v>1</v>
      </c>
      <c r="BU26" s="276">
        <f t="shared" si="23"/>
        <v>6</v>
      </c>
      <c r="BV26" s="257">
        <v>0</v>
      </c>
      <c r="BW26" s="253">
        <v>0</v>
      </c>
      <c r="BX26" s="276" t="str">
        <f t="shared" si="24"/>
        <v>-</v>
      </c>
      <c r="BY26" s="257">
        <v>0</v>
      </c>
      <c r="BZ26" s="253">
        <v>0</v>
      </c>
      <c r="CA26" s="276" t="str">
        <f t="shared" si="25"/>
        <v>-</v>
      </c>
      <c r="CB26" s="257">
        <v>1</v>
      </c>
      <c r="CC26" s="253">
        <v>1</v>
      </c>
      <c r="CD26" s="276">
        <f t="shared" si="26"/>
        <v>1</v>
      </c>
      <c r="CE26" s="257">
        <v>0</v>
      </c>
      <c r="CF26" s="253">
        <v>0</v>
      </c>
      <c r="CG26" s="139" t="str">
        <f t="shared" si="131"/>
        <v>-</v>
      </c>
      <c r="CH26" s="257">
        <v>0</v>
      </c>
      <c r="CI26" s="253">
        <v>0</v>
      </c>
      <c r="CJ26" s="139" t="str">
        <f t="shared" si="132"/>
        <v>-</v>
      </c>
      <c r="CK26" s="257">
        <v>0</v>
      </c>
      <c r="CL26" s="253">
        <v>0</v>
      </c>
      <c r="CM26" s="139" t="str">
        <f t="shared" si="133"/>
        <v>-</v>
      </c>
      <c r="CN26" s="117">
        <f t="shared" si="39"/>
        <v>276</v>
      </c>
      <c r="CO26" s="120">
        <f t="shared" si="40"/>
        <v>53</v>
      </c>
      <c r="CP26" s="147">
        <f t="shared" si="30"/>
        <v>5.2075471698113205</v>
      </c>
    </row>
    <row r="27" spans="1:94" ht="15" thickBot="1" x14ac:dyDescent="0.35">
      <c r="A27" s="294">
        <v>45861</v>
      </c>
      <c r="B27" s="20">
        <v>61</v>
      </c>
      <c r="C27" s="21">
        <v>8</v>
      </c>
      <c r="D27" s="139">
        <f t="shared" si="0"/>
        <v>7.625</v>
      </c>
      <c r="E27" s="20">
        <v>0</v>
      </c>
      <c r="F27" s="21">
        <v>0</v>
      </c>
      <c r="G27" s="139" t="str">
        <f t="shared" si="1"/>
        <v>-</v>
      </c>
      <c r="H27" s="20">
        <v>0</v>
      </c>
      <c r="I27" s="21">
        <v>0</v>
      </c>
      <c r="J27" s="139" t="str">
        <f t="shared" si="2"/>
        <v>-</v>
      </c>
      <c r="K27" s="20">
        <v>0</v>
      </c>
      <c r="L27" s="21">
        <v>0</v>
      </c>
      <c r="M27" s="139" t="str">
        <f t="shared" si="3"/>
        <v>-</v>
      </c>
      <c r="N27" s="125">
        <v>0</v>
      </c>
      <c r="O27" s="126">
        <v>0</v>
      </c>
      <c r="P27" s="139" t="str">
        <f t="shared" si="4"/>
        <v>-</v>
      </c>
      <c r="Q27" s="125">
        <v>53</v>
      </c>
      <c r="R27" s="126">
        <v>13</v>
      </c>
      <c r="S27" s="139">
        <f t="shared" si="5"/>
        <v>4.0769230769230766</v>
      </c>
      <c r="T27" s="20">
        <v>9</v>
      </c>
      <c r="U27" s="21">
        <v>3</v>
      </c>
      <c r="V27" s="139">
        <f t="shared" si="6"/>
        <v>3</v>
      </c>
      <c r="W27" s="125">
        <v>0</v>
      </c>
      <c r="X27" s="126">
        <v>0</v>
      </c>
      <c r="Y27" s="139" t="str">
        <f t="shared" si="7"/>
        <v>-</v>
      </c>
      <c r="Z27" s="125">
        <v>30</v>
      </c>
      <c r="AA27" s="126">
        <v>6</v>
      </c>
      <c r="AB27" s="139">
        <f t="shared" si="8"/>
        <v>5</v>
      </c>
      <c r="AC27" s="20">
        <v>0</v>
      </c>
      <c r="AD27" s="21">
        <v>0</v>
      </c>
      <c r="AE27" s="139" t="str">
        <f t="shared" ref="AE27" si="136">IF(AD27=0,"-",AC27/AD27)</f>
        <v>-</v>
      </c>
      <c r="AF27" s="20">
        <v>0</v>
      </c>
      <c r="AG27" s="21">
        <v>0</v>
      </c>
      <c r="AH27" s="139" t="str">
        <f t="shared" ref="AH27" si="137">IF(AG27=0,"-",AF27/AG27)</f>
        <v>-</v>
      </c>
      <c r="AI27" s="125">
        <v>6</v>
      </c>
      <c r="AJ27" s="126">
        <v>1</v>
      </c>
      <c r="AK27" s="139">
        <f t="shared" si="11"/>
        <v>6</v>
      </c>
      <c r="AL27" s="125">
        <v>0</v>
      </c>
      <c r="AM27" s="126">
        <v>0</v>
      </c>
      <c r="AN27" s="139" t="str">
        <f t="shared" si="12"/>
        <v>-</v>
      </c>
      <c r="AO27" s="125">
        <v>11</v>
      </c>
      <c r="AP27" s="126">
        <v>2</v>
      </c>
      <c r="AQ27" s="139">
        <f t="shared" si="13"/>
        <v>5.5</v>
      </c>
      <c r="AR27" s="125">
        <v>0</v>
      </c>
      <c r="AS27" s="126">
        <v>0</v>
      </c>
      <c r="AT27" s="139" t="str">
        <f t="shared" si="41"/>
        <v>-</v>
      </c>
      <c r="AU27" s="125">
        <v>0</v>
      </c>
      <c r="AV27" s="126">
        <v>0</v>
      </c>
      <c r="AW27" s="139" t="str">
        <f t="shared" si="42"/>
        <v>-</v>
      </c>
      <c r="AX27" s="125">
        <v>1</v>
      </c>
      <c r="AY27" s="126">
        <v>1</v>
      </c>
      <c r="AZ27" s="139">
        <f t="shared" si="52"/>
        <v>1</v>
      </c>
      <c r="BA27" s="20">
        <v>0</v>
      </c>
      <c r="BB27" s="21">
        <v>0</v>
      </c>
      <c r="BC27" s="139" t="str">
        <f t="shared" si="53"/>
        <v>-</v>
      </c>
      <c r="BD27" s="20">
        <v>0</v>
      </c>
      <c r="BE27" s="21">
        <v>0</v>
      </c>
      <c r="BF27" s="139" t="str">
        <f t="shared" si="54"/>
        <v>-</v>
      </c>
      <c r="BG27" s="125">
        <v>6</v>
      </c>
      <c r="BH27" s="126">
        <v>1</v>
      </c>
      <c r="BI27" s="139">
        <f t="shared" si="19"/>
        <v>6</v>
      </c>
      <c r="BJ27" s="252">
        <v>13</v>
      </c>
      <c r="BK27" s="253">
        <v>2</v>
      </c>
      <c r="BL27" s="276">
        <f t="shared" si="20"/>
        <v>6.5</v>
      </c>
      <c r="BM27" s="252">
        <v>0</v>
      </c>
      <c r="BN27" s="253">
        <v>0</v>
      </c>
      <c r="BO27" s="276" t="str">
        <f t="shared" si="21"/>
        <v>-</v>
      </c>
      <c r="BP27" s="302">
        <v>0</v>
      </c>
      <c r="BQ27" s="303">
        <v>0</v>
      </c>
      <c r="BR27" s="276" t="str">
        <f t="shared" si="22"/>
        <v>-</v>
      </c>
      <c r="BS27" s="257">
        <v>0</v>
      </c>
      <c r="BT27" s="253">
        <v>0</v>
      </c>
      <c r="BU27" s="276" t="str">
        <f t="shared" si="23"/>
        <v>-</v>
      </c>
      <c r="BV27" s="257">
        <v>0</v>
      </c>
      <c r="BW27" s="253">
        <v>0</v>
      </c>
      <c r="BX27" s="276" t="str">
        <f t="shared" si="24"/>
        <v>-</v>
      </c>
      <c r="BY27" s="257">
        <v>0</v>
      </c>
      <c r="BZ27" s="253">
        <v>0</v>
      </c>
      <c r="CA27" s="276" t="str">
        <f t="shared" si="25"/>
        <v>-</v>
      </c>
      <c r="CB27" s="257">
        <v>0</v>
      </c>
      <c r="CC27" s="253">
        <v>0</v>
      </c>
      <c r="CD27" s="276" t="str">
        <f t="shared" si="26"/>
        <v>-</v>
      </c>
      <c r="CE27" s="257">
        <v>28</v>
      </c>
      <c r="CF27" s="253">
        <v>4</v>
      </c>
      <c r="CG27" s="276">
        <f t="shared" si="27"/>
        <v>7</v>
      </c>
      <c r="CH27" s="257">
        <v>0</v>
      </c>
      <c r="CI27" s="253">
        <v>0</v>
      </c>
      <c r="CJ27" s="276" t="str">
        <f t="shared" si="37"/>
        <v>-</v>
      </c>
      <c r="CK27" s="257">
        <v>0</v>
      </c>
      <c r="CL27" s="253">
        <v>0</v>
      </c>
      <c r="CM27" s="276" t="str">
        <f t="shared" si="38"/>
        <v>-</v>
      </c>
      <c r="CN27" s="117">
        <f t="shared" si="39"/>
        <v>218</v>
      </c>
      <c r="CO27" s="120">
        <f t="shared" si="40"/>
        <v>39</v>
      </c>
      <c r="CP27" s="147">
        <f t="shared" si="30"/>
        <v>5.5897435897435894</v>
      </c>
    </row>
    <row r="28" spans="1:94" ht="15" thickBot="1" x14ac:dyDescent="0.35">
      <c r="A28" s="294">
        <v>45862</v>
      </c>
      <c r="B28" s="20">
        <v>99</v>
      </c>
      <c r="C28" s="21">
        <v>13</v>
      </c>
      <c r="D28" s="139">
        <f t="shared" si="0"/>
        <v>7.615384615384615</v>
      </c>
      <c r="E28" s="20">
        <v>0</v>
      </c>
      <c r="F28" s="21">
        <v>0</v>
      </c>
      <c r="G28" s="139" t="str">
        <f t="shared" ref="G28" si="138">IF(F28=0,"-",E28/F28)</f>
        <v>-</v>
      </c>
      <c r="H28" s="20">
        <v>0</v>
      </c>
      <c r="I28" s="21">
        <v>0</v>
      </c>
      <c r="J28" s="139" t="str">
        <f t="shared" si="2"/>
        <v>-</v>
      </c>
      <c r="K28" s="20">
        <v>17</v>
      </c>
      <c r="L28" s="21">
        <v>2</v>
      </c>
      <c r="M28" s="139">
        <f t="shared" si="3"/>
        <v>8.5</v>
      </c>
      <c r="N28" s="125">
        <v>0</v>
      </c>
      <c r="O28" s="126">
        <v>0</v>
      </c>
      <c r="P28" s="139" t="str">
        <f t="shared" si="4"/>
        <v>-</v>
      </c>
      <c r="Q28" s="125">
        <v>58</v>
      </c>
      <c r="R28" s="126">
        <v>13</v>
      </c>
      <c r="S28" s="139">
        <f t="shared" si="5"/>
        <v>4.4615384615384617</v>
      </c>
      <c r="T28" s="20">
        <v>0</v>
      </c>
      <c r="U28" s="21">
        <v>0</v>
      </c>
      <c r="V28" s="139" t="str">
        <f t="shared" si="6"/>
        <v>-</v>
      </c>
      <c r="W28" s="125">
        <v>0</v>
      </c>
      <c r="X28" s="126">
        <v>0</v>
      </c>
      <c r="Y28" s="139" t="str">
        <f t="shared" si="7"/>
        <v>-</v>
      </c>
      <c r="Z28" s="125">
        <v>70</v>
      </c>
      <c r="AA28" s="126">
        <v>14</v>
      </c>
      <c r="AB28" s="139">
        <f t="shared" si="8"/>
        <v>5</v>
      </c>
      <c r="AC28" s="20">
        <v>0</v>
      </c>
      <c r="AD28" s="21">
        <v>0</v>
      </c>
      <c r="AE28" s="139" t="str">
        <f t="shared" ref="AE28" si="139">IF(AD28=0,"-",AC28/AD28)</f>
        <v>-</v>
      </c>
      <c r="AF28" s="20">
        <v>0</v>
      </c>
      <c r="AG28" s="21">
        <v>0</v>
      </c>
      <c r="AH28" s="139" t="str">
        <f t="shared" ref="AH28" si="140">IF(AG28=0,"-",AF28/AG28)</f>
        <v>-</v>
      </c>
      <c r="AI28" s="125">
        <v>10</v>
      </c>
      <c r="AJ28" s="126">
        <v>2</v>
      </c>
      <c r="AK28" s="139">
        <f t="shared" si="11"/>
        <v>5</v>
      </c>
      <c r="AL28" s="125">
        <v>0</v>
      </c>
      <c r="AM28" s="126">
        <v>0</v>
      </c>
      <c r="AN28" s="139" t="str">
        <f t="shared" ref="AN28:AN29" si="141">IF(AM28=0,"-",AL28/AM28)</f>
        <v>-</v>
      </c>
      <c r="AO28" s="125">
        <v>0</v>
      </c>
      <c r="AP28" s="126">
        <v>0</v>
      </c>
      <c r="AQ28" s="139" t="str">
        <f t="shared" si="13"/>
        <v>-</v>
      </c>
      <c r="AR28" s="125">
        <v>4</v>
      </c>
      <c r="AS28" s="126">
        <v>1</v>
      </c>
      <c r="AT28" s="139">
        <f t="shared" si="41"/>
        <v>4</v>
      </c>
      <c r="AU28" s="125">
        <v>0</v>
      </c>
      <c r="AV28" s="126">
        <v>0</v>
      </c>
      <c r="AW28" s="139" t="str">
        <f t="shared" si="42"/>
        <v>-</v>
      </c>
      <c r="AX28" s="125">
        <v>2</v>
      </c>
      <c r="AY28" s="126">
        <v>1</v>
      </c>
      <c r="AZ28" s="139">
        <f t="shared" si="52"/>
        <v>2</v>
      </c>
      <c r="BA28" s="125">
        <v>0</v>
      </c>
      <c r="BB28" s="126">
        <v>0</v>
      </c>
      <c r="BC28" s="139" t="str">
        <f t="shared" si="53"/>
        <v>-</v>
      </c>
      <c r="BD28" s="125">
        <v>0</v>
      </c>
      <c r="BE28" s="126">
        <v>0</v>
      </c>
      <c r="BF28" s="139" t="str">
        <f t="shared" si="54"/>
        <v>-</v>
      </c>
      <c r="BG28" s="125">
        <v>20</v>
      </c>
      <c r="BH28" s="126">
        <v>2</v>
      </c>
      <c r="BI28" s="139">
        <f t="shared" si="19"/>
        <v>10</v>
      </c>
      <c r="BJ28" s="252">
        <v>25</v>
      </c>
      <c r="BK28" s="253">
        <v>4</v>
      </c>
      <c r="BL28" s="139">
        <f t="shared" si="20"/>
        <v>6.25</v>
      </c>
      <c r="BM28" s="252">
        <v>0</v>
      </c>
      <c r="BN28" s="253">
        <v>0</v>
      </c>
      <c r="BO28" s="139" t="str">
        <f t="shared" si="21"/>
        <v>-</v>
      </c>
      <c r="BP28" s="302">
        <v>0</v>
      </c>
      <c r="BQ28" s="303">
        <v>0</v>
      </c>
      <c r="BR28" s="139" t="str">
        <f t="shared" si="22"/>
        <v>-</v>
      </c>
      <c r="BS28" s="257">
        <v>0</v>
      </c>
      <c r="BT28" s="253">
        <v>0</v>
      </c>
      <c r="BU28" s="139" t="str">
        <f t="shared" si="23"/>
        <v>-</v>
      </c>
      <c r="BV28" s="257">
        <v>2</v>
      </c>
      <c r="BW28" s="253">
        <v>2</v>
      </c>
      <c r="BX28" s="276">
        <f t="shared" si="24"/>
        <v>1</v>
      </c>
      <c r="BY28" s="257">
        <v>0</v>
      </c>
      <c r="BZ28" s="253">
        <v>0</v>
      </c>
      <c r="CA28" s="276" t="str">
        <f t="shared" si="25"/>
        <v>-</v>
      </c>
      <c r="CB28" s="257">
        <v>0</v>
      </c>
      <c r="CC28" s="253">
        <v>0</v>
      </c>
      <c r="CD28" s="276" t="str">
        <f t="shared" si="26"/>
        <v>-</v>
      </c>
      <c r="CE28" s="20">
        <v>0</v>
      </c>
      <c r="CF28" s="21">
        <v>0</v>
      </c>
      <c r="CG28" s="139" t="str">
        <f t="shared" si="27"/>
        <v>-</v>
      </c>
      <c r="CH28" s="20">
        <v>0</v>
      </c>
      <c r="CI28" s="21">
        <v>0</v>
      </c>
      <c r="CJ28" s="139" t="str">
        <f t="shared" si="37"/>
        <v>-</v>
      </c>
      <c r="CK28" s="257">
        <v>0</v>
      </c>
      <c r="CL28" s="253">
        <v>0</v>
      </c>
      <c r="CM28" s="276" t="str">
        <f t="shared" si="38"/>
        <v>-</v>
      </c>
      <c r="CN28" s="117">
        <f t="shared" si="39"/>
        <v>307</v>
      </c>
      <c r="CO28" s="120">
        <f t="shared" si="40"/>
        <v>52</v>
      </c>
      <c r="CP28" s="147">
        <f t="shared" si="30"/>
        <v>5.9038461538461542</v>
      </c>
    </row>
    <row r="29" spans="1:94" ht="15" thickBot="1" x14ac:dyDescent="0.35">
      <c r="A29" s="294">
        <v>45863</v>
      </c>
      <c r="B29" s="20">
        <v>17</v>
      </c>
      <c r="C29" s="21">
        <v>2</v>
      </c>
      <c r="D29" s="139">
        <f t="shared" si="0"/>
        <v>8.5</v>
      </c>
      <c r="E29" s="20">
        <v>0</v>
      </c>
      <c r="F29" s="21">
        <v>0</v>
      </c>
      <c r="G29" s="139" t="str">
        <f t="shared" si="1"/>
        <v>-</v>
      </c>
      <c r="H29" s="20">
        <v>0</v>
      </c>
      <c r="I29" s="21">
        <v>0</v>
      </c>
      <c r="J29" s="139" t="str">
        <f t="shared" si="2"/>
        <v>-</v>
      </c>
      <c r="K29" s="20">
        <v>8</v>
      </c>
      <c r="L29" s="21">
        <v>1</v>
      </c>
      <c r="M29" s="139">
        <f t="shared" si="3"/>
        <v>8</v>
      </c>
      <c r="N29" s="125">
        <v>0</v>
      </c>
      <c r="O29" s="126">
        <v>0</v>
      </c>
      <c r="P29" s="139" t="str">
        <f t="shared" si="4"/>
        <v>-</v>
      </c>
      <c r="Q29" s="125">
        <v>92</v>
      </c>
      <c r="R29" s="126">
        <v>23</v>
      </c>
      <c r="S29" s="139">
        <f t="shared" si="5"/>
        <v>4</v>
      </c>
      <c r="T29" s="125">
        <v>0</v>
      </c>
      <c r="U29" s="126">
        <v>0</v>
      </c>
      <c r="V29" s="139" t="str">
        <f t="shared" si="6"/>
        <v>-</v>
      </c>
      <c r="W29" s="125">
        <v>0</v>
      </c>
      <c r="X29" s="126">
        <v>0</v>
      </c>
      <c r="Y29" s="139" t="str">
        <f t="shared" si="7"/>
        <v>-</v>
      </c>
      <c r="Z29" s="125">
        <v>30</v>
      </c>
      <c r="AA29" s="126">
        <v>6</v>
      </c>
      <c r="AB29" s="139">
        <f t="shared" si="8"/>
        <v>5</v>
      </c>
      <c r="AC29" s="20">
        <v>0</v>
      </c>
      <c r="AD29" s="21">
        <v>0</v>
      </c>
      <c r="AE29" s="139" t="str">
        <f t="shared" ref="AE29" si="142">IF(AD29=0,"-",AC29/AD29)</f>
        <v>-</v>
      </c>
      <c r="AF29" s="20">
        <v>0</v>
      </c>
      <c r="AG29" s="21">
        <v>0</v>
      </c>
      <c r="AH29" s="139" t="str">
        <f t="shared" ref="AH29" si="143">IF(AG29=0,"-",AF29/AG29)</f>
        <v>-</v>
      </c>
      <c r="AI29" s="20">
        <v>0</v>
      </c>
      <c r="AJ29" s="21">
        <v>0</v>
      </c>
      <c r="AK29" s="139" t="str">
        <f t="shared" si="11"/>
        <v>-</v>
      </c>
      <c r="AL29" s="20">
        <v>0</v>
      </c>
      <c r="AM29" s="21">
        <v>0</v>
      </c>
      <c r="AN29" s="139" t="str">
        <f t="shared" si="141"/>
        <v>-</v>
      </c>
      <c r="AO29" s="125">
        <v>12</v>
      </c>
      <c r="AP29" s="126">
        <v>2</v>
      </c>
      <c r="AQ29" s="139">
        <f t="shared" si="13"/>
        <v>6</v>
      </c>
      <c r="AR29" s="125">
        <v>0</v>
      </c>
      <c r="AS29" s="126">
        <v>0</v>
      </c>
      <c r="AT29" s="139" t="str">
        <f t="shared" si="41"/>
        <v>-</v>
      </c>
      <c r="AU29" s="125">
        <v>0</v>
      </c>
      <c r="AV29" s="126">
        <v>0</v>
      </c>
      <c r="AW29" s="139" t="str">
        <f t="shared" si="42"/>
        <v>-</v>
      </c>
      <c r="AX29" s="125">
        <v>0</v>
      </c>
      <c r="AY29" s="126">
        <v>0</v>
      </c>
      <c r="AZ29" s="139">
        <v>0</v>
      </c>
      <c r="BA29" s="125">
        <v>0</v>
      </c>
      <c r="BB29" s="126">
        <v>0</v>
      </c>
      <c r="BC29" s="139" t="str">
        <f t="shared" si="53"/>
        <v>-</v>
      </c>
      <c r="BD29" s="125">
        <v>0</v>
      </c>
      <c r="BE29" s="126">
        <v>0</v>
      </c>
      <c r="BF29" s="139" t="str">
        <f t="shared" si="54"/>
        <v>-</v>
      </c>
      <c r="BG29" s="125">
        <v>6</v>
      </c>
      <c r="BH29" s="126">
        <v>1</v>
      </c>
      <c r="BI29" s="139">
        <f t="shared" si="19"/>
        <v>6</v>
      </c>
      <c r="BJ29" s="252">
        <v>11</v>
      </c>
      <c r="BK29" s="253">
        <v>2</v>
      </c>
      <c r="BL29" s="276">
        <f t="shared" si="20"/>
        <v>5.5</v>
      </c>
      <c r="BM29" s="252">
        <v>0</v>
      </c>
      <c r="BN29" s="253">
        <v>0</v>
      </c>
      <c r="BO29" s="276" t="str">
        <f t="shared" si="21"/>
        <v>-</v>
      </c>
      <c r="BP29" s="302">
        <v>0</v>
      </c>
      <c r="BQ29" s="303">
        <v>0</v>
      </c>
      <c r="BR29" s="276" t="str">
        <f t="shared" si="22"/>
        <v>-</v>
      </c>
      <c r="BS29" s="257">
        <v>7</v>
      </c>
      <c r="BT29" s="253">
        <v>1</v>
      </c>
      <c r="BU29" s="276">
        <f t="shared" si="23"/>
        <v>7</v>
      </c>
      <c r="BV29" s="257">
        <v>0</v>
      </c>
      <c r="BW29" s="253">
        <v>0</v>
      </c>
      <c r="BX29" s="276" t="str">
        <f t="shared" si="24"/>
        <v>-</v>
      </c>
      <c r="BY29" s="125">
        <v>0</v>
      </c>
      <c r="BZ29" s="126">
        <v>0</v>
      </c>
      <c r="CA29" s="139" t="str">
        <f t="shared" si="25"/>
        <v>-</v>
      </c>
      <c r="CB29" s="125">
        <v>0</v>
      </c>
      <c r="CC29" s="126">
        <v>0</v>
      </c>
      <c r="CD29" s="139" t="str">
        <f t="shared" si="26"/>
        <v>-</v>
      </c>
      <c r="CE29" s="20">
        <v>24</v>
      </c>
      <c r="CF29" s="21">
        <v>4</v>
      </c>
      <c r="CG29" s="139">
        <f t="shared" si="27"/>
        <v>6</v>
      </c>
      <c r="CH29" s="20">
        <v>0</v>
      </c>
      <c r="CI29" s="21">
        <v>0</v>
      </c>
      <c r="CJ29" s="139" t="str">
        <f t="shared" si="37"/>
        <v>-</v>
      </c>
      <c r="CK29" s="257"/>
      <c r="CL29" s="253"/>
      <c r="CM29" s="276" t="str">
        <f t="shared" si="38"/>
        <v>-</v>
      </c>
      <c r="CN29" s="117">
        <f t="shared" si="39"/>
        <v>207</v>
      </c>
      <c r="CO29" s="120">
        <f t="shared" si="40"/>
        <v>40</v>
      </c>
      <c r="CP29" s="147">
        <f t="shared" si="30"/>
        <v>5.1749999999999998</v>
      </c>
    </row>
    <row r="30" spans="1:94" ht="15" thickBot="1" x14ac:dyDescent="0.35">
      <c r="A30" s="294">
        <v>45864</v>
      </c>
      <c r="B30" s="20">
        <v>79</v>
      </c>
      <c r="C30" s="21">
        <v>10</v>
      </c>
      <c r="D30" s="139">
        <f t="shared" si="0"/>
        <v>7.9</v>
      </c>
      <c r="E30" s="20">
        <v>8</v>
      </c>
      <c r="F30" s="21">
        <v>1</v>
      </c>
      <c r="G30" s="139">
        <f t="shared" si="1"/>
        <v>8</v>
      </c>
      <c r="H30" s="20">
        <v>0</v>
      </c>
      <c r="I30" s="21">
        <v>0</v>
      </c>
      <c r="J30" s="139" t="str">
        <f t="shared" si="2"/>
        <v>-</v>
      </c>
      <c r="K30" s="20">
        <v>38</v>
      </c>
      <c r="L30" s="21">
        <v>6</v>
      </c>
      <c r="M30" s="139">
        <f t="shared" si="3"/>
        <v>6.333333333333333</v>
      </c>
      <c r="N30" s="125">
        <v>0</v>
      </c>
      <c r="O30" s="126">
        <v>0</v>
      </c>
      <c r="P30" s="139" t="str">
        <f t="shared" si="4"/>
        <v>-</v>
      </c>
      <c r="Q30" s="125">
        <v>0</v>
      </c>
      <c r="R30" s="126">
        <v>0</v>
      </c>
      <c r="S30" s="139" t="str">
        <f t="shared" si="5"/>
        <v>-</v>
      </c>
      <c r="T30" s="125">
        <v>48</v>
      </c>
      <c r="U30" s="126">
        <v>8</v>
      </c>
      <c r="V30" s="139">
        <f t="shared" si="6"/>
        <v>6</v>
      </c>
      <c r="W30" s="125">
        <v>0</v>
      </c>
      <c r="X30" s="126">
        <v>0</v>
      </c>
      <c r="Y30" s="139" t="str">
        <f t="shared" si="7"/>
        <v>-</v>
      </c>
      <c r="Z30" s="125">
        <v>0</v>
      </c>
      <c r="AA30" s="126">
        <v>0</v>
      </c>
      <c r="AB30" s="139" t="str">
        <f t="shared" si="8"/>
        <v>-</v>
      </c>
      <c r="AC30" s="125">
        <v>0</v>
      </c>
      <c r="AD30" s="126">
        <v>0</v>
      </c>
      <c r="AE30" s="139" t="str">
        <f t="shared" si="9"/>
        <v>-</v>
      </c>
      <c r="AF30" s="125">
        <v>0</v>
      </c>
      <c r="AG30" s="126">
        <v>0</v>
      </c>
      <c r="AH30" s="139" t="str">
        <f t="shared" si="10"/>
        <v>-</v>
      </c>
      <c r="AI30" s="125">
        <v>0</v>
      </c>
      <c r="AJ30" s="126">
        <v>0</v>
      </c>
      <c r="AK30" s="139" t="str">
        <f t="shared" si="11"/>
        <v>-</v>
      </c>
      <c r="AL30" s="125">
        <v>6</v>
      </c>
      <c r="AM30" s="126">
        <v>1</v>
      </c>
      <c r="AN30" s="139">
        <f t="shared" si="12"/>
        <v>6</v>
      </c>
      <c r="AO30" s="125">
        <v>0</v>
      </c>
      <c r="AP30" s="126">
        <v>0</v>
      </c>
      <c r="AQ30" s="139" t="str">
        <f t="shared" si="13"/>
        <v>-</v>
      </c>
      <c r="AR30" s="125">
        <v>0</v>
      </c>
      <c r="AS30" s="126">
        <v>0</v>
      </c>
      <c r="AT30" s="139" t="str">
        <f t="shared" si="41"/>
        <v>-</v>
      </c>
      <c r="AU30" s="125">
        <v>0</v>
      </c>
      <c r="AV30" s="126">
        <v>0</v>
      </c>
      <c r="AW30" s="139" t="str">
        <f t="shared" si="42"/>
        <v>-</v>
      </c>
      <c r="AX30" s="125">
        <v>0</v>
      </c>
      <c r="AY30" s="126">
        <v>0</v>
      </c>
      <c r="AZ30" s="139">
        <v>0</v>
      </c>
      <c r="BA30" s="125">
        <v>0</v>
      </c>
      <c r="BB30" s="126">
        <v>0</v>
      </c>
      <c r="BC30" s="139" t="str">
        <f t="shared" ref="BC30:BC31" si="144">IF(BB30=0,"-",BA30/BB30)</f>
        <v>-</v>
      </c>
      <c r="BD30" s="125">
        <v>0</v>
      </c>
      <c r="BE30" s="126">
        <v>0</v>
      </c>
      <c r="BF30" s="139" t="str">
        <f t="shared" ref="BF30:BF31" si="145">IF(BE30=0,"-",BD30/BE30)</f>
        <v>-</v>
      </c>
      <c r="BG30" s="125">
        <v>0</v>
      </c>
      <c r="BH30" s="126">
        <v>0</v>
      </c>
      <c r="BI30" s="139" t="str">
        <f t="shared" si="19"/>
        <v>-</v>
      </c>
      <c r="BJ30" s="252">
        <v>7</v>
      </c>
      <c r="BK30" s="253">
        <v>1</v>
      </c>
      <c r="BL30" s="276">
        <f t="shared" si="20"/>
        <v>7</v>
      </c>
      <c r="BM30" s="252">
        <v>0</v>
      </c>
      <c r="BN30" s="253">
        <v>0</v>
      </c>
      <c r="BO30" s="276" t="str">
        <f t="shared" si="21"/>
        <v>-</v>
      </c>
      <c r="BP30" s="302">
        <v>0</v>
      </c>
      <c r="BQ30" s="303">
        <v>0</v>
      </c>
      <c r="BR30" s="276" t="str">
        <f t="shared" si="22"/>
        <v>-</v>
      </c>
      <c r="BS30" s="257">
        <v>0</v>
      </c>
      <c r="BT30" s="253">
        <v>0</v>
      </c>
      <c r="BU30" s="276" t="str">
        <f t="shared" si="23"/>
        <v>-</v>
      </c>
      <c r="BV30" s="125">
        <v>6</v>
      </c>
      <c r="BW30" s="126">
        <v>1</v>
      </c>
      <c r="BX30" s="139">
        <f t="shared" si="24"/>
        <v>6</v>
      </c>
      <c r="BY30" s="125">
        <v>0</v>
      </c>
      <c r="BZ30" s="126">
        <v>0</v>
      </c>
      <c r="CA30" s="139" t="str">
        <f t="shared" si="25"/>
        <v>-</v>
      </c>
      <c r="CB30" s="125">
        <v>0</v>
      </c>
      <c r="CC30" s="126">
        <v>0</v>
      </c>
      <c r="CD30" s="139" t="str">
        <f t="shared" si="26"/>
        <v>-</v>
      </c>
      <c r="CE30" s="125">
        <v>0</v>
      </c>
      <c r="CF30" s="126">
        <v>0</v>
      </c>
      <c r="CG30" s="139" t="str">
        <f t="shared" si="27"/>
        <v>-</v>
      </c>
      <c r="CH30" s="125">
        <v>0</v>
      </c>
      <c r="CI30" s="126">
        <v>0</v>
      </c>
      <c r="CJ30" s="139" t="str">
        <f t="shared" si="37"/>
        <v>-</v>
      </c>
      <c r="CK30" s="125">
        <v>0</v>
      </c>
      <c r="CL30" s="126">
        <v>0</v>
      </c>
      <c r="CM30" s="139" t="str">
        <f t="shared" si="38"/>
        <v>-</v>
      </c>
      <c r="CN30" s="117">
        <f t="shared" si="39"/>
        <v>192</v>
      </c>
      <c r="CO30" s="120">
        <f t="shared" si="40"/>
        <v>26</v>
      </c>
      <c r="CP30" s="147">
        <f t="shared" si="30"/>
        <v>7.384615384615385</v>
      </c>
    </row>
    <row r="31" spans="1:94" ht="15" thickBot="1" x14ac:dyDescent="0.35">
      <c r="A31" s="294">
        <v>45865</v>
      </c>
      <c r="B31" s="20">
        <v>8</v>
      </c>
      <c r="C31" s="21">
        <v>1</v>
      </c>
      <c r="D31" s="139">
        <f t="shared" si="0"/>
        <v>8</v>
      </c>
      <c r="E31" s="20">
        <v>0</v>
      </c>
      <c r="F31" s="21">
        <v>0</v>
      </c>
      <c r="G31" s="139" t="str">
        <f t="shared" si="1"/>
        <v>-</v>
      </c>
      <c r="H31" s="20">
        <v>0</v>
      </c>
      <c r="I31" s="21">
        <v>0</v>
      </c>
      <c r="J31" s="139" t="str">
        <f t="shared" si="2"/>
        <v>-</v>
      </c>
      <c r="K31" s="20">
        <v>15</v>
      </c>
      <c r="L31" s="21">
        <v>2</v>
      </c>
      <c r="M31" s="139">
        <f t="shared" si="3"/>
        <v>7.5</v>
      </c>
      <c r="N31" s="125">
        <v>0</v>
      </c>
      <c r="O31" s="126">
        <v>0</v>
      </c>
      <c r="P31" s="139" t="str">
        <f t="shared" si="4"/>
        <v>-</v>
      </c>
      <c r="Q31" s="125">
        <v>0</v>
      </c>
      <c r="R31" s="126">
        <v>0</v>
      </c>
      <c r="S31" s="139" t="str">
        <f t="shared" ref="S31" si="146">IF(R31=0,"-",Q31/R31)</f>
        <v>-</v>
      </c>
      <c r="T31" s="125">
        <v>0</v>
      </c>
      <c r="U31" s="126">
        <v>0</v>
      </c>
      <c r="V31" s="139" t="str">
        <f t="shared" si="6"/>
        <v>-</v>
      </c>
      <c r="W31" s="125">
        <v>0</v>
      </c>
      <c r="X31" s="126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125">
        <v>331</v>
      </c>
      <c r="AD31" s="126">
        <v>68</v>
      </c>
      <c r="AE31" s="139">
        <f t="shared" si="9"/>
        <v>4.867647058823529</v>
      </c>
      <c r="AF31" s="125">
        <v>0</v>
      </c>
      <c r="AG31" s="126">
        <v>0</v>
      </c>
      <c r="AH31" s="139" t="str">
        <f t="shared" ref="AH31" si="147">IF(AG31=0,"-",AF31/AG31)</f>
        <v>-</v>
      </c>
      <c r="AI31" s="125">
        <v>0</v>
      </c>
      <c r="AJ31" s="126">
        <v>0</v>
      </c>
      <c r="AK31" s="139" t="str">
        <f t="shared" ref="AK31" si="148">IF(AJ31=0,"-",AI31/AJ31)</f>
        <v>-</v>
      </c>
      <c r="AL31" s="125">
        <v>0</v>
      </c>
      <c r="AM31" s="126">
        <v>0</v>
      </c>
      <c r="AN31" s="139" t="str">
        <f t="shared" si="12"/>
        <v>-</v>
      </c>
      <c r="AO31" s="125">
        <v>0</v>
      </c>
      <c r="AP31" s="126">
        <v>0</v>
      </c>
      <c r="AQ31" s="139" t="str">
        <f t="shared" si="13"/>
        <v>-</v>
      </c>
      <c r="AR31" s="125">
        <v>0</v>
      </c>
      <c r="AS31" s="126">
        <v>0</v>
      </c>
      <c r="AT31" s="139" t="str">
        <f t="shared" si="41"/>
        <v>-</v>
      </c>
      <c r="AU31" s="125">
        <v>0</v>
      </c>
      <c r="AV31" s="126">
        <v>0</v>
      </c>
      <c r="AW31" s="139" t="str">
        <f t="shared" si="42"/>
        <v>-</v>
      </c>
      <c r="AX31" s="125">
        <v>0</v>
      </c>
      <c r="AY31" s="126">
        <v>0</v>
      </c>
      <c r="AZ31" s="139">
        <v>0</v>
      </c>
      <c r="BA31" s="125">
        <v>0</v>
      </c>
      <c r="BB31" s="126">
        <v>0</v>
      </c>
      <c r="BC31" s="139" t="str">
        <f t="shared" si="144"/>
        <v>-</v>
      </c>
      <c r="BD31" s="125">
        <v>0</v>
      </c>
      <c r="BE31" s="126">
        <v>0</v>
      </c>
      <c r="BF31" s="139" t="str">
        <f t="shared" si="145"/>
        <v>-</v>
      </c>
      <c r="BG31" s="125">
        <v>0</v>
      </c>
      <c r="BH31" s="126">
        <v>0</v>
      </c>
      <c r="BI31" s="139" t="str">
        <f t="shared" si="19"/>
        <v>-</v>
      </c>
      <c r="BJ31" s="252">
        <v>15</v>
      </c>
      <c r="BK31" s="253">
        <v>2</v>
      </c>
      <c r="BL31" s="276">
        <f t="shared" si="20"/>
        <v>7.5</v>
      </c>
      <c r="BM31" s="252">
        <v>0</v>
      </c>
      <c r="BN31" s="253">
        <v>0</v>
      </c>
      <c r="BO31" s="276" t="str">
        <f t="shared" si="21"/>
        <v>-</v>
      </c>
      <c r="BP31" s="302">
        <v>0</v>
      </c>
      <c r="BQ31" s="303">
        <v>0</v>
      </c>
      <c r="BR31" s="276" t="str">
        <f t="shared" si="22"/>
        <v>-</v>
      </c>
      <c r="BS31" s="257">
        <v>6</v>
      </c>
      <c r="BT31" s="253">
        <v>1</v>
      </c>
      <c r="BU31" s="276">
        <f t="shared" si="23"/>
        <v>6</v>
      </c>
      <c r="BV31" s="257">
        <v>0</v>
      </c>
      <c r="BW31" s="253">
        <v>0</v>
      </c>
      <c r="BX31" s="276" t="str">
        <f t="shared" si="24"/>
        <v>-</v>
      </c>
      <c r="BY31" s="257">
        <v>0</v>
      </c>
      <c r="BZ31" s="253">
        <v>0</v>
      </c>
      <c r="CA31" s="276" t="str">
        <f t="shared" si="25"/>
        <v>-</v>
      </c>
      <c r="CB31" s="257">
        <v>4</v>
      </c>
      <c r="CC31" s="253">
        <v>1</v>
      </c>
      <c r="CD31" s="276">
        <f t="shared" si="26"/>
        <v>4</v>
      </c>
      <c r="CE31" s="125">
        <v>0</v>
      </c>
      <c r="CF31" s="126">
        <v>0</v>
      </c>
      <c r="CG31" s="139" t="str">
        <f t="shared" ref="CG31:CG32" si="149">IF(CF31=0,"-",CE31/CF31)</f>
        <v>-</v>
      </c>
      <c r="CH31" s="125">
        <v>0</v>
      </c>
      <c r="CI31" s="126">
        <v>0</v>
      </c>
      <c r="CJ31" s="139" t="str">
        <f t="shared" ref="CJ31:CJ32" si="150">IF(CI31=0,"-",CH31/CI31)</f>
        <v>-</v>
      </c>
      <c r="CK31" s="125">
        <v>0</v>
      </c>
      <c r="CL31" s="126">
        <v>0</v>
      </c>
      <c r="CM31" s="139" t="str">
        <f t="shared" ref="CM31:CM32" si="151">IF(CL31=0,"-",CK31/CL31)</f>
        <v>-</v>
      </c>
      <c r="CN31" s="117">
        <f t="shared" si="39"/>
        <v>379</v>
      </c>
      <c r="CO31" s="120">
        <f t="shared" si="40"/>
        <v>75</v>
      </c>
      <c r="CP31" s="147">
        <f t="shared" si="30"/>
        <v>5.0533333333333337</v>
      </c>
    </row>
    <row r="32" spans="1:94" ht="15" thickBot="1" x14ac:dyDescent="0.35">
      <c r="A32" s="294">
        <v>45866</v>
      </c>
      <c r="B32" s="20">
        <v>20</v>
      </c>
      <c r="C32" s="21">
        <v>3</v>
      </c>
      <c r="D32" s="139">
        <f t="shared" si="0"/>
        <v>6.666666666666667</v>
      </c>
      <c r="E32" s="20">
        <v>8</v>
      </c>
      <c r="F32" s="21">
        <v>1</v>
      </c>
      <c r="G32" s="139">
        <f t="shared" si="1"/>
        <v>8</v>
      </c>
      <c r="H32" s="20">
        <v>0</v>
      </c>
      <c r="I32" s="21">
        <v>0</v>
      </c>
      <c r="J32" s="139" t="str">
        <f t="shared" si="2"/>
        <v>-</v>
      </c>
      <c r="K32" s="20">
        <v>0</v>
      </c>
      <c r="L32" s="21">
        <v>0</v>
      </c>
      <c r="M32" s="139" t="str">
        <f t="shared" si="3"/>
        <v>-</v>
      </c>
      <c r="N32" s="125"/>
      <c r="O32" s="126"/>
      <c r="P32" s="139" t="str">
        <f t="shared" si="4"/>
        <v>-</v>
      </c>
      <c r="Q32" s="125">
        <v>103</v>
      </c>
      <c r="R32" s="126">
        <v>23</v>
      </c>
      <c r="S32" s="139">
        <f t="shared" si="5"/>
        <v>4.4782608695652177</v>
      </c>
      <c r="T32" s="125">
        <v>0</v>
      </c>
      <c r="U32" s="126">
        <v>0</v>
      </c>
      <c r="V32" s="139" t="str">
        <f t="shared" si="6"/>
        <v>-</v>
      </c>
      <c r="W32" s="125">
        <v>0</v>
      </c>
      <c r="X32" s="126">
        <v>0</v>
      </c>
      <c r="Y32" s="139" t="str">
        <f t="shared" si="7"/>
        <v>-</v>
      </c>
      <c r="Z32" s="125">
        <v>30</v>
      </c>
      <c r="AA32" s="126">
        <v>6</v>
      </c>
      <c r="AB32" s="139">
        <f t="shared" si="8"/>
        <v>5</v>
      </c>
      <c r="AC32" s="125">
        <v>96</v>
      </c>
      <c r="AD32" s="126">
        <v>18</v>
      </c>
      <c r="AE32" s="139">
        <f t="shared" si="9"/>
        <v>5.333333333333333</v>
      </c>
      <c r="AF32" s="125">
        <v>0</v>
      </c>
      <c r="AG32" s="126">
        <v>0</v>
      </c>
      <c r="AH32" s="139" t="str">
        <f t="shared" si="10"/>
        <v>-</v>
      </c>
      <c r="AI32" s="125">
        <v>0</v>
      </c>
      <c r="AJ32" s="126">
        <v>0</v>
      </c>
      <c r="AK32" s="139" t="str">
        <f t="shared" ref="AK32" si="152">IF(AJ32=0,"-",AI32/AJ32)</f>
        <v>-</v>
      </c>
      <c r="AL32" s="125">
        <v>0</v>
      </c>
      <c r="AM32" s="126">
        <v>0</v>
      </c>
      <c r="AN32" s="139" t="str">
        <f t="shared" ref="AN32" si="153">IF(AM32=0,"-",AL32/AM32)</f>
        <v>-</v>
      </c>
      <c r="AO32" s="125">
        <v>0</v>
      </c>
      <c r="AP32" s="126">
        <v>0</v>
      </c>
      <c r="AQ32" s="139" t="str">
        <f t="shared" ref="AQ32" si="154">IF(AP32=0,"-",AO32/AP32)</f>
        <v>-</v>
      </c>
      <c r="AR32" s="125">
        <v>6</v>
      </c>
      <c r="AS32" s="126">
        <v>1</v>
      </c>
      <c r="AT32" s="139">
        <f t="shared" si="41"/>
        <v>6</v>
      </c>
      <c r="AU32" s="125">
        <v>0</v>
      </c>
      <c r="AV32" s="126">
        <v>0</v>
      </c>
      <c r="AW32" s="139" t="str">
        <f t="shared" si="42"/>
        <v>-</v>
      </c>
      <c r="AX32" s="125">
        <v>1</v>
      </c>
      <c r="AY32" s="126">
        <v>1</v>
      </c>
      <c r="AZ32" s="139">
        <f t="shared" si="52"/>
        <v>1</v>
      </c>
      <c r="BA32" s="125">
        <v>0</v>
      </c>
      <c r="BB32" s="126">
        <v>0</v>
      </c>
      <c r="BC32" s="139" t="str">
        <f t="shared" ref="BC32:BC33" si="155">IF(BB32=0,"-",BA32/BB32)</f>
        <v>-</v>
      </c>
      <c r="BD32" s="125">
        <v>0</v>
      </c>
      <c r="BE32" s="126">
        <v>0</v>
      </c>
      <c r="BF32" s="139" t="str">
        <f t="shared" ref="BF32:BF33" si="156">IF(BE32=0,"-",BD32/BE32)</f>
        <v>-</v>
      </c>
      <c r="BG32" s="125">
        <v>6</v>
      </c>
      <c r="BH32" s="126">
        <v>1</v>
      </c>
      <c r="BI32" s="139">
        <f t="shared" si="19"/>
        <v>6</v>
      </c>
      <c r="BJ32" s="318">
        <v>31</v>
      </c>
      <c r="BK32" s="253">
        <v>5</v>
      </c>
      <c r="BL32" s="276">
        <f t="shared" si="20"/>
        <v>6.2</v>
      </c>
      <c r="BM32" s="252">
        <v>0</v>
      </c>
      <c r="BN32" s="253">
        <v>0</v>
      </c>
      <c r="BO32" s="276" t="str">
        <f t="shared" si="21"/>
        <v>-</v>
      </c>
      <c r="BP32" s="302">
        <v>14</v>
      </c>
      <c r="BQ32" s="303">
        <v>2</v>
      </c>
      <c r="BR32" s="276">
        <f t="shared" si="22"/>
        <v>7</v>
      </c>
      <c r="BS32" s="257">
        <v>0</v>
      </c>
      <c r="BT32" s="253">
        <v>0</v>
      </c>
      <c r="BU32" s="276" t="str">
        <f t="shared" si="23"/>
        <v>-</v>
      </c>
      <c r="BV32" s="257">
        <v>0</v>
      </c>
      <c r="BW32" s="253">
        <v>0</v>
      </c>
      <c r="BX32" s="276" t="str">
        <f t="shared" si="24"/>
        <v>-</v>
      </c>
      <c r="BY32" s="257">
        <v>0</v>
      </c>
      <c r="BZ32" s="253">
        <v>0</v>
      </c>
      <c r="CA32" s="276" t="str">
        <f t="shared" si="25"/>
        <v>-</v>
      </c>
      <c r="CB32" s="257">
        <v>0</v>
      </c>
      <c r="CC32" s="253">
        <v>0</v>
      </c>
      <c r="CD32" s="276" t="str">
        <f t="shared" si="26"/>
        <v>-</v>
      </c>
      <c r="CE32" s="125">
        <v>0</v>
      </c>
      <c r="CF32" s="126">
        <v>0</v>
      </c>
      <c r="CG32" s="139" t="str">
        <f t="shared" si="149"/>
        <v>-</v>
      </c>
      <c r="CH32" s="125">
        <v>0</v>
      </c>
      <c r="CI32" s="126">
        <v>0</v>
      </c>
      <c r="CJ32" s="139" t="str">
        <f t="shared" si="150"/>
        <v>-</v>
      </c>
      <c r="CK32" s="125">
        <v>0</v>
      </c>
      <c r="CL32" s="126">
        <v>0</v>
      </c>
      <c r="CM32" s="139" t="str">
        <f t="shared" si="151"/>
        <v>-</v>
      </c>
      <c r="CN32" s="117">
        <f t="shared" si="39"/>
        <v>315</v>
      </c>
      <c r="CO32" s="120">
        <f t="shared" si="40"/>
        <v>61</v>
      </c>
      <c r="CP32" s="147">
        <f t="shared" si="30"/>
        <v>5.1639344262295079</v>
      </c>
    </row>
    <row r="33" spans="1:94" ht="15" thickBot="1" x14ac:dyDescent="0.35">
      <c r="A33" s="294">
        <v>45867</v>
      </c>
      <c r="B33" s="20">
        <v>33</v>
      </c>
      <c r="C33" s="21">
        <v>4</v>
      </c>
      <c r="D33" s="139">
        <f t="shared" si="0"/>
        <v>8.25</v>
      </c>
      <c r="E33" s="20">
        <v>0</v>
      </c>
      <c r="F33" s="21">
        <v>0</v>
      </c>
      <c r="G33" s="139" t="str">
        <f t="shared" si="1"/>
        <v>-</v>
      </c>
      <c r="H33" s="20">
        <v>0</v>
      </c>
      <c r="I33" s="21">
        <v>0</v>
      </c>
      <c r="J33" s="139" t="str">
        <f t="shared" si="2"/>
        <v>-</v>
      </c>
      <c r="K33" s="20">
        <v>8</v>
      </c>
      <c r="L33" s="21">
        <v>1</v>
      </c>
      <c r="M33" s="139">
        <f t="shared" si="3"/>
        <v>8</v>
      </c>
      <c r="N33" s="125"/>
      <c r="O33" s="126"/>
      <c r="P33" s="139" t="str">
        <f t="shared" si="4"/>
        <v>-</v>
      </c>
      <c r="Q33" s="125">
        <v>49</v>
      </c>
      <c r="R33" s="126">
        <v>11</v>
      </c>
      <c r="S33" s="139">
        <f t="shared" si="5"/>
        <v>4.4545454545454541</v>
      </c>
      <c r="T33" s="125">
        <v>0</v>
      </c>
      <c r="U33" s="126">
        <v>0</v>
      </c>
      <c r="V33" s="139" t="str">
        <f t="shared" si="6"/>
        <v>-</v>
      </c>
      <c r="W33" s="125">
        <v>0</v>
      </c>
      <c r="X33" s="126">
        <v>0</v>
      </c>
      <c r="Y33" s="139" t="str">
        <f t="shared" si="7"/>
        <v>-</v>
      </c>
      <c r="Z33" s="125">
        <v>40</v>
      </c>
      <c r="AA33" s="126">
        <v>8</v>
      </c>
      <c r="AB33" s="139">
        <f t="shared" si="8"/>
        <v>5</v>
      </c>
      <c r="AC33" s="125">
        <v>0</v>
      </c>
      <c r="AD33" s="126">
        <v>0</v>
      </c>
      <c r="AE33" s="139" t="str">
        <f t="shared" si="9"/>
        <v>-</v>
      </c>
      <c r="AF33" s="125">
        <v>0</v>
      </c>
      <c r="AG33" s="126">
        <v>0</v>
      </c>
      <c r="AH33" s="139" t="str">
        <f t="shared" si="10"/>
        <v>-</v>
      </c>
      <c r="AI33" s="125">
        <v>0</v>
      </c>
      <c r="AJ33" s="126">
        <v>0</v>
      </c>
      <c r="AK33" s="139" t="str">
        <f t="shared" si="11"/>
        <v>-</v>
      </c>
      <c r="AL33" s="125">
        <v>0</v>
      </c>
      <c r="AM33" s="126">
        <v>0</v>
      </c>
      <c r="AN33" s="139" t="str">
        <f t="shared" si="12"/>
        <v>-</v>
      </c>
      <c r="AO33" s="125">
        <v>0</v>
      </c>
      <c r="AP33" s="126">
        <v>0</v>
      </c>
      <c r="AQ33" s="139" t="str">
        <f t="shared" si="13"/>
        <v>-</v>
      </c>
      <c r="AR33" s="125">
        <v>0</v>
      </c>
      <c r="AS33" s="126">
        <v>0</v>
      </c>
      <c r="AT33" s="139" t="str">
        <f t="shared" si="41"/>
        <v>-</v>
      </c>
      <c r="AU33" s="125">
        <v>0</v>
      </c>
      <c r="AV33" s="126">
        <v>0</v>
      </c>
      <c r="AW33" s="139" t="str">
        <f t="shared" si="42"/>
        <v>-</v>
      </c>
      <c r="AX33" s="125">
        <v>0</v>
      </c>
      <c r="AY33" s="126">
        <v>0</v>
      </c>
      <c r="AZ33" s="139" t="str">
        <f t="shared" si="52"/>
        <v>-</v>
      </c>
      <c r="BA33" s="125">
        <v>0</v>
      </c>
      <c r="BB33" s="126">
        <v>0</v>
      </c>
      <c r="BC33" s="139" t="str">
        <f t="shared" si="155"/>
        <v>-</v>
      </c>
      <c r="BD33" s="125">
        <v>0</v>
      </c>
      <c r="BE33" s="126">
        <v>0</v>
      </c>
      <c r="BF33" s="139" t="str">
        <f t="shared" si="156"/>
        <v>-</v>
      </c>
      <c r="BG33" s="125">
        <v>16</v>
      </c>
      <c r="BH33" s="126">
        <v>2</v>
      </c>
      <c r="BI33" s="139">
        <f t="shared" si="19"/>
        <v>8</v>
      </c>
      <c r="BJ33" s="252">
        <v>46</v>
      </c>
      <c r="BK33" s="253">
        <v>7</v>
      </c>
      <c r="BL33" s="276">
        <f t="shared" si="20"/>
        <v>6.5714285714285712</v>
      </c>
      <c r="BM33" s="252">
        <v>0</v>
      </c>
      <c r="BN33" s="253">
        <v>0</v>
      </c>
      <c r="BO33" s="276" t="str">
        <f t="shared" si="21"/>
        <v>-</v>
      </c>
      <c r="BP33" s="302">
        <v>0</v>
      </c>
      <c r="BQ33" s="303">
        <v>0</v>
      </c>
      <c r="BR33" s="276" t="str">
        <f t="shared" si="22"/>
        <v>-</v>
      </c>
      <c r="BS33" s="257">
        <v>0</v>
      </c>
      <c r="BT33" s="253">
        <v>0</v>
      </c>
      <c r="BU33" s="276" t="str">
        <f t="shared" si="23"/>
        <v>-</v>
      </c>
      <c r="BV33" s="257">
        <v>5</v>
      </c>
      <c r="BW33" s="253">
        <v>2</v>
      </c>
      <c r="BX33" s="276">
        <f t="shared" si="24"/>
        <v>2.5</v>
      </c>
      <c r="BY33" s="257">
        <v>0</v>
      </c>
      <c r="BZ33" s="253">
        <v>0</v>
      </c>
      <c r="CA33" s="276" t="str">
        <f t="shared" si="25"/>
        <v>-</v>
      </c>
      <c r="CB33" s="257">
        <v>2</v>
      </c>
      <c r="CC33" s="253">
        <v>1</v>
      </c>
      <c r="CD33" s="276">
        <f t="shared" si="26"/>
        <v>2</v>
      </c>
      <c r="CE33" s="20">
        <v>14</v>
      </c>
      <c r="CF33" s="21">
        <v>2</v>
      </c>
      <c r="CG33" s="139">
        <f t="shared" si="27"/>
        <v>7</v>
      </c>
      <c r="CH33" s="20">
        <v>0</v>
      </c>
      <c r="CI33" s="21">
        <v>0</v>
      </c>
      <c r="CJ33" s="139" t="str">
        <f t="shared" si="37"/>
        <v>-</v>
      </c>
      <c r="CK33" s="257">
        <v>0</v>
      </c>
      <c r="CL33" s="253">
        <v>0</v>
      </c>
      <c r="CM33" s="276" t="str">
        <f t="shared" si="38"/>
        <v>-</v>
      </c>
      <c r="CN33" s="117">
        <f t="shared" si="39"/>
        <v>213</v>
      </c>
      <c r="CO33" s="120">
        <f t="shared" si="40"/>
        <v>36</v>
      </c>
      <c r="CP33" s="147">
        <f t="shared" si="30"/>
        <v>5.916666666666667</v>
      </c>
    </row>
    <row r="34" spans="1:94" ht="15" thickBot="1" x14ac:dyDescent="0.35">
      <c r="A34" s="294">
        <v>45868</v>
      </c>
      <c r="B34" s="20">
        <v>0</v>
      </c>
      <c r="C34" s="21">
        <v>0</v>
      </c>
      <c r="D34" s="139" t="str">
        <f t="shared" si="0"/>
        <v>-</v>
      </c>
      <c r="E34" s="20">
        <v>8</v>
      </c>
      <c r="F34" s="21">
        <v>1</v>
      </c>
      <c r="G34" s="139">
        <f t="shared" si="1"/>
        <v>8</v>
      </c>
      <c r="H34" s="20">
        <v>0</v>
      </c>
      <c r="I34" s="21">
        <v>0</v>
      </c>
      <c r="J34" s="139" t="str">
        <f t="shared" si="2"/>
        <v>-</v>
      </c>
      <c r="K34" s="20">
        <v>16</v>
      </c>
      <c r="L34" s="21">
        <v>2</v>
      </c>
      <c r="M34" s="139">
        <f t="shared" si="3"/>
        <v>8</v>
      </c>
      <c r="N34" s="125"/>
      <c r="O34" s="126"/>
      <c r="P34" s="139" t="str">
        <f t="shared" si="4"/>
        <v>-</v>
      </c>
      <c r="Q34" s="125"/>
      <c r="R34" s="126"/>
      <c r="S34" s="139" t="str">
        <f t="shared" si="5"/>
        <v>-</v>
      </c>
      <c r="T34" s="125"/>
      <c r="U34" s="126"/>
      <c r="V34" s="139" t="str">
        <f t="shared" si="6"/>
        <v>-</v>
      </c>
      <c r="W34" s="125">
        <v>0</v>
      </c>
      <c r="X34" s="126">
        <v>0</v>
      </c>
      <c r="Y34" s="139" t="str">
        <f t="shared" si="7"/>
        <v>-</v>
      </c>
      <c r="Z34" s="125"/>
      <c r="AA34" s="126"/>
      <c r="AB34" s="139" t="str">
        <f t="shared" si="8"/>
        <v>-</v>
      </c>
      <c r="AC34" s="125"/>
      <c r="AD34" s="126"/>
      <c r="AE34" s="139" t="str">
        <f t="shared" si="9"/>
        <v>-</v>
      </c>
      <c r="AF34" s="125"/>
      <c r="AG34" s="126"/>
      <c r="AH34" s="139" t="str">
        <f t="shared" si="10"/>
        <v>-</v>
      </c>
      <c r="AI34" s="125"/>
      <c r="AJ34" s="126"/>
      <c r="AK34" s="139" t="str">
        <f t="shared" si="11"/>
        <v>-</v>
      </c>
      <c r="AL34" s="125"/>
      <c r="AM34" s="126"/>
      <c r="AN34" s="139" t="str">
        <f t="shared" si="12"/>
        <v>-</v>
      </c>
      <c r="AO34" s="125"/>
      <c r="AP34" s="126"/>
      <c r="AQ34" s="139" t="str">
        <f t="shared" si="13"/>
        <v>-</v>
      </c>
      <c r="AR34" s="125">
        <v>8</v>
      </c>
      <c r="AS34" s="126">
        <v>1</v>
      </c>
      <c r="AT34" s="139">
        <f t="shared" si="41"/>
        <v>8</v>
      </c>
      <c r="AU34" s="125">
        <v>0</v>
      </c>
      <c r="AV34" s="126">
        <v>0</v>
      </c>
      <c r="AW34" s="139" t="str">
        <f t="shared" si="42"/>
        <v>-</v>
      </c>
      <c r="AX34" s="125">
        <v>0</v>
      </c>
      <c r="AY34" s="126">
        <v>0</v>
      </c>
      <c r="AZ34" s="139" t="str">
        <f t="shared" si="52"/>
        <v>-</v>
      </c>
      <c r="BA34" s="125">
        <v>0</v>
      </c>
      <c r="BB34" s="126">
        <v>0</v>
      </c>
      <c r="BC34" s="139" t="str">
        <f t="shared" si="53"/>
        <v>-</v>
      </c>
      <c r="BD34" s="125">
        <v>0</v>
      </c>
      <c r="BE34" s="126">
        <v>0</v>
      </c>
      <c r="BF34" s="139" t="str">
        <f t="shared" si="54"/>
        <v>-</v>
      </c>
      <c r="BG34" s="125">
        <v>0</v>
      </c>
      <c r="BH34" s="126">
        <v>0</v>
      </c>
      <c r="BI34" s="139" t="str">
        <f t="shared" si="19"/>
        <v>-</v>
      </c>
      <c r="BJ34" s="252">
        <v>31</v>
      </c>
      <c r="BK34" s="253">
        <v>5</v>
      </c>
      <c r="BL34" s="276">
        <f t="shared" si="20"/>
        <v>6.2</v>
      </c>
      <c r="BM34" s="252">
        <v>0</v>
      </c>
      <c r="BN34" s="253">
        <v>0</v>
      </c>
      <c r="BO34" s="276" t="str">
        <f t="shared" si="21"/>
        <v>-</v>
      </c>
      <c r="BP34" s="302">
        <v>7</v>
      </c>
      <c r="BQ34" s="303">
        <v>1</v>
      </c>
      <c r="BR34" s="276">
        <f t="shared" si="22"/>
        <v>7</v>
      </c>
      <c r="BS34" s="257">
        <v>6</v>
      </c>
      <c r="BT34" s="253">
        <v>1</v>
      </c>
      <c r="BU34" s="276">
        <f t="shared" si="23"/>
        <v>6</v>
      </c>
      <c r="BV34" s="257">
        <v>0</v>
      </c>
      <c r="BW34" s="253">
        <v>0</v>
      </c>
      <c r="BX34" s="276" t="str">
        <f t="shared" si="24"/>
        <v>-</v>
      </c>
      <c r="BY34" s="257">
        <v>0</v>
      </c>
      <c r="BZ34" s="253">
        <v>0</v>
      </c>
      <c r="CA34" s="276" t="str">
        <f t="shared" si="25"/>
        <v>-</v>
      </c>
      <c r="CB34" s="257">
        <v>0</v>
      </c>
      <c r="CC34" s="253">
        <v>0</v>
      </c>
      <c r="CD34" s="276" t="str">
        <f t="shared" si="26"/>
        <v>-</v>
      </c>
      <c r="CE34" s="257">
        <v>0</v>
      </c>
      <c r="CF34" s="253">
        <v>0</v>
      </c>
      <c r="CG34" s="276" t="str">
        <f t="shared" si="27"/>
        <v>-</v>
      </c>
      <c r="CH34" s="257">
        <v>0</v>
      </c>
      <c r="CI34" s="253">
        <v>0</v>
      </c>
      <c r="CJ34" s="276" t="str">
        <f t="shared" si="37"/>
        <v>-</v>
      </c>
      <c r="CK34" s="257">
        <v>0</v>
      </c>
      <c r="CL34" s="253">
        <v>0</v>
      </c>
      <c r="CM34" s="276" t="str">
        <f t="shared" si="38"/>
        <v>-</v>
      </c>
      <c r="CN34" s="117">
        <f t="shared" si="39"/>
        <v>76</v>
      </c>
      <c r="CO34" s="120">
        <f t="shared" si="40"/>
        <v>11</v>
      </c>
      <c r="CP34" s="147">
        <f t="shared" si="30"/>
        <v>6.9090909090909092</v>
      </c>
    </row>
    <row r="35" spans="1:94" ht="15" thickBot="1" x14ac:dyDescent="0.35">
      <c r="A35" s="294">
        <v>45869</v>
      </c>
      <c r="B35" s="20">
        <v>50</v>
      </c>
      <c r="C35" s="21">
        <v>6</v>
      </c>
      <c r="D35" s="139">
        <f t="shared" si="0"/>
        <v>8.3333333333333339</v>
      </c>
      <c r="E35" s="20">
        <v>0</v>
      </c>
      <c r="F35" s="21">
        <v>0</v>
      </c>
      <c r="G35" s="139" t="str">
        <f t="shared" si="1"/>
        <v>-</v>
      </c>
      <c r="H35" s="20">
        <v>0</v>
      </c>
      <c r="I35" s="21">
        <v>0</v>
      </c>
      <c r="J35" s="139" t="str">
        <f t="shared" si="2"/>
        <v>-</v>
      </c>
      <c r="K35" s="20">
        <v>24</v>
      </c>
      <c r="L35" s="21">
        <v>3</v>
      </c>
      <c r="M35" s="139">
        <f t="shared" si="3"/>
        <v>8</v>
      </c>
      <c r="N35" s="125"/>
      <c r="O35" s="126"/>
      <c r="P35" s="139" t="str">
        <f t="shared" ref="P35" si="157">IF(O35=0,"-",N35/O35)</f>
        <v>-</v>
      </c>
      <c r="Q35" s="125"/>
      <c r="R35" s="126"/>
      <c r="S35" s="139" t="str">
        <f t="shared" ref="S35" si="158">IF(R35=0,"-",Q35/R35)</f>
        <v>-</v>
      </c>
      <c r="T35" s="125"/>
      <c r="U35" s="126"/>
      <c r="V35" s="139" t="str">
        <f t="shared" si="6"/>
        <v>-</v>
      </c>
      <c r="W35" s="125">
        <v>0</v>
      </c>
      <c r="X35" s="126">
        <v>0</v>
      </c>
      <c r="Y35" s="139" t="str">
        <f t="shared" ref="Y35" si="159">IF(X35=0,"-",W35/X35)</f>
        <v>-</v>
      </c>
      <c r="Z35" s="125"/>
      <c r="AA35" s="126"/>
      <c r="AB35" s="139" t="str">
        <f t="shared" ref="AB35" si="160">IF(AA35=0,"-",Z35/AA35)</f>
        <v>-</v>
      </c>
      <c r="AC35" s="125"/>
      <c r="AD35" s="126"/>
      <c r="AE35" s="139" t="str">
        <f t="shared" ref="AE35" si="161">IF(AD35=0,"-",AC35/AD35)</f>
        <v>-</v>
      </c>
      <c r="AF35" s="125"/>
      <c r="AG35" s="126"/>
      <c r="AH35" s="139" t="str">
        <f t="shared" ref="AH35" si="162">IF(AG35=0,"-",AF35/AG35)</f>
        <v>-</v>
      </c>
      <c r="AI35" s="125"/>
      <c r="AJ35" s="126"/>
      <c r="AK35" s="139" t="str">
        <f t="shared" ref="AK35" si="163">IF(AJ35=0,"-",AI35/AJ35)</f>
        <v>-</v>
      </c>
      <c r="AL35" s="125"/>
      <c r="AM35" s="126"/>
      <c r="AN35" s="139" t="str">
        <f t="shared" ref="AN35" si="164">IF(AM35=0,"-",AL35/AM35)</f>
        <v>-</v>
      </c>
      <c r="AO35" s="125"/>
      <c r="AP35" s="126"/>
      <c r="AQ35" s="139" t="str">
        <f t="shared" ref="AQ35" si="165">IF(AP35=0,"-",AO35/AP35)</f>
        <v>-</v>
      </c>
      <c r="AR35" s="125">
        <v>0</v>
      </c>
      <c r="AS35" s="126">
        <v>0</v>
      </c>
      <c r="AT35" s="139" t="str">
        <f t="shared" ref="AT35" si="166">IF(AS35=0,"-",AR35/AS35)</f>
        <v>-</v>
      </c>
      <c r="AU35" s="125">
        <v>0</v>
      </c>
      <c r="AV35" s="126">
        <v>0</v>
      </c>
      <c r="AW35" s="139" t="str">
        <f t="shared" ref="AW35" si="167">IF(AV35=0,"-",AU35/AV35)</f>
        <v>-</v>
      </c>
      <c r="AX35" s="125">
        <v>0</v>
      </c>
      <c r="AY35" s="126">
        <v>0</v>
      </c>
      <c r="AZ35" s="139" t="str">
        <f t="shared" ref="AZ35" si="168">IF(AY35=0,"-",AX35/AY35)</f>
        <v>-</v>
      </c>
      <c r="BA35" s="125">
        <v>0</v>
      </c>
      <c r="BB35" s="126">
        <v>0</v>
      </c>
      <c r="BC35" s="139" t="str">
        <f t="shared" ref="BC35" si="169">IF(BB35=0,"-",BA35/BB35)</f>
        <v>-</v>
      </c>
      <c r="BD35" s="125">
        <v>0</v>
      </c>
      <c r="BE35" s="126"/>
      <c r="BF35" s="139" t="str">
        <f t="shared" ref="BF35" si="170">IF(BE35=0,"-",BD35/BE35)</f>
        <v>-</v>
      </c>
      <c r="BG35" s="125">
        <v>0</v>
      </c>
      <c r="BH35" s="126">
        <v>0</v>
      </c>
      <c r="BI35" s="139" t="str">
        <f t="shared" ref="BI35" si="171">IF(BH35=0,"-",BG35/BH35)</f>
        <v>-</v>
      </c>
      <c r="BJ35" s="252">
        <v>33</v>
      </c>
      <c r="BK35" s="253">
        <v>5</v>
      </c>
      <c r="BL35" s="276">
        <f t="shared" ref="BL35" si="172">IF(BK35=0,"-",BJ35/BK35)</f>
        <v>6.6</v>
      </c>
      <c r="BM35" s="252">
        <v>6</v>
      </c>
      <c r="BN35" s="253">
        <v>1</v>
      </c>
      <c r="BO35" s="276">
        <f t="shared" ref="BO35" si="173">IF(BN35=0,"-",BM35/BN35)</f>
        <v>6</v>
      </c>
      <c r="BP35" s="302">
        <v>7</v>
      </c>
      <c r="BQ35" s="303">
        <v>1</v>
      </c>
      <c r="BR35" s="276">
        <f t="shared" ref="BR35" si="174">IF(BQ35=0,"-",BP35/BQ35)</f>
        <v>7</v>
      </c>
      <c r="BS35" s="257">
        <v>0</v>
      </c>
      <c r="BT35" s="253">
        <v>0</v>
      </c>
      <c r="BU35" s="276" t="str">
        <f t="shared" ref="BU35" si="175">IF(BT35=0,"-",BS35/BT35)</f>
        <v>-</v>
      </c>
      <c r="BV35" s="257">
        <v>0</v>
      </c>
      <c r="BW35" s="253">
        <v>0</v>
      </c>
      <c r="BX35" s="276" t="str">
        <f t="shared" ref="BX35" si="176">IF(BW35=0,"-",BV35/BW35)</f>
        <v>-</v>
      </c>
      <c r="BY35" s="257">
        <v>0</v>
      </c>
      <c r="BZ35" s="253">
        <v>0</v>
      </c>
      <c r="CA35" s="276" t="str">
        <f t="shared" ref="CA35" si="177">IF(BZ35=0,"-",BY35/BZ35)</f>
        <v>-</v>
      </c>
      <c r="CB35" s="257">
        <v>0</v>
      </c>
      <c r="CC35" s="253">
        <v>0</v>
      </c>
      <c r="CD35" s="276" t="str">
        <f>IF(CC35=0,"-",CB35/CC35)</f>
        <v>-</v>
      </c>
      <c r="CE35" s="257">
        <v>0</v>
      </c>
      <c r="CF35" s="253">
        <v>0</v>
      </c>
      <c r="CG35" s="276" t="str">
        <f t="shared" si="27"/>
        <v>-</v>
      </c>
      <c r="CH35" s="257">
        <v>0</v>
      </c>
      <c r="CI35" s="253">
        <v>0</v>
      </c>
      <c r="CJ35" s="276" t="str">
        <f t="shared" si="37"/>
        <v>-</v>
      </c>
      <c r="CK35" s="257">
        <v>0</v>
      </c>
      <c r="CL35" s="253">
        <v>0</v>
      </c>
      <c r="CM35" s="276" t="str">
        <f t="shared" si="38"/>
        <v>-</v>
      </c>
      <c r="CN35" s="117">
        <f t="shared" ref="CN35" si="178">SUM(B35,E35,H35,K35,Q35,T35,W35,Z35,AC35,AF35,AI35,AL35,AO35,AR35,AX35,BA35,BG35,BJ35,BM35,BP35,BS35,BV35,BY35,CB35,CE35,CH35,CK35)</f>
        <v>120</v>
      </c>
      <c r="CO35" s="120">
        <f t="shared" ref="CO35" si="179">C35+F35+I35+L35+R35+U35+X35+AA35+AD35+AG35+AJ35+AS35+AV35+AY35+BB35+BE35+BH35+BK35+BN35+BQ35+BT35+CC35+CF35+CI35+CL35</f>
        <v>16</v>
      </c>
      <c r="CP35" s="147">
        <f t="shared" ref="CP35" si="180">IF(CO35=0,"",CN35/CO35)</f>
        <v>7.5</v>
      </c>
    </row>
    <row r="36" spans="1:94" s="41" customFormat="1" ht="15.6" customHeight="1" thickBot="1" x14ac:dyDescent="0.35">
      <c r="A36" s="295" t="s">
        <v>33</v>
      </c>
      <c r="B36" s="43">
        <f>SUM(B5:B35)</f>
        <v>1403</v>
      </c>
      <c r="C36" s="43">
        <f>SUM(C5:C35)</f>
        <v>178</v>
      </c>
      <c r="D36" s="332">
        <f t="shared" ref="D36:AG36" si="181">SUM(D5:D34)</f>
        <v>228.04947552447555</v>
      </c>
      <c r="E36" s="43">
        <f>SUM(E5:E35)</f>
        <v>62</v>
      </c>
      <c r="F36" s="43">
        <f>SUM(F5:F35)</f>
        <v>8</v>
      </c>
      <c r="G36" s="332">
        <f t="shared" si="181"/>
        <v>46</v>
      </c>
      <c r="H36" s="43">
        <f>SUM(H5:H35)</f>
        <v>14</v>
      </c>
      <c r="I36" s="43">
        <f>SUM(I5:I35)</f>
        <v>4</v>
      </c>
      <c r="J36" s="43">
        <f t="shared" si="181"/>
        <v>3.5</v>
      </c>
      <c r="K36" s="43">
        <f>SUM(K5:K35)</f>
        <v>590</v>
      </c>
      <c r="L36" s="43">
        <f>SUM(L5:L35)</f>
        <v>74</v>
      </c>
      <c r="M36" s="334">
        <f t="shared" si="3"/>
        <v>7.9729729729729728</v>
      </c>
      <c r="N36" s="43">
        <f t="shared" si="181"/>
        <v>0</v>
      </c>
      <c r="O36" s="43">
        <f t="shared" si="181"/>
        <v>0</v>
      </c>
      <c r="P36" s="43">
        <f t="shared" si="181"/>
        <v>0</v>
      </c>
      <c r="Q36" s="43">
        <f>SUM(Q5:Q35)</f>
        <v>1995</v>
      </c>
      <c r="R36" s="43">
        <f>SUM(R5:R35)</f>
        <v>458</v>
      </c>
      <c r="S36" s="332">
        <f t="shared" si="181"/>
        <v>108.54661345322739</v>
      </c>
      <c r="T36" s="43">
        <f t="shared" si="181"/>
        <v>340</v>
      </c>
      <c r="U36" s="43">
        <f t="shared" si="181"/>
        <v>67</v>
      </c>
      <c r="V36" s="333">
        <f t="shared" si="6"/>
        <v>5.0746268656716422</v>
      </c>
      <c r="W36" s="43">
        <f t="shared" si="181"/>
        <v>0</v>
      </c>
      <c r="X36" s="43">
        <f t="shared" si="181"/>
        <v>0</v>
      </c>
      <c r="Y36" s="43">
        <f t="shared" si="181"/>
        <v>0</v>
      </c>
      <c r="Z36" s="43">
        <f t="shared" si="181"/>
        <v>789</v>
      </c>
      <c r="AA36" s="43">
        <f t="shared" si="181"/>
        <v>159</v>
      </c>
      <c r="AB36" s="332">
        <f t="shared" si="181"/>
        <v>104.45714285714286</v>
      </c>
      <c r="AC36" s="43">
        <f t="shared" si="181"/>
        <v>607</v>
      </c>
      <c r="AD36" s="43">
        <f t="shared" si="181"/>
        <v>125</v>
      </c>
      <c r="AE36" s="332">
        <f t="shared" si="181"/>
        <v>28.311586452762921</v>
      </c>
      <c r="AF36" s="43">
        <f t="shared" si="181"/>
        <v>12</v>
      </c>
      <c r="AG36" s="43">
        <f t="shared" si="181"/>
        <v>2</v>
      </c>
      <c r="AH36" s="332">
        <f t="shared" ref="AH36:CO36" si="182">SUM(AH5:AH34)</f>
        <v>12</v>
      </c>
      <c r="AI36" s="43">
        <f t="shared" si="182"/>
        <v>107</v>
      </c>
      <c r="AJ36" s="43">
        <f t="shared" si="182"/>
        <v>19</v>
      </c>
      <c r="AK36" s="43">
        <f t="shared" si="182"/>
        <v>74.5</v>
      </c>
      <c r="AL36" s="43">
        <f t="shared" si="182"/>
        <v>35</v>
      </c>
      <c r="AM36" s="43">
        <f t="shared" si="182"/>
        <v>6</v>
      </c>
      <c r="AN36" s="43">
        <f t="shared" si="182"/>
        <v>23.5</v>
      </c>
      <c r="AO36" s="43">
        <f t="shared" si="182"/>
        <v>53</v>
      </c>
      <c r="AP36" s="43">
        <f t="shared" si="182"/>
        <v>9</v>
      </c>
      <c r="AQ36" s="43">
        <f t="shared" si="182"/>
        <v>35.5</v>
      </c>
      <c r="AR36" s="43">
        <f>SUM(AR5:AR35)</f>
        <v>72</v>
      </c>
      <c r="AS36" s="43">
        <f>SUM(AS5:AS35)</f>
        <v>11</v>
      </c>
      <c r="AT36" s="43">
        <f t="shared" si="182"/>
        <v>65.5</v>
      </c>
      <c r="AU36" s="43">
        <f t="shared" si="182"/>
        <v>0</v>
      </c>
      <c r="AV36" s="43">
        <f t="shared" si="182"/>
        <v>0</v>
      </c>
      <c r="AW36" s="43">
        <f t="shared" si="182"/>
        <v>0</v>
      </c>
      <c r="AX36" s="43">
        <f>SUM(AX5:AX35)</f>
        <v>30</v>
      </c>
      <c r="AY36" s="43">
        <f>SUM(AY5:AY35)</f>
        <v>11</v>
      </c>
      <c r="AZ36" s="43">
        <f t="shared" si="182"/>
        <v>21.5</v>
      </c>
      <c r="BA36" s="43">
        <f>SUM(BA5:BA35)</f>
        <v>0</v>
      </c>
      <c r="BB36" s="43">
        <f>SUM(BB5:BB35)</f>
        <v>0</v>
      </c>
      <c r="BC36" s="332">
        <f t="shared" si="182"/>
        <v>0</v>
      </c>
      <c r="BD36" s="43">
        <f>SUM(BD5:BD35)</f>
        <v>0</v>
      </c>
      <c r="BE36" s="43">
        <f t="shared" si="182"/>
        <v>0</v>
      </c>
      <c r="BF36" s="43">
        <f t="shared" si="182"/>
        <v>0</v>
      </c>
      <c r="BG36" s="43">
        <f t="shared" si="182"/>
        <v>170</v>
      </c>
      <c r="BH36" s="43">
        <f t="shared" si="182"/>
        <v>18</v>
      </c>
      <c r="BI36" s="43">
        <f t="shared" si="182"/>
        <v>111.16666666666667</v>
      </c>
      <c r="BJ36" s="43">
        <f>SUM(BJ5:BJ35)</f>
        <v>511</v>
      </c>
      <c r="BK36" s="43">
        <f>SUM(BK5:BK35)</f>
        <v>80</v>
      </c>
      <c r="BL36" s="332">
        <f t="shared" si="182"/>
        <v>158.73809523809524</v>
      </c>
      <c r="BM36" s="43">
        <f>SUM(BM5:BM35)</f>
        <v>14</v>
      </c>
      <c r="BN36" s="43">
        <f>SUM(BN5:BN35)</f>
        <v>2</v>
      </c>
      <c r="BO36" s="43">
        <f t="shared" si="182"/>
        <v>8</v>
      </c>
      <c r="BP36" s="43">
        <f>SUM(BP5:BP35)</f>
        <v>70</v>
      </c>
      <c r="BQ36" s="43">
        <f>SUM(BQ5:BQ35)</f>
        <v>10</v>
      </c>
      <c r="BR36" s="43">
        <f t="shared" si="182"/>
        <v>42</v>
      </c>
      <c r="BS36" s="43">
        <f>SUM(BS5:BS35)</f>
        <v>82</v>
      </c>
      <c r="BT36" s="43">
        <f>SUM(BT5:BT35)</f>
        <v>13</v>
      </c>
      <c r="BU36" s="43">
        <f t="shared" si="182"/>
        <v>69</v>
      </c>
      <c r="BV36" s="43">
        <f>SUM(BV5:BV35)</f>
        <v>55</v>
      </c>
      <c r="BW36" s="43">
        <f>SUM(BW5:BW35)</f>
        <v>18</v>
      </c>
      <c r="BX36" s="43">
        <f t="shared" si="182"/>
        <v>44.166666666666664</v>
      </c>
      <c r="BY36" s="43">
        <f t="shared" si="182"/>
        <v>0</v>
      </c>
      <c r="BZ36" s="43">
        <f t="shared" si="182"/>
        <v>0</v>
      </c>
      <c r="CA36" s="43">
        <f t="shared" si="182"/>
        <v>0</v>
      </c>
      <c r="CB36" s="43">
        <f>SUM(CB5:CB35)</f>
        <v>22</v>
      </c>
      <c r="CC36" s="43">
        <f>SUM(CC5:CC35)</f>
        <v>8</v>
      </c>
      <c r="CD36" s="43">
        <f t="shared" si="182"/>
        <v>22</v>
      </c>
      <c r="CE36" s="43">
        <f t="shared" si="182"/>
        <v>116</v>
      </c>
      <c r="CF36" s="43">
        <f t="shared" si="182"/>
        <v>18</v>
      </c>
      <c r="CG36" s="332">
        <f t="shared" si="182"/>
        <v>51</v>
      </c>
      <c r="CH36" s="43">
        <f t="shared" si="182"/>
        <v>0</v>
      </c>
      <c r="CI36" s="43">
        <f t="shared" si="182"/>
        <v>0</v>
      </c>
      <c r="CJ36" s="43">
        <f t="shared" si="182"/>
        <v>0</v>
      </c>
      <c r="CK36" s="43">
        <f t="shared" si="182"/>
        <v>0</v>
      </c>
      <c r="CL36" s="43">
        <f t="shared" si="182"/>
        <v>0</v>
      </c>
      <c r="CM36" s="43">
        <f t="shared" si="182"/>
        <v>0</v>
      </c>
      <c r="CN36" s="118">
        <f t="shared" si="182"/>
        <v>7029</v>
      </c>
      <c r="CO36" s="118">
        <f t="shared" si="182"/>
        <v>1249</v>
      </c>
      <c r="CP36" s="144">
        <f t="shared" si="30"/>
        <v>5.6277021617293839</v>
      </c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F612-98E2-41F8-B9C9-D2E1BE9A84BA}">
  <sheetPr>
    <tabColor rgb="FFFF0000"/>
  </sheetPr>
  <dimension ref="A1:CL43"/>
  <sheetViews>
    <sheetView topLeftCell="A9" workbookViewId="0">
      <selection activeCell="M15" sqref="M15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105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'July 2025'!B36</f>
        <v>1403</v>
      </c>
      <c r="C4" s="68"/>
      <c r="D4" s="95" t="s">
        <v>19</v>
      </c>
      <c r="E4" s="93">
        <f>'July 2025'!AX36</f>
        <v>30</v>
      </c>
      <c r="F4" s="68"/>
      <c r="G4" s="87" t="s">
        <v>24</v>
      </c>
      <c r="H4" s="81">
        <f>'July 2025'!BM36</f>
        <v>14</v>
      </c>
    </row>
    <row r="5" spans="1:90" x14ac:dyDescent="0.3">
      <c r="A5" s="80"/>
      <c r="B5" s="81">
        <f>'July 2025'!C36</f>
        <v>178</v>
      </c>
      <c r="C5" s="68"/>
      <c r="D5" s="85"/>
      <c r="E5" s="81">
        <f>'July 2025'!AY36</f>
        <v>11</v>
      </c>
      <c r="F5" s="68"/>
      <c r="G5" s="87"/>
      <c r="H5" s="81">
        <f>'July 2025'!BN36</f>
        <v>2</v>
      </c>
    </row>
    <row r="6" spans="1:90" x14ac:dyDescent="0.3">
      <c r="A6" s="82"/>
      <c r="B6" s="275">
        <f>'July 2025'!D36</f>
        <v>228.04947552447555</v>
      </c>
      <c r="C6" s="68"/>
      <c r="D6" s="86"/>
      <c r="E6" s="26">
        <f>'July 2025'!AZ36</f>
        <v>21.5</v>
      </c>
      <c r="F6" s="68"/>
      <c r="G6" s="88"/>
      <c r="H6" s="26">
        <f>'July 2025'!BO36</f>
        <v>8</v>
      </c>
    </row>
    <row r="7" spans="1:90" x14ac:dyDescent="0.3">
      <c r="A7" s="80" t="s">
        <v>9</v>
      </c>
      <c r="B7" s="81">
        <f>'July 2025'!E36</f>
        <v>62</v>
      </c>
      <c r="C7" s="68"/>
      <c r="D7" s="85" t="s">
        <v>20</v>
      </c>
      <c r="E7" s="81">
        <f>'July 2025'!BA36</f>
        <v>0</v>
      </c>
      <c r="F7" s="68"/>
      <c r="G7" s="87" t="s">
        <v>25</v>
      </c>
      <c r="H7" s="151">
        <f>'July 2025'!BP36</f>
        <v>70</v>
      </c>
    </row>
    <row r="8" spans="1:90" x14ac:dyDescent="0.3">
      <c r="A8" s="80"/>
      <c r="B8" s="81">
        <f>'July 2025'!F36</f>
        <v>8</v>
      </c>
      <c r="C8" s="68"/>
      <c r="D8" s="85"/>
      <c r="E8" s="81">
        <f>'July 2025'!BB36</f>
        <v>0</v>
      </c>
      <c r="F8" s="68"/>
      <c r="G8" s="87"/>
      <c r="H8" s="151">
        <f>'July 2025'!BQ36</f>
        <v>10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'July 2025'!G36</f>
        <v>46</v>
      </c>
      <c r="C9" s="68"/>
      <c r="D9" s="86"/>
      <c r="E9" s="26">
        <f>'July 2025'!BC36</f>
        <v>0</v>
      </c>
      <c r="F9" s="68"/>
      <c r="G9" s="88"/>
      <c r="H9" s="151">
        <f>'July 2025'!BQ36</f>
        <v>10</v>
      </c>
    </row>
    <row r="10" spans="1:90" x14ac:dyDescent="0.3">
      <c r="A10" s="80" t="s">
        <v>55</v>
      </c>
      <c r="B10" s="81">
        <f>'July 2025'!K36</f>
        <v>590</v>
      </c>
      <c r="C10" s="68"/>
      <c r="D10" s="85" t="s">
        <v>21</v>
      </c>
      <c r="E10" s="81">
        <f>'July 2025'!BD36</f>
        <v>0</v>
      </c>
      <c r="F10" s="68"/>
      <c r="G10" s="87" t="s">
        <v>26</v>
      </c>
      <c r="H10" s="151">
        <f>'July 2025'!BS36</f>
        <v>82</v>
      </c>
    </row>
    <row r="11" spans="1:90" x14ac:dyDescent="0.3">
      <c r="A11" s="80"/>
      <c r="B11" s="81">
        <f>'July 2025'!L36</f>
        <v>74</v>
      </c>
      <c r="C11" s="68"/>
      <c r="D11" s="85"/>
      <c r="E11" s="81">
        <f>'July 2025'!BE36</f>
        <v>0</v>
      </c>
      <c r="F11" s="68"/>
      <c r="G11" s="87"/>
      <c r="H11" s="81">
        <f>'July 2025'!BT36</f>
        <v>13</v>
      </c>
    </row>
    <row r="12" spans="1:90" x14ac:dyDescent="0.3">
      <c r="A12" s="82"/>
      <c r="B12" s="26">
        <f>'July 2025'!M36</f>
        <v>7.9729729729729728</v>
      </c>
      <c r="C12" s="68"/>
      <c r="D12" s="86"/>
      <c r="E12" s="81">
        <f>'July 2025'!BF36</f>
        <v>0</v>
      </c>
      <c r="F12" s="68"/>
      <c r="G12" s="88"/>
      <c r="H12" s="26">
        <f>'July 2025'!BU36</f>
        <v>69</v>
      </c>
    </row>
    <row r="13" spans="1:90" x14ac:dyDescent="0.3">
      <c r="A13" s="80" t="s">
        <v>11</v>
      </c>
      <c r="B13" s="151">
        <f>'July 2025'!Q36</f>
        <v>1995</v>
      </c>
      <c r="C13" s="68"/>
      <c r="D13" s="85" t="s">
        <v>22</v>
      </c>
      <c r="E13" s="81">
        <f>'July 2025'!BG36</f>
        <v>170</v>
      </c>
      <c r="F13" s="68"/>
      <c r="G13" s="87" t="s">
        <v>27</v>
      </c>
      <c r="H13" s="81">
        <f>'July 2025'!BV36</f>
        <v>55</v>
      </c>
    </row>
    <row r="14" spans="1:90" x14ac:dyDescent="0.3">
      <c r="A14" s="80"/>
      <c r="B14" s="151">
        <f>'July 2025'!R36</f>
        <v>458</v>
      </c>
      <c r="C14" s="68"/>
      <c r="D14" s="85"/>
      <c r="E14" s="81">
        <f>'July 2025'!BH36</f>
        <v>18</v>
      </c>
      <c r="F14" s="68"/>
      <c r="G14" s="87"/>
      <c r="H14" s="81">
        <f>'July 2025'!BW36</f>
        <v>18</v>
      </c>
    </row>
    <row r="15" spans="1:90" x14ac:dyDescent="0.3">
      <c r="A15" s="82"/>
      <c r="B15" s="150">
        <f>'July 2025'!S36</f>
        <v>108.54661345322739</v>
      </c>
      <c r="C15" s="68"/>
      <c r="D15" s="85"/>
      <c r="E15" s="26">
        <f>'July 2025'!BI36</f>
        <v>111.16666666666667</v>
      </c>
      <c r="F15" s="68"/>
      <c r="G15" s="88"/>
      <c r="H15" s="26">
        <f>'July 2025'!BX36</f>
        <v>44.166666666666664</v>
      </c>
    </row>
    <row r="16" spans="1:90" x14ac:dyDescent="0.3">
      <c r="A16" s="80" t="s">
        <v>44</v>
      </c>
      <c r="B16" s="151">
        <f>'July 2025'!T36</f>
        <v>340</v>
      </c>
      <c r="C16" s="68"/>
      <c r="D16" s="85" t="s">
        <v>45</v>
      </c>
      <c r="E16" s="26">
        <f>'July 2025'!BJ36</f>
        <v>511</v>
      </c>
      <c r="F16" s="68"/>
      <c r="G16" s="96" t="s">
        <v>28</v>
      </c>
      <c r="H16" s="97">
        <f>'July 2025'!CE36</f>
        <v>116</v>
      </c>
    </row>
    <row r="17" spans="1:8" x14ac:dyDescent="0.3">
      <c r="A17" s="80"/>
      <c r="B17" s="151">
        <f>'July 2025'!U36</f>
        <v>67</v>
      </c>
      <c r="C17" s="68"/>
      <c r="D17" s="85"/>
      <c r="E17" s="81">
        <f>'July 2025'!BK36</f>
        <v>80</v>
      </c>
      <c r="F17" s="68"/>
      <c r="G17" s="96"/>
      <c r="H17" s="97">
        <f>'July 2025'!CF36</f>
        <v>18</v>
      </c>
    </row>
    <row r="18" spans="1:8" ht="15" thickBot="1" x14ac:dyDescent="0.35">
      <c r="A18" s="82"/>
      <c r="B18" s="150">
        <f>'July 2025'!V36</f>
        <v>5.0746268656716422</v>
      </c>
      <c r="C18" s="68"/>
      <c r="D18" s="102"/>
      <c r="E18" s="149">
        <f>'July 2025'!BL36</f>
        <v>158.73809523809524</v>
      </c>
      <c r="F18" s="68"/>
      <c r="G18" s="98"/>
      <c r="H18" s="99">
        <f>H16/H17</f>
        <v>6.4444444444444446</v>
      </c>
    </row>
    <row r="19" spans="1:8" x14ac:dyDescent="0.3">
      <c r="A19" s="80" t="s">
        <v>85</v>
      </c>
      <c r="B19" s="151">
        <f>'July 2025'!W36</f>
        <v>0</v>
      </c>
      <c r="C19" s="68"/>
    </row>
    <row r="20" spans="1:8" x14ac:dyDescent="0.3">
      <c r="A20" s="80"/>
      <c r="B20" s="151">
        <f>'July 2025'!X36</f>
        <v>0</v>
      </c>
      <c r="C20" s="68"/>
    </row>
    <row r="21" spans="1:8" x14ac:dyDescent="0.3">
      <c r="A21" s="100"/>
      <c r="B21" s="151">
        <f>'July 2025'!Y336</f>
        <v>0</v>
      </c>
      <c r="C21" s="68"/>
    </row>
    <row r="22" spans="1:8" x14ac:dyDescent="0.3">
      <c r="A22" s="310" t="s">
        <v>86</v>
      </c>
      <c r="B22" s="340">
        <f>'July 2025'!Z36</f>
        <v>789</v>
      </c>
      <c r="C22" s="68"/>
      <c r="D22" s="68"/>
      <c r="E22" s="68"/>
    </row>
    <row r="23" spans="1:8" x14ac:dyDescent="0.3">
      <c r="A23" s="324"/>
      <c r="B23" s="341">
        <f>'July 2025'!AA36</f>
        <v>159</v>
      </c>
      <c r="C23" s="68"/>
      <c r="D23" s="68"/>
      <c r="E23" s="68"/>
    </row>
    <row r="24" spans="1:8" x14ac:dyDescent="0.3">
      <c r="A24" s="325"/>
      <c r="B24" s="281">
        <f>'July 2025'!AB36</f>
        <v>104.45714285714286</v>
      </c>
      <c r="C24" s="68"/>
      <c r="D24" s="68"/>
      <c r="E24" s="68"/>
    </row>
    <row r="25" spans="1:8" x14ac:dyDescent="0.3">
      <c r="A25" s="325" t="s">
        <v>79</v>
      </c>
      <c r="B25" s="281">
        <f>'July 2025'!AC36</f>
        <v>607</v>
      </c>
      <c r="C25" s="68"/>
      <c r="D25" s="68"/>
      <c r="E25" s="68"/>
    </row>
    <row r="26" spans="1:8" x14ac:dyDescent="0.3">
      <c r="A26" s="325"/>
      <c r="B26" s="281">
        <f>'July 2025'!AD36</f>
        <v>125</v>
      </c>
      <c r="C26" s="68"/>
      <c r="D26" s="68"/>
      <c r="E26" s="68"/>
    </row>
    <row r="27" spans="1:8" x14ac:dyDescent="0.3">
      <c r="A27" s="325"/>
      <c r="B27" s="281">
        <f>'July 2025'!AE36</f>
        <v>28.311586452762921</v>
      </c>
      <c r="C27" s="68"/>
      <c r="D27" s="68"/>
      <c r="E27" s="68"/>
    </row>
    <row r="28" spans="1:8" x14ac:dyDescent="0.3">
      <c r="A28" s="343" t="s">
        <v>14</v>
      </c>
      <c r="B28" s="344">
        <f>'July 2025'!AC36</f>
        <v>607</v>
      </c>
      <c r="C28" s="68"/>
      <c r="D28" s="68"/>
      <c r="E28" s="68"/>
    </row>
    <row r="29" spans="1:8" x14ac:dyDescent="0.3">
      <c r="A29" s="343"/>
      <c r="B29" s="344">
        <f>'July 2025'!AD36</f>
        <v>125</v>
      </c>
      <c r="C29" s="68"/>
      <c r="D29" s="68"/>
      <c r="E29" s="68"/>
    </row>
    <row r="30" spans="1:8" x14ac:dyDescent="0.3">
      <c r="A30" s="345"/>
      <c r="B30" s="346">
        <f>'July 2025'!AE36</f>
        <v>28.311586452762921</v>
      </c>
      <c r="C30" s="68"/>
      <c r="D30" s="68"/>
      <c r="E30" s="68"/>
    </row>
    <row r="31" spans="1:8" x14ac:dyDescent="0.3">
      <c r="A31" s="343" t="s">
        <v>15</v>
      </c>
      <c r="B31" s="344">
        <f>'July 2025'!AF36</f>
        <v>12</v>
      </c>
      <c r="C31" s="68"/>
      <c r="F31" s="68"/>
      <c r="G31" s="68"/>
    </row>
    <row r="32" spans="1:8" x14ac:dyDescent="0.3">
      <c r="A32" s="343"/>
      <c r="B32" s="344">
        <f>'July 2025'!AG36</f>
        <v>2</v>
      </c>
      <c r="C32" s="68"/>
      <c r="F32" s="68"/>
      <c r="G32" s="68"/>
    </row>
    <row r="33" spans="1:7" x14ac:dyDescent="0.3">
      <c r="A33" s="345"/>
      <c r="B33" s="347">
        <f>'July 2025'!AH36</f>
        <v>12</v>
      </c>
      <c r="C33" s="68"/>
      <c r="F33" s="68"/>
      <c r="G33" s="68"/>
    </row>
    <row r="34" spans="1:7" x14ac:dyDescent="0.3">
      <c r="A34" s="343" t="s">
        <v>16</v>
      </c>
      <c r="B34" s="344">
        <f>'July 2025'!AL36</f>
        <v>35</v>
      </c>
      <c r="C34" s="68"/>
      <c r="F34" s="68"/>
      <c r="G34" s="68"/>
    </row>
    <row r="35" spans="1:7" x14ac:dyDescent="0.3">
      <c r="A35" s="343"/>
      <c r="B35" s="344">
        <f>'July 2025'!AM36</f>
        <v>6</v>
      </c>
      <c r="C35" s="68"/>
      <c r="F35" s="68"/>
      <c r="G35" s="68"/>
    </row>
    <row r="36" spans="1:7" x14ac:dyDescent="0.3">
      <c r="A36" s="345"/>
      <c r="B36" s="346">
        <f>'July 2025'!AN36</f>
        <v>23.5</v>
      </c>
      <c r="C36" s="68"/>
      <c r="F36" s="68"/>
      <c r="G36" s="68"/>
    </row>
    <row r="37" spans="1:7" x14ac:dyDescent="0.3">
      <c r="A37" s="343" t="s">
        <v>17</v>
      </c>
      <c r="B37" s="344">
        <f>'July 2025'!AO36</f>
        <v>53</v>
      </c>
      <c r="C37" s="68"/>
      <c r="F37" s="68"/>
      <c r="G37" s="68"/>
    </row>
    <row r="38" spans="1:7" x14ac:dyDescent="0.3">
      <c r="A38" s="343"/>
      <c r="B38" s="344">
        <f>'July 2025'!AP36</f>
        <v>9</v>
      </c>
      <c r="C38" s="68"/>
      <c r="F38" s="68"/>
      <c r="G38" s="68"/>
    </row>
    <row r="39" spans="1:7" x14ac:dyDescent="0.3">
      <c r="A39" s="345"/>
      <c r="B39" s="346">
        <f>'July 2025'!AQ36</f>
        <v>35.5</v>
      </c>
      <c r="C39" s="68"/>
      <c r="F39" s="68"/>
      <c r="G39" s="68"/>
    </row>
    <row r="40" spans="1:7" x14ac:dyDescent="0.3">
      <c r="A40" s="343" t="s">
        <v>59</v>
      </c>
      <c r="B40" s="344">
        <f>'July 2025'!AR36</f>
        <v>72</v>
      </c>
      <c r="C40" s="68"/>
      <c r="F40" s="68"/>
      <c r="G40" s="68"/>
    </row>
    <row r="41" spans="1:7" x14ac:dyDescent="0.3">
      <c r="A41" s="343"/>
      <c r="B41" s="344">
        <f>'July 2025'!AS36</f>
        <v>11</v>
      </c>
      <c r="C41" s="68"/>
      <c r="F41" s="68"/>
      <c r="G41" s="68"/>
    </row>
    <row r="42" spans="1:7" x14ac:dyDescent="0.3">
      <c r="A42" s="345"/>
      <c r="B42" s="346">
        <f>'July 2025'!AT36</f>
        <v>65.5</v>
      </c>
      <c r="C42" s="68"/>
      <c r="F42" s="68"/>
      <c r="G42" s="68"/>
    </row>
    <row r="43" spans="1:7" x14ac:dyDescent="0.3">
      <c r="B43" s="342"/>
      <c r="F43" s="68"/>
      <c r="G43" s="6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4AEE-74D0-4109-A756-8054D2DA37DA}">
  <dimension ref="A1:CP126"/>
  <sheetViews>
    <sheetView workbookViewId="0">
      <pane xSplit="9" ySplit="11" topLeftCell="V12" activePane="bottomRight" state="frozen"/>
      <selection pane="topRight" activeCell="J1" sqref="J1"/>
      <selection pane="bottomLeft" activeCell="A12" sqref="A12"/>
      <selection pane="bottomRight"/>
    </sheetView>
  </sheetViews>
  <sheetFormatPr defaultRowHeight="14.4" x14ac:dyDescent="0.3"/>
  <cols>
    <col min="1" max="1" width="32" style="296" customWidth="1"/>
    <col min="2" max="3" width="8.88671875" customWidth="1"/>
    <col min="4" max="9" width="8.88671875" style="2" customWidth="1"/>
    <col min="10" max="10" width="10" style="2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customWidth="1"/>
    <col min="55" max="55" width="7.33203125" style="2" customWidth="1"/>
    <col min="56" max="56" width="8.33203125" customWidth="1"/>
    <col min="57" max="57" width="9.6640625" customWidth="1"/>
    <col min="58" max="58" width="11.88671875" style="2" customWidth="1"/>
    <col min="59" max="59" width="8.33203125" customWidth="1"/>
    <col min="60" max="60" width="9.6640625" customWidth="1"/>
    <col min="61" max="61" width="8.88671875" style="2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9.109375" style="2"/>
    <col min="85" max="85" width="9.1093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9.109375" style="79"/>
    <col min="94" max="94" width="9.109375" style="2"/>
  </cols>
  <sheetData>
    <row r="1" spans="1:94" ht="18.600000000000001" thickBot="1" x14ac:dyDescent="0.4">
      <c r="A1" s="290" t="s">
        <v>101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328"/>
      <c r="CH3" s="14" t="s">
        <v>26</v>
      </c>
      <c r="CI3" s="14"/>
      <c r="CJ3" s="27"/>
      <c r="CK3" s="14" t="s">
        <v>99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329" t="s">
        <v>31</v>
      </c>
      <c r="CH4" s="16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45870</v>
      </c>
      <c r="B5" s="125">
        <v>34</v>
      </c>
      <c r="C5" s="126">
        <v>4</v>
      </c>
      <c r="D5" s="276">
        <f t="shared" ref="D5:D35" si="0">IF(C5=0,"-",B5/C5)</f>
        <v>8.5</v>
      </c>
      <c r="E5" s="125">
        <v>0</v>
      </c>
      <c r="F5" s="126">
        <v>0</v>
      </c>
      <c r="G5" s="139" t="str">
        <f t="shared" ref="G5" si="1">IF(F5=0,"-",E5/F5)</f>
        <v>-</v>
      </c>
      <c r="H5" s="125">
        <v>0</v>
      </c>
      <c r="I5" s="126">
        <v>0</v>
      </c>
      <c r="J5" s="139" t="str">
        <f t="shared" ref="J5:J31" si="2">IF(I5=0,"-",H5/I5)</f>
        <v>-</v>
      </c>
      <c r="K5" s="125">
        <v>8</v>
      </c>
      <c r="L5" s="126">
        <v>1</v>
      </c>
      <c r="M5" s="276">
        <f t="shared" ref="M5:M36" si="3">IF(L5=0,"-",K5/L5)</f>
        <v>8</v>
      </c>
      <c r="N5" s="20">
        <v>0</v>
      </c>
      <c r="O5" s="21">
        <v>0</v>
      </c>
      <c r="P5" s="139" t="str">
        <f t="shared" ref="P5:P35" si="4">IF(O5=0,"-",N5/O5)</f>
        <v>-</v>
      </c>
      <c r="Q5" s="20">
        <v>67</v>
      </c>
      <c r="R5" s="21">
        <v>14</v>
      </c>
      <c r="S5" s="139">
        <f t="shared" ref="S5:S35" si="5">IF(R5=0,"-",Q5/R5)</f>
        <v>4.7857142857142856</v>
      </c>
      <c r="T5" s="20">
        <v>0</v>
      </c>
      <c r="U5" s="21">
        <v>0</v>
      </c>
      <c r="V5" s="139" t="str">
        <f t="shared" ref="V5:V36" si="6">IF(U5=0,"-",T5/U5)</f>
        <v>-</v>
      </c>
      <c r="W5" s="20">
        <v>0</v>
      </c>
      <c r="X5" s="21">
        <v>0</v>
      </c>
      <c r="Y5" s="139" t="str">
        <f t="shared" ref="Y5:Y35" si="7">IF(X5=0,"-",W5/X5)</f>
        <v>-</v>
      </c>
      <c r="Z5" s="20">
        <v>30</v>
      </c>
      <c r="AA5" s="21">
        <v>6</v>
      </c>
      <c r="AB5" s="139">
        <f t="shared" ref="AB5:AB35" si="8">IF(AA5=0,"-",Z5/AA5)</f>
        <v>5</v>
      </c>
      <c r="AC5" s="20">
        <v>0</v>
      </c>
      <c r="AD5" s="21">
        <v>0</v>
      </c>
      <c r="AE5" s="139" t="str">
        <f t="shared" ref="AE5:AE35" si="9">IF(AD5=0,"-",AC5/AD5)</f>
        <v>-</v>
      </c>
      <c r="AF5" s="20">
        <v>0</v>
      </c>
      <c r="AG5" s="21">
        <v>0</v>
      </c>
      <c r="AH5" s="139" t="str">
        <f t="shared" ref="AH5:AH35" si="10">IF(AG5=0,"-",AF5/AG5)</f>
        <v>-</v>
      </c>
      <c r="AI5" s="20">
        <v>11</v>
      </c>
      <c r="AJ5" s="21">
        <v>2</v>
      </c>
      <c r="AK5" s="139">
        <f t="shared" ref="AK5:AK35" si="11">IF(AJ5=0,"-",AI5/AJ5)</f>
        <v>5.5</v>
      </c>
      <c r="AL5" s="20">
        <v>0</v>
      </c>
      <c r="AM5" s="21">
        <v>0</v>
      </c>
      <c r="AN5" s="139" t="str">
        <f t="shared" ref="AN5:AN35" si="12">IF(AM5=0,"-",AL5/AM5)</f>
        <v>-</v>
      </c>
      <c r="AO5" s="20">
        <v>0</v>
      </c>
      <c r="AP5" s="21">
        <v>0</v>
      </c>
      <c r="AQ5" s="139" t="str">
        <f t="shared" ref="AQ5:AQ35" si="13">IF(AP5=0,"-",AO5/AP5)</f>
        <v>-</v>
      </c>
      <c r="AR5" s="20">
        <v>7</v>
      </c>
      <c r="AS5" s="21">
        <v>1</v>
      </c>
      <c r="AT5" s="139">
        <f t="shared" ref="AT5:AT35" si="14">IF(AS5=0,"-",AR5/AS5)</f>
        <v>7</v>
      </c>
      <c r="AU5" s="20">
        <v>0</v>
      </c>
      <c r="AV5" s="21">
        <v>0</v>
      </c>
      <c r="AW5" s="139" t="str">
        <f t="shared" ref="AW5:AW35" si="15">IF(AV5=0,"-",AU5/AV5)</f>
        <v>-</v>
      </c>
      <c r="AX5" s="20">
        <v>6</v>
      </c>
      <c r="AY5" s="21">
        <v>1</v>
      </c>
      <c r="AZ5" s="139">
        <f t="shared" ref="AZ5:AZ33" si="16">IF(AY5=0,"-",AX5/AY5)</f>
        <v>6</v>
      </c>
      <c r="BA5" s="20">
        <v>0</v>
      </c>
      <c r="BB5" s="21">
        <v>0</v>
      </c>
      <c r="BC5" s="139" t="str">
        <f t="shared" ref="BC5:BC31" si="17">IF(BB5=0,"-",BA5/BB5)</f>
        <v>-</v>
      </c>
      <c r="BD5" s="20">
        <v>0</v>
      </c>
      <c r="BE5" s="21">
        <v>0</v>
      </c>
      <c r="BF5" s="139" t="str">
        <f t="shared" ref="BF5:BF35" si="18">IF(BE5=0,"-",BD5/BE5)</f>
        <v>-</v>
      </c>
      <c r="BG5" s="20">
        <v>0</v>
      </c>
      <c r="BH5" s="21">
        <v>0</v>
      </c>
      <c r="BI5" s="139" t="str">
        <f t="shared" ref="BI5:BI35" si="19">IF(BH5=0,"-",BG5/BH5)</f>
        <v>-</v>
      </c>
      <c r="BJ5" s="250">
        <v>19</v>
      </c>
      <c r="BK5" s="251">
        <v>3</v>
      </c>
      <c r="BL5" s="276">
        <f t="shared" ref="BL5:BL35" si="20">IF(BK5=0,"-",BJ5/BK5)</f>
        <v>6.333333333333333</v>
      </c>
      <c r="BM5" s="250">
        <v>0</v>
      </c>
      <c r="BN5" s="251">
        <v>0</v>
      </c>
      <c r="BO5" s="276" t="str">
        <f t="shared" ref="BO5:BO35" si="21">IF(BN5=0,"-",BM5/BN5)</f>
        <v>-</v>
      </c>
      <c r="BP5" s="326">
        <v>14</v>
      </c>
      <c r="BQ5" s="327">
        <v>2</v>
      </c>
      <c r="BR5" s="276">
        <f t="shared" ref="BR5:BR35" si="22">IF(BQ5=0,"-",BP5/BQ5)</f>
        <v>7</v>
      </c>
      <c r="BS5" s="254">
        <v>0</v>
      </c>
      <c r="BT5" s="255">
        <v>0</v>
      </c>
      <c r="BU5" s="276" t="str">
        <f t="shared" ref="BU5:BU35" si="23">IF(BT5=0,"-",BS5/BT5)</f>
        <v>-</v>
      </c>
      <c r="BV5" s="254">
        <v>0</v>
      </c>
      <c r="BW5" s="255">
        <v>0</v>
      </c>
      <c r="BX5" s="276" t="str">
        <f t="shared" ref="BX5:BX6" si="24">IF(BW5=0,"-",BV5/BW5)</f>
        <v>-</v>
      </c>
      <c r="BY5" s="254">
        <v>0</v>
      </c>
      <c r="BZ5" s="255">
        <v>0</v>
      </c>
      <c r="CA5" s="276" t="str">
        <f t="shared" ref="CA5:CA6" si="25">IF(BZ5=0,"-",BY5/BZ5)</f>
        <v>-</v>
      </c>
      <c r="CB5" s="254">
        <v>0</v>
      </c>
      <c r="CC5" s="255">
        <v>0</v>
      </c>
      <c r="CD5" s="276" t="str">
        <f t="shared" ref="CD5:CD6" si="26">IF(CC5=0,"-",CB5/CC5)</f>
        <v>-</v>
      </c>
      <c r="CE5" s="250">
        <v>13</v>
      </c>
      <c r="CF5" s="251">
        <v>2</v>
      </c>
      <c r="CG5" s="276">
        <f t="shared" ref="CG5:CG35" si="27">IF(CF5=0,"-",CE5/CF5)</f>
        <v>6.5</v>
      </c>
      <c r="CH5" s="250">
        <v>0</v>
      </c>
      <c r="CI5" s="251">
        <v>0</v>
      </c>
      <c r="CJ5" s="276" t="str">
        <f t="shared" ref="CJ5:CJ35" si="28">IF(CI5=0,"-",CH5/CI5)</f>
        <v>-</v>
      </c>
      <c r="CK5" s="256">
        <v>0</v>
      </c>
      <c r="CL5" s="253">
        <v>0</v>
      </c>
      <c r="CM5" s="276" t="str">
        <f t="shared" ref="CM5" si="29">IF(CL5=0,"-",CK5/CL5)</f>
        <v>-</v>
      </c>
      <c r="CN5" s="117">
        <f>SUM(B5,E5,H5,K5,Q5,T5,W5,Z5,AC5,AF5,AI5,AL5,AO5,AR5,AX5,BA5,BG5,BJ5,BM5,BP5,BS5,BV5,BY5,CB5,CE5,CH5,CK5)</f>
        <v>209</v>
      </c>
      <c r="CO5" s="120">
        <f>C5+F5+I5+L5+R5+U5+X5+AA5+AD5+AG5+AJ5+AS5+AV5+AY5+BB5+BE5+BH5+BK5+BN5+BQ5+BT5+CC5+CF5+CI5+CL5</f>
        <v>36</v>
      </c>
      <c r="CP5" s="147">
        <f t="shared" ref="CP5:CP36" si="30">IF(CO5=0,"",CN5/CO5)</f>
        <v>5.8055555555555554</v>
      </c>
    </row>
    <row r="6" spans="1:94" ht="15" thickBot="1" x14ac:dyDescent="0.35">
      <c r="A6" s="294">
        <v>45871</v>
      </c>
      <c r="B6" s="20">
        <v>46</v>
      </c>
      <c r="C6" s="21">
        <v>6</v>
      </c>
      <c r="D6" s="139">
        <f t="shared" si="0"/>
        <v>7.666666666666667</v>
      </c>
      <c r="E6" s="125">
        <v>0</v>
      </c>
      <c r="F6" s="126">
        <v>0</v>
      </c>
      <c r="G6" s="139" t="str">
        <f t="shared" ref="G6:G34" si="31">IF(F6=0,"-",E6/F6)</f>
        <v>-</v>
      </c>
      <c r="H6" s="125">
        <v>0</v>
      </c>
      <c r="I6" s="126">
        <v>0</v>
      </c>
      <c r="J6" s="139" t="str">
        <f t="shared" ref="J6" si="32">IF(I6=0,"-",H6/I6)</f>
        <v>-</v>
      </c>
      <c r="K6" s="20">
        <v>16</v>
      </c>
      <c r="L6" s="21">
        <v>2</v>
      </c>
      <c r="M6" s="139">
        <f t="shared" si="3"/>
        <v>8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0</v>
      </c>
      <c r="U6" s="21">
        <v>0</v>
      </c>
      <c r="V6" s="139" t="str">
        <f t="shared" si="6"/>
        <v>-</v>
      </c>
      <c r="W6" s="20">
        <v>0</v>
      </c>
      <c r="X6" s="21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20">
        <v>0</v>
      </c>
      <c r="AD6" s="21">
        <v>0</v>
      </c>
      <c r="AE6" s="139" t="str">
        <f t="shared" si="9"/>
        <v>-</v>
      </c>
      <c r="AF6" s="20">
        <v>0</v>
      </c>
      <c r="AG6" s="21">
        <v>0</v>
      </c>
      <c r="AH6" s="139" t="str">
        <f t="shared" si="10"/>
        <v>-</v>
      </c>
      <c r="AI6" s="20">
        <v>5</v>
      </c>
      <c r="AJ6" s="21">
        <v>1</v>
      </c>
      <c r="AK6" s="139">
        <f t="shared" si="11"/>
        <v>5</v>
      </c>
      <c r="AL6" s="20">
        <v>0</v>
      </c>
      <c r="AM6" s="21">
        <v>0</v>
      </c>
      <c r="AN6" s="139" t="str">
        <f t="shared" ref="AN6:AN7" si="33">IF(AM6=0,"-",AL6/AM6)</f>
        <v>-</v>
      </c>
      <c r="AO6" s="20">
        <v>0</v>
      </c>
      <c r="AP6" s="21">
        <v>0</v>
      </c>
      <c r="AQ6" s="139" t="str">
        <f t="shared" ref="AQ6:AQ7" si="34">IF(AP6=0,"-",AO6/AP6)</f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52">
        <v>60</v>
      </c>
      <c r="BK6" s="253">
        <v>9</v>
      </c>
      <c r="BL6" s="276">
        <f t="shared" si="20"/>
        <v>6.666666666666667</v>
      </c>
      <c r="BM6" s="252">
        <v>0</v>
      </c>
      <c r="BN6" s="253">
        <v>0</v>
      </c>
      <c r="BO6" s="276" t="str">
        <f t="shared" si="21"/>
        <v>-</v>
      </c>
      <c r="BP6" s="302">
        <v>0</v>
      </c>
      <c r="BQ6" s="303">
        <v>0</v>
      </c>
      <c r="BR6" s="276" t="str">
        <f t="shared" si="22"/>
        <v>-</v>
      </c>
      <c r="BS6" s="256">
        <v>0</v>
      </c>
      <c r="BT6" s="253">
        <v>0</v>
      </c>
      <c r="BU6" s="276" t="str">
        <f t="shared" si="23"/>
        <v>-</v>
      </c>
      <c r="BV6" s="256">
        <v>0</v>
      </c>
      <c r="BW6" s="253">
        <v>0</v>
      </c>
      <c r="BX6" s="276" t="str">
        <f t="shared" si="24"/>
        <v>-</v>
      </c>
      <c r="BY6" s="256">
        <v>0</v>
      </c>
      <c r="BZ6" s="253">
        <v>0</v>
      </c>
      <c r="CA6" s="276" t="str">
        <f t="shared" si="25"/>
        <v>-</v>
      </c>
      <c r="CB6" s="256">
        <v>0</v>
      </c>
      <c r="CC6" s="253">
        <v>0</v>
      </c>
      <c r="CD6" s="276" t="str">
        <f t="shared" si="26"/>
        <v>-</v>
      </c>
      <c r="CE6" s="256">
        <v>0</v>
      </c>
      <c r="CF6" s="253">
        <v>0</v>
      </c>
      <c r="CG6" s="276" t="str">
        <f t="shared" si="27"/>
        <v>-</v>
      </c>
      <c r="CH6" s="256">
        <v>0</v>
      </c>
      <c r="CI6" s="253">
        <v>0</v>
      </c>
      <c r="CJ6" s="276" t="str">
        <f t="shared" si="28"/>
        <v>-</v>
      </c>
      <c r="CK6" s="256">
        <v>0</v>
      </c>
      <c r="CL6" s="253">
        <v>0</v>
      </c>
      <c r="CM6" s="276" t="str">
        <f t="shared" ref="CM6:CM35" si="35">IF(CL6=0,"-",CK6/CL6)</f>
        <v>-</v>
      </c>
      <c r="CN6" s="117">
        <f t="shared" ref="CN6:CN35" si="36">SUM(B6,E6,H6,K6,Q6,T6,W6,Z6,AC6,AF6,AI6,AL6,AO6,AR6,AX6,BA6,BG6,BJ6,BM6,BP6,BS6,BV6,BY6,CB6,CE6,CH6,CK6)</f>
        <v>127</v>
      </c>
      <c r="CO6" s="120">
        <f t="shared" ref="CO6:CO35" si="37">C6+F6+I6+L6+R6+U6+X6+AA6+AD6+AG6+AJ6+AS6+AV6+AY6+BB6+BE6+BH6+BK6+BN6+BQ6+BT6+CC6+CF6+CI6+CL6</f>
        <v>18</v>
      </c>
      <c r="CP6" s="147">
        <f t="shared" si="30"/>
        <v>7.0555555555555554</v>
      </c>
    </row>
    <row r="7" spans="1:94" ht="15" thickBot="1" x14ac:dyDescent="0.35">
      <c r="A7" s="294">
        <v>45872</v>
      </c>
      <c r="B7" s="20">
        <v>8</v>
      </c>
      <c r="C7" s="21">
        <v>1</v>
      </c>
      <c r="D7" s="139">
        <f t="shared" si="0"/>
        <v>8</v>
      </c>
      <c r="E7" s="20">
        <v>0</v>
      </c>
      <c r="F7" s="21">
        <v>0</v>
      </c>
      <c r="G7" s="139" t="str">
        <f t="shared" si="31"/>
        <v>-</v>
      </c>
      <c r="H7" s="20">
        <v>0</v>
      </c>
      <c r="I7" s="21">
        <v>0</v>
      </c>
      <c r="J7" s="139" t="str">
        <f t="shared" si="2"/>
        <v>-</v>
      </c>
      <c r="K7" s="20">
        <v>34</v>
      </c>
      <c r="L7" s="21">
        <v>5</v>
      </c>
      <c r="M7" s="139">
        <f t="shared" si="3"/>
        <v>6.8</v>
      </c>
      <c r="N7" s="20">
        <v>0</v>
      </c>
      <c r="O7" s="21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ref="S7" si="38">IF(R7=0,"-",Q7/R7)</f>
        <v>-</v>
      </c>
      <c r="T7" s="20">
        <v>0</v>
      </c>
      <c r="U7" s="21">
        <v>0</v>
      </c>
      <c r="V7" s="139" t="str">
        <f t="shared" si="6"/>
        <v>-</v>
      </c>
      <c r="W7" s="20">
        <v>0</v>
      </c>
      <c r="X7" s="21">
        <v>0</v>
      </c>
      <c r="Y7" s="139" t="str">
        <f t="shared" si="7"/>
        <v>-</v>
      </c>
      <c r="Z7" s="20">
        <v>0</v>
      </c>
      <c r="AA7" s="21">
        <v>0</v>
      </c>
      <c r="AB7" s="139" t="str">
        <f t="shared" si="8"/>
        <v>-</v>
      </c>
      <c r="AC7" s="20">
        <v>0</v>
      </c>
      <c r="AD7" s="21">
        <v>0</v>
      </c>
      <c r="AE7" s="139" t="str">
        <f t="shared" si="9"/>
        <v>-</v>
      </c>
      <c r="AF7" s="20">
        <v>0</v>
      </c>
      <c r="AG7" s="21">
        <v>0</v>
      </c>
      <c r="AH7" s="139" t="str">
        <f t="shared" si="10"/>
        <v>-</v>
      </c>
      <c r="AI7" s="20">
        <v>0</v>
      </c>
      <c r="AJ7" s="21">
        <v>0</v>
      </c>
      <c r="AK7" s="139" t="str">
        <f t="shared" si="11"/>
        <v>-</v>
      </c>
      <c r="AL7" s="20">
        <v>0</v>
      </c>
      <c r="AM7" s="21">
        <v>0</v>
      </c>
      <c r="AN7" s="139" t="str">
        <f t="shared" si="33"/>
        <v>-</v>
      </c>
      <c r="AO7" s="20">
        <v>0</v>
      </c>
      <c r="AP7" s="21">
        <v>0</v>
      </c>
      <c r="AQ7" s="139" t="str">
        <f t="shared" si="34"/>
        <v>-</v>
      </c>
      <c r="AR7" s="20">
        <v>0</v>
      </c>
      <c r="AS7" s="21">
        <v>0</v>
      </c>
      <c r="AT7" s="139" t="str">
        <f t="shared" ref="AT7:AT8" si="39">IF(AS7=0,"-",AR7/AS7)</f>
        <v>-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139" t="str">
        <f t="shared" si="19"/>
        <v>-</v>
      </c>
      <c r="BJ7" s="252">
        <v>49</v>
      </c>
      <c r="BK7" s="253">
        <v>7</v>
      </c>
      <c r="BL7" s="276">
        <f t="shared" si="20"/>
        <v>7</v>
      </c>
      <c r="BM7" s="252">
        <v>0</v>
      </c>
      <c r="BN7" s="253">
        <v>0</v>
      </c>
      <c r="BO7" s="276" t="str">
        <f t="shared" si="21"/>
        <v>-</v>
      </c>
      <c r="BP7" s="302">
        <v>0</v>
      </c>
      <c r="BQ7" s="303">
        <v>0</v>
      </c>
      <c r="BR7" s="276" t="str">
        <f t="shared" si="22"/>
        <v>-</v>
      </c>
      <c r="BS7" s="256">
        <v>6</v>
      </c>
      <c r="BT7" s="253">
        <v>1</v>
      </c>
      <c r="BU7" s="276">
        <f t="shared" si="23"/>
        <v>6</v>
      </c>
      <c r="BV7" s="125">
        <v>0</v>
      </c>
      <c r="BW7" s="126">
        <v>0</v>
      </c>
      <c r="BX7" s="276" t="str">
        <f t="shared" ref="BX7:BX35" si="40">IF(BW7=0,"-",BV7/BW7)</f>
        <v>-</v>
      </c>
      <c r="BY7" s="125">
        <v>0</v>
      </c>
      <c r="BZ7" s="126">
        <v>0</v>
      </c>
      <c r="CA7" s="276" t="str">
        <f t="shared" ref="CA7:CA35" si="41">IF(BZ7=0,"-",BY7/BZ7)</f>
        <v>-</v>
      </c>
      <c r="CB7" s="125">
        <v>2</v>
      </c>
      <c r="CC7" s="126">
        <v>1</v>
      </c>
      <c r="CD7" s="276">
        <f t="shared" ref="CD7:CD34" si="42">IF(CC7=0,"-",CB7/CC7)</f>
        <v>2</v>
      </c>
      <c r="CE7" s="256">
        <v>0</v>
      </c>
      <c r="CF7" s="253">
        <v>0</v>
      </c>
      <c r="CG7" s="276" t="str">
        <f t="shared" ref="CG7:CG8" si="43">IF(CF7=0,"-",CE7/CF7)</f>
        <v>-</v>
      </c>
      <c r="CH7" s="256">
        <v>0</v>
      </c>
      <c r="CI7" s="253">
        <v>0</v>
      </c>
      <c r="CJ7" s="276" t="str">
        <f t="shared" ref="CJ7:CJ8" si="44">IF(CI7=0,"-",CH7/CI7)</f>
        <v>-</v>
      </c>
      <c r="CK7" s="256">
        <v>0</v>
      </c>
      <c r="CL7" s="253">
        <v>0</v>
      </c>
      <c r="CM7" s="276" t="str">
        <f t="shared" ref="CM7:CM8" si="45">IF(CL7=0,"-",CK7/CL7)</f>
        <v>-</v>
      </c>
      <c r="CN7" s="117">
        <f t="shared" si="36"/>
        <v>99</v>
      </c>
      <c r="CO7" s="120">
        <f t="shared" si="37"/>
        <v>15</v>
      </c>
      <c r="CP7" s="147">
        <f t="shared" si="30"/>
        <v>6.6</v>
      </c>
    </row>
    <row r="8" spans="1:94" ht="15" thickBot="1" x14ac:dyDescent="0.35">
      <c r="A8" s="294">
        <v>45873</v>
      </c>
      <c r="B8" s="20">
        <v>34</v>
      </c>
      <c r="C8" s="21">
        <v>4</v>
      </c>
      <c r="D8" s="139">
        <f t="shared" si="0"/>
        <v>8.5</v>
      </c>
      <c r="E8" s="20">
        <v>0</v>
      </c>
      <c r="F8" s="21">
        <v>0</v>
      </c>
      <c r="G8" s="139" t="str">
        <f t="shared" si="31"/>
        <v>-</v>
      </c>
      <c r="H8" s="20">
        <v>0</v>
      </c>
      <c r="I8" s="21">
        <v>0</v>
      </c>
      <c r="J8" s="139" t="str">
        <f t="shared" si="2"/>
        <v>-</v>
      </c>
      <c r="K8" s="20">
        <v>52</v>
      </c>
      <c r="L8" s="21">
        <v>6</v>
      </c>
      <c r="M8" s="139">
        <f t="shared" si="3"/>
        <v>8.6666666666666661</v>
      </c>
      <c r="N8" s="20">
        <v>0</v>
      </c>
      <c r="O8" s="21">
        <v>0</v>
      </c>
      <c r="P8" s="139" t="str">
        <f t="shared" si="4"/>
        <v>-</v>
      </c>
      <c r="Q8" s="20">
        <v>74</v>
      </c>
      <c r="R8" s="21">
        <v>15</v>
      </c>
      <c r="S8" s="139">
        <f t="shared" si="5"/>
        <v>4.9333333333333336</v>
      </c>
      <c r="T8" s="20">
        <v>0</v>
      </c>
      <c r="U8" s="21">
        <v>0</v>
      </c>
      <c r="V8" s="139" t="str">
        <f t="shared" si="6"/>
        <v>-</v>
      </c>
      <c r="W8" s="20">
        <v>0</v>
      </c>
      <c r="X8" s="21">
        <v>0</v>
      </c>
      <c r="Y8" s="139" t="str">
        <f t="shared" si="7"/>
        <v>-</v>
      </c>
      <c r="Z8" s="20">
        <v>151</v>
      </c>
      <c r="AA8" s="21">
        <v>43</v>
      </c>
      <c r="AB8" s="139">
        <f t="shared" si="8"/>
        <v>3.5116279069767442</v>
      </c>
      <c r="AC8" s="20">
        <v>50</v>
      </c>
      <c r="AD8" s="21">
        <v>11</v>
      </c>
      <c r="AE8" s="139">
        <f t="shared" si="9"/>
        <v>4.5454545454545459</v>
      </c>
      <c r="AF8" s="20">
        <v>17</v>
      </c>
      <c r="AG8" s="21">
        <v>3</v>
      </c>
      <c r="AH8" s="139">
        <f t="shared" si="10"/>
        <v>5.666666666666667</v>
      </c>
      <c r="AI8" s="20">
        <v>0</v>
      </c>
      <c r="AJ8" s="21">
        <v>0</v>
      </c>
      <c r="AK8" s="139" t="str">
        <f t="shared" si="11"/>
        <v>-</v>
      </c>
      <c r="AL8" s="20">
        <v>0</v>
      </c>
      <c r="AM8" s="21">
        <v>0</v>
      </c>
      <c r="AN8" s="139" t="str">
        <f t="shared" si="12"/>
        <v>-</v>
      </c>
      <c r="AO8" s="20">
        <v>0</v>
      </c>
      <c r="AP8" s="21">
        <v>0</v>
      </c>
      <c r="AQ8" s="139" t="str">
        <f t="shared" si="13"/>
        <v>-</v>
      </c>
      <c r="AR8" s="20">
        <v>2</v>
      </c>
      <c r="AS8" s="21">
        <v>1</v>
      </c>
      <c r="AT8" s="139">
        <f t="shared" si="39"/>
        <v>2</v>
      </c>
      <c r="AU8" s="20">
        <v>0</v>
      </c>
      <c r="AV8" s="21">
        <v>0</v>
      </c>
      <c r="AW8" s="139" t="str">
        <f t="shared" si="15"/>
        <v>-</v>
      </c>
      <c r="AX8" s="20">
        <v>1</v>
      </c>
      <c r="AY8" s="21">
        <v>1</v>
      </c>
      <c r="AZ8" s="139">
        <f t="shared" si="16"/>
        <v>1</v>
      </c>
      <c r="BA8" s="20">
        <v>0</v>
      </c>
      <c r="BB8" s="21">
        <v>0</v>
      </c>
      <c r="BC8" s="139" t="str">
        <f t="shared" si="17"/>
        <v>-</v>
      </c>
      <c r="BD8" s="20">
        <v>0</v>
      </c>
      <c r="BE8" s="21">
        <v>0</v>
      </c>
      <c r="BF8" s="139" t="str">
        <f t="shared" si="18"/>
        <v>-</v>
      </c>
      <c r="BG8" s="20">
        <v>0</v>
      </c>
      <c r="BH8" s="21">
        <v>0</v>
      </c>
      <c r="BI8" s="139" t="str">
        <f t="shared" si="19"/>
        <v>-</v>
      </c>
      <c r="BJ8" s="252">
        <v>25</v>
      </c>
      <c r="BK8" s="253">
        <v>4</v>
      </c>
      <c r="BL8" s="276">
        <f t="shared" si="20"/>
        <v>6.25</v>
      </c>
      <c r="BM8" s="252">
        <v>0</v>
      </c>
      <c r="BN8" s="253">
        <v>0</v>
      </c>
      <c r="BO8" s="276" t="str">
        <f t="shared" si="21"/>
        <v>-</v>
      </c>
      <c r="BP8" s="302">
        <v>0</v>
      </c>
      <c r="BQ8" s="303">
        <v>0</v>
      </c>
      <c r="BR8" s="276" t="str">
        <f t="shared" si="22"/>
        <v>-</v>
      </c>
      <c r="BS8" s="256">
        <v>8</v>
      </c>
      <c r="BT8" s="253">
        <v>1</v>
      </c>
      <c r="BU8" s="276">
        <f t="shared" si="23"/>
        <v>8</v>
      </c>
      <c r="BV8" s="252">
        <v>3</v>
      </c>
      <c r="BW8" s="253">
        <v>1</v>
      </c>
      <c r="BX8" s="276">
        <f t="shared" si="40"/>
        <v>3</v>
      </c>
      <c r="BY8" s="252">
        <v>0</v>
      </c>
      <c r="BZ8" s="253">
        <v>0</v>
      </c>
      <c r="CA8" s="276" t="str">
        <f t="shared" si="41"/>
        <v>-</v>
      </c>
      <c r="CB8" s="252">
        <v>0</v>
      </c>
      <c r="CC8" s="253">
        <v>0</v>
      </c>
      <c r="CD8" s="276" t="str">
        <f t="shared" si="42"/>
        <v>-</v>
      </c>
      <c r="CE8" s="256">
        <v>0</v>
      </c>
      <c r="CF8" s="253">
        <v>0</v>
      </c>
      <c r="CG8" s="276" t="str">
        <f t="shared" si="43"/>
        <v>-</v>
      </c>
      <c r="CH8" s="256">
        <v>0</v>
      </c>
      <c r="CI8" s="253">
        <v>0</v>
      </c>
      <c r="CJ8" s="276" t="str">
        <f t="shared" si="44"/>
        <v>-</v>
      </c>
      <c r="CK8" s="256">
        <v>0</v>
      </c>
      <c r="CL8" s="253">
        <v>0</v>
      </c>
      <c r="CM8" s="276" t="str">
        <f t="shared" si="45"/>
        <v>-</v>
      </c>
      <c r="CN8" s="117">
        <f t="shared" si="36"/>
        <v>417</v>
      </c>
      <c r="CO8" s="120">
        <f t="shared" si="37"/>
        <v>89</v>
      </c>
      <c r="CP8" s="147">
        <f t="shared" si="30"/>
        <v>4.6853932584269664</v>
      </c>
    </row>
    <row r="9" spans="1:94" ht="15" thickBot="1" x14ac:dyDescent="0.35">
      <c r="A9" s="294">
        <v>45874</v>
      </c>
      <c r="B9" s="20">
        <v>45</v>
      </c>
      <c r="C9" s="21">
        <v>5</v>
      </c>
      <c r="D9" s="139">
        <f t="shared" si="0"/>
        <v>9</v>
      </c>
      <c r="E9" s="20">
        <v>0</v>
      </c>
      <c r="F9" s="21">
        <v>0</v>
      </c>
      <c r="G9" s="139" t="str">
        <f t="shared" si="31"/>
        <v>-</v>
      </c>
      <c r="H9" s="20">
        <v>0</v>
      </c>
      <c r="I9" s="21">
        <v>0</v>
      </c>
      <c r="J9" s="139" t="str">
        <f t="shared" si="2"/>
        <v>-</v>
      </c>
      <c r="K9" s="20">
        <v>0</v>
      </c>
      <c r="L9" s="21">
        <v>0</v>
      </c>
      <c r="M9" s="139" t="str">
        <f t="shared" si="3"/>
        <v>-</v>
      </c>
      <c r="N9" s="20">
        <v>0</v>
      </c>
      <c r="O9" s="21">
        <v>0</v>
      </c>
      <c r="P9" s="139" t="str">
        <f t="shared" si="4"/>
        <v>-</v>
      </c>
      <c r="Q9" s="20">
        <v>50</v>
      </c>
      <c r="R9" s="21">
        <v>9</v>
      </c>
      <c r="S9" s="139">
        <f t="shared" si="5"/>
        <v>5.5555555555555554</v>
      </c>
      <c r="T9" s="20">
        <v>0</v>
      </c>
      <c r="U9" s="21">
        <v>0</v>
      </c>
      <c r="V9" s="139" t="str">
        <f t="shared" si="6"/>
        <v>-</v>
      </c>
      <c r="W9" s="20">
        <v>0</v>
      </c>
      <c r="X9" s="21">
        <v>0</v>
      </c>
      <c r="Y9" s="139" t="str">
        <f t="shared" si="7"/>
        <v>-</v>
      </c>
      <c r="Z9" s="20">
        <v>30</v>
      </c>
      <c r="AA9" s="21">
        <v>6</v>
      </c>
      <c r="AB9" s="139">
        <f t="shared" si="8"/>
        <v>5</v>
      </c>
      <c r="AC9" s="20">
        <v>15</v>
      </c>
      <c r="AD9" s="21">
        <v>3</v>
      </c>
      <c r="AE9" s="139">
        <f t="shared" si="9"/>
        <v>5</v>
      </c>
      <c r="AF9" s="20">
        <v>0</v>
      </c>
      <c r="AG9" s="21">
        <v>0</v>
      </c>
      <c r="AH9" s="139" t="str">
        <f t="shared" si="10"/>
        <v>-</v>
      </c>
      <c r="AI9" s="20">
        <v>12</v>
      </c>
      <c r="AJ9" s="21">
        <v>2</v>
      </c>
      <c r="AK9" s="139">
        <f t="shared" si="11"/>
        <v>6</v>
      </c>
      <c r="AL9" s="20">
        <v>0</v>
      </c>
      <c r="AM9" s="21">
        <v>0</v>
      </c>
      <c r="AN9" s="139" t="str">
        <f t="shared" si="12"/>
        <v>-</v>
      </c>
      <c r="AO9" s="20">
        <v>23</v>
      </c>
      <c r="AP9" s="21">
        <v>4</v>
      </c>
      <c r="AQ9" s="139">
        <f t="shared" si="13"/>
        <v>5.75</v>
      </c>
      <c r="AR9" s="20">
        <v>0</v>
      </c>
      <c r="AS9" s="21">
        <v>0</v>
      </c>
      <c r="AT9" s="139" t="str">
        <f t="shared" si="14"/>
        <v>-</v>
      </c>
      <c r="AU9" s="20">
        <v>0</v>
      </c>
      <c r="AV9" s="21">
        <v>0</v>
      </c>
      <c r="AW9" s="139" t="str">
        <f t="shared" si="15"/>
        <v>-</v>
      </c>
      <c r="AX9" s="20">
        <v>0</v>
      </c>
      <c r="AY9" s="21">
        <v>0</v>
      </c>
      <c r="AZ9" s="139" t="str">
        <f t="shared" si="16"/>
        <v>-</v>
      </c>
      <c r="BA9" s="20">
        <v>0</v>
      </c>
      <c r="BB9" s="21">
        <v>0</v>
      </c>
      <c r="BC9" s="139" t="str">
        <f t="shared" si="17"/>
        <v>-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276" t="str">
        <f t="shared" si="19"/>
        <v>-</v>
      </c>
      <c r="BJ9" s="252">
        <v>26</v>
      </c>
      <c r="BK9" s="253">
        <v>4</v>
      </c>
      <c r="BL9" s="276">
        <f t="shared" si="20"/>
        <v>6.5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257">
        <v>7</v>
      </c>
      <c r="BT9" s="253">
        <v>1</v>
      </c>
      <c r="BU9" s="276">
        <f t="shared" si="23"/>
        <v>7</v>
      </c>
      <c r="BV9" s="302">
        <v>7</v>
      </c>
      <c r="BW9" s="303">
        <v>1</v>
      </c>
      <c r="BX9" s="276">
        <f t="shared" si="40"/>
        <v>7</v>
      </c>
      <c r="BY9" s="302">
        <v>0</v>
      </c>
      <c r="BZ9" s="303">
        <v>0</v>
      </c>
      <c r="CA9" s="276" t="str">
        <f t="shared" si="41"/>
        <v>-</v>
      </c>
      <c r="CB9" s="302">
        <v>0</v>
      </c>
      <c r="CC9" s="303">
        <v>0</v>
      </c>
      <c r="CD9" s="276" t="str">
        <f t="shared" si="42"/>
        <v>-</v>
      </c>
      <c r="CE9" s="302">
        <v>15</v>
      </c>
      <c r="CF9" s="303">
        <v>3</v>
      </c>
      <c r="CG9" s="276">
        <f t="shared" si="27"/>
        <v>5</v>
      </c>
      <c r="CH9" s="302">
        <v>0</v>
      </c>
      <c r="CI9" s="303">
        <v>0</v>
      </c>
      <c r="CJ9" s="276" t="str">
        <f t="shared" si="28"/>
        <v>-</v>
      </c>
      <c r="CK9" s="302">
        <v>0</v>
      </c>
      <c r="CL9" s="303">
        <v>0</v>
      </c>
      <c r="CM9" s="276" t="str">
        <f t="shared" si="35"/>
        <v>-</v>
      </c>
      <c r="CN9" s="117">
        <f t="shared" si="36"/>
        <v>230</v>
      </c>
      <c r="CO9" s="120">
        <f t="shared" si="37"/>
        <v>33</v>
      </c>
      <c r="CP9" s="147">
        <f t="shared" si="30"/>
        <v>6.9696969696969697</v>
      </c>
    </row>
    <row r="10" spans="1:94" ht="15" thickBot="1" x14ac:dyDescent="0.35">
      <c r="A10" s="294">
        <v>45875</v>
      </c>
      <c r="B10" s="20">
        <v>95</v>
      </c>
      <c r="C10" s="21">
        <v>12</v>
      </c>
      <c r="D10" s="139">
        <f t="shared" si="0"/>
        <v>7.916666666666667</v>
      </c>
      <c r="E10" s="20">
        <v>0</v>
      </c>
      <c r="F10" s="21">
        <v>0</v>
      </c>
      <c r="G10" s="139" t="str">
        <f t="shared" ref="G10:G12" si="46">IF(F10=0,"-",E10/F10)</f>
        <v>-</v>
      </c>
      <c r="H10" s="20">
        <v>12</v>
      </c>
      <c r="I10" s="21">
        <v>2</v>
      </c>
      <c r="J10" s="139">
        <f t="shared" si="2"/>
        <v>6</v>
      </c>
      <c r="K10" s="20">
        <v>15</v>
      </c>
      <c r="L10" s="21">
        <v>2</v>
      </c>
      <c r="M10" s="139">
        <f t="shared" si="3"/>
        <v>7.5</v>
      </c>
      <c r="N10" s="20">
        <v>0</v>
      </c>
      <c r="O10" s="21">
        <v>0</v>
      </c>
      <c r="P10" s="139" t="str">
        <f t="shared" si="4"/>
        <v>-</v>
      </c>
      <c r="Q10" s="20">
        <v>63</v>
      </c>
      <c r="R10" s="21">
        <v>18</v>
      </c>
      <c r="S10" s="139">
        <f t="shared" si="5"/>
        <v>3.5</v>
      </c>
      <c r="T10" s="20">
        <v>0</v>
      </c>
      <c r="U10" s="21">
        <v>0</v>
      </c>
      <c r="V10" s="139" t="str">
        <f t="shared" si="6"/>
        <v>-</v>
      </c>
      <c r="W10" s="20">
        <v>0</v>
      </c>
      <c r="X10" s="21">
        <v>0</v>
      </c>
      <c r="Y10" s="139" t="str">
        <f t="shared" si="7"/>
        <v>-</v>
      </c>
      <c r="Z10" s="20">
        <v>30</v>
      </c>
      <c r="AA10" s="21">
        <v>6</v>
      </c>
      <c r="AB10" s="139">
        <f t="shared" si="8"/>
        <v>5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10"/>
        <v>-</v>
      </c>
      <c r="AI10" s="20">
        <v>0</v>
      </c>
      <c r="AJ10" s="21">
        <v>0</v>
      </c>
      <c r="AK10" s="139" t="str">
        <f t="shared" si="11"/>
        <v>-</v>
      </c>
      <c r="AL10" s="20">
        <v>0</v>
      </c>
      <c r="AM10" s="21">
        <v>0</v>
      </c>
      <c r="AN10" s="139" t="str">
        <f t="shared" si="12"/>
        <v>-</v>
      </c>
      <c r="AO10" s="20">
        <v>5</v>
      </c>
      <c r="AP10" s="21">
        <v>1</v>
      </c>
      <c r="AQ10" s="139">
        <f t="shared" si="13"/>
        <v>5</v>
      </c>
      <c r="AR10" s="20">
        <v>9</v>
      </c>
      <c r="AS10" s="21">
        <v>1</v>
      </c>
      <c r="AT10" s="139">
        <f t="shared" si="14"/>
        <v>9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0</v>
      </c>
      <c r="BB10" s="21">
        <v>0</v>
      </c>
      <c r="BC10" s="139" t="str">
        <f t="shared" ref="BC10" si="47">IF(BB10=0,"-",BA10/BB10)</f>
        <v>-</v>
      </c>
      <c r="BD10" s="20">
        <v>0</v>
      </c>
      <c r="BE10" s="21">
        <v>0</v>
      </c>
      <c r="BF10" s="139" t="str">
        <f t="shared" ref="BF10" si="48">IF(BE10=0,"-",BD10/BE10)</f>
        <v>-</v>
      </c>
      <c r="BG10" s="20">
        <v>0</v>
      </c>
      <c r="BH10" s="21">
        <v>0</v>
      </c>
      <c r="BI10" s="139" t="str">
        <f t="shared" si="19"/>
        <v>-</v>
      </c>
      <c r="BJ10" s="252">
        <v>16</v>
      </c>
      <c r="BK10" s="253">
        <v>3</v>
      </c>
      <c r="BL10" s="139">
        <f t="shared" si="20"/>
        <v>5.333333333333333</v>
      </c>
      <c r="BM10" s="252">
        <v>0</v>
      </c>
      <c r="BN10" s="253">
        <v>0</v>
      </c>
      <c r="BO10" s="139" t="str">
        <f t="shared" si="21"/>
        <v>-</v>
      </c>
      <c r="BP10" s="302">
        <v>0</v>
      </c>
      <c r="BQ10" s="303">
        <v>0</v>
      </c>
      <c r="BR10" s="139" t="str">
        <f t="shared" si="22"/>
        <v>-</v>
      </c>
      <c r="BS10" s="257">
        <v>0</v>
      </c>
      <c r="BT10" s="253">
        <v>0</v>
      </c>
      <c r="BU10" s="139" t="str">
        <f t="shared" si="23"/>
        <v>-</v>
      </c>
      <c r="BV10" s="20">
        <v>5</v>
      </c>
      <c r="BW10" s="21">
        <v>2</v>
      </c>
      <c r="BX10" s="139">
        <f t="shared" si="40"/>
        <v>2.5</v>
      </c>
      <c r="BY10" s="20">
        <v>0</v>
      </c>
      <c r="BZ10" s="21">
        <v>0</v>
      </c>
      <c r="CA10" s="139" t="str">
        <f t="shared" si="41"/>
        <v>-</v>
      </c>
      <c r="CB10" s="20">
        <v>3</v>
      </c>
      <c r="CC10" s="21">
        <v>1</v>
      </c>
      <c r="CD10" s="139">
        <f t="shared" si="42"/>
        <v>3</v>
      </c>
      <c r="CE10" s="20">
        <v>0</v>
      </c>
      <c r="CF10" s="21">
        <v>0</v>
      </c>
      <c r="CG10" s="139" t="str">
        <f t="shared" si="27"/>
        <v>-</v>
      </c>
      <c r="CH10" s="20">
        <v>0</v>
      </c>
      <c r="CI10" s="21">
        <v>0</v>
      </c>
      <c r="CJ10" s="139" t="str">
        <f t="shared" si="28"/>
        <v>-</v>
      </c>
      <c r="CK10" s="20">
        <v>0</v>
      </c>
      <c r="CL10" s="21">
        <v>0</v>
      </c>
      <c r="CM10" s="139" t="str">
        <f t="shared" si="35"/>
        <v>-</v>
      </c>
      <c r="CN10" s="117">
        <f t="shared" si="36"/>
        <v>253</v>
      </c>
      <c r="CO10" s="120">
        <f t="shared" si="37"/>
        <v>45</v>
      </c>
      <c r="CP10" s="147">
        <f t="shared" si="30"/>
        <v>5.6222222222222218</v>
      </c>
    </row>
    <row r="11" spans="1:94" ht="15" thickBot="1" x14ac:dyDescent="0.35">
      <c r="A11" s="294">
        <v>45876</v>
      </c>
      <c r="B11" s="20">
        <v>73</v>
      </c>
      <c r="C11" s="21">
        <v>10</v>
      </c>
      <c r="D11" s="139">
        <f t="shared" si="0"/>
        <v>7.3</v>
      </c>
      <c r="E11" s="20">
        <v>0</v>
      </c>
      <c r="F11" s="21">
        <v>0</v>
      </c>
      <c r="G11" s="139" t="str">
        <f t="shared" si="46"/>
        <v>-</v>
      </c>
      <c r="H11" s="20">
        <v>0</v>
      </c>
      <c r="I11" s="21">
        <v>0</v>
      </c>
      <c r="J11" s="139" t="str">
        <f t="shared" si="2"/>
        <v>-</v>
      </c>
      <c r="K11" s="20">
        <v>8</v>
      </c>
      <c r="L11" s="21">
        <v>1</v>
      </c>
      <c r="M11" s="139">
        <f t="shared" si="3"/>
        <v>8</v>
      </c>
      <c r="N11" s="125">
        <v>0</v>
      </c>
      <c r="O11" s="126">
        <v>0</v>
      </c>
      <c r="P11" s="139" t="str">
        <f t="shared" si="4"/>
        <v>-</v>
      </c>
      <c r="Q11" s="20">
        <v>70</v>
      </c>
      <c r="R11" s="21">
        <v>14</v>
      </c>
      <c r="S11" s="139">
        <f t="shared" si="5"/>
        <v>5</v>
      </c>
      <c r="T11" s="20">
        <v>0</v>
      </c>
      <c r="U11" s="21">
        <v>0</v>
      </c>
      <c r="V11" s="139" t="str">
        <f t="shared" si="6"/>
        <v>-</v>
      </c>
      <c r="W11" s="20">
        <v>0</v>
      </c>
      <c r="X11" s="21">
        <v>0</v>
      </c>
      <c r="Y11" s="139" t="str">
        <f t="shared" si="7"/>
        <v>-</v>
      </c>
      <c r="Z11" s="20">
        <v>67</v>
      </c>
      <c r="AA11" s="21">
        <v>13</v>
      </c>
      <c r="AB11" s="139">
        <f t="shared" si="8"/>
        <v>5.1538461538461542</v>
      </c>
      <c r="AC11" s="20">
        <v>63</v>
      </c>
      <c r="AD11" s="21">
        <v>14</v>
      </c>
      <c r="AE11" s="139">
        <f t="shared" si="9"/>
        <v>4.5</v>
      </c>
      <c r="AF11" s="20">
        <v>0</v>
      </c>
      <c r="AG11" s="21">
        <v>0</v>
      </c>
      <c r="AH11" s="139" t="str">
        <f t="shared" si="10"/>
        <v>-</v>
      </c>
      <c r="AI11" s="20">
        <v>5</v>
      </c>
      <c r="AJ11" s="21">
        <v>1</v>
      </c>
      <c r="AK11" s="139">
        <f t="shared" si="11"/>
        <v>5</v>
      </c>
      <c r="AL11" s="20">
        <v>0</v>
      </c>
      <c r="AM11" s="21">
        <v>0</v>
      </c>
      <c r="AN11" s="139" t="str">
        <f t="shared" si="12"/>
        <v>-</v>
      </c>
      <c r="AO11" s="20">
        <v>5</v>
      </c>
      <c r="AP11" s="21">
        <v>1</v>
      </c>
      <c r="AQ11" s="139">
        <f t="shared" si="13"/>
        <v>5</v>
      </c>
      <c r="AR11" s="20">
        <v>0</v>
      </c>
      <c r="AS11" s="21">
        <v>0</v>
      </c>
      <c r="AT11" s="139" t="str">
        <f t="shared" si="14"/>
        <v>-</v>
      </c>
      <c r="AU11" s="20">
        <v>0</v>
      </c>
      <c r="AV11" s="21">
        <v>0</v>
      </c>
      <c r="AW11" s="139" t="str">
        <f t="shared" si="15"/>
        <v>-</v>
      </c>
      <c r="AX11" s="20">
        <v>1</v>
      </c>
      <c r="AY11" s="21">
        <v>1</v>
      </c>
      <c r="AZ11" s="139">
        <f t="shared" si="16"/>
        <v>1</v>
      </c>
      <c r="BA11" s="20">
        <v>0</v>
      </c>
      <c r="BB11" s="21">
        <v>0</v>
      </c>
      <c r="BC11" s="139" t="str">
        <f t="shared" ref="BC11:BC14" si="49">IF(BB11=0,"-",BA11/BB11)</f>
        <v>-</v>
      </c>
      <c r="BD11" s="20">
        <v>0</v>
      </c>
      <c r="BE11" s="21">
        <v>0</v>
      </c>
      <c r="BF11" s="139" t="str">
        <f t="shared" ref="BF11:BF14" si="50">IF(BE11=0,"-",BD11/BE11)</f>
        <v>-</v>
      </c>
      <c r="BG11" s="20">
        <v>0</v>
      </c>
      <c r="BH11" s="21">
        <v>0</v>
      </c>
      <c r="BI11" s="139" t="str">
        <f t="shared" ref="BI11:BI14" si="51">IF(BH11=0,"-",BG11/BH11)</f>
        <v>-</v>
      </c>
      <c r="BJ11" s="252">
        <v>10</v>
      </c>
      <c r="BK11" s="253">
        <v>2</v>
      </c>
      <c r="BL11" s="139">
        <f t="shared" si="20"/>
        <v>5</v>
      </c>
      <c r="BM11" s="252">
        <v>0</v>
      </c>
      <c r="BN11" s="253">
        <v>0</v>
      </c>
      <c r="BO11" s="139" t="str">
        <f t="shared" si="21"/>
        <v>-</v>
      </c>
      <c r="BP11" s="302">
        <v>0</v>
      </c>
      <c r="BQ11" s="303">
        <v>0</v>
      </c>
      <c r="BR11" s="139" t="str">
        <f t="shared" si="22"/>
        <v>-</v>
      </c>
      <c r="BS11" s="257">
        <v>6</v>
      </c>
      <c r="BT11" s="253">
        <v>1</v>
      </c>
      <c r="BU11" s="139">
        <f t="shared" si="23"/>
        <v>6</v>
      </c>
      <c r="BV11" s="20">
        <v>0</v>
      </c>
      <c r="BW11" s="21">
        <v>0</v>
      </c>
      <c r="BX11" s="139" t="str">
        <f t="shared" si="40"/>
        <v>-</v>
      </c>
      <c r="BY11" s="20">
        <v>0</v>
      </c>
      <c r="BZ11" s="21">
        <v>0</v>
      </c>
      <c r="CA11" s="139" t="str">
        <f t="shared" si="41"/>
        <v>-</v>
      </c>
      <c r="CB11" s="20">
        <v>0</v>
      </c>
      <c r="CC11" s="21">
        <v>0</v>
      </c>
      <c r="CD11" s="139" t="str">
        <f t="shared" si="42"/>
        <v>-</v>
      </c>
      <c r="CE11" s="20">
        <v>18</v>
      </c>
      <c r="CF11" s="21">
        <v>3</v>
      </c>
      <c r="CG11" s="139">
        <f t="shared" si="27"/>
        <v>6</v>
      </c>
      <c r="CH11" s="20">
        <v>0</v>
      </c>
      <c r="CI11" s="21">
        <v>0</v>
      </c>
      <c r="CJ11" s="139" t="str">
        <f t="shared" si="28"/>
        <v>-</v>
      </c>
      <c r="CK11" s="20">
        <v>0</v>
      </c>
      <c r="CL11" s="21">
        <v>0</v>
      </c>
      <c r="CM11" s="139" t="str">
        <f t="shared" si="35"/>
        <v>-</v>
      </c>
      <c r="CN11" s="117">
        <f t="shared" si="36"/>
        <v>326</v>
      </c>
      <c r="CO11" s="120">
        <f t="shared" si="37"/>
        <v>60</v>
      </c>
      <c r="CP11" s="147">
        <f t="shared" si="30"/>
        <v>5.4333333333333336</v>
      </c>
    </row>
    <row r="12" spans="1:94" ht="16.2" customHeight="1" thickBot="1" x14ac:dyDescent="0.35">
      <c r="A12" s="294">
        <v>45877</v>
      </c>
      <c r="B12" s="20">
        <v>68</v>
      </c>
      <c r="C12" s="21">
        <v>8</v>
      </c>
      <c r="D12" s="139">
        <f t="shared" si="0"/>
        <v>8.5</v>
      </c>
      <c r="E12" s="20">
        <v>0</v>
      </c>
      <c r="F12" s="21">
        <v>0</v>
      </c>
      <c r="G12" s="139" t="str">
        <f t="shared" si="46"/>
        <v>-</v>
      </c>
      <c r="H12" s="20">
        <v>0</v>
      </c>
      <c r="I12" s="21">
        <v>0</v>
      </c>
      <c r="J12" s="139" t="str">
        <f t="shared" si="2"/>
        <v>-</v>
      </c>
      <c r="K12" s="20">
        <v>25</v>
      </c>
      <c r="L12" s="21">
        <v>3</v>
      </c>
      <c r="M12" s="139">
        <f t="shared" si="3"/>
        <v>8.3333333333333339</v>
      </c>
      <c r="N12" s="125">
        <v>0</v>
      </c>
      <c r="O12" s="126">
        <v>0</v>
      </c>
      <c r="P12" s="139" t="str">
        <f t="shared" si="4"/>
        <v>-</v>
      </c>
      <c r="Q12" s="23">
        <v>43</v>
      </c>
      <c r="R12" s="21">
        <v>8</v>
      </c>
      <c r="S12" s="139">
        <f t="shared" si="5"/>
        <v>5.375</v>
      </c>
      <c r="T12" s="23">
        <v>0</v>
      </c>
      <c r="U12" s="21">
        <v>0</v>
      </c>
      <c r="V12" s="139" t="str">
        <f t="shared" si="6"/>
        <v>-</v>
      </c>
      <c r="W12" s="23">
        <v>0</v>
      </c>
      <c r="X12" s="21">
        <v>0</v>
      </c>
      <c r="Y12" s="139" t="str">
        <f t="shared" si="7"/>
        <v>-</v>
      </c>
      <c r="Z12" s="23">
        <v>25</v>
      </c>
      <c r="AA12" s="21">
        <v>5</v>
      </c>
      <c r="AB12" s="139">
        <f t="shared" si="8"/>
        <v>5</v>
      </c>
      <c r="AC12" s="23">
        <v>21</v>
      </c>
      <c r="AD12" s="21">
        <v>4</v>
      </c>
      <c r="AE12" s="139">
        <f t="shared" si="9"/>
        <v>5.25</v>
      </c>
      <c r="AF12" s="23">
        <v>0</v>
      </c>
      <c r="AG12" s="21">
        <v>0</v>
      </c>
      <c r="AH12" s="139" t="str">
        <f t="shared" si="10"/>
        <v>-</v>
      </c>
      <c r="AI12" s="23">
        <v>11</v>
      </c>
      <c r="AJ12" s="21">
        <v>2</v>
      </c>
      <c r="AK12" s="139">
        <f t="shared" si="11"/>
        <v>5.5</v>
      </c>
      <c r="AL12" s="23">
        <v>18</v>
      </c>
      <c r="AM12" s="21">
        <v>3</v>
      </c>
      <c r="AN12" s="139">
        <f t="shared" si="12"/>
        <v>6</v>
      </c>
      <c r="AO12" s="23">
        <v>10</v>
      </c>
      <c r="AP12" s="21">
        <v>2</v>
      </c>
      <c r="AQ12" s="139">
        <f t="shared" si="13"/>
        <v>5</v>
      </c>
      <c r="AR12" s="20">
        <v>0</v>
      </c>
      <c r="AS12" s="21">
        <v>0</v>
      </c>
      <c r="AT12" s="139" t="str">
        <f t="shared" si="14"/>
        <v>-</v>
      </c>
      <c r="AU12" s="20">
        <v>0</v>
      </c>
      <c r="AV12" s="21">
        <v>0</v>
      </c>
      <c r="AW12" s="139" t="str">
        <f t="shared" si="15"/>
        <v>-</v>
      </c>
      <c r="AX12" s="20">
        <v>0</v>
      </c>
      <c r="AY12" s="21">
        <v>0</v>
      </c>
      <c r="AZ12" s="139" t="str">
        <f t="shared" si="16"/>
        <v>-</v>
      </c>
      <c r="BA12" s="20">
        <v>0</v>
      </c>
      <c r="BB12" s="21">
        <v>0</v>
      </c>
      <c r="BC12" s="139" t="str">
        <f t="shared" si="49"/>
        <v>-</v>
      </c>
      <c r="BD12" s="20">
        <v>0</v>
      </c>
      <c r="BE12" s="21">
        <v>0</v>
      </c>
      <c r="BF12" s="139" t="str">
        <f t="shared" si="50"/>
        <v>-</v>
      </c>
      <c r="BG12" s="20">
        <v>0</v>
      </c>
      <c r="BH12" s="21">
        <v>0</v>
      </c>
      <c r="BI12" s="139" t="str">
        <f t="shared" si="51"/>
        <v>-</v>
      </c>
      <c r="BJ12" s="252">
        <v>5</v>
      </c>
      <c r="BK12" s="253">
        <v>1</v>
      </c>
      <c r="BL12" s="139">
        <f t="shared" si="20"/>
        <v>5</v>
      </c>
      <c r="BM12" s="252">
        <v>0</v>
      </c>
      <c r="BN12" s="253">
        <v>0</v>
      </c>
      <c r="BO12" s="139" t="str">
        <f t="shared" si="21"/>
        <v>-</v>
      </c>
      <c r="BP12" s="302">
        <v>0</v>
      </c>
      <c r="BQ12" s="303">
        <v>0</v>
      </c>
      <c r="BR12" s="139" t="str">
        <f t="shared" si="22"/>
        <v>-</v>
      </c>
      <c r="BS12" s="257">
        <v>0</v>
      </c>
      <c r="BT12" s="253">
        <v>0</v>
      </c>
      <c r="BU12" s="139" t="str">
        <f t="shared" si="23"/>
        <v>-</v>
      </c>
      <c r="BV12" s="257">
        <v>0</v>
      </c>
      <c r="BW12" s="253">
        <v>0</v>
      </c>
      <c r="BX12" s="276" t="str">
        <f t="shared" si="40"/>
        <v>-</v>
      </c>
      <c r="BY12" s="257">
        <v>0</v>
      </c>
      <c r="BZ12" s="253">
        <v>0</v>
      </c>
      <c r="CA12" s="276" t="str">
        <f t="shared" si="41"/>
        <v>-</v>
      </c>
      <c r="CB12" s="20">
        <v>3</v>
      </c>
      <c r="CC12" s="21">
        <v>1</v>
      </c>
      <c r="CD12" s="139">
        <f t="shared" si="42"/>
        <v>3</v>
      </c>
      <c r="CE12" s="20">
        <v>0</v>
      </c>
      <c r="CF12" s="21">
        <v>0</v>
      </c>
      <c r="CG12" s="139" t="str">
        <f t="shared" si="27"/>
        <v>-</v>
      </c>
      <c r="CH12" s="20">
        <v>0</v>
      </c>
      <c r="CI12" s="21">
        <v>0</v>
      </c>
      <c r="CJ12" s="139" t="str">
        <f t="shared" si="28"/>
        <v>-</v>
      </c>
      <c r="CK12" s="20">
        <v>0</v>
      </c>
      <c r="CL12" s="21">
        <v>0</v>
      </c>
      <c r="CM12" s="139" t="str">
        <f t="shared" si="35"/>
        <v>-</v>
      </c>
      <c r="CN12" s="117">
        <f t="shared" si="36"/>
        <v>229</v>
      </c>
      <c r="CO12" s="120">
        <f t="shared" si="37"/>
        <v>32</v>
      </c>
      <c r="CP12" s="147">
        <f t="shared" si="30"/>
        <v>7.15625</v>
      </c>
    </row>
    <row r="13" spans="1:94" ht="15" thickBot="1" x14ac:dyDescent="0.35">
      <c r="A13" s="294">
        <v>45878</v>
      </c>
      <c r="B13" s="20">
        <v>100</v>
      </c>
      <c r="C13" s="21">
        <v>11</v>
      </c>
      <c r="D13" s="139">
        <f t="shared" si="0"/>
        <v>9.0909090909090917</v>
      </c>
      <c r="E13" s="20">
        <v>0</v>
      </c>
      <c r="F13" s="21">
        <v>0</v>
      </c>
      <c r="G13" s="139" t="str">
        <f t="shared" ref="G13:G14" si="52">IF(F13=0,"-",E13/F13)</f>
        <v>-</v>
      </c>
      <c r="H13" s="20">
        <v>0</v>
      </c>
      <c r="I13" s="21">
        <v>0</v>
      </c>
      <c r="J13" s="139" t="str">
        <f t="shared" ref="J13:J14" si="53">IF(I13=0,"-",H13/I13)</f>
        <v>-</v>
      </c>
      <c r="K13" s="20">
        <v>18</v>
      </c>
      <c r="L13" s="21">
        <v>2</v>
      </c>
      <c r="M13" s="139">
        <f t="shared" si="3"/>
        <v>9</v>
      </c>
      <c r="N13" s="125">
        <v>0</v>
      </c>
      <c r="O13" s="126">
        <v>0</v>
      </c>
      <c r="P13" s="139" t="str">
        <f t="shared" si="4"/>
        <v>-</v>
      </c>
      <c r="Q13" s="125">
        <v>57</v>
      </c>
      <c r="R13" s="126">
        <v>10</v>
      </c>
      <c r="S13" s="139">
        <f t="shared" si="5"/>
        <v>5.7</v>
      </c>
      <c r="T13" s="125">
        <v>36</v>
      </c>
      <c r="U13" s="126">
        <v>7</v>
      </c>
      <c r="V13" s="139">
        <f t="shared" si="6"/>
        <v>5.1428571428571432</v>
      </c>
      <c r="W13" s="125">
        <v>0</v>
      </c>
      <c r="X13" s="126">
        <v>0</v>
      </c>
      <c r="Y13" s="139" t="str">
        <f t="shared" si="7"/>
        <v>-</v>
      </c>
      <c r="Z13" s="125">
        <v>0</v>
      </c>
      <c r="AA13" s="126">
        <v>0</v>
      </c>
      <c r="AB13" s="139" t="str">
        <f t="shared" si="8"/>
        <v>-</v>
      </c>
      <c r="AC13" s="20">
        <v>0</v>
      </c>
      <c r="AD13" s="21">
        <v>0</v>
      </c>
      <c r="AE13" s="139" t="str">
        <f t="shared" si="9"/>
        <v>-</v>
      </c>
      <c r="AF13" s="23">
        <v>0</v>
      </c>
      <c r="AG13" s="21">
        <v>0</v>
      </c>
      <c r="AH13" s="139" t="str">
        <f t="shared" si="10"/>
        <v>-</v>
      </c>
      <c r="AI13" s="23">
        <v>6</v>
      </c>
      <c r="AJ13" s="21">
        <v>1</v>
      </c>
      <c r="AK13" s="139">
        <f t="shared" si="11"/>
        <v>6</v>
      </c>
      <c r="AL13" s="23">
        <v>0</v>
      </c>
      <c r="AM13" s="21">
        <v>0</v>
      </c>
      <c r="AN13" s="139" t="str">
        <f t="shared" si="12"/>
        <v>-</v>
      </c>
      <c r="AO13" s="20">
        <v>0</v>
      </c>
      <c r="AP13" s="21">
        <v>0</v>
      </c>
      <c r="AQ13" s="139" t="str">
        <f t="shared" si="13"/>
        <v>-</v>
      </c>
      <c r="AR13" s="20">
        <v>0</v>
      </c>
      <c r="AS13" s="21">
        <v>0</v>
      </c>
      <c r="AT13" s="139" t="str">
        <f t="shared" si="14"/>
        <v>-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0</v>
      </c>
      <c r="BB13" s="21">
        <v>0</v>
      </c>
      <c r="BC13" s="139" t="str">
        <f t="shared" si="49"/>
        <v>-</v>
      </c>
      <c r="BD13" s="20">
        <v>0</v>
      </c>
      <c r="BE13" s="21">
        <v>0</v>
      </c>
      <c r="BF13" s="139" t="str">
        <f t="shared" si="50"/>
        <v>-</v>
      </c>
      <c r="BG13" s="20">
        <v>0</v>
      </c>
      <c r="BH13" s="21">
        <v>0</v>
      </c>
      <c r="BI13" s="139" t="str">
        <f t="shared" si="51"/>
        <v>-</v>
      </c>
      <c r="BJ13" s="252">
        <v>0</v>
      </c>
      <c r="BK13" s="253">
        <v>0</v>
      </c>
      <c r="BL13" s="276" t="str">
        <f t="shared" si="20"/>
        <v>-</v>
      </c>
      <c r="BM13" s="252">
        <v>0</v>
      </c>
      <c r="BN13" s="253">
        <v>0</v>
      </c>
      <c r="BO13" s="276" t="str">
        <f t="shared" si="21"/>
        <v>-</v>
      </c>
      <c r="BP13" s="302">
        <v>0</v>
      </c>
      <c r="BQ13" s="303">
        <v>0</v>
      </c>
      <c r="BR13" s="276" t="str">
        <f t="shared" si="22"/>
        <v>-</v>
      </c>
      <c r="BS13" s="257">
        <v>0</v>
      </c>
      <c r="BT13" s="253">
        <v>0</v>
      </c>
      <c r="BU13" s="139" t="str">
        <f t="shared" si="23"/>
        <v>-</v>
      </c>
      <c r="BV13" s="257">
        <v>0</v>
      </c>
      <c r="BW13" s="253">
        <v>0</v>
      </c>
      <c r="BX13" s="276" t="str">
        <f t="shared" ref="BX13:BX14" si="54">IF(BW13=0,"-",BV13/BW13)</f>
        <v>-</v>
      </c>
      <c r="BY13" s="257">
        <v>0</v>
      </c>
      <c r="BZ13" s="253">
        <v>0</v>
      </c>
      <c r="CA13" s="276" t="str">
        <f t="shared" si="41"/>
        <v>-</v>
      </c>
      <c r="CB13" s="257">
        <v>0</v>
      </c>
      <c r="CC13" s="253">
        <v>0</v>
      </c>
      <c r="CD13" s="276" t="str">
        <f t="shared" si="42"/>
        <v>-</v>
      </c>
      <c r="CE13" s="20">
        <v>0</v>
      </c>
      <c r="CF13" s="21">
        <v>0</v>
      </c>
      <c r="CG13" s="139" t="str">
        <f t="shared" ref="CG13:CG23" si="55">IF(CF13=0,"-",CE13/CF13)</f>
        <v>-</v>
      </c>
      <c r="CH13" s="20">
        <v>0</v>
      </c>
      <c r="CI13" s="21">
        <v>0</v>
      </c>
      <c r="CJ13" s="139" t="str">
        <f t="shared" ref="CJ13:CJ23" si="56">IF(CI13=0,"-",CH13/CI13)</f>
        <v>-</v>
      </c>
      <c r="CK13" s="20">
        <v>0</v>
      </c>
      <c r="CL13" s="21">
        <v>0</v>
      </c>
      <c r="CM13" s="139" t="str">
        <f t="shared" ref="CM13:CM23" si="57">IF(CL13=0,"-",CK13/CL13)</f>
        <v>-</v>
      </c>
      <c r="CN13" s="117">
        <f t="shared" si="36"/>
        <v>217</v>
      </c>
      <c r="CO13" s="120">
        <f t="shared" si="37"/>
        <v>31</v>
      </c>
      <c r="CP13" s="147">
        <f t="shared" si="30"/>
        <v>7</v>
      </c>
    </row>
    <row r="14" spans="1:94" ht="15" thickBot="1" x14ac:dyDescent="0.35">
      <c r="A14" s="294">
        <v>45879</v>
      </c>
      <c r="B14" s="20">
        <v>32</v>
      </c>
      <c r="C14" s="21">
        <v>4</v>
      </c>
      <c r="D14" s="139">
        <f t="shared" si="0"/>
        <v>8</v>
      </c>
      <c r="E14" s="20">
        <v>0</v>
      </c>
      <c r="F14" s="21">
        <v>0</v>
      </c>
      <c r="G14" s="139" t="str">
        <f t="shared" si="52"/>
        <v>-</v>
      </c>
      <c r="H14" s="20">
        <v>0</v>
      </c>
      <c r="I14" s="21">
        <v>0</v>
      </c>
      <c r="J14" s="139" t="str">
        <f t="shared" si="53"/>
        <v>-</v>
      </c>
      <c r="K14" s="20">
        <v>48</v>
      </c>
      <c r="L14" s="21">
        <v>5</v>
      </c>
      <c r="M14" s="139">
        <f t="shared" si="3"/>
        <v>9.6</v>
      </c>
      <c r="N14" s="125">
        <v>0</v>
      </c>
      <c r="O14" s="126">
        <v>0</v>
      </c>
      <c r="P14" s="139" t="str">
        <f t="shared" si="4"/>
        <v>-</v>
      </c>
      <c r="Q14" s="20">
        <v>0</v>
      </c>
      <c r="R14" s="21">
        <v>0</v>
      </c>
      <c r="S14" s="139" t="str">
        <f t="shared" si="5"/>
        <v>-</v>
      </c>
      <c r="T14" s="20">
        <v>0</v>
      </c>
      <c r="U14" s="21">
        <v>0</v>
      </c>
      <c r="V14" s="139" t="str">
        <f t="shared" si="6"/>
        <v>-</v>
      </c>
      <c r="W14" s="20">
        <v>0</v>
      </c>
      <c r="X14" s="21">
        <v>0</v>
      </c>
      <c r="Y14" s="139" t="str">
        <f t="shared" si="7"/>
        <v>-</v>
      </c>
      <c r="Z14" s="20">
        <v>0</v>
      </c>
      <c r="AA14" s="21">
        <v>0</v>
      </c>
      <c r="AB14" s="139" t="str">
        <f t="shared" si="8"/>
        <v>-</v>
      </c>
      <c r="AC14" s="20">
        <v>0</v>
      </c>
      <c r="AD14" s="21">
        <v>0</v>
      </c>
      <c r="AE14" s="139" t="str">
        <f t="shared" si="9"/>
        <v>-</v>
      </c>
      <c r="AF14" s="20">
        <v>0</v>
      </c>
      <c r="AG14" s="21">
        <v>0</v>
      </c>
      <c r="AH14" s="139" t="str">
        <f t="shared" si="10"/>
        <v>-</v>
      </c>
      <c r="AI14" s="20">
        <v>0</v>
      </c>
      <c r="AJ14" s="21">
        <v>0</v>
      </c>
      <c r="AK14" s="139" t="str">
        <f t="shared" si="11"/>
        <v>-</v>
      </c>
      <c r="AL14" s="20">
        <v>0</v>
      </c>
      <c r="AM14" s="21">
        <v>0</v>
      </c>
      <c r="AN14" s="139" t="str">
        <f t="shared" si="12"/>
        <v>-</v>
      </c>
      <c r="AO14" s="20">
        <v>0</v>
      </c>
      <c r="AP14" s="21">
        <v>0</v>
      </c>
      <c r="AQ14" s="139" t="str">
        <f t="shared" si="13"/>
        <v>-</v>
      </c>
      <c r="AR14" s="20">
        <v>0</v>
      </c>
      <c r="AS14" s="21">
        <v>0</v>
      </c>
      <c r="AT14" s="139" t="str">
        <f t="shared" si="14"/>
        <v>-</v>
      </c>
      <c r="AU14" s="20">
        <v>0</v>
      </c>
      <c r="AV14" s="21">
        <v>0</v>
      </c>
      <c r="AW14" s="139" t="str">
        <f t="shared" si="15"/>
        <v>-</v>
      </c>
      <c r="AX14" s="20">
        <v>0</v>
      </c>
      <c r="AY14" s="21">
        <v>0</v>
      </c>
      <c r="AZ14" s="139" t="str">
        <f t="shared" si="16"/>
        <v>-</v>
      </c>
      <c r="BA14" s="20">
        <v>0</v>
      </c>
      <c r="BB14" s="21">
        <v>0</v>
      </c>
      <c r="BC14" s="139" t="str">
        <f t="shared" si="49"/>
        <v>-</v>
      </c>
      <c r="BD14" s="20">
        <v>0</v>
      </c>
      <c r="BE14" s="21">
        <v>0</v>
      </c>
      <c r="BF14" s="139" t="str">
        <f t="shared" si="50"/>
        <v>-</v>
      </c>
      <c r="BG14" s="20">
        <v>0</v>
      </c>
      <c r="BH14" s="21">
        <v>0</v>
      </c>
      <c r="BI14" s="139" t="str">
        <f t="shared" si="51"/>
        <v>-</v>
      </c>
      <c r="BJ14" s="252">
        <v>0</v>
      </c>
      <c r="BK14" s="253">
        <v>0</v>
      </c>
      <c r="BL14" s="276" t="str">
        <f t="shared" si="20"/>
        <v>-</v>
      </c>
      <c r="BM14" s="252">
        <v>0</v>
      </c>
      <c r="BN14" s="253">
        <v>0</v>
      </c>
      <c r="BO14" s="276" t="str">
        <f t="shared" si="21"/>
        <v>-</v>
      </c>
      <c r="BP14" s="302">
        <v>0</v>
      </c>
      <c r="BQ14" s="303">
        <v>0</v>
      </c>
      <c r="BR14" s="276" t="str">
        <f t="shared" si="22"/>
        <v>-</v>
      </c>
      <c r="BS14" s="257">
        <v>0</v>
      </c>
      <c r="BT14" s="253">
        <v>0</v>
      </c>
      <c r="BU14" s="276" t="str">
        <f t="shared" si="23"/>
        <v>-</v>
      </c>
      <c r="BV14" s="257">
        <v>0</v>
      </c>
      <c r="BW14" s="253">
        <v>0</v>
      </c>
      <c r="BX14" s="276" t="str">
        <f t="shared" si="54"/>
        <v>-</v>
      </c>
      <c r="BY14" s="257">
        <v>0</v>
      </c>
      <c r="BZ14" s="253">
        <v>0</v>
      </c>
      <c r="CA14" s="276" t="str">
        <f t="shared" si="41"/>
        <v>-</v>
      </c>
      <c r="CB14" s="257">
        <v>0</v>
      </c>
      <c r="CC14" s="253">
        <v>0</v>
      </c>
      <c r="CD14" s="276" t="str">
        <f t="shared" si="42"/>
        <v>-</v>
      </c>
      <c r="CE14" s="20">
        <v>0</v>
      </c>
      <c r="CF14" s="21">
        <v>0</v>
      </c>
      <c r="CG14" s="139" t="str">
        <f t="shared" si="55"/>
        <v>-</v>
      </c>
      <c r="CH14" s="20">
        <v>0</v>
      </c>
      <c r="CI14" s="21">
        <v>0</v>
      </c>
      <c r="CJ14" s="139" t="str">
        <f t="shared" si="56"/>
        <v>-</v>
      </c>
      <c r="CK14" s="20">
        <v>0</v>
      </c>
      <c r="CL14" s="21">
        <v>0</v>
      </c>
      <c r="CM14" s="139" t="str">
        <f t="shared" si="57"/>
        <v>-</v>
      </c>
      <c r="CN14" s="117">
        <f t="shared" si="36"/>
        <v>80</v>
      </c>
      <c r="CO14" s="120">
        <f t="shared" si="37"/>
        <v>9</v>
      </c>
      <c r="CP14" s="147">
        <f t="shared" si="30"/>
        <v>8.8888888888888893</v>
      </c>
    </row>
    <row r="15" spans="1:94" ht="15" thickBot="1" x14ac:dyDescent="0.35">
      <c r="A15" s="294">
        <v>45880</v>
      </c>
      <c r="B15" s="20">
        <v>40</v>
      </c>
      <c r="C15" s="21">
        <v>5</v>
      </c>
      <c r="D15" s="139">
        <f t="shared" si="0"/>
        <v>8</v>
      </c>
      <c r="E15" s="20">
        <v>0</v>
      </c>
      <c r="F15" s="21">
        <v>0</v>
      </c>
      <c r="G15" s="139">
        <v>0</v>
      </c>
      <c r="H15" s="20">
        <v>6</v>
      </c>
      <c r="I15" s="21">
        <v>1</v>
      </c>
      <c r="J15" s="139">
        <f t="shared" si="2"/>
        <v>6</v>
      </c>
      <c r="K15" s="20">
        <v>24</v>
      </c>
      <c r="L15" s="21">
        <v>3</v>
      </c>
      <c r="M15" s="139">
        <f t="shared" si="3"/>
        <v>8</v>
      </c>
      <c r="N15" s="125">
        <v>0</v>
      </c>
      <c r="O15" s="126">
        <v>0</v>
      </c>
      <c r="P15" s="139" t="str">
        <f t="shared" si="4"/>
        <v>-</v>
      </c>
      <c r="Q15" s="20">
        <v>17</v>
      </c>
      <c r="R15" s="21">
        <v>3</v>
      </c>
      <c r="S15" s="139">
        <f t="shared" si="5"/>
        <v>5.666666666666667</v>
      </c>
      <c r="T15" s="20">
        <v>28</v>
      </c>
      <c r="U15" s="21">
        <v>6</v>
      </c>
      <c r="V15" s="139">
        <f t="shared" si="6"/>
        <v>4.666666666666667</v>
      </c>
      <c r="W15" s="20">
        <v>0</v>
      </c>
      <c r="X15" s="21">
        <v>0</v>
      </c>
      <c r="Y15" s="139" t="str">
        <f t="shared" si="7"/>
        <v>-</v>
      </c>
      <c r="Z15" s="20">
        <v>29</v>
      </c>
      <c r="AA15" s="21">
        <v>6</v>
      </c>
      <c r="AB15" s="139">
        <f t="shared" si="8"/>
        <v>4.833333333333333</v>
      </c>
      <c r="AC15" s="20">
        <v>15</v>
      </c>
      <c r="AD15" s="21">
        <v>3</v>
      </c>
      <c r="AE15" s="139">
        <f t="shared" si="9"/>
        <v>5</v>
      </c>
      <c r="AF15" s="20">
        <v>0</v>
      </c>
      <c r="AG15" s="21">
        <v>0</v>
      </c>
      <c r="AH15" s="139" t="str">
        <f t="shared" si="10"/>
        <v>-</v>
      </c>
      <c r="AI15" s="20">
        <v>0</v>
      </c>
      <c r="AJ15" s="21">
        <v>0</v>
      </c>
      <c r="AK15" s="139" t="str">
        <f t="shared" si="11"/>
        <v>-</v>
      </c>
      <c r="AL15" s="20">
        <v>6</v>
      </c>
      <c r="AM15" s="21">
        <v>1</v>
      </c>
      <c r="AN15" s="139">
        <f t="shared" si="12"/>
        <v>6</v>
      </c>
      <c r="AO15" s="20">
        <v>0</v>
      </c>
      <c r="AP15" s="21">
        <v>0</v>
      </c>
      <c r="AQ15" s="139" t="str">
        <f t="shared" si="13"/>
        <v>-</v>
      </c>
      <c r="AR15" s="20">
        <v>8</v>
      </c>
      <c r="AS15" s="21">
        <v>1</v>
      </c>
      <c r="AT15" s="139">
        <f t="shared" si="14"/>
        <v>8</v>
      </c>
      <c r="AU15" s="20">
        <v>0</v>
      </c>
      <c r="AV15" s="21">
        <v>0</v>
      </c>
      <c r="AW15" s="139" t="str">
        <f t="shared" si="15"/>
        <v>-</v>
      </c>
      <c r="AX15" s="20">
        <v>0</v>
      </c>
      <c r="AY15" s="21">
        <v>0</v>
      </c>
      <c r="AZ15" s="139" t="str">
        <f t="shared" ref="AZ15" si="58">IF(AY15=0,"-",AX15/AY15)</f>
        <v>-</v>
      </c>
      <c r="BA15" s="20">
        <v>0</v>
      </c>
      <c r="BB15" s="21">
        <v>0</v>
      </c>
      <c r="BC15" s="139" t="str">
        <f t="shared" ref="BC15" si="59">IF(BB15=0,"-",BA15/BB15)</f>
        <v>-</v>
      </c>
      <c r="BD15" s="20">
        <v>0</v>
      </c>
      <c r="BE15" s="21">
        <v>0</v>
      </c>
      <c r="BF15" s="139" t="str">
        <f t="shared" ref="BF15" si="60">IF(BE15=0,"-",BD15/BE15)</f>
        <v>-</v>
      </c>
      <c r="BG15" s="20">
        <v>0</v>
      </c>
      <c r="BH15" s="21">
        <v>0</v>
      </c>
      <c r="BI15" s="139" t="str">
        <f t="shared" ref="BI15" si="61">IF(BH15=0,"-",BG15/BH15)</f>
        <v>-</v>
      </c>
      <c r="BJ15" s="252">
        <v>18</v>
      </c>
      <c r="BK15" s="253">
        <v>3</v>
      </c>
      <c r="BL15" s="276">
        <f t="shared" si="20"/>
        <v>6</v>
      </c>
      <c r="BM15" s="252">
        <v>0</v>
      </c>
      <c r="BN15" s="253">
        <v>0</v>
      </c>
      <c r="BO15" s="276" t="str">
        <f t="shared" si="21"/>
        <v>-</v>
      </c>
      <c r="BP15" s="302">
        <v>0</v>
      </c>
      <c r="BQ15" s="303">
        <v>0</v>
      </c>
      <c r="BR15" s="276" t="str">
        <f t="shared" si="22"/>
        <v>-</v>
      </c>
      <c r="BS15" s="257">
        <v>6</v>
      </c>
      <c r="BT15" s="253">
        <v>1</v>
      </c>
      <c r="BU15" s="276">
        <f t="shared" si="23"/>
        <v>6</v>
      </c>
      <c r="BV15" s="257">
        <v>6</v>
      </c>
      <c r="BW15" s="253">
        <v>3</v>
      </c>
      <c r="BX15" s="276">
        <f t="shared" si="40"/>
        <v>2</v>
      </c>
      <c r="BY15" s="257">
        <v>0</v>
      </c>
      <c r="BZ15" s="253">
        <v>0</v>
      </c>
      <c r="CA15" s="276" t="str">
        <f t="shared" si="41"/>
        <v>-</v>
      </c>
      <c r="CB15" s="257">
        <v>1</v>
      </c>
      <c r="CC15" s="253">
        <v>1</v>
      </c>
      <c r="CD15" s="276">
        <f t="shared" si="42"/>
        <v>1</v>
      </c>
      <c r="CE15" s="20">
        <v>0</v>
      </c>
      <c r="CF15" s="21">
        <v>0</v>
      </c>
      <c r="CG15" s="139" t="str">
        <f t="shared" si="55"/>
        <v>-</v>
      </c>
      <c r="CH15" s="20">
        <v>0</v>
      </c>
      <c r="CI15" s="21">
        <v>0</v>
      </c>
      <c r="CJ15" s="139" t="str">
        <f t="shared" si="56"/>
        <v>-</v>
      </c>
      <c r="CK15" s="20">
        <v>0</v>
      </c>
      <c r="CL15" s="21">
        <v>0</v>
      </c>
      <c r="CM15" s="139" t="str">
        <f t="shared" si="57"/>
        <v>-</v>
      </c>
      <c r="CN15" s="117">
        <f t="shared" si="36"/>
        <v>204</v>
      </c>
      <c r="CO15" s="120">
        <f t="shared" si="37"/>
        <v>33</v>
      </c>
      <c r="CP15" s="147">
        <f t="shared" si="30"/>
        <v>6.1818181818181817</v>
      </c>
    </row>
    <row r="16" spans="1:94" ht="15" thickBot="1" x14ac:dyDescent="0.35">
      <c r="A16" s="294">
        <v>45881</v>
      </c>
      <c r="B16" s="20">
        <v>63</v>
      </c>
      <c r="C16" s="21">
        <v>8</v>
      </c>
      <c r="D16" s="139">
        <f t="shared" si="0"/>
        <v>7.875</v>
      </c>
      <c r="E16" s="20">
        <v>0</v>
      </c>
      <c r="F16" s="21">
        <v>0</v>
      </c>
      <c r="G16" s="139" t="str">
        <f t="shared" si="31"/>
        <v>-</v>
      </c>
      <c r="H16" s="20">
        <v>0</v>
      </c>
      <c r="I16" s="21">
        <v>0</v>
      </c>
      <c r="J16" s="139" t="str">
        <f t="shared" si="2"/>
        <v>-</v>
      </c>
      <c r="K16" s="20">
        <v>43</v>
      </c>
      <c r="L16" s="21">
        <v>5</v>
      </c>
      <c r="M16" s="139">
        <f t="shared" si="3"/>
        <v>8.6</v>
      </c>
      <c r="N16" s="125">
        <v>0</v>
      </c>
      <c r="O16" s="126">
        <v>0</v>
      </c>
      <c r="P16" s="139" t="str">
        <f t="shared" si="4"/>
        <v>-</v>
      </c>
      <c r="Q16" s="125">
        <v>32</v>
      </c>
      <c r="R16" s="126">
        <v>6</v>
      </c>
      <c r="S16" s="139">
        <f t="shared" si="5"/>
        <v>5.333333333333333</v>
      </c>
      <c r="T16" s="20">
        <v>0</v>
      </c>
      <c r="U16" s="21">
        <v>0</v>
      </c>
      <c r="V16" s="139" t="str">
        <f t="shared" si="6"/>
        <v>-</v>
      </c>
      <c r="W16" s="20">
        <v>0</v>
      </c>
      <c r="X16" s="21">
        <v>0</v>
      </c>
      <c r="Y16" s="139" t="str">
        <f t="shared" si="7"/>
        <v>-</v>
      </c>
      <c r="Z16" s="20">
        <v>20</v>
      </c>
      <c r="AA16" s="21">
        <v>4</v>
      </c>
      <c r="AB16" s="139">
        <f t="shared" si="8"/>
        <v>5</v>
      </c>
      <c r="AC16" s="20">
        <v>92</v>
      </c>
      <c r="AD16" s="21">
        <v>20</v>
      </c>
      <c r="AE16" s="139">
        <f t="shared" si="9"/>
        <v>4.5999999999999996</v>
      </c>
      <c r="AF16" s="20">
        <v>0</v>
      </c>
      <c r="AG16" s="21">
        <v>0</v>
      </c>
      <c r="AH16" s="139" t="str">
        <f t="shared" ref="AH16" si="62">IF(AG16=0,"-",AF16/AG16)</f>
        <v>-</v>
      </c>
      <c r="AI16" s="20">
        <v>0</v>
      </c>
      <c r="AJ16" s="21">
        <v>0</v>
      </c>
      <c r="AK16" s="139" t="str">
        <f t="shared" ref="AK16" si="63">IF(AJ16=0,"-",AI16/AJ16)</f>
        <v>-</v>
      </c>
      <c r="AL16" s="20">
        <v>0</v>
      </c>
      <c r="AM16" s="21">
        <v>0</v>
      </c>
      <c r="AN16" s="139" t="str">
        <f t="shared" si="12"/>
        <v>-</v>
      </c>
      <c r="AO16" s="20">
        <v>0</v>
      </c>
      <c r="AP16" s="21">
        <v>0</v>
      </c>
      <c r="AQ16" s="139" t="str">
        <f t="shared" si="13"/>
        <v>-</v>
      </c>
      <c r="AR16" s="20">
        <v>0</v>
      </c>
      <c r="AS16" s="21">
        <v>0</v>
      </c>
      <c r="AT16" s="139" t="str">
        <f t="shared" si="14"/>
        <v>-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16"/>
        <v>-</v>
      </c>
      <c r="BA16" s="20">
        <v>0</v>
      </c>
      <c r="BB16" s="21">
        <v>0</v>
      </c>
      <c r="BC16" s="139" t="str">
        <f t="shared" si="17"/>
        <v>-</v>
      </c>
      <c r="BD16" s="20">
        <v>0</v>
      </c>
      <c r="BE16" s="21">
        <v>0</v>
      </c>
      <c r="BF16" s="139" t="str">
        <f t="shared" si="18"/>
        <v>-</v>
      </c>
      <c r="BG16" s="20">
        <v>0</v>
      </c>
      <c r="BH16" s="21">
        <v>0</v>
      </c>
      <c r="BI16" s="139" t="str">
        <f t="shared" si="19"/>
        <v>-</v>
      </c>
      <c r="BJ16" s="252">
        <v>13</v>
      </c>
      <c r="BK16" s="253">
        <v>2</v>
      </c>
      <c r="BL16" s="276">
        <f t="shared" si="20"/>
        <v>6.5</v>
      </c>
      <c r="BM16" s="252">
        <v>0</v>
      </c>
      <c r="BN16" s="253">
        <v>0</v>
      </c>
      <c r="BO16" s="276" t="str">
        <f t="shared" si="21"/>
        <v>-</v>
      </c>
      <c r="BP16" s="302">
        <v>0</v>
      </c>
      <c r="BQ16" s="303">
        <v>0</v>
      </c>
      <c r="BR16" s="276" t="str">
        <f t="shared" si="22"/>
        <v>-</v>
      </c>
      <c r="BS16" s="257">
        <v>7</v>
      </c>
      <c r="BT16" s="253">
        <v>1</v>
      </c>
      <c r="BU16" s="276">
        <f t="shared" si="23"/>
        <v>7</v>
      </c>
      <c r="BV16" s="257">
        <v>1</v>
      </c>
      <c r="BW16" s="253">
        <v>1</v>
      </c>
      <c r="BX16" s="276">
        <f t="shared" si="40"/>
        <v>1</v>
      </c>
      <c r="BY16" s="257">
        <v>0</v>
      </c>
      <c r="BZ16" s="253">
        <v>0</v>
      </c>
      <c r="CA16" s="276" t="str">
        <f t="shared" si="41"/>
        <v>-</v>
      </c>
      <c r="CB16" s="257">
        <v>2</v>
      </c>
      <c r="CC16" s="253">
        <v>1</v>
      </c>
      <c r="CD16" s="276">
        <f t="shared" si="42"/>
        <v>2</v>
      </c>
      <c r="CE16" s="20">
        <v>0</v>
      </c>
      <c r="CF16" s="21">
        <v>0</v>
      </c>
      <c r="CG16" s="139" t="str">
        <f t="shared" si="55"/>
        <v>-</v>
      </c>
      <c r="CH16" s="20">
        <v>0</v>
      </c>
      <c r="CI16" s="21">
        <v>0</v>
      </c>
      <c r="CJ16" s="139" t="str">
        <f t="shared" si="56"/>
        <v>-</v>
      </c>
      <c r="CK16" s="20">
        <v>0</v>
      </c>
      <c r="CL16" s="21">
        <v>0</v>
      </c>
      <c r="CM16" s="139" t="str">
        <f t="shared" si="57"/>
        <v>-</v>
      </c>
      <c r="CN16" s="117">
        <f t="shared" si="36"/>
        <v>273</v>
      </c>
      <c r="CO16" s="120">
        <f t="shared" si="37"/>
        <v>47</v>
      </c>
      <c r="CP16" s="147">
        <f t="shared" si="30"/>
        <v>5.8085106382978724</v>
      </c>
    </row>
    <row r="17" spans="1:94" ht="15" thickBot="1" x14ac:dyDescent="0.35">
      <c r="A17" s="294">
        <v>45882</v>
      </c>
      <c r="B17" s="20">
        <v>44</v>
      </c>
      <c r="C17" s="21">
        <v>6</v>
      </c>
      <c r="D17" s="139">
        <f t="shared" si="0"/>
        <v>7.333333333333333</v>
      </c>
      <c r="E17" s="20">
        <v>6</v>
      </c>
      <c r="F17" s="21">
        <v>1</v>
      </c>
      <c r="G17" s="139">
        <f t="shared" si="31"/>
        <v>6</v>
      </c>
      <c r="H17" s="20">
        <v>0</v>
      </c>
      <c r="I17" s="21">
        <v>0</v>
      </c>
      <c r="J17" s="139" t="str">
        <f t="shared" si="2"/>
        <v>-</v>
      </c>
      <c r="K17" s="20">
        <v>25</v>
      </c>
      <c r="L17" s="21">
        <v>3</v>
      </c>
      <c r="M17" s="139">
        <f t="shared" si="3"/>
        <v>8.3333333333333339</v>
      </c>
      <c r="N17" s="125">
        <v>0</v>
      </c>
      <c r="O17" s="126">
        <v>0</v>
      </c>
      <c r="P17" s="139" t="str">
        <f t="shared" si="4"/>
        <v>-</v>
      </c>
      <c r="Q17" s="125">
        <v>32</v>
      </c>
      <c r="R17" s="126">
        <v>6</v>
      </c>
      <c r="S17" s="139">
        <f t="shared" si="5"/>
        <v>5.333333333333333</v>
      </c>
      <c r="T17" s="125">
        <v>0</v>
      </c>
      <c r="U17" s="126">
        <v>0</v>
      </c>
      <c r="V17" s="139" t="str">
        <f t="shared" si="6"/>
        <v>-</v>
      </c>
      <c r="W17" s="125">
        <v>0</v>
      </c>
      <c r="X17" s="126">
        <v>0</v>
      </c>
      <c r="Y17" s="139" t="str">
        <f t="shared" si="7"/>
        <v>-</v>
      </c>
      <c r="Z17" s="125">
        <v>21</v>
      </c>
      <c r="AA17" s="126">
        <v>5</v>
      </c>
      <c r="AB17" s="139">
        <f t="shared" si="8"/>
        <v>4.2</v>
      </c>
      <c r="AC17" s="125">
        <v>78</v>
      </c>
      <c r="AD17" s="126">
        <v>17</v>
      </c>
      <c r="AE17" s="139">
        <f t="shared" si="9"/>
        <v>4.5882352941176467</v>
      </c>
      <c r="AF17" s="20">
        <v>0</v>
      </c>
      <c r="AG17" s="21">
        <v>0</v>
      </c>
      <c r="AH17" s="139" t="str">
        <f t="shared" ref="AH17" si="64">IF(AG17=0,"-",AF17/AG17)</f>
        <v>-</v>
      </c>
      <c r="AI17" s="20">
        <v>0</v>
      </c>
      <c r="AJ17" s="21">
        <v>0</v>
      </c>
      <c r="AK17" s="139" t="str">
        <f t="shared" ref="AK17" si="65">IF(AJ17=0,"-",AI17/AJ17)</f>
        <v>-</v>
      </c>
      <c r="AL17" s="20">
        <v>0</v>
      </c>
      <c r="AM17" s="21">
        <v>0</v>
      </c>
      <c r="AN17" s="139" t="str">
        <f t="shared" ref="AN17" si="66">IF(AM17=0,"-",AL17/AM17)</f>
        <v>-</v>
      </c>
      <c r="AO17" s="20">
        <v>0</v>
      </c>
      <c r="AP17" s="21">
        <v>0</v>
      </c>
      <c r="AQ17" s="139" t="str">
        <f t="shared" ref="AQ17" si="67">IF(AP17=0,"-",AO17/AP17)</f>
        <v>-</v>
      </c>
      <c r="AR17" s="20">
        <v>0</v>
      </c>
      <c r="AS17" s="21">
        <v>0</v>
      </c>
      <c r="AT17" s="139" t="str">
        <f t="shared" si="14"/>
        <v>-</v>
      </c>
      <c r="AU17" s="20">
        <v>0</v>
      </c>
      <c r="AV17" s="21">
        <v>0</v>
      </c>
      <c r="AW17" s="139" t="str">
        <f t="shared" si="15"/>
        <v>-</v>
      </c>
      <c r="AX17" s="20">
        <v>2</v>
      </c>
      <c r="AY17" s="21">
        <v>1</v>
      </c>
      <c r="AZ17" s="139">
        <f t="shared" si="16"/>
        <v>2</v>
      </c>
      <c r="BA17" s="20">
        <v>0</v>
      </c>
      <c r="BB17" s="21">
        <v>0</v>
      </c>
      <c r="BC17" s="139" t="str">
        <f t="shared" si="17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52">
        <v>12</v>
      </c>
      <c r="BK17" s="253">
        <v>2</v>
      </c>
      <c r="BL17" s="276">
        <f t="shared" si="20"/>
        <v>6</v>
      </c>
      <c r="BM17" s="252">
        <v>0</v>
      </c>
      <c r="BN17" s="253">
        <v>0</v>
      </c>
      <c r="BO17" s="276" t="str">
        <f t="shared" si="21"/>
        <v>-</v>
      </c>
      <c r="BP17" s="302">
        <v>0</v>
      </c>
      <c r="BQ17" s="303">
        <v>0</v>
      </c>
      <c r="BR17" s="276" t="str">
        <f t="shared" si="22"/>
        <v>-</v>
      </c>
      <c r="BS17" s="257">
        <v>7</v>
      </c>
      <c r="BT17" s="253">
        <v>1</v>
      </c>
      <c r="BU17" s="276">
        <f t="shared" si="23"/>
        <v>7</v>
      </c>
      <c r="BV17" s="125">
        <v>4</v>
      </c>
      <c r="BW17" s="126">
        <v>1</v>
      </c>
      <c r="BX17" s="276">
        <f t="shared" si="40"/>
        <v>4</v>
      </c>
      <c r="BY17" s="125">
        <v>0</v>
      </c>
      <c r="BZ17" s="126">
        <v>0</v>
      </c>
      <c r="CA17" s="276" t="str">
        <f t="shared" si="41"/>
        <v>-</v>
      </c>
      <c r="CB17" s="125">
        <v>0</v>
      </c>
      <c r="CC17" s="126">
        <v>0</v>
      </c>
      <c r="CD17" s="276" t="str">
        <f t="shared" si="42"/>
        <v>-</v>
      </c>
      <c r="CE17" s="20">
        <v>0</v>
      </c>
      <c r="CF17" s="21">
        <v>0</v>
      </c>
      <c r="CG17" s="139" t="str">
        <f t="shared" si="55"/>
        <v>-</v>
      </c>
      <c r="CH17" s="20">
        <v>0</v>
      </c>
      <c r="CI17" s="21">
        <v>0</v>
      </c>
      <c r="CJ17" s="139" t="str">
        <f t="shared" si="56"/>
        <v>-</v>
      </c>
      <c r="CK17" s="20">
        <v>0</v>
      </c>
      <c r="CL17" s="21">
        <v>0</v>
      </c>
      <c r="CM17" s="139" t="str">
        <f t="shared" si="57"/>
        <v>-</v>
      </c>
      <c r="CN17" s="117">
        <f t="shared" si="36"/>
        <v>231</v>
      </c>
      <c r="CO17" s="120">
        <f t="shared" si="37"/>
        <v>42</v>
      </c>
      <c r="CP17" s="147">
        <f t="shared" si="30"/>
        <v>5.5</v>
      </c>
    </row>
    <row r="18" spans="1:94" ht="15" thickBot="1" x14ac:dyDescent="0.35">
      <c r="A18" s="294">
        <v>45883</v>
      </c>
      <c r="B18" s="20">
        <v>40</v>
      </c>
      <c r="C18" s="21">
        <v>6</v>
      </c>
      <c r="D18" s="139">
        <f t="shared" si="0"/>
        <v>6.666666666666667</v>
      </c>
      <c r="E18" s="20">
        <v>7</v>
      </c>
      <c r="F18" s="21">
        <v>1</v>
      </c>
      <c r="G18" s="139">
        <f t="shared" si="31"/>
        <v>7</v>
      </c>
      <c r="H18" s="20">
        <v>0</v>
      </c>
      <c r="I18" s="21">
        <v>0</v>
      </c>
      <c r="J18" s="139" t="str">
        <f t="shared" si="2"/>
        <v>-</v>
      </c>
      <c r="K18" s="20">
        <v>22</v>
      </c>
      <c r="L18" s="21">
        <v>3</v>
      </c>
      <c r="M18" s="139">
        <f t="shared" si="3"/>
        <v>7.333333333333333</v>
      </c>
      <c r="N18" s="125">
        <v>0</v>
      </c>
      <c r="O18" s="126">
        <v>0</v>
      </c>
      <c r="P18" s="139" t="str">
        <f t="shared" si="4"/>
        <v>-</v>
      </c>
      <c r="Q18" s="125">
        <v>61</v>
      </c>
      <c r="R18" s="126">
        <v>12</v>
      </c>
      <c r="S18" s="139">
        <f t="shared" si="5"/>
        <v>5.083333333333333</v>
      </c>
      <c r="T18" s="20">
        <v>0</v>
      </c>
      <c r="U18" s="21">
        <v>0</v>
      </c>
      <c r="V18" s="139" t="str">
        <f t="shared" si="6"/>
        <v>-</v>
      </c>
      <c r="W18" s="20">
        <v>0</v>
      </c>
      <c r="X18" s="21">
        <v>0</v>
      </c>
      <c r="Y18" s="139" t="str">
        <f t="shared" si="7"/>
        <v>-</v>
      </c>
      <c r="Z18" s="20">
        <v>0</v>
      </c>
      <c r="AA18" s="21">
        <v>0</v>
      </c>
      <c r="AB18" s="139" t="str">
        <f t="shared" si="8"/>
        <v>-</v>
      </c>
      <c r="AC18" s="125">
        <v>0</v>
      </c>
      <c r="AD18" s="126">
        <v>0</v>
      </c>
      <c r="AE18" s="139" t="str">
        <f t="shared" si="9"/>
        <v>-</v>
      </c>
      <c r="AF18" s="125">
        <v>0</v>
      </c>
      <c r="AG18" s="126">
        <v>0</v>
      </c>
      <c r="AH18" s="139" t="str">
        <f t="shared" si="10"/>
        <v>-</v>
      </c>
      <c r="AI18" s="20">
        <v>0</v>
      </c>
      <c r="AJ18" s="21">
        <v>0</v>
      </c>
      <c r="AK18" s="139" t="str">
        <f t="shared" si="11"/>
        <v>-</v>
      </c>
      <c r="AL18" s="125">
        <v>0</v>
      </c>
      <c r="AM18" s="126">
        <v>0</v>
      </c>
      <c r="AN18" s="139" t="str">
        <f t="shared" si="12"/>
        <v>-</v>
      </c>
      <c r="AO18" s="125">
        <v>0</v>
      </c>
      <c r="AP18" s="126">
        <v>0</v>
      </c>
      <c r="AQ18" s="139" t="str">
        <f t="shared" si="13"/>
        <v>-</v>
      </c>
      <c r="AR18" s="20">
        <v>9</v>
      </c>
      <c r="AS18" s="21">
        <v>1</v>
      </c>
      <c r="AT18" s="139">
        <f t="shared" si="14"/>
        <v>9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0</v>
      </c>
      <c r="BB18" s="21">
        <v>0</v>
      </c>
      <c r="BC18" s="139" t="str">
        <f t="shared" si="17"/>
        <v>-</v>
      </c>
      <c r="BD18" s="20">
        <v>0</v>
      </c>
      <c r="BE18" s="21">
        <v>0</v>
      </c>
      <c r="BF18" s="139" t="str">
        <f t="shared" si="18"/>
        <v>-</v>
      </c>
      <c r="BG18" s="20">
        <v>2</v>
      </c>
      <c r="BH18" s="21">
        <v>2</v>
      </c>
      <c r="BI18" s="139">
        <f t="shared" si="19"/>
        <v>1</v>
      </c>
      <c r="BJ18" s="318">
        <v>0</v>
      </c>
      <c r="BK18" s="303">
        <v>0</v>
      </c>
      <c r="BL18" s="276" t="str">
        <f t="shared" si="20"/>
        <v>-</v>
      </c>
      <c r="BM18" s="252">
        <v>18</v>
      </c>
      <c r="BN18" s="253">
        <v>2</v>
      </c>
      <c r="BO18" s="276">
        <f t="shared" si="21"/>
        <v>9</v>
      </c>
      <c r="BP18" s="302">
        <v>0</v>
      </c>
      <c r="BQ18" s="303">
        <v>0</v>
      </c>
      <c r="BR18" s="276" t="str">
        <f t="shared" si="22"/>
        <v>-</v>
      </c>
      <c r="BS18" s="257">
        <v>0</v>
      </c>
      <c r="BT18" s="253">
        <v>0</v>
      </c>
      <c r="BU18" s="276" t="str">
        <f t="shared" si="23"/>
        <v>-</v>
      </c>
      <c r="BV18" s="125">
        <v>5</v>
      </c>
      <c r="BW18" s="126">
        <v>2</v>
      </c>
      <c r="BX18" s="276">
        <f t="shared" si="40"/>
        <v>2.5</v>
      </c>
      <c r="BY18" s="125">
        <v>0</v>
      </c>
      <c r="BZ18" s="126">
        <v>0</v>
      </c>
      <c r="CA18" s="276" t="str">
        <f t="shared" si="41"/>
        <v>-</v>
      </c>
      <c r="CB18" s="125">
        <v>0</v>
      </c>
      <c r="CC18" s="126">
        <v>0</v>
      </c>
      <c r="CD18" s="276" t="str">
        <f t="shared" si="42"/>
        <v>-</v>
      </c>
      <c r="CE18" s="20">
        <v>0</v>
      </c>
      <c r="CF18" s="21">
        <v>0</v>
      </c>
      <c r="CG18" s="139" t="str">
        <f t="shared" si="55"/>
        <v>-</v>
      </c>
      <c r="CH18" s="20">
        <v>0</v>
      </c>
      <c r="CI18" s="21">
        <v>0</v>
      </c>
      <c r="CJ18" s="139" t="str">
        <f t="shared" si="56"/>
        <v>-</v>
      </c>
      <c r="CK18" s="20">
        <v>0</v>
      </c>
      <c r="CL18" s="21">
        <v>0</v>
      </c>
      <c r="CM18" s="139" t="str">
        <f t="shared" si="57"/>
        <v>-</v>
      </c>
      <c r="CN18" s="117">
        <f t="shared" si="36"/>
        <v>164</v>
      </c>
      <c r="CO18" s="120">
        <f t="shared" si="37"/>
        <v>27</v>
      </c>
      <c r="CP18" s="147">
        <f t="shared" si="30"/>
        <v>6.0740740740740744</v>
      </c>
    </row>
    <row r="19" spans="1:94" ht="15" thickBot="1" x14ac:dyDescent="0.35">
      <c r="A19" s="294">
        <v>45884</v>
      </c>
      <c r="B19" s="20">
        <v>16</v>
      </c>
      <c r="C19" s="21">
        <v>2</v>
      </c>
      <c r="D19" s="139">
        <f t="shared" si="0"/>
        <v>8</v>
      </c>
      <c r="E19" s="20">
        <v>7</v>
      </c>
      <c r="F19" s="21">
        <v>1</v>
      </c>
      <c r="G19" s="139">
        <f t="shared" si="31"/>
        <v>7</v>
      </c>
      <c r="H19" s="20">
        <v>0</v>
      </c>
      <c r="I19" s="21">
        <v>0</v>
      </c>
      <c r="J19" s="139" t="str">
        <f t="shared" si="2"/>
        <v>-</v>
      </c>
      <c r="K19" s="20">
        <v>16</v>
      </c>
      <c r="L19" s="21">
        <v>2</v>
      </c>
      <c r="M19" s="139">
        <f t="shared" si="3"/>
        <v>8</v>
      </c>
      <c r="N19" s="125">
        <v>0</v>
      </c>
      <c r="O19" s="126">
        <v>0</v>
      </c>
      <c r="P19" s="139" t="str">
        <f t="shared" si="4"/>
        <v>-</v>
      </c>
      <c r="Q19" s="125">
        <v>88</v>
      </c>
      <c r="R19" s="126">
        <v>18</v>
      </c>
      <c r="S19" s="139">
        <f t="shared" si="5"/>
        <v>4.8888888888888893</v>
      </c>
      <c r="T19" s="125">
        <v>0</v>
      </c>
      <c r="U19" s="126">
        <v>0</v>
      </c>
      <c r="V19" s="139" t="str">
        <f t="shared" si="6"/>
        <v>-</v>
      </c>
      <c r="W19" s="125">
        <v>0</v>
      </c>
      <c r="X19" s="126">
        <v>0</v>
      </c>
      <c r="Y19" s="139" t="str">
        <f t="shared" si="7"/>
        <v>-</v>
      </c>
      <c r="Z19" s="125">
        <v>0</v>
      </c>
      <c r="AA19" s="126">
        <v>0</v>
      </c>
      <c r="AB19" s="139" t="str">
        <f t="shared" si="8"/>
        <v>-</v>
      </c>
      <c r="AC19" s="125">
        <v>0</v>
      </c>
      <c r="AD19" s="126">
        <v>0</v>
      </c>
      <c r="AE19" s="139" t="str">
        <f t="shared" si="9"/>
        <v>-</v>
      </c>
      <c r="AF19" s="125">
        <v>0</v>
      </c>
      <c r="AG19" s="126">
        <v>0</v>
      </c>
      <c r="AH19" s="139" t="str">
        <f t="shared" si="10"/>
        <v>-</v>
      </c>
      <c r="AI19" s="125">
        <v>6</v>
      </c>
      <c r="AJ19" s="126">
        <v>1</v>
      </c>
      <c r="AK19" s="139">
        <f t="shared" si="11"/>
        <v>6</v>
      </c>
      <c r="AL19" s="125">
        <v>18</v>
      </c>
      <c r="AM19" s="126">
        <v>3</v>
      </c>
      <c r="AN19" s="139">
        <f t="shared" si="12"/>
        <v>6</v>
      </c>
      <c r="AO19" s="125">
        <v>6</v>
      </c>
      <c r="AP19" s="126">
        <v>1</v>
      </c>
      <c r="AQ19" s="139">
        <f t="shared" si="13"/>
        <v>6</v>
      </c>
      <c r="AR19" s="20">
        <v>0</v>
      </c>
      <c r="AS19" s="21">
        <v>0</v>
      </c>
      <c r="AT19" s="139" t="str">
        <f t="shared" si="14"/>
        <v>-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0</v>
      </c>
      <c r="BB19" s="21">
        <v>0</v>
      </c>
      <c r="BC19" s="139" t="str">
        <f t="shared" si="17"/>
        <v>-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52">
        <v>6</v>
      </c>
      <c r="BK19" s="253">
        <v>1</v>
      </c>
      <c r="BL19" s="276">
        <v>0</v>
      </c>
      <c r="BM19" s="252">
        <v>0</v>
      </c>
      <c r="BN19" s="253">
        <v>0</v>
      </c>
      <c r="BO19" s="276" t="str">
        <f t="shared" si="21"/>
        <v>-</v>
      </c>
      <c r="BP19" s="302">
        <v>0</v>
      </c>
      <c r="BQ19" s="303">
        <v>0</v>
      </c>
      <c r="BR19" s="276" t="str">
        <f t="shared" si="22"/>
        <v>-</v>
      </c>
      <c r="BS19" s="257">
        <v>6</v>
      </c>
      <c r="BT19" s="253">
        <v>1</v>
      </c>
      <c r="BU19" s="276">
        <f t="shared" si="23"/>
        <v>6</v>
      </c>
      <c r="BV19" s="125">
        <v>7</v>
      </c>
      <c r="BW19" s="126">
        <v>1</v>
      </c>
      <c r="BX19" s="276">
        <f t="shared" si="40"/>
        <v>7</v>
      </c>
      <c r="BY19" s="125">
        <v>0</v>
      </c>
      <c r="BZ19" s="126">
        <v>0</v>
      </c>
      <c r="CA19" s="276" t="str">
        <f t="shared" si="41"/>
        <v>-</v>
      </c>
      <c r="CB19" s="125">
        <v>4</v>
      </c>
      <c r="CC19" s="126">
        <v>1</v>
      </c>
      <c r="CD19" s="276">
        <f t="shared" si="42"/>
        <v>4</v>
      </c>
      <c r="CE19" s="20">
        <v>0</v>
      </c>
      <c r="CF19" s="21">
        <v>0</v>
      </c>
      <c r="CG19" s="139" t="str">
        <f t="shared" si="55"/>
        <v>-</v>
      </c>
      <c r="CH19" s="20">
        <v>0</v>
      </c>
      <c r="CI19" s="21">
        <v>0</v>
      </c>
      <c r="CJ19" s="139" t="str">
        <f t="shared" si="56"/>
        <v>-</v>
      </c>
      <c r="CK19" s="20">
        <v>0</v>
      </c>
      <c r="CL19" s="21">
        <v>0</v>
      </c>
      <c r="CM19" s="139" t="str">
        <f t="shared" si="57"/>
        <v>-</v>
      </c>
      <c r="CN19" s="117">
        <f t="shared" si="36"/>
        <v>180</v>
      </c>
      <c r="CO19" s="120">
        <f t="shared" si="37"/>
        <v>27</v>
      </c>
      <c r="CP19" s="147">
        <f t="shared" si="30"/>
        <v>6.666666666666667</v>
      </c>
    </row>
    <row r="20" spans="1:94" ht="15" thickBot="1" x14ac:dyDescent="0.35">
      <c r="A20" s="294">
        <v>45885</v>
      </c>
      <c r="B20" s="20">
        <v>27</v>
      </c>
      <c r="C20" s="21">
        <v>3</v>
      </c>
      <c r="D20" s="139">
        <f t="shared" si="0"/>
        <v>9</v>
      </c>
      <c r="E20" s="20">
        <v>0</v>
      </c>
      <c r="F20" s="21">
        <v>0</v>
      </c>
      <c r="G20" s="139" t="str">
        <f t="shared" si="31"/>
        <v>-</v>
      </c>
      <c r="H20" s="20">
        <v>0</v>
      </c>
      <c r="I20" s="21">
        <v>0</v>
      </c>
      <c r="J20" s="139" t="str">
        <f t="shared" si="2"/>
        <v>-</v>
      </c>
      <c r="K20" s="20">
        <v>9</v>
      </c>
      <c r="L20" s="21">
        <v>1</v>
      </c>
      <c r="M20" s="139">
        <f t="shared" si="3"/>
        <v>9</v>
      </c>
      <c r="N20" s="20">
        <v>0</v>
      </c>
      <c r="O20" s="21">
        <v>0</v>
      </c>
      <c r="P20" s="139" t="str">
        <f t="shared" si="4"/>
        <v>-</v>
      </c>
      <c r="Q20" s="20">
        <v>12</v>
      </c>
      <c r="R20" s="21">
        <v>2</v>
      </c>
      <c r="S20" s="139">
        <f t="shared" si="5"/>
        <v>6</v>
      </c>
      <c r="T20" s="20">
        <v>0</v>
      </c>
      <c r="U20" s="21">
        <v>0</v>
      </c>
      <c r="V20" s="139" t="str">
        <f t="shared" si="6"/>
        <v>-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0</v>
      </c>
      <c r="AD20" s="21">
        <v>0</v>
      </c>
      <c r="AE20" s="139" t="str">
        <f t="shared" si="9"/>
        <v>-</v>
      </c>
      <c r="AF20" s="20">
        <v>0</v>
      </c>
      <c r="AG20" s="21">
        <v>0</v>
      </c>
      <c r="AH20" s="139" t="str">
        <f t="shared" si="10"/>
        <v>-</v>
      </c>
      <c r="AI20" s="20">
        <v>0</v>
      </c>
      <c r="AJ20" s="21">
        <v>0</v>
      </c>
      <c r="AK20" s="139" t="str">
        <f t="shared" si="11"/>
        <v>-</v>
      </c>
      <c r="AL20" s="20">
        <v>0</v>
      </c>
      <c r="AM20" s="21">
        <v>0</v>
      </c>
      <c r="AN20" s="139" t="str">
        <f t="shared" si="12"/>
        <v>-</v>
      </c>
      <c r="AO20" s="20">
        <v>0</v>
      </c>
      <c r="AP20" s="21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ref="AT20:AT21" si="68">IF(AS20=0,"-",AR20/AS20)</f>
        <v>-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0</v>
      </c>
      <c r="BB20" s="21">
        <v>0</v>
      </c>
      <c r="BC20" s="139" t="str">
        <f t="shared" si="17"/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12</v>
      </c>
      <c r="BK20" s="253">
        <v>2</v>
      </c>
      <c r="BL20" s="276">
        <f t="shared" si="20"/>
        <v>6</v>
      </c>
      <c r="BM20" s="252">
        <v>0</v>
      </c>
      <c r="BN20" s="253">
        <v>0</v>
      </c>
      <c r="BO20" s="276" t="str">
        <f t="shared" si="21"/>
        <v>-</v>
      </c>
      <c r="BP20" s="302">
        <v>0</v>
      </c>
      <c r="BQ20" s="303">
        <v>0</v>
      </c>
      <c r="BR20" s="276" t="str">
        <f t="shared" si="22"/>
        <v>-</v>
      </c>
      <c r="BS20" s="257">
        <v>7</v>
      </c>
      <c r="BT20" s="253">
        <v>1</v>
      </c>
      <c r="BU20" s="276">
        <f t="shared" si="23"/>
        <v>7</v>
      </c>
      <c r="BV20" s="257">
        <v>0</v>
      </c>
      <c r="BW20" s="253">
        <v>0</v>
      </c>
      <c r="BX20" s="276" t="str">
        <f t="shared" si="40"/>
        <v>-</v>
      </c>
      <c r="BY20" s="257">
        <v>0</v>
      </c>
      <c r="BZ20" s="253">
        <v>0</v>
      </c>
      <c r="CA20" s="276" t="str">
        <f t="shared" si="41"/>
        <v>-</v>
      </c>
      <c r="CB20" s="257">
        <v>4</v>
      </c>
      <c r="CC20" s="253">
        <v>1</v>
      </c>
      <c r="CD20" s="276">
        <f t="shared" si="42"/>
        <v>4</v>
      </c>
      <c r="CE20" s="20">
        <v>0</v>
      </c>
      <c r="CF20" s="21">
        <v>0</v>
      </c>
      <c r="CG20" s="139" t="str">
        <f t="shared" si="55"/>
        <v>-</v>
      </c>
      <c r="CH20" s="20">
        <v>0</v>
      </c>
      <c r="CI20" s="21">
        <v>0</v>
      </c>
      <c r="CJ20" s="139" t="str">
        <f t="shared" si="56"/>
        <v>-</v>
      </c>
      <c r="CK20" s="20">
        <v>0</v>
      </c>
      <c r="CL20" s="21">
        <v>0</v>
      </c>
      <c r="CM20" s="139" t="str">
        <f t="shared" si="57"/>
        <v>-</v>
      </c>
      <c r="CN20" s="117">
        <f t="shared" si="36"/>
        <v>71</v>
      </c>
      <c r="CO20" s="120">
        <f t="shared" si="37"/>
        <v>10</v>
      </c>
      <c r="CP20" s="147">
        <f t="shared" si="30"/>
        <v>7.1</v>
      </c>
    </row>
    <row r="21" spans="1:94" ht="15" thickBot="1" x14ac:dyDescent="0.35">
      <c r="A21" s="294">
        <v>45886</v>
      </c>
      <c r="B21" s="20">
        <v>57</v>
      </c>
      <c r="C21" s="21">
        <v>6</v>
      </c>
      <c r="D21" s="139">
        <f t="shared" si="0"/>
        <v>9.5</v>
      </c>
      <c r="E21" s="20">
        <v>14</v>
      </c>
      <c r="F21" s="21">
        <v>2</v>
      </c>
      <c r="G21" s="139">
        <f t="shared" si="31"/>
        <v>7</v>
      </c>
      <c r="H21" s="20">
        <v>0</v>
      </c>
      <c r="I21" s="21">
        <v>0</v>
      </c>
      <c r="J21" s="139">
        <v>0</v>
      </c>
      <c r="K21" s="20">
        <v>44</v>
      </c>
      <c r="L21" s="21">
        <v>6</v>
      </c>
      <c r="M21" s="139">
        <f t="shared" si="3"/>
        <v>7.333333333333333</v>
      </c>
      <c r="N21" s="125">
        <v>0</v>
      </c>
      <c r="O21" s="126">
        <v>0</v>
      </c>
      <c r="P21" s="139" t="str">
        <f t="shared" si="4"/>
        <v>-</v>
      </c>
      <c r="Q21" s="125">
        <v>6</v>
      </c>
      <c r="R21" s="126">
        <v>1</v>
      </c>
      <c r="S21" s="139">
        <f t="shared" si="5"/>
        <v>6</v>
      </c>
      <c r="T21" s="125">
        <v>0</v>
      </c>
      <c r="U21" s="126">
        <v>0</v>
      </c>
      <c r="V21" s="139" t="str">
        <f t="shared" si="6"/>
        <v>-</v>
      </c>
      <c r="W21" s="125">
        <v>0</v>
      </c>
      <c r="X21" s="126">
        <v>0</v>
      </c>
      <c r="Y21" s="139" t="str">
        <f t="shared" si="7"/>
        <v>-</v>
      </c>
      <c r="Z21" s="125">
        <v>0</v>
      </c>
      <c r="AA21" s="126">
        <v>0</v>
      </c>
      <c r="AB21" s="139" t="str">
        <f t="shared" si="8"/>
        <v>-</v>
      </c>
      <c r="AC21" s="20">
        <v>0</v>
      </c>
      <c r="AD21" s="21">
        <v>0</v>
      </c>
      <c r="AE21" s="139" t="str">
        <f t="shared" si="9"/>
        <v>-</v>
      </c>
      <c r="AF21" s="20">
        <v>0</v>
      </c>
      <c r="AG21" s="21">
        <v>0</v>
      </c>
      <c r="AH21" s="139" t="str">
        <f t="shared" si="10"/>
        <v>-</v>
      </c>
      <c r="AI21" s="20">
        <v>0</v>
      </c>
      <c r="AJ21" s="21">
        <v>0</v>
      </c>
      <c r="AK21" s="139" t="str">
        <f t="shared" si="11"/>
        <v>-</v>
      </c>
      <c r="AL21" s="20">
        <v>0</v>
      </c>
      <c r="AM21" s="21">
        <v>0</v>
      </c>
      <c r="AN21" s="139" t="str">
        <f t="shared" si="12"/>
        <v>-</v>
      </c>
      <c r="AO21" s="20">
        <v>0</v>
      </c>
      <c r="AP21" s="21">
        <v>0</v>
      </c>
      <c r="AQ21" s="139" t="str">
        <f t="shared" si="13"/>
        <v>-</v>
      </c>
      <c r="AR21" s="20">
        <v>0</v>
      </c>
      <c r="AS21" s="21">
        <v>0</v>
      </c>
      <c r="AT21" s="139" t="str">
        <f t="shared" si="68"/>
        <v>-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0</v>
      </c>
      <c r="BH21" s="21">
        <v>0</v>
      </c>
      <c r="BI21" s="139" t="str">
        <f t="shared" si="19"/>
        <v>-</v>
      </c>
      <c r="BJ21" s="252">
        <v>6</v>
      </c>
      <c r="BK21" s="253">
        <v>1</v>
      </c>
      <c r="BL21" s="139">
        <f t="shared" si="20"/>
        <v>6</v>
      </c>
      <c r="BM21" s="252">
        <v>0</v>
      </c>
      <c r="BN21" s="253">
        <v>0</v>
      </c>
      <c r="BO21" s="139" t="str">
        <f t="shared" si="21"/>
        <v>-</v>
      </c>
      <c r="BP21" s="302">
        <v>0</v>
      </c>
      <c r="BQ21" s="303">
        <v>0</v>
      </c>
      <c r="BR21" s="139" t="str">
        <f t="shared" si="22"/>
        <v>-</v>
      </c>
      <c r="BS21" s="257">
        <v>0</v>
      </c>
      <c r="BT21" s="253">
        <v>0</v>
      </c>
      <c r="BU21" s="139" t="str">
        <f t="shared" si="23"/>
        <v>-</v>
      </c>
      <c r="BV21" s="257">
        <v>4</v>
      </c>
      <c r="BW21" s="253">
        <v>1</v>
      </c>
      <c r="BX21" s="139">
        <f t="shared" si="40"/>
        <v>4</v>
      </c>
      <c r="BY21" s="257">
        <v>0</v>
      </c>
      <c r="BZ21" s="253">
        <v>0</v>
      </c>
      <c r="CA21" s="139" t="str">
        <f t="shared" si="41"/>
        <v>-</v>
      </c>
      <c r="CB21" s="257">
        <v>0</v>
      </c>
      <c r="CC21" s="253">
        <v>0</v>
      </c>
      <c r="CD21" s="139" t="str">
        <f t="shared" si="42"/>
        <v>-</v>
      </c>
      <c r="CE21" s="20">
        <v>0</v>
      </c>
      <c r="CF21" s="21">
        <v>0</v>
      </c>
      <c r="CG21" s="139" t="str">
        <f t="shared" si="55"/>
        <v>-</v>
      </c>
      <c r="CH21" s="20">
        <v>0</v>
      </c>
      <c r="CI21" s="21">
        <v>0</v>
      </c>
      <c r="CJ21" s="139" t="str">
        <f t="shared" si="56"/>
        <v>-</v>
      </c>
      <c r="CK21" s="20">
        <v>0</v>
      </c>
      <c r="CL21" s="21">
        <v>0</v>
      </c>
      <c r="CM21" s="139" t="str">
        <f t="shared" si="57"/>
        <v>-</v>
      </c>
      <c r="CN21" s="117">
        <f t="shared" si="36"/>
        <v>131</v>
      </c>
      <c r="CO21" s="120">
        <f t="shared" si="37"/>
        <v>16</v>
      </c>
      <c r="CP21" s="147">
        <f t="shared" si="30"/>
        <v>8.1875</v>
      </c>
    </row>
    <row r="22" spans="1:94" ht="15" thickBot="1" x14ac:dyDescent="0.35">
      <c r="A22" s="294">
        <v>45887</v>
      </c>
      <c r="B22" s="20">
        <v>40</v>
      </c>
      <c r="C22" s="21">
        <v>5</v>
      </c>
      <c r="D22" s="139">
        <f t="shared" si="0"/>
        <v>8</v>
      </c>
      <c r="E22" s="20">
        <v>8</v>
      </c>
      <c r="F22" s="21">
        <v>1</v>
      </c>
      <c r="G22" s="139">
        <f t="shared" si="31"/>
        <v>8</v>
      </c>
      <c r="H22" s="20">
        <v>0</v>
      </c>
      <c r="I22" s="21">
        <v>0</v>
      </c>
      <c r="J22" s="139" t="str">
        <f t="shared" si="2"/>
        <v>-</v>
      </c>
      <c r="K22" s="20">
        <v>30</v>
      </c>
      <c r="L22" s="21">
        <v>4</v>
      </c>
      <c r="M22" s="139">
        <f t="shared" si="3"/>
        <v>7.5</v>
      </c>
      <c r="N22" s="20">
        <v>0</v>
      </c>
      <c r="O22" s="21">
        <v>0</v>
      </c>
      <c r="P22" s="139" t="str">
        <f t="shared" si="4"/>
        <v>-</v>
      </c>
      <c r="Q22" s="20">
        <v>93</v>
      </c>
      <c r="R22" s="21">
        <v>17</v>
      </c>
      <c r="S22" s="139">
        <f t="shared" si="5"/>
        <v>5.4705882352941178</v>
      </c>
      <c r="T22" s="20">
        <v>0</v>
      </c>
      <c r="U22" s="21">
        <v>0</v>
      </c>
      <c r="V22" s="139" t="str">
        <f t="shared" si="6"/>
        <v>-</v>
      </c>
      <c r="W22" s="20">
        <v>0</v>
      </c>
      <c r="X22" s="21">
        <v>0</v>
      </c>
      <c r="Y22" s="139" t="str">
        <f t="shared" si="7"/>
        <v>-</v>
      </c>
      <c r="Z22" s="20">
        <v>32</v>
      </c>
      <c r="AA22" s="21">
        <v>7</v>
      </c>
      <c r="AB22" s="139">
        <f t="shared" si="8"/>
        <v>4.5714285714285712</v>
      </c>
      <c r="AC22" s="20">
        <v>0</v>
      </c>
      <c r="AD22" s="21">
        <v>0</v>
      </c>
      <c r="AE22" s="139" t="str">
        <f t="shared" si="9"/>
        <v>-</v>
      </c>
      <c r="AF22" s="20">
        <v>0</v>
      </c>
      <c r="AG22" s="21">
        <v>0</v>
      </c>
      <c r="AH22" s="139" t="str">
        <f t="shared" si="10"/>
        <v>-</v>
      </c>
      <c r="AI22" s="20">
        <v>0</v>
      </c>
      <c r="AJ22" s="21">
        <v>0</v>
      </c>
      <c r="AK22" s="139" t="str">
        <f t="shared" si="11"/>
        <v>-</v>
      </c>
      <c r="AL22" s="20">
        <v>0</v>
      </c>
      <c r="AM22" s="21">
        <v>0</v>
      </c>
      <c r="AN22" s="139" t="str">
        <f t="shared" si="12"/>
        <v>-</v>
      </c>
      <c r="AO22" s="20">
        <v>5</v>
      </c>
      <c r="AP22" s="21">
        <v>1</v>
      </c>
      <c r="AQ22" s="139">
        <f t="shared" si="13"/>
        <v>5</v>
      </c>
      <c r="AR22" s="20">
        <v>7</v>
      </c>
      <c r="AS22" s="21">
        <v>1</v>
      </c>
      <c r="AT22" s="139">
        <f t="shared" si="14"/>
        <v>7</v>
      </c>
      <c r="AU22" s="20">
        <v>0</v>
      </c>
      <c r="AV22" s="21">
        <v>0</v>
      </c>
      <c r="AW22" s="139" t="str">
        <f t="shared" si="15"/>
        <v>-</v>
      </c>
      <c r="AX22" s="20">
        <v>1</v>
      </c>
      <c r="AY22" s="21">
        <v>1</v>
      </c>
      <c r="AZ22" s="139">
        <f t="shared" si="16"/>
        <v>1</v>
      </c>
      <c r="BA22" s="20">
        <v>18</v>
      </c>
      <c r="BB22" s="21">
        <v>2</v>
      </c>
      <c r="BC22" s="139">
        <f t="shared" si="17"/>
        <v>9</v>
      </c>
      <c r="BD22" s="20">
        <v>0</v>
      </c>
      <c r="BE22" s="21">
        <v>0</v>
      </c>
      <c r="BF22" s="139" t="str">
        <f t="shared" si="18"/>
        <v>-</v>
      </c>
      <c r="BG22" s="20">
        <v>14</v>
      </c>
      <c r="BH22" s="21">
        <v>3</v>
      </c>
      <c r="BI22" s="139">
        <f t="shared" si="19"/>
        <v>4.666666666666667</v>
      </c>
      <c r="BJ22" s="252">
        <v>12</v>
      </c>
      <c r="BK22" s="253">
        <v>2</v>
      </c>
      <c r="BL22" s="139">
        <f t="shared" si="20"/>
        <v>6</v>
      </c>
      <c r="BM22" s="252">
        <v>0</v>
      </c>
      <c r="BN22" s="253">
        <v>0</v>
      </c>
      <c r="BO22" s="139" t="str">
        <f t="shared" si="21"/>
        <v>-</v>
      </c>
      <c r="BP22" s="302">
        <v>0</v>
      </c>
      <c r="BQ22" s="303">
        <v>0</v>
      </c>
      <c r="BR22" s="139" t="str">
        <f t="shared" si="22"/>
        <v>-</v>
      </c>
      <c r="BS22" s="257">
        <v>0</v>
      </c>
      <c r="BT22" s="253">
        <v>0</v>
      </c>
      <c r="BU22" s="276" t="str">
        <f t="shared" si="23"/>
        <v>-</v>
      </c>
      <c r="BV22" s="257">
        <v>0</v>
      </c>
      <c r="BW22" s="253">
        <v>0</v>
      </c>
      <c r="BX22" s="139" t="str">
        <f t="shared" si="40"/>
        <v>-</v>
      </c>
      <c r="BY22" s="257">
        <v>0</v>
      </c>
      <c r="BZ22" s="253">
        <v>0</v>
      </c>
      <c r="CA22" s="139" t="str">
        <f t="shared" si="41"/>
        <v>-</v>
      </c>
      <c r="CB22" s="257">
        <v>0</v>
      </c>
      <c r="CC22" s="253">
        <v>0</v>
      </c>
      <c r="CD22" s="139" t="str">
        <f t="shared" si="42"/>
        <v>-</v>
      </c>
      <c r="CE22" s="20">
        <v>0</v>
      </c>
      <c r="CF22" s="21">
        <v>0</v>
      </c>
      <c r="CG22" s="139" t="str">
        <f t="shared" si="55"/>
        <v>-</v>
      </c>
      <c r="CH22" s="20">
        <v>0</v>
      </c>
      <c r="CI22" s="21">
        <v>0</v>
      </c>
      <c r="CJ22" s="139" t="str">
        <f t="shared" si="56"/>
        <v>-</v>
      </c>
      <c r="CK22" s="20">
        <v>0</v>
      </c>
      <c r="CL22" s="21">
        <v>0</v>
      </c>
      <c r="CM22" s="139" t="str">
        <f t="shared" si="57"/>
        <v>-</v>
      </c>
      <c r="CN22" s="117">
        <f t="shared" si="36"/>
        <v>260</v>
      </c>
      <c r="CO22" s="120">
        <f t="shared" si="37"/>
        <v>43</v>
      </c>
      <c r="CP22" s="147">
        <f t="shared" si="30"/>
        <v>6.0465116279069768</v>
      </c>
    </row>
    <row r="23" spans="1:94" ht="15" thickBot="1" x14ac:dyDescent="0.35">
      <c r="A23" s="294">
        <v>45888</v>
      </c>
      <c r="B23" s="20">
        <v>24</v>
      </c>
      <c r="C23" s="21">
        <v>3</v>
      </c>
      <c r="D23" s="139">
        <f t="shared" si="0"/>
        <v>8</v>
      </c>
      <c r="E23" s="20">
        <v>8</v>
      </c>
      <c r="F23" s="21">
        <v>1</v>
      </c>
      <c r="G23" s="139">
        <f t="shared" si="31"/>
        <v>8</v>
      </c>
      <c r="H23" s="20">
        <v>0</v>
      </c>
      <c r="I23" s="21">
        <v>0</v>
      </c>
      <c r="J23" s="139" t="str">
        <f t="shared" si="2"/>
        <v>-</v>
      </c>
      <c r="K23" s="20">
        <v>24</v>
      </c>
      <c r="L23" s="21">
        <v>3</v>
      </c>
      <c r="M23" s="139">
        <f t="shared" si="3"/>
        <v>8</v>
      </c>
      <c r="N23" s="20">
        <v>0</v>
      </c>
      <c r="O23" s="21">
        <v>0</v>
      </c>
      <c r="P23" s="139" t="str">
        <f t="shared" si="4"/>
        <v>-</v>
      </c>
      <c r="Q23" s="20">
        <v>28</v>
      </c>
      <c r="R23" s="21">
        <v>5</v>
      </c>
      <c r="S23" s="139">
        <f t="shared" si="5"/>
        <v>5.6</v>
      </c>
      <c r="T23" s="20">
        <v>0</v>
      </c>
      <c r="U23" s="21">
        <v>0</v>
      </c>
      <c r="V23" s="139" t="str">
        <f t="shared" si="6"/>
        <v>-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8"/>
        <v>-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0</v>
      </c>
      <c r="AJ23" s="21">
        <v>0</v>
      </c>
      <c r="AK23" s="139" t="str">
        <f t="shared" si="11"/>
        <v>-</v>
      </c>
      <c r="AL23" s="20">
        <v>0</v>
      </c>
      <c r="AM23" s="21">
        <v>0</v>
      </c>
      <c r="AN23" s="139" t="str">
        <f t="shared" si="12"/>
        <v>-</v>
      </c>
      <c r="AO23" s="20">
        <v>0</v>
      </c>
      <c r="AP23" s="21">
        <v>0</v>
      </c>
      <c r="AQ23" s="139" t="str">
        <f t="shared" si="13"/>
        <v>-</v>
      </c>
      <c r="AR23" s="20">
        <v>8</v>
      </c>
      <c r="AS23" s="21">
        <v>1</v>
      </c>
      <c r="AT23" s="139">
        <f t="shared" si="14"/>
        <v>8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16"/>
        <v>-</v>
      </c>
      <c r="BA23" s="20">
        <v>9</v>
      </c>
      <c r="BB23" s="21">
        <v>1</v>
      </c>
      <c r="BC23" s="139">
        <f t="shared" si="17"/>
        <v>9</v>
      </c>
      <c r="BD23" s="20">
        <v>0</v>
      </c>
      <c r="BE23" s="21">
        <v>0</v>
      </c>
      <c r="BF23" s="139" t="str">
        <f t="shared" si="18"/>
        <v>-</v>
      </c>
      <c r="BG23" s="20">
        <v>14</v>
      </c>
      <c r="BH23" s="21">
        <v>1</v>
      </c>
      <c r="BI23" s="139">
        <f t="shared" si="19"/>
        <v>14</v>
      </c>
      <c r="BJ23" s="252">
        <v>32</v>
      </c>
      <c r="BK23" s="253">
        <v>5</v>
      </c>
      <c r="BL23" s="276">
        <f t="shared" si="20"/>
        <v>6.4</v>
      </c>
      <c r="BM23" s="252">
        <v>0</v>
      </c>
      <c r="BN23" s="253">
        <v>0</v>
      </c>
      <c r="BO23" s="276" t="str">
        <f t="shared" si="21"/>
        <v>-</v>
      </c>
      <c r="BP23" s="302">
        <v>0</v>
      </c>
      <c r="BQ23" s="303">
        <v>0</v>
      </c>
      <c r="BR23" s="276" t="str">
        <f t="shared" si="22"/>
        <v>-</v>
      </c>
      <c r="BS23" s="257">
        <v>6</v>
      </c>
      <c r="BT23" s="253">
        <v>1</v>
      </c>
      <c r="BU23" s="276">
        <f t="shared" si="23"/>
        <v>6</v>
      </c>
      <c r="BV23" s="257">
        <v>7</v>
      </c>
      <c r="BW23" s="253">
        <v>2</v>
      </c>
      <c r="BX23" s="139">
        <f t="shared" si="40"/>
        <v>3.5</v>
      </c>
      <c r="BY23" s="257">
        <v>0</v>
      </c>
      <c r="BZ23" s="253">
        <v>0</v>
      </c>
      <c r="CA23" s="139" t="str">
        <f t="shared" si="41"/>
        <v>-</v>
      </c>
      <c r="CB23" s="257">
        <v>1</v>
      </c>
      <c r="CC23" s="253">
        <v>1</v>
      </c>
      <c r="CD23" s="139">
        <f t="shared" si="42"/>
        <v>1</v>
      </c>
      <c r="CE23" s="20">
        <v>0</v>
      </c>
      <c r="CF23" s="21">
        <v>0</v>
      </c>
      <c r="CG23" s="139" t="str">
        <f t="shared" si="55"/>
        <v>-</v>
      </c>
      <c r="CH23" s="20">
        <v>0</v>
      </c>
      <c r="CI23" s="21">
        <v>0</v>
      </c>
      <c r="CJ23" s="139" t="str">
        <f t="shared" si="56"/>
        <v>-</v>
      </c>
      <c r="CK23" s="20">
        <v>0</v>
      </c>
      <c r="CL23" s="21">
        <v>0</v>
      </c>
      <c r="CM23" s="139" t="str">
        <f t="shared" si="57"/>
        <v>-</v>
      </c>
      <c r="CN23" s="117">
        <f t="shared" si="36"/>
        <v>161</v>
      </c>
      <c r="CO23" s="120">
        <f t="shared" si="37"/>
        <v>22</v>
      </c>
      <c r="CP23" s="147">
        <f t="shared" si="30"/>
        <v>7.3181818181818183</v>
      </c>
    </row>
    <row r="24" spans="1:94" ht="15" thickBot="1" x14ac:dyDescent="0.35">
      <c r="A24" s="294">
        <v>45889</v>
      </c>
      <c r="B24" s="20">
        <v>58</v>
      </c>
      <c r="C24" s="21">
        <v>7</v>
      </c>
      <c r="D24" s="139">
        <f t="shared" si="0"/>
        <v>8.2857142857142865</v>
      </c>
      <c r="E24" s="20">
        <v>8</v>
      </c>
      <c r="F24" s="21">
        <v>1</v>
      </c>
      <c r="G24" s="139">
        <f t="shared" si="31"/>
        <v>8</v>
      </c>
      <c r="H24" s="20">
        <v>0</v>
      </c>
      <c r="I24" s="21">
        <v>0</v>
      </c>
      <c r="J24" s="139" t="str">
        <f t="shared" si="2"/>
        <v>-</v>
      </c>
      <c r="K24" s="20">
        <v>14</v>
      </c>
      <c r="L24" s="21">
        <v>2</v>
      </c>
      <c r="M24" s="139">
        <f t="shared" si="3"/>
        <v>7</v>
      </c>
      <c r="N24" s="20">
        <v>0</v>
      </c>
      <c r="O24" s="21">
        <v>0</v>
      </c>
      <c r="P24" s="139" t="str">
        <f t="shared" si="4"/>
        <v>-</v>
      </c>
      <c r="Q24" s="20">
        <v>42</v>
      </c>
      <c r="R24" s="21">
        <v>8</v>
      </c>
      <c r="S24" s="139">
        <f t="shared" si="5"/>
        <v>5.25</v>
      </c>
      <c r="T24" s="20">
        <v>0</v>
      </c>
      <c r="U24" s="21">
        <v>0</v>
      </c>
      <c r="V24" s="139" t="str">
        <f t="shared" si="6"/>
        <v>-</v>
      </c>
      <c r="W24" s="20">
        <v>0</v>
      </c>
      <c r="X24" s="21">
        <v>0</v>
      </c>
      <c r="Y24" s="139" t="str">
        <f t="shared" si="7"/>
        <v>-</v>
      </c>
      <c r="Z24" s="20">
        <v>10</v>
      </c>
      <c r="AA24" s="21">
        <v>3</v>
      </c>
      <c r="AB24" s="139">
        <f t="shared" si="8"/>
        <v>3.3333333333333335</v>
      </c>
      <c r="AC24" s="20">
        <v>15</v>
      </c>
      <c r="AD24" s="21">
        <v>3</v>
      </c>
      <c r="AE24" s="139">
        <f t="shared" si="9"/>
        <v>5</v>
      </c>
      <c r="AF24" s="20">
        <v>0</v>
      </c>
      <c r="AG24" s="21">
        <v>0</v>
      </c>
      <c r="AH24" s="139" t="str">
        <f t="shared" si="10"/>
        <v>-</v>
      </c>
      <c r="AI24" s="20">
        <v>9</v>
      </c>
      <c r="AJ24" s="21">
        <v>2</v>
      </c>
      <c r="AK24" s="139">
        <f t="shared" si="11"/>
        <v>4.5</v>
      </c>
      <c r="AL24" s="20">
        <v>0</v>
      </c>
      <c r="AM24" s="21">
        <v>0</v>
      </c>
      <c r="AN24" s="139" t="str">
        <f t="shared" si="12"/>
        <v>-</v>
      </c>
      <c r="AO24" s="20">
        <v>7</v>
      </c>
      <c r="AP24" s="21">
        <v>2</v>
      </c>
      <c r="AQ24" s="139">
        <f t="shared" si="13"/>
        <v>3.5</v>
      </c>
      <c r="AR24" s="20">
        <v>0</v>
      </c>
      <c r="AS24" s="21">
        <v>0</v>
      </c>
      <c r="AT24" s="139" t="str">
        <f t="shared" si="14"/>
        <v>-</v>
      </c>
      <c r="AU24" s="20">
        <v>0</v>
      </c>
      <c r="AV24" s="21">
        <v>0</v>
      </c>
      <c r="AW24" s="139" t="str">
        <f t="shared" si="15"/>
        <v>-</v>
      </c>
      <c r="AX24" s="20">
        <v>0</v>
      </c>
      <c r="AY24" s="21">
        <v>0</v>
      </c>
      <c r="AZ24" s="139" t="str">
        <f t="shared" si="16"/>
        <v>-</v>
      </c>
      <c r="BA24" s="20">
        <v>3</v>
      </c>
      <c r="BB24" s="21">
        <v>1</v>
      </c>
      <c r="BC24" s="139">
        <f t="shared" si="17"/>
        <v>3</v>
      </c>
      <c r="BD24" s="20">
        <v>2</v>
      </c>
      <c r="BE24" s="21">
        <v>1</v>
      </c>
      <c r="BF24" s="139">
        <f t="shared" si="18"/>
        <v>2</v>
      </c>
      <c r="BG24" s="20">
        <v>4</v>
      </c>
      <c r="BH24" s="21">
        <v>1</v>
      </c>
      <c r="BI24" s="139">
        <f t="shared" si="19"/>
        <v>4</v>
      </c>
      <c r="BJ24" s="252">
        <v>19</v>
      </c>
      <c r="BK24" s="253">
        <v>3</v>
      </c>
      <c r="BL24" s="276">
        <f t="shared" si="20"/>
        <v>6.333333333333333</v>
      </c>
      <c r="BM24" s="252">
        <v>0</v>
      </c>
      <c r="BN24" s="253">
        <v>0</v>
      </c>
      <c r="BO24" s="276" t="str">
        <f t="shared" si="21"/>
        <v>-</v>
      </c>
      <c r="BP24" s="302">
        <v>0</v>
      </c>
      <c r="BQ24" s="303">
        <v>0</v>
      </c>
      <c r="BR24" s="276" t="str">
        <f t="shared" si="22"/>
        <v>-</v>
      </c>
      <c r="BS24" s="256">
        <v>6</v>
      </c>
      <c r="BT24" s="253">
        <v>1</v>
      </c>
      <c r="BU24" s="276">
        <f t="shared" si="23"/>
        <v>6</v>
      </c>
      <c r="BV24" s="257">
        <v>6</v>
      </c>
      <c r="BW24" s="253">
        <v>2</v>
      </c>
      <c r="BX24" s="139">
        <f t="shared" si="40"/>
        <v>3</v>
      </c>
      <c r="BY24" s="257">
        <v>0</v>
      </c>
      <c r="BZ24" s="253">
        <v>0</v>
      </c>
      <c r="CA24" s="139" t="str">
        <f t="shared" si="41"/>
        <v>-</v>
      </c>
      <c r="CB24" s="257">
        <v>0</v>
      </c>
      <c r="CC24" s="253">
        <v>0</v>
      </c>
      <c r="CD24" s="139" t="str">
        <f t="shared" si="42"/>
        <v>-</v>
      </c>
      <c r="CE24" s="257">
        <v>13</v>
      </c>
      <c r="CF24" s="253">
        <v>2</v>
      </c>
      <c r="CG24" s="139">
        <f t="shared" si="27"/>
        <v>6.5</v>
      </c>
      <c r="CH24" s="257">
        <v>0</v>
      </c>
      <c r="CI24" s="253">
        <v>0</v>
      </c>
      <c r="CJ24" s="139" t="str">
        <f t="shared" si="28"/>
        <v>-</v>
      </c>
      <c r="CK24" s="257">
        <v>0</v>
      </c>
      <c r="CL24" s="253">
        <v>0</v>
      </c>
      <c r="CM24" s="139" t="str">
        <f t="shared" si="35"/>
        <v>-</v>
      </c>
      <c r="CN24" s="117">
        <f t="shared" si="36"/>
        <v>214</v>
      </c>
      <c r="CO24" s="120">
        <f t="shared" si="37"/>
        <v>35</v>
      </c>
      <c r="CP24" s="147">
        <f t="shared" si="30"/>
        <v>6.1142857142857139</v>
      </c>
    </row>
    <row r="25" spans="1:94" ht="15" thickBot="1" x14ac:dyDescent="0.35">
      <c r="A25" s="294">
        <v>45890</v>
      </c>
      <c r="B25" s="20">
        <v>96</v>
      </c>
      <c r="C25" s="21">
        <v>11</v>
      </c>
      <c r="D25" s="139">
        <f t="shared" si="0"/>
        <v>8.7272727272727266</v>
      </c>
      <c r="E25" s="20">
        <v>0</v>
      </c>
      <c r="F25" s="21">
        <v>0</v>
      </c>
      <c r="G25" s="139" t="str">
        <f t="shared" si="31"/>
        <v>-</v>
      </c>
      <c r="H25" s="20">
        <v>0</v>
      </c>
      <c r="I25" s="21">
        <v>0</v>
      </c>
      <c r="J25" s="139" t="str">
        <f t="shared" si="2"/>
        <v>-</v>
      </c>
      <c r="K25" s="20">
        <v>17</v>
      </c>
      <c r="L25" s="21">
        <v>2</v>
      </c>
      <c r="M25" s="139">
        <f t="shared" si="3"/>
        <v>8.5</v>
      </c>
      <c r="N25" s="125">
        <v>0</v>
      </c>
      <c r="O25" s="126">
        <v>0</v>
      </c>
      <c r="P25" s="139" t="str">
        <f t="shared" si="4"/>
        <v>-</v>
      </c>
      <c r="Q25" s="20">
        <v>32</v>
      </c>
      <c r="R25" s="21">
        <v>6</v>
      </c>
      <c r="S25" s="139">
        <f t="shared" si="5"/>
        <v>5.333333333333333</v>
      </c>
      <c r="T25" s="20">
        <v>0</v>
      </c>
      <c r="U25" s="21">
        <v>0</v>
      </c>
      <c r="V25" s="139" t="str">
        <f t="shared" ref="V25" si="69">IF(U25=0,"-",T25/U25)</f>
        <v>-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28</v>
      </c>
      <c r="AD25" s="21">
        <v>6</v>
      </c>
      <c r="AE25" s="139">
        <f t="shared" si="9"/>
        <v>4.666666666666667</v>
      </c>
      <c r="AF25" s="20">
        <v>6</v>
      </c>
      <c r="AG25" s="21">
        <v>1</v>
      </c>
      <c r="AH25" s="139">
        <f t="shared" si="10"/>
        <v>6</v>
      </c>
      <c r="AI25" s="20">
        <v>6</v>
      </c>
      <c r="AJ25" s="21">
        <v>1</v>
      </c>
      <c r="AK25" s="139">
        <f t="shared" si="11"/>
        <v>6</v>
      </c>
      <c r="AL25" s="20">
        <v>0</v>
      </c>
      <c r="AM25" s="21">
        <v>0</v>
      </c>
      <c r="AN25" s="139" t="str">
        <f t="shared" si="12"/>
        <v>-</v>
      </c>
      <c r="AO25" s="20">
        <v>0</v>
      </c>
      <c r="AP25" s="21">
        <v>0</v>
      </c>
      <c r="AQ25" s="139" t="str">
        <f t="shared" si="13"/>
        <v>-</v>
      </c>
      <c r="AR25" s="20">
        <v>9</v>
      </c>
      <c r="AS25" s="21">
        <v>1</v>
      </c>
      <c r="AT25" s="139">
        <f t="shared" si="14"/>
        <v>9</v>
      </c>
      <c r="AU25" s="20">
        <v>0</v>
      </c>
      <c r="AV25" s="21">
        <v>0</v>
      </c>
      <c r="AW25" s="139" t="str">
        <f t="shared" si="15"/>
        <v>-</v>
      </c>
      <c r="AX25" s="20">
        <v>7</v>
      </c>
      <c r="AY25" s="21">
        <v>1</v>
      </c>
      <c r="AZ25" s="139">
        <f t="shared" si="16"/>
        <v>7</v>
      </c>
      <c r="BA25" s="20">
        <v>0</v>
      </c>
      <c r="BB25" s="21">
        <v>0</v>
      </c>
      <c r="BC25" s="139" t="str">
        <f t="shared" si="17"/>
        <v>-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52">
        <v>6</v>
      </c>
      <c r="BK25" s="253">
        <v>1</v>
      </c>
      <c r="BL25" s="276">
        <f t="shared" si="20"/>
        <v>6</v>
      </c>
      <c r="BM25" s="252">
        <v>9</v>
      </c>
      <c r="BN25" s="253">
        <v>1</v>
      </c>
      <c r="BO25" s="276">
        <f t="shared" si="21"/>
        <v>9</v>
      </c>
      <c r="BP25" s="302">
        <v>0</v>
      </c>
      <c r="BQ25" s="303">
        <v>0</v>
      </c>
      <c r="BR25" s="276" t="str">
        <f t="shared" si="22"/>
        <v>-</v>
      </c>
      <c r="BS25" s="257">
        <v>0</v>
      </c>
      <c r="BT25" s="253">
        <v>0</v>
      </c>
      <c r="BU25" s="276" t="str">
        <f t="shared" si="23"/>
        <v>-</v>
      </c>
      <c r="BV25" s="257">
        <v>0</v>
      </c>
      <c r="BW25" s="253">
        <v>0</v>
      </c>
      <c r="BX25" s="276" t="str">
        <f t="shared" si="40"/>
        <v>-</v>
      </c>
      <c r="BY25" s="257">
        <v>0</v>
      </c>
      <c r="BZ25" s="253">
        <v>0</v>
      </c>
      <c r="CA25" s="276" t="str">
        <f t="shared" si="41"/>
        <v>-</v>
      </c>
      <c r="CB25" s="257">
        <v>0</v>
      </c>
      <c r="CC25" s="253">
        <v>0</v>
      </c>
      <c r="CD25" s="276" t="str">
        <f t="shared" si="42"/>
        <v>-</v>
      </c>
      <c r="CE25" s="257">
        <v>7</v>
      </c>
      <c r="CF25" s="253">
        <v>1</v>
      </c>
      <c r="CG25" s="139">
        <f t="shared" si="27"/>
        <v>7</v>
      </c>
      <c r="CH25" s="257">
        <v>0</v>
      </c>
      <c r="CI25" s="253">
        <v>0</v>
      </c>
      <c r="CJ25" s="139" t="str">
        <f t="shared" si="28"/>
        <v>-</v>
      </c>
      <c r="CK25" s="257">
        <v>0</v>
      </c>
      <c r="CL25" s="253">
        <v>0</v>
      </c>
      <c r="CM25" s="139" t="str">
        <f t="shared" si="35"/>
        <v>-</v>
      </c>
      <c r="CN25" s="117">
        <f t="shared" si="36"/>
        <v>223</v>
      </c>
      <c r="CO25" s="120">
        <f t="shared" si="37"/>
        <v>32</v>
      </c>
      <c r="CP25" s="147">
        <f t="shared" si="30"/>
        <v>6.96875</v>
      </c>
    </row>
    <row r="26" spans="1:94" ht="15" thickBot="1" x14ac:dyDescent="0.35">
      <c r="A26" s="294">
        <v>45891</v>
      </c>
      <c r="B26" s="20">
        <v>65</v>
      </c>
      <c r="C26" s="21">
        <v>8</v>
      </c>
      <c r="D26" s="139">
        <f t="shared" si="0"/>
        <v>8.125</v>
      </c>
      <c r="E26" s="20">
        <v>0</v>
      </c>
      <c r="F26" s="21">
        <v>0</v>
      </c>
      <c r="G26" s="139" t="str">
        <f t="shared" si="31"/>
        <v>-</v>
      </c>
      <c r="H26" s="20">
        <v>0</v>
      </c>
      <c r="I26" s="21">
        <v>0</v>
      </c>
      <c r="J26" s="139">
        <v>0</v>
      </c>
      <c r="K26" s="20">
        <v>0</v>
      </c>
      <c r="L26" s="21">
        <v>0</v>
      </c>
      <c r="M26" s="139" t="str">
        <f t="shared" si="3"/>
        <v>-</v>
      </c>
      <c r="N26" s="125">
        <v>0</v>
      </c>
      <c r="O26" s="126">
        <v>0</v>
      </c>
      <c r="P26" s="139" t="str">
        <f t="shared" si="4"/>
        <v>-</v>
      </c>
      <c r="Q26" s="125">
        <v>14</v>
      </c>
      <c r="R26" s="126">
        <v>3</v>
      </c>
      <c r="S26" s="139">
        <f t="shared" si="5"/>
        <v>4.666666666666667</v>
      </c>
      <c r="T26" s="20">
        <v>0</v>
      </c>
      <c r="U26" s="21">
        <v>0</v>
      </c>
      <c r="V26" s="139" t="str">
        <f t="shared" ref="V26" si="70">IF(U26=0,"-",T26/U26)</f>
        <v>-</v>
      </c>
      <c r="W26" s="20">
        <v>0</v>
      </c>
      <c r="X26" s="21">
        <v>0</v>
      </c>
      <c r="Y26" s="139" t="str">
        <f t="shared" ref="Y26" si="71">IF(X26=0,"-",W26/X26)</f>
        <v>-</v>
      </c>
      <c r="Z26" s="20">
        <v>0</v>
      </c>
      <c r="AA26" s="21">
        <v>0</v>
      </c>
      <c r="AB26" s="139" t="str">
        <f>IF(AA26=0,"-",Z26/AA26)</f>
        <v>-</v>
      </c>
      <c r="AC26" s="20">
        <v>0</v>
      </c>
      <c r="AD26" s="21">
        <v>0</v>
      </c>
      <c r="AE26" s="139" t="str">
        <f t="shared" si="9"/>
        <v>-</v>
      </c>
      <c r="AF26" s="20">
        <v>0</v>
      </c>
      <c r="AG26" s="21">
        <v>0</v>
      </c>
      <c r="AH26" s="139" t="str">
        <f t="shared" si="10"/>
        <v>-</v>
      </c>
      <c r="AI26" s="20">
        <v>0</v>
      </c>
      <c r="AJ26" s="21">
        <v>0</v>
      </c>
      <c r="AK26" s="139" t="str">
        <f t="shared" si="11"/>
        <v>-</v>
      </c>
      <c r="AL26" s="20">
        <v>0</v>
      </c>
      <c r="AM26" s="21">
        <v>0</v>
      </c>
      <c r="AN26" s="139" t="str">
        <f t="shared" si="12"/>
        <v>-</v>
      </c>
      <c r="AO26" s="20">
        <v>34</v>
      </c>
      <c r="AP26" s="21">
        <v>6</v>
      </c>
      <c r="AQ26" s="139">
        <f t="shared" si="13"/>
        <v>5.666666666666667</v>
      </c>
      <c r="AR26" s="20">
        <v>0</v>
      </c>
      <c r="AS26" s="21">
        <v>0</v>
      </c>
      <c r="AT26" s="139" t="str">
        <f t="shared" si="14"/>
        <v>-</v>
      </c>
      <c r="AU26" s="20">
        <v>0</v>
      </c>
      <c r="AV26" s="21">
        <v>0</v>
      </c>
      <c r="AW26" s="139" t="str">
        <f t="shared" si="15"/>
        <v>-</v>
      </c>
      <c r="AX26" s="20">
        <v>1</v>
      </c>
      <c r="AY26" s="21">
        <v>1</v>
      </c>
      <c r="AZ26" s="139">
        <f t="shared" si="16"/>
        <v>1</v>
      </c>
      <c r="BA26" s="20">
        <v>0</v>
      </c>
      <c r="BB26" s="21">
        <v>0</v>
      </c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125">
        <v>6</v>
      </c>
      <c r="BH26" s="126">
        <v>1</v>
      </c>
      <c r="BI26" s="139">
        <f t="shared" si="19"/>
        <v>6</v>
      </c>
      <c r="BJ26" s="252">
        <v>30</v>
      </c>
      <c r="BK26" s="253">
        <v>5</v>
      </c>
      <c r="BL26" s="276">
        <f t="shared" si="20"/>
        <v>6</v>
      </c>
      <c r="BM26" s="252">
        <v>0</v>
      </c>
      <c r="BN26" s="253">
        <v>0</v>
      </c>
      <c r="BO26" s="276" t="str">
        <f t="shared" si="21"/>
        <v>-</v>
      </c>
      <c r="BP26" s="302">
        <v>0</v>
      </c>
      <c r="BQ26" s="303">
        <v>0</v>
      </c>
      <c r="BR26" s="276" t="str">
        <f t="shared" si="22"/>
        <v>-</v>
      </c>
      <c r="BS26" s="257">
        <v>0</v>
      </c>
      <c r="BT26" s="253">
        <v>0</v>
      </c>
      <c r="BU26" s="276" t="str">
        <f t="shared" si="23"/>
        <v>-</v>
      </c>
      <c r="BV26" s="257">
        <v>0</v>
      </c>
      <c r="BW26" s="253">
        <v>0</v>
      </c>
      <c r="BX26" s="276" t="str">
        <f t="shared" si="40"/>
        <v>-</v>
      </c>
      <c r="BY26" s="257">
        <v>0</v>
      </c>
      <c r="BZ26" s="253">
        <v>0</v>
      </c>
      <c r="CA26" s="276" t="str">
        <f t="shared" si="41"/>
        <v>-</v>
      </c>
      <c r="CB26" s="257">
        <v>0</v>
      </c>
      <c r="CC26" s="253">
        <v>0</v>
      </c>
      <c r="CD26" s="276" t="str">
        <f t="shared" si="42"/>
        <v>-</v>
      </c>
      <c r="CE26" s="257">
        <v>6</v>
      </c>
      <c r="CF26" s="253">
        <v>1</v>
      </c>
      <c r="CG26" s="139">
        <f t="shared" si="27"/>
        <v>6</v>
      </c>
      <c r="CH26" s="257">
        <v>0</v>
      </c>
      <c r="CI26" s="253">
        <v>0</v>
      </c>
      <c r="CJ26" s="139" t="str">
        <f t="shared" si="28"/>
        <v>-</v>
      </c>
      <c r="CK26" s="257">
        <v>0</v>
      </c>
      <c r="CL26" s="253">
        <v>0</v>
      </c>
      <c r="CM26" s="139" t="str">
        <f t="shared" si="35"/>
        <v>-</v>
      </c>
      <c r="CN26" s="117">
        <f>SUM(B26,E26,H26,K26,Q26,T26,W26,Z26,AC26,AF26,AI26,AL26,AO26,AR26,AX26,BA26,BG26,BJ26,BM26,BP26,BS26,BV26,BY26,CB26,CE26,CH26,CK26)</f>
        <v>156</v>
      </c>
      <c r="CO26" s="120">
        <f>C26+F26+I26+L26+R26+U26+X26+AA26+AD26+AG26+AJ26+AS26+AV26+AY26+BB26+BE26+BH26+BK26+BN26+BQ26+BT26+CC26+CF26+CI26+CL26</f>
        <v>19</v>
      </c>
      <c r="CP26" s="147">
        <f t="shared" si="30"/>
        <v>8.2105263157894743</v>
      </c>
    </row>
    <row r="27" spans="1:94" ht="15" thickBot="1" x14ac:dyDescent="0.35">
      <c r="A27" s="294">
        <v>45892</v>
      </c>
      <c r="B27" s="20">
        <v>71</v>
      </c>
      <c r="C27" s="21">
        <v>7</v>
      </c>
      <c r="D27" s="139">
        <f t="shared" si="0"/>
        <v>10.142857142857142</v>
      </c>
      <c r="E27" s="20">
        <v>19</v>
      </c>
      <c r="F27" s="21">
        <v>2</v>
      </c>
      <c r="G27" s="139">
        <f t="shared" si="31"/>
        <v>9.5</v>
      </c>
      <c r="H27" s="20">
        <v>0</v>
      </c>
      <c r="I27" s="21">
        <v>0</v>
      </c>
      <c r="J27" s="139" t="str">
        <f t="shared" si="2"/>
        <v>-</v>
      </c>
      <c r="K27" s="20">
        <v>10</v>
      </c>
      <c r="L27" s="21">
        <v>1</v>
      </c>
      <c r="M27" s="139">
        <f t="shared" si="3"/>
        <v>10</v>
      </c>
      <c r="N27" s="125">
        <v>0</v>
      </c>
      <c r="O27" s="126">
        <v>0</v>
      </c>
      <c r="P27" s="139" t="str">
        <f t="shared" si="4"/>
        <v>-</v>
      </c>
      <c r="Q27" s="125">
        <v>56</v>
      </c>
      <c r="R27" s="126">
        <v>10</v>
      </c>
      <c r="S27" s="139">
        <f t="shared" si="5"/>
        <v>5.6</v>
      </c>
      <c r="T27" s="20">
        <v>0</v>
      </c>
      <c r="U27" s="21">
        <v>0</v>
      </c>
      <c r="V27" s="139" t="str">
        <f t="shared" ref="V27" si="72">IF(U27=0,"-",T27/U27)</f>
        <v>-</v>
      </c>
      <c r="W27" s="20">
        <v>0</v>
      </c>
      <c r="X27" s="21">
        <v>0</v>
      </c>
      <c r="Y27" s="139" t="str">
        <f t="shared" ref="Y27" si="73">IF(X27=0,"-",W27/X27)</f>
        <v>-</v>
      </c>
      <c r="Z27" s="20">
        <v>0</v>
      </c>
      <c r="AA27" s="21">
        <v>0</v>
      </c>
      <c r="AB27" s="139" t="str">
        <f>IF(AA27=0,"-",Z27/AA27)</f>
        <v>-</v>
      </c>
      <c r="AC27" s="20">
        <v>0</v>
      </c>
      <c r="AD27" s="21">
        <v>0</v>
      </c>
      <c r="AE27" s="139" t="str">
        <f t="shared" ref="AE27" si="74">IF(AD27=0,"-",AC27/AD27)</f>
        <v>-</v>
      </c>
      <c r="AF27" s="20">
        <v>0</v>
      </c>
      <c r="AG27" s="21">
        <v>0</v>
      </c>
      <c r="AH27" s="139" t="str">
        <f t="shared" ref="AH27" si="75">IF(AG27=0,"-",AF27/AG27)</f>
        <v>-</v>
      </c>
      <c r="AI27" s="125">
        <v>6</v>
      </c>
      <c r="AJ27" s="126">
        <v>1</v>
      </c>
      <c r="AK27" s="139">
        <f t="shared" si="11"/>
        <v>6</v>
      </c>
      <c r="AL27" s="125">
        <v>17</v>
      </c>
      <c r="AM27" s="126">
        <v>3</v>
      </c>
      <c r="AN27" s="139">
        <f t="shared" si="12"/>
        <v>5.666666666666667</v>
      </c>
      <c r="AO27" s="125">
        <v>6</v>
      </c>
      <c r="AP27" s="126">
        <v>1</v>
      </c>
      <c r="AQ27" s="139">
        <f t="shared" si="13"/>
        <v>6</v>
      </c>
      <c r="AR27" s="125">
        <v>0</v>
      </c>
      <c r="AS27" s="126">
        <v>0</v>
      </c>
      <c r="AT27" s="139" t="str">
        <f t="shared" si="14"/>
        <v>-</v>
      </c>
      <c r="AU27" s="125">
        <v>0</v>
      </c>
      <c r="AV27" s="126">
        <v>0</v>
      </c>
      <c r="AW27" s="139" t="str">
        <f t="shared" si="15"/>
        <v>-</v>
      </c>
      <c r="AX27" s="125">
        <v>0</v>
      </c>
      <c r="AY27" s="126">
        <v>0</v>
      </c>
      <c r="AZ27" s="139" t="str">
        <f t="shared" si="16"/>
        <v>-</v>
      </c>
      <c r="BA27" s="20">
        <v>0</v>
      </c>
      <c r="BB27" s="21">
        <v>0</v>
      </c>
      <c r="BC27" s="139" t="str">
        <f t="shared" si="17"/>
        <v>-</v>
      </c>
      <c r="BD27" s="20">
        <v>0</v>
      </c>
      <c r="BE27" s="21">
        <v>0</v>
      </c>
      <c r="BF27" s="139" t="str">
        <f t="shared" si="18"/>
        <v>-</v>
      </c>
      <c r="BG27" s="125">
        <v>0</v>
      </c>
      <c r="BH27" s="126">
        <v>0</v>
      </c>
      <c r="BI27" s="139" t="str">
        <f t="shared" si="19"/>
        <v>-</v>
      </c>
      <c r="BJ27" s="252">
        <v>6</v>
      </c>
      <c r="BK27" s="253">
        <v>1</v>
      </c>
      <c r="BL27" s="276">
        <f t="shared" si="20"/>
        <v>6</v>
      </c>
      <c r="BM27" s="252">
        <v>0</v>
      </c>
      <c r="BN27" s="253">
        <v>0</v>
      </c>
      <c r="BO27" s="276" t="str">
        <f t="shared" si="21"/>
        <v>-</v>
      </c>
      <c r="BP27" s="302">
        <v>0</v>
      </c>
      <c r="BQ27" s="303">
        <v>0</v>
      </c>
      <c r="BR27" s="276" t="str">
        <f t="shared" si="22"/>
        <v>-</v>
      </c>
      <c r="BS27" s="257">
        <v>6</v>
      </c>
      <c r="BT27" s="253">
        <v>1</v>
      </c>
      <c r="BU27" s="276">
        <f t="shared" si="23"/>
        <v>6</v>
      </c>
      <c r="BV27" s="257">
        <v>0</v>
      </c>
      <c r="BW27" s="253">
        <v>0</v>
      </c>
      <c r="BX27" s="276" t="str">
        <f t="shared" ref="BX27" si="76">IF(BW27=0,"-",BV27/BW27)</f>
        <v>-</v>
      </c>
      <c r="BY27" s="257">
        <v>0</v>
      </c>
      <c r="BZ27" s="253">
        <v>0</v>
      </c>
      <c r="CA27" s="276" t="str">
        <f t="shared" ref="CA27" si="77">IF(BZ27=0,"-",BY27/BZ27)</f>
        <v>-</v>
      </c>
      <c r="CB27" s="257">
        <v>0</v>
      </c>
      <c r="CC27" s="253">
        <v>0</v>
      </c>
      <c r="CD27" s="276" t="str">
        <f t="shared" ref="CD27" si="78">IF(CC27=0,"-",CB27/CC27)</f>
        <v>-</v>
      </c>
      <c r="CE27" s="257">
        <v>6</v>
      </c>
      <c r="CF27" s="253">
        <v>1</v>
      </c>
      <c r="CG27" s="276">
        <f t="shared" si="27"/>
        <v>6</v>
      </c>
      <c r="CH27" s="257">
        <v>0</v>
      </c>
      <c r="CI27" s="253">
        <v>0</v>
      </c>
      <c r="CJ27" s="276" t="str">
        <f t="shared" si="28"/>
        <v>-</v>
      </c>
      <c r="CK27" s="257">
        <v>0</v>
      </c>
      <c r="CL27" s="253">
        <v>0</v>
      </c>
      <c r="CM27" s="276" t="str">
        <f t="shared" si="35"/>
        <v>-</v>
      </c>
      <c r="CN27" s="117">
        <f t="shared" si="36"/>
        <v>203</v>
      </c>
      <c r="CO27" s="120">
        <f t="shared" si="37"/>
        <v>24</v>
      </c>
      <c r="CP27" s="147">
        <f t="shared" si="30"/>
        <v>8.4583333333333339</v>
      </c>
    </row>
    <row r="28" spans="1:94" ht="15" thickBot="1" x14ac:dyDescent="0.35">
      <c r="A28" s="294">
        <v>45893</v>
      </c>
      <c r="B28" s="20">
        <v>29</v>
      </c>
      <c r="C28" s="21">
        <v>3</v>
      </c>
      <c r="D28" s="139">
        <f t="shared" si="0"/>
        <v>9.6666666666666661</v>
      </c>
      <c r="E28" s="20">
        <v>0</v>
      </c>
      <c r="F28" s="21">
        <v>0</v>
      </c>
      <c r="G28" s="139" t="str">
        <f t="shared" si="31"/>
        <v>-</v>
      </c>
      <c r="H28" s="20">
        <v>0</v>
      </c>
      <c r="I28" s="21">
        <v>0</v>
      </c>
      <c r="J28" s="139" t="str">
        <f t="shared" si="2"/>
        <v>-</v>
      </c>
      <c r="K28" s="20">
        <v>37</v>
      </c>
      <c r="L28" s="21">
        <v>4</v>
      </c>
      <c r="M28" s="139">
        <f t="shared" si="3"/>
        <v>9.25</v>
      </c>
      <c r="N28" s="125">
        <v>0</v>
      </c>
      <c r="O28" s="126">
        <v>0</v>
      </c>
      <c r="P28" s="139" t="str">
        <f t="shared" si="4"/>
        <v>-</v>
      </c>
      <c r="Q28" s="125">
        <v>42</v>
      </c>
      <c r="R28" s="126">
        <v>7</v>
      </c>
      <c r="S28" s="139">
        <f t="shared" si="5"/>
        <v>6</v>
      </c>
      <c r="T28" s="20">
        <v>0</v>
      </c>
      <c r="U28" s="21">
        <v>0</v>
      </c>
      <c r="V28" s="139" t="str">
        <f t="shared" si="6"/>
        <v>-</v>
      </c>
      <c r="W28" s="125">
        <v>0</v>
      </c>
      <c r="X28" s="126">
        <v>0</v>
      </c>
      <c r="Y28" s="139" t="str">
        <f t="shared" si="7"/>
        <v>-</v>
      </c>
      <c r="Z28" s="125">
        <v>0</v>
      </c>
      <c r="AA28" s="126">
        <v>0</v>
      </c>
      <c r="AB28" s="139" t="str">
        <f t="shared" si="8"/>
        <v>-</v>
      </c>
      <c r="AC28" s="20">
        <v>0</v>
      </c>
      <c r="AD28" s="21">
        <v>0</v>
      </c>
      <c r="AE28" s="139" t="str">
        <f t="shared" si="9"/>
        <v>-</v>
      </c>
      <c r="AF28" s="20">
        <v>0</v>
      </c>
      <c r="AG28" s="21">
        <v>0</v>
      </c>
      <c r="AH28" s="139" t="str">
        <f t="shared" si="10"/>
        <v>-</v>
      </c>
      <c r="AI28" s="125">
        <v>0</v>
      </c>
      <c r="AJ28" s="126">
        <v>0</v>
      </c>
      <c r="AK28" s="139" t="str">
        <f t="shared" si="11"/>
        <v>-</v>
      </c>
      <c r="AL28" s="125">
        <v>0</v>
      </c>
      <c r="AM28" s="126">
        <v>0</v>
      </c>
      <c r="AN28" s="139" t="str">
        <f t="shared" si="12"/>
        <v>-</v>
      </c>
      <c r="AO28" s="125">
        <v>0</v>
      </c>
      <c r="AP28" s="126">
        <v>0</v>
      </c>
      <c r="AQ28" s="139" t="str">
        <f t="shared" si="13"/>
        <v>-</v>
      </c>
      <c r="AR28" s="125">
        <v>0</v>
      </c>
      <c r="AS28" s="126">
        <v>0</v>
      </c>
      <c r="AT28" s="139" t="str">
        <f t="shared" ref="AT28" si="79">IF(AS28=0,"-",AR28/AS28)</f>
        <v>-</v>
      </c>
      <c r="AU28" s="125">
        <v>0</v>
      </c>
      <c r="AV28" s="126">
        <v>0</v>
      </c>
      <c r="AW28" s="139" t="str">
        <f t="shared" ref="AW28" si="80">IF(AV28=0,"-",AU28/AV28)</f>
        <v>-</v>
      </c>
      <c r="AX28" s="125">
        <v>0</v>
      </c>
      <c r="AY28" s="126">
        <v>0</v>
      </c>
      <c r="AZ28" s="139" t="str">
        <f t="shared" ref="AZ28" si="81">IF(AY28=0,"-",AX28/AY28)</f>
        <v>-</v>
      </c>
      <c r="BA28" s="20">
        <v>0</v>
      </c>
      <c r="BB28" s="21">
        <v>0</v>
      </c>
      <c r="BC28" s="139" t="str">
        <f t="shared" ref="BC28" si="82">IF(BB28=0,"-",BA28/BB28)</f>
        <v>-</v>
      </c>
      <c r="BD28" s="20">
        <v>0</v>
      </c>
      <c r="BE28" s="21">
        <v>0</v>
      </c>
      <c r="BF28" s="139" t="str">
        <f t="shared" ref="BF28" si="83">IF(BE28=0,"-",BD28/BE28)</f>
        <v>-</v>
      </c>
      <c r="BG28" s="125">
        <v>0</v>
      </c>
      <c r="BH28" s="126">
        <v>0</v>
      </c>
      <c r="BI28" s="139" t="str">
        <f t="shared" ref="BI28" si="84">IF(BH28=0,"-",BG28/BH28)</f>
        <v>-</v>
      </c>
      <c r="BJ28" s="252">
        <v>18</v>
      </c>
      <c r="BK28" s="253">
        <v>3</v>
      </c>
      <c r="BL28" s="139">
        <f t="shared" si="20"/>
        <v>6</v>
      </c>
      <c r="BM28" s="252">
        <v>0</v>
      </c>
      <c r="BN28" s="253">
        <v>0</v>
      </c>
      <c r="BO28" s="139" t="str">
        <f t="shared" si="21"/>
        <v>-</v>
      </c>
      <c r="BP28" s="302">
        <v>0</v>
      </c>
      <c r="BQ28" s="303">
        <v>0</v>
      </c>
      <c r="BR28" s="139" t="str">
        <f t="shared" si="22"/>
        <v>-</v>
      </c>
      <c r="BS28" s="257">
        <v>0</v>
      </c>
      <c r="BT28" s="253">
        <v>0</v>
      </c>
      <c r="BU28" s="139" t="str">
        <f t="shared" si="23"/>
        <v>-</v>
      </c>
      <c r="BV28" s="257">
        <v>4</v>
      </c>
      <c r="BW28" s="253">
        <v>3</v>
      </c>
      <c r="BX28" s="276">
        <f t="shared" si="40"/>
        <v>1.3333333333333333</v>
      </c>
      <c r="BY28" s="257">
        <v>0</v>
      </c>
      <c r="BZ28" s="253">
        <v>0</v>
      </c>
      <c r="CA28" s="276" t="str">
        <f t="shared" si="41"/>
        <v>-</v>
      </c>
      <c r="CB28" s="257">
        <v>1</v>
      </c>
      <c r="CC28" s="253">
        <v>1</v>
      </c>
      <c r="CD28" s="276">
        <f t="shared" si="42"/>
        <v>1</v>
      </c>
      <c r="CE28" s="20">
        <v>0</v>
      </c>
      <c r="CF28" s="21">
        <v>0</v>
      </c>
      <c r="CG28" s="139" t="str">
        <f t="shared" si="27"/>
        <v>-</v>
      </c>
      <c r="CH28" s="20">
        <v>0</v>
      </c>
      <c r="CI28" s="21">
        <v>0</v>
      </c>
      <c r="CJ28" s="139" t="str">
        <f t="shared" si="28"/>
        <v>-</v>
      </c>
      <c r="CK28" s="257">
        <v>0</v>
      </c>
      <c r="CL28" s="253">
        <v>0</v>
      </c>
      <c r="CM28" s="276" t="str">
        <f t="shared" si="35"/>
        <v>-</v>
      </c>
      <c r="CN28" s="117">
        <f t="shared" si="36"/>
        <v>131</v>
      </c>
      <c r="CO28" s="120">
        <f t="shared" si="37"/>
        <v>18</v>
      </c>
      <c r="CP28" s="147">
        <f t="shared" si="30"/>
        <v>7.2777777777777777</v>
      </c>
    </row>
    <row r="29" spans="1:94" ht="15" thickBot="1" x14ac:dyDescent="0.35">
      <c r="A29" s="294">
        <v>45894</v>
      </c>
      <c r="B29" s="20">
        <v>65</v>
      </c>
      <c r="C29" s="21">
        <v>7</v>
      </c>
      <c r="D29" s="139">
        <f t="shared" si="0"/>
        <v>9.2857142857142865</v>
      </c>
      <c r="E29" s="20">
        <v>0</v>
      </c>
      <c r="F29" s="21">
        <v>0</v>
      </c>
      <c r="G29" s="139" t="str">
        <f t="shared" si="31"/>
        <v>-</v>
      </c>
      <c r="H29" s="20">
        <v>0</v>
      </c>
      <c r="I29" s="21">
        <v>0</v>
      </c>
      <c r="J29" s="139" t="str">
        <f t="shared" si="2"/>
        <v>-</v>
      </c>
      <c r="K29" s="20">
        <v>38</v>
      </c>
      <c r="L29" s="21">
        <v>4</v>
      </c>
      <c r="M29" s="139">
        <f t="shared" si="3"/>
        <v>9.5</v>
      </c>
      <c r="N29" s="125">
        <v>0</v>
      </c>
      <c r="O29" s="126">
        <v>0</v>
      </c>
      <c r="P29" s="139" t="str">
        <f t="shared" si="4"/>
        <v>-</v>
      </c>
      <c r="Q29" s="125">
        <v>136</v>
      </c>
      <c r="R29" s="126">
        <v>24</v>
      </c>
      <c r="S29" s="139">
        <f t="shared" si="5"/>
        <v>5.666666666666667</v>
      </c>
      <c r="T29" s="125">
        <v>18</v>
      </c>
      <c r="U29" s="126">
        <v>4</v>
      </c>
      <c r="V29" s="139">
        <f t="shared" si="6"/>
        <v>4.5</v>
      </c>
      <c r="W29" s="125">
        <v>0</v>
      </c>
      <c r="X29" s="126">
        <v>0</v>
      </c>
      <c r="Y29" s="139" t="str">
        <f t="shared" si="7"/>
        <v>-</v>
      </c>
      <c r="Z29" s="125">
        <v>30</v>
      </c>
      <c r="AA29" s="126">
        <v>6</v>
      </c>
      <c r="AB29" s="139">
        <f t="shared" si="8"/>
        <v>5</v>
      </c>
      <c r="AC29" s="20">
        <v>0</v>
      </c>
      <c r="AD29" s="21">
        <v>0</v>
      </c>
      <c r="AE29" s="139" t="str">
        <f t="shared" ref="AE29" si="85">IF(AD29=0,"-",AC29/AD29)</f>
        <v>-</v>
      </c>
      <c r="AF29" s="20">
        <v>0</v>
      </c>
      <c r="AG29" s="21">
        <v>0</v>
      </c>
      <c r="AH29" s="139" t="str">
        <f t="shared" ref="AH29" si="86">IF(AG29=0,"-",AF29/AG29)</f>
        <v>-</v>
      </c>
      <c r="AI29" s="125">
        <v>0</v>
      </c>
      <c r="AJ29" s="126">
        <v>0</v>
      </c>
      <c r="AK29" s="139" t="str">
        <f t="shared" ref="AK29" si="87">IF(AJ29=0,"-",AI29/AJ29)</f>
        <v>-</v>
      </c>
      <c r="AL29" s="125">
        <v>0</v>
      </c>
      <c r="AM29" s="126">
        <v>0</v>
      </c>
      <c r="AN29" s="139" t="str">
        <f t="shared" ref="AN29" si="88">IF(AM29=0,"-",AL29/AM29)</f>
        <v>-</v>
      </c>
      <c r="AO29" s="125">
        <v>0</v>
      </c>
      <c r="AP29" s="126">
        <v>0</v>
      </c>
      <c r="AQ29" s="139" t="str">
        <f t="shared" ref="AQ29" si="89">IF(AP29=0,"-",AO29/AP29)</f>
        <v>-</v>
      </c>
      <c r="AR29" s="125">
        <v>0</v>
      </c>
      <c r="AS29" s="126">
        <v>0</v>
      </c>
      <c r="AT29" s="139" t="str">
        <f t="shared" ref="AT29" si="90">IF(AS29=0,"-",AR29/AS29)</f>
        <v>-</v>
      </c>
      <c r="AU29" s="125">
        <v>0</v>
      </c>
      <c r="AV29" s="126">
        <v>0</v>
      </c>
      <c r="AW29" s="139" t="str">
        <f t="shared" ref="AW29" si="91">IF(AV29=0,"-",AU29/AV29)</f>
        <v>-</v>
      </c>
      <c r="AX29" s="125">
        <v>0</v>
      </c>
      <c r="AY29" s="126">
        <v>0</v>
      </c>
      <c r="AZ29" s="139" t="str">
        <f t="shared" ref="AZ29" si="92">IF(AY29=0,"-",AX29/AY29)</f>
        <v>-</v>
      </c>
      <c r="BA29" s="125">
        <v>6</v>
      </c>
      <c r="BB29" s="126">
        <v>1</v>
      </c>
      <c r="BC29" s="139">
        <f t="shared" si="17"/>
        <v>6</v>
      </c>
      <c r="BD29" s="125">
        <v>2</v>
      </c>
      <c r="BE29" s="126">
        <v>1</v>
      </c>
      <c r="BF29" s="139">
        <f t="shared" si="18"/>
        <v>2</v>
      </c>
      <c r="BG29" s="125">
        <v>8</v>
      </c>
      <c r="BH29" s="126">
        <v>1</v>
      </c>
      <c r="BI29" s="139">
        <f t="shared" si="19"/>
        <v>8</v>
      </c>
      <c r="BJ29" s="252">
        <v>0</v>
      </c>
      <c r="BK29" s="253">
        <v>0</v>
      </c>
      <c r="BL29" s="276" t="str">
        <f t="shared" si="20"/>
        <v>-</v>
      </c>
      <c r="BM29" s="252">
        <v>0</v>
      </c>
      <c r="BN29" s="253">
        <v>0</v>
      </c>
      <c r="BO29" s="276" t="str">
        <f t="shared" si="21"/>
        <v>-</v>
      </c>
      <c r="BP29" s="302">
        <v>0</v>
      </c>
      <c r="BQ29" s="303">
        <v>0</v>
      </c>
      <c r="BR29" s="276" t="str">
        <f t="shared" si="22"/>
        <v>-</v>
      </c>
      <c r="BS29" s="257">
        <v>0</v>
      </c>
      <c r="BT29" s="253">
        <v>0</v>
      </c>
      <c r="BU29" s="276" t="str">
        <f t="shared" si="23"/>
        <v>-</v>
      </c>
      <c r="BV29" s="257">
        <v>0</v>
      </c>
      <c r="BW29" s="253">
        <v>0</v>
      </c>
      <c r="BX29" s="276" t="str">
        <f t="shared" si="40"/>
        <v>-</v>
      </c>
      <c r="BY29" s="257">
        <v>0</v>
      </c>
      <c r="BZ29" s="253">
        <v>0</v>
      </c>
      <c r="CA29" s="276" t="str">
        <f t="shared" si="41"/>
        <v>-</v>
      </c>
      <c r="CB29" s="257">
        <v>0</v>
      </c>
      <c r="CC29" s="253">
        <v>0</v>
      </c>
      <c r="CD29" s="276" t="str">
        <f t="shared" si="42"/>
        <v>-</v>
      </c>
      <c r="CE29" s="20">
        <v>0</v>
      </c>
      <c r="CF29" s="21">
        <v>0</v>
      </c>
      <c r="CG29" s="139" t="str">
        <f t="shared" si="27"/>
        <v>-</v>
      </c>
      <c r="CH29" s="20">
        <v>0</v>
      </c>
      <c r="CI29" s="21">
        <v>0</v>
      </c>
      <c r="CJ29" s="139" t="str">
        <f t="shared" si="28"/>
        <v>-</v>
      </c>
      <c r="CK29" s="257">
        <v>0</v>
      </c>
      <c r="CL29" s="253">
        <v>0</v>
      </c>
      <c r="CM29" s="276" t="str">
        <f t="shared" si="35"/>
        <v>-</v>
      </c>
      <c r="CN29" s="117">
        <f t="shared" si="36"/>
        <v>301</v>
      </c>
      <c r="CO29" s="120">
        <f t="shared" si="37"/>
        <v>48</v>
      </c>
      <c r="CP29" s="147">
        <f t="shared" si="30"/>
        <v>6.270833333333333</v>
      </c>
    </row>
    <row r="30" spans="1:94" ht="15" thickBot="1" x14ac:dyDescent="0.35">
      <c r="A30" s="294">
        <v>45895</v>
      </c>
      <c r="B30" s="20">
        <v>44</v>
      </c>
      <c r="C30" s="21">
        <v>5</v>
      </c>
      <c r="D30" s="139">
        <f t="shared" si="0"/>
        <v>8.8000000000000007</v>
      </c>
      <c r="E30" s="20">
        <v>0</v>
      </c>
      <c r="F30" s="21">
        <v>0</v>
      </c>
      <c r="G30" s="139" t="str">
        <f t="shared" si="31"/>
        <v>-</v>
      </c>
      <c r="H30" s="20">
        <v>0</v>
      </c>
      <c r="I30" s="21">
        <v>0</v>
      </c>
      <c r="J30" s="139" t="str">
        <f t="shared" si="2"/>
        <v>-</v>
      </c>
      <c r="K30" s="20">
        <v>22</v>
      </c>
      <c r="L30" s="21">
        <v>2</v>
      </c>
      <c r="M30" s="139">
        <f t="shared" si="3"/>
        <v>11</v>
      </c>
      <c r="N30" s="125">
        <v>0</v>
      </c>
      <c r="O30" s="126">
        <v>0</v>
      </c>
      <c r="P30" s="139" t="str">
        <f t="shared" si="4"/>
        <v>-</v>
      </c>
      <c r="Q30" s="125">
        <v>126</v>
      </c>
      <c r="R30" s="126">
        <v>20</v>
      </c>
      <c r="S30" s="139">
        <f t="shared" si="5"/>
        <v>6.3</v>
      </c>
      <c r="T30" s="125">
        <v>0</v>
      </c>
      <c r="U30" s="126">
        <v>0</v>
      </c>
      <c r="V30" s="139" t="str">
        <f t="shared" si="6"/>
        <v>-</v>
      </c>
      <c r="W30" s="125">
        <v>0</v>
      </c>
      <c r="X30" s="126">
        <v>0</v>
      </c>
      <c r="Y30" s="139" t="str">
        <f t="shared" si="7"/>
        <v>-</v>
      </c>
      <c r="Z30" s="125">
        <v>20</v>
      </c>
      <c r="AA30" s="126">
        <v>4</v>
      </c>
      <c r="AB30" s="139">
        <f t="shared" si="8"/>
        <v>5</v>
      </c>
      <c r="AC30" s="125">
        <v>1</v>
      </c>
      <c r="AD30" s="126">
        <v>1</v>
      </c>
      <c r="AE30" s="139">
        <f t="shared" si="9"/>
        <v>1</v>
      </c>
      <c r="AF30" s="125">
        <v>0</v>
      </c>
      <c r="AG30" s="126">
        <v>0</v>
      </c>
      <c r="AH30" s="139" t="str">
        <f t="shared" si="10"/>
        <v>-</v>
      </c>
      <c r="AI30" s="125">
        <v>6</v>
      </c>
      <c r="AJ30" s="126">
        <v>1</v>
      </c>
      <c r="AK30" s="139">
        <f t="shared" si="11"/>
        <v>6</v>
      </c>
      <c r="AL30" s="125">
        <v>0</v>
      </c>
      <c r="AM30" s="126">
        <v>0</v>
      </c>
      <c r="AN30" s="139" t="str">
        <f t="shared" ref="AN30" si="93">IF(AM30=0,"-",AL30/AM30)</f>
        <v>-</v>
      </c>
      <c r="AO30" s="125">
        <v>0</v>
      </c>
      <c r="AP30" s="126">
        <v>0</v>
      </c>
      <c r="AQ30" s="139" t="str">
        <f t="shared" ref="AQ30" si="94">IF(AP30=0,"-",AO30/AP30)</f>
        <v>-</v>
      </c>
      <c r="AR30" s="125">
        <v>18</v>
      </c>
      <c r="AS30" s="126">
        <v>3</v>
      </c>
      <c r="AT30" s="139">
        <f t="shared" si="14"/>
        <v>6</v>
      </c>
      <c r="AU30" s="125">
        <v>0</v>
      </c>
      <c r="AV30" s="126">
        <v>0</v>
      </c>
      <c r="AW30" s="139" t="str">
        <f t="shared" si="15"/>
        <v>-</v>
      </c>
      <c r="AX30" s="125">
        <v>0</v>
      </c>
      <c r="AY30" s="126">
        <v>0</v>
      </c>
      <c r="AZ30" s="139" t="str">
        <f t="shared" ref="AZ30" si="95">IF(AY30=0,"-",AX30/AY30)</f>
        <v>-</v>
      </c>
      <c r="BA30" s="125">
        <v>0</v>
      </c>
      <c r="BB30" s="126">
        <v>0</v>
      </c>
      <c r="BC30" s="139" t="str">
        <f t="shared" si="17"/>
        <v>-</v>
      </c>
      <c r="BD30" s="125">
        <v>0</v>
      </c>
      <c r="BE30" s="126">
        <v>0</v>
      </c>
      <c r="BF30" s="139" t="str">
        <f t="shared" si="18"/>
        <v>-</v>
      </c>
      <c r="BG30" s="125">
        <v>0</v>
      </c>
      <c r="BH30" s="126">
        <v>0</v>
      </c>
      <c r="BI30" s="139" t="str">
        <f t="shared" si="19"/>
        <v>-</v>
      </c>
      <c r="BJ30" s="252">
        <v>33</v>
      </c>
      <c r="BK30" s="253">
        <v>5</v>
      </c>
      <c r="BL30" s="276">
        <f t="shared" si="20"/>
        <v>6.6</v>
      </c>
      <c r="BM30" s="252">
        <v>0</v>
      </c>
      <c r="BN30" s="253">
        <v>0</v>
      </c>
      <c r="BO30" s="276" t="str">
        <f t="shared" si="21"/>
        <v>-</v>
      </c>
      <c r="BP30" s="302">
        <v>0</v>
      </c>
      <c r="BQ30" s="303">
        <v>0</v>
      </c>
      <c r="BR30" s="276" t="str">
        <f t="shared" si="22"/>
        <v>-</v>
      </c>
      <c r="BS30" s="257">
        <v>7</v>
      </c>
      <c r="BT30" s="253">
        <v>1</v>
      </c>
      <c r="BU30" s="276">
        <f t="shared" si="23"/>
        <v>7</v>
      </c>
      <c r="BV30" s="125">
        <v>0</v>
      </c>
      <c r="BW30" s="126">
        <v>0</v>
      </c>
      <c r="BX30" s="139" t="str">
        <f t="shared" si="40"/>
        <v>-</v>
      </c>
      <c r="BY30" s="125">
        <v>0</v>
      </c>
      <c r="BZ30" s="126">
        <v>0</v>
      </c>
      <c r="CA30" s="139" t="str">
        <f t="shared" si="41"/>
        <v>-</v>
      </c>
      <c r="CB30" s="125">
        <v>1</v>
      </c>
      <c r="CC30" s="126">
        <v>1</v>
      </c>
      <c r="CD30" s="139">
        <f t="shared" si="42"/>
        <v>1</v>
      </c>
      <c r="CE30" s="125">
        <v>5</v>
      </c>
      <c r="CF30" s="126">
        <v>1</v>
      </c>
      <c r="CG30" s="139">
        <f t="shared" si="27"/>
        <v>5</v>
      </c>
      <c r="CH30" s="125">
        <v>0</v>
      </c>
      <c r="CI30" s="126">
        <v>0</v>
      </c>
      <c r="CJ30" s="139" t="str">
        <f t="shared" si="28"/>
        <v>-</v>
      </c>
      <c r="CK30" s="125">
        <v>0</v>
      </c>
      <c r="CL30" s="126">
        <v>0</v>
      </c>
      <c r="CM30" s="276" t="str">
        <f t="shared" si="35"/>
        <v>-</v>
      </c>
      <c r="CN30" s="117">
        <f t="shared" si="36"/>
        <v>283</v>
      </c>
      <c r="CO30" s="120">
        <f t="shared" si="37"/>
        <v>44</v>
      </c>
      <c r="CP30" s="147">
        <f t="shared" si="30"/>
        <v>6.4318181818181817</v>
      </c>
    </row>
    <row r="31" spans="1:94" ht="15" thickBot="1" x14ac:dyDescent="0.35">
      <c r="A31" s="294">
        <v>45896</v>
      </c>
      <c r="B31" s="20">
        <v>54</v>
      </c>
      <c r="C31" s="21">
        <v>6</v>
      </c>
      <c r="D31" s="139">
        <f t="shared" si="0"/>
        <v>9</v>
      </c>
      <c r="E31" s="20">
        <v>0</v>
      </c>
      <c r="F31" s="21">
        <v>0</v>
      </c>
      <c r="G31" s="139" t="str">
        <f t="shared" si="31"/>
        <v>-</v>
      </c>
      <c r="H31" s="20">
        <v>0</v>
      </c>
      <c r="I31" s="21">
        <v>0</v>
      </c>
      <c r="J31" s="139" t="str">
        <f t="shared" si="2"/>
        <v>-</v>
      </c>
      <c r="K31" s="20">
        <v>17</v>
      </c>
      <c r="L31" s="21">
        <v>2</v>
      </c>
      <c r="M31" s="139">
        <f t="shared" si="3"/>
        <v>8.5</v>
      </c>
      <c r="N31" s="125">
        <v>0</v>
      </c>
      <c r="O31" s="126">
        <v>0</v>
      </c>
      <c r="P31" s="139" t="str">
        <f t="shared" si="4"/>
        <v>-</v>
      </c>
      <c r="Q31" s="125">
        <v>94</v>
      </c>
      <c r="R31" s="126">
        <v>16</v>
      </c>
      <c r="S31" s="139">
        <f t="shared" si="5"/>
        <v>5.875</v>
      </c>
      <c r="T31" s="125">
        <v>0</v>
      </c>
      <c r="U31" s="126">
        <v>0</v>
      </c>
      <c r="V31" s="139" t="str">
        <f t="shared" si="6"/>
        <v>-</v>
      </c>
      <c r="W31" s="125">
        <v>0</v>
      </c>
      <c r="X31" s="126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125">
        <v>0</v>
      </c>
      <c r="AD31" s="126">
        <v>0</v>
      </c>
      <c r="AE31" s="139" t="str">
        <f t="shared" si="9"/>
        <v>-</v>
      </c>
      <c r="AF31" s="125">
        <v>0</v>
      </c>
      <c r="AG31" s="126">
        <v>0</v>
      </c>
      <c r="AH31" s="139" t="str">
        <f t="shared" si="10"/>
        <v>-</v>
      </c>
      <c r="AI31" s="125">
        <v>12</v>
      </c>
      <c r="AJ31" s="126">
        <v>2</v>
      </c>
      <c r="AK31" s="139">
        <f t="shared" si="11"/>
        <v>6</v>
      </c>
      <c r="AL31" s="125">
        <v>12</v>
      </c>
      <c r="AM31" s="126">
        <v>2</v>
      </c>
      <c r="AN31" s="139">
        <f t="shared" si="12"/>
        <v>6</v>
      </c>
      <c r="AO31" s="125">
        <v>35</v>
      </c>
      <c r="AP31" s="126">
        <v>6</v>
      </c>
      <c r="AQ31" s="139">
        <f t="shared" si="13"/>
        <v>5.833333333333333</v>
      </c>
      <c r="AR31" s="125">
        <v>8</v>
      </c>
      <c r="AS31" s="126">
        <v>1</v>
      </c>
      <c r="AT31" s="139">
        <f t="shared" si="14"/>
        <v>8</v>
      </c>
      <c r="AU31" s="125">
        <v>0</v>
      </c>
      <c r="AV31" s="126">
        <v>0</v>
      </c>
      <c r="AW31" s="139" t="str">
        <f t="shared" si="15"/>
        <v>-</v>
      </c>
      <c r="AX31" s="125">
        <v>1</v>
      </c>
      <c r="AY31" s="126">
        <v>1</v>
      </c>
      <c r="AZ31" s="139">
        <f t="shared" si="16"/>
        <v>1</v>
      </c>
      <c r="BA31" s="125">
        <v>0</v>
      </c>
      <c r="BB31" s="126">
        <v>0</v>
      </c>
      <c r="BC31" s="139" t="str">
        <f t="shared" si="17"/>
        <v>-</v>
      </c>
      <c r="BD31" s="125">
        <v>0</v>
      </c>
      <c r="BE31" s="126">
        <v>0</v>
      </c>
      <c r="BF31" s="139" t="str">
        <f t="shared" si="18"/>
        <v>-</v>
      </c>
      <c r="BG31" s="125">
        <v>22</v>
      </c>
      <c r="BH31" s="126">
        <v>4</v>
      </c>
      <c r="BI31" s="139">
        <f t="shared" si="19"/>
        <v>5.5</v>
      </c>
      <c r="BJ31" s="252">
        <v>15</v>
      </c>
      <c r="BK31" s="253">
        <v>2</v>
      </c>
      <c r="BL31" s="276">
        <f t="shared" si="20"/>
        <v>7.5</v>
      </c>
      <c r="BM31" s="252">
        <v>0</v>
      </c>
      <c r="BN31" s="253">
        <v>0</v>
      </c>
      <c r="BO31" s="276" t="str">
        <f t="shared" si="21"/>
        <v>-</v>
      </c>
      <c r="BP31" s="302">
        <v>0</v>
      </c>
      <c r="BQ31" s="303">
        <v>0</v>
      </c>
      <c r="BR31" s="276" t="str">
        <f t="shared" si="22"/>
        <v>-</v>
      </c>
      <c r="BS31" s="257">
        <v>8</v>
      </c>
      <c r="BT31" s="253">
        <v>1</v>
      </c>
      <c r="BU31" s="276">
        <f t="shared" si="23"/>
        <v>8</v>
      </c>
      <c r="BV31" s="257">
        <v>0</v>
      </c>
      <c r="BW31" s="253">
        <v>0</v>
      </c>
      <c r="BX31" s="276" t="str">
        <f t="shared" si="40"/>
        <v>-</v>
      </c>
      <c r="BY31" s="257">
        <v>0</v>
      </c>
      <c r="BZ31" s="253">
        <v>0</v>
      </c>
      <c r="CA31" s="276" t="str">
        <f t="shared" si="41"/>
        <v>-</v>
      </c>
      <c r="CB31" s="257">
        <v>1</v>
      </c>
      <c r="CC31" s="253">
        <v>1</v>
      </c>
      <c r="CD31" s="276">
        <f t="shared" si="42"/>
        <v>1</v>
      </c>
      <c r="CE31" s="125">
        <v>0</v>
      </c>
      <c r="CF31" s="126">
        <v>0</v>
      </c>
      <c r="CG31" s="139" t="str">
        <f t="shared" si="27"/>
        <v>-</v>
      </c>
      <c r="CH31" s="125">
        <v>0</v>
      </c>
      <c r="CI31" s="126">
        <v>0</v>
      </c>
      <c r="CJ31" s="139" t="str">
        <f t="shared" si="28"/>
        <v>-</v>
      </c>
      <c r="CK31" s="125">
        <v>0</v>
      </c>
      <c r="CL31" s="126">
        <v>0</v>
      </c>
      <c r="CM31" s="276" t="str">
        <f t="shared" si="35"/>
        <v>-</v>
      </c>
      <c r="CN31" s="117">
        <f t="shared" si="36"/>
        <v>279</v>
      </c>
      <c r="CO31" s="120">
        <f t="shared" si="37"/>
        <v>36</v>
      </c>
      <c r="CP31" s="147">
        <f t="shared" si="30"/>
        <v>7.75</v>
      </c>
    </row>
    <row r="32" spans="1:94" ht="15" thickBot="1" x14ac:dyDescent="0.35">
      <c r="A32" s="294">
        <v>45897</v>
      </c>
      <c r="B32" s="20">
        <v>57</v>
      </c>
      <c r="C32" s="21">
        <v>7</v>
      </c>
      <c r="D32" s="139">
        <f t="shared" si="0"/>
        <v>8.1428571428571423</v>
      </c>
      <c r="E32" s="20">
        <v>0</v>
      </c>
      <c r="F32" s="21">
        <v>0</v>
      </c>
      <c r="G32" s="139" t="str">
        <f t="shared" ref="G32" si="96">IF(F32=0,"-",E32/F32)</f>
        <v>-</v>
      </c>
      <c r="H32" s="20">
        <v>0</v>
      </c>
      <c r="I32" s="21">
        <v>0</v>
      </c>
      <c r="J32" s="139" t="str">
        <f t="shared" ref="J32" si="97">IF(I32=0,"-",H32/I32)</f>
        <v>-</v>
      </c>
      <c r="K32" s="20">
        <v>10</v>
      </c>
      <c r="L32" s="21">
        <v>1</v>
      </c>
      <c r="M32" s="139">
        <f t="shared" si="3"/>
        <v>10</v>
      </c>
      <c r="N32" s="125"/>
      <c r="O32" s="126"/>
      <c r="P32" s="139" t="str">
        <f t="shared" si="4"/>
        <v>-</v>
      </c>
      <c r="Q32" s="125">
        <v>36</v>
      </c>
      <c r="R32" s="126">
        <v>6</v>
      </c>
      <c r="S32" s="139">
        <f t="shared" si="5"/>
        <v>6</v>
      </c>
      <c r="T32" s="125">
        <v>0</v>
      </c>
      <c r="U32" s="126">
        <v>0</v>
      </c>
      <c r="V32" s="139" t="str">
        <f t="shared" si="6"/>
        <v>-</v>
      </c>
      <c r="W32" s="125">
        <v>0</v>
      </c>
      <c r="X32" s="126">
        <v>0</v>
      </c>
      <c r="Y32" s="139" t="str">
        <f t="shared" si="7"/>
        <v>-</v>
      </c>
      <c r="Z32" s="125">
        <v>70</v>
      </c>
      <c r="AA32" s="126">
        <v>13</v>
      </c>
      <c r="AB32" s="139">
        <f t="shared" si="8"/>
        <v>5.384615384615385</v>
      </c>
      <c r="AC32" s="125">
        <v>0</v>
      </c>
      <c r="AD32" s="126">
        <v>0</v>
      </c>
      <c r="AE32" s="139" t="str">
        <f t="shared" ref="AE32" si="98">IF(AD32=0,"-",AC32/AD32)</f>
        <v>-</v>
      </c>
      <c r="AF32" s="125">
        <v>0</v>
      </c>
      <c r="AG32" s="126">
        <v>0</v>
      </c>
      <c r="AH32" s="139" t="str">
        <f t="shared" ref="AH32" si="99">IF(AG32=0,"-",AF32/AG32)</f>
        <v>-</v>
      </c>
      <c r="AI32" s="125">
        <v>12</v>
      </c>
      <c r="AJ32" s="126">
        <v>2</v>
      </c>
      <c r="AK32" s="139">
        <f t="shared" si="11"/>
        <v>6</v>
      </c>
      <c r="AL32" s="125">
        <v>0</v>
      </c>
      <c r="AM32" s="126">
        <v>0</v>
      </c>
      <c r="AN32" s="139" t="str">
        <f t="shared" ref="AN32" si="100">IF(AM32=0,"-",AL32/AM32)</f>
        <v>-</v>
      </c>
      <c r="AO32" s="125">
        <v>0</v>
      </c>
      <c r="AP32" s="126">
        <v>0</v>
      </c>
      <c r="AQ32" s="139" t="str">
        <f t="shared" ref="AQ32" si="101">IF(AP32=0,"-",AO32/AP32)</f>
        <v>-</v>
      </c>
      <c r="AR32" s="125">
        <v>0</v>
      </c>
      <c r="AS32" s="126">
        <v>0</v>
      </c>
      <c r="AT32" s="139" t="str">
        <f t="shared" si="14"/>
        <v>-</v>
      </c>
      <c r="AU32" s="125">
        <v>0</v>
      </c>
      <c r="AV32" s="126">
        <v>0</v>
      </c>
      <c r="AW32" s="139" t="str">
        <f t="shared" si="15"/>
        <v>-</v>
      </c>
      <c r="AX32" s="125">
        <v>2</v>
      </c>
      <c r="AY32" s="126">
        <v>1</v>
      </c>
      <c r="AZ32" s="139">
        <f t="shared" si="16"/>
        <v>2</v>
      </c>
      <c r="BA32" s="125">
        <v>0</v>
      </c>
      <c r="BB32" s="126">
        <v>0</v>
      </c>
      <c r="BC32" s="139" t="str">
        <f t="shared" ref="BC32:BC33" si="102">IF(BB32=0,"-",BA32/BB32)</f>
        <v>-</v>
      </c>
      <c r="BD32" s="125">
        <v>0</v>
      </c>
      <c r="BE32" s="126">
        <v>0</v>
      </c>
      <c r="BF32" s="139" t="str">
        <f t="shared" ref="BF32" si="103">IF(BE32=0,"-",BD32/BE32)</f>
        <v>-</v>
      </c>
      <c r="BG32" s="125">
        <v>3</v>
      </c>
      <c r="BH32" s="126">
        <v>1</v>
      </c>
      <c r="BI32" s="139">
        <f t="shared" si="19"/>
        <v>3</v>
      </c>
      <c r="BJ32" s="318">
        <v>18</v>
      </c>
      <c r="BK32" s="253">
        <v>3</v>
      </c>
      <c r="BL32" s="276">
        <f t="shared" si="20"/>
        <v>6</v>
      </c>
      <c r="BM32" s="252">
        <v>0</v>
      </c>
      <c r="BN32" s="253">
        <v>0</v>
      </c>
      <c r="BO32" s="276" t="str">
        <f t="shared" si="21"/>
        <v>-</v>
      </c>
      <c r="BP32" s="302">
        <v>0</v>
      </c>
      <c r="BQ32" s="303">
        <v>0</v>
      </c>
      <c r="BR32" s="276" t="str">
        <f t="shared" si="22"/>
        <v>-</v>
      </c>
      <c r="BS32" s="257">
        <v>0</v>
      </c>
      <c r="BT32" s="253">
        <v>0</v>
      </c>
      <c r="BU32" s="276" t="str">
        <f t="shared" si="23"/>
        <v>-</v>
      </c>
      <c r="BV32" s="257">
        <v>11</v>
      </c>
      <c r="BW32" s="253">
        <v>2</v>
      </c>
      <c r="BX32" s="276">
        <f t="shared" si="40"/>
        <v>5.5</v>
      </c>
      <c r="BY32" s="257">
        <v>0</v>
      </c>
      <c r="BZ32" s="253">
        <v>0</v>
      </c>
      <c r="CA32" s="276" t="str">
        <f t="shared" si="41"/>
        <v>-</v>
      </c>
      <c r="CB32" s="257">
        <v>0</v>
      </c>
      <c r="CC32" s="253">
        <v>0</v>
      </c>
      <c r="CD32" s="276" t="str">
        <f t="shared" si="42"/>
        <v>-</v>
      </c>
      <c r="CE32" s="125">
        <v>6</v>
      </c>
      <c r="CF32" s="126">
        <v>1</v>
      </c>
      <c r="CG32" s="139">
        <f t="shared" si="27"/>
        <v>6</v>
      </c>
      <c r="CH32" s="125">
        <v>0</v>
      </c>
      <c r="CI32" s="126">
        <v>0</v>
      </c>
      <c r="CJ32" s="139" t="str">
        <f t="shared" si="28"/>
        <v>-</v>
      </c>
      <c r="CK32" s="125">
        <v>0</v>
      </c>
      <c r="CL32" s="126">
        <v>0</v>
      </c>
      <c r="CM32" s="139" t="str">
        <f t="shared" si="35"/>
        <v>-</v>
      </c>
      <c r="CN32" s="117">
        <f t="shared" si="36"/>
        <v>225</v>
      </c>
      <c r="CO32" s="120">
        <f t="shared" si="37"/>
        <v>35</v>
      </c>
      <c r="CP32" s="147">
        <f t="shared" si="30"/>
        <v>6.4285714285714288</v>
      </c>
    </row>
    <row r="33" spans="1:94" ht="15" thickBot="1" x14ac:dyDescent="0.35">
      <c r="A33" s="294">
        <v>45898</v>
      </c>
      <c r="B33" s="20">
        <v>53</v>
      </c>
      <c r="C33" s="21">
        <v>6</v>
      </c>
      <c r="D33" s="139">
        <f t="shared" si="0"/>
        <v>8.8333333333333339</v>
      </c>
      <c r="E33" s="20">
        <v>0</v>
      </c>
      <c r="F33" s="21">
        <v>0</v>
      </c>
      <c r="G33" s="139" t="str">
        <f t="shared" ref="G33" si="104">IF(F33=0,"-",E33/F33)</f>
        <v>-</v>
      </c>
      <c r="H33" s="20">
        <v>0</v>
      </c>
      <c r="I33" s="21">
        <v>0</v>
      </c>
      <c r="J33" s="139" t="str">
        <f t="shared" ref="J33" si="105">IF(I33=0,"-",H33/I33)</f>
        <v>-</v>
      </c>
      <c r="K33" s="20">
        <v>41</v>
      </c>
      <c r="L33" s="21">
        <v>5</v>
      </c>
      <c r="M33" s="139">
        <f t="shared" si="3"/>
        <v>8.1999999999999993</v>
      </c>
      <c r="N33" s="125"/>
      <c r="O33" s="126"/>
      <c r="P33" s="139" t="str">
        <f t="shared" si="4"/>
        <v>-</v>
      </c>
      <c r="Q33" s="125">
        <v>44</v>
      </c>
      <c r="R33" s="126">
        <v>8</v>
      </c>
      <c r="S33" s="139">
        <f t="shared" si="5"/>
        <v>5.5</v>
      </c>
      <c r="T33" s="125">
        <v>5</v>
      </c>
      <c r="U33" s="126">
        <v>1</v>
      </c>
      <c r="V33" s="139">
        <f t="shared" si="6"/>
        <v>5</v>
      </c>
      <c r="W33" s="125">
        <v>0</v>
      </c>
      <c r="X33" s="126">
        <v>0</v>
      </c>
      <c r="Y33" s="139" t="str">
        <f t="shared" si="7"/>
        <v>-</v>
      </c>
      <c r="Z33" s="125">
        <v>20</v>
      </c>
      <c r="AA33" s="126">
        <v>4</v>
      </c>
      <c r="AB33" s="139">
        <f t="shared" si="8"/>
        <v>5</v>
      </c>
      <c r="AC33" s="125">
        <v>0</v>
      </c>
      <c r="AD33" s="126">
        <v>0</v>
      </c>
      <c r="AE33" s="139" t="str">
        <f t="shared" ref="AE33" si="106">IF(AD33=0,"-",AC33/AD33)</f>
        <v>-</v>
      </c>
      <c r="AF33" s="125">
        <v>0</v>
      </c>
      <c r="AG33" s="126">
        <v>0</v>
      </c>
      <c r="AH33" s="139" t="str">
        <f t="shared" ref="AH33" si="107">IF(AG33=0,"-",AF33/AG33)</f>
        <v>-</v>
      </c>
      <c r="AI33" s="125">
        <v>0</v>
      </c>
      <c r="AJ33" s="126">
        <v>0</v>
      </c>
      <c r="AK33" s="139" t="str">
        <f t="shared" si="11"/>
        <v>-</v>
      </c>
      <c r="AL33" s="125">
        <v>0</v>
      </c>
      <c r="AM33" s="126">
        <v>0</v>
      </c>
      <c r="AN33" s="139" t="str">
        <f t="shared" si="12"/>
        <v>-</v>
      </c>
      <c r="AO33" s="125">
        <v>0</v>
      </c>
      <c r="AP33" s="126">
        <v>0</v>
      </c>
      <c r="AQ33" s="139" t="str">
        <f t="shared" si="13"/>
        <v>-</v>
      </c>
      <c r="AR33" s="125">
        <v>0</v>
      </c>
      <c r="AS33" s="126">
        <v>0</v>
      </c>
      <c r="AT33" s="139" t="str">
        <f t="shared" ref="AT33" si="108">IF(AS33=0,"-",AR33/AS33)</f>
        <v>-</v>
      </c>
      <c r="AU33" s="125">
        <v>0</v>
      </c>
      <c r="AV33" s="126">
        <v>0</v>
      </c>
      <c r="AW33" s="139" t="str">
        <f t="shared" si="15"/>
        <v>-</v>
      </c>
      <c r="AX33" s="125">
        <v>0</v>
      </c>
      <c r="AY33" s="126">
        <v>0</v>
      </c>
      <c r="AZ33" s="139" t="str">
        <f t="shared" si="16"/>
        <v>-</v>
      </c>
      <c r="BA33" s="125">
        <v>0</v>
      </c>
      <c r="BB33" s="126">
        <v>0</v>
      </c>
      <c r="BC33" s="139" t="str">
        <f t="shared" si="102"/>
        <v>-</v>
      </c>
      <c r="BD33" s="125">
        <v>8</v>
      </c>
      <c r="BE33" s="126">
        <v>1</v>
      </c>
      <c r="BF33" s="139">
        <f t="shared" si="18"/>
        <v>8</v>
      </c>
      <c r="BG33" s="125">
        <v>8</v>
      </c>
      <c r="BH33" s="126">
        <v>1</v>
      </c>
      <c r="BI33" s="139">
        <f t="shared" si="19"/>
        <v>8</v>
      </c>
      <c r="BJ33" s="252">
        <v>31</v>
      </c>
      <c r="BK33" s="253">
        <v>5</v>
      </c>
      <c r="BL33" s="276">
        <f t="shared" si="20"/>
        <v>6.2</v>
      </c>
      <c r="BM33" s="252">
        <v>0</v>
      </c>
      <c r="BN33" s="253">
        <v>0</v>
      </c>
      <c r="BO33" s="276" t="str">
        <f t="shared" si="21"/>
        <v>-</v>
      </c>
      <c r="BP33" s="302">
        <v>0</v>
      </c>
      <c r="BQ33" s="303">
        <v>0</v>
      </c>
      <c r="BR33" s="276" t="str">
        <f t="shared" si="22"/>
        <v>-</v>
      </c>
      <c r="BS33" s="257">
        <v>0</v>
      </c>
      <c r="BT33" s="253">
        <v>0</v>
      </c>
      <c r="BU33" s="276" t="str">
        <f t="shared" si="23"/>
        <v>-</v>
      </c>
      <c r="BV33" s="257">
        <v>8</v>
      </c>
      <c r="BW33" s="253">
        <v>1</v>
      </c>
      <c r="BX33" s="276">
        <f t="shared" si="40"/>
        <v>8</v>
      </c>
      <c r="BY33" s="257">
        <v>0</v>
      </c>
      <c r="BZ33" s="253">
        <v>0</v>
      </c>
      <c r="CA33" s="276" t="str">
        <f t="shared" si="41"/>
        <v>-</v>
      </c>
      <c r="CB33" s="257">
        <v>0</v>
      </c>
      <c r="CC33" s="253">
        <v>0</v>
      </c>
      <c r="CD33" s="276" t="str">
        <f t="shared" si="42"/>
        <v>-</v>
      </c>
      <c r="CE33" s="257">
        <v>0</v>
      </c>
      <c r="CF33" s="253">
        <v>0</v>
      </c>
      <c r="CG33" s="276" t="str">
        <f t="shared" si="27"/>
        <v>-</v>
      </c>
      <c r="CH33" s="257">
        <v>0</v>
      </c>
      <c r="CI33" s="253">
        <v>0</v>
      </c>
      <c r="CJ33" s="276" t="str">
        <f t="shared" si="28"/>
        <v>-</v>
      </c>
      <c r="CK33" s="257">
        <v>0</v>
      </c>
      <c r="CL33" s="253">
        <v>0</v>
      </c>
      <c r="CM33" s="276" t="str">
        <f t="shared" si="35"/>
        <v>-</v>
      </c>
      <c r="CN33" s="117">
        <f t="shared" si="36"/>
        <v>210</v>
      </c>
      <c r="CO33" s="120">
        <f t="shared" si="37"/>
        <v>31</v>
      </c>
      <c r="CP33" s="147">
        <f t="shared" si="30"/>
        <v>6.774193548387097</v>
      </c>
    </row>
    <row r="34" spans="1:94" ht="15" thickBot="1" x14ac:dyDescent="0.35">
      <c r="A34" s="294">
        <v>45899</v>
      </c>
      <c r="B34" s="20">
        <v>34</v>
      </c>
      <c r="C34" s="21">
        <v>4</v>
      </c>
      <c r="D34" s="139">
        <f t="shared" si="0"/>
        <v>8.5</v>
      </c>
      <c r="E34" s="20">
        <v>0</v>
      </c>
      <c r="F34" s="21">
        <v>0</v>
      </c>
      <c r="G34" s="139" t="str">
        <f t="shared" si="31"/>
        <v>-</v>
      </c>
      <c r="H34" s="20">
        <v>0</v>
      </c>
      <c r="I34" s="21">
        <v>0</v>
      </c>
      <c r="J34" s="139">
        <v>0</v>
      </c>
      <c r="K34" s="20">
        <v>16</v>
      </c>
      <c r="L34" s="21">
        <v>2</v>
      </c>
      <c r="M34" s="139">
        <f t="shared" si="3"/>
        <v>8</v>
      </c>
      <c r="N34" s="125"/>
      <c r="O34" s="126"/>
      <c r="P34" s="139" t="str">
        <f t="shared" si="4"/>
        <v>-</v>
      </c>
      <c r="Q34" s="125">
        <v>178</v>
      </c>
      <c r="R34" s="126">
        <v>28</v>
      </c>
      <c r="S34" s="139">
        <f t="shared" si="5"/>
        <v>6.3571428571428568</v>
      </c>
      <c r="T34" s="125">
        <v>0</v>
      </c>
      <c r="U34" s="126">
        <v>0</v>
      </c>
      <c r="V34" s="139" t="str">
        <f t="shared" si="6"/>
        <v>-</v>
      </c>
      <c r="W34" s="125">
        <v>0</v>
      </c>
      <c r="X34" s="126">
        <v>0</v>
      </c>
      <c r="Y34" s="139" t="str">
        <f t="shared" si="7"/>
        <v>-</v>
      </c>
      <c r="Z34" s="125">
        <v>0</v>
      </c>
      <c r="AA34" s="126">
        <v>0</v>
      </c>
      <c r="AB34" s="139" t="str">
        <f t="shared" si="8"/>
        <v>-</v>
      </c>
      <c r="AC34" s="125">
        <v>6</v>
      </c>
      <c r="AD34" s="126">
        <v>1</v>
      </c>
      <c r="AE34" s="139">
        <f t="shared" si="9"/>
        <v>6</v>
      </c>
      <c r="AF34" s="125">
        <v>0</v>
      </c>
      <c r="AG34" s="126">
        <v>0</v>
      </c>
      <c r="AH34" s="139" t="str">
        <f t="shared" ref="AH34" si="109">IF(AG34=0,"-",AF34/AG34)</f>
        <v>-</v>
      </c>
      <c r="AI34" s="125">
        <v>0</v>
      </c>
      <c r="AJ34" s="126">
        <v>0</v>
      </c>
      <c r="AK34" s="139" t="str">
        <f t="shared" ref="AK34" si="110">IF(AJ34=0,"-",AI34/AJ34)</f>
        <v>-</v>
      </c>
      <c r="AL34" s="125">
        <v>0</v>
      </c>
      <c r="AM34" s="126">
        <v>0</v>
      </c>
      <c r="AN34" s="139" t="str">
        <f t="shared" ref="AN34" si="111">IF(AM34=0,"-",AL34/AM34)</f>
        <v>-</v>
      </c>
      <c r="AO34" s="125">
        <v>0</v>
      </c>
      <c r="AP34" s="126">
        <v>0</v>
      </c>
      <c r="AQ34" s="139" t="str">
        <f t="shared" ref="AQ34" si="112">IF(AP34=0,"-",AO34/AP34)</f>
        <v>-</v>
      </c>
      <c r="AR34" s="125">
        <v>6</v>
      </c>
      <c r="AS34" s="126">
        <v>1</v>
      </c>
      <c r="AT34" s="139">
        <f t="shared" si="14"/>
        <v>6</v>
      </c>
      <c r="AU34" s="125">
        <v>0</v>
      </c>
      <c r="AV34" s="126">
        <v>0</v>
      </c>
      <c r="AW34" s="139" t="str">
        <f t="shared" si="15"/>
        <v>-</v>
      </c>
      <c r="AX34" s="125">
        <v>0</v>
      </c>
      <c r="AY34" s="126">
        <v>0</v>
      </c>
      <c r="AZ34" s="139" t="str">
        <f t="shared" ref="AZ34:AZ35" si="113">IF(AY34=0,"-",AX34/AY34)</f>
        <v>-</v>
      </c>
      <c r="BA34" s="125">
        <v>0</v>
      </c>
      <c r="BB34" s="126">
        <v>0</v>
      </c>
      <c r="BC34" s="139" t="str">
        <f t="shared" ref="BC34:BC35" si="114">IF(BB34=0,"-",BA34/BB34)</f>
        <v>-</v>
      </c>
      <c r="BD34" s="125">
        <v>0</v>
      </c>
      <c r="BE34" s="126">
        <v>0</v>
      </c>
      <c r="BF34" s="139" t="str">
        <f t="shared" si="18"/>
        <v>-</v>
      </c>
      <c r="BG34" s="125">
        <v>0</v>
      </c>
      <c r="BH34" s="126">
        <v>0</v>
      </c>
      <c r="BI34" s="139" t="str">
        <f t="shared" si="19"/>
        <v>-</v>
      </c>
      <c r="BJ34" s="252">
        <v>6</v>
      </c>
      <c r="BK34" s="253">
        <v>1</v>
      </c>
      <c r="BL34" s="276">
        <f t="shared" si="20"/>
        <v>6</v>
      </c>
      <c r="BM34" s="252">
        <v>0</v>
      </c>
      <c r="BN34" s="253">
        <v>0</v>
      </c>
      <c r="BO34" s="276" t="str">
        <f t="shared" si="21"/>
        <v>-</v>
      </c>
      <c r="BP34" s="302">
        <v>0</v>
      </c>
      <c r="BQ34" s="303">
        <v>0</v>
      </c>
      <c r="BR34" s="276" t="str">
        <f t="shared" si="22"/>
        <v>-</v>
      </c>
      <c r="BS34" s="257">
        <v>7</v>
      </c>
      <c r="BT34" s="253">
        <v>1</v>
      </c>
      <c r="BU34" s="276">
        <f t="shared" si="23"/>
        <v>7</v>
      </c>
      <c r="BV34" s="257">
        <v>0</v>
      </c>
      <c r="BW34" s="253">
        <v>0</v>
      </c>
      <c r="BX34" s="276" t="str">
        <f t="shared" si="40"/>
        <v>-</v>
      </c>
      <c r="BY34" s="257">
        <v>0</v>
      </c>
      <c r="BZ34" s="253">
        <v>0</v>
      </c>
      <c r="CA34" s="276" t="str">
        <f t="shared" si="41"/>
        <v>-</v>
      </c>
      <c r="CB34" s="257">
        <v>0</v>
      </c>
      <c r="CC34" s="253">
        <v>0</v>
      </c>
      <c r="CD34" s="276" t="str">
        <f t="shared" si="42"/>
        <v>-</v>
      </c>
      <c r="CE34" s="257">
        <v>0</v>
      </c>
      <c r="CF34" s="253">
        <v>0</v>
      </c>
      <c r="CG34" s="276" t="str">
        <f t="shared" si="27"/>
        <v>-</v>
      </c>
      <c r="CH34" s="257">
        <v>0</v>
      </c>
      <c r="CI34" s="253">
        <v>0</v>
      </c>
      <c r="CJ34" s="276" t="str">
        <f t="shared" si="28"/>
        <v>-</v>
      </c>
      <c r="CK34" s="257">
        <v>0</v>
      </c>
      <c r="CL34" s="253">
        <v>0</v>
      </c>
      <c r="CM34" s="276" t="str">
        <f t="shared" si="35"/>
        <v>-</v>
      </c>
      <c r="CN34" s="117">
        <f t="shared" si="36"/>
        <v>253</v>
      </c>
      <c r="CO34" s="120">
        <f t="shared" si="37"/>
        <v>38</v>
      </c>
      <c r="CP34" s="147">
        <f t="shared" si="30"/>
        <v>6.6578947368421053</v>
      </c>
    </row>
    <row r="35" spans="1:94" ht="15" thickBot="1" x14ac:dyDescent="0.35">
      <c r="A35" s="294">
        <v>45900</v>
      </c>
      <c r="B35" s="20">
        <v>19</v>
      </c>
      <c r="C35" s="21">
        <v>2</v>
      </c>
      <c r="D35" s="139">
        <f t="shared" si="0"/>
        <v>9.5</v>
      </c>
      <c r="E35" s="20">
        <v>0</v>
      </c>
      <c r="F35" s="21">
        <v>0</v>
      </c>
      <c r="G35" s="139" t="str">
        <f t="shared" ref="G35" si="115">IF(F35=0,"-",E35/F35)</f>
        <v>-</v>
      </c>
      <c r="H35" s="20">
        <v>0</v>
      </c>
      <c r="I35" s="21">
        <v>0</v>
      </c>
      <c r="J35" s="139">
        <v>0</v>
      </c>
      <c r="K35" s="20">
        <v>8</v>
      </c>
      <c r="L35" s="21">
        <v>1</v>
      </c>
      <c r="M35" s="139">
        <f t="shared" si="3"/>
        <v>8</v>
      </c>
      <c r="N35" s="125"/>
      <c r="O35" s="126"/>
      <c r="P35" s="139" t="str">
        <f t="shared" si="4"/>
        <v>-</v>
      </c>
      <c r="Q35" s="125">
        <v>238</v>
      </c>
      <c r="R35" s="126">
        <v>36</v>
      </c>
      <c r="S35" s="139">
        <f t="shared" si="5"/>
        <v>6.6111111111111107</v>
      </c>
      <c r="T35" s="125">
        <v>0</v>
      </c>
      <c r="U35" s="126">
        <v>0</v>
      </c>
      <c r="V35" s="139" t="str">
        <f t="shared" si="6"/>
        <v>-</v>
      </c>
      <c r="W35" s="125">
        <v>0</v>
      </c>
      <c r="X35" s="126">
        <v>0</v>
      </c>
      <c r="Y35" s="139" t="str">
        <f t="shared" si="7"/>
        <v>-</v>
      </c>
      <c r="Z35" s="125">
        <v>0</v>
      </c>
      <c r="AA35" s="126">
        <v>0</v>
      </c>
      <c r="AB35" s="139" t="str">
        <f t="shared" si="8"/>
        <v>-</v>
      </c>
      <c r="AC35" s="125">
        <v>0</v>
      </c>
      <c r="AD35" s="126">
        <v>0</v>
      </c>
      <c r="AE35" s="139" t="str">
        <f t="shared" si="9"/>
        <v>-</v>
      </c>
      <c r="AF35" s="125">
        <v>0</v>
      </c>
      <c r="AG35" s="126">
        <v>0</v>
      </c>
      <c r="AH35" s="139" t="str">
        <f t="shared" si="10"/>
        <v>-</v>
      </c>
      <c r="AI35" s="125">
        <v>0</v>
      </c>
      <c r="AJ35" s="126">
        <v>0</v>
      </c>
      <c r="AK35" s="139" t="str">
        <f t="shared" si="11"/>
        <v>-</v>
      </c>
      <c r="AL35" s="125">
        <v>0</v>
      </c>
      <c r="AM35" s="126">
        <v>0</v>
      </c>
      <c r="AN35" s="139" t="str">
        <f t="shared" si="12"/>
        <v>-</v>
      </c>
      <c r="AO35" s="125">
        <v>0</v>
      </c>
      <c r="AP35" s="126">
        <v>0</v>
      </c>
      <c r="AQ35" s="139" t="str">
        <f t="shared" si="13"/>
        <v>-</v>
      </c>
      <c r="AR35" s="125">
        <v>0</v>
      </c>
      <c r="AS35" s="126">
        <v>0</v>
      </c>
      <c r="AT35" s="139" t="str">
        <f t="shared" si="14"/>
        <v>-</v>
      </c>
      <c r="AU35" s="125">
        <v>0</v>
      </c>
      <c r="AV35" s="126">
        <v>0</v>
      </c>
      <c r="AW35" s="139" t="str">
        <f t="shared" si="15"/>
        <v>-</v>
      </c>
      <c r="AX35" s="125">
        <v>0</v>
      </c>
      <c r="AY35" s="126">
        <v>0</v>
      </c>
      <c r="AZ35" s="139" t="str">
        <f t="shared" si="113"/>
        <v>-</v>
      </c>
      <c r="BA35" s="125">
        <v>0</v>
      </c>
      <c r="BB35" s="126">
        <v>0</v>
      </c>
      <c r="BC35" s="139" t="str">
        <f t="shared" si="114"/>
        <v>-</v>
      </c>
      <c r="BD35" s="125">
        <v>0</v>
      </c>
      <c r="BE35" s="126">
        <v>0</v>
      </c>
      <c r="BF35" s="139" t="str">
        <f t="shared" si="18"/>
        <v>-</v>
      </c>
      <c r="BG35" s="125">
        <v>0</v>
      </c>
      <c r="BH35" s="126">
        <v>0</v>
      </c>
      <c r="BI35" s="139" t="str">
        <f t="shared" si="19"/>
        <v>-</v>
      </c>
      <c r="BJ35" s="252">
        <v>20</v>
      </c>
      <c r="BK35" s="253">
        <v>3</v>
      </c>
      <c r="BL35" s="276">
        <f t="shared" si="20"/>
        <v>6.666666666666667</v>
      </c>
      <c r="BM35" s="335">
        <v>24</v>
      </c>
      <c r="BN35" s="336">
        <v>3</v>
      </c>
      <c r="BO35" s="276">
        <f t="shared" si="21"/>
        <v>8</v>
      </c>
      <c r="BP35" s="337">
        <v>21</v>
      </c>
      <c r="BQ35" s="338">
        <v>3</v>
      </c>
      <c r="BR35" s="276">
        <f t="shared" si="22"/>
        <v>7</v>
      </c>
      <c r="BS35" s="339">
        <v>0</v>
      </c>
      <c r="BT35" s="336">
        <v>0</v>
      </c>
      <c r="BU35" s="276" t="str">
        <f t="shared" si="23"/>
        <v>-</v>
      </c>
      <c r="BV35" s="257">
        <v>0</v>
      </c>
      <c r="BW35" s="253">
        <v>0</v>
      </c>
      <c r="BX35" s="276" t="str">
        <f t="shared" si="40"/>
        <v>-</v>
      </c>
      <c r="BY35" s="257">
        <v>0</v>
      </c>
      <c r="BZ35" s="253">
        <v>0</v>
      </c>
      <c r="CA35" s="276" t="str">
        <f t="shared" si="41"/>
        <v>-</v>
      </c>
      <c r="CB35" s="257">
        <v>0</v>
      </c>
      <c r="CC35" s="253">
        <v>0</v>
      </c>
      <c r="CD35" s="276" t="str">
        <f>IF(CC35=0,"-",CB35/CC35)</f>
        <v>-</v>
      </c>
      <c r="CE35" s="257">
        <v>0</v>
      </c>
      <c r="CF35" s="253">
        <v>0</v>
      </c>
      <c r="CG35" s="276" t="str">
        <f t="shared" si="27"/>
        <v>-</v>
      </c>
      <c r="CH35" s="257">
        <v>0</v>
      </c>
      <c r="CI35" s="253">
        <v>0</v>
      </c>
      <c r="CJ35" s="276" t="str">
        <f t="shared" si="28"/>
        <v>-</v>
      </c>
      <c r="CK35" s="257">
        <v>0</v>
      </c>
      <c r="CL35" s="253">
        <v>0</v>
      </c>
      <c r="CM35" s="276" t="str">
        <f t="shared" si="35"/>
        <v>-</v>
      </c>
      <c r="CN35" s="117">
        <f t="shared" si="36"/>
        <v>330</v>
      </c>
      <c r="CO35" s="120">
        <f t="shared" si="37"/>
        <v>48</v>
      </c>
      <c r="CP35" s="147">
        <f t="shared" si="30"/>
        <v>6.875</v>
      </c>
    </row>
    <row r="36" spans="1:94" s="41" customFormat="1" ht="15.6" customHeight="1" thickBot="1" x14ac:dyDescent="0.35">
      <c r="A36" s="295" t="s">
        <v>33</v>
      </c>
      <c r="B36" s="43">
        <f>SUM(B5:B35)</f>
        <v>1531</v>
      </c>
      <c r="C36" s="43">
        <f>SUM(C5:C35)</f>
        <v>182</v>
      </c>
      <c r="D36" s="332">
        <f t="shared" ref="D36:BO36" si="116">SUM(D5:D34)</f>
        <v>252.35865800865798</v>
      </c>
      <c r="E36" s="43">
        <f>SUM(E5:E35)</f>
        <v>77</v>
      </c>
      <c r="F36" s="43">
        <f>SUM(F5:F35)</f>
        <v>10</v>
      </c>
      <c r="G36" s="332">
        <f t="shared" si="116"/>
        <v>60.5</v>
      </c>
      <c r="H36" s="43">
        <f>SUM(H5:H35)</f>
        <v>18</v>
      </c>
      <c r="I36" s="43">
        <f>SUM(I5:I35)</f>
        <v>3</v>
      </c>
      <c r="J36" s="43">
        <f t="shared" si="116"/>
        <v>12</v>
      </c>
      <c r="K36" s="43">
        <f>SUM(K5:K35)</f>
        <v>691</v>
      </c>
      <c r="L36" s="43">
        <f>SUM(L5:L35)</f>
        <v>83</v>
      </c>
      <c r="M36" s="334">
        <f t="shared" si="3"/>
        <v>8.3253012048192776</v>
      </c>
      <c r="N36" s="43">
        <f t="shared" si="116"/>
        <v>0</v>
      </c>
      <c r="O36" s="43">
        <f t="shared" si="116"/>
        <v>0</v>
      </c>
      <c r="P36" s="43">
        <f t="shared" si="116"/>
        <v>0</v>
      </c>
      <c r="Q36" s="43">
        <f>SUM(Q5:Q35)</f>
        <v>1831</v>
      </c>
      <c r="R36" s="43">
        <f>SUM(R5:R35)</f>
        <v>330</v>
      </c>
      <c r="S36" s="332">
        <f t="shared" si="116"/>
        <v>146.77455648926238</v>
      </c>
      <c r="T36" s="43">
        <f>SUM(T5:T35)</f>
        <v>87</v>
      </c>
      <c r="U36" s="43">
        <f>SUM(U5:U35)</f>
        <v>18</v>
      </c>
      <c r="V36" s="333">
        <f t="shared" si="6"/>
        <v>4.833333333333333</v>
      </c>
      <c r="W36" s="43">
        <f t="shared" si="116"/>
        <v>0</v>
      </c>
      <c r="X36" s="43">
        <f t="shared" si="116"/>
        <v>0</v>
      </c>
      <c r="Y36" s="43">
        <f t="shared" si="116"/>
        <v>0</v>
      </c>
      <c r="Z36" s="43">
        <f>SUM(Z5:Z35)</f>
        <v>585</v>
      </c>
      <c r="AA36" s="43">
        <f>SUM(AA5:AA35)</f>
        <v>131</v>
      </c>
      <c r="AB36" s="332">
        <f t="shared" si="116"/>
        <v>70.988184683533518</v>
      </c>
      <c r="AC36" s="43">
        <f>SUM(AC5:AC35)</f>
        <v>384</v>
      </c>
      <c r="AD36" s="43">
        <f>SUM(AD5:AD35)</f>
        <v>83</v>
      </c>
      <c r="AE36" s="332">
        <f t="shared" si="116"/>
        <v>50.150356506238857</v>
      </c>
      <c r="AF36" s="43">
        <f>SUM(AF5:AF35)</f>
        <v>23</v>
      </c>
      <c r="AG36" s="43">
        <f>SUM(AG5:AG35)</f>
        <v>4</v>
      </c>
      <c r="AH36" s="332">
        <f t="shared" si="116"/>
        <v>11.666666666666668</v>
      </c>
      <c r="AI36" s="43">
        <f>SUM(AI5:AI35)</f>
        <v>107</v>
      </c>
      <c r="AJ36" s="43">
        <f>SUM(AJ5:AJ35)</f>
        <v>19</v>
      </c>
      <c r="AK36" s="43">
        <f t="shared" si="116"/>
        <v>73.5</v>
      </c>
      <c r="AL36" s="43">
        <f>SUM(AL5:AL35)</f>
        <v>71</v>
      </c>
      <c r="AM36" s="43">
        <f>SUM(AM5:AM35)</f>
        <v>12</v>
      </c>
      <c r="AN36" s="43">
        <f t="shared" si="116"/>
        <v>29.666666666666668</v>
      </c>
      <c r="AO36" s="43">
        <f>SUM(AO5:AO35)</f>
        <v>136</v>
      </c>
      <c r="AP36" s="43">
        <f>SUM(AP5:AP35)</f>
        <v>25</v>
      </c>
      <c r="AQ36" s="43">
        <f t="shared" si="116"/>
        <v>52.75</v>
      </c>
      <c r="AR36" s="43">
        <f>SUM(AR5:AR35)</f>
        <v>91</v>
      </c>
      <c r="AS36" s="43">
        <f>SUM(AS5:AS35)</f>
        <v>13</v>
      </c>
      <c r="AT36" s="43">
        <f t="shared" si="116"/>
        <v>79</v>
      </c>
      <c r="AU36" s="43">
        <f t="shared" si="116"/>
        <v>0</v>
      </c>
      <c r="AV36" s="43">
        <f t="shared" si="116"/>
        <v>0</v>
      </c>
      <c r="AW36" s="43">
        <f t="shared" si="116"/>
        <v>0</v>
      </c>
      <c r="AX36" s="43">
        <f>SUM(AX5:AX35)</f>
        <v>22</v>
      </c>
      <c r="AY36" s="43">
        <f>SUM(AY5:AY35)</f>
        <v>9</v>
      </c>
      <c r="AZ36" s="43">
        <f t="shared" si="116"/>
        <v>22</v>
      </c>
      <c r="BA36" s="43">
        <f>SUM(BA5:BA35)</f>
        <v>36</v>
      </c>
      <c r="BB36" s="43">
        <f>SUM(BB5:BB35)</f>
        <v>5</v>
      </c>
      <c r="BC36" s="332">
        <f t="shared" si="116"/>
        <v>27</v>
      </c>
      <c r="BD36" s="43">
        <f>SUM(BD5:BD35)</f>
        <v>12</v>
      </c>
      <c r="BE36" s="43">
        <f t="shared" si="116"/>
        <v>3</v>
      </c>
      <c r="BF36" s="43">
        <f t="shared" si="116"/>
        <v>12</v>
      </c>
      <c r="BG36" s="43">
        <f t="shared" si="116"/>
        <v>81</v>
      </c>
      <c r="BH36" s="43">
        <f t="shared" si="116"/>
        <v>15</v>
      </c>
      <c r="BI36" s="43">
        <f t="shared" si="116"/>
        <v>54.166666666666671</v>
      </c>
      <c r="BJ36" s="43">
        <f>SUM(BJ5:BJ35)</f>
        <v>523</v>
      </c>
      <c r="BK36" s="43">
        <f>SUM(BK5:BK35)</f>
        <v>83</v>
      </c>
      <c r="BL36" s="332">
        <f t="shared" si="116"/>
        <v>153.61666666666667</v>
      </c>
      <c r="BM36" s="43">
        <f>SUM(BM5:BM35)</f>
        <v>51</v>
      </c>
      <c r="BN36" s="43">
        <f>SUM(BN5:BN35)</f>
        <v>6</v>
      </c>
      <c r="BO36" s="43">
        <f t="shared" si="116"/>
        <v>18</v>
      </c>
      <c r="BP36" s="43">
        <f>SUM(BP5:BP35)</f>
        <v>35</v>
      </c>
      <c r="BQ36" s="43">
        <f>SUM(BQ5:BQ35)</f>
        <v>5</v>
      </c>
      <c r="BR36" s="43">
        <f t="shared" ref="BR36:CO36" si="117">SUM(BR5:BR34)</f>
        <v>7</v>
      </c>
      <c r="BS36" s="43">
        <f>SUM(BS5:BS35)</f>
        <v>100</v>
      </c>
      <c r="BT36" s="43">
        <f>SUM(BT5:BT35)</f>
        <v>15</v>
      </c>
      <c r="BU36" s="43">
        <f t="shared" si="117"/>
        <v>100</v>
      </c>
      <c r="BV36" s="43">
        <f>SUM(BV5:BV35)</f>
        <v>78</v>
      </c>
      <c r="BW36" s="43">
        <f>SUM(BW5:BW35)</f>
        <v>23</v>
      </c>
      <c r="BX36" s="43">
        <f t="shared" si="117"/>
        <v>54.333333333333336</v>
      </c>
      <c r="BY36" s="43">
        <f t="shared" si="117"/>
        <v>0</v>
      </c>
      <c r="BZ36" s="43">
        <f t="shared" si="117"/>
        <v>0</v>
      </c>
      <c r="CA36" s="43">
        <f t="shared" si="117"/>
        <v>0</v>
      </c>
      <c r="CB36" s="43">
        <f>SUM(CB5:CB35)</f>
        <v>23</v>
      </c>
      <c r="CC36" s="43">
        <f>SUM(CC5:CC35)</f>
        <v>11</v>
      </c>
      <c r="CD36" s="43">
        <f t="shared" si="117"/>
        <v>23</v>
      </c>
      <c r="CE36" s="43">
        <f t="shared" si="117"/>
        <v>89</v>
      </c>
      <c r="CF36" s="43">
        <f t="shared" si="117"/>
        <v>15</v>
      </c>
      <c r="CG36" s="332">
        <f t="shared" si="117"/>
        <v>54</v>
      </c>
      <c r="CH36" s="43">
        <f t="shared" si="117"/>
        <v>0</v>
      </c>
      <c r="CI36" s="43">
        <f t="shared" si="117"/>
        <v>0</v>
      </c>
      <c r="CJ36" s="43">
        <f t="shared" si="117"/>
        <v>0</v>
      </c>
      <c r="CK36" s="43">
        <f t="shared" si="117"/>
        <v>0</v>
      </c>
      <c r="CL36" s="43">
        <f t="shared" si="117"/>
        <v>0</v>
      </c>
      <c r="CM36" s="43">
        <f t="shared" si="117"/>
        <v>0</v>
      </c>
      <c r="CN36" s="118">
        <f t="shared" si="117"/>
        <v>6340</v>
      </c>
      <c r="CO36" s="118">
        <f t="shared" si="117"/>
        <v>995</v>
      </c>
      <c r="CP36" s="144">
        <f t="shared" si="30"/>
        <v>6.3718592964824117</v>
      </c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  <c r="E38"/>
      <c r="F38"/>
      <c r="H38"/>
      <c r="I38"/>
      <c r="K38"/>
      <c r="L38"/>
      <c r="N38"/>
      <c r="O38"/>
      <c r="Q38"/>
      <c r="R38"/>
      <c r="T38"/>
      <c r="U38"/>
      <c r="W38"/>
      <c r="X38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5A57-DF57-456D-9187-B2718866B95D}">
  <sheetPr>
    <tabColor rgb="FFFF0000"/>
  </sheetPr>
  <dimension ref="A1:CL43"/>
  <sheetViews>
    <sheetView workbookViewId="0">
      <selection activeCell="E25" sqref="E25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104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'August 2025'!B36</f>
        <v>1531</v>
      </c>
      <c r="C4" s="68"/>
      <c r="D4" s="95" t="s">
        <v>19</v>
      </c>
      <c r="E4" s="93">
        <f>'August 2025'!AX36</f>
        <v>22</v>
      </c>
      <c r="F4" s="68"/>
      <c r="G4" s="87" t="s">
        <v>24</v>
      </c>
      <c r="H4" s="81">
        <f>'August 2025'!BM36</f>
        <v>51</v>
      </c>
    </row>
    <row r="5" spans="1:90" x14ac:dyDescent="0.3">
      <c r="A5" s="80"/>
      <c r="B5" s="151">
        <f>'August 2025'!C36</f>
        <v>182</v>
      </c>
      <c r="C5" s="68"/>
      <c r="D5" s="85"/>
      <c r="E5" s="81">
        <f>'August 2025'!AY36</f>
        <v>9</v>
      </c>
      <c r="F5" s="68"/>
      <c r="G5" s="87"/>
      <c r="H5" s="81">
        <f>'August 2025'!BN36</f>
        <v>6</v>
      </c>
    </row>
    <row r="6" spans="1:90" x14ac:dyDescent="0.3">
      <c r="A6" s="82"/>
      <c r="B6" s="275">
        <f>'August 2025'!D36</f>
        <v>252.35865800865798</v>
      </c>
      <c r="C6" s="68"/>
      <c r="D6" s="86"/>
      <c r="E6" s="26">
        <f>'August 2025'!AZ36</f>
        <v>22</v>
      </c>
      <c r="F6" s="68"/>
      <c r="G6" s="88"/>
      <c r="H6" s="26">
        <f>'August 2025'!BO36</f>
        <v>18</v>
      </c>
    </row>
    <row r="7" spans="1:90" x14ac:dyDescent="0.3">
      <c r="A7" s="80" t="s">
        <v>9</v>
      </c>
      <c r="B7" s="81">
        <f>'August 2025'!E36</f>
        <v>77</v>
      </c>
      <c r="C7" s="68"/>
      <c r="D7" s="85" t="s">
        <v>20</v>
      </c>
      <c r="E7" s="81">
        <f>'August 2025'!BA36</f>
        <v>36</v>
      </c>
      <c r="F7" s="68"/>
      <c r="G7" s="87" t="s">
        <v>25</v>
      </c>
      <c r="H7" s="151">
        <f>'August 2025'!BP36</f>
        <v>35</v>
      </c>
    </row>
    <row r="8" spans="1:90" x14ac:dyDescent="0.3">
      <c r="A8" s="80"/>
      <c r="B8" s="81">
        <f>'August 2025'!F36</f>
        <v>10</v>
      </c>
      <c r="C8" s="68"/>
      <c r="D8" s="85"/>
      <c r="E8" s="81">
        <f>'August 2025'!BB36</f>
        <v>5</v>
      </c>
      <c r="F8" s="68"/>
      <c r="G8" s="87"/>
      <c r="H8" s="151">
        <f>'August 2025'!BQ36</f>
        <v>5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6">
        <f>'August 2025'!G36</f>
        <v>60.5</v>
      </c>
      <c r="C9" s="68"/>
      <c r="D9" s="86"/>
      <c r="E9" s="26">
        <f>'August 2025'!BC36</f>
        <v>27</v>
      </c>
      <c r="F9" s="68"/>
      <c r="G9" s="88"/>
      <c r="H9" s="151">
        <f>'August 2025'!BQ36</f>
        <v>5</v>
      </c>
    </row>
    <row r="10" spans="1:90" x14ac:dyDescent="0.3">
      <c r="A10" s="80" t="s">
        <v>55</v>
      </c>
      <c r="B10" s="81">
        <f>'August 2025'!K36</f>
        <v>691</v>
      </c>
      <c r="C10" s="68"/>
      <c r="D10" s="85" t="s">
        <v>21</v>
      </c>
      <c r="E10" s="81">
        <f>'August 2025'!BD36</f>
        <v>12</v>
      </c>
      <c r="F10" s="68"/>
      <c r="G10" s="87" t="s">
        <v>26</v>
      </c>
      <c r="H10" s="151">
        <f>'August 2025'!BS36</f>
        <v>100</v>
      </c>
    </row>
    <row r="11" spans="1:90" x14ac:dyDescent="0.3">
      <c r="A11" s="80"/>
      <c r="B11" s="81">
        <f>'August 2025'!L36</f>
        <v>83</v>
      </c>
      <c r="C11" s="68"/>
      <c r="D11" s="85"/>
      <c r="E11" s="81">
        <f>'August 2025'!BE36</f>
        <v>3</v>
      </c>
      <c r="F11" s="68"/>
      <c r="G11" s="87"/>
      <c r="H11" s="81">
        <f>'August 2025'!BT36</f>
        <v>15</v>
      </c>
    </row>
    <row r="12" spans="1:90" x14ac:dyDescent="0.3">
      <c r="A12" s="82"/>
      <c r="B12" s="26">
        <f>'August 2025'!M36</f>
        <v>8.3253012048192776</v>
      </c>
      <c r="C12" s="68"/>
      <c r="D12" s="86"/>
      <c r="E12" s="81">
        <f>'August 2025'!BF36</f>
        <v>12</v>
      </c>
      <c r="F12" s="68"/>
      <c r="G12" s="88"/>
      <c r="H12" s="26">
        <f>'August 2025'!BU36</f>
        <v>100</v>
      </c>
    </row>
    <row r="13" spans="1:90" x14ac:dyDescent="0.3">
      <c r="A13" s="80" t="s">
        <v>11</v>
      </c>
      <c r="B13" s="81">
        <f>'August 2025'!Q36</f>
        <v>1831</v>
      </c>
      <c r="C13" s="68"/>
      <c r="D13" s="85" t="s">
        <v>22</v>
      </c>
      <c r="E13" s="81">
        <f>'August 2025'!BG36</f>
        <v>81</v>
      </c>
      <c r="F13" s="68"/>
      <c r="G13" s="87" t="s">
        <v>27</v>
      </c>
      <c r="H13" s="81">
        <f>'August 2025'!BV36</f>
        <v>78</v>
      </c>
    </row>
    <row r="14" spans="1:90" x14ac:dyDescent="0.3">
      <c r="A14" s="80"/>
      <c r="B14" s="81">
        <f>'August 2025'!R36</f>
        <v>330</v>
      </c>
      <c r="C14" s="68"/>
      <c r="D14" s="85"/>
      <c r="E14" s="81">
        <f>'August 2025'!BH36</f>
        <v>15</v>
      </c>
      <c r="F14" s="68"/>
      <c r="G14" s="87"/>
      <c r="H14" s="81">
        <f>'August 2025'!BW36</f>
        <v>23</v>
      </c>
    </row>
    <row r="15" spans="1:90" x14ac:dyDescent="0.3">
      <c r="A15" s="82"/>
      <c r="B15" s="26">
        <f>'August 2025'!S36</f>
        <v>146.77455648926238</v>
      </c>
      <c r="C15" s="68"/>
      <c r="D15" s="85"/>
      <c r="E15" s="26">
        <f>'August 2025'!BI36</f>
        <v>54.166666666666671</v>
      </c>
      <c r="F15" s="68"/>
      <c r="G15" s="88"/>
      <c r="H15" s="26">
        <f>'August 2025'!BX36</f>
        <v>54.333333333333336</v>
      </c>
    </row>
    <row r="16" spans="1:90" x14ac:dyDescent="0.3">
      <c r="A16" s="80" t="s">
        <v>44</v>
      </c>
      <c r="B16" s="81">
        <f>'August 2025'!T36</f>
        <v>87</v>
      </c>
      <c r="C16" s="68"/>
      <c r="D16" s="85" t="s">
        <v>45</v>
      </c>
      <c r="E16" s="26">
        <f>'August 2025'!BJ36</f>
        <v>523</v>
      </c>
      <c r="F16" s="68"/>
      <c r="G16" s="96" t="s">
        <v>28</v>
      </c>
      <c r="H16" s="97">
        <f>'August 2025'!CE36</f>
        <v>89</v>
      </c>
    </row>
    <row r="17" spans="1:8" x14ac:dyDescent="0.3">
      <c r="A17" s="80"/>
      <c r="B17" s="81">
        <f>'August 2025'!U36</f>
        <v>18</v>
      </c>
      <c r="C17" s="68"/>
      <c r="D17" s="85"/>
      <c r="E17" s="81">
        <f>'August 2025'!BK36</f>
        <v>83</v>
      </c>
      <c r="F17" s="68"/>
      <c r="G17" s="96"/>
      <c r="H17" s="97">
        <f>'August 2025'!CF36</f>
        <v>15</v>
      </c>
    </row>
    <row r="18" spans="1:8" ht="15" thickBot="1" x14ac:dyDescent="0.35">
      <c r="A18" s="82"/>
      <c r="B18" s="26">
        <f>'August 2025'!V36</f>
        <v>4.833333333333333</v>
      </c>
      <c r="C18" s="68"/>
      <c r="D18" s="102"/>
      <c r="E18" s="149">
        <f>'August 2025'!BL36</f>
        <v>153.61666666666667</v>
      </c>
      <c r="F18" s="68"/>
      <c r="G18" s="98"/>
      <c r="H18" s="99">
        <f>H16/H17</f>
        <v>5.9333333333333336</v>
      </c>
    </row>
    <row r="19" spans="1:8" x14ac:dyDescent="0.3">
      <c r="A19" s="80" t="s">
        <v>85</v>
      </c>
      <c r="B19" s="81">
        <f>'August 2025'!W36</f>
        <v>0</v>
      </c>
      <c r="C19" s="68"/>
    </row>
    <row r="20" spans="1:8" x14ac:dyDescent="0.3">
      <c r="A20" s="80"/>
      <c r="B20" s="81">
        <f>'August 2025'!X36</f>
        <v>0</v>
      </c>
      <c r="C20" s="68"/>
    </row>
    <row r="21" spans="1:8" x14ac:dyDescent="0.3">
      <c r="A21" s="100"/>
      <c r="B21" s="81">
        <f>'August 2025'!Y336</f>
        <v>0</v>
      </c>
      <c r="C21" s="68"/>
    </row>
    <row r="22" spans="1:8" x14ac:dyDescent="0.3">
      <c r="A22" s="310" t="s">
        <v>86</v>
      </c>
      <c r="B22" s="311">
        <f>'August 2025'!Z36</f>
        <v>585</v>
      </c>
      <c r="C22" s="68"/>
      <c r="D22" s="68"/>
      <c r="E22" s="68"/>
    </row>
    <row r="23" spans="1:8" x14ac:dyDescent="0.3">
      <c r="A23" s="324"/>
      <c r="B23" s="323">
        <f>'August 2025'!AA36</f>
        <v>131</v>
      </c>
      <c r="C23" s="68"/>
      <c r="D23" s="68"/>
      <c r="E23" s="68"/>
    </row>
    <row r="24" spans="1:8" x14ac:dyDescent="0.3">
      <c r="A24" s="325"/>
      <c r="B24" s="274">
        <f>'August 2025'!AB36</f>
        <v>70.988184683533518</v>
      </c>
      <c r="C24" s="68"/>
      <c r="D24" s="68"/>
      <c r="E24" s="68"/>
    </row>
    <row r="25" spans="1:8" x14ac:dyDescent="0.3">
      <c r="A25" s="325" t="s">
        <v>79</v>
      </c>
      <c r="B25" s="274">
        <f>'August 2025'!AC36</f>
        <v>384</v>
      </c>
      <c r="C25" s="68"/>
      <c r="D25" s="68"/>
      <c r="E25" s="68"/>
    </row>
    <row r="26" spans="1:8" x14ac:dyDescent="0.3">
      <c r="A26" s="325"/>
      <c r="B26" s="274">
        <f>'August 2025'!AD36</f>
        <v>83</v>
      </c>
      <c r="C26" s="68"/>
      <c r="D26" s="68"/>
      <c r="E26" s="68"/>
    </row>
    <row r="27" spans="1:8" x14ac:dyDescent="0.3">
      <c r="A27" s="325"/>
      <c r="B27" s="274">
        <f>'August 2025'!AE36</f>
        <v>50.150356506238857</v>
      </c>
      <c r="C27" s="68"/>
      <c r="D27" s="68"/>
      <c r="E27" s="68"/>
    </row>
    <row r="28" spans="1:8" x14ac:dyDescent="0.3">
      <c r="A28" s="308" t="s">
        <v>14</v>
      </c>
      <c r="B28" s="309">
        <f>'August 2025'!AC36</f>
        <v>384</v>
      </c>
      <c r="C28" s="68"/>
      <c r="D28" s="68"/>
      <c r="E28" s="68"/>
    </row>
    <row r="29" spans="1:8" x14ac:dyDescent="0.3">
      <c r="A29" s="83"/>
      <c r="B29" s="81">
        <f>'August 2025'!AD36</f>
        <v>83</v>
      </c>
      <c r="C29" s="68"/>
      <c r="D29" s="68"/>
      <c r="E29" s="68"/>
    </row>
    <row r="30" spans="1:8" x14ac:dyDescent="0.3">
      <c r="A30" s="84"/>
      <c r="B30" s="26">
        <f>'August 2025'!AE36</f>
        <v>50.150356506238857</v>
      </c>
      <c r="C30" s="68"/>
      <c r="D30" s="68"/>
      <c r="E30" s="68"/>
    </row>
    <row r="31" spans="1:8" x14ac:dyDescent="0.3">
      <c r="A31" s="83" t="s">
        <v>15</v>
      </c>
      <c r="B31" s="81">
        <f>'August 2025'!AF36</f>
        <v>23</v>
      </c>
      <c r="C31" s="68"/>
      <c r="F31" s="68"/>
      <c r="G31" s="68"/>
    </row>
    <row r="32" spans="1:8" x14ac:dyDescent="0.3">
      <c r="A32" s="83"/>
      <c r="B32" s="81">
        <f>'August 2025'!AG36</f>
        <v>4</v>
      </c>
      <c r="C32" s="68"/>
      <c r="F32" s="68"/>
      <c r="G32" s="68"/>
    </row>
    <row r="33" spans="1:7" x14ac:dyDescent="0.3">
      <c r="A33" s="84"/>
      <c r="B33" s="275">
        <f>'August 2025'!AH36</f>
        <v>11.666666666666668</v>
      </c>
      <c r="C33" s="68"/>
      <c r="F33" s="68"/>
      <c r="G33" s="68"/>
    </row>
    <row r="34" spans="1:7" x14ac:dyDescent="0.3">
      <c r="A34" s="83" t="s">
        <v>16</v>
      </c>
      <c r="B34" s="81">
        <f>'August 2025'!AL36</f>
        <v>71</v>
      </c>
      <c r="C34" s="68"/>
      <c r="F34" s="68"/>
      <c r="G34" s="68"/>
    </row>
    <row r="35" spans="1:7" x14ac:dyDescent="0.3">
      <c r="A35" s="83"/>
      <c r="B35" s="81">
        <f>'August 2025'!AM36</f>
        <v>12</v>
      </c>
      <c r="C35" s="68"/>
      <c r="F35" s="68"/>
      <c r="G35" s="68"/>
    </row>
    <row r="36" spans="1:7" x14ac:dyDescent="0.3">
      <c r="A36" s="84"/>
      <c r="B36" s="26">
        <f>'August 2025'!AN36</f>
        <v>29.666666666666668</v>
      </c>
      <c r="C36" s="68"/>
      <c r="F36" s="68"/>
      <c r="G36" s="68"/>
    </row>
    <row r="37" spans="1:7" x14ac:dyDescent="0.3">
      <c r="A37" s="83" t="s">
        <v>17</v>
      </c>
      <c r="B37" s="81">
        <f>'August 2025'!AO36</f>
        <v>136</v>
      </c>
      <c r="C37" s="68"/>
      <c r="F37" s="68"/>
      <c r="G37" s="68"/>
    </row>
    <row r="38" spans="1:7" x14ac:dyDescent="0.3">
      <c r="A38" s="83"/>
      <c r="B38" s="81">
        <f>'August 2025'!AP36</f>
        <v>25</v>
      </c>
      <c r="C38" s="68"/>
      <c r="F38" s="68"/>
      <c r="G38" s="68"/>
    </row>
    <row r="39" spans="1:7" x14ac:dyDescent="0.3">
      <c r="A39" s="84"/>
      <c r="B39" s="26">
        <f>'August 2025'!AQ36</f>
        <v>52.75</v>
      </c>
      <c r="C39" s="68"/>
      <c r="F39" s="68"/>
      <c r="G39" s="68"/>
    </row>
    <row r="40" spans="1:7" x14ac:dyDescent="0.3">
      <c r="A40" s="83" t="s">
        <v>59</v>
      </c>
      <c r="B40" s="81">
        <f>'August 2025'!AR36</f>
        <v>91</v>
      </c>
      <c r="C40" s="68"/>
      <c r="F40" s="68"/>
      <c r="G40" s="68"/>
    </row>
    <row r="41" spans="1:7" x14ac:dyDescent="0.3">
      <c r="A41" s="83"/>
      <c r="B41" s="81">
        <f>'August 2025'!AS36</f>
        <v>13</v>
      </c>
      <c r="C41" s="68"/>
      <c r="F41" s="68"/>
      <c r="G41" s="68"/>
    </row>
    <row r="42" spans="1:7" ht="15" thickBot="1" x14ac:dyDescent="0.35">
      <c r="A42" s="94"/>
      <c r="B42" s="89">
        <f>'August 2025'!AT36</f>
        <v>79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5467-A9BA-48B4-923B-A81A9A27518B}">
  <dimension ref="A1:CP125"/>
  <sheetViews>
    <sheetView workbookViewId="0">
      <pane xSplit="9" ySplit="11" topLeftCell="BP23" activePane="bottomRight" state="frozen"/>
      <selection pane="topRight" activeCell="J1" sqref="J1"/>
      <selection pane="bottomLeft" activeCell="A12" sqref="A12"/>
      <selection pane="bottomRight" activeCell="A2" sqref="A2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13" width="8.88671875" style="2" customWidth="1"/>
    <col min="14" max="16" width="8.88671875" style="2" hidden="1" customWidth="1"/>
    <col min="17" max="21" width="8.88671875" style="2" customWidth="1"/>
    <col min="22" max="22" width="9.6640625" style="2" customWidth="1"/>
    <col min="23" max="24" width="8.88671875" style="2" hidden="1" customWidth="1"/>
    <col min="25" max="25" width="9.6640625" style="2" hidden="1" customWidth="1"/>
    <col min="26" max="43" width="9.6640625" style="2" customWidth="1"/>
    <col min="44" max="45" width="8.88671875" customWidth="1"/>
    <col min="46" max="46" width="8.88671875" style="2" customWidth="1"/>
    <col min="47" max="48" width="8.88671875" hidden="1" customWidth="1"/>
    <col min="49" max="49" width="8.88671875" style="2" hidden="1" customWidth="1"/>
    <col min="50" max="51" width="8.88671875" customWidth="1"/>
    <col min="52" max="52" width="8.88671875" style="2" customWidth="1"/>
    <col min="53" max="54" width="8.88671875" hidden="1" customWidth="1"/>
    <col min="55" max="55" width="7.33203125" style="2" hidden="1" customWidth="1"/>
    <col min="56" max="56" width="8.33203125" customWidth="1"/>
    <col min="57" max="57" width="9.6640625" customWidth="1"/>
    <col min="58" max="58" width="11.88671875" style="2" customWidth="1"/>
    <col min="59" max="59" width="8.33203125" hidden="1" customWidth="1"/>
    <col min="60" max="60" width="9.6640625" hidden="1" customWidth="1"/>
    <col min="61" max="61" width="8.88671875" style="2" hidden="1" customWidth="1"/>
    <col min="62" max="63" width="8.88671875" customWidth="1"/>
    <col min="64" max="64" width="8.88671875" style="2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5" width="8.88671875" customWidth="1"/>
    <col min="76" max="76" width="8.88671875" style="2" customWidth="1"/>
    <col min="77" max="78" width="8.88671875" hidden="1" customWidth="1"/>
    <col min="79" max="79" width="8.88671875" style="2" hidden="1" customWidth="1"/>
    <col min="82" max="82" width="9.109375" style="2"/>
    <col min="85" max="85" width="9.109375" style="2"/>
    <col min="86" max="87" width="8.88671875" hidden="1" customWidth="1"/>
    <col min="88" max="88" width="9.33203125" style="2" hidden="1" customWidth="1"/>
    <col min="89" max="90" width="8.88671875" customWidth="1"/>
    <col min="91" max="91" width="8.88671875" style="2" customWidth="1"/>
    <col min="92" max="92" width="9.109375" style="79" bestFit="1" customWidth="1"/>
    <col min="93" max="93" width="9.109375" style="79"/>
    <col min="94" max="94" width="9.109375" style="2"/>
  </cols>
  <sheetData>
    <row r="1" spans="1:94" ht="18.600000000000001" thickBot="1" x14ac:dyDescent="0.4">
      <c r="A1" s="290" t="s">
        <v>109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8"/>
      <c r="AS1" s="68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8"/>
      <c r="BV1" s="68"/>
      <c r="BW1" s="68"/>
      <c r="BX1" s="69"/>
      <c r="BY1" s="68"/>
      <c r="BZ1" s="68"/>
      <c r="CA1" s="69"/>
      <c r="CB1" s="68"/>
      <c r="CC1" s="68"/>
      <c r="CD1" s="69"/>
      <c r="CE1" s="68"/>
      <c r="CF1" s="68"/>
      <c r="CG1" s="69"/>
      <c r="CH1" s="68"/>
      <c r="CI1" s="68"/>
      <c r="CJ1" s="69"/>
      <c r="CK1" s="68"/>
      <c r="CL1" s="68"/>
      <c r="CM1" s="69"/>
      <c r="CN1" s="113"/>
      <c r="CO1" s="113"/>
      <c r="CP1" s="69"/>
    </row>
    <row r="2" spans="1:94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73"/>
      <c r="T2" s="77"/>
      <c r="U2" s="73" t="s">
        <v>2</v>
      </c>
      <c r="V2" s="74"/>
      <c r="W2" s="77"/>
      <c r="X2" s="73" t="s">
        <v>2</v>
      </c>
      <c r="Y2" s="74"/>
      <c r="Z2" s="73"/>
      <c r="AA2" s="73" t="s">
        <v>2</v>
      </c>
      <c r="AB2" s="73"/>
      <c r="AC2" s="73"/>
      <c r="AD2" s="73" t="s">
        <v>2</v>
      </c>
      <c r="AE2" s="73"/>
      <c r="AF2" s="77"/>
      <c r="AG2" s="73" t="s">
        <v>2</v>
      </c>
      <c r="AH2" s="74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1"/>
      <c r="AS2" s="72" t="s">
        <v>3</v>
      </c>
      <c r="AT2" s="282"/>
      <c r="AU2" s="72"/>
      <c r="AV2" s="72" t="s">
        <v>3</v>
      </c>
      <c r="AW2" s="74"/>
      <c r="AX2" s="72"/>
      <c r="AY2" s="72" t="s">
        <v>4</v>
      </c>
      <c r="AZ2" s="73"/>
      <c r="BA2" s="71"/>
      <c r="BB2" s="72" t="s">
        <v>4</v>
      </c>
      <c r="BC2" s="74"/>
      <c r="BD2" s="72"/>
      <c r="BE2" s="72" t="s">
        <v>4</v>
      </c>
      <c r="BF2" s="282"/>
      <c r="BG2" s="72"/>
      <c r="BH2" s="72" t="s">
        <v>4</v>
      </c>
      <c r="BI2" s="74"/>
      <c r="BJ2" s="108"/>
      <c r="BK2" s="109" t="s">
        <v>5</v>
      </c>
      <c r="BL2" s="110"/>
      <c r="BM2" s="108"/>
      <c r="BN2" s="109" t="s">
        <v>5</v>
      </c>
      <c r="BO2" s="111"/>
      <c r="BP2" s="109"/>
      <c r="BQ2" s="109" t="s">
        <v>5</v>
      </c>
      <c r="BR2" s="110"/>
      <c r="BS2" s="108"/>
      <c r="BT2" s="109" t="s">
        <v>5</v>
      </c>
      <c r="BU2" s="112"/>
      <c r="BV2" s="109"/>
      <c r="BW2" s="109" t="s">
        <v>78</v>
      </c>
      <c r="BX2" s="111"/>
      <c r="BY2" s="109"/>
      <c r="BZ2" s="109" t="s">
        <v>78</v>
      </c>
      <c r="CA2" s="111"/>
      <c r="CB2" s="109"/>
      <c r="CC2" s="109" t="s">
        <v>78</v>
      </c>
      <c r="CD2" s="111"/>
      <c r="CE2" s="75"/>
      <c r="CF2" s="75" t="s">
        <v>6</v>
      </c>
      <c r="CG2" s="76"/>
      <c r="CH2" s="71"/>
      <c r="CI2" s="72" t="s">
        <v>6</v>
      </c>
      <c r="CJ2" s="74"/>
      <c r="CK2" s="75"/>
      <c r="CL2" s="75" t="s">
        <v>6</v>
      </c>
      <c r="CM2" s="76"/>
      <c r="CN2" s="114" t="s">
        <v>7</v>
      </c>
      <c r="CO2" s="119"/>
      <c r="CP2" s="74"/>
    </row>
    <row r="3" spans="1:94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67</v>
      </c>
      <c r="O3" s="4"/>
      <c r="P3" s="283"/>
      <c r="Q3" s="4" t="s">
        <v>11</v>
      </c>
      <c r="R3" s="4"/>
      <c r="S3" s="35"/>
      <c r="T3" s="3" t="s">
        <v>12</v>
      </c>
      <c r="U3" s="4"/>
      <c r="V3" s="33"/>
      <c r="W3" s="3" t="s">
        <v>35</v>
      </c>
      <c r="X3" s="4"/>
      <c r="Y3" s="33"/>
      <c r="Z3" s="3" t="s">
        <v>73</v>
      </c>
      <c r="AA3" s="35"/>
      <c r="AB3" s="35"/>
      <c r="AC3" s="3" t="s">
        <v>79</v>
      </c>
      <c r="AD3" s="35"/>
      <c r="AE3" s="35"/>
      <c r="AF3" s="3" t="s">
        <v>62</v>
      </c>
      <c r="AG3" s="4"/>
      <c r="AH3" s="33"/>
      <c r="AI3" s="3" t="s">
        <v>68</v>
      </c>
      <c r="AJ3" s="4"/>
      <c r="AK3" s="33"/>
      <c r="AL3" s="3" t="s">
        <v>91</v>
      </c>
      <c r="AM3" s="4"/>
      <c r="AN3" s="33"/>
      <c r="AO3" s="3" t="s">
        <v>69</v>
      </c>
      <c r="AP3" s="4"/>
      <c r="AQ3" s="33"/>
      <c r="AR3" s="47" t="s">
        <v>14</v>
      </c>
      <c r="AS3" s="47"/>
      <c r="AT3" s="287"/>
      <c r="AU3" s="47" t="s">
        <v>15</v>
      </c>
      <c r="AV3" s="47"/>
      <c r="AW3" s="48"/>
      <c r="AX3" s="47" t="s">
        <v>16</v>
      </c>
      <c r="AY3" s="47"/>
      <c r="AZ3" s="49"/>
      <c r="BA3" s="46" t="s">
        <v>17</v>
      </c>
      <c r="BB3" s="47"/>
      <c r="BC3" s="48"/>
      <c r="BD3" s="47" t="s">
        <v>63</v>
      </c>
      <c r="BE3" s="47"/>
      <c r="BF3" s="287"/>
      <c r="BG3" s="47" t="s">
        <v>64</v>
      </c>
      <c r="BH3" s="47"/>
      <c r="BI3" s="49"/>
      <c r="BJ3" s="9" t="s">
        <v>36</v>
      </c>
      <c r="BK3" s="7"/>
      <c r="BL3" s="29"/>
      <c r="BM3" s="9" t="s">
        <v>37</v>
      </c>
      <c r="BN3" s="7"/>
      <c r="BO3" s="31"/>
      <c r="BP3" s="7" t="s">
        <v>38</v>
      </c>
      <c r="BQ3" s="7"/>
      <c r="BR3" s="29"/>
      <c r="BS3" s="9" t="s">
        <v>39</v>
      </c>
      <c r="BT3" s="7"/>
      <c r="BU3" s="8"/>
      <c r="BV3" s="304" t="s">
        <v>81</v>
      </c>
      <c r="BW3" s="304"/>
      <c r="BX3" s="305"/>
      <c r="BY3" s="304" t="s">
        <v>82</v>
      </c>
      <c r="BZ3" s="304"/>
      <c r="CA3" s="305"/>
      <c r="CB3" s="304" t="s">
        <v>83</v>
      </c>
      <c r="CC3" s="304"/>
      <c r="CD3" s="305"/>
      <c r="CE3" s="14" t="s">
        <v>84</v>
      </c>
      <c r="CF3" s="14"/>
      <c r="CG3" s="328"/>
      <c r="CH3" s="14" t="s">
        <v>26</v>
      </c>
      <c r="CI3" s="14"/>
      <c r="CJ3" s="27"/>
      <c r="CK3" s="14" t="s">
        <v>99</v>
      </c>
      <c r="CL3" s="14"/>
      <c r="CM3" s="55"/>
      <c r="CN3" s="115" t="s">
        <v>28</v>
      </c>
      <c r="CO3" s="115"/>
      <c r="CP3" s="24"/>
    </row>
    <row r="4" spans="1:94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5" t="s">
        <v>7</v>
      </c>
      <c r="U4" s="6" t="s">
        <v>30</v>
      </c>
      <c r="V4" s="34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1" t="s">
        <v>7</v>
      </c>
      <c r="AS4" s="51" t="s">
        <v>30</v>
      </c>
      <c r="AT4" s="288" t="s">
        <v>31</v>
      </c>
      <c r="AU4" s="51" t="s">
        <v>7</v>
      </c>
      <c r="AV4" s="51" t="s">
        <v>30</v>
      </c>
      <c r="AW4" s="52" t="s">
        <v>31</v>
      </c>
      <c r="AX4" s="51" t="s">
        <v>7</v>
      </c>
      <c r="AY4" s="51" t="s">
        <v>30</v>
      </c>
      <c r="AZ4" s="53" t="s">
        <v>31</v>
      </c>
      <c r="BA4" s="50" t="s">
        <v>7</v>
      </c>
      <c r="BB4" s="51" t="s">
        <v>30</v>
      </c>
      <c r="BC4" s="52" t="s">
        <v>31</v>
      </c>
      <c r="BD4" s="51" t="s">
        <v>7</v>
      </c>
      <c r="BE4" s="51" t="s">
        <v>30</v>
      </c>
      <c r="BF4" s="288" t="s">
        <v>31</v>
      </c>
      <c r="BG4" s="51" t="s">
        <v>7</v>
      </c>
      <c r="BH4" s="51" t="s">
        <v>30</v>
      </c>
      <c r="BI4" s="53" t="s">
        <v>31</v>
      </c>
      <c r="BJ4" s="12" t="s">
        <v>7</v>
      </c>
      <c r="BK4" s="10" t="s">
        <v>30</v>
      </c>
      <c r="BL4" s="30" t="s">
        <v>31</v>
      </c>
      <c r="BM4" s="12" t="s">
        <v>7</v>
      </c>
      <c r="BN4" s="10" t="s">
        <v>30</v>
      </c>
      <c r="BO4" s="32" t="s">
        <v>31</v>
      </c>
      <c r="BP4" s="10" t="s">
        <v>7</v>
      </c>
      <c r="BQ4" s="10" t="s">
        <v>30</v>
      </c>
      <c r="BR4" s="30" t="s">
        <v>31</v>
      </c>
      <c r="BS4" s="12" t="s">
        <v>7</v>
      </c>
      <c r="BT4" s="10" t="s">
        <v>30</v>
      </c>
      <c r="BU4" s="11" t="s">
        <v>31</v>
      </c>
      <c r="BV4" s="306" t="s">
        <v>7</v>
      </c>
      <c r="BW4" s="306" t="s">
        <v>30</v>
      </c>
      <c r="BX4" s="307" t="s">
        <v>31</v>
      </c>
      <c r="BY4" s="306" t="s">
        <v>7</v>
      </c>
      <c r="BZ4" s="306" t="s">
        <v>30</v>
      </c>
      <c r="CA4" s="307" t="s">
        <v>31</v>
      </c>
      <c r="CB4" s="306" t="s">
        <v>7</v>
      </c>
      <c r="CC4" s="306" t="s">
        <v>30</v>
      </c>
      <c r="CD4" s="307" t="s">
        <v>31</v>
      </c>
      <c r="CE4" s="16" t="s">
        <v>7</v>
      </c>
      <c r="CF4" s="16" t="s">
        <v>30</v>
      </c>
      <c r="CG4" s="329" t="s">
        <v>31</v>
      </c>
      <c r="CH4" s="16" t="s">
        <v>7</v>
      </c>
      <c r="CI4" s="16" t="s">
        <v>30</v>
      </c>
      <c r="CJ4" s="28" t="s">
        <v>31</v>
      </c>
      <c r="CK4" s="16" t="s">
        <v>7</v>
      </c>
      <c r="CL4" s="16" t="s">
        <v>30</v>
      </c>
      <c r="CM4" s="57" t="s">
        <v>31</v>
      </c>
      <c r="CN4" s="116" t="s">
        <v>7</v>
      </c>
      <c r="CO4" s="116" t="s">
        <v>30</v>
      </c>
      <c r="CP4" s="146" t="s">
        <v>31</v>
      </c>
    </row>
    <row r="5" spans="1:94" ht="15" thickBot="1" x14ac:dyDescent="0.35">
      <c r="A5" s="294">
        <v>45901</v>
      </c>
      <c r="B5" s="125">
        <v>27</v>
      </c>
      <c r="C5" s="126">
        <v>3</v>
      </c>
      <c r="D5" s="276">
        <f t="shared" ref="D5:D34" si="0">IF(C5=0,"-",B5/C5)</f>
        <v>9</v>
      </c>
      <c r="E5" s="125">
        <v>0</v>
      </c>
      <c r="F5" s="126">
        <v>0</v>
      </c>
      <c r="G5" s="139" t="str">
        <f t="shared" ref="G5:G34" si="1">IF(F5=0,"-",E5/F5)</f>
        <v>-</v>
      </c>
      <c r="H5" s="125">
        <v>0</v>
      </c>
      <c r="I5" s="126">
        <v>0</v>
      </c>
      <c r="J5" s="139" t="str">
        <f t="shared" ref="J5:J24" si="2">IF(I5=0,"-",H5/I5)</f>
        <v>-</v>
      </c>
      <c r="K5" s="125">
        <v>9</v>
      </c>
      <c r="L5" s="126">
        <v>1</v>
      </c>
      <c r="M5" s="276">
        <f t="shared" ref="M5:M35" si="3">IF(L5=0,"-",K5/L5)</f>
        <v>9</v>
      </c>
      <c r="N5" s="20">
        <v>0</v>
      </c>
      <c r="O5" s="21">
        <v>0</v>
      </c>
      <c r="P5" s="139" t="str">
        <f t="shared" ref="P5:P34" si="4">IF(O5=0,"-",N5/O5)</f>
        <v>-</v>
      </c>
      <c r="Q5" s="20">
        <v>55</v>
      </c>
      <c r="R5" s="21">
        <v>10</v>
      </c>
      <c r="S5" s="139">
        <f t="shared" ref="S5:S34" si="5">IF(R5=0,"-",Q5/R5)</f>
        <v>5.5</v>
      </c>
      <c r="T5" s="20">
        <v>216</v>
      </c>
      <c r="U5" s="21">
        <v>35</v>
      </c>
      <c r="V5" s="139">
        <f t="shared" ref="V5:V35" si="6">IF(U5=0,"-",T5/U5)</f>
        <v>6.1714285714285717</v>
      </c>
      <c r="W5" s="20">
        <v>0</v>
      </c>
      <c r="X5" s="21">
        <v>0</v>
      </c>
      <c r="Y5" s="139" t="str">
        <f t="shared" ref="Y5:Y34" si="7">IF(X5=0,"-",W5/X5)</f>
        <v>-</v>
      </c>
      <c r="Z5" s="20">
        <v>20</v>
      </c>
      <c r="AA5" s="21">
        <v>4</v>
      </c>
      <c r="AB5" s="139">
        <f t="shared" ref="AB5:AB34" si="8">IF(AA5=0,"-",Z5/AA5)</f>
        <v>5</v>
      </c>
      <c r="AC5" s="20">
        <v>0</v>
      </c>
      <c r="AD5" s="21">
        <v>0</v>
      </c>
      <c r="AE5" s="139" t="str">
        <f t="shared" ref="AE5:AE34" si="9">IF(AD5=0,"-",AC5/AD5)</f>
        <v>-</v>
      </c>
      <c r="AF5" s="20">
        <v>0</v>
      </c>
      <c r="AG5" s="21">
        <v>0</v>
      </c>
      <c r="AH5" s="139" t="str">
        <f t="shared" ref="AH5:AH34" si="10">IF(AG5=0,"-",AF5/AG5)</f>
        <v>-</v>
      </c>
      <c r="AI5" s="20">
        <v>6</v>
      </c>
      <c r="AJ5" s="21">
        <v>1</v>
      </c>
      <c r="AK5" s="139">
        <f t="shared" ref="AK5:AK34" si="11">IF(AJ5=0,"-",AI5/AJ5)</f>
        <v>6</v>
      </c>
      <c r="AL5" s="20">
        <v>0</v>
      </c>
      <c r="AM5" s="21">
        <v>0</v>
      </c>
      <c r="AN5" s="139" t="str">
        <f t="shared" ref="AN5:AN34" si="12">IF(AM5=0,"-",AL5/AM5)</f>
        <v>-</v>
      </c>
      <c r="AO5" s="20">
        <v>0</v>
      </c>
      <c r="AP5" s="21">
        <v>0</v>
      </c>
      <c r="AQ5" s="139" t="str">
        <f t="shared" ref="AQ5:AQ34" si="13">IF(AP5=0,"-",AO5/AP5)</f>
        <v>-</v>
      </c>
      <c r="AR5" s="20">
        <v>2</v>
      </c>
      <c r="AS5" s="21">
        <v>1</v>
      </c>
      <c r="AT5" s="139">
        <f t="shared" ref="AT5:AT34" si="14">IF(AS5=0,"-",AR5/AS5)</f>
        <v>2</v>
      </c>
      <c r="AU5" s="20">
        <v>0</v>
      </c>
      <c r="AV5" s="21">
        <v>0</v>
      </c>
      <c r="AW5" s="139" t="str">
        <f t="shared" ref="AW5:AW34" si="15">IF(AV5=0,"-",AU5/AV5)</f>
        <v>-</v>
      </c>
      <c r="AX5" s="20">
        <v>0</v>
      </c>
      <c r="AY5" s="21">
        <v>0</v>
      </c>
      <c r="AZ5" s="139" t="str">
        <f t="shared" ref="AZ5:AZ34" si="16">IF(AY5=0,"-",AX5/AY5)</f>
        <v>-</v>
      </c>
      <c r="BA5" s="20">
        <v>0</v>
      </c>
      <c r="BB5" s="21">
        <v>0</v>
      </c>
      <c r="BC5" s="139" t="str">
        <f t="shared" ref="BC5:BC33" si="17">IF(BB5=0,"-",BA5/BB5)</f>
        <v>-</v>
      </c>
      <c r="BD5" s="20">
        <v>0</v>
      </c>
      <c r="BE5" s="21">
        <v>0</v>
      </c>
      <c r="BF5" s="139" t="str">
        <f t="shared" ref="BF5:BF33" si="18">IF(BE5=0,"-",BD5/BE5)</f>
        <v>-</v>
      </c>
      <c r="BG5" s="20">
        <v>0</v>
      </c>
      <c r="BH5" s="21">
        <v>0</v>
      </c>
      <c r="BI5" s="139" t="str">
        <f t="shared" ref="BI5:BI33" si="19">IF(BH5=0,"-",BG5/BH5)</f>
        <v>-</v>
      </c>
      <c r="BJ5" s="250">
        <v>20</v>
      </c>
      <c r="BK5" s="251">
        <v>3</v>
      </c>
      <c r="BL5" s="276">
        <f t="shared" ref="BL5:BL34" si="20">IF(BK5=0,"-",BJ5/BK5)</f>
        <v>6.666666666666667</v>
      </c>
      <c r="BM5" s="250">
        <v>0</v>
      </c>
      <c r="BN5" s="251">
        <v>0</v>
      </c>
      <c r="BO5" s="276" t="str">
        <f t="shared" ref="BO5:BO34" si="21">IF(BN5=0,"-",BM5/BN5)</f>
        <v>-</v>
      </c>
      <c r="BP5" s="326">
        <v>56</v>
      </c>
      <c r="BQ5" s="327">
        <v>8</v>
      </c>
      <c r="BR5" s="276">
        <f t="shared" ref="BR5:BR34" si="22">IF(BQ5=0,"-",BP5/BQ5)</f>
        <v>7</v>
      </c>
      <c r="BS5" s="254">
        <v>6</v>
      </c>
      <c r="BT5" s="255">
        <v>1</v>
      </c>
      <c r="BU5" s="276">
        <f t="shared" ref="BU5:BU34" si="23">IF(BT5=0,"-",BS5/BT5)</f>
        <v>6</v>
      </c>
      <c r="BV5" s="254">
        <v>1</v>
      </c>
      <c r="BW5" s="255">
        <v>1</v>
      </c>
      <c r="BX5" s="276">
        <f t="shared" ref="BX5:BX34" si="24">IF(BW5=0,"-",BV5/BW5)</f>
        <v>1</v>
      </c>
      <c r="BY5" s="254">
        <v>0</v>
      </c>
      <c r="BZ5" s="255">
        <v>0</v>
      </c>
      <c r="CA5" s="276" t="str">
        <f t="shared" ref="CA5:CA34" si="25">IF(BZ5=0,"-",BY5/BZ5)</f>
        <v>-</v>
      </c>
      <c r="CB5" s="254">
        <v>4</v>
      </c>
      <c r="CC5" s="255">
        <v>1</v>
      </c>
      <c r="CD5" s="276">
        <f t="shared" ref="CD5:CD30" si="26">IF(CC5=0,"-",CB5/CC5)</f>
        <v>4</v>
      </c>
      <c r="CE5" s="250">
        <v>0</v>
      </c>
      <c r="CF5" s="251">
        <v>0</v>
      </c>
      <c r="CG5" s="276" t="str">
        <f t="shared" ref="CG5:CG32" si="27">IF(CF5=0,"-",CE5/CF5)</f>
        <v>-</v>
      </c>
      <c r="CH5" s="250">
        <v>0</v>
      </c>
      <c r="CI5" s="251">
        <v>0</v>
      </c>
      <c r="CJ5" s="276" t="str">
        <f t="shared" ref="CJ5:CJ32" si="28">IF(CI5=0,"-",CH5/CI5)</f>
        <v>-</v>
      </c>
      <c r="CK5" s="256">
        <v>0</v>
      </c>
      <c r="CL5" s="253">
        <v>0</v>
      </c>
      <c r="CM5" s="276" t="str">
        <f t="shared" ref="CM5:CM32" si="29">IF(CL5=0,"-",CK5/CL5)</f>
        <v>-</v>
      </c>
      <c r="CN5" s="117">
        <f>SUM(B5,E5,H5,K5,Q5,T5,W5,Z5,AC5,AF5,AI5,AL5,AO5,AR5,AX5,BA5,BG5,BJ5,BM5,BP5,BS5,BV5,BY5,CB5,CE5,CH5,CK5+BD5)</f>
        <v>422</v>
      </c>
      <c r="CO5" s="120">
        <f>C5+F5+I5+L5+R5+U5+X5+AA5+AD5+AG5+AJ5+AM5+AP5+AS5+AV5+AY5+BB5+BE5+BH5+BK5+BN5+BQ5+BT5+BW5+CC5+CF5+CI5+CL5</f>
        <v>69</v>
      </c>
      <c r="CP5" s="147">
        <f t="shared" ref="CP5:CP35" si="30">IF(CO5=0,"",CN5/CO5)</f>
        <v>6.1159420289855069</v>
      </c>
    </row>
    <row r="6" spans="1:94" ht="15" thickBot="1" x14ac:dyDescent="0.35">
      <c r="A6" s="294">
        <v>45902</v>
      </c>
      <c r="B6" s="20">
        <v>80</v>
      </c>
      <c r="C6" s="21">
        <v>9</v>
      </c>
      <c r="D6" s="139">
        <f t="shared" si="0"/>
        <v>8.8888888888888893</v>
      </c>
      <c r="E6" s="125">
        <v>0</v>
      </c>
      <c r="F6" s="126">
        <v>0</v>
      </c>
      <c r="G6" s="139" t="str">
        <f t="shared" ref="G6" si="31">IF(F6=0,"-",E6/F6)</f>
        <v>-</v>
      </c>
      <c r="H6" s="125">
        <v>0</v>
      </c>
      <c r="I6" s="126">
        <v>0</v>
      </c>
      <c r="J6" s="139" t="str">
        <f t="shared" si="2"/>
        <v>-</v>
      </c>
      <c r="K6" s="20">
        <v>25</v>
      </c>
      <c r="L6" s="21">
        <v>3</v>
      </c>
      <c r="M6" s="139">
        <f t="shared" si="3"/>
        <v>8.3333333333333339</v>
      </c>
      <c r="N6" s="20">
        <v>0</v>
      </c>
      <c r="O6" s="21">
        <v>0</v>
      </c>
      <c r="P6" s="139" t="str">
        <f t="shared" si="4"/>
        <v>-</v>
      </c>
      <c r="Q6" s="20">
        <v>52</v>
      </c>
      <c r="R6" s="21">
        <v>9</v>
      </c>
      <c r="S6" s="139">
        <f t="shared" si="5"/>
        <v>5.7777777777777777</v>
      </c>
      <c r="T6" s="21">
        <v>204</v>
      </c>
      <c r="U6" s="348">
        <v>31</v>
      </c>
      <c r="V6" s="139">
        <f t="shared" si="6"/>
        <v>6.580645161290323</v>
      </c>
      <c r="W6" s="20">
        <v>0</v>
      </c>
      <c r="X6" s="21">
        <v>0</v>
      </c>
      <c r="Y6" s="139" t="str">
        <f t="shared" si="7"/>
        <v>-</v>
      </c>
      <c r="Z6" s="20">
        <v>7</v>
      </c>
      <c r="AA6" s="21">
        <v>2</v>
      </c>
      <c r="AB6" s="139">
        <f t="shared" si="8"/>
        <v>3.5</v>
      </c>
      <c r="AC6" s="20">
        <v>0</v>
      </c>
      <c r="AD6" s="21">
        <v>0</v>
      </c>
      <c r="AE6" s="139" t="str">
        <f t="shared" ref="AE6" si="32">IF(AD6=0,"-",AC6/AD6)</f>
        <v>-</v>
      </c>
      <c r="AF6" s="20">
        <v>0</v>
      </c>
      <c r="AG6" s="21">
        <v>0</v>
      </c>
      <c r="AH6" s="139" t="str">
        <f t="shared" ref="AH6" si="33">IF(AG6=0,"-",AF6/AG6)</f>
        <v>-</v>
      </c>
      <c r="AI6" s="20">
        <v>12</v>
      </c>
      <c r="AJ6" s="21">
        <v>2</v>
      </c>
      <c r="AK6" s="139">
        <f t="shared" si="11"/>
        <v>6</v>
      </c>
      <c r="AL6" s="20">
        <v>6</v>
      </c>
      <c r="AM6" s="21">
        <v>1</v>
      </c>
      <c r="AN6" s="139">
        <f t="shared" si="12"/>
        <v>6</v>
      </c>
      <c r="AO6" s="20">
        <v>0</v>
      </c>
      <c r="AP6" s="21">
        <v>0</v>
      </c>
      <c r="AQ6" s="139" t="str">
        <f t="shared" ref="AQ6" si="34">IF(AP6=0,"-",AO6/AP6)</f>
        <v>-</v>
      </c>
      <c r="AR6" s="20">
        <v>4</v>
      </c>
      <c r="AS6" s="21">
        <v>1</v>
      </c>
      <c r="AT6" s="139">
        <f t="shared" si="14"/>
        <v>4</v>
      </c>
      <c r="AU6" s="20">
        <v>0</v>
      </c>
      <c r="AV6" s="21">
        <v>0</v>
      </c>
      <c r="AW6" s="139" t="str">
        <f t="shared" si="15"/>
        <v>-</v>
      </c>
      <c r="AX6" s="20">
        <v>2</v>
      </c>
      <c r="AY6" s="21">
        <v>1</v>
      </c>
      <c r="AZ6" s="139">
        <f t="shared" si="16"/>
        <v>2</v>
      </c>
      <c r="BA6" s="20">
        <v>0</v>
      </c>
      <c r="BB6" s="21">
        <v>0</v>
      </c>
      <c r="BC6" s="139" t="str">
        <f t="shared" si="17"/>
        <v>-</v>
      </c>
      <c r="BD6" s="20">
        <v>1</v>
      </c>
      <c r="BE6" s="21">
        <v>1</v>
      </c>
      <c r="BF6" s="139">
        <f t="shared" si="18"/>
        <v>1</v>
      </c>
      <c r="BG6" s="20">
        <v>0</v>
      </c>
      <c r="BH6" s="21">
        <v>0</v>
      </c>
      <c r="BI6" s="139" t="str">
        <f t="shared" si="19"/>
        <v>-</v>
      </c>
      <c r="BJ6" s="252">
        <v>32</v>
      </c>
      <c r="BK6" s="253">
        <v>5</v>
      </c>
      <c r="BL6" s="276">
        <f t="shared" si="20"/>
        <v>6.4</v>
      </c>
      <c r="BM6" s="252">
        <v>7</v>
      </c>
      <c r="BN6" s="253">
        <v>1</v>
      </c>
      <c r="BO6" s="276">
        <f t="shared" si="21"/>
        <v>7</v>
      </c>
      <c r="BP6" s="302">
        <v>0</v>
      </c>
      <c r="BQ6" s="303">
        <v>0</v>
      </c>
      <c r="BR6" s="276" t="str">
        <f t="shared" si="22"/>
        <v>-</v>
      </c>
      <c r="BS6" s="256">
        <v>7</v>
      </c>
      <c r="BT6" s="253">
        <v>1</v>
      </c>
      <c r="BU6" s="276">
        <f t="shared" si="23"/>
        <v>7</v>
      </c>
      <c r="BV6" s="256">
        <v>7</v>
      </c>
      <c r="BW6" s="253">
        <v>1</v>
      </c>
      <c r="BX6" s="276">
        <f t="shared" si="24"/>
        <v>7</v>
      </c>
      <c r="BY6" s="256">
        <v>0</v>
      </c>
      <c r="BZ6" s="253">
        <v>0</v>
      </c>
      <c r="CA6" s="276" t="str">
        <f t="shared" si="25"/>
        <v>-</v>
      </c>
      <c r="CB6" s="256">
        <v>0</v>
      </c>
      <c r="CC6" s="253">
        <v>0</v>
      </c>
      <c r="CD6" s="276" t="str">
        <f t="shared" si="26"/>
        <v>-</v>
      </c>
      <c r="CE6" s="256">
        <v>21</v>
      </c>
      <c r="CF6" s="253">
        <v>3</v>
      </c>
      <c r="CG6" s="276">
        <f t="shared" si="27"/>
        <v>7</v>
      </c>
      <c r="CH6" s="256">
        <v>0</v>
      </c>
      <c r="CI6" s="253">
        <v>0</v>
      </c>
      <c r="CJ6" s="276" t="str">
        <f t="shared" si="28"/>
        <v>-</v>
      </c>
      <c r="CK6" s="256">
        <v>0</v>
      </c>
      <c r="CL6" s="253">
        <v>0</v>
      </c>
      <c r="CM6" s="276" t="str">
        <f t="shared" si="29"/>
        <v>-</v>
      </c>
      <c r="CN6" s="117">
        <f t="shared" ref="CN6:CN34" si="35">SUM(B6,E6,H6,K6,Q6,T6,W6,Z6,AC6,AF6,AI6,AL6,AO6,AR6,AX6,BA6,BG6,BJ6,BM6,BP6,BS6,BV6,BY6,CB6,CE6,CH6,CK6+BD6)</f>
        <v>467</v>
      </c>
      <c r="CO6" s="120">
        <f t="shared" ref="CO6:CO34" si="36">C6+F6+I6+L6+R6+U6+X6+AA6+AD6+AG6+AJ6+AM6+AP6+AS6+AV6+AY6+BB6+BE6+BH6+BK6+BN6+BQ6+BT6+BW6+CC6+CF6+CI6+CL6</f>
        <v>71</v>
      </c>
      <c r="CP6" s="147">
        <f t="shared" si="30"/>
        <v>6.577464788732394</v>
      </c>
    </row>
    <row r="7" spans="1:94" ht="15" thickBot="1" x14ac:dyDescent="0.35">
      <c r="A7" s="294">
        <v>45903</v>
      </c>
      <c r="B7" s="20">
        <v>101</v>
      </c>
      <c r="C7" s="21">
        <v>12</v>
      </c>
      <c r="D7" s="139">
        <f t="shared" si="0"/>
        <v>8.4166666666666661</v>
      </c>
      <c r="E7" s="125">
        <v>0</v>
      </c>
      <c r="F7" s="126">
        <v>0</v>
      </c>
      <c r="G7" s="139" t="str">
        <f t="shared" ref="G7:G8" si="37">IF(F7=0,"-",E7/F7)</f>
        <v>-</v>
      </c>
      <c r="H7" s="125">
        <v>0</v>
      </c>
      <c r="I7" s="126">
        <v>0</v>
      </c>
      <c r="J7" s="139" t="str">
        <f t="shared" ref="J7:J8" si="38">IF(I7=0,"-",H7/I7)</f>
        <v>-</v>
      </c>
      <c r="K7" s="20">
        <v>24</v>
      </c>
      <c r="L7" s="21">
        <v>3</v>
      </c>
      <c r="M7" s="139">
        <f t="shared" si="3"/>
        <v>8</v>
      </c>
      <c r="N7" s="20">
        <v>0</v>
      </c>
      <c r="O7" s="21">
        <v>0</v>
      </c>
      <c r="P7" s="139" t="str">
        <f t="shared" si="4"/>
        <v>-</v>
      </c>
      <c r="Q7" s="20">
        <v>70</v>
      </c>
      <c r="R7" s="21">
        <v>12</v>
      </c>
      <c r="S7" s="139">
        <f t="shared" si="5"/>
        <v>5.833333333333333</v>
      </c>
      <c r="T7" s="20">
        <v>90</v>
      </c>
      <c r="U7" s="21">
        <v>15</v>
      </c>
      <c r="V7" s="139">
        <f t="shared" si="6"/>
        <v>6</v>
      </c>
      <c r="W7" s="20">
        <v>0</v>
      </c>
      <c r="X7" s="21">
        <v>0</v>
      </c>
      <c r="Y7" s="139" t="str">
        <f t="shared" si="7"/>
        <v>-</v>
      </c>
      <c r="Z7" s="20">
        <v>30</v>
      </c>
      <c r="AA7" s="21">
        <v>6</v>
      </c>
      <c r="AB7" s="139">
        <f t="shared" si="8"/>
        <v>5</v>
      </c>
      <c r="AC7" s="20">
        <v>0</v>
      </c>
      <c r="AD7" s="21">
        <v>0</v>
      </c>
      <c r="AE7" s="139" t="str">
        <f t="shared" ref="AE7" si="39">IF(AD7=0,"-",AC7/AD7)</f>
        <v>-</v>
      </c>
      <c r="AF7" s="20">
        <v>0</v>
      </c>
      <c r="AG7" s="21">
        <v>0</v>
      </c>
      <c r="AH7" s="139" t="str">
        <f t="shared" ref="AH7" si="40">IF(AG7=0,"-",AF7/AG7)</f>
        <v>-</v>
      </c>
      <c r="AI7" s="20">
        <v>17</v>
      </c>
      <c r="AJ7" s="21">
        <v>3</v>
      </c>
      <c r="AK7" s="139">
        <f t="shared" si="11"/>
        <v>5.666666666666667</v>
      </c>
      <c r="AL7" s="20">
        <v>0</v>
      </c>
      <c r="AM7" s="21">
        <v>0</v>
      </c>
      <c r="AN7" s="139" t="str">
        <f t="shared" si="12"/>
        <v>-</v>
      </c>
      <c r="AO7" s="20">
        <v>0</v>
      </c>
      <c r="AP7" s="21">
        <v>0</v>
      </c>
      <c r="AQ7" s="139" t="str">
        <f t="shared" si="13"/>
        <v>-</v>
      </c>
      <c r="AR7" s="20">
        <v>8</v>
      </c>
      <c r="AS7" s="21">
        <v>1</v>
      </c>
      <c r="AT7" s="139">
        <f t="shared" si="14"/>
        <v>8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139" t="str">
        <f t="shared" si="19"/>
        <v>-</v>
      </c>
      <c r="BJ7" s="252">
        <v>6</v>
      </c>
      <c r="BK7" s="253">
        <v>1</v>
      </c>
      <c r="BL7" s="276">
        <f t="shared" si="20"/>
        <v>6</v>
      </c>
      <c r="BM7" s="252">
        <v>0</v>
      </c>
      <c r="BN7" s="253">
        <v>0</v>
      </c>
      <c r="BO7" s="276" t="str">
        <f t="shared" si="21"/>
        <v>-</v>
      </c>
      <c r="BP7" s="302">
        <v>14</v>
      </c>
      <c r="BQ7" s="303">
        <v>2</v>
      </c>
      <c r="BR7" s="276">
        <f t="shared" si="22"/>
        <v>7</v>
      </c>
      <c r="BS7" s="256">
        <v>0</v>
      </c>
      <c r="BT7" s="253">
        <v>0</v>
      </c>
      <c r="BU7" s="276" t="str">
        <f t="shared" si="23"/>
        <v>-</v>
      </c>
      <c r="BV7" s="125">
        <v>0</v>
      </c>
      <c r="BW7" s="126">
        <v>0</v>
      </c>
      <c r="BX7" s="276" t="str">
        <f t="shared" si="24"/>
        <v>-</v>
      </c>
      <c r="BY7" s="125">
        <v>0</v>
      </c>
      <c r="BZ7" s="126">
        <v>0</v>
      </c>
      <c r="CA7" s="276" t="str">
        <f t="shared" si="25"/>
        <v>-</v>
      </c>
      <c r="CB7" s="125">
        <v>0</v>
      </c>
      <c r="CC7" s="126">
        <v>0</v>
      </c>
      <c r="CD7" s="276" t="str">
        <f t="shared" si="26"/>
        <v>-</v>
      </c>
      <c r="CE7" s="256">
        <v>0</v>
      </c>
      <c r="CF7" s="253">
        <v>0</v>
      </c>
      <c r="CG7" s="276" t="str">
        <f t="shared" si="27"/>
        <v>-</v>
      </c>
      <c r="CH7" s="256">
        <v>0</v>
      </c>
      <c r="CI7" s="253">
        <v>0</v>
      </c>
      <c r="CJ7" s="276" t="str">
        <f t="shared" si="28"/>
        <v>-</v>
      </c>
      <c r="CK7" s="256">
        <v>0</v>
      </c>
      <c r="CL7" s="253">
        <v>0</v>
      </c>
      <c r="CM7" s="276" t="str">
        <f t="shared" si="29"/>
        <v>-</v>
      </c>
      <c r="CN7" s="117">
        <f t="shared" si="35"/>
        <v>360</v>
      </c>
      <c r="CO7" s="120">
        <f t="shared" si="36"/>
        <v>55</v>
      </c>
      <c r="CP7" s="147">
        <f t="shared" si="30"/>
        <v>6.5454545454545459</v>
      </c>
    </row>
    <row r="8" spans="1:94" ht="15" thickBot="1" x14ac:dyDescent="0.35">
      <c r="A8" s="294">
        <v>45904</v>
      </c>
      <c r="B8" s="20">
        <v>25</v>
      </c>
      <c r="C8" s="21">
        <v>3</v>
      </c>
      <c r="D8" s="139">
        <f t="shared" si="0"/>
        <v>8.3333333333333339</v>
      </c>
      <c r="E8" s="125">
        <v>0</v>
      </c>
      <c r="F8" s="126">
        <v>0</v>
      </c>
      <c r="G8" s="139" t="str">
        <f t="shared" si="37"/>
        <v>-</v>
      </c>
      <c r="H8" s="125">
        <v>0</v>
      </c>
      <c r="I8" s="126">
        <v>0</v>
      </c>
      <c r="J8" s="139" t="str">
        <f t="shared" si="38"/>
        <v>-</v>
      </c>
      <c r="K8" s="20">
        <v>16</v>
      </c>
      <c r="L8" s="21">
        <v>2</v>
      </c>
      <c r="M8" s="139">
        <f t="shared" si="3"/>
        <v>8</v>
      </c>
      <c r="N8" s="20">
        <v>0</v>
      </c>
      <c r="O8" s="21">
        <v>0</v>
      </c>
      <c r="P8" s="139" t="str">
        <f t="shared" si="4"/>
        <v>-</v>
      </c>
      <c r="Q8" s="20">
        <v>59</v>
      </c>
      <c r="R8" s="21">
        <v>10</v>
      </c>
      <c r="S8" s="139">
        <f t="shared" si="5"/>
        <v>5.9</v>
      </c>
      <c r="T8" s="20">
        <v>0</v>
      </c>
      <c r="U8" s="21">
        <v>0</v>
      </c>
      <c r="V8" s="139" t="str">
        <f t="shared" si="6"/>
        <v>-</v>
      </c>
      <c r="W8" s="20">
        <v>0</v>
      </c>
      <c r="X8" s="21">
        <v>0</v>
      </c>
      <c r="Y8" s="139" t="str">
        <f t="shared" si="7"/>
        <v>-</v>
      </c>
      <c r="Z8" s="20">
        <v>5</v>
      </c>
      <c r="AA8" s="21">
        <v>1</v>
      </c>
      <c r="AB8" s="139">
        <f t="shared" si="8"/>
        <v>5</v>
      </c>
      <c r="AC8" s="20">
        <v>0</v>
      </c>
      <c r="AD8" s="21">
        <v>0</v>
      </c>
      <c r="AE8" s="139" t="str">
        <f t="shared" ref="AE8" si="41">IF(AD8=0,"-",AC8/AD8)</f>
        <v>-</v>
      </c>
      <c r="AF8" s="20">
        <v>0</v>
      </c>
      <c r="AG8" s="21">
        <v>0</v>
      </c>
      <c r="AH8" s="139" t="str">
        <f t="shared" ref="AH8" si="42">IF(AG8=0,"-",AF8/AG8)</f>
        <v>-</v>
      </c>
      <c r="AI8" s="20">
        <v>12</v>
      </c>
      <c r="AJ8" s="21">
        <v>2</v>
      </c>
      <c r="AK8" s="139">
        <f t="shared" si="11"/>
        <v>6</v>
      </c>
      <c r="AL8" s="20">
        <v>0</v>
      </c>
      <c r="AM8" s="21">
        <v>0</v>
      </c>
      <c r="AN8" s="139" t="str">
        <f t="shared" ref="AN8:AN9" si="43">IF(AM8=0,"-",AL8/AM8)</f>
        <v>-</v>
      </c>
      <c r="AO8" s="20">
        <v>24</v>
      </c>
      <c r="AP8" s="21">
        <v>4</v>
      </c>
      <c r="AQ8" s="139">
        <f t="shared" si="13"/>
        <v>6</v>
      </c>
      <c r="AR8" s="20">
        <v>0</v>
      </c>
      <c r="AS8" s="21">
        <v>0</v>
      </c>
      <c r="AT8" s="139" t="str">
        <f t="shared" si="14"/>
        <v>-</v>
      </c>
      <c r="AU8" s="20">
        <v>0</v>
      </c>
      <c r="AV8" s="21">
        <v>0</v>
      </c>
      <c r="AW8" s="139" t="str">
        <f t="shared" si="15"/>
        <v>-</v>
      </c>
      <c r="AX8" s="20">
        <v>1</v>
      </c>
      <c r="AY8" s="21">
        <v>1</v>
      </c>
      <c r="AZ8" s="139">
        <f t="shared" si="16"/>
        <v>1</v>
      </c>
      <c r="BA8" s="20">
        <v>0</v>
      </c>
      <c r="BB8" s="21">
        <v>0</v>
      </c>
      <c r="BC8" s="139" t="str">
        <f t="shared" ref="BC8:BC9" si="44">IF(BB8=0,"-",BA8/BB8)</f>
        <v>-</v>
      </c>
      <c r="BD8" s="20">
        <v>0</v>
      </c>
      <c r="BE8" s="21">
        <v>0</v>
      </c>
      <c r="BF8" s="139" t="str">
        <f t="shared" ref="BF8:BF9" si="45">IF(BE8=0,"-",BD8/BE8)</f>
        <v>-</v>
      </c>
      <c r="BG8" s="20">
        <v>0</v>
      </c>
      <c r="BH8" s="21">
        <v>0</v>
      </c>
      <c r="BI8" s="139" t="str">
        <f t="shared" ref="BI8:BI9" si="46">IF(BH8=0,"-",BG8/BH8)</f>
        <v>-</v>
      </c>
      <c r="BJ8" s="252">
        <v>14</v>
      </c>
      <c r="BK8" s="253">
        <v>2</v>
      </c>
      <c r="BL8" s="276">
        <f t="shared" si="20"/>
        <v>7</v>
      </c>
      <c r="BM8" s="252">
        <v>0</v>
      </c>
      <c r="BN8" s="253">
        <v>0</v>
      </c>
      <c r="BO8" s="276" t="str">
        <f t="shared" si="21"/>
        <v>-</v>
      </c>
      <c r="BP8" s="302">
        <v>9</v>
      </c>
      <c r="BQ8" s="303">
        <v>1</v>
      </c>
      <c r="BR8" s="276">
        <f t="shared" si="22"/>
        <v>9</v>
      </c>
      <c r="BS8" s="256">
        <v>20</v>
      </c>
      <c r="BT8" s="253">
        <v>3</v>
      </c>
      <c r="BU8" s="276">
        <f t="shared" si="23"/>
        <v>6.666666666666667</v>
      </c>
      <c r="BV8" s="252">
        <v>4</v>
      </c>
      <c r="BW8" s="253">
        <v>1</v>
      </c>
      <c r="BX8" s="276">
        <f t="shared" si="24"/>
        <v>4</v>
      </c>
      <c r="BY8" s="252">
        <v>0</v>
      </c>
      <c r="BZ8" s="253">
        <v>0</v>
      </c>
      <c r="CA8" s="276" t="str">
        <f t="shared" si="25"/>
        <v>-</v>
      </c>
      <c r="CB8" s="125">
        <v>0</v>
      </c>
      <c r="CC8" s="126">
        <v>0</v>
      </c>
      <c r="CD8" s="276" t="str">
        <f t="shared" ref="CD8:CD10" si="47">IF(CC8=0,"-",CB8/CC8)</f>
        <v>-</v>
      </c>
      <c r="CE8" s="256">
        <v>0</v>
      </c>
      <c r="CF8" s="253">
        <v>0</v>
      </c>
      <c r="CG8" s="276" t="str">
        <f t="shared" si="27"/>
        <v>-</v>
      </c>
      <c r="CH8" s="256">
        <v>0</v>
      </c>
      <c r="CI8" s="253">
        <v>0</v>
      </c>
      <c r="CJ8" s="276" t="str">
        <f t="shared" si="28"/>
        <v>-</v>
      </c>
      <c r="CK8" s="256">
        <v>0</v>
      </c>
      <c r="CL8" s="253">
        <v>0</v>
      </c>
      <c r="CM8" s="276" t="str">
        <f t="shared" si="29"/>
        <v>-</v>
      </c>
      <c r="CN8" s="117">
        <f t="shared" si="35"/>
        <v>189</v>
      </c>
      <c r="CO8" s="120">
        <f t="shared" si="36"/>
        <v>30</v>
      </c>
      <c r="CP8" s="147">
        <f t="shared" si="30"/>
        <v>6.3</v>
      </c>
    </row>
    <row r="9" spans="1:94" ht="15" thickBot="1" x14ac:dyDescent="0.35">
      <c r="A9" s="294">
        <v>45905</v>
      </c>
      <c r="B9" s="20">
        <v>96</v>
      </c>
      <c r="C9" s="21">
        <v>12</v>
      </c>
      <c r="D9" s="139">
        <f t="shared" si="0"/>
        <v>8</v>
      </c>
      <c r="E9" s="125">
        <v>0</v>
      </c>
      <c r="F9" s="126">
        <v>0</v>
      </c>
      <c r="G9" s="139" t="str">
        <f t="shared" ref="G9" si="48">IF(F9=0,"-",E9/F9)</f>
        <v>-</v>
      </c>
      <c r="H9" s="125">
        <v>0</v>
      </c>
      <c r="I9" s="126">
        <v>0</v>
      </c>
      <c r="J9" s="139" t="str">
        <f t="shared" ref="J9" si="49">IF(I9=0,"-",H9/I9)</f>
        <v>-</v>
      </c>
      <c r="K9" s="125">
        <v>0</v>
      </c>
      <c r="L9" s="126">
        <v>0</v>
      </c>
      <c r="M9" s="139" t="str">
        <f t="shared" si="3"/>
        <v>-</v>
      </c>
      <c r="N9" s="20">
        <v>0</v>
      </c>
      <c r="O9" s="21">
        <v>0</v>
      </c>
      <c r="P9" s="139" t="str">
        <f t="shared" si="4"/>
        <v>-</v>
      </c>
      <c r="Q9" s="20">
        <v>80</v>
      </c>
      <c r="R9" s="21">
        <v>13</v>
      </c>
      <c r="S9" s="139">
        <f t="shared" si="5"/>
        <v>6.1538461538461542</v>
      </c>
      <c r="T9" s="20">
        <v>24</v>
      </c>
      <c r="U9" s="21">
        <v>5</v>
      </c>
      <c r="V9" s="139">
        <f t="shared" si="6"/>
        <v>4.8</v>
      </c>
      <c r="W9" s="20">
        <v>0</v>
      </c>
      <c r="X9" s="21">
        <v>0</v>
      </c>
      <c r="Y9" s="139" t="str">
        <f t="shared" si="7"/>
        <v>-</v>
      </c>
      <c r="Z9" s="20">
        <v>20</v>
      </c>
      <c r="AA9" s="21">
        <v>4</v>
      </c>
      <c r="AB9" s="139">
        <f t="shared" si="8"/>
        <v>5</v>
      </c>
      <c r="AC9" s="20">
        <v>0</v>
      </c>
      <c r="AD9" s="21">
        <v>0</v>
      </c>
      <c r="AE9" s="139" t="str">
        <f t="shared" ref="AE9:AE10" si="50">IF(AD9=0,"-",AC9/AD9)</f>
        <v>-</v>
      </c>
      <c r="AF9" s="20">
        <v>0</v>
      </c>
      <c r="AG9" s="21">
        <v>0</v>
      </c>
      <c r="AH9" s="139" t="str">
        <f t="shared" ref="AH9:AH10" si="51">IF(AG9=0,"-",AF9/AG9)</f>
        <v>-</v>
      </c>
      <c r="AI9" s="20">
        <v>0</v>
      </c>
      <c r="AJ9" s="21">
        <v>0</v>
      </c>
      <c r="AK9" s="139" t="str">
        <f t="shared" si="11"/>
        <v>-</v>
      </c>
      <c r="AL9" s="20">
        <v>0</v>
      </c>
      <c r="AM9" s="21">
        <v>0</v>
      </c>
      <c r="AN9" s="139" t="str">
        <f t="shared" si="43"/>
        <v>-</v>
      </c>
      <c r="AO9" s="20">
        <v>41</v>
      </c>
      <c r="AP9" s="21">
        <v>7</v>
      </c>
      <c r="AQ9" s="139">
        <f t="shared" si="13"/>
        <v>5.8571428571428568</v>
      </c>
      <c r="AR9" s="20">
        <v>0</v>
      </c>
      <c r="AS9" s="21">
        <v>0</v>
      </c>
      <c r="AT9" s="139" t="str">
        <f t="shared" si="14"/>
        <v>-</v>
      </c>
      <c r="AU9" s="20">
        <v>0</v>
      </c>
      <c r="AV9" s="21">
        <v>0</v>
      </c>
      <c r="AW9" s="139" t="str">
        <f t="shared" si="15"/>
        <v>-</v>
      </c>
      <c r="AX9" s="20">
        <v>2</v>
      </c>
      <c r="AY9" s="21">
        <v>1</v>
      </c>
      <c r="AZ9" s="139">
        <f t="shared" si="16"/>
        <v>2</v>
      </c>
      <c r="BA9" s="20">
        <v>0</v>
      </c>
      <c r="BB9" s="21">
        <v>0</v>
      </c>
      <c r="BC9" s="139" t="str">
        <f t="shared" si="44"/>
        <v>-</v>
      </c>
      <c r="BD9" s="20">
        <v>0</v>
      </c>
      <c r="BE9" s="21">
        <v>0</v>
      </c>
      <c r="BF9" s="139" t="str">
        <f t="shared" si="45"/>
        <v>-</v>
      </c>
      <c r="BG9" s="20">
        <v>0</v>
      </c>
      <c r="BH9" s="21">
        <v>0</v>
      </c>
      <c r="BI9" s="139" t="str">
        <f t="shared" si="46"/>
        <v>-</v>
      </c>
      <c r="BJ9" s="252">
        <v>31</v>
      </c>
      <c r="BK9" s="253">
        <v>5</v>
      </c>
      <c r="BL9" s="276">
        <f t="shared" si="20"/>
        <v>6.2</v>
      </c>
      <c r="BM9" s="252">
        <v>0</v>
      </c>
      <c r="BN9" s="253">
        <v>0</v>
      </c>
      <c r="BO9" s="276" t="str">
        <f t="shared" si="21"/>
        <v>-</v>
      </c>
      <c r="BP9" s="302">
        <v>0</v>
      </c>
      <c r="BQ9" s="303">
        <v>0</v>
      </c>
      <c r="BR9" s="276" t="str">
        <f t="shared" si="22"/>
        <v>-</v>
      </c>
      <c r="BS9" s="257">
        <v>0</v>
      </c>
      <c r="BT9" s="253">
        <v>0</v>
      </c>
      <c r="BU9" s="276" t="str">
        <f t="shared" si="23"/>
        <v>-</v>
      </c>
      <c r="BV9" s="302">
        <v>8</v>
      </c>
      <c r="BW9" s="303">
        <v>1</v>
      </c>
      <c r="BX9" s="276">
        <f t="shared" si="24"/>
        <v>8</v>
      </c>
      <c r="BY9" s="302">
        <v>0</v>
      </c>
      <c r="BZ9" s="303">
        <v>0</v>
      </c>
      <c r="CA9" s="276" t="str">
        <f t="shared" si="25"/>
        <v>-</v>
      </c>
      <c r="CB9" s="125">
        <v>0</v>
      </c>
      <c r="CC9" s="126">
        <v>0</v>
      </c>
      <c r="CD9" s="276" t="str">
        <f t="shared" si="47"/>
        <v>-</v>
      </c>
      <c r="CE9" s="302">
        <v>7</v>
      </c>
      <c r="CF9" s="303">
        <v>1</v>
      </c>
      <c r="CG9" s="276">
        <f t="shared" si="27"/>
        <v>7</v>
      </c>
      <c r="CH9" s="302">
        <v>0</v>
      </c>
      <c r="CI9" s="303">
        <v>0</v>
      </c>
      <c r="CJ9" s="276" t="str">
        <f t="shared" si="28"/>
        <v>-</v>
      </c>
      <c r="CK9" s="302">
        <v>0</v>
      </c>
      <c r="CL9" s="303">
        <v>0</v>
      </c>
      <c r="CM9" s="276" t="str">
        <f t="shared" si="29"/>
        <v>-</v>
      </c>
      <c r="CN9" s="117">
        <f t="shared" si="35"/>
        <v>309</v>
      </c>
      <c r="CO9" s="120">
        <f t="shared" si="36"/>
        <v>49</v>
      </c>
      <c r="CP9" s="147">
        <f t="shared" si="30"/>
        <v>6.3061224489795915</v>
      </c>
    </row>
    <row r="10" spans="1:94" ht="15" thickBot="1" x14ac:dyDescent="0.35">
      <c r="A10" s="294">
        <v>45906</v>
      </c>
      <c r="B10" s="20">
        <v>77</v>
      </c>
      <c r="C10" s="21">
        <v>9</v>
      </c>
      <c r="D10" s="139">
        <f t="shared" si="0"/>
        <v>8.5555555555555554</v>
      </c>
      <c r="E10" s="125">
        <v>0</v>
      </c>
      <c r="F10" s="126">
        <v>0</v>
      </c>
      <c r="G10" s="139" t="str">
        <f t="shared" ref="G10" si="52">IF(F10=0,"-",E10/F10)</f>
        <v>-</v>
      </c>
      <c r="H10" s="125">
        <v>0</v>
      </c>
      <c r="I10" s="126">
        <v>0</v>
      </c>
      <c r="J10" s="139" t="str">
        <f t="shared" ref="J10" si="53">IF(I10=0,"-",H10/I10)</f>
        <v>-</v>
      </c>
      <c r="K10" s="20">
        <v>10</v>
      </c>
      <c r="L10" s="21">
        <v>1</v>
      </c>
      <c r="M10" s="139">
        <f t="shared" si="3"/>
        <v>10</v>
      </c>
      <c r="N10" s="20">
        <v>0</v>
      </c>
      <c r="O10" s="21">
        <v>0</v>
      </c>
      <c r="P10" s="139" t="str">
        <f t="shared" si="4"/>
        <v>-</v>
      </c>
      <c r="Q10" s="20">
        <v>26</v>
      </c>
      <c r="R10" s="21">
        <v>4</v>
      </c>
      <c r="S10" s="139">
        <f t="shared" si="5"/>
        <v>6.5</v>
      </c>
      <c r="T10" s="20">
        <v>0</v>
      </c>
      <c r="U10" s="21">
        <v>0</v>
      </c>
      <c r="V10" s="139" t="str">
        <f t="shared" si="6"/>
        <v>-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50"/>
        <v>-</v>
      </c>
      <c r="AF10" s="20">
        <v>0</v>
      </c>
      <c r="AG10" s="21">
        <v>0</v>
      </c>
      <c r="AH10" s="139" t="str">
        <f t="shared" si="51"/>
        <v>-</v>
      </c>
      <c r="AI10" s="20">
        <v>12</v>
      </c>
      <c r="AJ10" s="21">
        <v>2</v>
      </c>
      <c r="AK10" s="139">
        <f t="shared" si="11"/>
        <v>6</v>
      </c>
      <c r="AL10" s="20">
        <v>0</v>
      </c>
      <c r="AM10" s="21">
        <v>0</v>
      </c>
      <c r="AN10" s="139" t="str">
        <f t="shared" si="12"/>
        <v>-</v>
      </c>
      <c r="AO10" s="20">
        <v>6</v>
      </c>
      <c r="AP10" s="21">
        <v>1</v>
      </c>
      <c r="AQ10" s="139">
        <f t="shared" si="13"/>
        <v>6</v>
      </c>
      <c r="AR10" s="20">
        <v>0</v>
      </c>
      <c r="AS10" s="21">
        <v>0</v>
      </c>
      <c r="AT10" s="139" t="str">
        <f t="shared" ref="AT10:AT11" si="54">IF(AS10=0,"-",AR10/AS10)</f>
        <v>-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0</v>
      </c>
      <c r="BB10" s="21">
        <v>0</v>
      </c>
      <c r="BC10" s="139" t="str">
        <f t="shared" si="17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52">
        <v>29</v>
      </c>
      <c r="BK10" s="253">
        <v>5</v>
      </c>
      <c r="BL10" s="139">
        <f t="shared" si="20"/>
        <v>5.8</v>
      </c>
      <c r="BM10" s="252">
        <v>0</v>
      </c>
      <c r="BN10" s="253">
        <v>0</v>
      </c>
      <c r="BO10" s="139" t="str">
        <f t="shared" si="21"/>
        <v>-</v>
      </c>
      <c r="BP10" s="302">
        <v>0</v>
      </c>
      <c r="BQ10" s="303">
        <v>0</v>
      </c>
      <c r="BR10" s="139" t="str">
        <f t="shared" si="22"/>
        <v>-</v>
      </c>
      <c r="BS10" s="257">
        <v>0</v>
      </c>
      <c r="BT10" s="253">
        <v>0</v>
      </c>
      <c r="BU10" s="139" t="str">
        <f t="shared" si="23"/>
        <v>-</v>
      </c>
      <c r="BV10" s="257">
        <v>0</v>
      </c>
      <c r="BW10" s="253">
        <v>0</v>
      </c>
      <c r="BX10" s="139" t="str">
        <f t="shared" si="24"/>
        <v>-</v>
      </c>
      <c r="BY10" s="257">
        <v>0</v>
      </c>
      <c r="BZ10" s="253">
        <v>0</v>
      </c>
      <c r="CA10" s="139" t="str">
        <f t="shared" si="25"/>
        <v>-</v>
      </c>
      <c r="CB10" s="257">
        <v>0</v>
      </c>
      <c r="CC10" s="253">
        <v>0</v>
      </c>
      <c r="CD10" s="139" t="str">
        <f t="shared" si="47"/>
        <v>-</v>
      </c>
      <c r="CE10" s="20">
        <v>0</v>
      </c>
      <c r="CF10" s="21">
        <v>0</v>
      </c>
      <c r="CG10" s="139" t="str">
        <f t="shared" si="27"/>
        <v>-</v>
      </c>
      <c r="CH10" s="20">
        <v>0</v>
      </c>
      <c r="CI10" s="21">
        <v>0</v>
      </c>
      <c r="CJ10" s="139" t="str">
        <f t="shared" si="28"/>
        <v>-</v>
      </c>
      <c r="CK10" s="20">
        <v>0</v>
      </c>
      <c r="CL10" s="21">
        <v>0</v>
      </c>
      <c r="CM10" s="139" t="str">
        <f t="shared" si="29"/>
        <v>-</v>
      </c>
      <c r="CN10" s="117">
        <f t="shared" si="35"/>
        <v>160</v>
      </c>
      <c r="CO10" s="120">
        <f t="shared" si="36"/>
        <v>22</v>
      </c>
      <c r="CP10" s="147">
        <f t="shared" si="30"/>
        <v>7.2727272727272725</v>
      </c>
    </row>
    <row r="11" spans="1:94" ht="15" thickBot="1" x14ac:dyDescent="0.35">
      <c r="A11" s="294">
        <v>45907</v>
      </c>
      <c r="B11" s="20">
        <v>73</v>
      </c>
      <c r="C11" s="21">
        <v>8</v>
      </c>
      <c r="D11" s="139">
        <f t="shared" si="0"/>
        <v>9.125</v>
      </c>
      <c r="E11" s="20">
        <v>0</v>
      </c>
      <c r="F11" s="21">
        <v>0</v>
      </c>
      <c r="G11" s="139" t="str">
        <f t="shared" si="1"/>
        <v>-</v>
      </c>
      <c r="H11" s="20">
        <v>0</v>
      </c>
      <c r="I11" s="21">
        <v>0</v>
      </c>
      <c r="J11" s="139" t="str">
        <f t="shared" si="2"/>
        <v>-</v>
      </c>
      <c r="K11" s="20">
        <v>44</v>
      </c>
      <c r="L11" s="21">
        <v>5</v>
      </c>
      <c r="M11" s="139">
        <f t="shared" si="3"/>
        <v>8.8000000000000007</v>
      </c>
      <c r="N11" s="125">
        <v>0</v>
      </c>
      <c r="O11" s="126">
        <v>0</v>
      </c>
      <c r="P11" s="139" t="str">
        <f t="shared" si="4"/>
        <v>-</v>
      </c>
      <c r="Q11" s="20">
        <v>11</v>
      </c>
      <c r="R11" s="21">
        <v>2</v>
      </c>
      <c r="S11" s="139">
        <f t="shared" si="5"/>
        <v>5.5</v>
      </c>
      <c r="T11" s="20">
        <v>0</v>
      </c>
      <c r="U11" s="21">
        <v>0</v>
      </c>
      <c r="V11" s="139" t="str">
        <f t="shared" ref="V11" si="55">IF(U11=0,"-",T11/U11)</f>
        <v>-</v>
      </c>
      <c r="W11" s="20">
        <v>0</v>
      </c>
      <c r="X11" s="21">
        <v>0</v>
      </c>
      <c r="Y11" s="139" t="str">
        <f t="shared" ref="Y11" si="56">IF(X11=0,"-",W11/X11)</f>
        <v>-</v>
      </c>
      <c r="Z11" s="20">
        <v>0</v>
      </c>
      <c r="AA11" s="21">
        <v>0</v>
      </c>
      <c r="AB11" s="139" t="str">
        <f t="shared" ref="AB11" si="57">IF(AA11=0,"-",Z11/AA11)</f>
        <v>-</v>
      </c>
      <c r="AC11" s="20">
        <v>0</v>
      </c>
      <c r="AD11" s="21">
        <v>0</v>
      </c>
      <c r="AE11" s="139" t="str">
        <f t="shared" ref="AE11" si="58">IF(AD11=0,"-",AC11/AD11)</f>
        <v>-</v>
      </c>
      <c r="AF11" s="20">
        <v>0</v>
      </c>
      <c r="AG11" s="21">
        <v>0</v>
      </c>
      <c r="AH11" s="139" t="str">
        <f t="shared" ref="AH11" si="59">IF(AG11=0,"-",AF11/AG11)</f>
        <v>-</v>
      </c>
      <c r="AI11" s="20">
        <v>0</v>
      </c>
      <c r="AJ11" s="21">
        <v>0</v>
      </c>
      <c r="AK11" s="139" t="str">
        <f t="shared" si="11"/>
        <v>-</v>
      </c>
      <c r="AL11" s="20">
        <v>0</v>
      </c>
      <c r="AM11" s="21">
        <v>0</v>
      </c>
      <c r="AN11" s="139" t="str">
        <f t="shared" si="12"/>
        <v>-</v>
      </c>
      <c r="AO11" s="20">
        <v>0</v>
      </c>
      <c r="AP11" s="21">
        <v>0</v>
      </c>
      <c r="AQ11" s="139" t="str">
        <f t="shared" si="13"/>
        <v>-</v>
      </c>
      <c r="AR11" s="20">
        <v>0</v>
      </c>
      <c r="AS11" s="21">
        <v>0</v>
      </c>
      <c r="AT11" s="139" t="str">
        <f t="shared" si="54"/>
        <v>-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0</v>
      </c>
      <c r="BB11" s="21">
        <v>0</v>
      </c>
      <c r="BC11" s="139" t="str">
        <f t="shared" si="17"/>
        <v>-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52">
        <v>11</v>
      </c>
      <c r="BK11" s="253">
        <v>2</v>
      </c>
      <c r="BL11" s="139">
        <f t="shared" si="20"/>
        <v>5.5</v>
      </c>
      <c r="BM11" s="252">
        <v>0</v>
      </c>
      <c r="BN11" s="253">
        <v>0</v>
      </c>
      <c r="BO11" s="139" t="str">
        <f t="shared" si="21"/>
        <v>-</v>
      </c>
      <c r="BP11" s="302">
        <v>0</v>
      </c>
      <c r="BQ11" s="303">
        <v>0</v>
      </c>
      <c r="BR11" s="139" t="str">
        <f t="shared" si="22"/>
        <v>-</v>
      </c>
      <c r="BS11" s="257">
        <v>0</v>
      </c>
      <c r="BT11" s="253">
        <v>0</v>
      </c>
      <c r="BU11" s="139" t="str">
        <f t="shared" si="23"/>
        <v>-</v>
      </c>
      <c r="BV11" s="257">
        <v>0</v>
      </c>
      <c r="BW11" s="253">
        <v>0</v>
      </c>
      <c r="BX11" s="139" t="str">
        <f t="shared" ref="BX11" si="60">IF(BW11=0,"-",BV11/BW11)</f>
        <v>-</v>
      </c>
      <c r="BY11" s="257">
        <v>0</v>
      </c>
      <c r="BZ11" s="253">
        <v>0</v>
      </c>
      <c r="CA11" s="139" t="str">
        <f t="shared" ref="CA11" si="61">IF(BZ11=0,"-",BY11/BZ11)</f>
        <v>-</v>
      </c>
      <c r="CB11" s="257">
        <v>0</v>
      </c>
      <c r="CC11" s="253">
        <v>0</v>
      </c>
      <c r="CD11" s="139" t="str">
        <f t="shared" ref="CD11" si="62">IF(CC11=0,"-",CB11/CC11)</f>
        <v>-</v>
      </c>
      <c r="CE11" s="20">
        <v>7</v>
      </c>
      <c r="CF11" s="21">
        <v>1</v>
      </c>
      <c r="CG11" s="139">
        <f t="shared" si="27"/>
        <v>7</v>
      </c>
      <c r="CH11" s="20">
        <v>0</v>
      </c>
      <c r="CI11" s="21">
        <v>0</v>
      </c>
      <c r="CJ11" s="139" t="str">
        <f t="shared" si="28"/>
        <v>-</v>
      </c>
      <c r="CK11" s="20">
        <v>0</v>
      </c>
      <c r="CL11" s="21">
        <v>0</v>
      </c>
      <c r="CM11" s="139" t="str">
        <f t="shared" si="29"/>
        <v>-</v>
      </c>
      <c r="CN11" s="117">
        <f t="shared" si="35"/>
        <v>146</v>
      </c>
      <c r="CO11" s="120">
        <f t="shared" si="36"/>
        <v>18</v>
      </c>
      <c r="CP11" s="147">
        <f t="shared" si="30"/>
        <v>8.1111111111111107</v>
      </c>
    </row>
    <row r="12" spans="1:94" ht="16.2" customHeight="1" thickBot="1" x14ac:dyDescent="0.35">
      <c r="A12" s="294">
        <v>45908</v>
      </c>
      <c r="B12" s="20">
        <v>27</v>
      </c>
      <c r="C12" s="21">
        <v>3</v>
      </c>
      <c r="D12" s="139">
        <f t="shared" si="0"/>
        <v>9</v>
      </c>
      <c r="E12" s="20">
        <v>0</v>
      </c>
      <c r="F12" s="21">
        <v>0</v>
      </c>
      <c r="G12" s="139" t="str">
        <f t="shared" ref="G12" si="63">IF(F12=0,"-",E12/F12)</f>
        <v>-</v>
      </c>
      <c r="H12" s="20">
        <v>0</v>
      </c>
      <c r="I12" s="21">
        <v>0</v>
      </c>
      <c r="J12" s="139" t="str">
        <f t="shared" ref="J12" si="64">IF(I12=0,"-",H12/I12)</f>
        <v>-</v>
      </c>
      <c r="K12" s="20">
        <v>0</v>
      </c>
      <c r="L12" s="21">
        <v>0</v>
      </c>
      <c r="M12" s="139" t="str">
        <f t="shared" si="3"/>
        <v>-</v>
      </c>
      <c r="N12" s="125">
        <v>0</v>
      </c>
      <c r="O12" s="126">
        <v>0</v>
      </c>
      <c r="P12" s="139" t="str">
        <f t="shared" si="4"/>
        <v>-</v>
      </c>
      <c r="Q12" s="23">
        <v>93</v>
      </c>
      <c r="R12" s="21">
        <v>16</v>
      </c>
      <c r="S12" s="139">
        <f t="shared" si="5"/>
        <v>5.8125</v>
      </c>
      <c r="T12" s="23">
        <v>60</v>
      </c>
      <c r="U12" s="21">
        <v>12</v>
      </c>
      <c r="V12" s="139">
        <f t="shared" si="6"/>
        <v>5</v>
      </c>
      <c r="W12" s="23">
        <v>0</v>
      </c>
      <c r="X12" s="21">
        <v>0</v>
      </c>
      <c r="Y12" s="139" t="str">
        <f t="shared" si="7"/>
        <v>-</v>
      </c>
      <c r="Z12" s="23">
        <v>30</v>
      </c>
      <c r="AA12" s="21">
        <v>6</v>
      </c>
      <c r="AB12" s="139">
        <f t="shared" si="8"/>
        <v>5</v>
      </c>
      <c r="AC12" s="23">
        <v>15</v>
      </c>
      <c r="AD12" s="21">
        <v>3</v>
      </c>
      <c r="AE12" s="139">
        <f t="shared" si="9"/>
        <v>5</v>
      </c>
      <c r="AF12" s="23">
        <v>0</v>
      </c>
      <c r="AG12" s="21">
        <v>0</v>
      </c>
      <c r="AH12" s="139" t="str">
        <f t="shared" si="10"/>
        <v>-</v>
      </c>
      <c r="AI12" s="23">
        <v>0</v>
      </c>
      <c r="AJ12" s="21">
        <v>0</v>
      </c>
      <c r="AK12" s="139" t="str">
        <f t="shared" si="11"/>
        <v>-</v>
      </c>
      <c r="AL12" s="23">
        <v>0</v>
      </c>
      <c r="AM12" s="21">
        <v>0</v>
      </c>
      <c r="AN12" s="139" t="str">
        <f t="shared" si="12"/>
        <v>-</v>
      </c>
      <c r="AO12" s="23">
        <v>23</v>
      </c>
      <c r="AP12" s="21">
        <v>4</v>
      </c>
      <c r="AQ12" s="139">
        <f t="shared" si="13"/>
        <v>5.75</v>
      </c>
      <c r="AR12" s="20">
        <v>15</v>
      </c>
      <c r="AS12" s="21">
        <v>3</v>
      </c>
      <c r="AT12" s="139">
        <f t="shared" si="14"/>
        <v>5</v>
      </c>
      <c r="AU12" s="20">
        <v>0</v>
      </c>
      <c r="AV12" s="21">
        <v>0</v>
      </c>
      <c r="AW12" s="139" t="str">
        <f t="shared" si="15"/>
        <v>-</v>
      </c>
      <c r="AX12" s="20">
        <v>2</v>
      </c>
      <c r="AY12" s="21">
        <v>2</v>
      </c>
      <c r="AZ12" s="139">
        <f t="shared" si="16"/>
        <v>1</v>
      </c>
      <c r="BA12" s="20">
        <v>0</v>
      </c>
      <c r="BB12" s="21">
        <v>0</v>
      </c>
      <c r="BC12" s="139" t="str">
        <f t="shared" si="17"/>
        <v>-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52">
        <v>49</v>
      </c>
      <c r="BK12" s="253">
        <v>7</v>
      </c>
      <c r="BL12" s="139">
        <f t="shared" si="20"/>
        <v>7</v>
      </c>
      <c r="BM12" s="252">
        <v>0</v>
      </c>
      <c r="BN12" s="253">
        <v>0</v>
      </c>
      <c r="BO12" s="139" t="str">
        <f t="shared" si="21"/>
        <v>-</v>
      </c>
      <c r="BP12" s="302">
        <v>0</v>
      </c>
      <c r="BQ12" s="303">
        <v>0</v>
      </c>
      <c r="BR12" s="139" t="str">
        <f t="shared" si="22"/>
        <v>-</v>
      </c>
      <c r="BS12" s="257">
        <v>7</v>
      </c>
      <c r="BT12" s="253">
        <v>1</v>
      </c>
      <c r="BU12" s="139">
        <f t="shared" si="23"/>
        <v>7</v>
      </c>
      <c r="BV12" s="257">
        <v>8</v>
      </c>
      <c r="BW12" s="253">
        <v>1</v>
      </c>
      <c r="BX12" s="276">
        <f t="shared" si="24"/>
        <v>8</v>
      </c>
      <c r="BY12" s="257">
        <v>0</v>
      </c>
      <c r="BZ12" s="253">
        <v>0</v>
      </c>
      <c r="CA12" s="276" t="str">
        <f t="shared" si="25"/>
        <v>-</v>
      </c>
      <c r="CB12" s="20">
        <v>1</v>
      </c>
      <c r="CC12" s="21">
        <v>1</v>
      </c>
      <c r="CD12" s="139">
        <f t="shared" si="26"/>
        <v>1</v>
      </c>
      <c r="CE12" s="20">
        <v>0</v>
      </c>
      <c r="CF12" s="21">
        <v>0</v>
      </c>
      <c r="CG12" s="139" t="str">
        <f t="shared" si="27"/>
        <v>-</v>
      </c>
      <c r="CH12" s="20">
        <v>0</v>
      </c>
      <c r="CI12" s="21">
        <v>0</v>
      </c>
      <c r="CJ12" s="139" t="str">
        <f t="shared" si="28"/>
        <v>-</v>
      </c>
      <c r="CK12" s="20">
        <v>0</v>
      </c>
      <c r="CL12" s="21">
        <v>0</v>
      </c>
      <c r="CM12" s="139" t="str">
        <f t="shared" si="29"/>
        <v>-</v>
      </c>
      <c r="CN12" s="117">
        <f t="shared" si="35"/>
        <v>330</v>
      </c>
      <c r="CO12" s="120">
        <f t="shared" si="36"/>
        <v>59</v>
      </c>
      <c r="CP12" s="147">
        <f t="shared" si="30"/>
        <v>5.593220338983051</v>
      </c>
    </row>
    <row r="13" spans="1:94" ht="15" thickBot="1" x14ac:dyDescent="0.35">
      <c r="A13" s="294">
        <v>45909</v>
      </c>
      <c r="B13" s="20">
        <v>64</v>
      </c>
      <c r="C13" s="21">
        <v>7</v>
      </c>
      <c r="D13" s="139">
        <f t="shared" si="0"/>
        <v>9.1428571428571423</v>
      </c>
      <c r="E13" s="20">
        <v>0</v>
      </c>
      <c r="F13" s="21">
        <v>0</v>
      </c>
      <c r="G13" s="139" t="str">
        <f t="shared" si="1"/>
        <v>-</v>
      </c>
      <c r="H13" s="20">
        <v>0</v>
      </c>
      <c r="I13" s="21">
        <v>0</v>
      </c>
      <c r="J13" s="139" t="str">
        <f t="shared" si="2"/>
        <v>-</v>
      </c>
      <c r="K13" s="20">
        <v>0</v>
      </c>
      <c r="L13" s="21">
        <v>0</v>
      </c>
      <c r="M13" s="139" t="str">
        <f t="shared" si="3"/>
        <v>-</v>
      </c>
      <c r="N13" s="125">
        <v>0</v>
      </c>
      <c r="O13" s="126">
        <v>0</v>
      </c>
      <c r="P13" s="139" t="str">
        <f t="shared" si="4"/>
        <v>-</v>
      </c>
      <c r="Q13" s="125">
        <v>74</v>
      </c>
      <c r="R13" s="126">
        <v>13</v>
      </c>
      <c r="S13" s="139">
        <f t="shared" si="5"/>
        <v>5.6923076923076925</v>
      </c>
      <c r="T13" s="125">
        <v>30</v>
      </c>
      <c r="U13" s="126">
        <v>6</v>
      </c>
      <c r="V13" s="139">
        <f t="shared" si="6"/>
        <v>5</v>
      </c>
      <c r="W13" s="125">
        <v>0</v>
      </c>
      <c r="X13" s="126">
        <v>0</v>
      </c>
      <c r="Y13" s="139" t="str">
        <f t="shared" si="7"/>
        <v>-</v>
      </c>
      <c r="Z13" s="125">
        <v>58</v>
      </c>
      <c r="AA13" s="126">
        <v>12</v>
      </c>
      <c r="AB13" s="139">
        <f t="shared" si="8"/>
        <v>4.833333333333333</v>
      </c>
      <c r="AC13" s="20">
        <v>0</v>
      </c>
      <c r="AD13" s="21">
        <v>0</v>
      </c>
      <c r="AE13" s="139" t="str">
        <f t="shared" si="9"/>
        <v>-</v>
      </c>
      <c r="AF13" s="23">
        <v>0</v>
      </c>
      <c r="AG13" s="21">
        <v>0</v>
      </c>
      <c r="AH13" s="139" t="str">
        <f t="shared" si="10"/>
        <v>-</v>
      </c>
      <c r="AI13" s="23">
        <v>6</v>
      </c>
      <c r="AJ13" s="21">
        <v>1</v>
      </c>
      <c r="AK13" s="139">
        <f t="shared" si="11"/>
        <v>6</v>
      </c>
      <c r="AL13" s="23">
        <v>0</v>
      </c>
      <c r="AM13" s="21">
        <v>0</v>
      </c>
      <c r="AN13" s="139" t="str">
        <f t="shared" si="12"/>
        <v>-</v>
      </c>
      <c r="AO13" s="20">
        <v>12</v>
      </c>
      <c r="AP13" s="21">
        <v>2</v>
      </c>
      <c r="AQ13" s="139">
        <f t="shared" si="13"/>
        <v>6</v>
      </c>
      <c r="AR13" s="20">
        <v>0</v>
      </c>
      <c r="AS13" s="21">
        <v>0</v>
      </c>
      <c r="AT13" s="139" t="str">
        <f t="shared" si="14"/>
        <v>-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0</v>
      </c>
      <c r="BB13" s="21">
        <v>0</v>
      </c>
      <c r="BC13" s="139" t="str">
        <f t="shared" si="17"/>
        <v>-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52">
        <v>70</v>
      </c>
      <c r="BK13" s="253">
        <v>11</v>
      </c>
      <c r="BL13" s="276">
        <f t="shared" si="20"/>
        <v>6.3636363636363633</v>
      </c>
      <c r="BM13" s="252">
        <v>0</v>
      </c>
      <c r="BN13" s="253">
        <v>0</v>
      </c>
      <c r="BO13" s="276" t="str">
        <f t="shared" si="21"/>
        <v>-</v>
      </c>
      <c r="BP13" s="302">
        <v>0</v>
      </c>
      <c r="BQ13" s="303">
        <v>0</v>
      </c>
      <c r="BR13" s="276" t="str">
        <f t="shared" si="22"/>
        <v>-</v>
      </c>
      <c r="BS13" s="257">
        <v>0</v>
      </c>
      <c r="BT13" s="253">
        <v>0</v>
      </c>
      <c r="BU13" s="139" t="str">
        <f t="shared" si="23"/>
        <v>-</v>
      </c>
      <c r="BV13" s="257">
        <v>0</v>
      </c>
      <c r="BW13" s="253">
        <v>0</v>
      </c>
      <c r="BX13" s="276" t="str">
        <f t="shared" si="24"/>
        <v>-</v>
      </c>
      <c r="BY13" s="257">
        <v>0</v>
      </c>
      <c r="BZ13" s="253">
        <v>0</v>
      </c>
      <c r="CA13" s="276" t="str">
        <f t="shared" si="25"/>
        <v>-</v>
      </c>
      <c r="CB13" s="257">
        <v>0</v>
      </c>
      <c r="CC13" s="253">
        <v>0</v>
      </c>
      <c r="CD13" s="276" t="str">
        <f t="shared" si="26"/>
        <v>-</v>
      </c>
      <c r="CE13" s="20">
        <v>0</v>
      </c>
      <c r="CF13" s="21">
        <v>0</v>
      </c>
      <c r="CG13" s="139" t="str">
        <f t="shared" ref="CG13:CG22" si="65">IF(CF13=0,"-",CE13/CF13)</f>
        <v>-</v>
      </c>
      <c r="CH13" s="20">
        <v>0</v>
      </c>
      <c r="CI13" s="21">
        <v>0</v>
      </c>
      <c r="CJ13" s="139" t="str">
        <f t="shared" ref="CJ13:CJ22" si="66">IF(CI13=0,"-",CH13/CI13)</f>
        <v>-</v>
      </c>
      <c r="CK13" s="20">
        <v>0</v>
      </c>
      <c r="CL13" s="21">
        <v>0</v>
      </c>
      <c r="CM13" s="139" t="str">
        <f t="shared" ref="CM13:CM22" si="67">IF(CL13=0,"-",CK13/CL13)</f>
        <v>-</v>
      </c>
      <c r="CN13" s="117">
        <f t="shared" si="35"/>
        <v>314</v>
      </c>
      <c r="CO13" s="120">
        <f t="shared" si="36"/>
        <v>52</v>
      </c>
      <c r="CP13" s="147">
        <f t="shared" si="30"/>
        <v>6.0384615384615383</v>
      </c>
    </row>
    <row r="14" spans="1:94" ht="15" thickBot="1" x14ac:dyDescent="0.35">
      <c r="A14" s="294">
        <v>45910</v>
      </c>
      <c r="B14" s="20">
        <v>118</v>
      </c>
      <c r="C14" s="21">
        <v>13</v>
      </c>
      <c r="D14" s="139">
        <f t="shared" si="0"/>
        <v>9.0769230769230766</v>
      </c>
      <c r="E14" s="20">
        <v>0</v>
      </c>
      <c r="F14" s="21">
        <v>0</v>
      </c>
      <c r="G14" s="139" t="str">
        <f t="shared" ref="G14:G15" si="68">IF(F14=0,"-",E14/F14)</f>
        <v>-</v>
      </c>
      <c r="H14" s="20">
        <v>0</v>
      </c>
      <c r="I14" s="21">
        <v>0</v>
      </c>
      <c r="J14" s="139" t="str">
        <f t="shared" ref="J14:J15" si="69">IF(I14=0,"-",H14/I14)</f>
        <v>-</v>
      </c>
      <c r="K14" s="20">
        <v>9</v>
      </c>
      <c r="L14" s="21">
        <v>1</v>
      </c>
      <c r="M14" s="139">
        <f t="shared" si="3"/>
        <v>9</v>
      </c>
      <c r="N14" s="125">
        <v>0</v>
      </c>
      <c r="O14" s="126">
        <v>0</v>
      </c>
      <c r="P14" s="139" t="str">
        <f t="shared" si="4"/>
        <v>-</v>
      </c>
      <c r="Q14" s="20">
        <v>45</v>
      </c>
      <c r="R14" s="21">
        <v>8</v>
      </c>
      <c r="S14" s="139">
        <f t="shared" si="5"/>
        <v>5.625</v>
      </c>
      <c r="T14" s="20">
        <v>27</v>
      </c>
      <c r="U14" s="21">
        <v>6</v>
      </c>
      <c r="V14" s="139">
        <f t="shared" si="6"/>
        <v>4.5</v>
      </c>
      <c r="W14" s="20">
        <v>0</v>
      </c>
      <c r="X14" s="21">
        <v>0</v>
      </c>
      <c r="Y14" s="139" t="str">
        <f t="shared" si="7"/>
        <v>-</v>
      </c>
      <c r="Z14" s="20">
        <v>24</v>
      </c>
      <c r="AA14" s="21">
        <v>5</v>
      </c>
      <c r="AB14" s="139">
        <f t="shared" si="8"/>
        <v>4.8</v>
      </c>
      <c r="AC14" s="20">
        <v>0</v>
      </c>
      <c r="AD14" s="21">
        <v>0</v>
      </c>
      <c r="AE14" s="139" t="str">
        <f t="shared" ref="AE14" si="70">IF(AD14=0,"-",AC14/AD14)</f>
        <v>-</v>
      </c>
      <c r="AF14" s="23">
        <v>0</v>
      </c>
      <c r="AG14" s="21">
        <v>0</v>
      </c>
      <c r="AH14" s="139" t="str">
        <f t="shared" ref="AH14" si="71">IF(AG14=0,"-",AF14/AG14)</f>
        <v>-</v>
      </c>
      <c r="AI14" s="23">
        <v>0</v>
      </c>
      <c r="AJ14" s="21">
        <v>0</v>
      </c>
      <c r="AK14" s="139" t="str">
        <f t="shared" si="11"/>
        <v>-</v>
      </c>
      <c r="AL14" s="23">
        <v>0</v>
      </c>
      <c r="AM14" s="21">
        <v>0</v>
      </c>
      <c r="AN14" s="139" t="str">
        <f t="shared" si="12"/>
        <v>-</v>
      </c>
      <c r="AO14" s="20">
        <v>30</v>
      </c>
      <c r="AP14" s="21">
        <v>5</v>
      </c>
      <c r="AQ14" s="139">
        <f t="shared" si="13"/>
        <v>6</v>
      </c>
      <c r="AR14" s="20">
        <v>0</v>
      </c>
      <c r="AS14" s="21">
        <v>0</v>
      </c>
      <c r="AT14" s="139" t="str">
        <f t="shared" ref="AT14:AT15" si="72">IF(AS14=0,"-",AR14/AS14)</f>
        <v>-</v>
      </c>
      <c r="AU14" s="20">
        <v>0</v>
      </c>
      <c r="AV14" s="21">
        <v>0</v>
      </c>
      <c r="AW14" s="139" t="str">
        <f t="shared" si="15"/>
        <v>-</v>
      </c>
      <c r="AX14" s="20">
        <v>5</v>
      </c>
      <c r="AY14" s="21">
        <v>2</v>
      </c>
      <c r="AZ14" s="139">
        <f t="shared" si="16"/>
        <v>2.5</v>
      </c>
      <c r="BA14" s="20">
        <v>0</v>
      </c>
      <c r="BB14" s="21">
        <v>0</v>
      </c>
      <c r="BC14" s="139" t="str">
        <f t="shared" ref="BC14:BC16" si="73">IF(BB14=0,"-",BA14/BB14)</f>
        <v>-</v>
      </c>
      <c r="BD14" s="20">
        <v>0</v>
      </c>
      <c r="BE14" s="21">
        <v>0</v>
      </c>
      <c r="BF14" s="139" t="str">
        <f t="shared" ref="BF14:BF16" si="74">IF(BE14=0,"-",BD14/BE14)</f>
        <v>-</v>
      </c>
      <c r="BG14" s="20">
        <v>0</v>
      </c>
      <c r="BH14" s="21">
        <v>0</v>
      </c>
      <c r="BI14" s="139" t="str">
        <f t="shared" ref="BI14:BI16" si="75">IF(BH14=0,"-",BG14/BH14)</f>
        <v>-</v>
      </c>
      <c r="BJ14" s="252">
        <v>26</v>
      </c>
      <c r="BK14" s="253">
        <v>4</v>
      </c>
      <c r="BL14" s="276">
        <f t="shared" si="20"/>
        <v>6.5</v>
      </c>
      <c r="BM14" s="252">
        <v>0</v>
      </c>
      <c r="BN14" s="253">
        <v>0</v>
      </c>
      <c r="BO14" s="276" t="str">
        <f t="shared" si="21"/>
        <v>-</v>
      </c>
      <c r="BP14" s="302">
        <v>0</v>
      </c>
      <c r="BQ14" s="303">
        <v>0</v>
      </c>
      <c r="BR14" s="276" t="str">
        <f t="shared" si="22"/>
        <v>-</v>
      </c>
      <c r="BS14" s="257">
        <v>6</v>
      </c>
      <c r="BT14" s="253">
        <v>1</v>
      </c>
      <c r="BU14" s="276">
        <f t="shared" si="23"/>
        <v>6</v>
      </c>
      <c r="BV14" s="257">
        <v>3</v>
      </c>
      <c r="BW14" s="253">
        <v>1</v>
      </c>
      <c r="BX14" s="276">
        <f t="shared" si="24"/>
        <v>3</v>
      </c>
      <c r="BY14" s="257">
        <v>0</v>
      </c>
      <c r="BZ14" s="253">
        <v>0</v>
      </c>
      <c r="CA14" s="276" t="str">
        <f t="shared" si="25"/>
        <v>-</v>
      </c>
      <c r="CB14" s="257">
        <v>0</v>
      </c>
      <c r="CC14" s="253">
        <v>0</v>
      </c>
      <c r="CD14" s="276" t="str">
        <f t="shared" si="26"/>
        <v>-</v>
      </c>
      <c r="CE14" s="20">
        <v>0</v>
      </c>
      <c r="CF14" s="21">
        <v>0</v>
      </c>
      <c r="CG14" s="139" t="str">
        <f t="shared" si="65"/>
        <v>-</v>
      </c>
      <c r="CH14" s="20">
        <v>0</v>
      </c>
      <c r="CI14" s="21">
        <v>0</v>
      </c>
      <c r="CJ14" s="139" t="str">
        <f t="shared" si="66"/>
        <v>-</v>
      </c>
      <c r="CK14" s="20">
        <v>0</v>
      </c>
      <c r="CL14" s="21">
        <v>0</v>
      </c>
      <c r="CM14" s="139" t="str">
        <f t="shared" si="67"/>
        <v>-</v>
      </c>
      <c r="CN14" s="117">
        <f t="shared" si="35"/>
        <v>293</v>
      </c>
      <c r="CO14" s="120">
        <f t="shared" si="36"/>
        <v>46</v>
      </c>
      <c r="CP14" s="147">
        <f t="shared" si="30"/>
        <v>6.3695652173913047</v>
      </c>
    </row>
    <row r="15" spans="1:94" ht="15" thickBot="1" x14ac:dyDescent="0.35">
      <c r="A15" s="294">
        <v>45911</v>
      </c>
      <c r="B15" s="20">
        <v>90</v>
      </c>
      <c r="C15" s="21">
        <v>10</v>
      </c>
      <c r="D15" s="139">
        <f t="shared" si="0"/>
        <v>9</v>
      </c>
      <c r="E15" s="20">
        <v>0</v>
      </c>
      <c r="F15" s="21">
        <v>0</v>
      </c>
      <c r="G15" s="139" t="str">
        <f t="shared" si="68"/>
        <v>-</v>
      </c>
      <c r="H15" s="20">
        <v>0</v>
      </c>
      <c r="I15" s="21">
        <v>0</v>
      </c>
      <c r="J15" s="139" t="str">
        <f t="shared" si="69"/>
        <v>-</v>
      </c>
      <c r="K15" s="20">
        <v>0</v>
      </c>
      <c r="L15" s="21">
        <v>0</v>
      </c>
      <c r="M15" s="139" t="str">
        <f t="shared" si="3"/>
        <v>-</v>
      </c>
      <c r="N15" s="125">
        <v>0</v>
      </c>
      <c r="O15" s="126">
        <v>0</v>
      </c>
      <c r="P15" s="139" t="str">
        <f t="shared" si="4"/>
        <v>-</v>
      </c>
      <c r="Q15" s="20">
        <v>35</v>
      </c>
      <c r="R15" s="21">
        <v>7</v>
      </c>
      <c r="S15" s="139">
        <f t="shared" si="5"/>
        <v>5</v>
      </c>
      <c r="T15" s="20">
        <v>2</v>
      </c>
      <c r="U15" s="21">
        <v>1</v>
      </c>
      <c r="V15" s="139">
        <f t="shared" si="6"/>
        <v>2</v>
      </c>
      <c r="W15" s="20">
        <v>0</v>
      </c>
      <c r="X15" s="21">
        <v>0</v>
      </c>
      <c r="Y15" s="139" t="str">
        <f t="shared" si="7"/>
        <v>-</v>
      </c>
      <c r="Z15" s="20">
        <v>30</v>
      </c>
      <c r="AA15" s="21">
        <v>5</v>
      </c>
      <c r="AB15" s="139">
        <f t="shared" si="8"/>
        <v>6</v>
      </c>
      <c r="AC15" s="20">
        <v>91</v>
      </c>
      <c r="AD15" s="21">
        <v>20</v>
      </c>
      <c r="AE15" s="139">
        <f t="shared" si="9"/>
        <v>4.55</v>
      </c>
      <c r="AF15" s="23">
        <v>0</v>
      </c>
      <c r="AG15" s="21">
        <v>0</v>
      </c>
      <c r="AH15" s="139" t="str">
        <f t="shared" ref="AH15" si="76">IF(AG15=0,"-",AF15/AG15)</f>
        <v>-</v>
      </c>
      <c r="AI15" s="23">
        <v>0</v>
      </c>
      <c r="AJ15" s="21">
        <v>0</v>
      </c>
      <c r="AK15" s="139" t="str">
        <f t="shared" ref="AK15" si="77">IF(AJ15=0,"-",AI15/AJ15)</f>
        <v>-</v>
      </c>
      <c r="AL15" s="23">
        <v>0</v>
      </c>
      <c r="AM15" s="21">
        <v>0</v>
      </c>
      <c r="AN15" s="139" t="str">
        <f t="shared" ref="AN15" si="78">IF(AM15=0,"-",AL15/AM15)</f>
        <v>-</v>
      </c>
      <c r="AO15" s="20">
        <v>24</v>
      </c>
      <c r="AP15" s="21">
        <v>4</v>
      </c>
      <c r="AQ15" s="139">
        <f t="shared" si="13"/>
        <v>6</v>
      </c>
      <c r="AR15" s="20">
        <v>0</v>
      </c>
      <c r="AS15" s="21">
        <v>0</v>
      </c>
      <c r="AT15" s="139" t="str">
        <f t="shared" si="72"/>
        <v>-</v>
      </c>
      <c r="AU15" s="20">
        <v>0</v>
      </c>
      <c r="AV15" s="21">
        <v>0</v>
      </c>
      <c r="AW15" s="139" t="str">
        <f t="shared" si="15"/>
        <v>-</v>
      </c>
      <c r="AX15" s="20">
        <v>2</v>
      </c>
      <c r="AY15" s="21">
        <v>2</v>
      </c>
      <c r="AZ15" s="139">
        <f t="shared" si="16"/>
        <v>1</v>
      </c>
      <c r="BA15" s="20">
        <v>0</v>
      </c>
      <c r="BB15" s="21">
        <v>0</v>
      </c>
      <c r="BC15" s="139" t="str">
        <f t="shared" si="73"/>
        <v>-</v>
      </c>
      <c r="BD15" s="20">
        <v>0</v>
      </c>
      <c r="BE15" s="21">
        <v>0</v>
      </c>
      <c r="BF15" s="139" t="str">
        <f t="shared" si="74"/>
        <v>-</v>
      </c>
      <c r="BG15" s="20">
        <v>0</v>
      </c>
      <c r="BH15" s="21">
        <v>0</v>
      </c>
      <c r="BI15" s="139" t="str">
        <f t="shared" si="75"/>
        <v>-</v>
      </c>
      <c r="BJ15" s="252">
        <v>25</v>
      </c>
      <c r="BK15" s="253">
        <v>4</v>
      </c>
      <c r="BL15" s="276">
        <f t="shared" si="20"/>
        <v>6.25</v>
      </c>
      <c r="BM15" s="252">
        <v>0</v>
      </c>
      <c r="BN15" s="253">
        <v>0</v>
      </c>
      <c r="BO15" s="276" t="str">
        <f t="shared" si="21"/>
        <v>-</v>
      </c>
      <c r="BP15" s="302">
        <v>0</v>
      </c>
      <c r="BQ15" s="303">
        <v>0</v>
      </c>
      <c r="BR15" s="276" t="str">
        <f t="shared" si="22"/>
        <v>-</v>
      </c>
      <c r="BS15" s="257">
        <v>0</v>
      </c>
      <c r="BT15" s="253">
        <v>0</v>
      </c>
      <c r="BU15" s="276" t="str">
        <f t="shared" si="23"/>
        <v>-</v>
      </c>
      <c r="BV15" s="257">
        <v>1</v>
      </c>
      <c r="BW15" s="253">
        <v>1</v>
      </c>
      <c r="BX15" s="276">
        <f t="shared" si="24"/>
        <v>1</v>
      </c>
      <c r="BY15" s="257">
        <v>0</v>
      </c>
      <c r="BZ15" s="253">
        <v>0</v>
      </c>
      <c r="CA15" s="276" t="str">
        <f t="shared" si="25"/>
        <v>-</v>
      </c>
      <c r="CB15" s="257">
        <v>0</v>
      </c>
      <c r="CC15" s="253">
        <v>0</v>
      </c>
      <c r="CD15" s="276" t="str">
        <f t="shared" si="26"/>
        <v>-</v>
      </c>
      <c r="CE15" s="20">
        <v>0</v>
      </c>
      <c r="CF15" s="21">
        <v>0</v>
      </c>
      <c r="CG15" s="139" t="str">
        <f t="shared" si="65"/>
        <v>-</v>
      </c>
      <c r="CH15" s="20">
        <v>0</v>
      </c>
      <c r="CI15" s="21">
        <v>0</v>
      </c>
      <c r="CJ15" s="139" t="str">
        <f t="shared" si="66"/>
        <v>-</v>
      </c>
      <c r="CK15" s="20">
        <v>0</v>
      </c>
      <c r="CL15" s="21">
        <v>0</v>
      </c>
      <c r="CM15" s="139" t="str">
        <f t="shared" si="67"/>
        <v>-</v>
      </c>
      <c r="CN15" s="117">
        <f t="shared" si="35"/>
        <v>300</v>
      </c>
      <c r="CO15" s="120">
        <f t="shared" si="36"/>
        <v>54</v>
      </c>
      <c r="CP15" s="147">
        <f t="shared" si="30"/>
        <v>5.5555555555555554</v>
      </c>
    </row>
    <row r="16" spans="1:94" ht="15" thickBot="1" x14ac:dyDescent="0.35">
      <c r="A16" s="294">
        <v>45912</v>
      </c>
      <c r="B16" s="20">
        <v>52</v>
      </c>
      <c r="C16" s="21">
        <v>6</v>
      </c>
      <c r="D16" s="139">
        <f t="shared" si="0"/>
        <v>8.6666666666666661</v>
      </c>
      <c r="E16" s="20">
        <v>0</v>
      </c>
      <c r="F16" s="21">
        <v>0</v>
      </c>
      <c r="G16" s="139" t="str">
        <f t="shared" ref="G16" si="79">IF(F16=0,"-",E16/F16)</f>
        <v>-</v>
      </c>
      <c r="H16" s="20">
        <v>0</v>
      </c>
      <c r="I16" s="21">
        <v>0</v>
      </c>
      <c r="J16" s="139" t="str">
        <f t="shared" ref="J16" si="80">IF(I16=0,"-",H16/I16)</f>
        <v>-</v>
      </c>
      <c r="K16" s="20">
        <v>0</v>
      </c>
      <c r="L16" s="21">
        <v>0</v>
      </c>
      <c r="M16" s="139" t="str">
        <f t="shared" ref="M16" si="81">IF(L16=0,"-",K16/L16)</f>
        <v>-</v>
      </c>
      <c r="N16" s="125">
        <v>0</v>
      </c>
      <c r="O16" s="126">
        <v>0</v>
      </c>
      <c r="P16" s="139" t="str">
        <f t="shared" si="4"/>
        <v>-</v>
      </c>
      <c r="Q16" s="125">
        <v>84</v>
      </c>
      <c r="R16" s="126">
        <v>16</v>
      </c>
      <c r="S16" s="139">
        <f t="shared" si="5"/>
        <v>5.25</v>
      </c>
      <c r="T16" s="20">
        <v>0</v>
      </c>
      <c r="U16" s="21">
        <v>0</v>
      </c>
      <c r="V16" s="139" t="str">
        <f t="shared" si="6"/>
        <v>-</v>
      </c>
      <c r="W16" s="20">
        <v>0</v>
      </c>
      <c r="X16" s="21">
        <v>0</v>
      </c>
      <c r="Y16" s="139" t="str">
        <f t="shared" si="7"/>
        <v>-</v>
      </c>
      <c r="Z16" s="20">
        <v>19</v>
      </c>
      <c r="AA16" s="21">
        <v>4</v>
      </c>
      <c r="AB16" s="139">
        <f t="shared" si="8"/>
        <v>4.75</v>
      </c>
      <c r="AC16" s="20">
        <v>16</v>
      </c>
      <c r="AD16" s="21">
        <v>3</v>
      </c>
      <c r="AE16" s="139">
        <f t="shared" si="9"/>
        <v>5.333333333333333</v>
      </c>
      <c r="AF16" s="20">
        <v>0</v>
      </c>
      <c r="AG16" s="21">
        <v>0</v>
      </c>
      <c r="AH16" s="139" t="str">
        <f t="shared" si="10"/>
        <v>-</v>
      </c>
      <c r="AI16" s="20">
        <v>24</v>
      </c>
      <c r="AJ16" s="21">
        <v>4</v>
      </c>
      <c r="AK16" s="139">
        <f t="shared" si="11"/>
        <v>6</v>
      </c>
      <c r="AL16" s="20">
        <v>6</v>
      </c>
      <c r="AM16" s="21">
        <v>1</v>
      </c>
      <c r="AN16" s="139">
        <f t="shared" si="12"/>
        <v>6</v>
      </c>
      <c r="AO16" s="20">
        <v>12</v>
      </c>
      <c r="AP16" s="21">
        <v>2</v>
      </c>
      <c r="AQ16" s="139">
        <f t="shared" si="13"/>
        <v>6</v>
      </c>
      <c r="AR16" s="20">
        <v>0</v>
      </c>
      <c r="AS16" s="21">
        <v>0</v>
      </c>
      <c r="AT16" s="139" t="str">
        <f t="shared" ref="AT16" si="82">IF(AS16=0,"-",AR16/AS16)</f>
        <v>-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16"/>
        <v>-</v>
      </c>
      <c r="BA16" s="20">
        <v>0</v>
      </c>
      <c r="BB16" s="21">
        <v>0</v>
      </c>
      <c r="BC16" s="139" t="str">
        <f t="shared" si="73"/>
        <v>-</v>
      </c>
      <c r="BD16" s="20">
        <v>0</v>
      </c>
      <c r="BE16" s="21">
        <v>0</v>
      </c>
      <c r="BF16" s="139" t="str">
        <f t="shared" si="74"/>
        <v>-</v>
      </c>
      <c r="BG16" s="20">
        <v>0</v>
      </c>
      <c r="BH16" s="21">
        <v>0</v>
      </c>
      <c r="BI16" s="139" t="str">
        <f t="shared" si="75"/>
        <v>-</v>
      </c>
      <c r="BJ16" s="252">
        <v>22</v>
      </c>
      <c r="BK16" s="253">
        <v>4</v>
      </c>
      <c r="BL16" s="276">
        <f t="shared" si="20"/>
        <v>5.5</v>
      </c>
      <c r="BM16" s="252">
        <v>0</v>
      </c>
      <c r="BN16" s="253">
        <v>0</v>
      </c>
      <c r="BO16" s="276" t="str">
        <f t="shared" si="21"/>
        <v>-</v>
      </c>
      <c r="BP16" s="302">
        <v>0</v>
      </c>
      <c r="BQ16" s="303">
        <v>0</v>
      </c>
      <c r="BR16" s="276" t="str">
        <f t="shared" si="22"/>
        <v>-</v>
      </c>
      <c r="BS16" s="257">
        <v>0</v>
      </c>
      <c r="BT16" s="253">
        <v>0</v>
      </c>
      <c r="BU16" s="276" t="str">
        <f t="shared" si="23"/>
        <v>-</v>
      </c>
      <c r="BV16" s="257">
        <v>2</v>
      </c>
      <c r="BW16" s="253">
        <v>1</v>
      </c>
      <c r="BX16" s="276">
        <f t="shared" si="24"/>
        <v>2</v>
      </c>
      <c r="BY16" s="257">
        <v>0</v>
      </c>
      <c r="BZ16" s="253">
        <v>0</v>
      </c>
      <c r="CA16" s="276" t="str">
        <f t="shared" si="25"/>
        <v>-</v>
      </c>
      <c r="CB16" s="257">
        <v>0</v>
      </c>
      <c r="CC16" s="253">
        <v>0</v>
      </c>
      <c r="CD16" s="276" t="str">
        <f t="shared" si="26"/>
        <v>-</v>
      </c>
      <c r="CE16" s="20">
        <v>0</v>
      </c>
      <c r="CF16" s="21">
        <v>0</v>
      </c>
      <c r="CG16" s="139" t="str">
        <f t="shared" si="65"/>
        <v>-</v>
      </c>
      <c r="CH16" s="20">
        <v>0</v>
      </c>
      <c r="CI16" s="21">
        <v>0</v>
      </c>
      <c r="CJ16" s="139" t="str">
        <f t="shared" si="66"/>
        <v>-</v>
      </c>
      <c r="CK16" s="20">
        <v>0</v>
      </c>
      <c r="CL16" s="21">
        <v>0</v>
      </c>
      <c r="CM16" s="139" t="str">
        <f t="shared" si="67"/>
        <v>-</v>
      </c>
      <c r="CN16" s="117">
        <f t="shared" si="35"/>
        <v>237</v>
      </c>
      <c r="CO16" s="120">
        <f t="shared" si="36"/>
        <v>41</v>
      </c>
      <c r="CP16" s="147">
        <f t="shared" si="30"/>
        <v>5.7804878048780486</v>
      </c>
    </row>
    <row r="17" spans="1:94" ht="15" thickBot="1" x14ac:dyDescent="0.35">
      <c r="A17" s="294">
        <v>45913</v>
      </c>
      <c r="B17" s="20">
        <v>171</v>
      </c>
      <c r="C17" s="21">
        <v>18</v>
      </c>
      <c r="D17" s="139">
        <f t="shared" si="0"/>
        <v>9.5</v>
      </c>
      <c r="E17" s="20">
        <v>0</v>
      </c>
      <c r="F17" s="21">
        <v>0</v>
      </c>
      <c r="G17" s="139" t="str">
        <f t="shared" si="1"/>
        <v>-</v>
      </c>
      <c r="H17" s="20">
        <v>0</v>
      </c>
      <c r="I17" s="21">
        <v>0</v>
      </c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20</v>
      </c>
      <c r="R17" s="126">
        <v>4</v>
      </c>
      <c r="S17" s="139">
        <f t="shared" si="5"/>
        <v>5</v>
      </c>
      <c r="T17" s="125">
        <v>0</v>
      </c>
      <c r="U17" s="126">
        <v>0</v>
      </c>
      <c r="V17" s="139" t="str">
        <f t="shared" si="6"/>
        <v>-</v>
      </c>
      <c r="W17" s="125">
        <v>0</v>
      </c>
      <c r="X17" s="126">
        <v>0</v>
      </c>
      <c r="Y17" s="139" t="str">
        <f t="shared" si="7"/>
        <v>-</v>
      </c>
      <c r="Z17" s="125">
        <v>0</v>
      </c>
      <c r="AA17" s="126">
        <v>0</v>
      </c>
      <c r="AB17" s="139" t="str">
        <f t="shared" si="8"/>
        <v>-</v>
      </c>
      <c r="AC17" s="125">
        <v>0</v>
      </c>
      <c r="AD17" s="126">
        <v>0</v>
      </c>
      <c r="AE17" s="139" t="str">
        <f t="shared" si="9"/>
        <v>-</v>
      </c>
      <c r="AF17" s="20">
        <v>0</v>
      </c>
      <c r="AG17" s="21">
        <v>0</v>
      </c>
      <c r="AH17" s="139" t="str">
        <f t="shared" si="10"/>
        <v>-</v>
      </c>
      <c r="AI17" s="20">
        <v>6</v>
      </c>
      <c r="AJ17" s="21">
        <v>1</v>
      </c>
      <c r="AK17" s="139">
        <f t="shared" si="11"/>
        <v>6</v>
      </c>
      <c r="AL17" s="20">
        <v>0</v>
      </c>
      <c r="AM17" s="21">
        <v>0</v>
      </c>
      <c r="AN17" s="139" t="str">
        <f t="shared" si="12"/>
        <v>-</v>
      </c>
      <c r="AO17" s="20">
        <v>11</v>
      </c>
      <c r="AP17" s="21">
        <v>2</v>
      </c>
      <c r="AQ17" s="139">
        <f t="shared" si="13"/>
        <v>5.5</v>
      </c>
      <c r="AR17" s="20">
        <v>6</v>
      </c>
      <c r="AS17" s="21">
        <v>1</v>
      </c>
      <c r="AT17" s="139">
        <f t="shared" si="14"/>
        <v>6</v>
      </c>
      <c r="AU17" s="20">
        <v>0</v>
      </c>
      <c r="AV17" s="21">
        <v>0</v>
      </c>
      <c r="AW17" s="139" t="str">
        <f t="shared" si="15"/>
        <v>-</v>
      </c>
      <c r="AX17" s="20">
        <v>1</v>
      </c>
      <c r="AY17" s="21">
        <v>1</v>
      </c>
      <c r="AZ17" s="139">
        <f t="shared" si="16"/>
        <v>1</v>
      </c>
      <c r="BA17" s="20">
        <v>0</v>
      </c>
      <c r="BB17" s="21">
        <v>0</v>
      </c>
      <c r="BC17" s="139" t="str">
        <f t="shared" si="17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52">
        <v>27</v>
      </c>
      <c r="BK17" s="253">
        <v>5</v>
      </c>
      <c r="BL17" s="276">
        <f t="shared" si="20"/>
        <v>5.4</v>
      </c>
      <c r="BM17" s="252">
        <v>0</v>
      </c>
      <c r="BN17" s="253">
        <v>0</v>
      </c>
      <c r="BO17" s="276" t="str">
        <f t="shared" si="21"/>
        <v>-</v>
      </c>
      <c r="BP17" s="302">
        <v>0</v>
      </c>
      <c r="BQ17" s="303">
        <v>0</v>
      </c>
      <c r="BR17" s="276" t="str">
        <f t="shared" si="22"/>
        <v>-</v>
      </c>
      <c r="BS17" s="257">
        <v>7</v>
      </c>
      <c r="BT17" s="253">
        <v>1</v>
      </c>
      <c r="BU17" s="276">
        <f t="shared" si="23"/>
        <v>7</v>
      </c>
      <c r="BV17" s="125">
        <v>0</v>
      </c>
      <c r="BW17" s="126">
        <v>0</v>
      </c>
      <c r="BX17" s="276" t="str">
        <f t="shared" si="24"/>
        <v>-</v>
      </c>
      <c r="BY17" s="125">
        <v>0</v>
      </c>
      <c r="BZ17" s="126">
        <v>0</v>
      </c>
      <c r="CA17" s="276" t="str">
        <f t="shared" si="25"/>
        <v>-</v>
      </c>
      <c r="CB17" s="125">
        <v>0</v>
      </c>
      <c r="CC17" s="126">
        <v>0</v>
      </c>
      <c r="CD17" s="276" t="str">
        <f t="shared" si="26"/>
        <v>-</v>
      </c>
      <c r="CE17" s="20">
        <v>0</v>
      </c>
      <c r="CF17" s="21">
        <v>0</v>
      </c>
      <c r="CG17" s="139" t="str">
        <f t="shared" si="65"/>
        <v>-</v>
      </c>
      <c r="CH17" s="20">
        <v>0</v>
      </c>
      <c r="CI17" s="21">
        <v>0</v>
      </c>
      <c r="CJ17" s="139" t="str">
        <f t="shared" si="66"/>
        <v>-</v>
      </c>
      <c r="CK17" s="20">
        <v>0</v>
      </c>
      <c r="CL17" s="21">
        <v>0</v>
      </c>
      <c r="CM17" s="139" t="str">
        <f t="shared" si="67"/>
        <v>-</v>
      </c>
      <c r="CN17" s="117">
        <f t="shared" si="35"/>
        <v>249</v>
      </c>
      <c r="CO17" s="120">
        <f t="shared" si="36"/>
        <v>33</v>
      </c>
      <c r="CP17" s="147">
        <f t="shared" si="30"/>
        <v>7.5454545454545459</v>
      </c>
    </row>
    <row r="18" spans="1:94" ht="15" thickBot="1" x14ac:dyDescent="0.35">
      <c r="A18" s="294">
        <v>45914</v>
      </c>
      <c r="B18" s="20">
        <v>152</v>
      </c>
      <c r="C18" s="21">
        <v>17</v>
      </c>
      <c r="D18" s="139">
        <f t="shared" si="0"/>
        <v>8.9411764705882355</v>
      </c>
      <c r="E18" s="20">
        <v>0</v>
      </c>
      <c r="F18" s="21">
        <v>0</v>
      </c>
      <c r="G18" s="139" t="str">
        <f t="shared" ref="G18" si="83">IF(F18=0,"-",E18/F18)</f>
        <v>-</v>
      </c>
      <c r="H18" s="20">
        <v>0</v>
      </c>
      <c r="I18" s="21">
        <v>0</v>
      </c>
      <c r="J18" s="139" t="str">
        <f t="shared" ref="J18" si="84">IF(I18=0,"-",H18/I18)</f>
        <v>-</v>
      </c>
      <c r="K18" s="20">
        <v>9</v>
      </c>
      <c r="L18" s="21">
        <v>1</v>
      </c>
      <c r="M18" s="139">
        <f t="shared" ref="M18" si="85">IF(L18=0,"-",K18/L18)</f>
        <v>9</v>
      </c>
      <c r="N18" s="125">
        <v>0</v>
      </c>
      <c r="O18" s="126">
        <v>0</v>
      </c>
      <c r="P18" s="139" t="str">
        <f t="shared" si="4"/>
        <v>-</v>
      </c>
      <c r="Q18" s="125">
        <v>0</v>
      </c>
      <c r="R18" s="126">
        <v>0</v>
      </c>
      <c r="S18" s="139" t="str">
        <f t="shared" si="5"/>
        <v>-</v>
      </c>
      <c r="T18" s="125">
        <v>0</v>
      </c>
      <c r="U18" s="126">
        <v>0</v>
      </c>
      <c r="V18" s="139" t="str">
        <f t="shared" si="6"/>
        <v>-</v>
      </c>
      <c r="W18" s="125">
        <v>0</v>
      </c>
      <c r="X18" s="126">
        <v>0</v>
      </c>
      <c r="Y18" s="139" t="str">
        <f t="shared" si="7"/>
        <v>-</v>
      </c>
      <c r="Z18" s="125">
        <v>0</v>
      </c>
      <c r="AA18" s="126">
        <v>0</v>
      </c>
      <c r="AB18" s="139" t="str">
        <f t="shared" si="8"/>
        <v>-</v>
      </c>
      <c r="AC18" s="125">
        <v>0</v>
      </c>
      <c r="AD18" s="126">
        <v>0</v>
      </c>
      <c r="AE18" s="139" t="str">
        <f t="shared" si="9"/>
        <v>-</v>
      </c>
      <c r="AF18" s="125">
        <v>0</v>
      </c>
      <c r="AG18" s="126">
        <v>0</v>
      </c>
      <c r="AH18" s="139" t="str">
        <f t="shared" si="10"/>
        <v>-</v>
      </c>
      <c r="AI18" s="125">
        <v>0</v>
      </c>
      <c r="AJ18" s="126">
        <v>0</v>
      </c>
      <c r="AK18" s="139" t="str">
        <f t="shared" si="11"/>
        <v>-</v>
      </c>
      <c r="AL18" s="125">
        <v>0</v>
      </c>
      <c r="AM18" s="126">
        <v>0</v>
      </c>
      <c r="AN18" s="139" t="str">
        <f t="shared" si="12"/>
        <v>-</v>
      </c>
      <c r="AO18" s="125">
        <v>0</v>
      </c>
      <c r="AP18" s="126">
        <v>0</v>
      </c>
      <c r="AQ18" s="139" t="str">
        <f t="shared" si="13"/>
        <v>-</v>
      </c>
      <c r="AR18" s="20">
        <v>7</v>
      </c>
      <c r="AS18" s="21">
        <v>1</v>
      </c>
      <c r="AT18" s="139">
        <f t="shared" si="14"/>
        <v>7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0</v>
      </c>
      <c r="BB18" s="21">
        <v>0</v>
      </c>
      <c r="BC18" s="139" t="str">
        <f t="shared" ref="BC18:BC19" si="86">IF(BB18=0,"-",BA18/BB18)</f>
        <v>-</v>
      </c>
      <c r="BD18" s="20">
        <v>0</v>
      </c>
      <c r="BE18" s="21">
        <v>0</v>
      </c>
      <c r="BF18" s="139" t="str">
        <f t="shared" ref="BF18:BF19" si="87">IF(BE18=0,"-",BD18/BE18)</f>
        <v>-</v>
      </c>
      <c r="BG18" s="20">
        <v>0</v>
      </c>
      <c r="BH18" s="21">
        <v>0</v>
      </c>
      <c r="BI18" s="139" t="str">
        <f t="shared" ref="BI18:BI19" si="88">IF(BH18=0,"-",BG18/BH18)</f>
        <v>-</v>
      </c>
      <c r="BJ18" s="318">
        <v>17</v>
      </c>
      <c r="BK18" s="303">
        <v>3</v>
      </c>
      <c r="BL18" s="276">
        <f t="shared" si="20"/>
        <v>5.666666666666667</v>
      </c>
      <c r="BM18" s="252">
        <v>0</v>
      </c>
      <c r="BN18" s="253">
        <v>0</v>
      </c>
      <c r="BO18" s="276" t="str">
        <f t="shared" si="21"/>
        <v>-</v>
      </c>
      <c r="BP18" s="302">
        <v>0</v>
      </c>
      <c r="BQ18" s="303">
        <v>0</v>
      </c>
      <c r="BR18" s="276" t="str">
        <f t="shared" si="22"/>
        <v>-</v>
      </c>
      <c r="BS18" s="257">
        <v>0</v>
      </c>
      <c r="BT18" s="253">
        <v>0</v>
      </c>
      <c r="BU18" s="276" t="str">
        <f t="shared" si="23"/>
        <v>-</v>
      </c>
      <c r="BV18" s="125">
        <v>0</v>
      </c>
      <c r="BW18" s="126">
        <v>0</v>
      </c>
      <c r="BX18" s="276" t="str">
        <f t="shared" si="24"/>
        <v>-</v>
      </c>
      <c r="BY18" s="125">
        <v>0</v>
      </c>
      <c r="BZ18" s="126">
        <v>0</v>
      </c>
      <c r="CA18" s="276" t="str">
        <f t="shared" si="25"/>
        <v>-</v>
      </c>
      <c r="CB18" s="125">
        <v>0</v>
      </c>
      <c r="CC18" s="126">
        <v>0</v>
      </c>
      <c r="CD18" s="276" t="str">
        <f t="shared" si="26"/>
        <v>-</v>
      </c>
      <c r="CE18" s="20">
        <v>0</v>
      </c>
      <c r="CF18" s="21">
        <v>0</v>
      </c>
      <c r="CG18" s="139" t="str">
        <f t="shared" si="65"/>
        <v>-</v>
      </c>
      <c r="CH18" s="20">
        <v>0</v>
      </c>
      <c r="CI18" s="21">
        <v>0</v>
      </c>
      <c r="CJ18" s="139" t="str">
        <f t="shared" si="66"/>
        <v>-</v>
      </c>
      <c r="CK18" s="20">
        <v>0</v>
      </c>
      <c r="CL18" s="21">
        <v>0</v>
      </c>
      <c r="CM18" s="139" t="str">
        <f t="shared" si="67"/>
        <v>-</v>
      </c>
      <c r="CN18" s="117">
        <f t="shared" si="35"/>
        <v>185</v>
      </c>
      <c r="CO18" s="120">
        <f t="shared" si="36"/>
        <v>22</v>
      </c>
      <c r="CP18" s="147">
        <f t="shared" si="30"/>
        <v>8.4090909090909083</v>
      </c>
    </row>
    <row r="19" spans="1:94" ht="15" thickBot="1" x14ac:dyDescent="0.35">
      <c r="A19" s="294">
        <v>45915</v>
      </c>
      <c r="B19" s="20">
        <v>67</v>
      </c>
      <c r="C19" s="21">
        <v>7</v>
      </c>
      <c r="D19" s="139">
        <f t="shared" si="0"/>
        <v>9.5714285714285712</v>
      </c>
      <c r="E19" s="20">
        <v>0</v>
      </c>
      <c r="F19" s="21">
        <v>0</v>
      </c>
      <c r="G19" s="139" t="str">
        <f t="shared" si="1"/>
        <v>-</v>
      </c>
      <c r="H19" s="20">
        <v>0</v>
      </c>
      <c r="I19" s="21">
        <v>0</v>
      </c>
      <c r="J19" s="139" t="str">
        <f t="shared" si="2"/>
        <v>-</v>
      </c>
      <c r="K19" s="20">
        <v>36</v>
      </c>
      <c r="L19" s="21">
        <v>4</v>
      </c>
      <c r="M19" s="139">
        <f t="shared" si="3"/>
        <v>9</v>
      </c>
      <c r="N19" s="125">
        <v>0</v>
      </c>
      <c r="O19" s="126">
        <v>0</v>
      </c>
      <c r="P19" s="139" t="str">
        <f t="shared" si="4"/>
        <v>-</v>
      </c>
      <c r="Q19" s="125">
        <v>63</v>
      </c>
      <c r="R19" s="126">
        <v>13</v>
      </c>
      <c r="S19" s="139">
        <f t="shared" si="5"/>
        <v>4.8461538461538458</v>
      </c>
      <c r="T19" s="125">
        <v>129</v>
      </c>
      <c r="U19" s="126">
        <v>22</v>
      </c>
      <c r="V19" s="139">
        <f t="shared" si="6"/>
        <v>5.8636363636363633</v>
      </c>
      <c r="W19" s="125">
        <v>0</v>
      </c>
      <c r="X19" s="126">
        <v>0</v>
      </c>
      <c r="Y19" s="139" t="str">
        <f t="shared" si="7"/>
        <v>-</v>
      </c>
      <c r="Z19" s="125">
        <v>46</v>
      </c>
      <c r="AA19" s="126">
        <v>9</v>
      </c>
      <c r="AB19" s="139">
        <f t="shared" si="8"/>
        <v>5.1111111111111107</v>
      </c>
      <c r="AC19" s="125">
        <v>0</v>
      </c>
      <c r="AD19" s="126">
        <v>0</v>
      </c>
      <c r="AE19" s="139" t="str">
        <f t="shared" ref="AE19" si="89">IF(AD19=0,"-",AC19/AD19)</f>
        <v>-</v>
      </c>
      <c r="AF19" s="125">
        <v>0</v>
      </c>
      <c r="AG19" s="126">
        <v>0</v>
      </c>
      <c r="AH19" s="139" t="str">
        <f t="shared" ref="AH19" si="90">IF(AG19=0,"-",AF19/AG19)</f>
        <v>-</v>
      </c>
      <c r="AI19" s="125">
        <v>12</v>
      </c>
      <c r="AJ19" s="126">
        <v>2</v>
      </c>
      <c r="AK19" s="139">
        <f t="shared" si="11"/>
        <v>6</v>
      </c>
      <c r="AL19" s="125">
        <v>0</v>
      </c>
      <c r="AM19" s="126">
        <v>0</v>
      </c>
      <c r="AN19" s="139" t="str">
        <f t="shared" ref="AN19:AN20" si="91">IF(AM19=0,"-",AL19/AM19)</f>
        <v>-</v>
      </c>
      <c r="AO19" s="125">
        <v>24</v>
      </c>
      <c r="AP19" s="126">
        <v>4</v>
      </c>
      <c r="AQ19" s="139">
        <f t="shared" si="13"/>
        <v>6</v>
      </c>
      <c r="AR19" s="20">
        <v>4</v>
      </c>
      <c r="AS19" s="21">
        <v>1</v>
      </c>
      <c r="AT19" s="139">
        <f t="shared" si="14"/>
        <v>4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0</v>
      </c>
      <c r="BB19" s="21">
        <v>0</v>
      </c>
      <c r="BC19" s="139" t="str">
        <f t="shared" si="86"/>
        <v>-</v>
      </c>
      <c r="BD19" s="20">
        <v>0</v>
      </c>
      <c r="BE19" s="21">
        <v>0</v>
      </c>
      <c r="BF19" s="139" t="str">
        <f t="shared" si="87"/>
        <v>-</v>
      </c>
      <c r="BG19" s="20">
        <v>0</v>
      </c>
      <c r="BH19" s="21">
        <v>0</v>
      </c>
      <c r="BI19" s="139" t="str">
        <f t="shared" si="88"/>
        <v>-</v>
      </c>
      <c r="BJ19" s="252">
        <v>19</v>
      </c>
      <c r="BK19" s="253">
        <v>3</v>
      </c>
      <c r="BL19" s="276">
        <v>0</v>
      </c>
      <c r="BM19" s="252">
        <v>0</v>
      </c>
      <c r="BN19" s="253">
        <v>0</v>
      </c>
      <c r="BO19" s="276" t="str">
        <f t="shared" si="21"/>
        <v>-</v>
      </c>
      <c r="BP19" s="302">
        <v>0</v>
      </c>
      <c r="BQ19" s="303">
        <v>0</v>
      </c>
      <c r="BR19" s="276" t="str">
        <f t="shared" si="22"/>
        <v>-</v>
      </c>
      <c r="BS19" s="257">
        <v>0</v>
      </c>
      <c r="BT19" s="253">
        <v>0</v>
      </c>
      <c r="BU19" s="276" t="str">
        <f t="shared" si="23"/>
        <v>-</v>
      </c>
      <c r="BV19" s="125">
        <v>0</v>
      </c>
      <c r="BW19" s="126">
        <v>0</v>
      </c>
      <c r="BX19" s="276" t="str">
        <f t="shared" ref="BX19:BX20" si="92">IF(BW19=0,"-",BV19/BW19)</f>
        <v>-</v>
      </c>
      <c r="BY19" s="125">
        <v>0</v>
      </c>
      <c r="BZ19" s="126">
        <v>0</v>
      </c>
      <c r="CA19" s="276" t="str">
        <f t="shared" ref="CA19:CA20" si="93">IF(BZ19=0,"-",BY19/BZ19)</f>
        <v>-</v>
      </c>
      <c r="CB19" s="125">
        <v>0</v>
      </c>
      <c r="CC19" s="126">
        <v>0</v>
      </c>
      <c r="CD19" s="276" t="str">
        <f t="shared" ref="CD19:CD20" si="94">IF(CC19=0,"-",CB19/CC19)</f>
        <v>-</v>
      </c>
      <c r="CE19" s="20">
        <v>0</v>
      </c>
      <c r="CF19" s="21">
        <v>0</v>
      </c>
      <c r="CG19" s="139" t="str">
        <f t="shared" si="65"/>
        <v>-</v>
      </c>
      <c r="CH19" s="20">
        <v>0</v>
      </c>
      <c r="CI19" s="21">
        <v>0</v>
      </c>
      <c r="CJ19" s="139" t="str">
        <f t="shared" si="66"/>
        <v>-</v>
      </c>
      <c r="CK19" s="20">
        <v>0</v>
      </c>
      <c r="CL19" s="21">
        <v>0</v>
      </c>
      <c r="CM19" s="139" t="str">
        <f t="shared" si="67"/>
        <v>-</v>
      </c>
      <c r="CN19" s="117">
        <f t="shared" si="35"/>
        <v>400</v>
      </c>
      <c r="CO19" s="120">
        <f t="shared" si="36"/>
        <v>65</v>
      </c>
      <c r="CP19" s="147">
        <f t="shared" si="30"/>
        <v>6.1538461538461542</v>
      </c>
    </row>
    <row r="20" spans="1:94" ht="15" thickBot="1" x14ac:dyDescent="0.35">
      <c r="A20" s="294">
        <v>45916</v>
      </c>
      <c r="B20" s="20">
        <v>51</v>
      </c>
      <c r="C20" s="21">
        <v>6</v>
      </c>
      <c r="D20" s="139">
        <f t="shared" si="0"/>
        <v>8.5</v>
      </c>
      <c r="E20" s="20">
        <v>0</v>
      </c>
      <c r="F20" s="21">
        <v>0</v>
      </c>
      <c r="G20" s="139" t="str">
        <f t="shared" ref="G20" si="95">IF(F20=0,"-",E20/F20)</f>
        <v>-</v>
      </c>
      <c r="H20" s="20">
        <v>0</v>
      </c>
      <c r="I20" s="21">
        <v>0</v>
      </c>
      <c r="J20" s="139" t="str">
        <f t="shared" ref="J20" si="96">IF(I20=0,"-",H20/I20)</f>
        <v>-</v>
      </c>
      <c r="K20" s="20">
        <v>0</v>
      </c>
      <c r="L20" s="21">
        <v>0</v>
      </c>
      <c r="M20" s="139" t="str">
        <f t="shared" si="3"/>
        <v>-</v>
      </c>
      <c r="N20" s="20">
        <v>0</v>
      </c>
      <c r="O20" s="21">
        <v>0</v>
      </c>
      <c r="P20" s="139" t="str">
        <f t="shared" si="4"/>
        <v>-</v>
      </c>
      <c r="Q20" s="20">
        <v>63</v>
      </c>
      <c r="R20" s="21">
        <v>12</v>
      </c>
      <c r="S20" s="139">
        <f t="shared" si="5"/>
        <v>5.25</v>
      </c>
      <c r="T20" s="20">
        <v>14</v>
      </c>
      <c r="U20" s="21">
        <v>3</v>
      </c>
      <c r="V20" s="139">
        <f t="shared" si="6"/>
        <v>4.666666666666667</v>
      </c>
      <c r="W20" s="20">
        <v>0</v>
      </c>
      <c r="X20" s="21">
        <v>0</v>
      </c>
      <c r="Y20" s="139" t="str">
        <f t="shared" si="7"/>
        <v>-</v>
      </c>
      <c r="Z20" s="20">
        <v>73</v>
      </c>
      <c r="AA20" s="21">
        <v>15</v>
      </c>
      <c r="AB20" s="139">
        <f t="shared" si="8"/>
        <v>4.8666666666666663</v>
      </c>
      <c r="AC20" s="125">
        <v>0</v>
      </c>
      <c r="AD20" s="126">
        <v>0</v>
      </c>
      <c r="AE20" s="139" t="str">
        <f t="shared" ref="AE20" si="97">IF(AD20=0,"-",AC20/AD20)</f>
        <v>-</v>
      </c>
      <c r="AF20" s="125">
        <v>0</v>
      </c>
      <c r="AG20" s="126">
        <v>0</v>
      </c>
      <c r="AH20" s="139" t="str">
        <f t="shared" ref="AH20" si="98">IF(AG20=0,"-",AF20/AG20)</f>
        <v>-</v>
      </c>
      <c r="AI20" s="125">
        <v>0</v>
      </c>
      <c r="AJ20" s="126">
        <v>0</v>
      </c>
      <c r="AK20" s="139" t="str">
        <f t="shared" si="11"/>
        <v>-</v>
      </c>
      <c r="AL20" s="125">
        <v>0</v>
      </c>
      <c r="AM20" s="126">
        <v>0</v>
      </c>
      <c r="AN20" s="139" t="str">
        <f t="shared" si="91"/>
        <v>-</v>
      </c>
      <c r="AO20" s="20">
        <v>5</v>
      </c>
      <c r="AP20" s="21">
        <v>1</v>
      </c>
      <c r="AQ20" s="139">
        <f t="shared" si="13"/>
        <v>5</v>
      </c>
      <c r="AR20" s="20">
        <v>0</v>
      </c>
      <c r="AS20" s="21">
        <v>0</v>
      </c>
      <c r="AT20" s="139" t="str">
        <f t="shared" si="14"/>
        <v>-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0</v>
      </c>
      <c r="BB20" s="21">
        <v>0</v>
      </c>
      <c r="BC20" s="139" t="str">
        <f t="shared" si="17"/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52">
        <v>17</v>
      </c>
      <c r="BK20" s="253">
        <v>3</v>
      </c>
      <c r="BL20" s="276">
        <f t="shared" si="20"/>
        <v>5.666666666666667</v>
      </c>
      <c r="BM20" s="252">
        <v>0</v>
      </c>
      <c r="BN20" s="253">
        <v>0</v>
      </c>
      <c r="BO20" s="276" t="str">
        <f t="shared" si="21"/>
        <v>-</v>
      </c>
      <c r="BP20" s="302">
        <v>0</v>
      </c>
      <c r="BQ20" s="303">
        <v>0</v>
      </c>
      <c r="BR20" s="276" t="str">
        <f t="shared" si="22"/>
        <v>-</v>
      </c>
      <c r="BS20" s="257">
        <v>0</v>
      </c>
      <c r="BT20" s="253">
        <v>0</v>
      </c>
      <c r="BU20" s="276" t="str">
        <f t="shared" si="23"/>
        <v>-</v>
      </c>
      <c r="BV20" s="125">
        <v>0</v>
      </c>
      <c r="BW20" s="126">
        <v>0</v>
      </c>
      <c r="BX20" s="276" t="str">
        <f t="shared" si="92"/>
        <v>-</v>
      </c>
      <c r="BY20" s="125">
        <v>0</v>
      </c>
      <c r="BZ20" s="126">
        <v>0</v>
      </c>
      <c r="CA20" s="276" t="str">
        <f t="shared" si="93"/>
        <v>-</v>
      </c>
      <c r="CB20" s="125">
        <v>0</v>
      </c>
      <c r="CC20" s="126">
        <v>0</v>
      </c>
      <c r="CD20" s="276" t="str">
        <f t="shared" si="94"/>
        <v>-</v>
      </c>
      <c r="CE20" s="20">
        <v>0</v>
      </c>
      <c r="CF20" s="21">
        <v>0</v>
      </c>
      <c r="CG20" s="139" t="str">
        <f t="shared" si="65"/>
        <v>-</v>
      </c>
      <c r="CH20" s="20">
        <v>0</v>
      </c>
      <c r="CI20" s="21">
        <v>0</v>
      </c>
      <c r="CJ20" s="139" t="str">
        <f t="shared" si="66"/>
        <v>-</v>
      </c>
      <c r="CK20" s="20">
        <v>0</v>
      </c>
      <c r="CL20" s="21">
        <v>0</v>
      </c>
      <c r="CM20" s="139" t="str">
        <f t="shared" si="67"/>
        <v>-</v>
      </c>
      <c r="CN20" s="117">
        <f t="shared" si="35"/>
        <v>223</v>
      </c>
      <c r="CO20" s="120">
        <f t="shared" si="36"/>
        <v>40</v>
      </c>
      <c r="CP20" s="147">
        <f t="shared" si="30"/>
        <v>5.5750000000000002</v>
      </c>
    </row>
    <row r="21" spans="1:94" ht="15" thickBot="1" x14ac:dyDescent="0.35">
      <c r="A21" s="294">
        <v>45917</v>
      </c>
      <c r="B21" s="20">
        <v>53</v>
      </c>
      <c r="C21" s="21">
        <v>6</v>
      </c>
      <c r="D21" s="139">
        <f t="shared" si="0"/>
        <v>8.8333333333333339</v>
      </c>
      <c r="E21" s="20">
        <v>16</v>
      </c>
      <c r="F21" s="21">
        <v>2</v>
      </c>
      <c r="G21" s="139">
        <f t="shared" si="1"/>
        <v>8</v>
      </c>
      <c r="H21" s="20">
        <v>0</v>
      </c>
      <c r="I21" s="21">
        <v>0</v>
      </c>
      <c r="J21" s="139" t="str">
        <f t="shared" ref="J21" si="99">IF(I21=0,"-",H21/I21)</f>
        <v>-</v>
      </c>
      <c r="K21" s="20">
        <v>24</v>
      </c>
      <c r="L21" s="21">
        <v>3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125">
        <v>37</v>
      </c>
      <c r="R21" s="126">
        <v>7</v>
      </c>
      <c r="S21" s="139">
        <f t="shared" si="5"/>
        <v>5.2857142857142856</v>
      </c>
      <c r="T21" s="125">
        <v>0</v>
      </c>
      <c r="U21" s="126">
        <v>0</v>
      </c>
      <c r="V21" s="139" t="str">
        <f t="shared" si="6"/>
        <v>-</v>
      </c>
      <c r="W21" s="125">
        <v>0</v>
      </c>
      <c r="X21" s="126">
        <v>0</v>
      </c>
      <c r="Y21" s="139" t="str">
        <f t="shared" si="7"/>
        <v>-</v>
      </c>
      <c r="Z21" s="125">
        <v>87</v>
      </c>
      <c r="AA21" s="126">
        <v>19</v>
      </c>
      <c r="AB21" s="139">
        <f t="shared" si="8"/>
        <v>4.5789473684210522</v>
      </c>
      <c r="AC21" s="125">
        <v>0</v>
      </c>
      <c r="AD21" s="126">
        <v>0</v>
      </c>
      <c r="AE21" s="139" t="str">
        <f t="shared" ref="AE21" si="100">IF(AD21=0,"-",AC21/AD21)</f>
        <v>-</v>
      </c>
      <c r="AF21" s="125">
        <v>0</v>
      </c>
      <c r="AG21" s="126">
        <v>0</v>
      </c>
      <c r="AH21" s="139" t="str">
        <f t="shared" ref="AH21" si="101">IF(AG21=0,"-",AF21/AG21)</f>
        <v>-</v>
      </c>
      <c r="AI21" s="125">
        <v>0</v>
      </c>
      <c r="AJ21" s="126">
        <v>0</v>
      </c>
      <c r="AK21" s="139" t="str">
        <f t="shared" ref="AK21" si="102">IF(AJ21=0,"-",AI21/AJ21)</f>
        <v>-</v>
      </c>
      <c r="AL21" s="125">
        <v>0</v>
      </c>
      <c r="AM21" s="126">
        <v>0</v>
      </c>
      <c r="AN21" s="139" t="str">
        <f t="shared" ref="AN21" si="103">IF(AM21=0,"-",AL21/AM21)</f>
        <v>-</v>
      </c>
      <c r="AO21" s="20">
        <v>6</v>
      </c>
      <c r="AP21" s="21">
        <v>1</v>
      </c>
      <c r="AQ21" s="139">
        <f t="shared" si="13"/>
        <v>6</v>
      </c>
      <c r="AR21" s="20">
        <v>0</v>
      </c>
      <c r="AS21" s="21">
        <v>0</v>
      </c>
      <c r="AT21" s="139" t="str">
        <f t="shared" si="14"/>
        <v>-</v>
      </c>
      <c r="AU21" s="20">
        <v>0</v>
      </c>
      <c r="AV21" s="21">
        <v>0</v>
      </c>
      <c r="AW21" s="139" t="str">
        <f t="shared" si="15"/>
        <v>-</v>
      </c>
      <c r="AX21" s="20">
        <v>8</v>
      </c>
      <c r="AY21" s="21">
        <v>1</v>
      </c>
      <c r="AZ21" s="139">
        <f t="shared" si="16"/>
        <v>8</v>
      </c>
      <c r="BA21" s="20">
        <v>0</v>
      </c>
      <c r="BB21" s="21">
        <v>0</v>
      </c>
      <c r="BC21" s="139" t="str">
        <f t="shared" ref="BC21:BC22" si="104">IF(BB21=0,"-",BA21/BB21)</f>
        <v>-</v>
      </c>
      <c r="BD21" s="20">
        <v>0</v>
      </c>
      <c r="BE21" s="21">
        <v>0</v>
      </c>
      <c r="BF21" s="139" t="str">
        <f t="shared" ref="BF21:BF22" si="105">IF(BE21=0,"-",BD21/BE21)</f>
        <v>-</v>
      </c>
      <c r="BG21" s="20">
        <v>0</v>
      </c>
      <c r="BH21" s="21">
        <v>0</v>
      </c>
      <c r="BI21" s="139" t="str">
        <f t="shared" ref="BI21:BI22" si="106">IF(BH21=0,"-",BG21/BH21)</f>
        <v>-</v>
      </c>
      <c r="BJ21" s="252">
        <v>24</v>
      </c>
      <c r="BK21" s="253">
        <v>4</v>
      </c>
      <c r="BL21" s="139">
        <f t="shared" si="20"/>
        <v>6</v>
      </c>
      <c r="BM21" s="252">
        <v>0</v>
      </c>
      <c r="BN21" s="253">
        <v>0</v>
      </c>
      <c r="BO21" s="139" t="str">
        <f t="shared" si="21"/>
        <v>-</v>
      </c>
      <c r="BP21" s="302">
        <v>0</v>
      </c>
      <c r="BQ21" s="303">
        <v>0</v>
      </c>
      <c r="BR21" s="139" t="str">
        <f t="shared" si="22"/>
        <v>-</v>
      </c>
      <c r="BS21" s="257">
        <v>6</v>
      </c>
      <c r="BT21" s="253">
        <v>1</v>
      </c>
      <c r="BU21" s="139">
        <f t="shared" si="23"/>
        <v>6</v>
      </c>
      <c r="BV21" s="257">
        <v>6</v>
      </c>
      <c r="BW21" s="253">
        <v>2</v>
      </c>
      <c r="BX21" s="139">
        <f t="shared" si="24"/>
        <v>3</v>
      </c>
      <c r="BY21" s="257">
        <v>0</v>
      </c>
      <c r="BZ21" s="253">
        <v>0</v>
      </c>
      <c r="CA21" s="139" t="str">
        <f t="shared" si="25"/>
        <v>-</v>
      </c>
      <c r="CB21" s="257">
        <v>5</v>
      </c>
      <c r="CC21" s="253">
        <v>1</v>
      </c>
      <c r="CD21" s="139">
        <f t="shared" si="26"/>
        <v>5</v>
      </c>
      <c r="CE21" s="20">
        <v>0</v>
      </c>
      <c r="CF21" s="21">
        <v>0</v>
      </c>
      <c r="CG21" s="139" t="str">
        <f t="shared" si="65"/>
        <v>-</v>
      </c>
      <c r="CH21" s="20">
        <v>0</v>
      </c>
      <c r="CI21" s="21">
        <v>0</v>
      </c>
      <c r="CJ21" s="139" t="str">
        <f t="shared" si="66"/>
        <v>-</v>
      </c>
      <c r="CK21" s="20">
        <v>0</v>
      </c>
      <c r="CL21" s="21">
        <v>0</v>
      </c>
      <c r="CM21" s="139" t="str">
        <f t="shared" si="67"/>
        <v>-</v>
      </c>
      <c r="CN21" s="117">
        <f t="shared" si="35"/>
        <v>272</v>
      </c>
      <c r="CO21" s="120">
        <f t="shared" si="36"/>
        <v>47</v>
      </c>
      <c r="CP21" s="147">
        <f t="shared" si="30"/>
        <v>5.7872340425531918</v>
      </c>
    </row>
    <row r="22" spans="1:94" ht="15" thickBot="1" x14ac:dyDescent="0.35">
      <c r="A22" s="294">
        <v>45918</v>
      </c>
      <c r="B22" s="20">
        <v>77</v>
      </c>
      <c r="C22" s="21">
        <v>8</v>
      </c>
      <c r="D22" s="139">
        <f t="shared" si="0"/>
        <v>9.625</v>
      </c>
      <c r="E22" s="20">
        <v>8</v>
      </c>
      <c r="F22" s="21">
        <v>1</v>
      </c>
      <c r="G22" s="139">
        <f t="shared" si="1"/>
        <v>8</v>
      </c>
      <c r="H22" s="20">
        <v>0</v>
      </c>
      <c r="I22" s="21">
        <v>0</v>
      </c>
      <c r="J22" s="139" t="str">
        <f t="shared" si="2"/>
        <v>-</v>
      </c>
      <c r="K22" s="20">
        <v>25</v>
      </c>
      <c r="L22" s="21">
        <v>3</v>
      </c>
      <c r="M22" s="139">
        <f t="shared" si="3"/>
        <v>8.3333333333333339</v>
      </c>
      <c r="N22" s="20">
        <v>0</v>
      </c>
      <c r="O22" s="21">
        <v>0</v>
      </c>
      <c r="P22" s="139" t="str">
        <f t="shared" si="4"/>
        <v>-</v>
      </c>
      <c r="Q22" s="20">
        <v>53</v>
      </c>
      <c r="R22" s="21">
        <v>10</v>
      </c>
      <c r="S22" s="139">
        <f t="shared" si="5"/>
        <v>5.3</v>
      </c>
      <c r="T22" s="20">
        <v>0</v>
      </c>
      <c r="U22" s="21">
        <v>0</v>
      </c>
      <c r="V22" s="139" t="str">
        <f t="shared" si="6"/>
        <v>-</v>
      </c>
      <c r="W22" s="20">
        <v>0</v>
      </c>
      <c r="X22" s="21">
        <v>0</v>
      </c>
      <c r="Y22" s="139" t="str">
        <f t="shared" si="7"/>
        <v>-</v>
      </c>
      <c r="Z22" s="20">
        <v>20</v>
      </c>
      <c r="AA22" s="21">
        <v>5</v>
      </c>
      <c r="AB22" s="139">
        <f t="shared" si="8"/>
        <v>4</v>
      </c>
      <c r="AC22" s="20">
        <v>0</v>
      </c>
      <c r="AD22" s="21">
        <v>0</v>
      </c>
      <c r="AE22" s="139" t="str">
        <f t="shared" si="9"/>
        <v>-</v>
      </c>
      <c r="AF22" s="20">
        <v>48</v>
      </c>
      <c r="AG22" s="21">
        <v>8</v>
      </c>
      <c r="AH22" s="139">
        <f t="shared" si="10"/>
        <v>6</v>
      </c>
      <c r="AI22" s="125">
        <v>0</v>
      </c>
      <c r="AJ22" s="126">
        <v>0</v>
      </c>
      <c r="AK22" s="139" t="str">
        <f t="shared" ref="AK22" si="107">IF(AJ22=0,"-",AI22/AJ22)</f>
        <v>-</v>
      </c>
      <c r="AL22" s="125">
        <v>0</v>
      </c>
      <c r="AM22" s="126">
        <v>0</v>
      </c>
      <c r="AN22" s="139" t="str">
        <f t="shared" ref="AN22" si="108">IF(AM22=0,"-",AL22/AM22)</f>
        <v>-</v>
      </c>
      <c r="AO22" s="125">
        <v>0</v>
      </c>
      <c r="AP22" s="126">
        <v>0</v>
      </c>
      <c r="AQ22" s="139" t="str">
        <f t="shared" si="13"/>
        <v>-</v>
      </c>
      <c r="AR22" s="20">
        <v>13</v>
      </c>
      <c r="AS22" s="21">
        <v>2</v>
      </c>
      <c r="AT22" s="139">
        <f t="shared" si="14"/>
        <v>6.5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>
        <v>0</v>
      </c>
      <c r="BA22" s="20">
        <v>0</v>
      </c>
      <c r="BB22" s="21">
        <v>0</v>
      </c>
      <c r="BC22" s="139" t="str">
        <f t="shared" si="104"/>
        <v>-</v>
      </c>
      <c r="BD22" s="20">
        <v>0</v>
      </c>
      <c r="BE22" s="21">
        <v>0</v>
      </c>
      <c r="BF22" s="139" t="str">
        <f t="shared" si="105"/>
        <v>-</v>
      </c>
      <c r="BG22" s="20">
        <v>0</v>
      </c>
      <c r="BH22" s="21">
        <v>0</v>
      </c>
      <c r="BI22" s="139" t="str">
        <f t="shared" si="106"/>
        <v>-</v>
      </c>
      <c r="BJ22" s="252">
        <v>0</v>
      </c>
      <c r="BK22" s="253">
        <v>0</v>
      </c>
      <c r="BL22" s="139" t="str">
        <f t="shared" si="20"/>
        <v>-</v>
      </c>
      <c r="BM22" s="252">
        <v>0</v>
      </c>
      <c r="BN22" s="253">
        <v>0</v>
      </c>
      <c r="BO22" s="139" t="str">
        <f t="shared" si="21"/>
        <v>-</v>
      </c>
      <c r="BP22" s="302">
        <v>0</v>
      </c>
      <c r="BQ22" s="303">
        <v>0</v>
      </c>
      <c r="BR22" s="139" t="str">
        <f t="shared" si="22"/>
        <v>-</v>
      </c>
      <c r="BS22" s="257">
        <v>6</v>
      </c>
      <c r="BT22" s="253">
        <v>1</v>
      </c>
      <c r="BU22" s="276">
        <f t="shared" si="23"/>
        <v>6</v>
      </c>
      <c r="BV22" s="257">
        <v>1</v>
      </c>
      <c r="BW22" s="253">
        <v>1</v>
      </c>
      <c r="BX22" s="139">
        <f t="shared" si="24"/>
        <v>1</v>
      </c>
      <c r="BY22" s="257">
        <v>0</v>
      </c>
      <c r="BZ22" s="253">
        <v>0</v>
      </c>
      <c r="CA22" s="139" t="str">
        <f t="shared" si="25"/>
        <v>-</v>
      </c>
      <c r="CB22" s="257">
        <v>0</v>
      </c>
      <c r="CC22" s="253">
        <v>0</v>
      </c>
      <c r="CD22" s="139" t="str">
        <f t="shared" si="26"/>
        <v>-</v>
      </c>
      <c r="CE22" s="20">
        <v>0</v>
      </c>
      <c r="CF22" s="21">
        <v>0</v>
      </c>
      <c r="CG22" s="139" t="str">
        <f t="shared" si="65"/>
        <v>-</v>
      </c>
      <c r="CH22" s="20">
        <v>0</v>
      </c>
      <c r="CI22" s="21">
        <v>0</v>
      </c>
      <c r="CJ22" s="139" t="str">
        <f t="shared" si="66"/>
        <v>-</v>
      </c>
      <c r="CK22" s="20">
        <v>0</v>
      </c>
      <c r="CL22" s="21">
        <v>0</v>
      </c>
      <c r="CM22" s="139" t="str">
        <f t="shared" si="67"/>
        <v>-</v>
      </c>
      <c r="CN22" s="117">
        <f t="shared" si="35"/>
        <v>251</v>
      </c>
      <c r="CO22" s="120">
        <f t="shared" si="36"/>
        <v>39</v>
      </c>
      <c r="CP22" s="147">
        <f t="shared" si="30"/>
        <v>6.4358974358974361</v>
      </c>
    </row>
    <row r="23" spans="1:94" ht="15" thickBot="1" x14ac:dyDescent="0.35">
      <c r="A23" s="294">
        <v>45919</v>
      </c>
      <c r="B23" s="20">
        <v>131</v>
      </c>
      <c r="C23" s="21">
        <v>14</v>
      </c>
      <c r="D23" s="139">
        <f t="shared" si="0"/>
        <v>9.3571428571428577</v>
      </c>
      <c r="E23" s="20">
        <v>0</v>
      </c>
      <c r="F23" s="21">
        <v>0</v>
      </c>
      <c r="G23" s="139" t="str">
        <f t="shared" si="1"/>
        <v>-</v>
      </c>
      <c r="H23" s="20">
        <v>0</v>
      </c>
      <c r="I23" s="21">
        <v>0</v>
      </c>
      <c r="J23" s="139" t="str">
        <f t="shared" si="2"/>
        <v>-</v>
      </c>
      <c r="K23" s="20">
        <v>17</v>
      </c>
      <c r="L23" s="21">
        <v>2</v>
      </c>
      <c r="M23" s="139">
        <f t="shared" si="3"/>
        <v>8.5</v>
      </c>
      <c r="N23" s="20">
        <v>0</v>
      </c>
      <c r="O23" s="21">
        <v>0</v>
      </c>
      <c r="P23" s="139" t="str">
        <f t="shared" si="4"/>
        <v>-</v>
      </c>
      <c r="Q23" s="20">
        <v>129</v>
      </c>
      <c r="R23" s="21">
        <v>22</v>
      </c>
      <c r="S23" s="139">
        <f t="shared" si="5"/>
        <v>5.8636363636363633</v>
      </c>
      <c r="T23" s="20">
        <v>0</v>
      </c>
      <c r="U23" s="21">
        <v>0</v>
      </c>
      <c r="V23" s="139" t="str">
        <f t="shared" ref="V23" si="109">IF(U23=0,"-",T23/U23)</f>
        <v>-</v>
      </c>
      <c r="W23" s="20">
        <v>0</v>
      </c>
      <c r="X23" s="21">
        <v>0</v>
      </c>
      <c r="Y23" s="139" t="str">
        <f t="shared" si="7"/>
        <v>-</v>
      </c>
      <c r="Z23" s="20">
        <v>19</v>
      </c>
      <c r="AA23" s="21">
        <v>4</v>
      </c>
      <c r="AB23" s="139">
        <f t="shared" si="8"/>
        <v>4.75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18</v>
      </c>
      <c r="AJ23" s="21">
        <v>3</v>
      </c>
      <c r="AK23" s="139">
        <f t="shared" si="11"/>
        <v>6</v>
      </c>
      <c r="AL23" s="20">
        <v>0</v>
      </c>
      <c r="AM23" s="21">
        <v>0</v>
      </c>
      <c r="AN23" s="139" t="str">
        <f t="shared" si="12"/>
        <v>-</v>
      </c>
      <c r="AO23" s="20">
        <v>6</v>
      </c>
      <c r="AP23" s="21">
        <v>1</v>
      </c>
      <c r="AQ23" s="139">
        <f t="shared" si="13"/>
        <v>6</v>
      </c>
      <c r="AR23" s="20">
        <v>2</v>
      </c>
      <c r="AS23" s="21">
        <v>1</v>
      </c>
      <c r="AT23" s="139">
        <f t="shared" si="14"/>
        <v>2</v>
      </c>
      <c r="AU23" s="20">
        <v>0</v>
      </c>
      <c r="AV23" s="21">
        <v>0</v>
      </c>
      <c r="AW23" s="139" t="str">
        <f t="shared" si="15"/>
        <v>-</v>
      </c>
      <c r="AX23" s="20">
        <v>4</v>
      </c>
      <c r="AY23" s="21">
        <v>2</v>
      </c>
      <c r="AZ23" s="139">
        <f t="shared" si="16"/>
        <v>2</v>
      </c>
      <c r="BA23" s="20">
        <v>0</v>
      </c>
      <c r="BB23" s="21">
        <v>0</v>
      </c>
      <c r="BC23" s="139" t="str">
        <f t="shared" ref="BC23" si="110">IF(BB23=0,"-",BA23/BB23)</f>
        <v>-</v>
      </c>
      <c r="BD23" s="20">
        <v>0</v>
      </c>
      <c r="BE23" s="21">
        <v>0</v>
      </c>
      <c r="BF23" s="139" t="str">
        <f t="shared" ref="BF23" si="111">IF(BE23=0,"-",BD23/BE23)</f>
        <v>-</v>
      </c>
      <c r="BG23" s="20">
        <v>0</v>
      </c>
      <c r="BH23" s="21">
        <v>0</v>
      </c>
      <c r="BI23" s="139" t="str">
        <f t="shared" ref="BI23" si="112">IF(BH23=0,"-",BG23/BH23)</f>
        <v>-</v>
      </c>
      <c r="BJ23" s="252">
        <v>19</v>
      </c>
      <c r="BK23" s="253">
        <v>3</v>
      </c>
      <c r="BL23" s="276">
        <f t="shared" si="20"/>
        <v>6.333333333333333</v>
      </c>
      <c r="BM23" s="252">
        <v>0</v>
      </c>
      <c r="BN23" s="253">
        <v>0</v>
      </c>
      <c r="BO23" s="276" t="str">
        <f t="shared" si="21"/>
        <v>-</v>
      </c>
      <c r="BP23" s="302">
        <v>12</v>
      </c>
      <c r="BQ23" s="303">
        <v>2</v>
      </c>
      <c r="BR23" s="276">
        <f t="shared" si="22"/>
        <v>6</v>
      </c>
      <c r="BS23" s="257">
        <v>0</v>
      </c>
      <c r="BT23" s="253">
        <v>0</v>
      </c>
      <c r="BU23" s="276" t="str">
        <f t="shared" si="23"/>
        <v>-</v>
      </c>
      <c r="BV23" s="257">
        <v>0</v>
      </c>
      <c r="BW23" s="253">
        <v>0</v>
      </c>
      <c r="BX23" s="276" t="str">
        <f t="shared" si="24"/>
        <v>-</v>
      </c>
      <c r="BY23" s="257">
        <v>0</v>
      </c>
      <c r="BZ23" s="253">
        <v>0</v>
      </c>
      <c r="CA23" s="276" t="str">
        <f t="shared" si="25"/>
        <v>-</v>
      </c>
      <c r="CB23" s="257">
        <v>0</v>
      </c>
      <c r="CC23" s="253">
        <v>0</v>
      </c>
      <c r="CD23" s="276" t="str">
        <f t="shared" si="26"/>
        <v>-</v>
      </c>
      <c r="CE23" s="20">
        <v>41</v>
      </c>
      <c r="CF23" s="21">
        <v>8</v>
      </c>
      <c r="CG23" s="139">
        <f t="shared" si="27"/>
        <v>5.125</v>
      </c>
      <c r="CH23" s="20">
        <v>0</v>
      </c>
      <c r="CI23" s="21">
        <v>0</v>
      </c>
      <c r="CJ23" s="139" t="str">
        <f t="shared" si="28"/>
        <v>-</v>
      </c>
      <c r="CK23" s="20">
        <v>0</v>
      </c>
      <c r="CL23" s="21">
        <v>0</v>
      </c>
      <c r="CM23" s="139" t="str">
        <f t="shared" si="29"/>
        <v>-</v>
      </c>
      <c r="CN23" s="117">
        <f t="shared" si="35"/>
        <v>398</v>
      </c>
      <c r="CO23" s="120">
        <f t="shared" si="36"/>
        <v>62</v>
      </c>
      <c r="CP23" s="147">
        <f t="shared" si="30"/>
        <v>6.419354838709677</v>
      </c>
    </row>
    <row r="24" spans="1:94" ht="15" thickBot="1" x14ac:dyDescent="0.35">
      <c r="A24" s="294">
        <v>45920</v>
      </c>
      <c r="B24" s="20">
        <v>86</v>
      </c>
      <c r="C24" s="21">
        <v>9</v>
      </c>
      <c r="D24" s="139">
        <f t="shared" si="0"/>
        <v>9.5555555555555554</v>
      </c>
      <c r="E24" s="20">
        <v>0</v>
      </c>
      <c r="F24" s="21">
        <v>0</v>
      </c>
      <c r="G24" s="139" t="str">
        <f t="shared" si="1"/>
        <v>-</v>
      </c>
      <c r="H24" s="20">
        <v>0</v>
      </c>
      <c r="I24" s="21">
        <v>0</v>
      </c>
      <c r="J24" s="139" t="str">
        <f t="shared" si="2"/>
        <v>-</v>
      </c>
      <c r="K24" s="20">
        <v>0</v>
      </c>
      <c r="L24" s="21">
        <v>0</v>
      </c>
      <c r="M24" s="139" t="str">
        <f t="shared" si="3"/>
        <v>-</v>
      </c>
      <c r="N24" s="20">
        <v>0</v>
      </c>
      <c r="O24" s="21">
        <v>0</v>
      </c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72</v>
      </c>
      <c r="U24" s="21">
        <v>12</v>
      </c>
      <c r="V24" s="139">
        <f t="shared" si="6"/>
        <v>6</v>
      </c>
      <c r="W24" s="20">
        <v>0</v>
      </c>
      <c r="X24" s="21">
        <v>0</v>
      </c>
      <c r="Y24" s="139" t="str">
        <f t="shared" si="7"/>
        <v>-</v>
      </c>
      <c r="Z24" s="20">
        <v>0</v>
      </c>
      <c r="AA24" s="21">
        <v>0</v>
      </c>
      <c r="AB24" s="139" t="str">
        <f t="shared" si="8"/>
        <v>-</v>
      </c>
      <c r="AC24" s="20">
        <v>60</v>
      </c>
      <c r="AD24" s="21">
        <v>12</v>
      </c>
      <c r="AE24" s="139">
        <f t="shared" si="9"/>
        <v>5</v>
      </c>
      <c r="AF24" s="20">
        <v>0</v>
      </c>
      <c r="AG24" s="21">
        <v>0</v>
      </c>
      <c r="AH24" s="139" t="str">
        <f t="shared" si="10"/>
        <v>-</v>
      </c>
      <c r="AI24" s="20">
        <v>0</v>
      </c>
      <c r="AJ24" s="21">
        <v>0</v>
      </c>
      <c r="AK24" s="139" t="str">
        <f t="shared" si="11"/>
        <v>-</v>
      </c>
      <c r="AL24" s="20">
        <v>12</v>
      </c>
      <c r="AM24" s="21">
        <v>2</v>
      </c>
      <c r="AN24" s="139">
        <f t="shared" si="12"/>
        <v>6</v>
      </c>
      <c r="AO24" s="20">
        <v>0</v>
      </c>
      <c r="AP24" s="21">
        <v>0</v>
      </c>
      <c r="AQ24" s="139" t="str">
        <f t="shared" si="13"/>
        <v>-</v>
      </c>
      <c r="AR24" s="20">
        <v>0</v>
      </c>
      <c r="AS24" s="21">
        <v>0</v>
      </c>
      <c r="AT24" s="139" t="str">
        <f t="shared" si="14"/>
        <v>-</v>
      </c>
      <c r="AU24" s="20">
        <v>0</v>
      </c>
      <c r="AV24" s="21">
        <v>0</v>
      </c>
      <c r="AW24" s="139" t="str">
        <f t="shared" si="15"/>
        <v>-</v>
      </c>
      <c r="AX24" s="20">
        <v>0</v>
      </c>
      <c r="AY24" s="21">
        <v>0</v>
      </c>
      <c r="AZ24" s="139" t="str">
        <f t="shared" si="16"/>
        <v>-</v>
      </c>
      <c r="BA24" s="20">
        <v>0</v>
      </c>
      <c r="BB24" s="21">
        <v>0</v>
      </c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52">
        <v>14</v>
      </c>
      <c r="BK24" s="253">
        <v>2</v>
      </c>
      <c r="BL24" s="276">
        <f t="shared" si="20"/>
        <v>7</v>
      </c>
      <c r="BM24" s="252">
        <v>0</v>
      </c>
      <c r="BN24" s="253">
        <v>0</v>
      </c>
      <c r="BO24" s="276" t="str">
        <f t="shared" si="21"/>
        <v>-</v>
      </c>
      <c r="BP24" s="302">
        <v>35</v>
      </c>
      <c r="BQ24" s="303">
        <v>5</v>
      </c>
      <c r="BR24" s="276">
        <f t="shared" si="22"/>
        <v>7</v>
      </c>
      <c r="BS24" s="256">
        <v>0</v>
      </c>
      <c r="BT24" s="253">
        <v>0</v>
      </c>
      <c r="BU24" s="276" t="str">
        <f t="shared" si="23"/>
        <v>-</v>
      </c>
      <c r="BV24" s="257">
        <v>0</v>
      </c>
      <c r="BW24" s="253">
        <v>0</v>
      </c>
      <c r="BX24" s="276" t="str">
        <f t="shared" ref="BX24:BX25" si="113">IF(BW24=0,"-",BV24/BW24)</f>
        <v>-</v>
      </c>
      <c r="BY24" s="257">
        <v>0</v>
      </c>
      <c r="BZ24" s="253">
        <v>0</v>
      </c>
      <c r="CA24" s="276" t="str">
        <f t="shared" ref="CA24:CA25" si="114">IF(BZ24=0,"-",BY24/BZ24)</f>
        <v>-</v>
      </c>
      <c r="CB24" s="257">
        <v>0</v>
      </c>
      <c r="CC24" s="253">
        <v>0</v>
      </c>
      <c r="CD24" s="276" t="str">
        <f t="shared" ref="CD24:CD25" si="115">IF(CC24=0,"-",CB24/CC24)</f>
        <v>-</v>
      </c>
      <c r="CE24" s="257">
        <v>0</v>
      </c>
      <c r="CF24" s="253">
        <v>0</v>
      </c>
      <c r="CG24" s="139" t="str">
        <f t="shared" si="27"/>
        <v>-</v>
      </c>
      <c r="CH24" s="257">
        <v>0</v>
      </c>
      <c r="CI24" s="253">
        <v>0</v>
      </c>
      <c r="CJ24" s="139" t="str">
        <f t="shared" si="28"/>
        <v>-</v>
      </c>
      <c r="CK24" s="257">
        <v>0</v>
      </c>
      <c r="CL24" s="253">
        <v>0</v>
      </c>
      <c r="CM24" s="139" t="str">
        <f t="shared" si="29"/>
        <v>-</v>
      </c>
      <c r="CN24" s="117">
        <f t="shared" si="35"/>
        <v>279</v>
      </c>
      <c r="CO24" s="120">
        <f t="shared" si="36"/>
        <v>42</v>
      </c>
      <c r="CP24" s="147">
        <f t="shared" si="30"/>
        <v>6.6428571428571432</v>
      </c>
    </row>
    <row r="25" spans="1:94" ht="15" thickBot="1" x14ac:dyDescent="0.35">
      <c r="A25" s="294">
        <v>45921</v>
      </c>
      <c r="B25" s="20">
        <v>36</v>
      </c>
      <c r="C25" s="21">
        <v>4</v>
      </c>
      <c r="D25" s="139">
        <f t="shared" si="0"/>
        <v>9</v>
      </c>
      <c r="E25" s="20">
        <v>0</v>
      </c>
      <c r="F25" s="21">
        <v>0</v>
      </c>
      <c r="G25" s="139" t="str">
        <f t="shared" ref="G25" si="116">IF(F25=0,"-",E25/F25)</f>
        <v>-</v>
      </c>
      <c r="H25" s="20">
        <v>0</v>
      </c>
      <c r="I25" s="21">
        <v>0</v>
      </c>
      <c r="J25" s="139" t="str">
        <f t="shared" ref="J25:J34" si="117">IF(I25=0,"-",H25/I25)</f>
        <v>-</v>
      </c>
      <c r="K25" s="20">
        <v>18</v>
      </c>
      <c r="L25" s="21">
        <v>2</v>
      </c>
      <c r="M25" s="139">
        <f t="shared" si="3"/>
        <v>9</v>
      </c>
      <c r="N25" s="125">
        <v>0</v>
      </c>
      <c r="O25" s="126">
        <v>0</v>
      </c>
      <c r="P25" s="139" t="str">
        <f t="shared" si="4"/>
        <v>-</v>
      </c>
      <c r="Q25" s="20">
        <v>39</v>
      </c>
      <c r="R25" s="21">
        <v>6</v>
      </c>
      <c r="S25" s="139">
        <f t="shared" si="5"/>
        <v>6.5</v>
      </c>
      <c r="T25" s="20">
        <v>342</v>
      </c>
      <c r="U25" s="21">
        <v>55</v>
      </c>
      <c r="V25" s="139">
        <f t="shared" si="6"/>
        <v>6.2181818181818178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9"/>
        <v>-</v>
      </c>
      <c r="AF25" s="20">
        <v>0</v>
      </c>
      <c r="AG25" s="21">
        <v>0</v>
      </c>
      <c r="AH25" s="139" t="str">
        <f t="shared" si="10"/>
        <v>-</v>
      </c>
      <c r="AI25" s="20">
        <v>0</v>
      </c>
      <c r="AJ25" s="21">
        <v>0</v>
      </c>
      <c r="AK25" s="139" t="str">
        <f t="shared" si="11"/>
        <v>-</v>
      </c>
      <c r="AL25" s="20">
        <v>0</v>
      </c>
      <c r="AM25" s="21">
        <v>0</v>
      </c>
      <c r="AN25" s="139" t="str">
        <f t="shared" si="12"/>
        <v>-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ref="AT25" si="118">IF(AS25=0,"-",AR25/AS25)</f>
        <v>-</v>
      </c>
      <c r="AU25" s="20">
        <v>0</v>
      </c>
      <c r="AV25" s="21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>
        <v>0</v>
      </c>
      <c r="BB25" s="21">
        <v>0</v>
      </c>
      <c r="BC25" s="139" t="str">
        <f t="shared" si="17"/>
        <v>-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52">
        <v>0</v>
      </c>
      <c r="BK25" s="253">
        <v>0</v>
      </c>
      <c r="BL25" s="276" t="str">
        <f t="shared" si="20"/>
        <v>-</v>
      </c>
      <c r="BM25" s="252">
        <v>7</v>
      </c>
      <c r="BN25" s="253">
        <v>1</v>
      </c>
      <c r="BO25" s="276">
        <f t="shared" si="21"/>
        <v>7</v>
      </c>
      <c r="BP25" s="302">
        <v>7</v>
      </c>
      <c r="BQ25" s="303">
        <v>1</v>
      </c>
      <c r="BR25" s="276">
        <f t="shared" si="22"/>
        <v>7</v>
      </c>
      <c r="BS25" s="257">
        <v>0</v>
      </c>
      <c r="BT25" s="253">
        <v>0</v>
      </c>
      <c r="BU25" s="276" t="str">
        <f t="shared" si="23"/>
        <v>-</v>
      </c>
      <c r="BV25" s="257">
        <v>0</v>
      </c>
      <c r="BW25" s="253">
        <v>0</v>
      </c>
      <c r="BX25" s="276" t="str">
        <f t="shared" si="113"/>
        <v>-</v>
      </c>
      <c r="BY25" s="257">
        <v>0</v>
      </c>
      <c r="BZ25" s="253">
        <v>0</v>
      </c>
      <c r="CA25" s="276" t="str">
        <f t="shared" si="114"/>
        <v>-</v>
      </c>
      <c r="CB25" s="257">
        <v>0</v>
      </c>
      <c r="CC25" s="253">
        <v>0</v>
      </c>
      <c r="CD25" s="276" t="str">
        <f t="shared" si="115"/>
        <v>-</v>
      </c>
      <c r="CE25" s="257">
        <v>48</v>
      </c>
      <c r="CF25" s="253">
        <v>7</v>
      </c>
      <c r="CG25" s="139">
        <f t="shared" si="27"/>
        <v>6.8571428571428568</v>
      </c>
      <c r="CH25" s="257">
        <v>0</v>
      </c>
      <c r="CI25" s="253">
        <v>0</v>
      </c>
      <c r="CJ25" s="139" t="str">
        <f t="shared" si="28"/>
        <v>-</v>
      </c>
      <c r="CK25" s="257">
        <v>0</v>
      </c>
      <c r="CL25" s="253">
        <v>0</v>
      </c>
      <c r="CM25" s="139" t="str">
        <f t="shared" si="29"/>
        <v>-</v>
      </c>
      <c r="CN25" s="117">
        <f t="shared" si="35"/>
        <v>497</v>
      </c>
      <c r="CO25" s="120">
        <f t="shared" si="36"/>
        <v>76</v>
      </c>
      <c r="CP25" s="147">
        <f t="shared" si="30"/>
        <v>6.5394736842105265</v>
      </c>
    </row>
    <row r="26" spans="1:94" ht="15" thickBot="1" x14ac:dyDescent="0.35">
      <c r="A26" s="294">
        <v>45922</v>
      </c>
      <c r="B26" s="20">
        <v>90</v>
      </c>
      <c r="C26" s="21">
        <v>10</v>
      </c>
      <c r="D26" s="139">
        <f t="shared" si="0"/>
        <v>9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117"/>
        <v>-</v>
      </c>
      <c r="K26" s="20">
        <v>0</v>
      </c>
      <c r="L26" s="21">
        <v>0</v>
      </c>
      <c r="M26" s="139" t="str">
        <f t="shared" si="3"/>
        <v>-</v>
      </c>
      <c r="N26" s="125">
        <v>0</v>
      </c>
      <c r="O26" s="126">
        <v>0</v>
      </c>
      <c r="P26" s="139" t="str">
        <f t="shared" si="4"/>
        <v>-</v>
      </c>
      <c r="Q26" s="125">
        <v>79</v>
      </c>
      <c r="R26" s="126">
        <v>13</v>
      </c>
      <c r="S26" s="139">
        <f t="shared" si="5"/>
        <v>6.0769230769230766</v>
      </c>
      <c r="T26" s="20">
        <v>247</v>
      </c>
      <c r="U26" s="21">
        <v>44</v>
      </c>
      <c r="V26" s="139">
        <f t="shared" si="6"/>
        <v>5.6136363636363633</v>
      </c>
      <c r="W26" s="20">
        <v>0</v>
      </c>
      <c r="X26" s="21">
        <v>0</v>
      </c>
      <c r="Y26" s="139" t="str">
        <f t="shared" si="7"/>
        <v>-</v>
      </c>
      <c r="Z26" s="20">
        <v>35</v>
      </c>
      <c r="AA26" s="21">
        <v>7</v>
      </c>
      <c r="AB26" s="139">
        <f>IF(AA26=0,"-",Z26/AA26)</f>
        <v>5</v>
      </c>
      <c r="AC26" s="20">
        <v>0</v>
      </c>
      <c r="AD26" s="21">
        <v>0</v>
      </c>
      <c r="AE26" s="139" t="str">
        <f t="shared" si="9"/>
        <v>-</v>
      </c>
      <c r="AF26" s="20">
        <v>0</v>
      </c>
      <c r="AG26" s="21">
        <v>0</v>
      </c>
      <c r="AH26" s="139" t="str">
        <f t="shared" si="10"/>
        <v>-</v>
      </c>
      <c r="AI26" s="20">
        <v>5</v>
      </c>
      <c r="AJ26" s="21">
        <v>1</v>
      </c>
      <c r="AK26" s="139">
        <f t="shared" si="11"/>
        <v>5</v>
      </c>
      <c r="AL26" s="20">
        <v>0</v>
      </c>
      <c r="AM26" s="21">
        <v>0</v>
      </c>
      <c r="AN26" s="139" t="str">
        <f t="shared" si="12"/>
        <v>-</v>
      </c>
      <c r="AO26" s="20">
        <v>0</v>
      </c>
      <c r="AP26" s="21">
        <v>0</v>
      </c>
      <c r="AQ26" s="139" t="str">
        <f t="shared" si="13"/>
        <v>-</v>
      </c>
      <c r="AR26" s="20">
        <v>2</v>
      </c>
      <c r="AS26" s="21">
        <v>1</v>
      </c>
      <c r="AT26" s="139">
        <f t="shared" si="14"/>
        <v>2</v>
      </c>
      <c r="AU26" s="20">
        <v>0</v>
      </c>
      <c r="AV26" s="21">
        <v>0</v>
      </c>
      <c r="AW26" s="139" t="str">
        <f t="shared" si="15"/>
        <v>-</v>
      </c>
      <c r="AX26" s="20">
        <v>1</v>
      </c>
      <c r="AY26" s="21">
        <v>1</v>
      </c>
      <c r="AZ26" s="139">
        <f t="shared" si="16"/>
        <v>1</v>
      </c>
      <c r="BA26" s="20">
        <v>0</v>
      </c>
      <c r="BB26" s="21">
        <v>0</v>
      </c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125">
        <v>0</v>
      </c>
      <c r="BH26" s="126">
        <v>0</v>
      </c>
      <c r="BI26" s="139" t="str">
        <f t="shared" si="19"/>
        <v>-</v>
      </c>
      <c r="BJ26" s="252">
        <v>25</v>
      </c>
      <c r="BK26" s="253">
        <v>4</v>
      </c>
      <c r="BL26" s="276">
        <f t="shared" si="20"/>
        <v>6.25</v>
      </c>
      <c r="BM26" s="252">
        <v>8</v>
      </c>
      <c r="BN26" s="253">
        <v>1</v>
      </c>
      <c r="BO26" s="276">
        <f t="shared" si="21"/>
        <v>8</v>
      </c>
      <c r="BP26" s="302">
        <v>0</v>
      </c>
      <c r="BQ26" s="303">
        <v>0</v>
      </c>
      <c r="BR26" s="276" t="str">
        <f t="shared" si="22"/>
        <v>-</v>
      </c>
      <c r="BS26" s="257">
        <v>0</v>
      </c>
      <c r="BT26" s="253">
        <v>0</v>
      </c>
      <c r="BU26" s="276" t="str">
        <f t="shared" si="23"/>
        <v>-</v>
      </c>
      <c r="BV26" s="257">
        <v>6</v>
      </c>
      <c r="BW26" s="253">
        <v>1</v>
      </c>
      <c r="BX26" s="276">
        <f t="shared" si="24"/>
        <v>6</v>
      </c>
      <c r="BY26" s="257">
        <v>0</v>
      </c>
      <c r="BZ26" s="253">
        <v>0</v>
      </c>
      <c r="CA26" s="276" t="str">
        <f t="shared" si="25"/>
        <v>-</v>
      </c>
      <c r="CB26" s="257">
        <v>0</v>
      </c>
      <c r="CC26" s="253">
        <v>0</v>
      </c>
      <c r="CD26" s="276" t="str">
        <f t="shared" si="26"/>
        <v>-</v>
      </c>
      <c r="CE26" s="257">
        <v>7</v>
      </c>
      <c r="CF26" s="253">
        <v>1</v>
      </c>
      <c r="CG26" s="139">
        <f t="shared" si="27"/>
        <v>7</v>
      </c>
      <c r="CH26" s="257">
        <v>0</v>
      </c>
      <c r="CI26" s="253">
        <v>0</v>
      </c>
      <c r="CJ26" s="139" t="str">
        <f t="shared" si="28"/>
        <v>-</v>
      </c>
      <c r="CK26" s="257">
        <v>0</v>
      </c>
      <c r="CL26" s="253">
        <v>0</v>
      </c>
      <c r="CM26" s="139" t="str">
        <f t="shared" si="29"/>
        <v>-</v>
      </c>
      <c r="CN26" s="117">
        <f t="shared" si="35"/>
        <v>505</v>
      </c>
      <c r="CO26" s="120">
        <f t="shared" si="36"/>
        <v>84</v>
      </c>
      <c r="CP26" s="147">
        <f t="shared" si="30"/>
        <v>6.0119047619047619</v>
      </c>
    </row>
    <row r="27" spans="1:94" ht="15" thickBot="1" x14ac:dyDescent="0.35">
      <c r="A27" s="294">
        <v>45923</v>
      </c>
      <c r="B27" s="20">
        <v>83</v>
      </c>
      <c r="C27" s="21">
        <v>9</v>
      </c>
      <c r="D27" s="139">
        <f t="shared" si="0"/>
        <v>9.2222222222222214</v>
      </c>
      <c r="E27" s="20">
        <v>0</v>
      </c>
      <c r="F27" s="21">
        <v>0</v>
      </c>
      <c r="G27" s="139" t="str">
        <f t="shared" ref="G27" si="119">IF(F27=0,"-",E27/F27)</f>
        <v>-</v>
      </c>
      <c r="H27" s="20">
        <v>0</v>
      </c>
      <c r="I27" s="21">
        <v>0</v>
      </c>
      <c r="J27" s="139" t="str">
        <f t="shared" ref="J27" si="120">IF(I27=0,"-",H27/I27)</f>
        <v>-</v>
      </c>
      <c r="K27" s="20">
        <v>19</v>
      </c>
      <c r="L27" s="21">
        <v>2</v>
      </c>
      <c r="M27" s="139">
        <f t="shared" ref="M27" si="121">IF(L27=0,"-",K27/L27)</f>
        <v>9.5</v>
      </c>
      <c r="N27" s="125">
        <v>0</v>
      </c>
      <c r="O27" s="126">
        <v>0</v>
      </c>
      <c r="P27" s="139" t="str">
        <f t="shared" si="4"/>
        <v>-</v>
      </c>
      <c r="Q27" s="125">
        <v>62</v>
      </c>
      <c r="R27" s="126">
        <v>13</v>
      </c>
      <c r="S27" s="139">
        <f t="shared" si="5"/>
        <v>4.7692307692307692</v>
      </c>
      <c r="T27" s="20">
        <v>0</v>
      </c>
      <c r="U27" s="21">
        <v>0</v>
      </c>
      <c r="V27" s="139" t="str">
        <f t="shared" si="6"/>
        <v>-</v>
      </c>
      <c r="W27" s="20">
        <v>0</v>
      </c>
      <c r="X27" s="21">
        <v>0</v>
      </c>
      <c r="Y27" s="139" t="str">
        <f t="shared" si="7"/>
        <v>-</v>
      </c>
      <c r="Z27" s="20">
        <v>40</v>
      </c>
      <c r="AA27" s="21">
        <v>8</v>
      </c>
      <c r="AB27" s="139">
        <f>IF(AA27=0,"-",Z27/AA27)</f>
        <v>5</v>
      </c>
      <c r="AC27" s="20">
        <v>12</v>
      </c>
      <c r="AD27" s="21">
        <v>3</v>
      </c>
      <c r="AE27" s="139">
        <f t="shared" si="9"/>
        <v>4</v>
      </c>
      <c r="AF27" s="20">
        <v>0</v>
      </c>
      <c r="AG27" s="21">
        <v>0</v>
      </c>
      <c r="AH27" s="139" t="str">
        <f t="shared" si="10"/>
        <v>-</v>
      </c>
      <c r="AI27" s="125">
        <v>15</v>
      </c>
      <c r="AJ27" s="126">
        <v>3</v>
      </c>
      <c r="AK27" s="139">
        <f t="shared" si="11"/>
        <v>5</v>
      </c>
      <c r="AL27" s="125">
        <v>0</v>
      </c>
      <c r="AM27" s="126">
        <v>0</v>
      </c>
      <c r="AN27" s="139" t="str">
        <f t="shared" si="12"/>
        <v>-</v>
      </c>
      <c r="AO27" s="125">
        <v>42</v>
      </c>
      <c r="AP27" s="126">
        <v>7</v>
      </c>
      <c r="AQ27" s="139">
        <f t="shared" si="13"/>
        <v>6</v>
      </c>
      <c r="AR27" s="125">
        <v>0</v>
      </c>
      <c r="AS27" s="126">
        <v>0</v>
      </c>
      <c r="AT27" s="139" t="str">
        <f t="shared" si="14"/>
        <v>-</v>
      </c>
      <c r="AU27" s="125">
        <v>0</v>
      </c>
      <c r="AV27" s="126">
        <v>0</v>
      </c>
      <c r="AW27" s="139" t="str">
        <f t="shared" si="15"/>
        <v>-</v>
      </c>
      <c r="AX27" s="125">
        <v>0</v>
      </c>
      <c r="AY27" s="126">
        <v>0</v>
      </c>
      <c r="AZ27" s="139" t="str">
        <f t="shared" si="16"/>
        <v>-</v>
      </c>
      <c r="BA27" s="125">
        <v>0</v>
      </c>
      <c r="BB27" s="126">
        <v>0</v>
      </c>
      <c r="BC27" s="139" t="str">
        <f t="shared" si="17"/>
        <v>-</v>
      </c>
      <c r="BD27" s="125">
        <v>0</v>
      </c>
      <c r="BE27" s="126">
        <v>0</v>
      </c>
      <c r="BF27" s="139" t="str">
        <f t="shared" si="18"/>
        <v>-</v>
      </c>
      <c r="BG27" s="125">
        <v>0</v>
      </c>
      <c r="BH27" s="126">
        <v>0</v>
      </c>
      <c r="BI27" s="139" t="str">
        <f t="shared" si="19"/>
        <v>-</v>
      </c>
      <c r="BJ27" s="252">
        <v>12</v>
      </c>
      <c r="BK27" s="253">
        <v>2</v>
      </c>
      <c r="BL27" s="276">
        <f t="shared" si="20"/>
        <v>6</v>
      </c>
      <c r="BM27" s="252">
        <v>0</v>
      </c>
      <c r="BN27" s="253">
        <v>0</v>
      </c>
      <c r="BO27" s="276" t="str">
        <f t="shared" si="21"/>
        <v>-</v>
      </c>
      <c r="BP27" s="302">
        <v>0</v>
      </c>
      <c r="BQ27" s="303">
        <v>0</v>
      </c>
      <c r="BR27" s="276" t="str">
        <f t="shared" si="22"/>
        <v>-</v>
      </c>
      <c r="BS27" s="257">
        <v>12</v>
      </c>
      <c r="BT27" s="253">
        <v>2</v>
      </c>
      <c r="BU27" s="276">
        <f t="shared" si="23"/>
        <v>6</v>
      </c>
      <c r="BV27" s="257">
        <v>3</v>
      </c>
      <c r="BW27" s="253">
        <v>1</v>
      </c>
      <c r="BX27" s="276">
        <f t="shared" si="24"/>
        <v>3</v>
      </c>
      <c r="BY27" s="257">
        <v>0</v>
      </c>
      <c r="BZ27" s="253">
        <v>0</v>
      </c>
      <c r="CA27" s="276" t="str">
        <f t="shared" si="25"/>
        <v>-</v>
      </c>
      <c r="CB27" s="257">
        <v>13</v>
      </c>
      <c r="CC27" s="253">
        <v>2</v>
      </c>
      <c r="CD27" s="276">
        <f t="shared" si="26"/>
        <v>6.5</v>
      </c>
      <c r="CE27" s="257">
        <v>0</v>
      </c>
      <c r="CF27" s="253">
        <v>0</v>
      </c>
      <c r="CG27" s="276" t="str">
        <f t="shared" si="27"/>
        <v>-</v>
      </c>
      <c r="CH27" s="257">
        <v>0</v>
      </c>
      <c r="CI27" s="253">
        <v>0</v>
      </c>
      <c r="CJ27" s="276" t="str">
        <f t="shared" si="28"/>
        <v>-</v>
      </c>
      <c r="CK27" s="257">
        <v>0</v>
      </c>
      <c r="CL27" s="253">
        <v>0</v>
      </c>
      <c r="CM27" s="276" t="str">
        <f t="shared" si="29"/>
        <v>-</v>
      </c>
      <c r="CN27" s="117">
        <f t="shared" si="35"/>
        <v>313</v>
      </c>
      <c r="CO27" s="120">
        <f t="shared" si="36"/>
        <v>52</v>
      </c>
      <c r="CP27" s="147">
        <f t="shared" si="30"/>
        <v>6.0192307692307692</v>
      </c>
    </row>
    <row r="28" spans="1:94" ht="15" thickBot="1" x14ac:dyDescent="0.35">
      <c r="A28" s="294">
        <v>45924</v>
      </c>
      <c r="B28" s="20">
        <v>91</v>
      </c>
      <c r="C28" s="21">
        <v>10</v>
      </c>
      <c r="D28" s="139">
        <f t="shared" si="0"/>
        <v>9.1</v>
      </c>
      <c r="E28" s="20">
        <v>0</v>
      </c>
      <c r="F28" s="21">
        <v>0</v>
      </c>
      <c r="G28" s="139" t="str">
        <f t="shared" ref="G28" si="122">IF(F28=0,"-",E28/F28)</f>
        <v>-</v>
      </c>
      <c r="H28" s="20">
        <v>0</v>
      </c>
      <c r="I28" s="21">
        <v>0</v>
      </c>
      <c r="J28" s="139" t="str">
        <f t="shared" ref="J28" si="123">IF(I28=0,"-",H28/I28)</f>
        <v>-</v>
      </c>
      <c r="K28" s="20">
        <v>8</v>
      </c>
      <c r="L28" s="21">
        <v>1</v>
      </c>
      <c r="M28" s="139">
        <f t="shared" si="3"/>
        <v>8</v>
      </c>
      <c r="N28" s="125">
        <v>0</v>
      </c>
      <c r="O28" s="126">
        <v>0</v>
      </c>
      <c r="P28" s="139" t="str">
        <f t="shared" si="4"/>
        <v>-</v>
      </c>
      <c r="Q28" s="125">
        <v>11</v>
      </c>
      <c r="R28" s="126">
        <v>2</v>
      </c>
      <c r="S28" s="139">
        <f t="shared" si="5"/>
        <v>5.5</v>
      </c>
      <c r="T28" s="20">
        <v>0</v>
      </c>
      <c r="U28" s="21">
        <v>0</v>
      </c>
      <c r="V28" s="139" t="str">
        <f t="shared" ref="V28" si="124">IF(U28=0,"-",T28/U28)</f>
        <v>-</v>
      </c>
      <c r="W28" s="20">
        <v>0</v>
      </c>
      <c r="X28" s="21">
        <v>0</v>
      </c>
      <c r="Y28" s="139" t="str">
        <f t="shared" si="7"/>
        <v>-</v>
      </c>
      <c r="Z28" s="20">
        <v>0</v>
      </c>
      <c r="AA28" s="21">
        <v>0</v>
      </c>
      <c r="AB28" s="139" t="str">
        <f t="shared" ref="AB28" si="125">IF(AA28=0,"-",Z28/AA28)</f>
        <v>-</v>
      </c>
      <c r="AC28" s="20">
        <v>0</v>
      </c>
      <c r="AD28" s="21">
        <v>0</v>
      </c>
      <c r="AE28" s="139" t="str">
        <f t="shared" si="9"/>
        <v>-</v>
      </c>
      <c r="AF28" s="20">
        <v>0</v>
      </c>
      <c r="AG28" s="21">
        <v>0</v>
      </c>
      <c r="AH28" s="139" t="str">
        <f t="shared" si="10"/>
        <v>-</v>
      </c>
      <c r="AI28" s="20">
        <v>0</v>
      </c>
      <c r="AJ28" s="21">
        <v>0</v>
      </c>
      <c r="AK28" s="139" t="str">
        <f t="shared" si="11"/>
        <v>-</v>
      </c>
      <c r="AL28" s="20">
        <v>0</v>
      </c>
      <c r="AM28" s="21">
        <v>0</v>
      </c>
      <c r="AN28" s="139" t="str">
        <f t="shared" si="12"/>
        <v>-</v>
      </c>
      <c r="AO28" s="20">
        <v>0</v>
      </c>
      <c r="AP28" s="21">
        <v>0</v>
      </c>
      <c r="AQ28" s="139" t="str">
        <f t="shared" si="13"/>
        <v>-</v>
      </c>
      <c r="AR28" s="125">
        <v>0</v>
      </c>
      <c r="AS28" s="126">
        <v>0</v>
      </c>
      <c r="AT28" s="139" t="str">
        <f t="shared" si="14"/>
        <v>-</v>
      </c>
      <c r="AU28" s="125">
        <v>0</v>
      </c>
      <c r="AV28" s="126">
        <v>0</v>
      </c>
      <c r="AW28" s="139" t="str">
        <f t="shared" si="15"/>
        <v>-</v>
      </c>
      <c r="AX28" s="125">
        <v>0</v>
      </c>
      <c r="AY28" s="126">
        <v>0</v>
      </c>
      <c r="AZ28" s="139" t="str">
        <f t="shared" si="16"/>
        <v>-</v>
      </c>
      <c r="BA28" s="125">
        <v>0</v>
      </c>
      <c r="BB28" s="126">
        <v>0</v>
      </c>
      <c r="BC28" s="139" t="str">
        <f t="shared" si="17"/>
        <v>-</v>
      </c>
      <c r="BD28" s="125">
        <v>0</v>
      </c>
      <c r="BE28" s="126">
        <v>0</v>
      </c>
      <c r="BF28" s="139" t="str">
        <f t="shared" si="18"/>
        <v>-</v>
      </c>
      <c r="BG28" s="125">
        <v>0</v>
      </c>
      <c r="BH28" s="126">
        <v>0</v>
      </c>
      <c r="BI28" s="139" t="str">
        <f t="shared" si="19"/>
        <v>-</v>
      </c>
      <c r="BJ28" s="252">
        <v>17</v>
      </c>
      <c r="BK28" s="253">
        <v>3</v>
      </c>
      <c r="BL28" s="139">
        <f t="shared" si="20"/>
        <v>5.666666666666667</v>
      </c>
      <c r="BM28" s="252">
        <v>0</v>
      </c>
      <c r="BN28" s="253">
        <v>0</v>
      </c>
      <c r="BO28" s="139" t="str">
        <f t="shared" si="21"/>
        <v>-</v>
      </c>
      <c r="BP28" s="302">
        <v>0</v>
      </c>
      <c r="BQ28" s="303">
        <v>0</v>
      </c>
      <c r="BR28" s="139" t="str">
        <f t="shared" si="22"/>
        <v>-</v>
      </c>
      <c r="BS28" s="257">
        <v>0</v>
      </c>
      <c r="BT28" s="253">
        <v>0</v>
      </c>
      <c r="BU28" s="139" t="str">
        <f t="shared" si="23"/>
        <v>-</v>
      </c>
      <c r="BV28" s="257">
        <v>0</v>
      </c>
      <c r="BW28" s="253">
        <v>0</v>
      </c>
      <c r="BX28" s="276">
        <v>0</v>
      </c>
      <c r="BY28" s="257">
        <v>0</v>
      </c>
      <c r="BZ28" s="253">
        <v>0</v>
      </c>
      <c r="CA28" s="276" t="str">
        <f t="shared" si="25"/>
        <v>-</v>
      </c>
      <c r="CB28" s="257">
        <v>0</v>
      </c>
      <c r="CC28" s="253">
        <v>0</v>
      </c>
      <c r="CD28" s="276" t="str">
        <f t="shared" si="26"/>
        <v>-</v>
      </c>
      <c r="CE28" s="257">
        <v>0</v>
      </c>
      <c r="CF28" s="253">
        <v>0</v>
      </c>
      <c r="CG28" s="276" t="str">
        <f t="shared" ref="CG28:CG30" si="126">IF(CF28=0,"-",CE28/CF28)</f>
        <v>-</v>
      </c>
      <c r="CH28" s="257">
        <v>0</v>
      </c>
      <c r="CI28" s="253">
        <v>0</v>
      </c>
      <c r="CJ28" s="276" t="str">
        <f t="shared" ref="CJ28:CJ30" si="127">IF(CI28=0,"-",CH28/CI28)</f>
        <v>-</v>
      </c>
      <c r="CK28" s="257">
        <v>0</v>
      </c>
      <c r="CL28" s="253">
        <v>0</v>
      </c>
      <c r="CM28" s="276" t="str">
        <f t="shared" ref="CM28:CM30" si="128">IF(CL28=0,"-",CK28/CL28)</f>
        <v>-</v>
      </c>
      <c r="CN28" s="117">
        <f t="shared" si="35"/>
        <v>127</v>
      </c>
      <c r="CO28" s="120">
        <f t="shared" si="36"/>
        <v>16</v>
      </c>
      <c r="CP28" s="147">
        <f t="shared" si="30"/>
        <v>7.9375</v>
      </c>
    </row>
    <row r="29" spans="1:94" ht="15" thickBot="1" x14ac:dyDescent="0.35">
      <c r="A29" s="294">
        <v>45925</v>
      </c>
      <c r="B29" s="20">
        <v>74</v>
      </c>
      <c r="C29" s="21">
        <v>8</v>
      </c>
      <c r="D29" s="139">
        <f t="shared" si="0"/>
        <v>9.25</v>
      </c>
      <c r="E29" s="20">
        <v>0</v>
      </c>
      <c r="F29" s="21">
        <v>0</v>
      </c>
      <c r="G29" s="139" t="str">
        <f t="shared" ref="G29" si="129">IF(F29=0,"-",E29/F29)</f>
        <v>-</v>
      </c>
      <c r="H29" s="20">
        <v>0</v>
      </c>
      <c r="I29" s="21">
        <v>0</v>
      </c>
      <c r="J29" s="139" t="str">
        <f t="shared" ref="J29" si="130">IF(I29=0,"-",H29/I29)</f>
        <v>-</v>
      </c>
      <c r="K29" s="20">
        <v>59</v>
      </c>
      <c r="L29" s="21">
        <v>6</v>
      </c>
      <c r="M29" s="139">
        <f t="shared" si="3"/>
        <v>9.8333333333333339</v>
      </c>
      <c r="N29" s="125">
        <v>0</v>
      </c>
      <c r="O29" s="126">
        <v>0</v>
      </c>
      <c r="P29" s="139" t="str">
        <f t="shared" si="4"/>
        <v>-</v>
      </c>
      <c r="Q29" s="125">
        <v>53</v>
      </c>
      <c r="R29" s="126">
        <v>10</v>
      </c>
      <c r="S29" s="139">
        <f t="shared" si="5"/>
        <v>5.3</v>
      </c>
      <c r="T29" s="20">
        <v>0</v>
      </c>
      <c r="U29" s="21">
        <v>0</v>
      </c>
      <c r="V29" s="139" t="str">
        <f t="shared" ref="V29" si="131">IF(U29=0,"-",T29/U29)</f>
        <v>-</v>
      </c>
      <c r="W29" s="125">
        <v>0</v>
      </c>
      <c r="X29" s="126">
        <v>0</v>
      </c>
      <c r="Y29" s="139" t="str">
        <f t="shared" si="7"/>
        <v>-</v>
      </c>
      <c r="Z29" s="125">
        <v>20</v>
      </c>
      <c r="AA29" s="126">
        <v>4</v>
      </c>
      <c r="AB29" s="139">
        <f t="shared" si="8"/>
        <v>5</v>
      </c>
      <c r="AC29" s="20">
        <v>0</v>
      </c>
      <c r="AD29" s="21">
        <v>0</v>
      </c>
      <c r="AE29" s="139" t="str">
        <f t="shared" si="9"/>
        <v>-</v>
      </c>
      <c r="AF29" s="20">
        <v>18</v>
      </c>
      <c r="AG29" s="21">
        <v>3</v>
      </c>
      <c r="AH29" s="139">
        <f t="shared" si="10"/>
        <v>6</v>
      </c>
      <c r="AI29" s="20">
        <v>0</v>
      </c>
      <c r="AJ29" s="21">
        <v>0</v>
      </c>
      <c r="AK29" s="139" t="str">
        <f t="shared" ref="AK29" si="132">IF(AJ29=0,"-",AI29/AJ29)</f>
        <v>-</v>
      </c>
      <c r="AL29" s="20">
        <v>0</v>
      </c>
      <c r="AM29" s="21">
        <v>0</v>
      </c>
      <c r="AN29" s="139" t="str">
        <f t="shared" ref="AN29" si="133">IF(AM29=0,"-",AL29/AM29)</f>
        <v>-</v>
      </c>
      <c r="AO29" s="20">
        <v>0</v>
      </c>
      <c r="AP29" s="21">
        <v>0</v>
      </c>
      <c r="AQ29" s="139" t="str">
        <f t="shared" ref="AQ29" si="134">IF(AP29=0,"-",AO29/AP29)</f>
        <v>-</v>
      </c>
      <c r="AR29" s="125">
        <v>8</v>
      </c>
      <c r="AS29" s="126">
        <v>1</v>
      </c>
      <c r="AT29" s="139">
        <f t="shared" si="14"/>
        <v>8</v>
      </c>
      <c r="AU29" s="125">
        <v>0</v>
      </c>
      <c r="AV29" s="126">
        <v>0</v>
      </c>
      <c r="AW29" s="139" t="str">
        <f t="shared" si="15"/>
        <v>-</v>
      </c>
      <c r="AX29" s="125">
        <v>0</v>
      </c>
      <c r="AY29" s="126">
        <v>0</v>
      </c>
      <c r="AZ29" s="139" t="str">
        <f t="shared" si="16"/>
        <v>-</v>
      </c>
      <c r="BA29" s="125">
        <v>0</v>
      </c>
      <c r="BB29" s="126">
        <v>0</v>
      </c>
      <c r="BC29" s="139" t="str">
        <f t="shared" si="17"/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252">
        <v>48</v>
      </c>
      <c r="BK29" s="253">
        <v>8</v>
      </c>
      <c r="BL29" s="276">
        <f t="shared" si="20"/>
        <v>6</v>
      </c>
      <c r="BM29" s="252">
        <v>0</v>
      </c>
      <c r="BN29" s="253">
        <v>0</v>
      </c>
      <c r="BO29" s="276" t="str">
        <f t="shared" si="21"/>
        <v>-</v>
      </c>
      <c r="BP29" s="302">
        <v>0</v>
      </c>
      <c r="BQ29" s="303">
        <v>0</v>
      </c>
      <c r="BR29" s="276" t="str">
        <f t="shared" si="22"/>
        <v>-</v>
      </c>
      <c r="BS29" s="257">
        <v>0</v>
      </c>
      <c r="BT29" s="253">
        <v>0</v>
      </c>
      <c r="BU29" s="276" t="str">
        <f t="shared" si="23"/>
        <v>-</v>
      </c>
      <c r="BV29" s="257">
        <v>1</v>
      </c>
      <c r="BW29" s="253">
        <v>1</v>
      </c>
      <c r="BX29" s="276">
        <f t="shared" si="24"/>
        <v>1</v>
      </c>
      <c r="BY29" s="257">
        <v>0</v>
      </c>
      <c r="BZ29" s="253">
        <v>0</v>
      </c>
      <c r="CA29" s="276" t="str">
        <f t="shared" si="25"/>
        <v>-</v>
      </c>
      <c r="CB29" s="257">
        <v>0</v>
      </c>
      <c r="CC29" s="253">
        <v>0</v>
      </c>
      <c r="CD29" s="276" t="str">
        <f t="shared" si="26"/>
        <v>-</v>
      </c>
      <c r="CE29" s="257">
        <v>0</v>
      </c>
      <c r="CF29" s="253">
        <v>0</v>
      </c>
      <c r="CG29" s="276" t="str">
        <f t="shared" si="126"/>
        <v>-</v>
      </c>
      <c r="CH29" s="257">
        <v>0</v>
      </c>
      <c r="CI29" s="253">
        <v>0</v>
      </c>
      <c r="CJ29" s="276" t="str">
        <f t="shared" si="127"/>
        <v>-</v>
      </c>
      <c r="CK29" s="257">
        <v>0</v>
      </c>
      <c r="CL29" s="253">
        <v>0</v>
      </c>
      <c r="CM29" s="276" t="str">
        <f t="shared" si="128"/>
        <v>-</v>
      </c>
      <c r="CN29" s="117">
        <f t="shared" si="35"/>
        <v>281</v>
      </c>
      <c r="CO29" s="120">
        <f t="shared" si="36"/>
        <v>41</v>
      </c>
      <c r="CP29" s="147">
        <f t="shared" si="30"/>
        <v>6.8536585365853657</v>
      </c>
    </row>
    <row r="30" spans="1:94" ht="15" thickBot="1" x14ac:dyDescent="0.35">
      <c r="A30" s="294">
        <v>45926</v>
      </c>
      <c r="B30" s="20">
        <v>67</v>
      </c>
      <c r="C30" s="21">
        <v>8</v>
      </c>
      <c r="D30" s="139">
        <f t="shared" si="0"/>
        <v>8.375</v>
      </c>
      <c r="E30" s="20">
        <v>0</v>
      </c>
      <c r="F30" s="21">
        <v>0</v>
      </c>
      <c r="G30" s="139" t="str">
        <f t="shared" si="1"/>
        <v>-</v>
      </c>
      <c r="H30" s="20">
        <v>0</v>
      </c>
      <c r="I30" s="21">
        <v>0</v>
      </c>
      <c r="J30" s="139" t="str">
        <f t="shared" si="117"/>
        <v>-</v>
      </c>
      <c r="K30" s="20">
        <v>0</v>
      </c>
      <c r="L30" s="21">
        <v>0</v>
      </c>
      <c r="M30" s="139" t="str">
        <f t="shared" si="3"/>
        <v>-</v>
      </c>
      <c r="N30" s="125">
        <v>0</v>
      </c>
      <c r="O30" s="126">
        <v>0</v>
      </c>
      <c r="P30" s="139" t="str">
        <f t="shared" si="4"/>
        <v>-</v>
      </c>
      <c r="Q30" s="125">
        <v>34</v>
      </c>
      <c r="R30" s="126">
        <v>7</v>
      </c>
      <c r="S30" s="139">
        <f t="shared" si="5"/>
        <v>4.8571428571428568</v>
      </c>
      <c r="T30" s="125">
        <v>0</v>
      </c>
      <c r="U30" s="126">
        <v>0</v>
      </c>
      <c r="V30" s="139" t="str">
        <f t="shared" si="6"/>
        <v>-</v>
      </c>
      <c r="W30" s="125">
        <v>0</v>
      </c>
      <c r="X30" s="126">
        <v>0</v>
      </c>
      <c r="Y30" s="139" t="str">
        <f t="shared" si="7"/>
        <v>-</v>
      </c>
      <c r="Z30" s="125">
        <v>30</v>
      </c>
      <c r="AA30" s="126">
        <v>6</v>
      </c>
      <c r="AB30" s="139">
        <f t="shared" si="8"/>
        <v>5</v>
      </c>
      <c r="AC30" s="125">
        <v>0</v>
      </c>
      <c r="AD30" s="126">
        <v>0</v>
      </c>
      <c r="AE30" s="139" t="str">
        <f t="shared" si="9"/>
        <v>-</v>
      </c>
      <c r="AF30" s="125">
        <v>18</v>
      </c>
      <c r="AG30" s="126">
        <v>3</v>
      </c>
      <c r="AH30" s="139">
        <f t="shared" si="10"/>
        <v>6</v>
      </c>
      <c r="AI30" s="20">
        <v>0</v>
      </c>
      <c r="AJ30" s="21">
        <v>0</v>
      </c>
      <c r="AK30" s="139" t="str">
        <f t="shared" ref="AK30" si="135">IF(AJ30=0,"-",AI30/AJ30)</f>
        <v>-</v>
      </c>
      <c r="AL30" s="20">
        <v>0</v>
      </c>
      <c r="AM30" s="21">
        <v>0</v>
      </c>
      <c r="AN30" s="139" t="str">
        <f t="shared" ref="AN30" si="136">IF(AM30=0,"-",AL30/AM30)</f>
        <v>-</v>
      </c>
      <c r="AO30" s="125">
        <v>5</v>
      </c>
      <c r="AP30" s="126">
        <v>1</v>
      </c>
      <c r="AQ30" s="139">
        <f t="shared" si="13"/>
        <v>5</v>
      </c>
      <c r="AR30" s="125">
        <v>8</v>
      </c>
      <c r="AS30" s="126">
        <v>1</v>
      </c>
      <c r="AT30" s="139">
        <f t="shared" si="14"/>
        <v>8</v>
      </c>
      <c r="AU30" s="125">
        <v>0</v>
      </c>
      <c r="AV30" s="126">
        <v>0</v>
      </c>
      <c r="AW30" s="139" t="str">
        <f t="shared" si="15"/>
        <v>-</v>
      </c>
      <c r="AX30" s="125">
        <v>4</v>
      </c>
      <c r="AY30" s="126">
        <v>1</v>
      </c>
      <c r="AZ30" s="139">
        <f t="shared" si="16"/>
        <v>4</v>
      </c>
      <c r="BA30" s="125">
        <v>0</v>
      </c>
      <c r="BB30" s="126">
        <v>0</v>
      </c>
      <c r="BC30" s="139" t="str">
        <f t="shared" si="17"/>
        <v>-</v>
      </c>
      <c r="BD30" s="125">
        <v>0</v>
      </c>
      <c r="BE30" s="126">
        <v>0</v>
      </c>
      <c r="BF30" s="139" t="str">
        <f t="shared" si="18"/>
        <v>-</v>
      </c>
      <c r="BG30" s="125">
        <v>0</v>
      </c>
      <c r="BH30" s="126">
        <v>0</v>
      </c>
      <c r="BI30" s="139" t="str">
        <f t="shared" si="19"/>
        <v>-</v>
      </c>
      <c r="BJ30" s="252">
        <v>10</v>
      </c>
      <c r="BK30" s="253">
        <v>2</v>
      </c>
      <c r="BL30" s="276">
        <f t="shared" si="20"/>
        <v>5</v>
      </c>
      <c r="BM30" s="252">
        <v>0</v>
      </c>
      <c r="BN30" s="253">
        <v>0</v>
      </c>
      <c r="BO30" s="276" t="str">
        <f t="shared" si="21"/>
        <v>-</v>
      </c>
      <c r="BP30" s="302">
        <v>0</v>
      </c>
      <c r="BQ30" s="303">
        <v>0</v>
      </c>
      <c r="BR30" s="276" t="str">
        <f t="shared" si="22"/>
        <v>-</v>
      </c>
      <c r="BS30" s="257">
        <v>0</v>
      </c>
      <c r="BT30" s="253">
        <v>0</v>
      </c>
      <c r="BU30" s="276" t="str">
        <f t="shared" si="23"/>
        <v>-</v>
      </c>
      <c r="BV30" s="125">
        <v>10</v>
      </c>
      <c r="BW30" s="126">
        <v>2</v>
      </c>
      <c r="BX30" s="139">
        <f t="shared" si="24"/>
        <v>5</v>
      </c>
      <c r="BY30" s="125">
        <v>0</v>
      </c>
      <c r="BZ30" s="126">
        <v>0</v>
      </c>
      <c r="CA30" s="139" t="str">
        <f t="shared" si="25"/>
        <v>-</v>
      </c>
      <c r="CB30" s="125">
        <v>0</v>
      </c>
      <c r="CC30" s="126">
        <v>0</v>
      </c>
      <c r="CD30" s="139" t="str">
        <f t="shared" si="26"/>
        <v>-</v>
      </c>
      <c r="CE30" s="257">
        <v>11</v>
      </c>
      <c r="CF30" s="253">
        <v>2</v>
      </c>
      <c r="CG30" s="276">
        <f t="shared" si="126"/>
        <v>5.5</v>
      </c>
      <c r="CH30" s="257">
        <v>0</v>
      </c>
      <c r="CI30" s="253">
        <v>0</v>
      </c>
      <c r="CJ30" s="276" t="str">
        <f t="shared" si="127"/>
        <v>-</v>
      </c>
      <c r="CK30" s="257">
        <v>0</v>
      </c>
      <c r="CL30" s="253">
        <v>0</v>
      </c>
      <c r="CM30" s="276" t="str">
        <f t="shared" si="128"/>
        <v>-</v>
      </c>
      <c r="CN30" s="117">
        <f t="shared" si="35"/>
        <v>197</v>
      </c>
      <c r="CO30" s="120">
        <f t="shared" si="36"/>
        <v>33</v>
      </c>
      <c r="CP30" s="147">
        <f t="shared" si="30"/>
        <v>5.9696969696969697</v>
      </c>
    </row>
    <row r="31" spans="1:94" ht="15" thickBot="1" x14ac:dyDescent="0.35">
      <c r="A31" s="294">
        <v>45927</v>
      </c>
      <c r="B31" s="20">
        <v>104</v>
      </c>
      <c r="C31" s="21">
        <v>12</v>
      </c>
      <c r="D31" s="139">
        <f t="shared" si="0"/>
        <v>8.6666666666666661</v>
      </c>
      <c r="E31" s="20">
        <v>0</v>
      </c>
      <c r="F31" s="21">
        <v>0</v>
      </c>
      <c r="G31" s="139" t="str">
        <f t="shared" ref="G31:G32" si="137">IF(F31=0,"-",E31/F31)</f>
        <v>-</v>
      </c>
      <c r="H31" s="20">
        <v>0</v>
      </c>
      <c r="I31" s="21">
        <v>0</v>
      </c>
      <c r="J31" s="139" t="str">
        <f t="shared" ref="J31:J32" si="138">IF(I31=0,"-",H31/I31)</f>
        <v>-</v>
      </c>
      <c r="K31" s="20">
        <v>8</v>
      </c>
      <c r="L31" s="21">
        <v>1</v>
      </c>
      <c r="M31" s="139">
        <f t="shared" si="3"/>
        <v>8</v>
      </c>
      <c r="N31" s="125">
        <v>0</v>
      </c>
      <c r="O31" s="126">
        <v>0</v>
      </c>
      <c r="P31" s="139" t="str">
        <f t="shared" si="4"/>
        <v>-</v>
      </c>
      <c r="Q31" s="125">
        <v>18</v>
      </c>
      <c r="R31" s="126">
        <v>3</v>
      </c>
      <c r="S31" s="139">
        <f t="shared" si="5"/>
        <v>6</v>
      </c>
      <c r="T31" s="125">
        <v>238</v>
      </c>
      <c r="U31" s="126">
        <v>40</v>
      </c>
      <c r="V31" s="139">
        <f t="shared" si="6"/>
        <v>5.95</v>
      </c>
      <c r="W31" s="125">
        <v>0</v>
      </c>
      <c r="X31" s="126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125">
        <v>0</v>
      </c>
      <c r="AD31" s="126">
        <v>0</v>
      </c>
      <c r="AE31" s="139" t="str">
        <f t="shared" si="9"/>
        <v>-</v>
      </c>
      <c r="AF31" s="125">
        <v>0</v>
      </c>
      <c r="AG31" s="126">
        <v>0</v>
      </c>
      <c r="AH31" s="139" t="str">
        <f t="shared" si="10"/>
        <v>-</v>
      </c>
      <c r="AI31" s="125">
        <v>0</v>
      </c>
      <c r="AJ31" s="126">
        <v>0</v>
      </c>
      <c r="AK31" s="139" t="str">
        <f t="shared" si="11"/>
        <v>-</v>
      </c>
      <c r="AL31" s="125">
        <v>0</v>
      </c>
      <c r="AM31" s="126">
        <v>0</v>
      </c>
      <c r="AN31" s="139" t="str">
        <f t="shared" si="12"/>
        <v>-</v>
      </c>
      <c r="AO31" s="125">
        <v>20</v>
      </c>
      <c r="AP31" s="126">
        <v>3</v>
      </c>
      <c r="AQ31" s="139">
        <f t="shared" si="13"/>
        <v>6.666666666666667</v>
      </c>
      <c r="AR31" s="125">
        <v>0</v>
      </c>
      <c r="AS31" s="126">
        <v>0</v>
      </c>
      <c r="AT31" s="139" t="str">
        <f t="shared" si="14"/>
        <v>-</v>
      </c>
      <c r="AU31" s="125">
        <v>0</v>
      </c>
      <c r="AV31" s="126">
        <v>0</v>
      </c>
      <c r="AW31" s="139" t="str">
        <f t="shared" si="15"/>
        <v>-</v>
      </c>
      <c r="AX31" s="125">
        <v>0</v>
      </c>
      <c r="AY31" s="126">
        <v>0</v>
      </c>
      <c r="AZ31" s="139" t="str">
        <f t="shared" si="16"/>
        <v>-</v>
      </c>
      <c r="BA31" s="125">
        <v>0</v>
      </c>
      <c r="BB31" s="126">
        <v>0</v>
      </c>
      <c r="BC31" s="139" t="str">
        <f t="shared" si="17"/>
        <v>-</v>
      </c>
      <c r="BD31" s="125">
        <v>0</v>
      </c>
      <c r="BE31" s="126">
        <v>0</v>
      </c>
      <c r="BF31" s="139" t="str">
        <f t="shared" si="18"/>
        <v>-</v>
      </c>
      <c r="BG31" s="125">
        <v>0</v>
      </c>
      <c r="BH31" s="126">
        <v>0</v>
      </c>
      <c r="BI31" s="139" t="str">
        <f t="shared" si="19"/>
        <v>-</v>
      </c>
      <c r="BJ31" s="252">
        <v>12</v>
      </c>
      <c r="BK31" s="253">
        <v>2</v>
      </c>
      <c r="BL31" s="276">
        <f t="shared" si="20"/>
        <v>6</v>
      </c>
      <c r="BM31" s="252">
        <v>0</v>
      </c>
      <c r="BN31" s="253">
        <v>0</v>
      </c>
      <c r="BO31" s="276" t="str">
        <f t="shared" si="21"/>
        <v>-</v>
      </c>
      <c r="BP31" s="302">
        <v>0</v>
      </c>
      <c r="BQ31" s="303">
        <v>0</v>
      </c>
      <c r="BR31" s="276" t="str">
        <f t="shared" si="22"/>
        <v>-</v>
      </c>
      <c r="BS31" s="257">
        <v>0</v>
      </c>
      <c r="BT31" s="253">
        <v>0</v>
      </c>
      <c r="BU31" s="276" t="str">
        <f>IF(BT31=0,"-",BS31/BT31)</f>
        <v>-</v>
      </c>
      <c r="BV31" s="257">
        <v>0</v>
      </c>
      <c r="BW31" s="253">
        <v>0</v>
      </c>
      <c r="BX31" s="276" t="str">
        <f>IF(BW31=0,"-",BV31/BW31)</f>
        <v>-</v>
      </c>
      <c r="BY31" s="257">
        <v>0</v>
      </c>
      <c r="BZ31" s="253">
        <v>0</v>
      </c>
      <c r="CA31" s="276" t="str">
        <f t="shared" si="25"/>
        <v>-</v>
      </c>
      <c r="CB31" s="125">
        <v>0</v>
      </c>
      <c r="CC31" s="126">
        <v>0</v>
      </c>
      <c r="CD31" s="139" t="str">
        <f t="shared" ref="CD31:CD34" si="139">IF(CC31=0,"-",CB31/CC31)</f>
        <v>-</v>
      </c>
      <c r="CE31" s="125">
        <v>15</v>
      </c>
      <c r="CF31" s="126">
        <v>3</v>
      </c>
      <c r="CG31" s="139">
        <f t="shared" si="27"/>
        <v>5</v>
      </c>
      <c r="CH31" s="125">
        <v>0</v>
      </c>
      <c r="CI31" s="126">
        <v>0</v>
      </c>
      <c r="CJ31" s="139" t="str">
        <f t="shared" si="28"/>
        <v>-</v>
      </c>
      <c r="CK31" s="125">
        <v>0</v>
      </c>
      <c r="CL31" s="126">
        <v>0</v>
      </c>
      <c r="CM31" s="276" t="str">
        <f t="shared" si="29"/>
        <v>-</v>
      </c>
      <c r="CN31" s="117">
        <f t="shared" si="35"/>
        <v>415</v>
      </c>
      <c r="CO31" s="120">
        <f t="shared" si="36"/>
        <v>64</v>
      </c>
      <c r="CP31" s="147">
        <f t="shared" si="30"/>
        <v>6.484375</v>
      </c>
    </row>
    <row r="32" spans="1:94" ht="15" thickBot="1" x14ac:dyDescent="0.35">
      <c r="A32" s="294">
        <v>45928</v>
      </c>
      <c r="B32" s="20">
        <v>50</v>
      </c>
      <c r="C32" s="21">
        <v>6</v>
      </c>
      <c r="D32" s="139">
        <f t="shared" si="0"/>
        <v>8.3333333333333339</v>
      </c>
      <c r="E32" s="20">
        <v>0</v>
      </c>
      <c r="F32" s="21">
        <v>0</v>
      </c>
      <c r="G32" s="139" t="str">
        <f t="shared" si="137"/>
        <v>-</v>
      </c>
      <c r="H32" s="20">
        <v>0</v>
      </c>
      <c r="I32" s="21">
        <v>0</v>
      </c>
      <c r="J32" s="139" t="str">
        <f t="shared" si="138"/>
        <v>-</v>
      </c>
      <c r="K32" s="20">
        <v>0</v>
      </c>
      <c r="L32" s="21">
        <v>0</v>
      </c>
      <c r="M32" s="139" t="str">
        <f t="shared" si="3"/>
        <v>-</v>
      </c>
      <c r="N32" s="125"/>
      <c r="O32" s="126"/>
      <c r="P32" s="139" t="str">
        <f t="shared" si="4"/>
        <v>-</v>
      </c>
      <c r="Q32" s="125">
        <v>81</v>
      </c>
      <c r="R32" s="126">
        <v>15</v>
      </c>
      <c r="S32" s="139">
        <f t="shared" si="5"/>
        <v>5.4</v>
      </c>
      <c r="T32" s="125">
        <v>0</v>
      </c>
      <c r="U32" s="126">
        <v>0</v>
      </c>
      <c r="V32" s="139" t="str">
        <f t="shared" si="6"/>
        <v>-</v>
      </c>
      <c r="W32" s="125">
        <v>0</v>
      </c>
      <c r="X32" s="126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ref="AB32" si="140">IF(AA32=0,"-",Z32/AA32)</f>
        <v>-</v>
      </c>
      <c r="AC32" s="125">
        <v>0</v>
      </c>
      <c r="AD32" s="126">
        <v>0</v>
      </c>
      <c r="AE32" s="139" t="str">
        <f t="shared" ref="AE32" si="141">IF(AD32=0,"-",AC32/AD32)</f>
        <v>-</v>
      </c>
      <c r="AF32" s="125">
        <v>0</v>
      </c>
      <c r="AG32" s="126">
        <v>0</v>
      </c>
      <c r="AH32" s="139" t="str">
        <f t="shared" ref="AH32" si="142">IF(AG32=0,"-",AF32/AG32)</f>
        <v>-</v>
      </c>
      <c r="AI32" s="125">
        <v>6</v>
      </c>
      <c r="AJ32" s="126">
        <v>1</v>
      </c>
      <c r="AK32" s="139">
        <f t="shared" si="11"/>
        <v>6</v>
      </c>
      <c r="AL32" s="125">
        <v>0</v>
      </c>
      <c r="AM32" s="126">
        <v>0</v>
      </c>
      <c r="AN32" s="139" t="str">
        <f t="shared" si="12"/>
        <v>-</v>
      </c>
      <c r="AO32" s="125">
        <v>30</v>
      </c>
      <c r="AP32" s="126">
        <v>5</v>
      </c>
      <c r="AQ32" s="139">
        <f t="shared" si="13"/>
        <v>6</v>
      </c>
      <c r="AR32" s="125">
        <v>0</v>
      </c>
      <c r="AS32" s="126">
        <v>0</v>
      </c>
      <c r="AT32" s="139" t="str">
        <f t="shared" si="14"/>
        <v>-</v>
      </c>
      <c r="AU32" s="125">
        <v>0</v>
      </c>
      <c r="AV32" s="126">
        <v>0</v>
      </c>
      <c r="AW32" s="139" t="str">
        <f t="shared" si="15"/>
        <v>-</v>
      </c>
      <c r="AX32" s="125">
        <v>0</v>
      </c>
      <c r="AY32" s="126">
        <v>0</v>
      </c>
      <c r="AZ32" s="139" t="str">
        <f t="shared" si="16"/>
        <v>-</v>
      </c>
      <c r="BA32" s="125">
        <v>0</v>
      </c>
      <c r="BB32" s="126">
        <v>0</v>
      </c>
      <c r="BC32" s="139" t="str">
        <f t="shared" si="17"/>
        <v>-</v>
      </c>
      <c r="BD32" s="125">
        <v>0</v>
      </c>
      <c r="BE32" s="126">
        <v>0</v>
      </c>
      <c r="BF32" s="139" t="str">
        <f t="shared" si="18"/>
        <v>-</v>
      </c>
      <c r="BG32" s="125">
        <v>0</v>
      </c>
      <c r="BH32" s="126">
        <v>0</v>
      </c>
      <c r="BI32" s="139" t="str">
        <f t="shared" si="19"/>
        <v>-</v>
      </c>
      <c r="BJ32" s="318">
        <v>6</v>
      </c>
      <c r="BK32" s="253">
        <v>1</v>
      </c>
      <c r="BL32" s="276">
        <f t="shared" si="20"/>
        <v>6</v>
      </c>
      <c r="BM32" s="252">
        <v>0</v>
      </c>
      <c r="BN32" s="253">
        <v>0</v>
      </c>
      <c r="BO32" s="276" t="str">
        <f t="shared" si="21"/>
        <v>-</v>
      </c>
      <c r="BP32" s="302">
        <v>0</v>
      </c>
      <c r="BQ32" s="303">
        <v>0</v>
      </c>
      <c r="BR32" s="276" t="str">
        <f t="shared" si="22"/>
        <v>-</v>
      </c>
      <c r="BS32" s="257">
        <v>0</v>
      </c>
      <c r="BT32" s="253">
        <v>0</v>
      </c>
      <c r="BU32" s="276" t="str">
        <f>IF(BT32=0,"-",BS32/BT32)</f>
        <v>-</v>
      </c>
      <c r="BV32" s="257">
        <v>0</v>
      </c>
      <c r="BW32" s="253">
        <v>0</v>
      </c>
      <c r="BX32" s="276" t="str">
        <f>IF(BW32=0,"-",BV32/BW32)</f>
        <v>-</v>
      </c>
      <c r="BY32" s="257">
        <v>0</v>
      </c>
      <c r="BZ32" s="253">
        <v>0</v>
      </c>
      <c r="CA32" s="276" t="str">
        <f t="shared" si="25"/>
        <v>-</v>
      </c>
      <c r="CB32" s="125">
        <v>0</v>
      </c>
      <c r="CC32" s="126">
        <v>0</v>
      </c>
      <c r="CD32" s="139" t="str">
        <f t="shared" si="139"/>
        <v>-</v>
      </c>
      <c r="CE32" s="125">
        <v>0</v>
      </c>
      <c r="CF32" s="126">
        <v>0</v>
      </c>
      <c r="CG32" s="139" t="str">
        <f t="shared" si="27"/>
        <v>-</v>
      </c>
      <c r="CH32" s="125">
        <v>0</v>
      </c>
      <c r="CI32" s="126">
        <v>0</v>
      </c>
      <c r="CJ32" s="139" t="str">
        <f t="shared" si="28"/>
        <v>-</v>
      </c>
      <c r="CK32" s="125">
        <v>0</v>
      </c>
      <c r="CL32" s="126">
        <v>0</v>
      </c>
      <c r="CM32" s="139" t="str">
        <f t="shared" si="29"/>
        <v>-</v>
      </c>
      <c r="CN32" s="117">
        <f t="shared" si="35"/>
        <v>173</v>
      </c>
      <c r="CO32" s="120">
        <f t="shared" si="36"/>
        <v>28</v>
      </c>
      <c r="CP32" s="147">
        <f t="shared" si="30"/>
        <v>6.1785714285714288</v>
      </c>
    </row>
    <row r="33" spans="1:94" ht="15" thickBot="1" x14ac:dyDescent="0.35">
      <c r="A33" s="294">
        <v>45929</v>
      </c>
      <c r="B33" s="20">
        <v>35</v>
      </c>
      <c r="C33" s="21">
        <v>4</v>
      </c>
      <c r="D33" s="139">
        <f t="shared" si="0"/>
        <v>8.75</v>
      </c>
      <c r="E33" s="20">
        <v>0</v>
      </c>
      <c r="F33" s="21">
        <v>0</v>
      </c>
      <c r="G33" s="139" t="str">
        <f t="shared" ref="G33" si="143">IF(F33=0,"-",E33/F33)</f>
        <v>-</v>
      </c>
      <c r="H33" s="20">
        <v>0</v>
      </c>
      <c r="I33" s="21">
        <v>0</v>
      </c>
      <c r="J33" s="139" t="str">
        <f t="shared" ref="J33" si="144">IF(I33=0,"-",H33/I33)</f>
        <v>-</v>
      </c>
      <c r="K33" s="20">
        <v>17</v>
      </c>
      <c r="L33" s="21">
        <v>2</v>
      </c>
      <c r="M33" s="139">
        <f t="shared" si="3"/>
        <v>8.5</v>
      </c>
      <c r="N33" s="125"/>
      <c r="O33" s="126"/>
      <c r="P33" s="139" t="str">
        <f t="shared" si="4"/>
        <v>-</v>
      </c>
      <c r="Q33" s="125">
        <v>75</v>
      </c>
      <c r="R33" s="126">
        <v>14</v>
      </c>
      <c r="S33" s="139">
        <f t="shared" si="5"/>
        <v>5.3571428571428568</v>
      </c>
      <c r="T33" s="125">
        <v>37</v>
      </c>
      <c r="U33" s="126">
        <v>7</v>
      </c>
      <c r="V33" s="139">
        <f t="shared" si="6"/>
        <v>5.2857142857142856</v>
      </c>
      <c r="W33" s="125">
        <v>0</v>
      </c>
      <c r="X33" s="126">
        <v>0</v>
      </c>
      <c r="Y33" s="139" t="str">
        <f t="shared" si="7"/>
        <v>-</v>
      </c>
      <c r="Z33" s="125">
        <v>30</v>
      </c>
      <c r="AA33" s="126">
        <v>6</v>
      </c>
      <c r="AB33" s="139">
        <f t="shared" si="8"/>
        <v>5</v>
      </c>
      <c r="AC33" s="125">
        <v>0</v>
      </c>
      <c r="AD33" s="126">
        <v>0</v>
      </c>
      <c r="AE33" s="139" t="str">
        <f t="shared" si="9"/>
        <v>-</v>
      </c>
      <c r="AF33" s="125">
        <v>0</v>
      </c>
      <c r="AG33" s="126">
        <v>0</v>
      </c>
      <c r="AH33" s="139" t="str">
        <f t="shared" si="10"/>
        <v>-</v>
      </c>
      <c r="AI33" s="125">
        <v>0</v>
      </c>
      <c r="AJ33" s="126">
        <v>0</v>
      </c>
      <c r="AK33" s="139" t="str">
        <f t="shared" si="11"/>
        <v>-</v>
      </c>
      <c r="AL33" s="125">
        <v>0</v>
      </c>
      <c r="AM33" s="126">
        <v>0</v>
      </c>
      <c r="AN33" s="139" t="str">
        <f t="shared" si="12"/>
        <v>-</v>
      </c>
      <c r="AO33" s="125">
        <v>0</v>
      </c>
      <c r="AP33" s="126">
        <v>0</v>
      </c>
      <c r="AQ33" s="139" t="str">
        <f t="shared" si="13"/>
        <v>-</v>
      </c>
      <c r="AR33" s="125">
        <v>0</v>
      </c>
      <c r="AS33" s="126">
        <v>0</v>
      </c>
      <c r="AT33" s="139" t="str">
        <f t="shared" si="14"/>
        <v>-</v>
      </c>
      <c r="AU33" s="125">
        <v>0</v>
      </c>
      <c r="AV33" s="126">
        <v>0</v>
      </c>
      <c r="AW33" s="139" t="str">
        <f t="shared" si="15"/>
        <v>-</v>
      </c>
      <c r="AX33" s="125">
        <v>0</v>
      </c>
      <c r="AY33" s="126">
        <v>0</v>
      </c>
      <c r="AZ33" s="139" t="str">
        <f t="shared" si="16"/>
        <v>-</v>
      </c>
      <c r="BA33" s="125">
        <v>0</v>
      </c>
      <c r="BB33" s="126">
        <v>0</v>
      </c>
      <c r="BC33" s="139" t="str">
        <f t="shared" si="17"/>
        <v>-</v>
      </c>
      <c r="BD33" s="125">
        <v>0</v>
      </c>
      <c r="BE33" s="126">
        <v>0</v>
      </c>
      <c r="BF33" s="139" t="str">
        <f t="shared" si="18"/>
        <v>-</v>
      </c>
      <c r="BG33" s="125">
        <v>0</v>
      </c>
      <c r="BH33" s="126">
        <v>0</v>
      </c>
      <c r="BI33" s="139" t="str">
        <f t="shared" si="19"/>
        <v>-</v>
      </c>
      <c r="BJ33" s="252">
        <v>41</v>
      </c>
      <c r="BK33" s="253">
        <v>7</v>
      </c>
      <c r="BL33" s="276">
        <f t="shared" si="20"/>
        <v>5.8571428571428568</v>
      </c>
      <c r="BM33" s="252">
        <v>0</v>
      </c>
      <c r="BN33" s="253">
        <v>0</v>
      </c>
      <c r="BO33" s="276" t="str">
        <f t="shared" si="21"/>
        <v>-</v>
      </c>
      <c r="BP33" s="302">
        <v>0</v>
      </c>
      <c r="BQ33" s="303">
        <v>0</v>
      </c>
      <c r="BR33" s="276" t="str">
        <f t="shared" si="22"/>
        <v>-</v>
      </c>
      <c r="BS33" s="257">
        <v>0</v>
      </c>
      <c r="BT33" s="253">
        <v>0</v>
      </c>
      <c r="BU33" s="276" t="str">
        <f t="shared" si="23"/>
        <v>-</v>
      </c>
      <c r="BV33" s="257">
        <v>7</v>
      </c>
      <c r="BW33" s="253">
        <v>2</v>
      </c>
      <c r="BX33" s="276">
        <f t="shared" si="24"/>
        <v>3.5</v>
      </c>
      <c r="BY33" s="257">
        <v>0</v>
      </c>
      <c r="BZ33" s="253">
        <v>0</v>
      </c>
      <c r="CA33" s="276" t="str">
        <f t="shared" si="25"/>
        <v>-</v>
      </c>
      <c r="CB33" s="125">
        <v>0</v>
      </c>
      <c r="CC33" s="126">
        <v>0</v>
      </c>
      <c r="CD33" s="139" t="str">
        <f t="shared" si="139"/>
        <v>-</v>
      </c>
      <c r="CE33" s="125">
        <v>0</v>
      </c>
      <c r="CF33" s="126">
        <v>0</v>
      </c>
      <c r="CG33" s="139" t="str">
        <f t="shared" ref="CG33:CG34" si="145">IF(CF33=0,"-",CE33/CF33)</f>
        <v>-</v>
      </c>
      <c r="CH33" s="125">
        <v>0</v>
      </c>
      <c r="CI33" s="126">
        <v>0</v>
      </c>
      <c r="CJ33" s="139" t="str">
        <f t="shared" ref="CJ33:CJ34" si="146">IF(CI33=0,"-",CH33/CI33)</f>
        <v>-</v>
      </c>
      <c r="CK33" s="125">
        <v>0</v>
      </c>
      <c r="CL33" s="126">
        <v>0</v>
      </c>
      <c r="CM33" s="139" t="str">
        <f t="shared" ref="CM33:CM34" si="147">IF(CL33=0,"-",CK33/CL33)</f>
        <v>-</v>
      </c>
      <c r="CN33" s="117">
        <f t="shared" si="35"/>
        <v>242</v>
      </c>
      <c r="CO33" s="120">
        <f t="shared" si="36"/>
        <v>42</v>
      </c>
      <c r="CP33" s="147">
        <f t="shared" si="30"/>
        <v>5.7619047619047619</v>
      </c>
    </row>
    <row r="34" spans="1:94" ht="15" thickBot="1" x14ac:dyDescent="0.35">
      <c r="A34" s="294">
        <v>45930</v>
      </c>
      <c r="B34" s="20">
        <v>62</v>
      </c>
      <c r="C34" s="21">
        <v>7</v>
      </c>
      <c r="D34" s="139">
        <f t="shared" si="0"/>
        <v>8.8571428571428577</v>
      </c>
      <c r="E34" s="20">
        <v>0</v>
      </c>
      <c r="F34" s="21">
        <v>0</v>
      </c>
      <c r="G34" s="139" t="str">
        <f t="shared" si="1"/>
        <v>-</v>
      </c>
      <c r="H34" s="20">
        <v>0</v>
      </c>
      <c r="I34" s="21">
        <v>0</v>
      </c>
      <c r="J34" s="139" t="str">
        <f t="shared" si="117"/>
        <v>-</v>
      </c>
      <c r="K34" s="20">
        <v>18</v>
      </c>
      <c r="L34" s="21">
        <v>2</v>
      </c>
      <c r="M34" s="139">
        <f t="shared" si="3"/>
        <v>9</v>
      </c>
      <c r="N34" s="125"/>
      <c r="O34" s="126"/>
      <c r="P34" s="139" t="str">
        <f t="shared" si="4"/>
        <v>-</v>
      </c>
      <c r="Q34" s="125">
        <v>48</v>
      </c>
      <c r="R34" s="126">
        <v>8</v>
      </c>
      <c r="S34" s="139">
        <f t="shared" si="5"/>
        <v>6</v>
      </c>
      <c r="T34" s="125">
        <v>0</v>
      </c>
      <c r="U34" s="126">
        <v>0</v>
      </c>
      <c r="V34" s="139" t="str">
        <f t="shared" si="6"/>
        <v>-</v>
      </c>
      <c r="W34" s="125">
        <v>0</v>
      </c>
      <c r="X34" s="126">
        <v>0</v>
      </c>
      <c r="Y34" s="139" t="str">
        <f t="shared" si="7"/>
        <v>-</v>
      </c>
      <c r="Z34" s="125">
        <v>25</v>
      </c>
      <c r="AA34" s="126">
        <v>5</v>
      </c>
      <c r="AB34" s="139">
        <f t="shared" si="8"/>
        <v>5</v>
      </c>
      <c r="AC34" s="125">
        <v>0</v>
      </c>
      <c r="AD34" s="126">
        <v>0</v>
      </c>
      <c r="AE34" s="139" t="str">
        <f t="shared" si="9"/>
        <v>-</v>
      </c>
      <c r="AF34" s="125">
        <v>0</v>
      </c>
      <c r="AG34" s="126">
        <v>0</v>
      </c>
      <c r="AH34" s="139" t="str">
        <f t="shared" si="10"/>
        <v>-</v>
      </c>
      <c r="AI34" s="125">
        <v>6</v>
      </c>
      <c r="AJ34" s="126">
        <v>1</v>
      </c>
      <c r="AK34" s="139">
        <f t="shared" si="11"/>
        <v>6</v>
      </c>
      <c r="AL34" s="125">
        <v>12</v>
      </c>
      <c r="AM34" s="126">
        <v>2</v>
      </c>
      <c r="AN34" s="139">
        <f t="shared" si="12"/>
        <v>6</v>
      </c>
      <c r="AO34" s="125">
        <v>0</v>
      </c>
      <c r="AP34" s="126">
        <v>0</v>
      </c>
      <c r="AQ34" s="139" t="str">
        <f t="shared" si="13"/>
        <v>-</v>
      </c>
      <c r="AR34" s="125">
        <v>14</v>
      </c>
      <c r="AS34" s="126">
        <v>2</v>
      </c>
      <c r="AT34" s="139">
        <f t="shared" si="14"/>
        <v>7</v>
      </c>
      <c r="AU34" s="125">
        <v>0</v>
      </c>
      <c r="AV34" s="126">
        <v>0</v>
      </c>
      <c r="AW34" s="139" t="str">
        <f t="shared" si="15"/>
        <v>-</v>
      </c>
      <c r="AX34" s="125">
        <v>3</v>
      </c>
      <c r="AY34" s="126">
        <v>2</v>
      </c>
      <c r="AZ34" s="139">
        <f t="shared" si="16"/>
        <v>1.5</v>
      </c>
      <c r="BA34" s="125">
        <v>0</v>
      </c>
      <c r="BB34" s="126">
        <v>0</v>
      </c>
      <c r="BC34" s="139" t="str">
        <f t="shared" ref="BC34" si="148">IF(BB34=0,"-",BA34/BB34)</f>
        <v>-</v>
      </c>
      <c r="BD34" s="125">
        <v>0</v>
      </c>
      <c r="BE34" s="126">
        <v>0</v>
      </c>
      <c r="BF34" s="139" t="str">
        <f t="shared" ref="BF34" si="149">IF(BE34=0,"-",BD34/BE34)</f>
        <v>-</v>
      </c>
      <c r="BG34" s="125">
        <v>0</v>
      </c>
      <c r="BH34" s="126">
        <v>0</v>
      </c>
      <c r="BI34" s="139" t="str">
        <f t="shared" ref="BI34" si="150">IF(BH34=0,"-",BG34/BH34)</f>
        <v>-</v>
      </c>
      <c r="BJ34" s="252">
        <v>24</v>
      </c>
      <c r="BK34" s="253">
        <v>4</v>
      </c>
      <c r="BL34" s="276">
        <f t="shared" si="20"/>
        <v>6</v>
      </c>
      <c r="BM34" s="252">
        <v>0</v>
      </c>
      <c r="BN34" s="253">
        <v>0</v>
      </c>
      <c r="BO34" s="276" t="str">
        <f t="shared" si="21"/>
        <v>-</v>
      </c>
      <c r="BP34" s="302">
        <v>0</v>
      </c>
      <c r="BQ34" s="303">
        <v>0</v>
      </c>
      <c r="BR34" s="276" t="str">
        <f t="shared" si="22"/>
        <v>-</v>
      </c>
      <c r="BS34" s="257">
        <v>0</v>
      </c>
      <c r="BT34" s="253">
        <v>0</v>
      </c>
      <c r="BU34" s="276" t="str">
        <f t="shared" si="23"/>
        <v>-</v>
      </c>
      <c r="BV34" s="257">
        <v>0</v>
      </c>
      <c r="BW34" s="253">
        <v>0</v>
      </c>
      <c r="BX34" s="276" t="str">
        <f t="shared" si="24"/>
        <v>-</v>
      </c>
      <c r="BY34" s="257">
        <v>0</v>
      </c>
      <c r="BZ34" s="253">
        <v>0</v>
      </c>
      <c r="CA34" s="276" t="str">
        <f t="shared" si="25"/>
        <v>-</v>
      </c>
      <c r="CB34" s="125">
        <v>0</v>
      </c>
      <c r="CC34" s="126">
        <v>0</v>
      </c>
      <c r="CD34" s="139" t="str">
        <f t="shared" si="139"/>
        <v>-</v>
      </c>
      <c r="CE34" s="125">
        <v>0</v>
      </c>
      <c r="CF34" s="126">
        <v>0</v>
      </c>
      <c r="CG34" s="139" t="str">
        <f t="shared" si="145"/>
        <v>-</v>
      </c>
      <c r="CH34" s="125">
        <v>0</v>
      </c>
      <c r="CI34" s="126">
        <v>0</v>
      </c>
      <c r="CJ34" s="139" t="str">
        <f t="shared" si="146"/>
        <v>-</v>
      </c>
      <c r="CK34" s="125">
        <v>0</v>
      </c>
      <c r="CL34" s="126">
        <v>0</v>
      </c>
      <c r="CM34" s="139" t="str">
        <f t="shared" si="147"/>
        <v>-</v>
      </c>
      <c r="CN34" s="117">
        <f t="shared" si="35"/>
        <v>212</v>
      </c>
      <c r="CO34" s="120">
        <f t="shared" si="36"/>
        <v>33</v>
      </c>
      <c r="CP34" s="147">
        <f t="shared" si="30"/>
        <v>6.4242424242424239</v>
      </c>
    </row>
    <row r="35" spans="1:94" s="41" customFormat="1" ht="15.6" customHeight="1" thickBot="1" x14ac:dyDescent="0.35">
      <c r="A35" s="295" t="s">
        <v>33</v>
      </c>
      <c r="B35" s="43">
        <f>SUM(B5:B34)</f>
        <v>2310</v>
      </c>
      <c r="C35" s="43">
        <f>SUM(C5:C34)</f>
        <v>258</v>
      </c>
      <c r="D35" s="332">
        <f t="shared" ref="D35:BO35" si="151">SUM(D5:D34)</f>
        <v>267.64389319830497</v>
      </c>
      <c r="E35" s="43">
        <f>SUM(E5:E34)</f>
        <v>24</v>
      </c>
      <c r="F35" s="43">
        <f>SUM(F5:F34)</f>
        <v>3</v>
      </c>
      <c r="G35" s="332">
        <f t="shared" si="151"/>
        <v>16</v>
      </c>
      <c r="H35" s="43">
        <f>SUM(H5:H34)</f>
        <v>0</v>
      </c>
      <c r="I35" s="43">
        <f>SUM(I5:I34)</f>
        <v>0</v>
      </c>
      <c r="J35" s="43">
        <f t="shared" si="151"/>
        <v>0</v>
      </c>
      <c r="K35" s="43">
        <f>SUM(K5:K34)</f>
        <v>395</v>
      </c>
      <c r="L35" s="43">
        <f>SUM(L5:L34)</f>
        <v>45</v>
      </c>
      <c r="M35" s="334">
        <f t="shared" si="3"/>
        <v>8.7777777777777786</v>
      </c>
      <c r="N35" s="43">
        <f t="shared" si="151"/>
        <v>0</v>
      </c>
      <c r="O35" s="43">
        <f t="shared" si="151"/>
        <v>0</v>
      </c>
      <c r="P35" s="43">
        <f t="shared" si="151"/>
        <v>0</v>
      </c>
      <c r="Q35" s="43">
        <f>SUM(Q5:Q34)</f>
        <v>1549</v>
      </c>
      <c r="R35" s="43">
        <f>SUM(R5:R34)</f>
        <v>279</v>
      </c>
      <c r="S35" s="332">
        <f t="shared" si="151"/>
        <v>155.85070901320904</v>
      </c>
      <c r="T35" s="43">
        <f>SUM(T5:T34)</f>
        <v>1732</v>
      </c>
      <c r="U35" s="43">
        <f>SUM(U5:U34)</f>
        <v>294</v>
      </c>
      <c r="V35" s="333">
        <f t="shared" si="6"/>
        <v>5.8911564625850339</v>
      </c>
      <c r="W35" s="43">
        <f t="shared" si="151"/>
        <v>0</v>
      </c>
      <c r="X35" s="43">
        <f t="shared" si="151"/>
        <v>0</v>
      </c>
      <c r="Y35" s="43">
        <f t="shared" si="151"/>
        <v>0</v>
      </c>
      <c r="Z35" s="43">
        <f>SUM(Z5:Z34)</f>
        <v>668</v>
      </c>
      <c r="AA35" s="43">
        <f>SUM(AA5:AA34)</f>
        <v>137</v>
      </c>
      <c r="AB35" s="332">
        <f t="shared" si="151"/>
        <v>102.19005847953215</v>
      </c>
      <c r="AC35" s="43">
        <f>SUM(AC5:AC34)</f>
        <v>194</v>
      </c>
      <c r="AD35" s="43">
        <f>SUM(AD5:AD34)</f>
        <v>41</v>
      </c>
      <c r="AE35" s="332">
        <f t="shared" si="151"/>
        <v>23.883333333333333</v>
      </c>
      <c r="AF35" s="43">
        <f>SUM(AF5:AF34)</f>
        <v>84</v>
      </c>
      <c r="AG35" s="43">
        <f>SUM(AG5:AG34)</f>
        <v>14</v>
      </c>
      <c r="AH35" s="332">
        <f t="shared" si="151"/>
        <v>18</v>
      </c>
      <c r="AI35" s="43">
        <f>SUM(AI5:AI34)</f>
        <v>157</v>
      </c>
      <c r="AJ35" s="43">
        <f>SUM(AJ5:AJ34)</f>
        <v>27</v>
      </c>
      <c r="AK35" s="43">
        <f t="shared" si="151"/>
        <v>81.666666666666671</v>
      </c>
      <c r="AL35" s="43">
        <f>SUM(AL5:AL34)</f>
        <v>36</v>
      </c>
      <c r="AM35" s="43">
        <f>SUM(AM5:AM34)</f>
        <v>6</v>
      </c>
      <c r="AN35" s="43">
        <f t="shared" si="151"/>
        <v>24</v>
      </c>
      <c r="AO35" s="43">
        <f>SUM(AO5:AO34)</f>
        <v>321</v>
      </c>
      <c r="AP35" s="43">
        <f>SUM(AP5:AP34)</f>
        <v>54</v>
      </c>
      <c r="AQ35" s="43">
        <f t="shared" si="151"/>
        <v>99.773809523809533</v>
      </c>
      <c r="AR35" s="43">
        <f>SUM(AR5:AR34)</f>
        <v>93</v>
      </c>
      <c r="AS35" s="43">
        <f>SUM(AS5:AS34)</f>
        <v>17</v>
      </c>
      <c r="AT35" s="43">
        <f t="shared" si="151"/>
        <v>69.5</v>
      </c>
      <c r="AU35" s="43">
        <f t="shared" si="151"/>
        <v>0</v>
      </c>
      <c r="AV35" s="43">
        <f t="shared" si="151"/>
        <v>0</v>
      </c>
      <c r="AW35" s="43">
        <f t="shared" si="151"/>
        <v>0</v>
      </c>
      <c r="AX35" s="43">
        <f>SUM(AX5:AX34)</f>
        <v>35</v>
      </c>
      <c r="AY35" s="43">
        <f>SUM(AY5:AY34)</f>
        <v>17</v>
      </c>
      <c r="AZ35" s="43">
        <f t="shared" si="151"/>
        <v>27</v>
      </c>
      <c r="BA35" s="43">
        <f>SUM(BA5:BA34)</f>
        <v>0</v>
      </c>
      <c r="BB35" s="43">
        <f>SUM(BB5:BB34)</f>
        <v>0</v>
      </c>
      <c r="BC35" s="332">
        <f t="shared" si="151"/>
        <v>0</v>
      </c>
      <c r="BD35" s="43">
        <f>SUM(BD5:BD34)</f>
        <v>1</v>
      </c>
      <c r="BE35" s="43">
        <f t="shared" si="151"/>
        <v>1</v>
      </c>
      <c r="BF35" s="43">
        <f t="shared" si="151"/>
        <v>1</v>
      </c>
      <c r="BG35" s="43">
        <f t="shared" si="151"/>
        <v>0</v>
      </c>
      <c r="BH35" s="43">
        <f t="shared" si="151"/>
        <v>0</v>
      </c>
      <c r="BI35" s="43">
        <f t="shared" si="151"/>
        <v>0</v>
      </c>
      <c r="BJ35" s="43">
        <f>SUM(BJ5:BJ34)</f>
        <v>667</v>
      </c>
      <c r="BK35" s="43">
        <f>SUM(BK5:BK34)</f>
        <v>109</v>
      </c>
      <c r="BL35" s="332">
        <f t="shared" si="151"/>
        <v>164.02077922077922</v>
      </c>
      <c r="BM35" s="43">
        <f>SUM(BM5:BM34)</f>
        <v>22</v>
      </c>
      <c r="BN35" s="43">
        <f>SUM(BN5:BN34)</f>
        <v>3</v>
      </c>
      <c r="BO35" s="43">
        <f t="shared" si="151"/>
        <v>22</v>
      </c>
      <c r="BP35" s="43">
        <f>SUM(BP5:BP34)</f>
        <v>133</v>
      </c>
      <c r="BQ35" s="43">
        <f>SUM(BQ5:BQ34)</f>
        <v>19</v>
      </c>
      <c r="BR35" s="43">
        <f t="shared" ref="BR35:CO35" si="152">SUM(BR5:BR34)</f>
        <v>43</v>
      </c>
      <c r="BS35" s="43">
        <f>SUM(BS5:BS34)</f>
        <v>77</v>
      </c>
      <c r="BT35" s="43">
        <f>SUM(BT5:BT34)</f>
        <v>12</v>
      </c>
      <c r="BU35" s="43">
        <f t="shared" si="152"/>
        <v>57.666666666666671</v>
      </c>
      <c r="BV35" s="43">
        <f>SUM(BV5:BV34)</f>
        <v>68</v>
      </c>
      <c r="BW35" s="43">
        <f>SUM(BW5:BW34)</f>
        <v>18</v>
      </c>
      <c r="BX35" s="43">
        <f t="shared" si="152"/>
        <v>56.5</v>
      </c>
      <c r="BY35" s="43">
        <f t="shared" si="152"/>
        <v>0</v>
      </c>
      <c r="BZ35" s="43">
        <f t="shared" si="152"/>
        <v>0</v>
      </c>
      <c r="CA35" s="43">
        <f t="shared" si="152"/>
        <v>0</v>
      </c>
      <c r="CB35" s="43">
        <f>SUM(CB5:CB34)</f>
        <v>23</v>
      </c>
      <c r="CC35" s="43">
        <f>SUM(CC5:CC34)</f>
        <v>5</v>
      </c>
      <c r="CD35" s="43">
        <f t="shared" si="152"/>
        <v>16.5</v>
      </c>
      <c r="CE35" s="43">
        <f t="shared" si="152"/>
        <v>157</v>
      </c>
      <c r="CF35" s="43">
        <f t="shared" si="152"/>
        <v>26</v>
      </c>
      <c r="CG35" s="332">
        <f t="shared" si="152"/>
        <v>50.482142857142854</v>
      </c>
      <c r="CH35" s="43">
        <f t="shared" si="152"/>
        <v>0</v>
      </c>
      <c r="CI35" s="43">
        <f t="shared" si="152"/>
        <v>0</v>
      </c>
      <c r="CJ35" s="43">
        <f t="shared" si="152"/>
        <v>0</v>
      </c>
      <c r="CK35" s="43">
        <f t="shared" si="152"/>
        <v>0</v>
      </c>
      <c r="CL35" s="43">
        <f t="shared" si="152"/>
        <v>0</v>
      </c>
      <c r="CM35" s="43">
        <f t="shared" si="152"/>
        <v>0</v>
      </c>
      <c r="CN35" s="118">
        <f t="shared" si="152"/>
        <v>8746</v>
      </c>
      <c r="CO35" s="118">
        <f t="shared" si="152"/>
        <v>1385</v>
      </c>
      <c r="CP35" s="144">
        <f t="shared" si="30"/>
        <v>6.3148014440433213</v>
      </c>
    </row>
    <row r="36" spans="1:94" x14ac:dyDescent="0.3">
      <c r="A36" s="294"/>
      <c r="E36"/>
      <c r="F36"/>
      <c r="H36"/>
      <c r="I36"/>
      <c r="K36"/>
      <c r="L36"/>
      <c r="N36"/>
      <c r="O36"/>
      <c r="Q36"/>
      <c r="R36"/>
      <c r="T36"/>
      <c r="U36"/>
      <c r="W36"/>
      <c r="X36"/>
    </row>
    <row r="37" spans="1:94" x14ac:dyDescent="0.3">
      <c r="A37" s="294"/>
      <c r="E37"/>
      <c r="F37"/>
      <c r="H37"/>
      <c r="I37"/>
      <c r="K37"/>
      <c r="L37"/>
      <c r="N37"/>
      <c r="O37"/>
      <c r="Q37"/>
      <c r="R37"/>
      <c r="T37"/>
      <c r="U37"/>
      <c r="W37"/>
      <c r="X37"/>
    </row>
    <row r="38" spans="1:94" x14ac:dyDescent="0.3">
      <c r="A38" s="294"/>
    </row>
    <row r="39" spans="1:94" x14ac:dyDescent="0.3">
      <c r="A39" s="294"/>
    </row>
    <row r="40" spans="1:94" x14ac:dyDescent="0.3">
      <c r="A40" s="294"/>
    </row>
    <row r="41" spans="1:94" x14ac:dyDescent="0.3">
      <c r="A41" s="294"/>
    </row>
    <row r="42" spans="1:94" x14ac:dyDescent="0.3">
      <c r="A42" s="294"/>
    </row>
    <row r="43" spans="1:94" x14ac:dyDescent="0.3">
      <c r="A43" s="294"/>
    </row>
    <row r="44" spans="1:94" x14ac:dyDescent="0.3">
      <c r="A44" s="294"/>
    </row>
    <row r="45" spans="1:94" x14ac:dyDescent="0.3">
      <c r="A45" s="294"/>
    </row>
    <row r="46" spans="1:94" x14ac:dyDescent="0.3">
      <c r="A46" s="294"/>
    </row>
    <row r="47" spans="1:94" x14ac:dyDescent="0.3">
      <c r="A47" s="294"/>
    </row>
    <row r="48" spans="1:94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25B5-4D82-4355-88D4-5603BAF95F66}">
  <sheetPr>
    <tabColor rgb="FFFF0000"/>
  </sheetPr>
  <dimension ref="A1:CL43"/>
  <sheetViews>
    <sheetView workbookViewId="0">
      <selection activeCell="H16" sqref="H16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108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'September 2025'!B35</f>
        <v>2310</v>
      </c>
      <c r="C4" s="68"/>
      <c r="D4" s="95" t="s">
        <v>19</v>
      </c>
      <c r="E4" s="93">
        <f>'September 2025'!AX35</f>
        <v>35</v>
      </c>
      <c r="F4" s="68"/>
      <c r="G4" s="87" t="s">
        <v>24</v>
      </c>
      <c r="H4" s="81">
        <f>'September 2025'!BM35</f>
        <v>22</v>
      </c>
    </row>
    <row r="5" spans="1:90" x14ac:dyDescent="0.3">
      <c r="A5" s="80"/>
      <c r="B5" s="151">
        <f>'September 2025'!C35</f>
        <v>258</v>
      </c>
      <c r="C5" s="68"/>
      <c r="D5" s="85"/>
      <c r="E5" s="81">
        <f>'September 2025'!AY35</f>
        <v>17</v>
      </c>
      <c r="F5" s="68"/>
      <c r="G5" s="87"/>
      <c r="H5" s="81">
        <f>'September 2025'!BN35</f>
        <v>3</v>
      </c>
    </row>
    <row r="6" spans="1:90" x14ac:dyDescent="0.3">
      <c r="A6" s="82"/>
      <c r="B6" s="349">
        <f>B4/B5</f>
        <v>8.9534883720930232</v>
      </c>
      <c r="C6" s="68"/>
      <c r="D6" s="86"/>
      <c r="E6" s="258">
        <f>E4/E5</f>
        <v>2.0588235294117645</v>
      </c>
      <c r="F6" s="68"/>
      <c r="G6" s="88"/>
      <c r="H6" s="258">
        <f>H4/H5</f>
        <v>7.333333333333333</v>
      </c>
    </row>
    <row r="7" spans="1:90" x14ac:dyDescent="0.3">
      <c r="A7" s="80" t="s">
        <v>9</v>
      </c>
      <c r="B7" s="81">
        <f>'September 2025'!E35</f>
        <v>24</v>
      </c>
      <c r="C7" s="68"/>
      <c r="D7" s="85" t="s">
        <v>20</v>
      </c>
      <c r="E7" s="81">
        <f>'September 2025'!BA35</f>
        <v>0</v>
      </c>
      <c r="F7" s="68"/>
      <c r="G7" s="87" t="s">
        <v>25</v>
      </c>
      <c r="H7" s="151">
        <f>'September 2025'!BP35</f>
        <v>133</v>
      </c>
    </row>
    <row r="8" spans="1:90" x14ac:dyDescent="0.3">
      <c r="A8" s="80"/>
      <c r="B8" s="81">
        <f>'September 2025'!F35</f>
        <v>3</v>
      </c>
      <c r="C8" s="68"/>
      <c r="D8" s="85"/>
      <c r="E8" s="81">
        <f>'September 2025'!BB35</f>
        <v>0</v>
      </c>
      <c r="F8" s="68"/>
      <c r="G8" s="87"/>
      <c r="H8" s="151">
        <f>'September 2025'!BQ35</f>
        <v>19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58">
        <f>B7/B8</f>
        <v>8</v>
      </c>
      <c r="C9" s="68"/>
      <c r="D9" s="86"/>
      <c r="E9" s="258"/>
      <c r="F9" s="68"/>
      <c r="G9" s="88"/>
      <c r="H9" s="258">
        <f>H7/H8</f>
        <v>7</v>
      </c>
    </row>
    <row r="10" spans="1:90" x14ac:dyDescent="0.3">
      <c r="A10" s="80" t="s">
        <v>55</v>
      </c>
      <c r="B10" s="81">
        <f>'September 2025'!K35</f>
        <v>395</v>
      </c>
      <c r="C10" s="68"/>
      <c r="D10" s="85" t="s">
        <v>21</v>
      </c>
      <c r="E10" s="81">
        <f>'September 2025'!BD35</f>
        <v>1</v>
      </c>
      <c r="F10" s="68"/>
      <c r="G10" s="87" t="s">
        <v>26</v>
      </c>
      <c r="H10" s="151">
        <f>'September 2025'!BS35</f>
        <v>77</v>
      </c>
    </row>
    <row r="11" spans="1:90" x14ac:dyDescent="0.3">
      <c r="A11" s="80"/>
      <c r="B11" s="81">
        <f>'September 2025'!L35</f>
        <v>45</v>
      </c>
      <c r="C11" s="68"/>
      <c r="D11" s="85"/>
      <c r="E11" s="81">
        <f>'September 2025'!BE35</f>
        <v>1</v>
      </c>
      <c r="F11" s="68"/>
      <c r="G11" s="87"/>
      <c r="H11" s="81">
        <f>'September 2025'!BT35</f>
        <v>12</v>
      </c>
    </row>
    <row r="12" spans="1:90" x14ac:dyDescent="0.3">
      <c r="A12" s="82"/>
      <c r="B12" s="258">
        <f>B10/B11</f>
        <v>8.7777777777777786</v>
      </c>
      <c r="C12" s="68"/>
      <c r="D12" s="86"/>
      <c r="E12" s="258">
        <f>E10/E11</f>
        <v>1</v>
      </c>
      <c r="F12" s="68"/>
      <c r="G12" s="88"/>
      <c r="H12" s="258">
        <f>H10/H11</f>
        <v>6.416666666666667</v>
      </c>
    </row>
    <row r="13" spans="1:90" x14ac:dyDescent="0.3">
      <c r="A13" s="80" t="s">
        <v>11</v>
      </c>
      <c r="B13" s="81">
        <f>'September 2025'!Q35</f>
        <v>1549</v>
      </c>
      <c r="C13" s="68"/>
      <c r="D13" s="85" t="s">
        <v>22</v>
      </c>
      <c r="E13" s="81">
        <f>'September 2025'!BG35</f>
        <v>0</v>
      </c>
      <c r="F13" s="68"/>
      <c r="G13" s="87" t="s">
        <v>27</v>
      </c>
      <c r="H13" s="81">
        <f>'September 2025'!BV30</f>
        <v>10</v>
      </c>
    </row>
    <row r="14" spans="1:90" x14ac:dyDescent="0.3">
      <c r="A14" s="80"/>
      <c r="B14" s="81">
        <f>'September 2025'!R35</f>
        <v>279</v>
      </c>
      <c r="C14" s="68"/>
      <c r="D14" s="85"/>
      <c r="E14" s="81">
        <f>'September 2025'!BH35</f>
        <v>0</v>
      </c>
      <c r="F14" s="68"/>
      <c r="G14" s="87"/>
      <c r="H14" s="81">
        <f>'September 2025'!BW35</f>
        <v>18</v>
      </c>
    </row>
    <row r="15" spans="1:90" x14ac:dyDescent="0.3">
      <c r="A15" s="82"/>
      <c r="B15" s="258">
        <f>B13/B14</f>
        <v>5.5519713261648747</v>
      </c>
      <c r="C15" s="68"/>
      <c r="D15" s="85"/>
      <c r="E15" s="258"/>
      <c r="F15" s="68"/>
      <c r="G15" s="88"/>
      <c r="H15" s="258">
        <f>H13/H14</f>
        <v>0.55555555555555558</v>
      </c>
    </row>
    <row r="16" spans="1:90" x14ac:dyDescent="0.3">
      <c r="A16" s="80" t="s">
        <v>44</v>
      </c>
      <c r="B16" s="81">
        <f>'September 2025'!T35</f>
        <v>1732</v>
      </c>
      <c r="C16" s="68"/>
      <c r="D16" s="85" t="s">
        <v>45</v>
      </c>
      <c r="E16" s="26">
        <f>'September 2025'!BJ35</f>
        <v>667</v>
      </c>
      <c r="F16" s="68"/>
      <c r="G16" s="96" t="s">
        <v>28</v>
      </c>
      <c r="H16" s="97">
        <f>'September 2025'!CE35</f>
        <v>157</v>
      </c>
    </row>
    <row r="17" spans="1:8" x14ac:dyDescent="0.3">
      <c r="A17" s="80"/>
      <c r="B17" s="81">
        <f>'September 2025'!U35</f>
        <v>294</v>
      </c>
      <c r="C17" s="68"/>
      <c r="D17" s="85"/>
      <c r="E17" s="81">
        <f>'September 2025'!BK35</f>
        <v>109</v>
      </c>
      <c r="F17" s="68"/>
      <c r="G17" s="96"/>
      <c r="H17" s="97">
        <f>'September 2025'!CF35</f>
        <v>26</v>
      </c>
    </row>
    <row r="18" spans="1:8" ht="15" thickBot="1" x14ac:dyDescent="0.35">
      <c r="A18" s="82"/>
      <c r="B18" s="258">
        <f>B16/B17</f>
        <v>5.8911564625850339</v>
      </c>
      <c r="C18" s="68"/>
      <c r="D18" s="102"/>
      <c r="E18" s="260">
        <f>E16/E17</f>
        <v>6.1192660550458715</v>
      </c>
      <c r="F18" s="68"/>
      <c r="G18" s="98"/>
      <c r="H18" s="99">
        <f>H16/H17</f>
        <v>6.0384615384615383</v>
      </c>
    </row>
    <row r="19" spans="1:8" x14ac:dyDescent="0.3">
      <c r="A19" s="80" t="s">
        <v>85</v>
      </c>
      <c r="B19" s="81">
        <f>'September 2025'!W35</f>
        <v>0</v>
      </c>
      <c r="C19" s="68"/>
    </row>
    <row r="20" spans="1:8" x14ac:dyDescent="0.3">
      <c r="A20" s="80"/>
      <c r="B20" s="81">
        <f>'September 2025'!X35</f>
        <v>0</v>
      </c>
      <c r="C20" s="68"/>
    </row>
    <row r="21" spans="1:8" x14ac:dyDescent="0.3">
      <c r="A21" s="100"/>
      <c r="B21" s="259">
        <f>'September 2025'!Y335</f>
        <v>0</v>
      </c>
      <c r="C21" s="68"/>
    </row>
    <row r="22" spans="1:8" x14ac:dyDescent="0.3">
      <c r="A22" s="310" t="s">
        <v>86</v>
      </c>
      <c r="B22" s="311">
        <f>'September 2025'!Z35</f>
        <v>668</v>
      </c>
      <c r="C22" s="68"/>
      <c r="D22" s="68"/>
      <c r="E22" s="68"/>
    </row>
    <row r="23" spans="1:8" x14ac:dyDescent="0.3">
      <c r="A23" s="324"/>
      <c r="B23" s="323">
        <f>'September 2025'!AA35</f>
        <v>137</v>
      </c>
      <c r="C23" s="68"/>
      <c r="D23" s="68"/>
      <c r="E23" s="68"/>
    </row>
    <row r="24" spans="1:8" x14ac:dyDescent="0.3">
      <c r="A24" s="325"/>
      <c r="B24" s="350">
        <f>B22/B23</f>
        <v>4.8759124087591239</v>
      </c>
      <c r="C24" s="68"/>
      <c r="D24" s="68"/>
      <c r="E24" s="68"/>
    </row>
    <row r="25" spans="1:8" x14ac:dyDescent="0.3">
      <c r="A25" s="325" t="s">
        <v>79</v>
      </c>
      <c r="B25" s="274">
        <f>'September 2025'!AC35</f>
        <v>194</v>
      </c>
      <c r="C25" s="68"/>
      <c r="D25" s="68"/>
      <c r="E25" s="68"/>
    </row>
    <row r="26" spans="1:8" x14ac:dyDescent="0.3">
      <c r="A26" s="325"/>
      <c r="B26" s="274">
        <f>'September 2025'!AD35</f>
        <v>41</v>
      </c>
      <c r="C26" s="68"/>
      <c r="D26" s="68"/>
      <c r="E26" s="68"/>
    </row>
    <row r="27" spans="1:8" x14ac:dyDescent="0.3">
      <c r="A27" s="325"/>
      <c r="B27" s="350">
        <f>B25/B26</f>
        <v>4.7317073170731705</v>
      </c>
      <c r="C27" s="68"/>
      <c r="D27" s="68"/>
      <c r="E27" s="68"/>
    </row>
    <row r="28" spans="1:8" x14ac:dyDescent="0.3">
      <c r="A28" s="308" t="s">
        <v>14</v>
      </c>
      <c r="B28" s="309">
        <f>'September 2025'!AC35</f>
        <v>194</v>
      </c>
      <c r="C28" s="68"/>
      <c r="D28" s="68"/>
      <c r="E28" s="68"/>
    </row>
    <row r="29" spans="1:8" x14ac:dyDescent="0.3">
      <c r="A29" s="83"/>
      <c r="B29" s="81">
        <f>'September 2025'!AD35</f>
        <v>41</v>
      </c>
      <c r="C29" s="68"/>
      <c r="D29" s="68"/>
      <c r="E29" s="68"/>
    </row>
    <row r="30" spans="1:8" x14ac:dyDescent="0.3">
      <c r="A30" s="84"/>
      <c r="B30" s="350">
        <f>B28/B29</f>
        <v>4.7317073170731705</v>
      </c>
      <c r="C30" s="68"/>
      <c r="D30" s="68"/>
      <c r="E30" s="68"/>
    </row>
    <row r="31" spans="1:8" x14ac:dyDescent="0.3">
      <c r="A31" s="83" t="s">
        <v>15</v>
      </c>
      <c r="B31" s="81">
        <f>'September 2025'!AF35</f>
        <v>84</v>
      </c>
      <c r="C31" s="68"/>
      <c r="F31" s="68"/>
      <c r="G31" s="68"/>
    </row>
    <row r="32" spans="1:8" x14ac:dyDescent="0.3">
      <c r="A32" s="83"/>
      <c r="B32" s="81">
        <f>'September 2025'!AG35</f>
        <v>14</v>
      </c>
      <c r="C32" s="68"/>
      <c r="F32" s="68"/>
      <c r="G32" s="68"/>
    </row>
    <row r="33" spans="1:7" x14ac:dyDescent="0.3">
      <c r="A33" s="84"/>
      <c r="B33" s="350">
        <f>B31/B32</f>
        <v>6</v>
      </c>
      <c r="C33" s="68"/>
      <c r="F33" s="68"/>
      <c r="G33" s="68"/>
    </row>
    <row r="34" spans="1:7" x14ac:dyDescent="0.3">
      <c r="A34" s="83" t="s">
        <v>16</v>
      </c>
      <c r="B34" s="81">
        <f>'September 2025'!AL35</f>
        <v>36</v>
      </c>
      <c r="C34" s="68"/>
      <c r="F34" s="68"/>
      <c r="G34" s="68"/>
    </row>
    <row r="35" spans="1:7" x14ac:dyDescent="0.3">
      <c r="A35" s="83"/>
      <c r="B35" s="81">
        <f>'September 2025'!AM35</f>
        <v>6</v>
      </c>
      <c r="C35" s="68"/>
      <c r="F35" s="68"/>
      <c r="G35" s="68"/>
    </row>
    <row r="36" spans="1:7" x14ac:dyDescent="0.3">
      <c r="A36" s="84"/>
      <c r="B36" s="350">
        <f>B34/B35</f>
        <v>6</v>
      </c>
      <c r="C36" s="68"/>
      <c r="F36" s="68"/>
      <c r="G36" s="68"/>
    </row>
    <row r="37" spans="1:7" x14ac:dyDescent="0.3">
      <c r="A37" s="83" t="s">
        <v>17</v>
      </c>
      <c r="B37" s="81">
        <f>'September 2025'!AO35</f>
        <v>321</v>
      </c>
      <c r="C37" s="68"/>
      <c r="F37" s="68"/>
      <c r="G37" s="68"/>
    </row>
    <row r="38" spans="1:7" x14ac:dyDescent="0.3">
      <c r="A38" s="83"/>
      <c r="B38" s="81">
        <f>'September 2025'!AP35</f>
        <v>54</v>
      </c>
      <c r="C38" s="68"/>
      <c r="F38" s="68"/>
      <c r="G38" s="68"/>
    </row>
    <row r="39" spans="1:7" x14ac:dyDescent="0.3">
      <c r="A39" s="84"/>
      <c r="B39" s="350">
        <f>B37/B38</f>
        <v>5.9444444444444446</v>
      </c>
      <c r="C39" s="68"/>
      <c r="F39" s="68"/>
      <c r="G39" s="68"/>
    </row>
    <row r="40" spans="1:7" x14ac:dyDescent="0.3">
      <c r="A40" s="83" t="s">
        <v>59</v>
      </c>
      <c r="B40" s="81">
        <f>'September 2025'!AR35</f>
        <v>93</v>
      </c>
      <c r="C40" s="68"/>
      <c r="F40" s="68"/>
      <c r="G40" s="68"/>
    </row>
    <row r="41" spans="1:7" x14ac:dyDescent="0.3">
      <c r="A41" s="83"/>
      <c r="B41" s="81">
        <f>'September 2025'!AS35</f>
        <v>17</v>
      </c>
      <c r="C41" s="68"/>
      <c r="F41" s="68"/>
      <c r="G41" s="68"/>
    </row>
    <row r="42" spans="1:7" ht="15" thickBot="1" x14ac:dyDescent="0.35">
      <c r="A42" s="94"/>
      <c r="B42" s="350">
        <f>B40/B41</f>
        <v>5.4705882352941178</v>
      </c>
      <c r="C42" s="68"/>
      <c r="F42" s="68"/>
      <c r="G42" s="68"/>
    </row>
    <row r="43" spans="1:7" x14ac:dyDescent="0.3">
      <c r="F43" s="68"/>
      <c r="G43" s="68"/>
    </row>
  </sheetData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6AB2-B50B-4438-9135-525BD0FCF834}">
  <dimension ref="A1:CA126"/>
  <sheetViews>
    <sheetView workbookViewId="0">
      <pane xSplit="9" ySplit="11" topLeftCell="BC12" activePane="bottomRight" state="frozen"/>
      <selection pane="topRight" activeCell="J1" sqref="J1"/>
      <selection pane="bottomLeft" activeCell="A12" sqref="A12"/>
      <selection pane="bottomRight" activeCell="BT29" sqref="BT29"/>
    </sheetView>
  </sheetViews>
  <sheetFormatPr defaultRowHeight="14.4" x14ac:dyDescent="0.3"/>
  <cols>
    <col min="1" max="1" width="32" style="296" customWidth="1"/>
    <col min="2" max="3" width="8.88671875" customWidth="1"/>
    <col min="4" max="7" width="8.88671875" style="2" customWidth="1"/>
    <col min="8" max="9" width="8.88671875" style="2" hidden="1" customWidth="1"/>
    <col min="10" max="10" width="10" style="2" hidden="1" customWidth="1"/>
    <col min="11" max="24" width="8.88671875" style="2" customWidth="1"/>
    <col min="25" max="25" width="9.6640625" style="2" customWidth="1"/>
    <col min="26" max="27" width="8.88671875" style="2" hidden="1" customWidth="1"/>
    <col min="28" max="28" width="9.6640625" style="2" hidden="1" customWidth="1"/>
    <col min="29" max="46" width="9.6640625" style="2" customWidth="1"/>
    <col min="47" max="48" width="8.88671875" customWidth="1"/>
    <col min="49" max="49" width="8.88671875" style="2" customWidth="1"/>
    <col min="50" max="51" width="8.88671875" hidden="1" customWidth="1"/>
    <col min="52" max="52" width="8.88671875" style="2" hidden="1" customWidth="1"/>
    <col min="53" max="54" width="8.88671875" customWidth="1"/>
    <col min="55" max="55" width="8.88671875" style="2" customWidth="1"/>
    <col min="56" max="57" width="8.88671875" hidden="1" customWidth="1"/>
    <col min="58" max="58" width="7.33203125" style="2" hidden="1" customWidth="1"/>
    <col min="59" max="59" width="8.33203125" customWidth="1"/>
    <col min="60" max="60" width="9.6640625" customWidth="1"/>
    <col min="61" max="61" width="9.88671875" style="2" customWidth="1"/>
    <col min="62" max="62" width="8.33203125" hidden="1" customWidth="1"/>
    <col min="63" max="63" width="9.6640625" hidden="1" customWidth="1"/>
    <col min="64" max="64" width="8.88671875" style="2" hidden="1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2" width="8.88671875" customWidth="1"/>
    <col min="73" max="73" width="8.88671875" style="2" customWidth="1"/>
    <col min="74" max="76" width="8.88671875" customWidth="1"/>
    <col min="77" max="77" width="9.109375" style="79" bestFit="1" customWidth="1"/>
    <col min="78" max="78" width="9.109375" style="79"/>
    <col min="79" max="79" width="9.109375" style="2"/>
  </cols>
  <sheetData>
    <row r="1" spans="1:79" ht="18.600000000000001" thickBot="1" x14ac:dyDescent="0.4">
      <c r="A1" s="290" t="s">
        <v>110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68"/>
      <c r="BW1" s="68"/>
      <c r="BX1" s="68"/>
      <c r="BY1" s="113"/>
      <c r="BZ1" s="113"/>
      <c r="CA1" s="69"/>
    </row>
    <row r="2" spans="1:79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104" t="s">
        <v>1</v>
      </c>
      <c r="S2" s="282"/>
      <c r="T2" s="73"/>
      <c r="U2" s="73" t="s">
        <v>2</v>
      </c>
      <c r="V2" s="73"/>
      <c r="W2" s="77"/>
      <c r="X2" s="73" t="s">
        <v>2</v>
      </c>
      <c r="Y2" s="74"/>
      <c r="Z2" s="77"/>
      <c r="AA2" s="73" t="s">
        <v>2</v>
      </c>
      <c r="AB2" s="74"/>
      <c r="AC2" s="73"/>
      <c r="AD2" s="73" t="s">
        <v>2</v>
      </c>
      <c r="AE2" s="73"/>
      <c r="AF2" s="73"/>
      <c r="AG2" s="73" t="s">
        <v>2</v>
      </c>
      <c r="AH2" s="73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7"/>
      <c r="AS2" s="73" t="s">
        <v>2</v>
      </c>
      <c r="AT2" s="74"/>
      <c r="AU2" s="71"/>
      <c r="AV2" s="72" t="s">
        <v>3</v>
      </c>
      <c r="AW2" s="282"/>
      <c r="AX2" s="72"/>
      <c r="AY2" s="72" t="s">
        <v>3</v>
      </c>
      <c r="AZ2" s="74"/>
      <c r="BA2" s="72"/>
      <c r="BB2" s="72" t="s">
        <v>4</v>
      </c>
      <c r="BC2" s="73"/>
      <c r="BD2" s="71"/>
      <c r="BE2" s="72" t="s">
        <v>4</v>
      </c>
      <c r="BF2" s="74"/>
      <c r="BG2" s="72"/>
      <c r="BH2" s="72" t="s">
        <v>4</v>
      </c>
      <c r="BI2" s="282"/>
      <c r="BJ2" s="72"/>
      <c r="BK2" s="72" t="s">
        <v>4</v>
      </c>
      <c r="BL2" s="74"/>
      <c r="BM2" s="108"/>
      <c r="BN2" s="109" t="s">
        <v>5</v>
      </c>
      <c r="BO2" s="110"/>
      <c r="BP2" s="108"/>
      <c r="BQ2" s="109" t="s">
        <v>5</v>
      </c>
      <c r="BR2" s="111"/>
      <c r="BS2" s="109"/>
      <c r="BT2" s="109" t="s">
        <v>5</v>
      </c>
      <c r="BU2" s="110"/>
      <c r="BV2" s="108"/>
      <c r="BW2" s="109" t="s">
        <v>5</v>
      </c>
      <c r="BX2" s="112"/>
      <c r="BY2" s="114" t="s">
        <v>7</v>
      </c>
      <c r="BZ2" s="119"/>
      <c r="CA2" s="74"/>
    </row>
    <row r="3" spans="1:79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10</v>
      </c>
      <c r="I3" s="4"/>
      <c r="J3" s="33"/>
      <c r="K3" s="4" t="s">
        <v>55</v>
      </c>
      <c r="L3" s="4"/>
      <c r="M3" s="33"/>
      <c r="N3" s="4" t="s">
        <v>112</v>
      </c>
      <c r="O3" s="4"/>
      <c r="P3" s="283"/>
      <c r="Q3" s="4" t="s">
        <v>114</v>
      </c>
      <c r="R3" s="4"/>
      <c r="S3" s="283"/>
      <c r="T3" s="4" t="s">
        <v>11</v>
      </c>
      <c r="U3" s="4"/>
      <c r="V3" s="35"/>
      <c r="W3" s="3" t="s">
        <v>12</v>
      </c>
      <c r="X3" s="4"/>
      <c r="Y3" s="33"/>
      <c r="Z3" s="3" t="s">
        <v>35</v>
      </c>
      <c r="AA3" s="4"/>
      <c r="AB3" s="33"/>
      <c r="AC3" s="3" t="s">
        <v>73</v>
      </c>
      <c r="AD3" s="35"/>
      <c r="AE3" s="35"/>
      <c r="AF3" s="3" t="s">
        <v>111</v>
      </c>
      <c r="AG3" s="35"/>
      <c r="AH3" s="35"/>
      <c r="AI3" s="3" t="s">
        <v>62</v>
      </c>
      <c r="AJ3" s="4"/>
      <c r="AK3" s="33"/>
      <c r="AL3" s="3" t="s">
        <v>68</v>
      </c>
      <c r="AM3" s="4"/>
      <c r="AN3" s="33"/>
      <c r="AO3" s="3" t="s">
        <v>91</v>
      </c>
      <c r="AP3" s="4"/>
      <c r="AQ3" s="33"/>
      <c r="AR3" s="3" t="s">
        <v>69</v>
      </c>
      <c r="AS3" s="4"/>
      <c r="AT3" s="33"/>
      <c r="AU3" s="47" t="s">
        <v>14</v>
      </c>
      <c r="AV3" s="47"/>
      <c r="AW3" s="287"/>
      <c r="AX3" s="47" t="s">
        <v>15</v>
      </c>
      <c r="AY3" s="47"/>
      <c r="AZ3" s="48"/>
      <c r="BA3" s="47" t="s">
        <v>16</v>
      </c>
      <c r="BB3" s="47"/>
      <c r="BC3" s="351"/>
      <c r="BD3" s="46" t="s">
        <v>17</v>
      </c>
      <c r="BE3" s="47"/>
      <c r="BF3" s="48"/>
      <c r="BG3" s="47" t="s">
        <v>64</v>
      </c>
      <c r="BH3" s="47"/>
      <c r="BI3" s="287"/>
      <c r="BJ3" s="47" t="s">
        <v>64</v>
      </c>
      <c r="BK3" s="47"/>
      <c r="BL3" s="49"/>
      <c r="BM3" s="9" t="s">
        <v>36</v>
      </c>
      <c r="BN3" s="7"/>
      <c r="BO3" s="29"/>
      <c r="BP3" s="9" t="s">
        <v>37</v>
      </c>
      <c r="BQ3" s="7"/>
      <c r="BR3" s="31"/>
      <c r="BS3" s="7" t="s">
        <v>38</v>
      </c>
      <c r="BT3" s="7"/>
      <c r="BU3" s="29"/>
      <c r="BV3" s="9" t="s">
        <v>39</v>
      </c>
      <c r="BW3" s="7"/>
      <c r="BX3" s="8"/>
      <c r="BY3" s="115" t="s">
        <v>28</v>
      </c>
      <c r="BZ3" s="115"/>
      <c r="CA3" s="24"/>
    </row>
    <row r="4" spans="1:79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284" t="s">
        <v>31</v>
      </c>
      <c r="T4" s="6" t="s">
        <v>7</v>
      </c>
      <c r="U4" s="6" t="s">
        <v>30</v>
      </c>
      <c r="V4" s="36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" t="s">
        <v>7</v>
      </c>
      <c r="AS4" s="6" t="s">
        <v>30</v>
      </c>
      <c r="AT4" s="34" t="s">
        <v>31</v>
      </c>
      <c r="AU4" s="51" t="s">
        <v>7</v>
      </c>
      <c r="AV4" s="51" t="s">
        <v>30</v>
      </c>
      <c r="AW4" s="288" t="s">
        <v>31</v>
      </c>
      <c r="AX4" s="51" t="s">
        <v>7</v>
      </c>
      <c r="AY4" s="51" t="s">
        <v>30</v>
      </c>
      <c r="AZ4" s="52" t="s">
        <v>31</v>
      </c>
      <c r="BA4" s="51" t="s">
        <v>7</v>
      </c>
      <c r="BB4" s="51" t="s">
        <v>30</v>
      </c>
      <c r="BC4" s="352" t="s">
        <v>31</v>
      </c>
      <c r="BD4" s="50" t="s">
        <v>7</v>
      </c>
      <c r="BE4" s="51" t="s">
        <v>30</v>
      </c>
      <c r="BF4" s="52" t="s">
        <v>31</v>
      </c>
      <c r="BG4" s="51" t="s">
        <v>7</v>
      </c>
      <c r="BH4" s="51" t="s">
        <v>30</v>
      </c>
      <c r="BI4" s="288" t="s">
        <v>31</v>
      </c>
      <c r="BJ4" s="51" t="s">
        <v>7</v>
      </c>
      <c r="BK4" s="51" t="s">
        <v>30</v>
      </c>
      <c r="BL4" s="53" t="s">
        <v>31</v>
      </c>
      <c r="BM4" s="12" t="s">
        <v>7</v>
      </c>
      <c r="BN4" s="10" t="s">
        <v>30</v>
      </c>
      <c r="BO4" s="30" t="s">
        <v>31</v>
      </c>
      <c r="BP4" s="12" t="s">
        <v>7</v>
      </c>
      <c r="BQ4" s="10" t="s">
        <v>30</v>
      </c>
      <c r="BR4" s="32" t="s">
        <v>31</v>
      </c>
      <c r="BS4" s="10" t="s">
        <v>7</v>
      </c>
      <c r="BT4" s="10" t="s">
        <v>30</v>
      </c>
      <c r="BU4" s="30" t="s">
        <v>31</v>
      </c>
      <c r="BV4" s="12" t="s">
        <v>7</v>
      </c>
      <c r="BW4" s="10" t="s">
        <v>30</v>
      </c>
      <c r="BX4" s="11" t="s">
        <v>31</v>
      </c>
      <c r="BY4" s="116" t="s">
        <v>7</v>
      </c>
      <c r="BZ4" s="116" t="s">
        <v>30</v>
      </c>
      <c r="CA4" s="146" t="s">
        <v>31</v>
      </c>
    </row>
    <row r="5" spans="1:79" ht="15" thickBot="1" x14ac:dyDescent="0.35">
      <c r="A5" s="294">
        <v>45931</v>
      </c>
      <c r="B5" s="125">
        <v>81</v>
      </c>
      <c r="C5" s="126">
        <v>9</v>
      </c>
      <c r="D5" s="276">
        <f t="shared" ref="D5:D34" si="0">IF(C5=0,"-",B5/C5)</f>
        <v>9</v>
      </c>
      <c r="E5" s="125">
        <v>0</v>
      </c>
      <c r="F5" s="126">
        <v>0</v>
      </c>
      <c r="G5" s="139" t="str">
        <f t="shared" ref="G5:G34" si="1">IF(F5=0,"-",E5/F5)</f>
        <v>-</v>
      </c>
      <c r="H5" s="125">
        <v>0</v>
      </c>
      <c r="I5" s="126">
        <v>0</v>
      </c>
      <c r="J5" s="139" t="str">
        <f t="shared" ref="J5:J34" si="2">IF(I5=0,"-",H5/I5)</f>
        <v>-</v>
      </c>
      <c r="K5" s="125">
        <v>38</v>
      </c>
      <c r="L5" s="126">
        <v>4</v>
      </c>
      <c r="M5" s="276">
        <f t="shared" ref="M5:M36" si="3">IF(L5=0,"-",K5/L5)</f>
        <v>9.5</v>
      </c>
      <c r="N5" s="20">
        <v>0</v>
      </c>
      <c r="O5" s="21">
        <v>0</v>
      </c>
      <c r="P5" s="139" t="str">
        <f t="shared" ref="P5:P31" si="4">IF(O5=0,"-",N5/O5)</f>
        <v>-</v>
      </c>
      <c r="Q5" s="20">
        <v>0</v>
      </c>
      <c r="R5" s="21">
        <v>0</v>
      </c>
      <c r="S5" s="139" t="str">
        <f t="shared" ref="S5:S31" si="5">IF(R5=0,"-",Q5/R5)</f>
        <v>-</v>
      </c>
      <c r="T5" s="20">
        <v>42</v>
      </c>
      <c r="U5" s="21">
        <v>7</v>
      </c>
      <c r="V5" s="139">
        <f t="shared" ref="V5:V34" si="6">IF(U5=0,"-",T5/U5)</f>
        <v>6</v>
      </c>
      <c r="W5" s="20">
        <v>0</v>
      </c>
      <c r="X5" s="21">
        <v>0</v>
      </c>
      <c r="Y5" s="139" t="str">
        <f t="shared" ref="Y5:Y36" si="7">IF(X5=0,"-",W5/X5)</f>
        <v>-</v>
      </c>
      <c r="Z5" s="20">
        <v>0</v>
      </c>
      <c r="AA5" s="21">
        <v>0</v>
      </c>
      <c r="AB5" s="139" t="str">
        <f t="shared" ref="AB5:AB34" si="8">IF(AA5=0,"-",Z5/AA5)</f>
        <v>-</v>
      </c>
      <c r="AC5" s="20">
        <v>20</v>
      </c>
      <c r="AD5" s="21">
        <v>4</v>
      </c>
      <c r="AE5" s="139">
        <f t="shared" ref="AE5:AE36" si="9">IF(AD5=0,"-",AC5/AD5)</f>
        <v>5</v>
      </c>
      <c r="AF5" s="20">
        <v>0</v>
      </c>
      <c r="AG5" s="21">
        <v>0</v>
      </c>
      <c r="AH5" s="139" t="str">
        <f t="shared" ref="AH5:AH34" si="10">IF(AG5=0,"-",AF5/AG5)</f>
        <v>-</v>
      </c>
      <c r="AI5" s="20">
        <v>18</v>
      </c>
      <c r="AJ5" s="21">
        <v>3</v>
      </c>
      <c r="AK5" s="139">
        <f t="shared" ref="AK5:AK34" si="11">IF(AJ5=0,"-",AI5/AJ5)</f>
        <v>6</v>
      </c>
      <c r="AL5" s="20">
        <v>6</v>
      </c>
      <c r="AM5" s="21">
        <v>1</v>
      </c>
      <c r="AN5" s="139">
        <f t="shared" ref="AN5:AN34" si="12">IF(AM5=0,"-",AL5/AM5)</f>
        <v>6</v>
      </c>
      <c r="AO5" s="20">
        <v>6</v>
      </c>
      <c r="AP5" s="21">
        <v>1</v>
      </c>
      <c r="AQ5" s="139">
        <f t="shared" ref="AQ5:AQ34" si="13">IF(AP5=0,"-",AO5/AP5)</f>
        <v>6</v>
      </c>
      <c r="AR5" s="20">
        <v>12</v>
      </c>
      <c r="AS5" s="21">
        <v>2</v>
      </c>
      <c r="AT5" s="139">
        <f t="shared" ref="AT5:AT34" si="14">IF(AS5=0,"-",AR5/AS5)</f>
        <v>6</v>
      </c>
      <c r="AU5" s="20">
        <v>8</v>
      </c>
      <c r="AV5" s="21">
        <v>2</v>
      </c>
      <c r="AW5" s="139">
        <f t="shared" ref="AW5:AW34" si="15">IF(AV5=0,"-",AU5/AV5)</f>
        <v>4</v>
      </c>
      <c r="AX5" s="20">
        <v>0</v>
      </c>
      <c r="AY5" s="21">
        <v>0</v>
      </c>
      <c r="AZ5" s="139" t="str">
        <f t="shared" ref="AZ5:AZ34" si="16">IF(AY5=0,"-",AX5/AY5)</f>
        <v>-</v>
      </c>
      <c r="BA5" s="20">
        <v>2</v>
      </c>
      <c r="BB5" s="21">
        <v>1</v>
      </c>
      <c r="BC5" s="139">
        <f t="shared" ref="BC5:BC34" si="17">IF(BB5=0,"-",BA5/BB5)</f>
        <v>2</v>
      </c>
      <c r="BD5" s="20">
        <v>0</v>
      </c>
      <c r="BE5" s="21">
        <v>0</v>
      </c>
      <c r="BF5" s="139" t="str">
        <f t="shared" ref="BF5:BF34" si="18">IF(BE5=0,"-",BD5/BE5)</f>
        <v>-</v>
      </c>
      <c r="BG5" s="20">
        <v>0</v>
      </c>
      <c r="BH5" s="21">
        <v>0</v>
      </c>
      <c r="BI5" s="139" t="str">
        <f t="shared" ref="BI5:BI34" si="19">IF(BH5=0,"-",BG5/BH5)</f>
        <v>-</v>
      </c>
      <c r="BJ5" s="20">
        <v>0</v>
      </c>
      <c r="BK5" s="21">
        <v>0</v>
      </c>
      <c r="BL5" s="139" t="str">
        <f t="shared" ref="BL5:BL34" si="20">IF(BK5=0,"-",BJ5/BK5)</f>
        <v>-</v>
      </c>
      <c r="BM5" s="250">
        <v>46</v>
      </c>
      <c r="BN5" s="251">
        <v>7</v>
      </c>
      <c r="BO5" s="276">
        <f t="shared" ref="BO5:BO34" si="21">IF(BN5=0,"-",BM5/BN5)</f>
        <v>6.5714285714285712</v>
      </c>
      <c r="BP5" s="250">
        <v>0</v>
      </c>
      <c r="BQ5" s="251">
        <v>0</v>
      </c>
      <c r="BR5" s="276" t="str">
        <f t="shared" ref="BR5:BR34" si="22">IF(BQ5=0,"-",BP5/BQ5)</f>
        <v>-</v>
      </c>
      <c r="BS5" s="326">
        <v>0</v>
      </c>
      <c r="BT5" s="327">
        <v>0</v>
      </c>
      <c r="BU5" s="276" t="str">
        <f t="shared" ref="BU5:BU34" si="23">IF(BT5=0,"-",BS5/BT5)</f>
        <v>-</v>
      </c>
      <c r="BV5" s="254">
        <v>0</v>
      </c>
      <c r="BW5" s="255">
        <v>0</v>
      </c>
      <c r="BX5" s="276" t="str">
        <f t="shared" ref="BX5:BX34" si="24">IF(BW5=0,"-",BV5/BW5)</f>
        <v>-</v>
      </c>
      <c r="BY5" s="117">
        <f>SUM(B5,E5,K5,N5,Q5,T5,W5,AC5,AF5,AI5,AL5,AO5,AR5,AU5,BA5,BG5,BM5,BP5,BS5,BV5)</f>
        <v>279</v>
      </c>
      <c r="BZ5" s="117">
        <f>SUM(C5,F5,L5,O5,R5,U5,X5,AD5,AG5,AJ5,AM5,AP5,AS5,AV5,BB5,BH5,BN5,BQ5,BT5,BW5)</f>
        <v>41</v>
      </c>
      <c r="CA5" s="147">
        <f t="shared" ref="CA5:CA36" si="25">IF(BZ5=0,"",BY5/BZ5)</f>
        <v>6.8048780487804876</v>
      </c>
    </row>
    <row r="6" spans="1:79" ht="15" thickBot="1" x14ac:dyDescent="0.35">
      <c r="A6" s="294">
        <v>45932</v>
      </c>
      <c r="B6" s="20">
        <v>88</v>
      </c>
      <c r="C6" s="21">
        <v>10</v>
      </c>
      <c r="D6" s="139">
        <f t="shared" si="0"/>
        <v>8.8000000000000007</v>
      </c>
      <c r="E6" s="125">
        <v>8</v>
      </c>
      <c r="F6" s="126">
        <v>1</v>
      </c>
      <c r="G6" s="139">
        <f t="shared" si="1"/>
        <v>8</v>
      </c>
      <c r="H6" s="125">
        <v>0</v>
      </c>
      <c r="I6" s="126">
        <v>0</v>
      </c>
      <c r="J6" s="139" t="str">
        <f t="shared" si="2"/>
        <v>-</v>
      </c>
      <c r="K6" s="20">
        <v>19</v>
      </c>
      <c r="L6" s="21">
        <v>2</v>
      </c>
      <c r="M6" s="139">
        <f t="shared" si="3"/>
        <v>9.5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57</v>
      </c>
      <c r="U6" s="21">
        <v>10</v>
      </c>
      <c r="V6" s="139">
        <f t="shared" si="6"/>
        <v>5.7</v>
      </c>
      <c r="W6" s="21">
        <v>0</v>
      </c>
      <c r="X6" s="21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20">
        <v>20</v>
      </c>
      <c r="AD6" s="21">
        <v>4</v>
      </c>
      <c r="AE6" s="139">
        <f t="shared" si="9"/>
        <v>5</v>
      </c>
      <c r="AF6" s="20">
        <v>15</v>
      </c>
      <c r="AG6" s="21">
        <v>3</v>
      </c>
      <c r="AH6" s="139">
        <f t="shared" si="10"/>
        <v>5</v>
      </c>
      <c r="AI6" s="20">
        <v>18</v>
      </c>
      <c r="AJ6" s="21">
        <v>3</v>
      </c>
      <c r="AK6" s="139">
        <f t="shared" si="11"/>
        <v>6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3</v>
      </c>
      <c r="AV6" s="21">
        <v>1</v>
      </c>
      <c r="AW6" s="139">
        <f t="shared" si="15"/>
        <v>3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252">
        <v>7</v>
      </c>
      <c r="BN6" s="253">
        <v>1</v>
      </c>
      <c r="BO6" s="276">
        <f t="shared" si="21"/>
        <v>7</v>
      </c>
      <c r="BP6" s="252">
        <v>0</v>
      </c>
      <c r="BQ6" s="253">
        <v>0</v>
      </c>
      <c r="BR6" s="276" t="str">
        <f t="shared" si="22"/>
        <v>-</v>
      </c>
      <c r="BS6" s="302">
        <v>0</v>
      </c>
      <c r="BT6" s="303">
        <v>0</v>
      </c>
      <c r="BU6" s="276" t="str">
        <f t="shared" si="23"/>
        <v>-</v>
      </c>
      <c r="BV6" s="256">
        <v>0</v>
      </c>
      <c r="BW6" s="253">
        <v>0</v>
      </c>
      <c r="BX6" s="276" t="str">
        <f t="shared" si="24"/>
        <v>-</v>
      </c>
      <c r="BY6" s="117">
        <f t="shared" ref="BY6:BY35" si="26">SUM(B6,E6,K6,N6,Q6,T6,W6,AC6,AF6,AI6,AL6,AO6,AR6,AU6,BA6,BG6,BM6,BP6,BS6,BV6)</f>
        <v>235</v>
      </c>
      <c r="BZ6" s="117">
        <f t="shared" ref="BZ6:BZ35" si="27">SUM(C6,F6,L6,O6,R6,U6,X6,AD6,AG6,AJ6,AM6,AP6,AS6,AV6,BB6,BH6,BN6,BQ6,BT6,BW6)</f>
        <v>35</v>
      </c>
      <c r="CA6" s="147">
        <f t="shared" si="25"/>
        <v>6.7142857142857144</v>
      </c>
    </row>
    <row r="7" spans="1:79" ht="15" thickBot="1" x14ac:dyDescent="0.35">
      <c r="A7" s="294">
        <v>45933</v>
      </c>
      <c r="B7" s="20">
        <v>77</v>
      </c>
      <c r="C7" s="21">
        <v>9</v>
      </c>
      <c r="D7" s="139">
        <f t="shared" si="0"/>
        <v>8.5555555555555554</v>
      </c>
      <c r="E7" s="125">
        <v>0</v>
      </c>
      <c r="F7" s="126">
        <v>0</v>
      </c>
      <c r="G7" s="139" t="str">
        <f t="shared" si="1"/>
        <v>-</v>
      </c>
      <c r="H7" s="125">
        <v>0</v>
      </c>
      <c r="I7" s="126">
        <v>0</v>
      </c>
      <c r="J7" s="139" t="str">
        <f t="shared" si="2"/>
        <v>-</v>
      </c>
      <c r="K7" s="20">
        <v>44</v>
      </c>
      <c r="L7" s="21">
        <v>5</v>
      </c>
      <c r="M7" s="139">
        <f t="shared" si="3"/>
        <v>8.8000000000000007</v>
      </c>
      <c r="N7" s="20">
        <v>0</v>
      </c>
      <c r="O7" s="21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si="5"/>
        <v>-</v>
      </c>
      <c r="T7" s="20">
        <v>55</v>
      </c>
      <c r="U7" s="21">
        <v>10</v>
      </c>
      <c r="V7" s="139">
        <f t="shared" si="6"/>
        <v>5.5</v>
      </c>
      <c r="W7" s="20">
        <v>0</v>
      </c>
      <c r="X7" s="21">
        <v>0</v>
      </c>
      <c r="Y7" s="139" t="str">
        <f t="shared" si="7"/>
        <v>-</v>
      </c>
      <c r="Z7" s="20">
        <v>0</v>
      </c>
      <c r="AA7" s="21">
        <v>0</v>
      </c>
      <c r="AB7" s="139" t="str">
        <f t="shared" si="8"/>
        <v>-</v>
      </c>
      <c r="AC7" s="20">
        <v>20</v>
      </c>
      <c r="AD7" s="21">
        <v>4</v>
      </c>
      <c r="AE7" s="139">
        <f t="shared" si="9"/>
        <v>5</v>
      </c>
      <c r="AF7" s="20">
        <v>15</v>
      </c>
      <c r="AG7" s="21">
        <v>3</v>
      </c>
      <c r="AH7" s="139">
        <f t="shared" si="10"/>
        <v>5</v>
      </c>
      <c r="AI7" s="20">
        <v>0</v>
      </c>
      <c r="AJ7" s="21">
        <v>0</v>
      </c>
      <c r="AK7" s="139" t="str">
        <f t="shared" si="11"/>
        <v>-</v>
      </c>
      <c r="AL7" s="20">
        <v>0</v>
      </c>
      <c r="AM7" s="21">
        <v>0</v>
      </c>
      <c r="AN7" s="139" t="str">
        <f t="shared" si="12"/>
        <v>-</v>
      </c>
      <c r="AO7" s="20">
        <v>0</v>
      </c>
      <c r="AP7" s="21">
        <v>0</v>
      </c>
      <c r="AQ7" s="139" t="str">
        <f t="shared" si="13"/>
        <v>-</v>
      </c>
      <c r="AR7" s="20">
        <v>12</v>
      </c>
      <c r="AS7" s="21">
        <v>2</v>
      </c>
      <c r="AT7" s="139">
        <f t="shared" si="14"/>
        <v>6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139" t="str">
        <f t="shared" si="19"/>
        <v>-</v>
      </c>
      <c r="BJ7" s="20">
        <v>0</v>
      </c>
      <c r="BK7" s="21">
        <v>0</v>
      </c>
      <c r="BL7" s="139" t="str">
        <f t="shared" si="20"/>
        <v>-</v>
      </c>
      <c r="BM7" s="252">
        <v>6</v>
      </c>
      <c r="BN7" s="253">
        <v>1</v>
      </c>
      <c r="BO7" s="276">
        <f t="shared" si="21"/>
        <v>6</v>
      </c>
      <c r="BP7" s="252">
        <v>8</v>
      </c>
      <c r="BQ7" s="253">
        <v>1</v>
      </c>
      <c r="BR7" s="276">
        <f t="shared" si="22"/>
        <v>8</v>
      </c>
      <c r="BS7" s="302">
        <v>28</v>
      </c>
      <c r="BT7" s="303">
        <v>4</v>
      </c>
      <c r="BU7" s="276">
        <f t="shared" si="23"/>
        <v>7</v>
      </c>
      <c r="BV7" s="256">
        <v>0</v>
      </c>
      <c r="BW7" s="253">
        <v>0</v>
      </c>
      <c r="BX7" s="276" t="str">
        <f t="shared" si="24"/>
        <v>-</v>
      </c>
      <c r="BY7" s="117">
        <f t="shared" si="26"/>
        <v>265</v>
      </c>
      <c r="BZ7" s="117">
        <f t="shared" si="27"/>
        <v>39</v>
      </c>
      <c r="CA7" s="147">
        <f t="shared" si="25"/>
        <v>6.7948717948717947</v>
      </c>
    </row>
    <row r="8" spans="1:79" ht="15" thickBot="1" x14ac:dyDescent="0.35">
      <c r="A8" s="294">
        <v>45934</v>
      </c>
      <c r="B8" s="20">
        <v>34</v>
      </c>
      <c r="C8" s="21">
        <v>4</v>
      </c>
      <c r="D8" s="139">
        <f t="shared" si="0"/>
        <v>8.5</v>
      </c>
      <c r="E8" s="125">
        <v>0</v>
      </c>
      <c r="F8" s="126">
        <v>0</v>
      </c>
      <c r="G8" s="139" t="str">
        <f t="shared" si="1"/>
        <v>-</v>
      </c>
      <c r="H8" s="125">
        <v>0</v>
      </c>
      <c r="I8" s="126">
        <v>0</v>
      </c>
      <c r="J8" s="139" t="str">
        <f t="shared" si="2"/>
        <v>-</v>
      </c>
      <c r="K8" s="20">
        <v>0</v>
      </c>
      <c r="L8" s="21">
        <v>0</v>
      </c>
      <c r="M8" s="139" t="str">
        <f t="shared" si="3"/>
        <v>-</v>
      </c>
      <c r="N8" s="20">
        <v>0</v>
      </c>
      <c r="O8" s="21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0</v>
      </c>
      <c r="U8" s="21">
        <v>0</v>
      </c>
      <c r="V8" s="139" t="str">
        <f t="shared" si="6"/>
        <v>-</v>
      </c>
      <c r="W8" s="20">
        <v>0</v>
      </c>
      <c r="X8" s="21">
        <v>0</v>
      </c>
      <c r="Y8" s="139" t="str">
        <f t="shared" si="7"/>
        <v>-</v>
      </c>
      <c r="Z8" s="20">
        <v>0</v>
      </c>
      <c r="AA8" s="21">
        <v>0</v>
      </c>
      <c r="AB8" s="139" t="str">
        <f t="shared" si="8"/>
        <v>-</v>
      </c>
      <c r="AC8" s="20">
        <v>0</v>
      </c>
      <c r="AD8" s="21">
        <v>0</v>
      </c>
      <c r="AE8" s="139" t="str">
        <f t="shared" si="9"/>
        <v>-</v>
      </c>
      <c r="AF8" s="20">
        <v>9</v>
      </c>
      <c r="AG8" s="21">
        <v>2</v>
      </c>
      <c r="AH8" s="139">
        <f t="shared" si="10"/>
        <v>4.5</v>
      </c>
      <c r="AI8" s="20">
        <v>0</v>
      </c>
      <c r="AJ8" s="21">
        <v>0</v>
      </c>
      <c r="AK8" s="139" t="str">
        <f t="shared" si="11"/>
        <v>-</v>
      </c>
      <c r="AL8" s="20">
        <v>30</v>
      </c>
      <c r="AM8" s="21">
        <v>5</v>
      </c>
      <c r="AN8" s="139">
        <f t="shared" si="12"/>
        <v>6</v>
      </c>
      <c r="AO8" s="20">
        <v>0</v>
      </c>
      <c r="AP8" s="21">
        <v>0</v>
      </c>
      <c r="AQ8" s="139" t="str">
        <f t="shared" si="13"/>
        <v>-</v>
      </c>
      <c r="AR8" s="20">
        <v>50</v>
      </c>
      <c r="AS8" s="21">
        <v>8</v>
      </c>
      <c r="AT8" s="139">
        <f t="shared" si="14"/>
        <v>6.25</v>
      </c>
      <c r="AU8" s="20">
        <v>0</v>
      </c>
      <c r="AV8" s="21">
        <v>0</v>
      </c>
      <c r="AW8" s="139" t="str">
        <f t="shared" ref="AW8" si="28">IF(AV8=0,"-",AU8/AV8)</f>
        <v>-</v>
      </c>
      <c r="AX8" s="20">
        <v>0</v>
      </c>
      <c r="AY8" s="21">
        <v>0</v>
      </c>
      <c r="AZ8" s="139" t="str">
        <f t="shared" ref="AZ8" si="29">IF(AY8=0,"-",AX8/AY8)</f>
        <v>-</v>
      </c>
      <c r="BA8" s="20">
        <v>0</v>
      </c>
      <c r="BB8" s="21">
        <v>0</v>
      </c>
      <c r="BC8" s="139" t="str">
        <f t="shared" ref="BC8" si="30">IF(BB8=0,"-",BA8/BB8)</f>
        <v>-</v>
      </c>
      <c r="BD8" s="20">
        <v>0</v>
      </c>
      <c r="BE8" s="21">
        <v>0</v>
      </c>
      <c r="BF8" s="139" t="str">
        <f t="shared" ref="BF8" si="31">IF(BE8=0,"-",BD8/BE8)</f>
        <v>-</v>
      </c>
      <c r="BG8" s="20">
        <v>0</v>
      </c>
      <c r="BH8" s="21">
        <v>0</v>
      </c>
      <c r="BI8" s="139" t="str">
        <f t="shared" si="19"/>
        <v>-</v>
      </c>
      <c r="BJ8" s="20">
        <v>0</v>
      </c>
      <c r="BK8" s="21">
        <v>0</v>
      </c>
      <c r="BL8" s="139" t="str">
        <f t="shared" si="20"/>
        <v>-</v>
      </c>
      <c r="BM8" s="252">
        <v>20</v>
      </c>
      <c r="BN8" s="253">
        <v>3</v>
      </c>
      <c r="BO8" s="276">
        <f t="shared" si="21"/>
        <v>6.666666666666667</v>
      </c>
      <c r="BP8" s="252">
        <v>0</v>
      </c>
      <c r="BQ8" s="253">
        <v>0</v>
      </c>
      <c r="BR8" s="276" t="str">
        <f t="shared" si="22"/>
        <v>-</v>
      </c>
      <c r="BS8" s="302">
        <v>0</v>
      </c>
      <c r="BT8" s="303">
        <v>0</v>
      </c>
      <c r="BU8" s="276" t="str">
        <f t="shared" si="23"/>
        <v>-</v>
      </c>
      <c r="BV8" s="256">
        <v>0</v>
      </c>
      <c r="BW8" s="253">
        <v>0</v>
      </c>
      <c r="BX8" s="276" t="str">
        <f t="shared" si="24"/>
        <v>-</v>
      </c>
      <c r="BY8" s="117">
        <f t="shared" si="26"/>
        <v>143</v>
      </c>
      <c r="BZ8" s="117">
        <f t="shared" si="27"/>
        <v>22</v>
      </c>
      <c r="CA8" s="147">
        <f t="shared" si="25"/>
        <v>6.5</v>
      </c>
    </row>
    <row r="9" spans="1:79" ht="15" thickBot="1" x14ac:dyDescent="0.35">
      <c r="A9" s="294">
        <v>45935</v>
      </c>
      <c r="B9" s="20">
        <v>94</v>
      </c>
      <c r="C9" s="21">
        <v>11</v>
      </c>
      <c r="D9" s="139">
        <f t="shared" si="0"/>
        <v>8.545454545454545</v>
      </c>
      <c r="E9" s="125">
        <v>0</v>
      </c>
      <c r="F9" s="126">
        <v>0</v>
      </c>
      <c r="G9" s="139" t="str">
        <f t="shared" si="1"/>
        <v>-</v>
      </c>
      <c r="H9" s="125">
        <v>0</v>
      </c>
      <c r="I9" s="126">
        <v>0</v>
      </c>
      <c r="J9" s="139" t="str">
        <f t="shared" si="2"/>
        <v>-</v>
      </c>
      <c r="K9" s="125">
        <v>0</v>
      </c>
      <c r="L9" s="126">
        <v>0</v>
      </c>
      <c r="M9" s="139" t="str">
        <f t="shared" si="3"/>
        <v>-</v>
      </c>
      <c r="N9" s="20">
        <v>0</v>
      </c>
      <c r="O9" s="21">
        <v>0</v>
      </c>
      <c r="P9" s="139" t="str">
        <f t="shared" si="4"/>
        <v>-</v>
      </c>
      <c r="Q9" s="20">
        <v>0</v>
      </c>
      <c r="R9" s="21">
        <v>0</v>
      </c>
      <c r="S9" s="139" t="str">
        <f t="shared" si="5"/>
        <v>-</v>
      </c>
      <c r="T9" s="20">
        <v>0</v>
      </c>
      <c r="U9" s="21">
        <v>0</v>
      </c>
      <c r="V9" s="139" t="str">
        <f t="shared" ref="V9" si="32">IF(U9=0,"-",T9/U9)</f>
        <v>-</v>
      </c>
      <c r="W9" s="20">
        <v>0</v>
      </c>
      <c r="X9" s="21">
        <v>0</v>
      </c>
      <c r="Y9" s="139" t="str">
        <f t="shared" ref="Y9" si="33">IF(X9=0,"-",W9/X9)</f>
        <v>-</v>
      </c>
      <c r="Z9" s="20">
        <v>0</v>
      </c>
      <c r="AA9" s="21">
        <v>0</v>
      </c>
      <c r="AB9" s="139" t="str">
        <f t="shared" ref="AB9" si="34">IF(AA9=0,"-",Z9/AA9)</f>
        <v>-</v>
      </c>
      <c r="AC9" s="20">
        <v>0</v>
      </c>
      <c r="AD9" s="21">
        <v>0</v>
      </c>
      <c r="AE9" s="139" t="str">
        <f t="shared" ref="AE9" si="35">IF(AD9=0,"-",AC9/AD9)</f>
        <v>-</v>
      </c>
      <c r="AF9" s="20">
        <v>0</v>
      </c>
      <c r="AG9" s="21">
        <v>0</v>
      </c>
      <c r="AH9" s="139" t="str">
        <f t="shared" si="10"/>
        <v>-</v>
      </c>
      <c r="AI9" s="20">
        <v>0</v>
      </c>
      <c r="AJ9" s="21">
        <v>0</v>
      </c>
      <c r="AK9" s="139" t="str">
        <f t="shared" si="11"/>
        <v>-</v>
      </c>
      <c r="AL9" s="20">
        <v>0</v>
      </c>
      <c r="AM9" s="21">
        <v>0</v>
      </c>
      <c r="AN9" s="139" t="str">
        <f t="shared" si="12"/>
        <v>-</v>
      </c>
      <c r="AO9" s="20">
        <v>0</v>
      </c>
      <c r="AP9" s="21">
        <v>0</v>
      </c>
      <c r="AQ9" s="139" t="str">
        <f t="shared" si="13"/>
        <v>-</v>
      </c>
      <c r="AR9" s="20">
        <v>0</v>
      </c>
      <c r="AS9" s="21">
        <v>0</v>
      </c>
      <c r="AT9" s="139" t="str">
        <f t="shared" si="14"/>
        <v>-</v>
      </c>
      <c r="AU9" s="20">
        <v>0</v>
      </c>
      <c r="AV9" s="21">
        <v>0</v>
      </c>
      <c r="AW9" s="139" t="str">
        <f t="shared" ref="AW9" si="36">IF(AV9=0,"-",AU9/AV9)</f>
        <v>-</v>
      </c>
      <c r="AX9" s="20">
        <v>0</v>
      </c>
      <c r="AY9" s="21">
        <v>0</v>
      </c>
      <c r="AZ9" s="139" t="str">
        <f t="shared" ref="AZ9" si="37">IF(AY9=0,"-",AX9/AY9)</f>
        <v>-</v>
      </c>
      <c r="BA9" s="20">
        <v>0</v>
      </c>
      <c r="BB9" s="21">
        <v>0</v>
      </c>
      <c r="BC9" s="139" t="str">
        <f t="shared" ref="BC9" si="38">IF(BB9=0,"-",BA9/BB9)</f>
        <v>-</v>
      </c>
      <c r="BD9" s="20">
        <v>0</v>
      </c>
      <c r="BE9" s="21">
        <v>0</v>
      </c>
      <c r="BF9" s="139" t="str">
        <f t="shared" ref="BF9" si="39">IF(BE9=0,"-",BD9/BE9)</f>
        <v>-</v>
      </c>
      <c r="BG9" s="20">
        <v>0</v>
      </c>
      <c r="BH9" s="21">
        <v>0</v>
      </c>
      <c r="BI9" s="139" t="str">
        <f t="shared" si="19"/>
        <v>-</v>
      </c>
      <c r="BJ9" s="20">
        <v>0</v>
      </c>
      <c r="BK9" s="21">
        <v>0</v>
      </c>
      <c r="BL9" s="139" t="str">
        <f t="shared" si="20"/>
        <v>-</v>
      </c>
      <c r="BM9" s="252">
        <v>10</v>
      </c>
      <c r="BN9" s="253">
        <v>2</v>
      </c>
      <c r="BO9" s="276">
        <f t="shared" si="21"/>
        <v>5</v>
      </c>
      <c r="BP9" s="252">
        <v>8</v>
      </c>
      <c r="BQ9" s="253">
        <v>1</v>
      </c>
      <c r="BR9" s="276">
        <f t="shared" si="22"/>
        <v>8</v>
      </c>
      <c r="BS9" s="302">
        <v>15</v>
      </c>
      <c r="BT9" s="303">
        <v>2</v>
      </c>
      <c r="BU9" s="276">
        <f t="shared" si="23"/>
        <v>7.5</v>
      </c>
      <c r="BV9" s="257">
        <v>6</v>
      </c>
      <c r="BW9" s="253">
        <v>1</v>
      </c>
      <c r="BX9" s="276">
        <f t="shared" si="24"/>
        <v>6</v>
      </c>
      <c r="BY9" s="117">
        <f t="shared" si="26"/>
        <v>133</v>
      </c>
      <c r="BZ9" s="117">
        <f t="shared" si="27"/>
        <v>17</v>
      </c>
      <c r="CA9" s="147">
        <f t="shared" si="25"/>
        <v>7.8235294117647056</v>
      </c>
    </row>
    <row r="10" spans="1:79" ht="15" thickBot="1" x14ac:dyDescent="0.35">
      <c r="A10" s="294">
        <v>45936</v>
      </c>
      <c r="B10" s="20">
        <v>66</v>
      </c>
      <c r="C10" s="21">
        <v>8</v>
      </c>
      <c r="D10" s="139">
        <f t="shared" si="0"/>
        <v>8.25</v>
      </c>
      <c r="E10" s="125">
        <v>0</v>
      </c>
      <c r="F10" s="126">
        <v>0</v>
      </c>
      <c r="G10" s="139" t="str">
        <f t="shared" si="1"/>
        <v>-</v>
      </c>
      <c r="H10" s="125">
        <v>0</v>
      </c>
      <c r="I10" s="126">
        <v>0</v>
      </c>
      <c r="J10" s="139" t="str">
        <f t="shared" si="2"/>
        <v>-</v>
      </c>
      <c r="K10" s="20">
        <v>16</v>
      </c>
      <c r="L10" s="21">
        <v>2</v>
      </c>
      <c r="M10" s="139">
        <f t="shared" si="3"/>
        <v>8</v>
      </c>
      <c r="N10" s="20">
        <v>28</v>
      </c>
      <c r="O10" s="21">
        <v>4</v>
      </c>
      <c r="P10" s="139">
        <f t="shared" si="4"/>
        <v>7</v>
      </c>
      <c r="Q10" s="20">
        <v>0</v>
      </c>
      <c r="R10" s="21">
        <v>0</v>
      </c>
      <c r="S10" s="139" t="str">
        <f t="shared" si="5"/>
        <v>-</v>
      </c>
      <c r="T10" s="20">
        <v>17</v>
      </c>
      <c r="U10" s="21">
        <v>3</v>
      </c>
      <c r="V10" s="139">
        <f t="shared" si="6"/>
        <v>5.666666666666667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10"/>
        <v>-</v>
      </c>
      <c r="AI10" s="20">
        <v>0</v>
      </c>
      <c r="AJ10" s="21">
        <v>0</v>
      </c>
      <c r="AK10" s="139" t="str">
        <f t="shared" si="11"/>
        <v>-</v>
      </c>
      <c r="AL10" s="20">
        <v>0</v>
      </c>
      <c r="AM10" s="21">
        <v>0</v>
      </c>
      <c r="AN10" s="139" t="str">
        <f t="shared" si="12"/>
        <v>-</v>
      </c>
      <c r="AO10" s="20">
        <v>0</v>
      </c>
      <c r="AP10" s="21">
        <v>0</v>
      </c>
      <c r="AQ10" s="139" t="str">
        <f t="shared" si="13"/>
        <v>-</v>
      </c>
      <c r="AR10" s="20">
        <v>0</v>
      </c>
      <c r="AS10" s="21">
        <v>0</v>
      </c>
      <c r="AT10" s="139" t="str">
        <f t="shared" si="14"/>
        <v>-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2</v>
      </c>
      <c r="BB10" s="21">
        <v>2</v>
      </c>
      <c r="BC10" s="139">
        <f t="shared" si="17"/>
        <v>1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0">
        <v>0</v>
      </c>
      <c r="BK10" s="21">
        <v>0</v>
      </c>
      <c r="BL10" s="139" t="str">
        <f t="shared" si="20"/>
        <v>-</v>
      </c>
      <c r="BM10" s="252">
        <v>21</v>
      </c>
      <c r="BN10" s="253">
        <v>4</v>
      </c>
      <c r="BO10" s="139">
        <f t="shared" si="21"/>
        <v>5.25</v>
      </c>
      <c r="BP10" s="252">
        <v>0</v>
      </c>
      <c r="BQ10" s="253">
        <v>0</v>
      </c>
      <c r="BR10" s="139" t="str">
        <f t="shared" si="22"/>
        <v>-</v>
      </c>
      <c r="BS10" s="302">
        <v>0</v>
      </c>
      <c r="BT10" s="303">
        <v>0</v>
      </c>
      <c r="BU10" s="139" t="str">
        <f t="shared" si="23"/>
        <v>-</v>
      </c>
      <c r="BV10" s="257">
        <v>6</v>
      </c>
      <c r="BW10" s="253">
        <v>1</v>
      </c>
      <c r="BX10" s="139">
        <f t="shared" si="24"/>
        <v>6</v>
      </c>
      <c r="BY10" s="117">
        <f t="shared" si="26"/>
        <v>156</v>
      </c>
      <c r="BZ10" s="117">
        <f t="shared" si="27"/>
        <v>24</v>
      </c>
      <c r="CA10" s="147">
        <f t="shared" si="25"/>
        <v>6.5</v>
      </c>
    </row>
    <row r="11" spans="1:79" ht="15" thickBot="1" x14ac:dyDescent="0.35">
      <c r="A11" s="294">
        <v>45937</v>
      </c>
      <c r="B11" s="20">
        <v>25</v>
      </c>
      <c r="C11" s="21">
        <v>3</v>
      </c>
      <c r="D11" s="139">
        <f t="shared" si="0"/>
        <v>8.3333333333333339</v>
      </c>
      <c r="E11" s="20">
        <v>0</v>
      </c>
      <c r="F11" s="21">
        <v>0</v>
      </c>
      <c r="G11" s="139" t="str">
        <f t="shared" si="1"/>
        <v>-</v>
      </c>
      <c r="H11" s="20">
        <v>0</v>
      </c>
      <c r="I11" s="21">
        <v>0</v>
      </c>
      <c r="J11" s="139" t="str">
        <f t="shared" si="2"/>
        <v>-</v>
      </c>
      <c r="K11" s="20">
        <v>16</v>
      </c>
      <c r="L11" s="21">
        <v>2</v>
      </c>
      <c r="M11" s="139">
        <f t="shared" si="3"/>
        <v>8</v>
      </c>
      <c r="N11" s="125">
        <v>0</v>
      </c>
      <c r="O11" s="126">
        <v>0</v>
      </c>
      <c r="P11" s="139" t="str">
        <f t="shared" si="4"/>
        <v>-</v>
      </c>
      <c r="Q11" s="125">
        <v>0</v>
      </c>
      <c r="R11" s="126">
        <v>0</v>
      </c>
      <c r="S11" s="139" t="str">
        <f t="shared" si="5"/>
        <v>-</v>
      </c>
      <c r="T11" s="20">
        <v>32</v>
      </c>
      <c r="U11" s="21">
        <v>7</v>
      </c>
      <c r="V11" s="139">
        <f t="shared" si="6"/>
        <v>4.5714285714285712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31</v>
      </c>
      <c r="AD11" s="21">
        <v>6</v>
      </c>
      <c r="AE11" s="139">
        <f t="shared" si="9"/>
        <v>5.166666666666667</v>
      </c>
      <c r="AF11" s="20">
        <v>13</v>
      </c>
      <c r="AG11" s="21">
        <v>2</v>
      </c>
      <c r="AH11" s="139">
        <f t="shared" si="10"/>
        <v>6.5</v>
      </c>
      <c r="AI11" s="20">
        <v>30</v>
      </c>
      <c r="AJ11" s="21">
        <v>5</v>
      </c>
      <c r="AK11" s="139">
        <f t="shared" si="11"/>
        <v>6</v>
      </c>
      <c r="AL11" s="20">
        <v>0</v>
      </c>
      <c r="AM11" s="21">
        <v>0</v>
      </c>
      <c r="AN11" s="139" t="str">
        <f t="shared" si="12"/>
        <v>-</v>
      </c>
      <c r="AO11" s="20">
        <v>6</v>
      </c>
      <c r="AP11" s="21">
        <v>1</v>
      </c>
      <c r="AQ11" s="139">
        <f t="shared" si="13"/>
        <v>6</v>
      </c>
      <c r="AR11" s="20">
        <v>0</v>
      </c>
      <c r="AS11" s="21">
        <v>0</v>
      </c>
      <c r="AT11" s="139" t="str">
        <f t="shared" ref="AT11" si="40">IF(AS11=0,"-",AR11/AS11)</f>
        <v>-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1</v>
      </c>
      <c r="BB11" s="21">
        <v>1</v>
      </c>
      <c r="BC11" s="139">
        <f t="shared" si="17"/>
        <v>1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0">
        <v>0</v>
      </c>
      <c r="BK11" s="21">
        <v>0</v>
      </c>
      <c r="BL11" s="139" t="str">
        <f t="shared" si="20"/>
        <v>-</v>
      </c>
      <c r="BM11" s="252">
        <v>16</v>
      </c>
      <c r="BN11" s="253">
        <v>3</v>
      </c>
      <c r="BO11" s="139">
        <f t="shared" si="21"/>
        <v>5.333333333333333</v>
      </c>
      <c r="BP11" s="252">
        <v>0</v>
      </c>
      <c r="BQ11" s="253">
        <v>0</v>
      </c>
      <c r="BR11" s="139" t="str">
        <f t="shared" si="22"/>
        <v>-</v>
      </c>
      <c r="BS11" s="302">
        <v>0</v>
      </c>
      <c r="BT11" s="303">
        <v>0</v>
      </c>
      <c r="BU11" s="139" t="str">
        <f t="shared" si="23"/>
        <v>-</v>
      </c>
      <c r="BV11" s="257">
        <v>0</v>
      </c>
      <c r="BW11" s="253">
        <v>0</v>
      </c>
      <c r="BX11" s="139" t="str">
        <f t="shared" si="24"/>
        <v>-</v>
      </c>
      <c r="BY11" s="117">
        <f t="shared" si="26"/>
        <v>170</v>
      </c>
      <c r="BZ11" s="117">
        <f t="shared" si="27"/>
        <v>30</v>
      </c>
      <c r="CA11" s="147">
        <f t="shared" si="25"/>
        <v>5.666666666666667</v>
      </c>
    </row>
    <row r="12" spans="1:79" ht="16.2" customHeight="1" thickBot="1" x14ac:dyDescent="0.35">
      <c r="A12" s="294">
        <v>45938</v>
      </c>
      <c r="B12" s="20">
        <v>82</v>
      </c>
      <c r="C12" s="21">
        <v>10</v>
      </c>
      <c r="D12" s="139">
        <f t="shared" si="0"/>
        <v>8.1999999999999993</v>
      </c>
      <c r="E12" s="20">
        <v>0</v>
      </c>
      <c r="F12" s="21">
        <v>0</v>
      </c>
      <c r="G12" s="139" t="str">
        <f t="shared" si="1"/>
        <v>-</v>
      </c>
      <c r="H12" s="20">
        <v>0</v>
      </c>
      <c r="I12" s="21">
        <v>0</v>
      </c>
      <c r="J12" s="139" t="str">
        <f t="shared" si="2"/>
        <v>-</v>
      </c>
      <c r="K12" s="20">
        <v>24</v>
      </c>
      <c r="L12" s="21">
        <v>3</v>
      </c>
      <c r="M12" s="139">
        <f t="shared" si="3"/>
        <v>8</v>
      </c>
      <c r="N12" s="125">
        <v>0</v>
      </c>
      <c r="O12" s="126">
        <v>0</v>
      </c>
      <c r="P12" s="139" t="str">
        <f t="shared" si="4"/>
        <v>-</v>
      </c>
      <c r="Q12" s="125">
        <v>0</v>
      </c>
      <c r="R12" s="126">
        <v>0</v>
      </c>
      <c r="S12" s="139" t="str">
        <f t="shared" si="5"/>
        <v>-</v>
      </c>
      <c r="T12" s="23">
        <v>27</v>
      </c>
      <c r="U12" s="21">
        <v>5</v>
      </c>
      <c r="V12" s="139">
        <f t="shared" si="6"/>
        <v>5.4</v>
      </c>
      <c r="W12" s="23">
        <v>34</v>
      </c>
      <c r="X12" s="21">
        <v>6</v>
      </c>
      <c r="Y12" s="139">
        <f t="shared" si="7"/>
        <v>5.666666666666667</v>
      </c>
      <c r="Z12" s="23">
        <v>0</v>
      </c>
      <c r="AA12" s="21">
        <v>0</v>
      </c>
      <c r="AB12" s="139" t="str">
        <f t="shared" si="8"/>
        <v>-</v>
      </c>
      <c r="AC12" s="23">
        <v>25</v>
      </c>
      <c r="AD12" s="21">
        <v>5</v>
      </c>
      <c r="AE12" s="139">
        <f>IF(AD12=0,"-",AC12/AD12)</f>
        <v>5</v>
      </c>
      <c r="AF12" s="23">
        <v>0</v>
      </c>
      <c r="AG12" s="21">
        <v>0</v>
      </c>
      <c r="AH12" s="139" t="str">
        <f t="shared" si="10"/>
        <v>-</v>
      </c>
      <c r="AI12" s="23">
        <v>0</v>
      </c>
      <c r="AJ12" s="21">
        <v>0</v>
      </c>
      <c r="AK12" s="139" t="str">
        <f t="shared" si="11"/>
        <v>-</v>
      </c>
      <c r="AL12" s="23">
        <v>6</v>
      </c>
      <c r="AM12" s="21">
        <v>1</v>
      </c>
      <c r="AN12" s="139">
        <f t="shared" si="12"/>
        <v>6</v>
      </c>
      <c r="AO12" s="23">
        <v>0</v>
      </c>
      <c r="AP12" s="21">
        <v>0</v>
      </c>
      <c r="AQ12" s="139" t="str">
        <f t="shared" si="13"/>
        <v>-</v>
      </c>
      <c r="AR12" s="23">
        <v>0</v>
      </c>
      <c r="AS12" s="21">
        <v>0</v>
      </c>
      <c r="AT12" s="139" t="str">
        <f t="shared" si="14"/>
        <v>-</v>
      </c>
      <c r="AU12" s="20">
        <v>9</v>
      </c>
      <c r="AV12" s="21">
        <v>1</v>
      </c>
      <c r="AW12" s="139">
        <f t="shared" si="15"/>
        <v>9</v>
      </c>
      <c r="AX12" s="20">
        <v>0</v>
      </c>
      <c r="AY12" s="21">
        <v>0</v>
      </c>
      <c r="AZ12" s="139" t="str">
        <f t="shared" si="16"/>
        <v>-</v>
      </c>
      <c r="BA12" s="20">
        <v>1</v>
      </c>
      <c r="BB12" s="21">
        <v>1</v>
      </c>
      <c r="BC12" s="139">
        <f t="shared" si="17"/>
        <v>1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0">
        <v>0</v>
      </c>
      <c r="BK12" s="21">
        <v>0</v>
      </c>
      <c r="BL12" s="139" t="str">
        <f t="shared" si="20"/>
        <v>-</v>
      </c>
      <c r="BM12" s="252">
        <v>6</v>
      </c>
      <c r="BN12" s="253">
        <v>1</v>
      </c>
      <c r="BO12" s="139">
        <f t="shared" si="21"/>
        <v>6</v>
      </c>
      <c r="BP12" s="252">
        <v>0</v>
      </c>
      <c r="BQ12" s="253">
        <v>0</v>
      </c>
      <c r="BR12" s="139" t="str">
        <f t="shared" si="22"/>
        <v>-</v>
      </c>
      <c r="BS12" s="302">
        <v>0</v>
      </c>
      <c r="BT12" s="303">
        <v>0</v>
      </c>
      <c r="BU12" s="139" t="str">
        <f t="shared" si="23"/>
        <v>-</v>
      </c>
      <c r="BV12" s="257">
        <v>0</v>
      </c>
      <c r="BW12" s="253">
        <v>0</v>
      </c>
      <c r="BX12" s="139" t="str">
        <f t="shared" si="24"/>
        <v>-</v>
      </c>
      <c r="BY12" s="117">
        <f t="shared" si="26"/>
        <v>214</v>
      </c>
      <c r="BZ12" s="117">
        <f t="shared" si="27"/>
        <v>33</v>
      </c>
      <c r="CA12" s="147">
        <f t="shared" si="25"/>
        <v>6.4848484848484844</v>
      </c>
    </row>
    <row r="13" spans="1:79" ht="15" thickBot="1" x14ac:dyDescent="0.35">
      <c r="A13" s="294">
        <v>45939</v>
      </c>
      <c r="B13" s="20">
        <v>17</v>
      </c>
      <c r="C13" s="21">
        <v>2</v>
      </c>
      <c r="D13" s="139">
        <f t="shared" si="0"/>
        <v>8.5</v>
      </c>
      <c r="E13" s="20">
        <v>8</v>
      </c>
      <c r="F13" s="21">
        <v>1</v>
      </c>
      <c r="G13" s="139">
        <f t="shared" si="1"/>
        <v>8</v>
      </c>
      <c r="H13" s="20"/>
      <c r="I13" s="21"/>
      <c r="J13" s="139"/>
      <c r="K13" s="20">
        <v>17</v>
      </c>
      <c r="L13" s="21">
        <v>2</v>
      </c>
      <c r="M13" s="139">
        <f t="shared" si="3"/>
        <v>8.5</v>
      </c>
      <c r="N13" s="125">
        <v>0</v>
      </c>
      <c r="O13" s="126">
        <v>0</v>
      </c>
      <c r="P13" s="139" t="str">
        <f t="shared" si="4"/>
        <v>-</v>
      </c>
      <c r="Q13" s="125">
        <v>0</v>
      </c>
      <c r="R13" s="126">
        <v>0</v>
      </c>
      <c r="S13" s="139" t="str">
        <f t="shared" si="5"/>
        <v>-</v>
      </c>
      <c r="T13" s="125">
        <v>31</v>
      </c>
      <c r="U13" s="126">
        <v>6</v>
      </c>
      <c r="V13" s="139">
        <f t="shared" si="6"/>
        <v>5.166666666666667</v>
      </c>
      <c r="W13" s="125">
        <v>0</v>
      </c>
      <c r="X13" s="126">
        <v>0</v>
      </c>
      <c r="Y13" s="139" t="str">
        <f t="shared" si="7"/>
        <v>-</v>
      </c>
      <c r="Z13" s="125">
        <v>0</v>
      </c>
      <c r="AA13" s="126">
        <v>0</v>
      </c>
      <c r="AB13" s="139" t="str">
        <f t="shared" si="8"/>
        <v>-</v>
      </c>
      <c r="AC13" s="125">
        <v>19</v>
      </c>
      <c r="AD13" s="21">
        <v>4</v>
      </c>
      <c r="AE13" s="139">
        <f t="shared" si="9"/>
        <v>4.75</v>
      </c>
      <c r="AF13" s="20">
        <v>0</v>
      </c>
      <c r="AG13" s="21">
        <v>0</v>
      </c>
      <c r="AH13" s="139" t="str">
        <f t="shared" si="10"/>
        <v>-</v>
      </c>
      <c r="AI13" s="23">
        <v>30</v>
      </c>
      <c r="AJ13" s="21">
        <v>5</v>
      </c>
      <c r="AK13" s="139">
        <f t="shared" si="11"/>
        <v>6</v>
      </c>
      <c r="AL13" s="23">
        <v>12</v>
      </c>
      <c r="AM13" s="21">
        <v>2</v>
      </c>
      <c r="AN13" s="139">
        <f t="shared" si="12"/>
        <v>6</v>
      </c>
      <c r="AO13" s="23">
        <v>0</v>
      </c>
      <c r="AP13" s="21">
        <v>0</v>
      </c>
      <c r="AQ13" s="139" t="str">
        <f t="shared" si="13"/>
        <v>-</v>
      </c>
      <c r="AR13" s="20">
        <v>0</v>
      </c>
      <c r="AS13" s="21">
        <v>0</v>
      </c>
      <c r="AT13" s="139" t="str">
        <f t="shared" si="14"/>
        <v>-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0</v>
      </c>
      <c r="BB13" s="21">
        <v>0</v>
      </c>
      <c r="BC13" s="139" t="str">
        <f t="shared" si="17"/>
        <v>-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0">
        <v>0</v>
      </c>
      <c r="BK13" s="21">
        <v>0</v>
      </c>
      <c r="BL13" s="139" t="str">
        <f t="shared" si="20"/>
        <v>-</v>
      </c>
      <c r="BM13" s="252">
        <v>35</v>
      </c>
      <c r="BN13" s="253">
        <v>5</v>
      </c>
      <c r="BO13" s="276">
        <f t="shared" si="21"/>
        <v>7</v>
      </c>
      <c r="BP13" s="252">
        <v>0</v>
      </c>
      <c r="BQ13" s="253">
        <v>0</v>
      </c>
      <c r="BR13" s="276" t="str">
        <f t="shared" si="22"/>
        <v>-</v>
      </c>
      <c r="BS13" s="302">
        <v>0</v>
      </c>
      <c r="BT13" s="303">
        <v>0</v>
      </c>
      <c r="BU13" s="276" t="str">
        <f t="shared" si="23"/>
        <v>-</v>
      </c>
      <c r="BV13" s="257">
        <v>0</v>
      </c>
      <c r="BW13" s="253">
        <v>0</v>
      </c>
      <c r="BX13" s="139" t="str">
        <f t="shared" si="24"/>
        <v>-</v>
      </c>
      <c r="BY13" s="117">
        <f t="shared" si="26"/>
        <v>169</v>
      </c>
      <c r="BZ13" s="117">
        <f t="shared" si="27"/>
        <v>27</v>
      </c>
      <c r="CA13" s="147">
        <f t="shared" si="25"/>
        <v>6.2592592592592595</v>
      </c>
    </row>
    <row r="14" spans="1:79" ht="15" thickBot="1" x14ac:dyDescent="0.35">
      <c r="A14" s="294">
        <v>45940</v>
      </c>
      <c r="B14" s="20">
        <v>74</v>
      </c>
      <c r="C14" s="21">
        <v>9</v>
      </c>
      <c r="D14" s="139">
        <f t="shared" si="0"/>
        <v>8.2222222222222214</v>
      </c>
      <c r="E14" s="20">
        <v>7</v>
      </c>
      <c r="F14" s="21">
        <v>1</v>
      </c>
      <c r="G14" s="139">
        <f t="shared" si="1"/>
        <v>7</v>
      </c>
      <c r="H14" s="20"/>
      <c r="I14" s="21"/>
      <c r="J14" s="139"/>
      <c r="K14" s="20">
        <v>40</v>
      </c>
      <c r="L14" s="21">
        <v>5</v>
      </c>
      <c r="M14" s="139">
        <f t="shared" si="3"/>
        <v>8</v>
      </c>
      <c r="N14" s="125">
        <v>0</v>
      </c>
      <c r="O14" s="126">
        <v>0</v>
      </c>
      <c r="P14" s="139" t="str">
        <f t="shared" si="4"/>
        <v>-</v>
      </c>
      <c r="Q14" s="125">
        <v>0</v>
      </c>
      <c r="R14" s="126">
        <v>0</v>
      </c>
      <c r="S14" s="139" t="str">
        <f t="shared" si="5"/>
        <v>-</v>
      </c>
      <c r="T14" s="20">
        <v>56</v>
      </c>
      <c r="U14" s="21">
        <v>10</v>
      </c>
      <c r="V14" s="139">
        <f t="shared" si="6"/>
        <v>5.6</v>
      </c>
      <c r="W14" s="125">
        <v>0</v>
      </c>
      <c r="X14" s="126">
        <v>0</v>
      </c>
      <c r="Y14" s="139" t="str">
        <f t="shared" ref="Y14" si="41">IF(X14=0,"-",W14/X14)</f>
        <v>-</v>
      </c>
      <c r="Z14" s="125">
        <v>0</v>
      </c>
      <c r="AA14" s="126">
        <v>0</v>
      </c>
      <c r="AB14" s="139" t="str">
        <f t="shared" ref="AB14" si="42">IF(AA14=0,"-",Z14/AA14)</f>
        <v>-</v>
      </c>
      <c r="AC14" s="125">
        <v>20</v>
      </c>
      <c r="AD14" s="21">
        <v>4</v>
      </c>
      <c r="AE14" s="139">
        <f>IF(AD14=0,"-",AC14/AD14)</f>
        <v>5</v>
      </c>
      <c r="AF14" s="20">
        <v>0</v>
      </c>
      <c r="AG14" s="21">
        <v>0</v>
      </c>
      <c r="AH14" s="139" t="str">
        <f t="shared" ref="AH14" si="43">IF(AG14=0,"-",AF14/AG14)</f>
        <v>-</v>
      </c>
      <c r="AI14" s="23">
        <v>25</v>
      </c>
      <c r="AJ14" s="21">
        <v>5</v>
      </c>
      <c r="AK14" s="139">
        <f t="shared" si="11"/>
        <v>5</v>
      </c>
      <c r="AL14" s="23">
        <v>0</v>
      </c>
      <c r="AM14" s="21">
        <v>0</v>
      </c>
      <c r="AN14" s="139" t="str">
        <f t="shared" si="12"/>
        <v>-</v>
      </c>
      <c r="AO14" s="23">
        <v>6</v>
      </c>
      <c r="AP14" s="21">
        <v>1</v>
      </c>
      <c r="AQ14" s="139">
        <f t="shared" si="13"/>
        <v>6</v>
      </c>
      <c r="AR14" s="20">
        <v>0</v>
      </c>
      <c r="AS14" s="21">
        <v>0</v>
      </c>
      <c r="AT14" s="139" t="str">
        <f t="shared" si="14"/>
        <v>-</v>
      </c>
      <c r="AU14" s="20">
        <v>0</v>
      </c>
      <c r="AV14" s="21">
        <v>0</v>
      </c>
      <c r="AW14" s="139" t="str">
        <f t="shared" si="15"/>
        <v>-</v>
      </c>
      <c r="AX14" s="20">
        <v>0</v>
      </c>
      <c r="AY14" s="21">
        <v>0</v>
      </c>
      <c r="AZ14" s="139" t="str">
        <f t="shared" si="16"/>
        <v>-</v>
      </c>
      <c r="BA14" s="20">
        <v>1</v>
      </c>
      <c r="BB14" s="21">
        <v>1</v>
      </c>
      <c r="BC14" s="139">
        <f t="shared" si="17"/>
        <v>1</v>
      </c>
      <c r="BD14" s="20">
        <v>0</v>
      </c>
      <c r="BE14" s="21">
        <v>0</v>
      </c>
      <c r="BF14" s="139" t="str">
        <f t="shared" si="18"/>
        <v>-</v>
      </c>
      <c r="BG14" s="20">
        <v>0</v>
      </c>
      <c r="BH14" s="21">
        <v>0</v>
      </c>
      <c r="BI14" s="139" t="str">
        <f t="shared" si="19"/>
        <v>-</v>
      </c>
      <c r="BJ14" s="20">
        <v>0</v>
      </c>
      <c r="BK14" s="21">
        <v>0</v>
      </c>
      <c r="BL14" s="139" t="str">
        <f t="shared" si="20"/>
        <v>-</v>
      </c>
      <c r="BM14" s="252">
        <v>7</v>
      </c>
      <c r="BN14" s="253">
        <v>1</v>
      </c>
      <c r="BO14" s="276">
        <f t="shared" si="21"/>
        <v>7</v>
      </c>
      <c r="BP14" s="252">
        <v>0</v>
      </c>
      <c r="BQ14" s="253">
        <v>0</v>
      </c>
      <c r="BR14" s="276" t="str">
        <f t="shared" si="22"/>
        <v>-</v>
      </c>
      <c r="BS14" s="302">
        <v>0</v>
      </c>
      <c r="BT14" s="303">
        <v>0</v>
      </c>
      <c r="BU14" s="276" t="str">
        <f t="shared" si="23"/>
        <v>-</v>
      </c>
      <c r="BV14" s="257">
        <v>0</v>
      </c>
      <c r="BW14" s="253">
        <v>0</v>
      </c>
      <c r="BX14" s="276" t="str">
        <f t="shared" si="24"/>
        <v>-</v>
      </c>
      <c r="BY14" s="117">
        <f t="shared" si="26"/>
        <v>236</v>
      </c>
      <c r="BZ14" s="117">
        <f t="shared" si="27"/>
        <v>37</v>
      </c>
      <c r="CA14" s="147">
        <f t="shared" si="25"/>
        <v>6.3783783783783781</v>
      </c>
    </row>
    <row r="15" spans="1:79" ht="15" thickBot="1" x14ac:dyDescent="0.35">
      <c r="A15" s="294">
        <v>45941</v>
      </c>
      <c r="B15" s="20">
        <v>44</v>
      </c>
      <c r="C15" s="21">
        <v>5</v>
      </c>
      <c r="D15" s="139">
        <f t="shared" si="0"/>
        <v>8.8000000000000007</v>
      </c>
      <c r="E15" s="20">
        <v>0</v>
      </c>
      <c r="F15" s="21">
        <v>0</v>
      </c>
      <c r="G15" s="139" t="str">
        <f t="shared" si="1"/>
        <v>-</v>
      </c>
      <c r="H15" s="20">
        <v>0</v>
      </c>
      <c r="I15" s="21">
        <v>0</v>
      </c>
      <c r="J15" s="139" t="str">
        <f t="shared" si="2"/>
        <v>-</v>
      </c>
      <c r="K15" s="20">
        <v>0</v>
      </c>
      <c r="L15" s="21">
        <v>0</v>
      </c>
      <c r="M15" s="139" t="str">
        <f t="shared" si="3"/>
        <v>-</v>
      </c>
      <c r="N15" s="125">
        <v>0</v>
      </c>
      <c r="O15" s="126">
        <v>0</v>
      </c>
      <c r="P15" s="139" t="str">
        <f t="shared" si="4"/>
        <v>-</v>
      </c>
      <c r="Q15" s="125">
        <v>0</v>
      </c>
      <c r="R15" s="126">
        <v>0</v>
      </c>
      <c r="S15" s="139" t="str">
        <f t="shared" si="5"/>
        <v>-</v>
      </c>
      <c r="T15" s="20">
        <v>6</v>
      </c>
      <c r="U15" s="21">
        <v>1</v>
      </c>
      <c r="V15" s="139">
        <f t="shared" si="6"/>
        <v>6</v>
      </c>
      <c r="W15" s="20">
        <v>0</v>
      </c>
      <c r="X15" s="21">
        <v>0</v>
      </c>
      <c r="Y15" s="139" t="str">
        <f t="shared" si="7"/>
        <v>-</v>
      </c>
      <c r="Z15" s="20">
        <v>0</v>
      </c>
      <c r="AA15" s="21">
        <v>0</v>
      </c>
      <c r="AB15" s="139" t="str">
        <f t="shared" si="8"/>
        <v>-</v>
      </c>
      <c r="AC15" s="20">
        <v>0</v>
      </c>
      <c r="AD15" s="21">
        <v>0</v>
      </c>
      <c r="AE15" s="139" t="str">
        <f t="shared" si="9"/>
        <v>-</v>
      </c>
      <c r="AF15" s="20">
        <v>0</v>
      </c>
      <c r="AG15" s="21">
        <v>0</v>
      </c>
      <c r="AH15" s="139" t="str">
        <f t="shared" si="10"/>
        <v>-</v>
      </c>
      <c r="AI15" s="23">
        <v>0</v>
      </c>
      <c r="AJ15" s="21">
        <v>0</v>
      </c>
      <c r="AK15" s="139" t="str">
        <f t="shared" si="11"/>
        <v>-</v>
      </c>
      <c r="AL15" s="23">
        <v>6</v>
      </c>
      <c r="AM15" s="21">
        <v>1</v>
      </c>
      <c r="AN15" s="139">
        <f t="shared" si="12"/>
        <v>6</v>
      </c>
      <c r="AO15" s="23">
        <v>0</v>
      </c>
      <c r="AP15" s="21">
        <v>0</v>
      </c>
      <c r="AQ15" s="139" t="str">
        <f t="shared" si="13"/>
        <v>-</v>
      </c>
      <c r="AR15" s="20">
        <v>0</v>
      </c>
      <c r="AS15" s="21">
        <v>0</v>
      </c>
      <c r="AT15" s="139" t="str">
        <f t="shared" si="14"/>
        <v>-</v>
      </c>
      <c r="AU15" s="20">
        <v>8</v>
      </c>
      <c r="AV15" s="21">
        <v>1</v>
      </c>
      <c r="AW15" s="139">
        <f t="shared" si="15"/>
        <v>8</v>
      </c>
      <c r="AX15" s="20">
        <v>0</v>
      </c>
      <c r="AY15" s="21">
        <v>0</v>
      </c>
      <c r="AZ15" s="139" t="str">
        <f t="shared" si="16"/>
        <v>-</v>
      </c>
      <c r="BA15" s="20">
        <v>0</v>
      </c>
      <c r="BB15" s="21">
        <v>0</v>
      </c>
      <c r="BC15" s="139" t="str">
        <f t="shared" si="17"/>
        <v>-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0">
        <v>0</v>
      </c>
      <c r="BK15" s="21">
        <v>0</v>
      </c>
      <c r="BL15" s="139" t="str">
        <f t="shared" si="20"/>
        <v>-</v>
      </c>
      <c r="BM15" s="252">
        <v>12</v>
      </c>
      <c r="BN15" s="253">
        <v>2</v>
      </c>
      <c r="BO15" s="276">
        <f t="shared" si="21"/>
        <v>6</v>
      </c>
      <c r="BP15" s="252">
        <v>0</v>
      </c>
      <c r="BQ15" s="253">
        <v>0</v>
      </c>
      <c r="BR15" s="276" t="str">
        <f t="shared" si="22"/>
        <v>-</v>
      </c>
      <c r="BS15" s="302">
        <v>0</v>
      </c>
      <c r="BT15" s="303">
        <v>0</v>
      </c>
      <c r="BU15" s="276" t="str">
        <f t="shared" si="23"/>
        <v>-</v>
      </c>
      <c r="BV15" s="257">
        <v>0</v>
      </c>
      <c r="BW15" s="253">
        <v>0</v>
      </c>
      <c r="BX15" s="276" t="str">
        <f t="shared" si="24"/>
        <v>-</v>
      </c>
      <c r="BY15" s="117">
        <f t="shared" si="26"/>
        <v>76</v>
      </c>
      <c r="BZ15" s="117">
        <f t="shared" si="27"/>
        <v>10</v>
      </c>
      <c r="CA15" s="147">
        <f t="shared" si="25"/>
        <v>7.6</v>
      </c>
    </row>
    <row r="16" spans="1:79" ht="15" thickBot="1" x14ac:dyDescent="0.35">
      <c r="A16" s="294">
        <v>45942</v>
      </c>
      <c r="B16" s="20">
        <v>81</v>
      </c>
      <c r="C16" s="21">
        <v>9</v>
      </c>
      <c r="D16" s="139">
        <f t="shared" si="0"/>
        <v>9</v>
      </c>
      <c r="E16" s="20">
        <v>0</v>
      </c>
      <c r="F16" s="21">
        <v>0</v>
      </c>
      <c r="G16" s="139" t="str">
        <f t="shared" si="1"/>
        <v>-</v>
      </c>
      <c r="H16" s="20">
        <v>0</v>
      </c>
      <c r="I16" s="21">
        <v>0</v>
      </c>
      <c r="J16" s="139" t="str">
        <f t="shared" si="2"/>
        <v>-</v>
      </c>
      <c r="K16" s="20">
        <v>35</v>
      </c>
      <c r="L16" s="21">
        <v>4</v>
      </c>
      <c r="M16" s="139">
        <f t="shared" si="3"/>
        <v>8.75</v>
      </c>
      <c r="N16" s="125">
        <v>0</v>
      </c>
      <c r="O16" s="126">
        <v>0</v>
      </c>
      <c r="P16" s="139" t="str">
        <f t="shared" si="4"/>
        <v>-</v>
      </c>
      <c r="Q16" s="125">
        <v>0</v>
      </c>
      <c r="R16" s="126">
        <v>0</v>
      </c>
      <c r="S16" s="139" t="str">
        <f t="shared" si="5"/>
        <v>-</v>
      </c>
      <c r="T16" s="125">
        <v>29</v>
      </c>
      <c r="U16" s="126">
        <v>5</v>
      </c>
      <c r="V16" s="139">
        <f t="shared" si="6"/>
        <v>5.8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8"/>
        <v>-</v>
      </c>
      <c r="AC16" s="20">
        <v>35</v>
      </c>
      <c r="AD16" s="21">
        <v>7</v>
      </c>
      <c r="AE16" s="139">
        <f t="shared" si="9"/>
        <v>5</v>
      </c>
      <c r="AF16" s="20">
        <v>0</v>
      </c>
      <c r="AG16" s="21">
        <v>0</v>
      </c>
      <c r="AH16" s="139" t="str">
        <f t="shared" si="10"/>
        <v>-</v>
      </c>
      <c r="AI16" s="20">
        <v>0</v>
      </c>
      <c r="AJ16" s="21">
        <v>0</v>
      </c>
      <c r="AK16" s="139" t="str">
        <f t="shared" si="11"/>
        <v>-</v>
      </c>
      <c r="AL16" s="20">
        <v>0</v>
      </c>
      <c r="AM16" s="21">
        <v>0</v>
      </c>
      <c r="AN16" s="139" t="str">
        <f t="shared" si="12"/>
        <v>-</v>
      </c>
      <c r="AO16" s="20">
        <v>0</v>
      </c>
      <c r="AP16" s="21">
        <v>0</v>
      </c>
      <c r="AQ16" s="139" t="str">
        <f t="shared" si="13"/>
        <v>-</v>
      </c>
      <c r="AR16" s="20">
        <v>0</v>
      </c>
      <c r="AS16" s="21">
        <v>0</v>
      </c>
      <c r="AT16" s="139" t="str">
        <f t="shared" si="14"/>
        <v>-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16"/>
        <v>-</v>
      </c>
      <c r="BA16" s="20">
        <v>0</v>
      </c>
      <c r="BB16" s="21">
        <v>0</v>
      </c>
      <c r="BC16" s="139" t="str">
        <f t="shared" si="17"/>
        <v>-</v>
      </c>
      <c r="BD16" s="20">
        <v>0</v>
      </c>
      <c r="BE16" s="21">
        <v>0</v>
      </c>
      <c r="BF16" s="139" t="str">
        <f t="shared" si="18"/>
        <v>-</v>
      </c>
      <c r="BG16" s="20">
        <v>0</v>
      </c>
      <c r="BH16" s="21">
        <v>0</v>
      </c>
      <c r="BI16" s="139" t="str">
        <f t="shared" si="19"/>
        <v>-</v>
      </c>
      <c r="BJ16" s="20">
        <v>0</v>
      </c>
      <c r="BK16" s="21">
        <v>0</v>
      </c>
      <c r="BL16" s="139" t="str">
        <f t="shared" si="20"/>
        <v>-</v>
      </c>
      <c r="BM16" s="252">
        <v>34</v>
      </c>
      <c r="BN16" s="253">
        <v>5</v>
      </c>
      <c r="BO16" s="276">
        <f t="shared" si="21"/>
        <v>6.8</v>
      </c>
      <c r="BP16" s="252">
        <v>0</v>
      </c>
      <c r="BQ16" s="253">
        <v>0</v>
      </c>
      <c r="BR16" s="276" t="str">
        <f t="shared" si="22"/>
        <v>-</v>
      </c>
      <c r="BS16" s="302">
        <v>0</v>
      </c>
      <c r="BT16" s="303">
        <v>0</v>
      </c>
      <c r="BU16" s="276" t="str">
        <f t="shared" si="23"/>
        <v>-</v>
      </c>
      <c r="BV16" s="257">
        <v>7</v>
      </c>
      <c r="BW16" s="253">
        <v>1</v>
      </c>
      <c r="BX16" s="276">
        <f t="shared" si="24"/>
        <v>7</v>
      </c>
      <c r="BY16" s="117">
        <f t="shared" si="26"/>
        <v>221</v>
      </c>
      <c r="BZ16" s="117">
        <f t="shared" si="27"/>
        <v>31</v>
      </c>
      <c r="CA16" s="147">
        <f t="shared" si="25"/>
        <v>7.129032258064516</v>
      </c>
    </row>
    <row r="17" spans="1:79" ht="15" thickBot="1" x14ac:dyDescent="0.35">
      <c r="A17" s="294">
        <v>45943</v>
      </c>
      <c r="B17" s="20">
        <v>17</v>
      </c>
      <c r="C17" s="21">
        <v>2</v>
      </c>
      <c r="D17" s="139">
        <f t="shared" si="0"/>
        <v>8.5</v>
      </c>
      <c r="E17" s="20">
        <v>0</v>
      </c>
      <c r="F17" s="21">
        <v>0</v>
      </c>
      <c r="G17" s="139" t="str">
        <f t="shared" si="1"/>
        <v>-</v>
      </c>
      <c r="H17" s="20">
        <v>0</v>
      </c>
      <c r="I17" s="21">
        <v>0</v>
      </c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0</v>
      </c>
      <c r="R17" s="126">
        <v>0</v>
      </c>
      <c r="S17" s="139" t="str">
        <f t="shared" si="5"/>
        <v>-</v>
      </c>
      <c r="T17" s="125">
        <v>43</v>
      </c>
      <c r="U17" s="126">
        <v>8</v>
      </c>
      <c r="V17" s="139">
        <f t="shared" si="6"/>
        <v>5.375</v>
      </c>
      <c r="W17" s="125">
        <v>0</v>
      </c>
      <c r="X17" s="126">
        <v>0</v>
      </c>
      <c r="Y17" s="139" t="str">
        <f t="shared" si="7"/>
        <v>-</v>
      </c>
      <c r="Z17" s="125">
        <v>0</v>
      </c>
      <c r="AA17" s="126">
        <v>0</v>
      </c>
      <c r="AB17" s="139" t="str">
        <f t="shared" si="8"/>
        <v>-</v>
      </c>
      <c r="AC17" s="125">
        <v>31</v>
      </c>
      <c r="AD17" s="126">
        <v>6</v>
      </c>
      <c r="AE17" s="139">
        <f t="shared" si="9"/>
        <v>5.166666666666667</v>
      </c>
      <c r="AF17" s="125">
        <v>0</v>
      </c>
      <c r="AG17" s="126">
        <v>0</v>
      </c>
      <c r="AH17" s="139" t="str">
        <f t="shared" si="10"/>
        <v>-</v>
      </c>
      <c r="AI17" s="20">
        <v>30</v>
      </c>
      <c r="AJ17" s="21">
        <v>5</v>
      </c>
      <c r="AK17" s="139">
        <f t="shared" si="11"/>
        <v>6</v>
      </c>
      <c r="AL17" s="20">
        <v>12</v>
      </c>
      <c r="AM17" s="21">
        <v>2</v>
      </c>
      <c r="AN17" s="139">
        <f t="shared" si="12"/>
        <v>6</v>
      </c>
      <c r="AO17" s="20">
        <v>0</v>
      </c>
      <c r="AP17" s="21">
        <v>0</v>
      </c>
      <c r="AQ17" s="139" t="str">
        <f t="shared" si="13"/>
        <v>-</v>
      </c>
      <c r="AR17" s="20">
        <v>12</v>
      </c>
      <c r="AS17" s="21">
        <v>2</v>
      </c>
      <c r="AT17" s="139">
        <f t="shared" si="14"/>
        <v>6</v>
      </c>
      <c r="AU17" s="20">
        <v>6</v>
      </c>
      <c r="AV17" s="21">
        <v>1</v>
      </c>
      <c r="AW17" s="139">
        <f t="shared" si="15"/>
        <v>6</v>
      </c>
      <c r="AX17" s="20">
        <v>0</v>
      </c>
      <c r="AY17" s="21">
        <v>0</v>
      </c>
      <c r="AZ17" s="139" t="str">
        <f t="shared" si="16"/>
        <v>-</v>
      </c>
      <c r="BA17" s="20">
        <v>0</v>
      </c>
      <c r="BB17" s="21">
        <v>0</v>
      </c>
      <c r="BC17" s="139">
        <v>0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0">
        <v>0</v>
      </c>
      <c r="BK17" s="21">
        <v>0</v>
      </c>
      <c r="BL17" s="139" t="str">
        <f t="shared" si="20"/>
        <v>-</v>
      </c>
      <c r="BM17" s="252">
        <v>20</v>
      </c>
      <c r="BN17" s="253">
        <v>3</v>
      </c>
      <c r="BO17" s="276">
        <f t="shared" si="21"/>
        <v>6.666666666666667</v>
      </c>
      <c r="BP17" s="252">
        <v>0</v>
      </c>
      <c r="BQ17" s="253">
        <v>0</v>
      </c>
      <c r="BR17" s="276" t="str">
        <f t="shared" si="22"/>
        <v>-</v>
      </c>
      <c r="BS17" s="302">
        <v>0</v>
      </c>
      <c r="BT17" s="303">
        <v>0</v>
      </c>
      <c r="BU17" s="276" t="str">
        <f t="shared" si="23"/>
        <v>-</v>
      </c>
      <c r="BV17" s="257">
        <v>0</v>
      </c>
      <c r="BW17" s="253">
        <v>0</v>
      </c>
      <c r="BX17" s="276" t="str">
        <f t="shared" si="24"/>
        <v>-</v>
      </c>
      <c r="BY17" s="117">
        <f t="shared" si="26"/>
        <v>171</v>
      </c>
      <c r="BZ17" s="117">
        <f t="shared" si="27"/>
        <v>29</v>
      </c>
      <c r="CA17" s="147">
        <f t="shared" si="25"/>
        <v>5.8965517241379306</v>
      </c>
    </row>
    <row r="18" spans="1:79" ht="15" thickBot="1" x14ac:dyDescent="0.35">
      <c r="A18" s="294">
        <v>45944</v>
      </c>
      <c r="B18" s="20">
        <v>96</v>
      </c>
      <c r="C18" s="21">
        <v>11</v>
      </c>
      <c r="D18" s="139">
        <f t="shared" si="0"/>
        <v>8.7272727272727266</v>
      </c>
      <c r="E18" s="20">
        <v>0</v>
      </c>
      <c r="F18" s="21">
        <v>0</v>
      </c>
      <c r="G18" s="139" t="str">
        <f t="shared" si="1"/>
        <v>-</v>
      </c>
      <c r="H18" s="20">
        <v>0</v>
      </c>
      <c r="I18" s="21">
        <v>0</v>
      </c>
      <c r="J18" s="139" t="str">
        <f t="shared" si="2"/>
        <v>-</v>
      </c>
      <c r="K18" s="20">
        <v>48</v>
      </c>
      <c r="L18" s="21">
        <v>6</v>
      </c>
      <c r="M18" s="139">
        <f t="shared" si="3"/>
        <v>8</v>
      </c>
      <c r="N18" s="125">
        <v>0</v>
      </c>
      <c r="O18" s="126">
        <v>0</v>
      </c>
      <c r="P18" s="139" t="str">
        <f t="shared" si="4"/>
        <v>-</v>
      </c>
      <c r="Q18" s="125">
        <v>0</v>
      </c>
      <c r="R18" s="126">
        <v>0</v>
      </c>
      <c r="S18" s="139" t="str">
        <f t="shared" si="5"/>
        <v>-</v>
      </c>
      <c r="T18" s="125">
        <v>47</v>
      </c>
      <c r="U18" s="126">
        <v>7</v>
      </c>
      <c r="V18" s="139">
        <f t="shared" si="6"/>
        <v>6.7142857142857144</v>
      </c>
      <c r="W18" s="125">
        <v>0</v>
      </c>
      <c r="X18" s="126">
        <v>0</v>
      </c>
      <c r="Y18" s="139" t="str">
        <f t="shared" si="7"/>
        <v>-</v>
      </c>
      <c r="Z18" s="125">
        <v>0</v>
      </c>
      <c r="AA18" s="126">
        <v>0</v>
      </c>
      <c r="AB18" s="139" t="str">
        <f t="shared" si="8"/>
        <v>-</v>
      </c>
      <c r="AC18" s="125">
        <v>0</v>
      </c>
      <c r="AD18" s="126">
        <v>0</v>
      </c>
      <c r="AE18" s="139" t="str">
        <f t="shared" si="9"/>
        <v>-</v>
      </c>
      <c r="AF18" s="125">
        <v>12</v>
      </c>
      <c r="AG18" s="126">
        <v>3</v>
      </c>
      <c r="AH18" s="139">
        <f t="shared" si="10"/>
        <v>4</v>
      </c>
      <c r="AI18" s="125">
        <v>7</v>
      </c>
      <c r="AJ18" s="126">
        <v>1</v>
      </c>
      <c r="AK18" s="139">
        <f t="shared" si="11"/>
        <v>7</v>
      </c>
      <c r="AL18" s="125">
        <v>6</v>
      </c>
      <c r="AM18" s="126">
        <v>1</v>
      </c>
      <c r="AN18" s="139">
        <f t="shared" si="12"/>
        <v>6</v>
      </c>
      <c r="AO18" s="125">
        <v>0</v>
      </c>
      <c r="AP18" s="126">
        <v>0</v>
      </c>
      <c r="AQ18" s="139" t="str">
        <f t="shared" si="13"/>
        <v>-</v>
      </c>
      <c r="AR18" s="125">
        <v>0</v>
      </c>
      <c r="AS18" s="126">
        <v>0</v>
      </c>
      <c r="AT18" s="139" t="str">
        <f t="shared" si="14"/>
        <v>-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2</v>
      </c>
      <c r="BB18" s="21">
        <v>1</v>
      </c>
      <c r="BC18" s="139">
        <f t="shared" si="17"/>
        <v>2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 t="shared" si="19"/>
        <v>-</v>
      </c>
      <c r="BJ18" s="20">
        <v>0</v>
      </c>
      <c r="BK18" s="21">
        <v>0</v>
      </c>
      <c r="BL18" s="139" t="str">
        <f t="shared" si="20"/>
        <v>-</v>
      </c>
      <c r="BM18" s="318">
        <v>11</v>
      </c>
      <c r="BN18" s="303">
        <v>2</v>
      </c>
      <c r="BO18" s="276">
        <f t="shared" si="21"/>
        <v>5.5</v>
      </c>
      <c r="BP18" s="252">
        <v>0</v>
      </c>
      <c r="BQ18" s="253">
        <v>0</v>
      </c>
      <c r="BR18" s="276" t="str">
        <f t="shared" si="22"/>
        <v>-</v>
      </c>
      <c r="BS18" s="302">
        <v>0</v>
      </c>
      <c r="BT18" s="303">
        <v>0</v>
      </c>
      <c r="BU18" s="276" t="str">
        <f t="shared" si="23"/>
        <v>-</v>
      </c>
      <c r="BV18" s="257">
        <v>7</v>
      </c>
      <c r="BW18" s="253">
        <v>1</v>
      </c>
      <c r="BX18" s="276">
        <f t="shared" si="24"/>
        <v>7</v>
      </c>
      <c r="BY18" s="117">
        <f t="shared" si="26"/>
        <v>236</v>
      </c>
      <c r="BZ18" s="117">
        <f t="shared" si="27"/>
        <v>33</v>
      </c>
      <c r="CA18" s="147">
        <f t="shared" si="25"/>
        <v>7.1515151515151514</v>
      </c>
    </row>
    <row r="19" spans="1:79" ht="15" thickBot="1" x14ac:dyDescent="0.35">
      <c r="A19" s="294">
        <v>45945</v>
      </c>
      <c r="B19" s="20">
        <v>54</v>
      </c>
      <c r="C19" s="21">
        <v>6</v>
      </c>
      <c r="D19" s="139">
        <f t="shared" si="0"/>
        <v>9</v>
      </c>
      <c r="E19" s="20">
        <v>0</v>
      </c>
      <c r="F19" s="21">
        <v>0</v>
      </c>
      <c r="G19" s="139" t="str">
        <f t="shared" si="1"/>
        <v>-</v>
      </c>
      <c r="H19" s="20">
        <v>0</v>
      </c>
      <c r="I19" s="21">
        <v>0</v>
      </c>
      <c r="J19" s="139" t="str">
        <f t="shared" si="2"/>
        <v>-</v>
      </c>
      <c r="K19" s="20">
        <v>0</v>
      </c>
      <c r="L19" s="21">
        <v>0</v>
      </c>
      <c r="M19" s="139" t="str">
        <f t="shared" si="3"/>
        <v>-</v>
      </c>
      <c r="N19" s="125">
        <v>0</v>
      </c>
      <c r="O19" s="126">
        <v>0</v>
      </c>
      <c r="P19" s="139" t="str">
        <f t="shared" si="4"/>
        <v>-</v>
      </c>
      <c r="Q19" s="125">
        <v>0</v>
      </c>
      <c r="R19" s="126">
        <v>0</v>
      </c>
      <c r="S19" s="139" t="str">
        <f t="shared" si="5"/>
        <v>-</v>
      </c>
      <c r="T19" s="125">
        <v>34</v>
      </c>
      <c r="U19" s="126">
        <v>8</v>
      </c>
      <c r="V19" s="139">
        <f t="shared" si="6"/>
        <v>4.25</v>
      </c>
      <c r="W19" s="125">
        <v>0</v>
      </c>
      <c r="X19" s="126">
        <v>0</v>
      </c>
      <c r="Y19" s="139" t="str">
        <f t="shared" si="7"/>
        <v>-</v>
      </c>
      <c r="Z19" s="125">
        <v>0</v>
      </c>
      <c r="AA19" s="126">
        <v>0</v>
      </c>
      <c r="AB19" s="139" t="str">
        <f t="shared" si="8"/>
        <v>-</v>
      </c>
      <c r="AC19" s="125">
        <v>0</v>
      </c>
      <c r="AD19" s="126">
        <v>0</v>
      </c>
      <c r="AE19" s="139" t="str">
        <f t="shared" si="9"/>
        <v>-</v>
      </c>
      <c r="AF19" s="125">
        <v>5</v>
      </c>
      <c r="AG19" s="126">
        <v>1</v>
      </c>
      <c r="AH19" s="139">
        <f t="shared" si="10"/>
        <v>5</v>
      </c>
      <c r="AI19" s="125">
        <v>0</v>
      </c>
      <c r="AJ19" s="126">
        <v>0</v>
      </c>
      <c r="AK19" s="139" t="str">
        <f t="shared" si="11"/>
        <v>-</v>
      </c>
      <c r="AL19" s="125">
        <v>6</v>
      </c>
      <c r="AM19" s="126">
        <v>1</v>
      </c>
      <c r="AN19" s="139">
        <f t="shared" si="12"/>
        <v>6</v>
      </c>
      <c r="AO19" s="125">
        <v>6</v>
      </c>
      <c r="AP19" s="126">
        <v>1</v>
      </c>
      <c r="AQ19" s="139">
        <f t="shared" si="13"/>
        <v>6</v>
      </c>
      <c r="AR19" s="125">
        <v>24</v>
      </c>
      <c r="AS19" s="126">
        <v>4</v>
      </c>
      <c r="AT19" s="139">
        <f t="shared" si="14"/>
        <v>6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3</v>
      </c>
      <c r="BB19" s="21">
        <v>1</v>
      </c>
      <c r="BC19" s="139">
        <f t="shared" si="17"/>
        <v>3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 t="shared" si="19"/>
        <v>-</v>
      </c>
      <c r="BJ19" s="20">
        <v>0</v>
      </c>
      <c r="BK19" s="21">
        <v>0</v>
      </c>
      <c r="BL19" s="139" t="str">
        <f t="shared" si="20"/>
        <v>-</v>
      </c>
      <c r="BM19" s="252">
        <v>11</v>
      </c>
      <c r="BN19" s="253">
        <v>2</v>
      </c>
      <c r="BO19" s="276">
        <v>0</v>
      </c>
      <c r="BP19" s="252">
        <v>0</v>
      </c>
      <c r="BQ19" s="253">
        <v>0</v>
      </c>
      <c r="BR19" s="276" t="str">
        <f t="shared" si="22"/>
        <v>-</v>
      </c>
      <c r="BS19" s="302">
        <v>0</v>
      </c>
      <c r="BT19" s="303">
        <v>0</v>
      </c>
      <c r="BU19" s="276" t="str">
        <f t="shared" si="23"/>
        <v>-</v>
      </c>
      <c r="BV19" s="257">
        <v>0</v>
      </c>
      <c r="BW19" s="253">
        <v>0</v>
      </c>
      <c r="BX19" s="276" t="str">
        <f t="shared" si="24"/>
        <v>-</v>
      </c>
      <c r="BY19" s="117">
        <f t="shared" si="26"/>
        <v>143</v>
      </c>
      <c r="BZ19" s="117">
        <f t="shared" si="27"/>
        <v>24</v>
      </c>
      <c r="CA19" s="147">
        <f t="shared" si="25"/>
        <v>5.958333333333333</v>
      </c>
    </row>
    <row r="20" spans="1:79" ht="15" thickBot="1" x14ac:dyDescent="0.35">
      <c r="A20" s="294">
        <v>45946</v>
      </c>
      <c r="B20" s="20">
        <v>54</v>
      </c>
      <c r="C20" s="21">
        <v>6</v>
      </c>
      <c r="D20" s="139">
        <f t="shared" si="0"/>
        <v>9</v>
      </c>
      <c r="E20" s="20">
        <v>15</v>
      </c>
      <c r="F20" s="21">
        <v>2</v>
      </c>
      <c r="G20" s="139">
        <f t="shared" si="1"/>
        <v>7.5</v>
      </c>
      <c r="H20" s="20">
        <v>0</v>
      </c>
      <c r="I20" s="21">
        <v>0</v>
      </c>
      <c r="J20" s="139" t="str">
        <f t="shared" si="2"/>
        <v>-</v>
      </c>
      <c r="K20" s="20">
        <v>8</v>
      </c>
      <c r="L20" s="21">
        <v>1</v>
      </c>
      <c r="M20" s="139">
        <f t="shared" si="3"/>
        <v>8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36</v>
      </c>
      <c r="U20" s="21">
        <v>7</v>
      </c>
      <c r="V20" s="139">
        <f t="shared" si="6"/>
        <v>5.1428571428571432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15</v>
      </c>
      <c r="AD20" s="21">
        <v>3</v>
      </c>
      <c r="AE20" s="139">
        <f t="shared" si="9"/>
        <v>5</v>
      </c>
      <c r="AF20" s="125">
        <v>0</v>
      </c>
      <c r="AG20" s="126">
        <v>0</v>
      </c>
      <c r="AH20" s="139" t="str">
        <f t="shared" si="10"/>
        <v>-</v>
      </c>
      <c r="AI20" s="125">
        <v>0</v>
      </c>
      <c r="AJ20" s="126">
        <v>0</v>
      </c>
      <c r="AK20" s="139" t="str">
        <f t="shared" si="11"/>
        <v>-</v>
      </c>
      <c r="AL20" s="125">
        <v>0</v>
      </c>
      <c r="AM20" s="126">
        <v>0</v>
      </c>
      <c r="AN20" s="139" t="str">
        <f t="shared" si="12"/>
        <v>-</v>
      </c>
      <c r="AO20" s="125">
        <v>0</v>
      </c>
      <c r="AP20" s="126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14"/>
        <v>-</v>
      </c>
      <c r="AU20" s="20">
        <v>6</v>
      </c>
      <c r="AV20" s="21">
        <v>1</v>
      </c>
      <c r="AW20" s="139">
        <f t="shared" si="15"/>
        <v>6</v>
      </c>
      <c r="AX20" s="20">
        <v>0</v>
      </c>
      <c r="AY20" s="21">
        <v>0</v>
      </c>
      <c r="AZ20" s="139" t="str">
        <f t="shared" si="16"/>
        <v>-</v>
      </c>
      <c r="BA20" s="20">
        <v>3</v>
      </c>
      <c r="BB20" s="21">
        <v>1</v>
      </c>
      <c r="BC20" s="139">
        <f t="shared" si="17"/>
        <v>3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0">
        <v>0</v>
      </c>
      <c r="BK20" s="21">
        <v>0</v>
      </c>
      <c r="BL20" s="139" t="str">
        <f t="shared" si="20"/>
        <v>-</v>
      </c>
      <c r="BM20" s="252">
        <v>13</v>
      </c>
      <c r="BN20" s="253">
        <v>2</v>
      </c>
      <c r="BO20" s="276">
        <f t="shared" si="21"/>
        <v>6.5</v>
      </c>
      <c r="BP20" s="252">
        <v>0</v>
      </c>
      <c r="BQ20" s="253">
        <v>0</v>
      </c>
      <c r="BR20" s="276" t="str">
        <f t="shared" ref="BR20:BR25" si="44">IF(BQ20=0,"-",BP20/BQ20)</f>
        <v>-</v>
      </c>
      <c r="BS20" s="302">
        <v>0</v>
      </c>
      <c r="BT20" s="303">
        <v>0</v>
      </c>
      <c r="BU20" s="276" t="str">
        <f t="shared" ref="BU20:BU25" si="45">IF(BT20=0,"-",BS20/BT20)</f>
        <v>-</v>
      </c>
      <c r="BV20" s="257">
        <v>8</v>
      </c>
      <c r="BW20" s="253">
        <v>1</v>
      </c>
      <c r="BX20" s="276">
        <f t="shared" si="24"/>
        <v>8</v>
      </c>
      <c r="BY20" s="117">
        <f t="shared" si="26"/>
        <v>158</v>
      </c>
      <c r="BZ20" s="117">
        <f t="shared" si="27"/>
        <v>24</v>
      </c>
      <c r="CA20" s="147">
        <f t="shared" si="25"/>
        <v>6.583333333333333</v>
      </c>
    </row>
    <row r="21" spans="1:79" ht="15" thickBot="1" x14ac:dyDescent="0.35">
      <c r="A21" s="294">
        <v>45947</v>
      </c>
      <c r="B21" s="20">
        <v>36</v>
      </c>
      <c r="C21" s="21">
        <v>4</v>
      </c>
      <c r="D21" s="139">
        <f t="shared" si="0"/>
        <v>9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8</v>
      </c>
      <c r="L21" s="21">
        <v>1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125">
        <v>0</v>
      </c>
      <c r="R21" s="126">
        <v>0</v>
      </c>
      <c r="S21" s="139" t="str">
        <f t="shared" si="5"/>
        <v>-</v>
      </c>
      <c r="T21" s="125">
        <v>52</v>
      </c>
      <c r="U21" s="126">
        <v>9</v>
      </c>
      <c r="V21" s="139">
        <f t="shared" si="6"/>
        <v>5.7777777777777777</v>
      </c>
      <c r="W21" s="125">
        <v>12</v>
      </c>
      <c r="X21" s="126">
        <v>3</v>
      </c>
      <c r="Y21" s="139">
        <f t="shared" si="7"/>
        <v>4</v>
      </c>
      <c r="Z21" s="125">
        <v>0</v>
      </c>
      <c r="AA21" s="126">
        <v>0</v>
      </c>
      <c r="AB21" s="139" t="str">
        <f t="shared" si="8"/>
        <v>-</v>
      </c>
      <c r="AC21" s="125">
        <v>0</v>
      </c>
      <c r="AD21" s="126">
        <v>0</v>
      </c>
      <c r="AE21" s="139" t="str">
        <f t="shared" si="9"/>
        <v>-</v>
      </c>
      <c r="AF21" s="125">
        <v>0</v>
      </c>
      <c r="AG21" s="126">
        <v>0</v>
      </c>
      <c r="AH21" s="139" t="str">
        <f t="shared" si="10"/>
        <v>-</v>
      </c>
      <c r="AI21" s="125">
        <v>0</v>
      </c>
      <c r="AJ21" s="126">
        <v>0</v>
      </c>
      <c r="AK21" s="139" t="str">
        <f t="shared" si="11"/>
        <v>-</v>
      </c>
      <c r="AL21" s="125">
        <v>0</v>
      </c>
      <c r="AM21" s="126">
        <v>0</v>
      </c>
      <c r="AN21" s="139" t="str">
        <f t="shared" si="12"/>
        <v>-</v>
      </c>
      <c r="AO21" s="125">
        <v>6</v>
      </c>
      <c r="AP21" s="126">
        <v>1</v>
      </c>
      <c r="AQ21" s="139">
        <f t="shared" si="13"/>
        <v>6</v>
      </c>
      <c r="AR21" s="20">
        <v>0</v>
      </c>
      <c r="AS21" s="21">
        <v>0</v>
      </c>
      <c r="AT21" s="139" t="str">
        <f t="shared" si="14"/>
        <v>-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13</v>
      </c>
      <c r="BH21" s="21">
        <v>3</v>
      </c>
      <c r="BI21" s="139">
        <f t="shared" si="19"/>
        <v>4.333333333333333</v>
      </c>
      <c r="BJ21" s="20">
        <v>0</v>
      </c>
      <c r="BK21" s="21">
        <v>0</v>
      </c>
      <c r="BL21" s="139" t="str">
        <f t="shared" si="20"/>
        <v>-</v>
      </c>
      <c r="BM21" s="252">
        <v>30</v>
      </c>
      <c r="BN21" s="253">
        <v>5</v>
      </c>
      <c r="BO21" s="139">
        <f t="shared" si="21"/>
        <v>6</v>
      </c>
      <c r="BP21" s="252">
        <v>0</v>
      </c>
      <c r="BQ21" s="253">
        <v>0</v>
      </c>
      <c r="BR21" s="276" t="str">
        <f t="shared" si="44"/>
        <v>-</v>
      </c>
      <c r="BS21" s="302">
        <v>0</v>
      </c>
      <c r="BT21" s="303">
        <v>0</v>
      </c>
      <c r="BU21" s="276" t="str">
        <f t="shared" si="45"/>
        <v>-</v>
      </c>
      <c r="BV21" s="257">
        <v>0</v>
      </c>
      <c r="BW21" s="253">
        <v>0</v>
      </c>
      <c r="BX21" s="139" t="str">
        <f t="shared" si="24"/>
        <v>-</v>
      </c>
      <c r="BY21" s="117">
        <f t="shared" si="26"/>
        <v>157</v>
      </c>
      <c r="BZ21" s="117">
        <f t="shared" si="27"/>
        <v>26</v>
      </c>
      <c r="CA21" s="147">
        <f t="shared" si="25"/>
        <v>6.0384615384615383</v>
      </c>
    </row>
    <row r="22" spans="1:79" ht="15" thickBot="1" x14ac:dyDescent="0.35">
      <c r="A22" s="294">
        <v>45948</v>
      </c>
      <c r="B22" s="20">
        <v>107</v>
      </c>
      <c r="C22" s="21">
        <v>12</v>
      </c>
      <c r="D22" s="139">
        <f t="shared" si="0"/>
        <v>8.9166666666666661</v>
      </c>
      <c r="E22" s="20">
        <v>0</v>
      </c>
      <c r="F22" s="21">
        <v>0</v>
      </c>
      <c r="G22" s="139" t="str">
        <f t="shared" si="1"/>
        <v>-</v>
      </c>
      <c r="H22" s="20">
        <v>0</v>
      </c>
      <c r="I22" s="21">
        <v>0</v>
      </c>
      <c r="J22" s="139" t="str">
        <f t="shared" si="2"/>
        <v>-</v>
      </c>
      <c r="K22" s="20">
        <v>0</v>
      </c>
      <c r="L22" s="21">
        <v>0</v>
      </c>
      <c r="M22" s="139" t="str">
        <f t="shared" si="3"/>
        <v>-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18</v>
      </c>
      <c r="U22" s="21">
        <v>3</v>
      </c>
      <c r="V22" s="139">
        <f t="shared" si="6"/>
        <v>6</v>
      </c>
      <c r="W22" s="20">
        <v>18</v>
      </c>
      <c r="X22" s="21">
        <v>3</v>
      </c>
      <c r="Y22" s="139">
        <f t="shared" si="7"/>
        <v>6</v>
      </c>
      <c r="Z22" s="20">
        <v>0</v>
      </c>
      <c r="AA22" s="21">
        <v>0</v>
      </c>
      <c r="AB22" s="139" t="str">
        <f t="shared" si="8"/>
        <v>-</v>
      </c>
      <c r="AC22" s="125">
        <v>0</v>
      </c>
      <c r="AD22" s="126">
        <v>0</v>
      </c>
      <c r="AE22" s="139" t="str">
        <f t="shared" si="9"/>
        <v>-</v>
      </c>
      <c r="AF22" s="125">
        <v>0</v>
      </c>
      <c r="AG22" s="126">
        <v>0</v>
      </c>
      <c r="AH22" s="139" t="str">
        <f t="shared" ref="AH22" si="46">IF(AG22=0,"-",AF22/AG22)</f>
        <v>-</v>
      </c>
      <c r="AI22" s="125">
        <v>0</v>
      </c>
      <c r="AJ22" s="126">
        <v>0</v>
      </c>
      <c r="AK22" s="139" t="str">
        <f t="shared" ref="AK22" si="47">IF(AJ22=0,"-",AI22/AJ22)</f>
        <v>-</v>
      </c>
      <c r="AL22" s="125">
        <v>6</v>
      </c>
      <c r="AM22" s="126">
        <v>1</v>
      </c>
      <c r="AN22" s="139">
        <f t="shared" si="12"/>
        <v>6</v>
      </c>
      <c r="AO22" s="125">
        <v>0</v>
      </c>
      <c r="AP22" s="126">
        <v>0</v>
      </c>
      <c r="AQ22" s="139" t="str">
        <f t="shared" si="13"/>
        <v>-</v>
      </c>
      <c r="AR22" s="125">
        <v>0</v>
      </c>
      <c r="AS22" s="126">
        <v>0</v>
      </c>
      <c r="AT22" s="139" t="str">
        <f t="shared" si="14"/>
        <v>-</v>
      </c>
      <c r="AU22" s="20">
        <v>0</v>
      </c>
      <c r="AV22" s="21">
        <v>0</v>
      </c>
      <c r="AW22" s="139" t="str">
        <f t="shared" ref="AW22" si="48">IF(AV22=0,"-",AU22/AV22)</f>
        <v>-</v>
      </c>
      <c r="AX22" s="20">
        <v>0</v>
      </c>
      <c r="AY22" s="21">
        <v>0</v>
      </c>
      <c r="AZ22" s="139" t="str">
        <f t="shared" ref="AZ22" si="49">IF(AY22=0,"-",AX22/AY22)</f>
        <v>-</v>
      </c>
      <c r="BA22" s="20">
        <v>0</v>
      </c>
      <c r="BB22" s="21">
        <v>0</v>
      </c>
      <c r="BC22" s="139" t="str">
        <f t="shared" ref="BC22" si="50">IF(BB22=0,"-",BA22/BB22)</f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20">
        <v>0</v>
      </c>
      <c r="BK22" s="21">
        <v>0</v>
      </c>
      <c r="BL22" s="139" t="str">
        <f t="shared" si="20"/>
        <v>-</v>
      </c>
      <c r="BM22" s="252">
        <v>0</v>
      </c>
      <c r="BN22" s="253">
        <v>0</v>
      </c>
      <c r="BO22" s="139" t="str">
        <f t="shared" si="21"/>
        <v>-</v>
      </c>
      <c r="BP22" s="252">
        <v>0</v>
      </c>
      <c r="BQ22" s="253">
        <v>0</v>
      </c>
      <c r="BR22" s="276" t="str">
        <f t="shared" si="44"/>
        <v>-</v>
      </c>
      <c r="BS22" s="302">
        <v>0</v>
      </c>
      <c r="BT22" s="303">
        <v>0</v>
      </c>
      <c r="BU22" s="276" t="str">
        <f t="shared" si="45"/>
        <v>-</v>
      </c>
      <c r="BV22" s="257">
        <v>0</v>
      </c>
      <c r="BW22" s="253">
        <v>0</v>
      </c>
      <c r="BX22" s="276" t="str">
        <f t="shared" si="24"/>
        <v>-</v>
      </c>
      <c r="BY22" s="117">
        <f t="shared" si="26"/>
        <v>149</v>
      </c>
      <c r="BZ22" s="117">
        <f t="shared" si="27"/>
        <v>19</v>
      </c>
      <c r="CA22" s="147">
        <f t="shared" si="25"/>
        <v>7.8421052631578947</v>
      </c>
    </row>
    <row r="23" spans="1:79" ht="15" thickBot="1" x14ac:dyDescent="0.35">
      <c r="A23" s="294">
        <v>45949</v>
      </c>
      <c r="B23" s="20">
        <v>18</v>
      </c>
      <c r="C23" s="21">
        <v>2</v>
      </c>
      <c r="D23" s="139">
        <f t="shared" si="0"/>
        <v>9</v>
      </c>
      <c r="E23" s="20">
        <v>0</v>
      </c>
      <c r="F23" s="21">
        <v>0</v>
      </c>
      <c r="G23" s="139" t="str">
        <f t="shared" si="1"/>
        <v>-</v>
      </c>
      <c r="H23" s="20">
        <v>0</v>
      </c>
      <c r="I23" s="21">
        <v>0</v>
      </c>
      <c r="J23" s="139" t="str">
        <f t="shared" si="2"/>
        <v>-</v>
      </c>
      <c r="K23" s="20">
        <v>33</v>
      </c>
      <c r="L23" s="21">
        <v>4</v>
      </c>
      <c r="M23" s="139">
        <f t="shared" si="3"/>
        <v>8.25</v>
      </c>
      <c r="N23" s="20">
        <v>0</v>
      </c>
      <c r="O23" s="21">
        <v>0</v>
      </c>
      <c r="P23" s="139" t="str">
        <f t="shared" si="4"/>
        <v>-</v>
      </c>
      <c r="Q23" s="20">
        <v>0</v>
      </c>
      <c r="R23" s="21">
        <v>0</v>
      </c>
      <c r="S23" s="139" t="str">
        <f t="shared" si="5"/>
        <v>-</v>
      </c>
      <c r="T23" s="20">
        <v>36</v>
      </c>
      <c r="U23" s="21">
        <v>6</v>
      </c>
      <c r="V23" s="139">
        <f t="shared" si="6"/>
        <v>6</v>
      </c>
      <c r="W23" s="20">
        <v>88</v>
      </c>
      <c r="X23" s="21">
        <v>18</v>
      </c>
      <c r="Y23" s="139">
        <f t="shared" si="7"/>
        <v>4.8888888888888893</v>
      </c>
      <c r="Z23" s="20">
        <v>0</v>
      </c>
      <c r="AA23" s="21">
        <v>0</v>
      </c>
      <c r="AB23" s="139" t="str">
        <f t="shared" si="8"/>
        <v>-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0</v>
      </c>
      <c r="AJ23" s="21">
        <v>0</v>
      </c>
      <c r="AK23" s="139" t="str">
        <f t="shared" si="11"/>
        <v>-</v>
      </c>
      <c r="AL23" s="20">
        <v>6</v>
      </c>
      <c r="AM23" s="21">
        <v>1</v>
      </c>
      <c r="AN23" s="139">
        <f t="shared" si="12"/>
        <v>6</v>
      </c>
      <c r="AO23" s="20">
        <v>0</v>
      </c>
      <c r="AP23" s="21">
        <v>0</v>
      </c>
      <c r="AQ23" s="139" t="str">
        <f t="shared" si="13"/>
        <v>-</v>
      </c>
      <c r="AR23" s="20">
        <v>0</v>
      </c>
      <c r="AS23" s="21">
        <v>0</v>
      </c>
      <c r="AT23" s="139" t="str">
        <f t="shared" si="14"/>
        <v>-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16"/>
        <v>-</v>
      </c>
      <c r="BA23" s="20">
        <v>0</v>
      </c>
      <c r="BB23" s="21">
        <v>0</v>
      </c>
      <c r="BC23" s="139" t="str">
        <f t="shared" si="17"/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0">
        <v>0</v>
      </c>
      <c r="BK23" s="21">
        <v>0</v>
      </c>
      <c r="BL23" s="139" t="str">
        <f t="shared" si="20"/>
        <v>-</v>
      </c>
      <c r="BM23" s="252">
        <v>19</v>
      </c>
      <c r="BN23" s="253">
        <v>3</v>
      </c>
      <c r="BO23" s="276">
        <f t="shared" si="21"/>
        <v>6.333333333333333</v>
      </c>
      <c r="BP23" s="252">
        <v>0</v>
      </c>
      <c r="BQ23" s="253">
        <v>0</v>
      </c>
      <c r="BR23" s="276" t="str">
        <f t="shared" si="44"/>
        <v>-</v>
      </c>
      <c r="BS23" s="302">
        <v>0</v>
      </c>
      <c r="BT23" s="303">
        <v>0</v>
      </c>
      <c r="BU23" s="276" t="str">
        <f t="shared" si="45"/>
        <v>-</v>
      </c>
      <c r="BV23" s="257">
        <v>0</v>
      </c>
      <c r="BW23" s="253">
        <v>0</v>
      </c>
      <c r="BX23" s="276" t="str">
        <f t="shared" si="24"/>
        <v>-</v>
      </c>
      <c r="BY23" s="117">
        <f t="shared" si="26"/>
        <v>200</v>
      </c>
      <c r="BZ23" s="117">
        <f t="shared" si="27"/>
        <v>34</v>
      </c>
      <c r="CA23" s="147">
        <f t="shared" si="25"/>
        <v>5.882352941176471</v>
      </c>
    </row>
    <row r="24" spans="1:79" ht="15" thickBot="1" x14ac:dyDescent="0.35">
      <c r="A24" s="294">
        <v>45950</v>
      </c>
      <c r="B24" s="20">
        <v>83</v>
      </c>
      <c r="C24" s="21">
        <v>9</v>
      </c>
      <c r="D24" s="139">
        <f t="shared" si="0"/>
        <v>9.2222222222222214</v>
      </c>
      <c r="E24" s="20">
        <v>0</v>
      </c>
      <c r="F24" s="21">
        <v>0</v>
      </c>
      <c r="G24" s="139" t="str">
        <f t="shared" si="1"/>
        <v>-</v>
      </c>
      <c r="H24" s="20">
        <v>0</v>
      </c>
      <c r="I24" s="21">
        <v>0</v>
      </c>
      <c r="J24" s="139" t="str">
        <f t="shared" si="2"/>
        <v>-</v>
      </c>
      <c r="K24" s="20">
        <v>0</v>
      </c>
      <c r="L24" s="21">
        <v>0</v>
      </c>
      <c r="M24" s="139" t="str">
        <f t="shared" si="3"/>
        <v>-</v>
      </c>
      <c r="N24" s="20">
        <v>0</v>
      </c>
      <c r="O24" s="21">
        <v>0</v>
      </c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6</v>
      </c>
      <c r="U24" s="21">
        <v>1</v>
      </c>
      <c r="V24" s="139">
        <f t="shared" si="6"/>
        <v>6</v>
      </c>
      <c r="W24" s="20">
        <v>0</v>
      </c>
      <c r="X24" s="21">
        <v>0</v>
      </c>
      <c r="Y24" s="139" t="str">
        <f t="shared" si="7"/>
        <v>-</v>
      </c>
      <c r="Z24" s="20">
        <v>0</v>
      </c>
      <c r="AA24" s="21">
        <v>0</v>
      </c>
      <c r="AB24" s="139" t="str">
        <f t="shared" si="8"/>
        <v>-</v>
      </c>
      <c r="AC24" s="20">
        <v>52</v>
      </c>
      <c r="AD24" s="21">
        <v>12</v>
      </c>
      <c r="AE24" s="139">
        <f t="shared" si="9"/>
        <v>4.333333333333333</v>
      </c>
      <c r="AF24" s="20">
        <v>0</v>
      </c>
      <c r="AG24" s="21">
        <v>0</v>
      </c>
      <c r="AH24" s="139" t="str">
        <f t="shared" si="10"/>
        <v>-</v>
      </c>
      <c r="AI24" s="20">
        <v>0</v>
      </c>
      <c r="AJ24" s="21">
        <v>0</v>
      </c>
      <c r="AK24" s="139" t="str">
        <f t="shared" si="11"/>
        <v>-</v>
      </c>
      <c r="AL24" s="20">
        <v>17</v>
      </c>
      <c r="AM24" s="21">
        <v>3</v>
      </c>
      <c r="AN24" s="139">
        <f t="shared" si="12"/>
        <v>5.666666666666667</v>
      </c>
      <c r="AO24" s="20">
        <v>0</v>
      </c>
      <c r="AP24" s="21">
        <v>0</v>
      </c>
      <c r="AQ24" s="139" t="str">
        <f t="shared" si="13"/>
        <v>-</v>
      </c>
      <c r="AR24" s="20">
        <v>6</v>
      </c>
      <c r="AS24" s="21">
        <v>1</v>
      </c>
      <c r="AT24" s="139">
        <f t="shared" si="14"/>
        <v>6</v>
      </c>
      <c r="AU24" s="20">
        <v>8</v>
      </c>
      <c r="AV24" s="21">
        <v>1</v>
      </c>
      <c r="AW24" s="139">
        <f t="shared" si="15"/>
        <v>8</v>
      </c>
      <c r="AX24" s="20">
        <v>0</v>
      </c>
      <c r="AY24" s="21">
        <v>0</v>
      </c>
      <c r="AZ24" s="139" t="str">
        <f t="shared" si="16"/>
        <v>-</v>
      </c>
      <c r="BA24" s="20">
        <v>0</v>
      </c>
      <c r="BB24" s="21">
        <v>0</v>
      </c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14</v>
      </c>
      <c r="BH24" s="21">
        <v>2</v>
      </c>
      <c r="BI24" s="139">
        <f t="shared" si="19"/>
        <v>7</v>
      </c>
      <c r="BJ24" s="20">
        <v>0</v>
      </c>
      <c r="BK24" s="21">
        <v>0</v>
      </c>
      <c r="BL24" s="139" t="str">
        <f t="shared" si="20"/>
        <v>-</v>
      </c>
      <c r="BM24" s="252">
        <v>21</v>
      </c>
      <c r="BN24" s="253">
        <v>3</v>
      </c>
      <c r="BO24" s="276">
        <f t="shared" si="21"/>
        <v>7</v>
      </c>
      <c r="BP24" s="252">
        <v>0</v>
      </c>
      <c r="BQ24" s="253">
        <v>0</v>
      </c>
      <c r="BR24" s="276" t="str">
        <f t="shared" si="44"/>
        <v>-</v>
      </c>
      <c r="BS24" s="302">
        <v>0</v>
      </c>
      <c r="BT24" s="303">
        <v>0</v>
      </c>
      <c r="BU24" s="276" t="str">
        <f t="shared" si="45"/>
        <v>-</v>
      </c>
      <c r="BV24" s="256">
        <v>7</v>
      </c>
      <c r="BW24" s="253">
        <v>1</v>
      </c>
      <c r="BX24" s="276">
        <f t="shared" si="24"/>
        <v>7</v>
      </c>
      <c r="BY24" s="117">
        <f t="shared" si="26"/>
        <v>214</v>
      </c>
      <c r="BZ24" s="117">
        <f t="shared" si="27"/>
        <v>33</v>
      </c>
      <c r="CA24" s="147">
        <f t="shared" si="25"/>
        <v>6.4848484848484844</v>
      </c>
    </row>
    <row r="25" spans="1:79" ht="15" thickBot="1" x14ac:dyDescent="0.35">
      <c r="A25" s="294">
        <v>45951</v>
      </c>
      <c r="B25" s="20">
        <v>50</v>
      </c>
      <c r="C25" s="21">
        <v>10</v>
      </c>
      <c r="D25" s="139">
        <f t="shared" si="0"/>
        <v>5</v>
      </c>
      <c r="E25" s="20">
        <v>0</v>
      </c>
      <c r="F25" s="21">
        <v>0</v>
      </c>
      <c r="G25" s="139" t="str">
        <f t="shared" si="1"/>
        <v>-</v>
      </c>
      <c r="H25" s="20">
        <v>0</v>
      </c>
      <c r="I25" s="21">
        <v>0</v>
      </c>
      <c r="J25" s="139" t="str">
        <f t="shared" si="2"/>
        <v>-</v>
      </c>
      <c r="K25" s="20">
        <v>30</v>
      </c>
      <c r="L25" s="21">
        <v>3</v>
      </c>
      <c r="M25" s="139">
        <f t="shared" si="3"/>
        <v>10</v>
      </c>
      <c r="N25" s="125">
        <v>0</v>
      </c>
      <c r="O25" s="126">
        <v>0</v>
      </c>
      <c r="P25" s="139" t="str">
        <f t="shared" si="4"/>
        <v>-</v>
      </c>
      <c r="Q25" s="125">
        <v>0</v>
      </c>
      <c r="R25" s="126">
        <v>0</v>
      </c>
      <c r="S25" s="139" t="str">
        <f t="shared" si="5"/>
        <v>-</v>
      </c>
      <c r="T25" s="20">
        <v>39</v>
      </c>
      <c r="U25" s="21">
        <v>7</v>
      </c>
      <c r="V25" s="139">
        <f t="shared" si="6"/>
        <v>5.5714285714285712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9"/>
        <v>-</v>
      </c>
      <c r="AF25" s="20">
        <v>0</v>
      </c>
      <c r="AG25" s="21">
        <v>0</v>
      </c>
      <c r="AH25" s="139" t="str">
        <f t="shared" si="10"/>
        <v>-</v>
      </c>
      <c r="AI25" s="20">
        <v>0</v>
      </c>
      <c r="AJ25" s="21">
        <v>0</v>
      </c>
      <c r="AK25" s="139" t="str">
        <f t="shared" si="11"/>
        <v>-</v>
      </c>
      <c r="AL25" s="20">
        <v>0</v>
      </c>
      <c r="AM25" s="21">
        <v>0</v>
      </c>
      <c r="AN25" s="139" t="str">
        <f t="shared" si="12"/>
        <v>-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si="14"/>
        <v>-</v>
      </c>
      <c r="AU25" s="20">
        <v>0</v>
      </c>
      <c r="AV25" s="21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>
        <v>0</v>
      </c>
      <c r="BB25" s="21">
        <v>0</v>
      </c>
      <c r="BC25" s="139" t="str">
        <f t="shared" si="17"/>
        <v>-</v>
      </c>
      <c r="BD25" s="20">
        <v>0</v>
      </c>
      <c r="BE25" s="21">
        <v>0</v>
      </c>
      <c r="BF25" s="139" t="str">
        <f t="shared" si="18"/>
        <v>-</v>
      </c>
      <c r="BG25" s="20">
        <v>5</v>
      </c>
      <c r="BH25" s="21">
        <v>1</v>
      </c>
      <c r="BI25" s="139">
        <f t="shared" si="19"/>
        <v>5</v>
      </c>
      <c r="BJ25" s="20">
        <v>0</v>
      </c>
      <c r="BK25" s="21">
        <v>0</v>
      </c>
      <c r="BL25" s="139" t="str">
        <f t="shared" si="20"/>
        <v>-</v>
      </c>
      <c r="BM25" s="252">
        <v>12</v>
      </c>
      <c r="BN25" s="253">
        <v>2</v>
      </c>
      <c r="BO25" s="276">
        <f t="shared" si="21"/>
        <v>6</v>
      </c>
      <c r="BP25" s="252">
        <v>0</v>
      </c>
      <c r="BQ25" s="253">
        <v>0</v>
      </c>
      <c r="BR25" s="276" t="str">
        <f t="shared" si="44"/>
        <v>-</v>
      </c>
      <c r="BS25" s="302">
        <v>0</v>
      </c>
      <c r="BT25" s="303">
        <v>0</v>
      </c>
      <c r="BU25" s="276" t="str">
        <f t="shared" si="45"/>
        <v>-</v>
      </c>
      <c r="BV25" s="257">
        <v>6</v>
      </c>
      <c r="BW25" s="253">
        <v>1</v>
      </c>
      <c r="BX25" s="276">
        <f t="shared" si="24"/>
        <v>6</v>
      </c>
      <c r="BY25" s="117">
        <f t="shared" si="26"/>
        <v>142</v>
      </c>
      <c r="BZ25" s="117">
        <f t="shared" si="27"/>
        <v>24</v>
      </c>
      <c r="CA25" s="147">
        <f t="shared" si="25"/>
        <v>5.916666666666667</v>
      </c>
    </row>
    <row r="26" spans="1:79" ht="15" thickBot="1" x14ac:dyDescent="0.35">
      <c r="A26" s="294">
        <v>45952</v>
      </c>
      <c r="B26" s="20">
        <v>54</v>
      </c>
      <c r="C26" s="21">
        <v>6</v>
      </c>
      <c r="D26" s="139">
        <f t="shared" si="0"/>
        <v>9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2"/>
        <v>-</v>
      </c>
      <c r="K26" s="20">
        <v>74</v>
      </c>
      <c r="L26" s="21">
        <v>8</v>
      </c>
      <c r="M26" s="139">
        <f t="shared" si="3"/>
        <v>9.25</v>
      </c>
      <c r="N26" s="125">
        <v>0</v>
      </c>
      <c r="O26" s="126">
        <v>0</v>
      </c>
      <c r="P26" s="139" t="str">
        <f t="shared" si="4"/>
        <v>-</v>
      </c>
      <c r="Q26" s="125">
        <v>0</v>
      </c>
      <c r="R26" s="126">
        <v>0</v>
      </c>
      <c r="S26" s="139" t="str">
        <f t="shared" si="5"/>
        <v>-</v>
      </c>
      <c r="T26" s="125">
        <v>54</v>
      </c>
      <c r="U26" s="126">
        <v>9</v>
      </c>
      <c r="V26" s="139">
        <f t="shared" si="6"/>
        <v>6</v>
      </c>
      <c r="W26" s="20">
        <v>18</v>
      </c>
      <c r="X26" s="21">
        <v>4</v>
      </c>
      <c r="Y26" s="139">
        <f t="shared" si="7"/>
        <v>4.5</v>
      </c>
      <c r="Z26" s="20">
        <v>0</v>
      </c>
      <c r="AA26" s="21">
        <v>0</v>
      </c>
      <c r="AB26" s="139" t="str">
        <f t="shared" si="8"/>
        <v>-</v>
      </c>
      <c r="AC26" s="20">
        <v>20</v>
      </c>
      <c r="AD26" s="21">
        <v>4</v>
      </c>
      <c r="AE26" s="139">
        <f t="shared" si="9"/>
        <v>5</v>
      </c>
      <c r="AF26" s="20">
        <v>0</v>
      </c>
      <c r="AG26" s="21">
        <v>0</v>
      </c>
      <c r="AH26" s="139" t="str">
        <f t="shared" si="10"/>
        <v>-</v>
      </c>
      <c r="AI26" s="20">
        <v>0</v>
      </c>
      <c r="AJ26" s="21">
        <v>0</v>
      </c>
      <c r="AK26" s="139" t="str">
        <f t="shared" si="11"/>
        <v>-</v>
      </c>
      <c r="AL26" s="20">
        <v>12</v>
      </c>
      <c r="AM26" s="21">
        <v>2</v>
      </c>
      <c r="AN26" s="139">
        <f t="shared" si="12"/>
        <v>6</v>
      </c>
      <c r="AO26" s="20">
        <v>0</v>
      </c>
      <c r="AP26" s="21">
        <v>0</v>
      </c>
      <c r="AQ26" s="139" t="str">
        <f t="shared" si="13"/>
        <v>-</v>
      </c>
      <c r="AR26" s="20">
        <v>0</v>
      </c>
      <c r="AS26" s="21">
        <v>0</v>
      </c>
      <c r="AT26" s="139" t="str">
        <f t="shared" si="14"/>
        <v>-</v>
      </c>
      <c r="AU26" s="20">
        <v>0</v>
      </c>
      <c r="AV26" s="21">
        <v>0</v>
      </c>
      <c r="AW26" s="139" t="str">
        <f t="shared" si="15"/>
        <v>-</v>
      </c>
      <c r="AX26" s="20">
        <v>0</v>
      </c>
      <c r="AY26" s="21">
        <v>0</v>
      </c>
      <c r="AZ26" s="139" t="str">
        <f t="shared" si="16"/>
        <v>-</v>
      </c>
      <c r="BA26" s="20">
        <v>0</v>
      </c>
      <c r="BB26" s="21">
        <v>0</v>
      </c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20">
        <v>5</v>
      </c>
      <c r="BH26" s="21">
        <v>1</v>
      </c>
      <c r="BI26" s="139">
        <f t="shared" si="19"/>
        <v>5</v>
      </c>
      <c r="BJ26" s="125">
        <v>0</v>
      </c>
      <c r="BK26" s="126">
        <v>0</v>
      </c>
      <c r="BL26" s="139" t="str">
        <f t="shared" si="20"/>
        <v>-</v>
      </c>
      <c r="BM26" s="252">
        <v>6</v>
      </c>
      <c r="BN26" s="253">
        <v>1</v>
      </c>
      <c r="BO26" s="276">
        <f t="shared" si="21"/>
        <v>6</v>
      </c>
      <c r="BP26" s="252">
        <v>0</v>
      </c>
      <c r="BQ26" s="253">
        <v>0</v>
      </c>
      <c r="BR26" s="276" t="str">
        <f t="shared" si="22"/>
        <v>-</v>
      </c>
      <c r="BS26" s="302">
        <v>0</v>
      </c>
      <c r="BT26" s="303">
        <v>0</v>
      </c>
      <c r="BU26" s="276" t="str">
        <f t="shared" si="23"/>
        <v>-</v>
      </c>
      <c r="BV26" s="257">
        <v>0</v>
      </c>
      <c r="BW26" s="253">
        <v>0</v>
      </c>
      <c r="BX26" s="276" t="str">
        <f t="shared" si="24"/>
        <v>-</v>
      </c>
      <c r="BY26" s="117">
        <f t="shared" si="26"/>
        <v>243</v>
      </c>
      <c r="BZ26" s="117">
        <f t="shared" si="27"/>
        <v>35</v>
      </c>
      <c r="CA26" s="147">
        <f t="shared" si="25"/>
        <v>6.9428571428571431</v>
      </c>
    </row>
    <row r="27" spans="1:79" ht="15" thickBot="1" x14ac:dyDescent="0.35">
      <c r="A27" s="294">
        <v>45953</v>
      </c>
      <c r="B27" s="20">
        <v>36</v>
      </c>
      <c r="C27" s="21">
        <v>4</v>
      </c>
      <c r="D27" s="139">
        <f t="shared" si="0"/>
        <v>9</v>
      </c>
      <c r="E27" s="20">
        <v>0</v>
      </c>
      <c r="F27" s="21">
        <v>0</v>
      </c>
      <c r="G27" s="139" t="str">
        <f t="shared" si="1"/>
        <v>-</v>
      </c>
      <c r="H27" s="20">
        <v>0</v>
      </c>
      <c r="I27" s="21">
        <v>0</v>
      </c>
      <c r="J27" s="139" t="str">
        <f t="shared" si="2"/>
        <v>-</v>
      </c>
      <c r="K27" s="20">
        <v>0</v>
      </c>
      <c r="L27" s="21">
        <v>0</v>
      </c>
      <c r="M27" s="139" t="str">
        <f t="shared" si="3"/>
        <v>-</v>
      </c>
      <c r="N27" s="125">
        <v>0</v>
      </c>
      <c r="O27" s="126">
        <v>0</v>
      </c>
      <c r="P27" s="139" t="str">
        <f t="shared" si="4"/>
        <v>-</v>
      </c>
      <c r="Q27" s="125">
        <v>0</v>
      </c>
      <c r="R27" s="126">
        <v>0</v>
      </c>
      <c r="S27" s="139" t="str">
        <f t="shared" si="5"/>
        <v>-</v>
      </c>
      <c r="T27" s="125">
        <v>59</v>
      </c>
      <c r="U27" s="126">
        <v>11</v>
      </c>
      <c r="V27" s="139">
        <f t="shared" si="6"/>
        <v>5.3636363636363633</v>
      </c>
      <c r="W27" s="20">
        <v>79</v>
      </c>
      <c r="X27" s="21">
        <v>16</v>
      </c>
      <c r="Y27" s="139">
        <f t="shared" si="7"/>
        <v>4.9375</v>
      </c>
      <c r="Z27" s="20">
        <v>0</v>
      </c>
      <c r="AA27" s="21">
        <v>0</v>
      </c>
      <c r="AB27" s="139" t="str">
        <f t="shared" si="8"/>
        <v>-</v>
      </c>
      <c r="AC27" s="20">
        <v>20</v>
      </c>
      <c r="AD27" s="21">
        <v>4</v>
      </c>
      <c r="AE27" s="139">
        <f t="shared" si="9"/>
        <v>5</v>
      </c>
      <c r="AF27" s="20">
        <v>0</v>
      </c>
      <c r="AG27" s="21">
        <v>0</v>
      </c>
      <c r="AH27" s="139" t="str">
        <f t="shared" si="10"/>
        <v>-</v>
      </c>
      <c r="AI27" s="20">
        <v>0</v>
      </c>
      <c r="AJ27" s="21">
        <v>0</v>
      </c>
      <c r="AK27" s="139" t="str">
        <f t="shared" si="11"/>
        <v>-</v>
      </c>
      <c r="AL27" s="125">
        <v>0</v>
      </c>
      <c r="AM27" s="126">
        <v>0</v>
      </c>
      <c r="AN27" s="139" t="str">
        <f t="shared" si="12"/>
        <v>-</v>
      </c>
      <c r="AO27" s="125">
        <v>0</v>
      </c>
      <c r="AP27" s="126">
        <v>0</v>
      </c>
      <c r="AQ27" s="139" t="str">
        <f t="shared" si="13"/>
        <v>-</v>
      </c>
      <c r="AR27" s="125">
        <v>29</v>
      </c>
      <c r="AS27" s="126">
        <v>5</v>
      </c>
      <c r="AT27" s="139">
        <f t="shared" si="14"/>
        <v>5.8</v>
      </c>
      <c r="AU27" s="125">
        <v>0</v>
      </c>
      <c r="AV27" s="126">
        <v>0</v>
      </c>
      <c r="AW27" s="139" t="str">
        <f t="shared" si="15"/>
        <v>-</v>
      </c>
      <c r="AX27" s="125">
        <v>0</v>
      </c>
      <c r="AY27" s="126">
        <v>0</v>
      </c>
      <c r="AZ27" s="139" t="str">
        <f t="shared" si="16"/>
        <v>-</v>
      </c>
      <c r="BA27" s="125">
        <v>0</v>
      </c>
      <c r="BB27" s="126">
        <v>0</v>
      </c>
      <c r="BC27" s="139" t="str">
        <f t="shared" si="17"/>
        <v>-</v>
      </c>
      <c r="BD27" s="125">
        <v>0</v>
      </c>
      <c r="BE27" s="126">
        <v>0</v>
      </c>
      <c r="BF27" s="139" t="str">
        <f t="shared" si="18"/>
        <v>-</v>
      </c>
      <c r="BG27" s="125">
        <v>12</v>
      </c>
      <c r="BH27" s="126">
        <v>1</v>
      </c>
      <c r="BI27" s="139">
        <f t="shared" si="19"/>
        <v>12</v>
      </c>
      <c r="BJ27" s="125">
        <v>0</v>
      </c>
      <c r="BK27" s="126">
        <v>0</v>
      </c>
      <c r="BL27" s="139" t="str">
        <f t="shared" si="20"/>
        <v>-</v>
      </c>
      <c r="BM27" s="252">
        <v>7</v>
      </c>
      <c r="BN27" s="253">
        <v>1</v>
      </c>
      <c r="BO27" s="276">
        <f t="shared" si="21"/>
        <v>7</v>
      </c>
      <c r="BP27" s="252">
        <v>7</v>
      </c>
      <c r="BQ27" s="253">
        <v>1</v>
      </c>
      <c r="BR27" s="276">
        <f t="shared" si="22"/>
        <v>7</v>
      </c>
      <c r="BS27" s="302">
        <v>34</v>
      </c>
      <c r="BT27" s="303">
        <v>5</v>
      </c>
      <c r="BU27" s="276">
        <f t="shared" si="23"/>
        <v>6.8</v>
      </c>
      <c r="BV27" s="257">
        <v>0</v>
      </c>
      <c r="BW27" s="253">
        <v>0</v>
      </c>
      <c r="BX27" s="276" t="str">
        <f t="shared" si="24"/>
        <v>-</v>
      </c>
      <c r="BY27" s="117">
        <f t="shared" si="26"/>
        <v>283</v>
      </c>
      <c r="BZ27" s="117">
        <f t="shared" si="27"/>
        <v>48</v>
      </c>
      <c r="CA27" s="147">
        <f t="shared" si="25"/>
        <v>5.895833333333333</v>
      </c>
    </row>
    <row r="28" spans="1:79" ht="15" thickBot="1" x14ac:dyDescent="0.35">
      <c r="A28" s="294">
        <v>45954</v>
      </c>
      <c r="B28" s="20">
        <v>37</v>
      </c>
      <c r="C28" s="21">
        <v>4</v>
      </c>
      <c r="D28" s="139">
        <f t="shared" si="0"/>
        <v>9.25</v>
      </c>
      <c r="E28" s="20">
        <v>0</v>
      </c>
      <c r="F28" s="21">
        <v>0</v>
      </c>
      <c r="G28" s="139" t="str">
        <f t="shared" si="1"/>
        <v>-</v>
      </c>
      <c r="H28" s="20">
        <v>0</v>
      </c>
      <c r="I28" s="21">
        <v>0</v>
      </c>
      <c r="J28" s="139" t="str">
        <f t="shared" si="2"/>
        <v>-</v>
      </c>
      <c r="K28" s="20">
        <v>0</v>
      </c>
      <c r="L28" s="21">
        <v>0</v>
      </c>
      <c r="M28" s="139" t="str">
        <f t="shared" si="3"/>
        <v>-</v>
      </c>
      <c r="N28" s="125">
        <v>0</v>
      </c>
      <c r="O28" s="126">
        <v>0</v>
      </c>
      <c r="P28" s="139" t="str">
        <f t="shared" si="4"/>
        <v>-</v>
      </c>
      <c r="Q28" s="125">
        <v>0</v>
      </c>
      <c r="R28" s="126">
        <v>0</v>
      </c>
      <c r="S28" s="139" t="str">
        <f t="shared" si="5"/>
        <v>-</v>
      </c>
      <c r="T28" s="125">
        <v>57</v>
      </c>
      <c r="U28" s="126">
        <v>11</v>
      </c>
      <c r="V28" s="139">
        <f t="shared" si="6"/>
        <v>5.1818181818181817</v>
      </c>
      <c r="W28" s="20">
        <v>0</v>
      </c>
      <c r="X28" s="21">
        <v>0</v>
      </c>
      <c r="Y28" s="139" t="str">
        <f t="shared" si="7"/>
        <v>-</v>
      </c>
      <c r="Z28" s="20">
        <v>0</v>
      </c>
      <c r="AA28" s="21">
        <v>0</v>
      </c>
      <c r="AB28" s="139" t="str">
        <f t="shared" si="8"/>
        <v>-</v>
      </c>
      <c r="AC28" s="20">
        <v>30</v>
      </c>
      <c r="AD28" s="21">
        <v>6</v>
      </c>
      <c r="AE28" s="139">
        <f t="shared" si="9"/>
        <v>5</v>
      </c>
      <c r="AF28" s="20">
        <v>0</v>
      </c>
      <c r="AG28" s="21">
        <v>0</v>
      </c>
      <c r="AH28" s="139" t="str">
        <f t="shared" si="10"/>
        <v>-</v>
      </c>
      <c r="AI28" s="20">
        <v>0</v>
      </c>
      <c r="AJ28" s="21">
        <v>0</v>
      </c>
      <c r="AK28" s="139" t="str">
        <f t="shared" si="11"/>
        <v>-</v>
      </c>
      <c r="AL28" s="20">
        <v>0</v>
      </c>
      <c r="AM28" s="21">
        <v>0</v>
      </c>
      <c r="AN28" s="139" t="str">
        <f t="shared" si="12"/>
        <v>-</v>
      </c>
      <c r="AO28" s="20">
        <v>0</v>
      </c>
      <c r="AP28" s="21">
        <v>0</v>
      </c>
      <c r="AQ28" s="139" t="str">
        <f t="shared" si="13"/>
        <v>-</v>
      </c>
      <c r="AR28" s="20">
        <v>12</v>
      </c>
      <c r="AS28" s="21">
        <v>2</v>
      </c>
      <c r="AT28" s="139">
        <f t="shared" si="14"/>
        <v>6</v>
      </c>
      <c r="AU28" s="125">
        <v>0</v>
      </c>
      <c r="AV28" s="126">
        <v>0</v>
      </c>
      <c r="AW28" s="139" t="str">
        <f t="shared" si="15"/>
        <v>-</v>
      </c>
      <c r="AX28" s="125">
        <v>0</v>
      </c>
      <c r="AY28" s="126">
        <v>0</v>
      </c>
      <c r="AZ28" s="139" t="str">
        <f t="shared" si="16"/>
        <v>-</v>
      </c>
      <c r="BA28" s="125">
        <v>1</v>
      </c>
      <c r="BB28" s="126">
        <v>1</v>
      </c>
      <c r="BC28" s="139">
        <f t="shared" si="17"/>
        <v>1</v>
      </c>
      <c r="BD28" s="125">
        <v>0</v>
      </c>
      <c r="BE28" s="126">
        <v>0</v>
      </c>
      <c r="BF28" s="139" t="str">
        <f t="shared" si="18"/>
        <v>-</v>
      </c>
      <c r="BG28" s="125">
        <v>26</v>
      </c>
      <c r="BH28" s="126">
        <v>2</v>
      </c>
      <c r="BI28" s="139">
        <f t="shared" si="19"/>
        <v>13</v>
      </c>
      <c r="BJ28" s="125">
        <v>0</v>
      </c>
      <c r="BK28" s="126">
        <v>0</v>
      </c>
      <c r="BL28" s="139" t="str">
        <f t="shared" si="20"/>
        <v>-</v>
      </c>
      <c r="BM28" s="252">
        <v>7</v>
      </c>
      <c r="BN28" s="253">
        <v>1</v>
      </c>
      <c r="BO28" s="139">
        <f t="shared" si="21"/>
        <v>7</v>
      </c>
      <c r="BP28" s="252">
        <v>0</v>
      </c>
      <c r="BQ28" s="253">
        <v>0</v>
      </c>
      <c r="BR28" s="139" t="str">
        <f t="shared" si="22"/>
        <v>-</v>
      </c>
      <c r="BS28" s="302">
        <v>35</v>
      </c>
      <c r="BT28" s="303">
        <v>5</v>
      </c>
      <c r="BU28" s="139">
        <f t="shared" si="23"/>
        <v>7</v>
      </c>
      <c r="BV28" s="257">
        <v>0</v>
      </c>
      <c r="BW28" s="253">
        <v>0</v>
      </c>
      <c r="BX28" s="139" t="str">
        <f t="shared" si="24"/>
        <v>-</v>
      </c>
      <c r="BY28" s="117">
        <f t="shared" si="26"/>
        <v>205</v>
      </c>
      <c r="BZ28" s="117">
        <f t="shared" si="27"/>
        <v>32</v>
      </c>
      <c r="CA28" s="147">
        <f t="shared" si="25"/>
        <v>6.40625</v>
      </c>
    </row>
    <row r="29" spans="1:79" ht="15" thickBot="1" x14ac:dyDescent="0.35">
      <c r="A29" s="294">
        <v>45955</v>
      </c>
      <c r="B29" s="20">
        <v>56</v>
      </c>
      <c r="C29" s="21">
        <v>7</v>
      </c>
      <c r="D29" s="139">
        <f t="shared" si="0"/>
        <v>8</v>
      </c>
      <c r="E29" s="20">
        <v>0</v>
      </c>
      <c r="F29" s="21">
        <v>0</v>
      </c>
      <c r="G29" s="139" t="str">
        <f t="shared" ref="G29" si="51">IF(F29=0,"-",E29/F29)</f>
        <v>-</v>
      </c>
      <c r="H29" s="20">
        <v>0</v>
      </c>
      <c r="I29" s="21">
        <v>0</v>
      </c>
      <c r="J29" s="139" t="str">
        <f t="shared" ref="J29" si="52">IF(I29=0,"-",H29/I29)</f>
        <v>-</v>
      </c>
      <c r="K29" s="20">
        <v>0</v>
      </c>
      <c r="L29" s="21">
        <v>0</v>
      </c>
      <c r="M29" s="139" t="str">
        <f t="shared" ref="M29" si="53">IF(L29=0,"-",K29/L29)</f>
        <v>-</v>
      </c>
      <c r="N29" s="125">
        <v>0</v>
      </c>
      <c r="O29" s="126">
        <v>0</v>
      </c>
      <c r="P29" s="139" t="str">
        <f t="shared" si="4"/>
        <v>-</v>
      </c>
      <c r="Q29" s="125">
        <v>56</v>
      </c>
      <c r="R29" s="126">
        <v>8</v>
      </c>
      <c r="S29" s="139">
        <f t="shared" si="5"/>
        <v>7</v>
      </c>
      <c r="T29" s="125">
        <v>0</v>
      </c>
      <c r="U29" s="126">
        <v>0</v>
      </c>
      <c r="V29" s="139" t="str">
        <f t="shared" si="6"/>
        <v>-</v>
      </c>
      <c r="W29" s="20">
        <v>0</v>
      </c>
      <c r="X29" s="21">
        <v>0</v>
      </c>
      <c r="Y29" s="139" t="str">
        <f t="shared" si="7"/>
        <v>-</v>
      </c>
      <c r="Z29" s="125">
        <v>0</v>
      </c>
      <c r="AA29" s="126">
        <v>0</v>
      </c>
      <c r="AB29" s="139" t="str">
        <f t="shared" si="8"/>
        <v>-</v>
      </c>
      <c r="AC29" s="125">
        <v>0</v>
      </c>
      <c r="AD29" s="126">
        <v>0</v>
      </c>
      <c r="AE29" s="139" t="str">
        <f t="shared" si="9"/>
        <v>-</v>
      </c>
      <c r="AF29" s="20">
        <v>0</v>
      </c>
      <c r="AG29" s="21">
        <v>0</v>
      </c>
      <c r="AH29" s="139" t="str">
        <f t="shared" ref="AH29" si="54">IF(AG29=0,"-",AF29/AG29)</f>
        <v>-</v>
      </c>
      <c r="AI29" s="20">
        <v>0</v>
      </c>
      <c r="AJ29" s="21">
        <v>0</v>
      </c>
      <c r="AK29" s="139" t="str">
        <f t="shared" ref="AK29" si="55">IF(AJ29=0,"-",AI29/AJ29)</f>
        <v>-</v>
      </c>
      <c r="AL29" s="20">
        <v>12</v>
      </c>
      <c r="AM29" s="21">
        <v>2</v>
      </c>
      <c r="AN29" s="139">
        <f t="shared" si="12"/>
        <v>6</v>
      </c>
      <c r="AO29" s="20">
        <v>0</v>
      </c>
      <c r="AP29" s="21">
        <v>0</v>
      </c>
      <c r="AQ29" s="139" t="str">
        <f t="shared" si="13"/>
        <v>-</v>
      </c>
      <c r="AR29" s="20">
        <v>42</v>
      </c>
      <c r="AS29" s="21">
        <v>7</v>
      </c>
      <c r="AT29" s="139">
        <f t="shared" si="14"/>
        <v>6</v>
      </c>
      <c r="AU29" s="125">
        <v>0</v>
      </c>
      <c r="AV29" s="126">
        <v>0</v>
      </c>
      <c r="AW29" s="139" t="str">
        <f t="shared" si="15"/>
        <v>-</v>
      </c>
      <c r="AX29" s="125">
        <v>0</v>
      </c>
      <c r="AY29" s="126">
        <v>0</v>
      </c>
      <c r="AZ29" s="139" t="str">
        <f t="shared" si="16"/>
        <v>-</v>
      </c>
      <c r="BA29" s="125">
        <v>0</v>
      </c>
      <c r="BB29" s="126">
        <v>0</v>
      </c>
      <c r="BC29" s="139" t="str">
        <f t="shared" si="17"/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125">
        <v>0</v>
      </c>
      <c r="BK29" s="126">
        <v>0</v>
      </c>
      <c r="BL29" s="139" t="str">
        <f t="shared" si="20"/>
        <v>-</v>
      </c>
      <c r="BM29" s="252">
        <v>20</v>
      </c>
      <c r="BN29" s="253">
        <v>4</v>
      </c>
      <c r="BO29" s="276">
        <f t="shared" si="21"/>
        <v>5</v>
      </c>
      <c r="BP29" s="252">
        <v>0</v>
      </c>
      <c r="BQ29" s="253">
        <v>0</v>
      </c>
      <c r="BR29" s="276" t="str">
        <f t="shared" si="22"/>
        <v>-</v>
      </c>
      <c r="BS29" s="302">
        <v>14</v>
      </c>
      <c r="BT29" s="303">
        <v>2</v>
      </c>
      <c r="BU29" s="276">
        <f t="shared" si="23"/>
        <v>7</v>
      </c>
      <c r="BV29" s="257">
        <v>7</v>
      </c>
      <c r="BW29" s="253">
        <v>1</v>
      </c>
      <c r="BX29" s="276">
        <f t="shared" si="24"/>
        <v>7</v>
      </c>
      <c r="BY29" s="117">
        <f t="shared" si="26"/>
        <v>207</v>
      </c>
      <c r="BZ29" s="117">
        <f t="shared" si="27"/>
        <v>31</v>
      </c>
      <c r="CA29" s="147">
        <f t="shared" si="25"/>
        <v>6.67741935483871</v>
      </c>
    </row>
    <row r="30" spans="1:79" ht="15" thickBot="1" x14ac:dyDescent="0.35">
      <c r="A30" s="294">
        <v>45956</v>
      </c>
      <c r="B30" s="20">
        <v>67</v>
      </c>
      <c r="C30" s="21">
        <v>8</v>
      </c>
      <c r="D30" s="139">
        <f t="shared" si="0"/>
        <v>8.375</v>
      </c>
      <c r="E30" s="20">
        <v>0</v>
      </c>
      <c r="F30" s="21">
        <v>0</v>
      </c>
      <c r="G30" s="139" t="str">
        <f t="shared" ref="G30" si="56">IF(F30=0,"-",E30/F30)</f>
        <v>-</v>
      </c>
      <c r="H30" s="20">
        <v>0</v>
      </c>
      <c r="I30" s="21">
        <v>0</v>
      </c>
      <c r="J30" s="139" t="str">
        <f t="shared" ref="J30" si="57">IF(I30=0,"-",H30/I30)</f>
        <v>-</v>
      </c>
      <c r="K30" s="20">
        <v>0</v>
      </c>
      <c r="L30" s="21">
        <v>0</v>
      </c>
      <c r="M30" s="139" t="str">
        <f t="shared" ref="M30" si="58">IF(L30=0,"-",K30/L30)</f>
        <v>-</v>
      </c>
      <c r="N30" s="125">
        <v>14</v>
      </c>
      <c r="O30" s="126">
        <v>2</v>
      </c>
      <c r="P30" s="139">
        <f t="shared" si="4"/>
        <v>7</v>
      </c>
      <c r="Q30" s="125">
        <v>0</v>
      </c>
      <c r="R30" s="126">
        <v>0</v>
      </c>
      <c r="S30" s="139" t="str">
        <f t="shared" si="5"/>
        <v>-</v>
      </c>
      <c r="T30" s="125">
        <v>22</v>
      </c>
      <c r="U30" s="126">
        <v>3</v>
      </c>
      <c r="V30" s="139">
        <f t="shared" si="6"/>
        <v>7.333333333333333</v>
      </c>
      <c r="W30" s="125">
        <v>0</v>
      </c>
      <c r="X30" s="126">
        <v>0</v>
      </c>
      <c r="Y30" s="139" t="str">
        <f t="shared" si="7"/>
        <v>-</v>
      </c>
      <c r="Z30" s="125">
        <v>0</v>
      </c>
      <c r="AA30" s="126">
        <v>0</v>
      </c>
      <c r="AB30" s="139" t="str">
        <f t="shared" si="8"/>
        <v>-</v>
      </c>
      <c r="AC30" s="125">
        <v>0</v>
      </c>
      <c r="AD30" s="126">
        <v>0</v>
      </c>
      <c r="AE30" s="139" t="str">
        <f t="shared" si="9"/>
        <v>-</v>
      </c>
      <c r="AF30" s="125">
        <v>0</v>
      </c>
      <c r="AG30" s="126">
        <v>0</v>
      </c>
      <c r="AH30" s="139" t="str">
        <f t="shared" si="10"/>
        <v>-</v>
      </c>
      <c r="AI30" s="125">
        <v>0</v>
      </c>
      <c r="AJ30" s="126">
        <v>0</v>
      </c>
      <c r="AK30" s="139" t="str">
        <f t="shared" si="11"/>
        <v>-</v>
      </c>
      <c r="AL30" s="20">
        <v>6</v>
      </c>
      <c r="AM30" s="21">
        <v>1</v>
      </c>
      <c r="AN30" s="139">
        <f t="shared" si="12"/>
        <v>6</v>
      </c>
      <c r="AO30" s="20">
        <v>0</v>
      </c>
      <c r="AP30" s="21">
        <v>0</v>
      </c>
      <c r="AQ30" s="139" t="str">
        <f t="shared" si="13"/>
        <v>-</v>
      </c>
      <c r="AR30" s="125">
        <v>0</v>
      </c>
      <c r="AS30" s="126">
        <v>0</v>
      </c>
      <c r="AT30" s="139" t="str">
        <f t="shared" si="14"/>
        <v>-</v>
      </c>
      <c r="AU30" s="125">
        <v>5</v>
      </c>
      <c r="AV30" s="126">
        <v>1</v>
      </c>
      <c r="AW30" s="139">
        <f t="shared" si="15"/>
        <v>5</v>
      </c>
      <c r="AX30" s="125">
        <v>0</v>
      </c>
      <c r="AY30" s="126">
        <v>0</v>
      </c>
      <c r="AZ30" s="139" t="str">
        <f t="shared" si="16"/>
        <v>-</v>
      </c>
      <c r="BA30" s="125">
        <v>0</v>
      </c>
      <c r="BB30" s="126">
        <v>0</v>
      </c>
      <c r="BC30" s="139" t="str">
        <f t="shared" si="17"/>
        <v>-</v>
      </c>
      <c r="BD30" s="125">
        <v>0</v>
      </c>
      <c r="BE30" s="126">
        <v>0</v>
      </c>
      <c r="BF30" s="139" t="str">
        <f t="shared" si="18"/>
        <v>-</v>
      </c>
      <c r="BG30" s="125">
        <v>0</v>
      </c>
      <c r="BH30" s="126">
        <v>0</v>
      </c>
      <c r="BI30" s="139" t="str">
        <f t="shared" si="19"/>
        <v>-</v>
      </c>
      <c r="BJ30" s="125">
        <v>0</v>
      </c>
      <c r="BK30" s="126">
        <v>0</v>
      </c>
      <c r="BL30" s="139" t="str">
        <f t="shared" si="20"/>
        <v>-</v>
      </c>
      <c r="BM30" s="252">
        <v>40</v>
      </c>
      <c r="BN30" s="253">
        <v>7</v>
      </c>
      <c r="BO30" s="276">
        <f t="shared" si="21"/>
        <v>5.7142857142857144</v>
      </c>
      <c r="BP30" s="252">
        <v>0</v>
      </c>
      <c r="BQ30" s="253">
        <v>0</v>
      </c>
      <c r="BR30" s="276" t="str">
        <f t="shared" si="22"/>
        <v>-</v>
      </c>
      <c r="BS30" s="302">
        <v>0</v>
      </c>
      <c r="BT30" s="303">
        <v>0</v>
      </c>
      <c r="BU30" s="276" t="str">
        <f t="shared" si="23"/>
        <v>-</v>
      </c>
      <c r="BV30" s="257">
        <v>0</v>
      </c>
      <c r="BW30" s="253">
        <v>0</v>
      </c>
      <c r="BX30" s="276" t="str">
        <f t="shared" si="24"/>
        <v>-</v>
      </c>
      <c r="BY30" s="117">
        <f t="shared" si="26"/>
        <v>154</v>
      </c>
      <c r="BZ30" s="117">
        <f t="shared" si="27"/>
        <v>22</v>
      </c>
      <c r="CA30" s="147">
        <f t="shared" si="25"/>
        <v>7</v>
      </c>
    </row>
    <row r="31" spans="1:79" ht="15" thickBot="1" x14ac:dyDescent="0.35">
      <c r="A31" s="294">
        <v>45957</v>
      </c>
      <c r="B31" s="20">
        <v>40</v>
      </c>
      <c r="C31" s="21">
        <v>5</v>
      </c>
      <c r="D31" s="139">
        <f t="shared" si="0"/>
        <v>8</v>
      </c>
      <c r="E31" s="20">
        <v>8</v>
      </c>
      <c r="F31" s="21">
        <v>1</v>
      </c>
      <c r="G31" s="139">
        <f t="shared" si="1"/>
        <v>8</v>
      </c>
      <c r="H31" s="20">
        <v>0</v>
      </c>
      <c r="I31" s="21">
        <v>0</v>
      </c>
      <c r="J31" s="139" t="str">
        <f t="shared" si="2"/>
        <v>-</v>
      </c>
      <c r="K31" s="20">
        <v>9</v>
      </c>
      <c r="L31" s="21">
        <v>1</v>
      </c>
      <c r="M31" s="139">
        <f t="shared" si="3"/>
        <v>9</v>
      </c>
      <c r="N31" s="125">
        <v>0</v>
      </c>
      <c r="O31" s="126">
        <v>0</v>
      </c>
      <c r="P31" s="139" t="str">
        <f t="shared" si="4"/>
        <v>-</v>
      </c>
      <c r="Q31" s="125">
        <v>0</v>
      </c>
      <c r="R31" s="126">
        <v>0</v>
      </c>
      <c r="S31" s="139" t="str">
        <f t="shared" si="5"/>
        <v>-</v>
      </c>
      <c r="T31" s="125">
        <v>57</v>
      </c>
      <c r="U31" s="126">
        <v>10</v>
      </c>
      <c r="V31" s="139">
        <f t="shared" si="6"/>
        <v>5.7</v>
      </c>
      <c r="W31" s="125">
        <v>30</v>
      </c>
      <c r="X31" s="126">
        <v>6</v>
      </c>
      <c r="Y31" s="139">
        <f t="shared" si="7"/>
        <v>5</v>
      </c>
      <c r="Z31" s="125">
        <v>0</v>
      </c>
      <c r="AA31" s="126">
        <v>0</v>
      </c>
      <c r="AB31" s="139" t="str">
        <f t="shared" si="8"/>
        <v>-</v>
      </c>
      <c r="AC31" s="125">
        <v>30</v>
      </c>
      <c r="AD31" s="126">
        <v>6</v>
      </c>
      <c r="AE31" s="139">
        <f t="shared" ref="AE31" si="59">IF(AD31=0,"-",AC31/AD31)</f>
        <v>5</v>
      </c>
      <c r="AF31" s="125">
        <v>0</v>
      </c>
      <c r="AG31" s="126">
        <v>0</v>
      </c>
      <c r="AH31" s="139" t="str">
        <f t="shared" ref="AH31" si="60">IF(AG31=0,"-",AF31/AG31)</f>
        <v>-</v>
      </c>
      <c r="AI31" s="125">
        <v>0</v>
      </c>
      <c r="AJ31" s="126">
        <v>0</v>
      </c>
      <c r="AK31" s="139" t="str">
        <f t="shared" ref="AK31" si="61">IF(AJ31=0,"-",AI31/AJ31)</f>
        <v>-</v>
      </c>
      <c r="AL31" s="125">
        <v>0</v>
      </c>
      <c r="AM31" s="126">
        <v>0</v>
      </c>
      <c r="AN31" s="139" t="str">
        <f t="shared" si="12"/>
        <v>-</v>
      </c>
      <c r="AO31" s="125">
        <v>0</v>
      </c>
      <c r="AP31" s="126">
        <v>0</v>
      </c>
      <c r="AQ31" s="139" t="str">
        <f t="shared" si="13"/>
        <v>-</v>
      </c>
      <c r="AR31" s="125">
        <v>0</v>
      </c>
      <c r="AS31" s="126">
        <v>0</v>
      </c>
      <c r="AT31" s="139" t="str">
        <f t="shared" si="14"/>
        <v>-</v>
      </c>
      <c r="AU31" s="125">
        <v>1</v>
      </c>
      <c r="AV31" s="126">
        <v>1</v>
      </c>
      <c r="AW31" s="139">
        <f t="shared" si="15"/>
        <v>1</v>
      </c>
      <c r="AX31" s="125">
        <v>0</v>
      </c>
      <c r="AY31" s="126">
        <v>0</v>
      </c>
      <c r="AZ31" s="139" t="str">
        <f t="shared" si="16"/>
        <v>-</v>
      </c>
      <c r="BA31" s="125">
        <v>0</v>
      </c>
      <c r="BB31" s="126">
        <v>0</v>
      </c>
      <c r="BC31" s="139" t="str">
        <f t="shared" si="17"/>
        <v>-</v>
      </c>
      <c r="BD31" s="125">
        <v>0</v>
      </c>
      <c r="BE31" s="126">
        <v>0</v>
      </c>
      <c r="BF31" s="139" t="str">
        <f t="shared" si="18"/>
        <v>-</v>
      </c>
      <c r="BG31" s="125">
        <v>25</v>
      </c>
      <c r="BH31" s="126">
        <v>3</v>
      </c>
      <c r="BI31" s="139">
        <f t="shared" si="19"/>
        <v>8.3333333333333339</v>
      </c>
      <c r="BJ31" s="125">
        <v>0</v>
      </c>
      <c r="BK31" s="126">
        <v>0</v>
      </c>
      <c r="BL31" s="139" t="str">
        <f t="shared" si="20"/>
        <v>-</v>
      </c>
      <c r="BM31" s="252">
        <v>49</v>
      </c>
      <c r="BN31" s="253">
        <v>8</v>
      </c>
      <c r="BO31" s="276">
        <f t="shared" si="21"/>
        <v>6.125</v>
      </c>
      <c r="BP31" s="252">
        <v>0</v>
      </c>
      <c r="BQ31" s="253">
        <v>0</v>
      </c>
      <c r="BR31" s="276" t="str">
        <f t="shared" si="22"/>
        <v>-</v>
      </c>
      <c r="BS31" s="302">
        <v>0</v>
      </c>
      <c r="BT31" s="303">
        <v>0</v>
      </c>
      <c r="BU31" s="276" t="str">
        <f t="shared" si="23"/>
        <v>-</v>
      </c>
      <c r="BV31" s="257">
        <v>0</v>
      </c>
      <c r="BW31" s="253">
        <v>0</v>
      </c>
      <c r="BX31" s="276" t="str">
        <f>IF(BW31=0,"-",BV31/BW31)</f>
        <v>-</v>
      </c>
      <c r="BY31" s="117">
        <f t="shared" si="26"/>
        <v>249</v>
      </c>
      <c r="BZ31" s="117">
        <f t="shared" si="27"/>
        <v>41</v>
      </c>
      <c r="CA31" s="147">
        <f t="shared" si="25"/>
        <v>6.0731707317073171</v>
      </c>
    </row>
    <row r="32" spans="1:79" ht="15" thickBot="1" x14ac:dyDescent="0.35">
      <c r="A32" s="294">
        <v>45958</v>
      </c>
      <c r="B32" s="20">
        <v>67</v>
      </c>
      <c r="C32" s="21">
        <v>8</v>
      </c>
      <c r="D32" s="139">
        <f t="shared" si="0"/>
        <v>8.375</v>
      </c>
      <c r="E32" s="20">
        <v>0</v>
      </c>
      <c r="F32" s="21">
        <v>0</v>
      </c>
      <c r="G32" s="139" t="str">
        <f t="shared" si="1"/>
        <v>-</v>
      </c>
      <c r="H32" s="20">
        <v>0</v>
      </c>
      <c r="I32" s="21">
        <v>0</v>
      </c>
      <c r="J32" s="139" t="str">
        <f t="shared" si="2"/>
        <v>-</v>
      </c>
      <c r="K32" s="20">
        <v>8</v>
      </c>
      <c r="L32" s="21">
        <v>1</v>
      </c>
      <c r="M32" s="139">
        <f t="shared" si="3"/>
        <v>8</v>
      </c>
      <c r="N32" s="125">
        <v>0</v>
      </c>
      <c r="O32" s="126">
        <v>0</v>
      </c>
      <c r="P32" s="139" t="str">
        <f t="shared" ref="P32:P35" si="62">IF(O32=0,"-",N32/O32)</f>
        <v>-</v>
      </c>
      <c r="Q32" s="125">
        <v>0</v>
      </c>
      <c r="R32" s="126">
        <v>0</v>
      </c>
      <c r="S32" s="139" t="str">
        <f t="shared" ref="S32:S35" si="63">IF(R32=0,"-",Q32/R32)</f>
        <v>-</v>
      </c>
      <c r="T32" s="125">
        <v>66</v>
      </c>
      <c r="U32" s="126">
        <v>11</v>
      </c>
      <c r="V32" s="139">
        <f t="shared" si="6"/>
        <v>6</v>
      </c>
      <c r="W32" s="125">
        <v>0</v>
      </c>
      <c r="X32" s="126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si="8"/>
        <v>-</v>
      </c>
      <c r="AC32" s="125">
        <v>20</v>
      </c>
      <c r="AD32" s="126">
        <v>5</v>
      </c>
      <c r="AE32" s="139">
        <f t="shared" si="9"/>
        <v>4</v>
      </c>
      <c r="AF32" s="125">
        <v>0</v>
      </c>
      <c r="AG32" s="126">
        <v>0</v>
      </c>
      <c r="AH32" s="139" t="str">
        <f t="shared" ref="AH32" si="64">IF(AG32=0,"-",AF32/AG32)</f>
        <v>-</v>
      </c>
      <c r="AI32" s="125">
        <v>0</v>
      </c>
      <c r="AJ32" s="126">
        <v>0</v>
      </c>
      <c r="AK32" s="139" t="str">
        <f t="shared" ref="AK32" si="65">IF(AJ32=0,"-",AI32/AJ32)</f>
        <v>-</v>
      </c>
      <c r="AL32" s="125">
        <v>6</v>
      </c>
      <c r="AM32" s="126">
        <v>1</v>
      </c>
      <c r="AN32" s="139">
        <f t="shared" si="12"/>
        <v>6</v>
      </c>
      <c r="AO32" s="125">
        <v>0</v>
      </c>
      <c r="AP32" s="126">
        <v>0</v>
      </c>
      <c r="AQ32" s="139" t="str">
        <f t="shared" si="13"/>
        <v>-</v>
      </c>
      <c r="AR32" s="125">
        <v>18</v>
      </c>
      <c r="AS32" s="126">
        <v>3</v>
      </c>
      <c r="AT32" s="139">
        <f t="shared" si="14"/>
        <v>6</v>
      </c>
      <c r="AU32" s="125">
        <v>0</v>
      </c>
      <c r="AV32" s="126">
        <v>0</v>
      </c>
      <c r="AW32" s="139" t="str">
        <f t="shared" si="15"/>
        <v>-</v>
      </c>
      <c r="AX32" s="125">
        <v>0</v>
      </c>
      <c r="AY32" s="126">
        <v>0</v>
      </c>
      <c r="AZ32" s="139" t="str">
        <f t="shared" si="16"/>
        <v>-</v>
      </c>
      <c r="BA32" s="125">
        <v>0</v>
      </c>
      <c r="BB32" s="126">
        <v>0</v>
      </c>
      <c r="BC32" s="139" t="str">
        <f t="shared" si="17"/>
        <v>-</v>
      </c>
      <c r="BD32" s="125">
        <v>0</v>
      </c>
      <c r="BE32" s="126">
        <v>0</v>
      </c>
      <c r="BF32" s="139" t="str">
        <f t="shared" si="18"/>
        <v>-</v>
      </c>
      <c r="BG32" s="125">
        <v>12</v>
      </c>
      <c r="BH32" s="126">
        <v>2</v>
      </c>
      <c r="BI32" s="139">
        <f t="shared" si="19"/>
        <v>6</v>
      </c>
      <c r="BJ32" s="125">
        <v>0</v>
      </c>
      <c r="BK32" s="126">
        <v>0</v>
      </c>
      <c r="BL32" s="139" t="str">
        <f t="shared" si="20"/>
        <v>-</v>
      </c>
      <c r="BM32" s="318">
        <v>75</v>
      </c>
      <c r="BN32" s="253">
        <v>11</v>
      </c>
      <c r="BO32" s="276">
        <f t="shared" si="21"/>
        <v>6.8181818181818183</v>
      </c>
      <c r="BP32" s="252">
        <v>0</v>
      </c>
      <c r="BQ32" s="253">
        <v>0</v>
      </c>
      <c r="BR32" s="276" t="str">
        <f t="shared" si="22"/>
        <v>-</v>
      </c>
      <c r="BS32" s="302">
        <v>0</v>
      </c>
      <c r="BT32" s="303">
        <v>0</v>
      </c>
      <c r="BU32" s="276" t="str">
        <f t="shared" si="23"/>
        <v>-</v>
      </c>
      <c r="BV32" s="257">
        <v>6</v>
      </c>
      <c r="BW32" s="253">
        <v>1</v>
      </c>
      <c r="BX32" s="276">
        <f>IF(BW32=0,"-",BV32/BW32)</f>
        <v>6</v>
      </c>
      <c r="BY32" s="117">
        <f t="shared" si="26"/>
        <v>278</v>
      </c>
      <c r="BZ32" s="117">
        <f t="shared" si="27"/>
        <v>43</v>
      </c>
      <c r="CA32" s="147">
        <f t="shared" si="25"/>
        <v>6.4651162790697674</v>
      </c>
    </row>
    <row r="33" spans="1:79" ht="15" thickBot="1" x14ac:dyDescent="0.35">
      <c r="A33" s="294">
        <v>45959</v>
      </c>
      <c r="B33" s="20">
        <v>101</v>
      </c>
      <c r="C33" s="21">
        <v>12</v>
      </c>
      <c r="D33" s="139">
        <f t="shared" si="0"/>
        <v>8.4166666666666661</v>
      </c>
      <c r="E33" s="20">
        <v>8</v>
      </c>
      <c r="F33" s="21">
        <v>1</v>
      </c>
      <c r="G33" s="139">
        <f t="shared" si="1"/>
        <v>8</v>
      </c>
      <c r="H33" s="20">
        <v>0</v>
      </c>
      <c r="I33" s="21">
        <v>0</v>
      </c>
      <c r="J33" s="139" t="str">
        <f t="shared" si="2"/>
        <v>-</v>
      </c>
      <c r="K33" s="20">
        <v>0</v>
      </c>
      <c r="L33" s="21">
        <v>0</v>
      </c>
      <c r="M33" s="139" t="str">
        <f t="shared" si="3"/>
        <v>-</v>
      </c>
      <c r="N33" s="125">
        <v>0</v>
      </c>
      <c r="O33" s="126">
        <v>0</v>
      </c>
      <c r="P33" s="139" t="str">
        <f t="shared" si="62"/>
        <v>-</v>
      </c>
      <c r="Q33" s="125">
        <v>0</v>
      </c>
      <c r="R33" s="126">
        <v>0</v>
      </c>
      <c r="S33" s="139" t="str">
        <f t="shared" si="63"/>
        <v>-</v>
      </c>
      <c r="T33" s="125">
        <v>30</v>
      </c>
      <c r="U33" s="126">
        <v>4</v>
      </c>
      <c r="V33" s="139">
        <f t="shared" si="6"/>
        <v>7.5</v>
      </c>
      <c r="W33" s="125">
        <v>0</v>
      </c>
      <c r="X33" s="126">
        <v>0</v>
      </c>
      <c r="Y33" s="139" t="str">
        <f t="shared" si="7"/>
        <v>-</v>
      </c>
      <c r="Z33" s="125">
        <v>0</v>
      </c>
      <c r="AA33" s="126">
        <v>0</v>
      </c>
      <c r="AB33" s="139" t="str">
        <f t="shared" si="8"/>
        <v>-</v>
      </c>
      <c r="AC33" s="125">
        <v>20</v>
      </c>
      <c r="AD33" s="126">
        <v>4</v>
      </c>
      <c r="AE33" s="139">
        <f t="shared" si="9"/>
        <v>5</v>
      </c>
      <c r="AF33" s="125">
        <v>0</v>
      </c>
      <c r="AG33" s="126">
        <v>0</v>
      </c>
      <c r="AH33" s="139" t="str">
        <f t="shared" si="10"/>
        <v>-</v>
      </c>
      <c r="AI33" s="125">
        <v>0</v>
      </c>
      <c r="AJ33" s="126">
        <v>0</v>
      </c>
      <c r="AK33" s="139" t="str">
        <f t="shared" si="11"/>
        <v>-</v>
      </c>
      <c r="AL33" s="125">
        <v>5</v>
      </c>
      <c r="AM33" s="126">
        <v>1</v>
      </c>
      <c r="AN33" s="139">
        <f t="shared" si="12"/>
        <v>5</v>
      </c>
      <c r="AO33" s="125">
        <v>12</v>
      </c>
      <c r="AP33" s="126">
        <v>2</v>
      </c>
      <c r="AQ33" s="139">
        <f t="shared" si="13"/>
        <v>6</v>
      </c>
      <c r="AR33" s="125">
        <v>0</v>
      </c>
      <c r="AS33" s="126">
        <v>0</v>
      </c>
      <c r="AT33" s="139" t="str">
        <f t="shared" si="14"/>
        <v>-</v>
      </c>
      <c r="AU33" s="125">
        <v>0</v>
      </c>
      <c r="AV33" s="126">
        <v>0</v>
      </c>
      <c r="AW33" s="139" t="str">
        <f t="shared" si="15"/>
        <v>-</v>
      </c>
      <c r="AX33" s="125">
        <v>0</v>
      </c>
      <c r="AY33" s="126">
        <v>0</v>
      </c>
      <c r="AZ33" s="139" t="str">
        <f t="shared" si="16"/>
        <v>-</v>
      </c>
      <c r="BA33" s="125">
        <v>2</v>
      </c>
      <c r="BB33" s="126">
        <v>1</v>
      </c>
      <c r="BC33" s="139">
        <f t="shared" si="17"/>
        <v>2</v>
      </c>
      <c r="BD33" s="125">
        <v>0</v>
      </c>
      <c r="BE33" s="126">
        <v>0</v>
      </c>
      <c r="BF33" s="139" t="str">
        <f t="shared" si="18"/>
        <v>-</v>
      </c>
      <c r="BG33" s="125">
        <v>11</v>
      </c>
      <c r="BH33" s="126">
        <v>2</v>
      </c>
      <c r="BI33" s="139">
        <f t="shared" si="19"/>
        <v>5.5</v>
      </c>
      <c r="BJ33" s="125">
        <v>0</v>
      </c>
      <c r="BK33" s="126">
        <v>0</v>
      </c>
      <c r="BL33" s="139" t="str">
        <f t="shared" si="20"/>
        <v>-</v>
      </c>
      <c r="BM33" s="252">
        <v>26</v>
      </c>
      <c r="BN33" s="253">
        <v>4</v>
      </c>
      <c r="BO33" s="276">
        <f t="shared" si="21"/>
        <v>6.5</v>
      </c>
      <c r="BP33" s="252">
        <v>0</v>
      </c>
      <c r="BQ33" s="253">
        <v>0</v>
      </c>
      <c r="BR33" s="276" t="str">
        <f t="shared" si="22"/>
        <v>-</v>
      </c>
      <c r="BS33" s="252">
        <v>0</v>
      </c>
      <c r="BT33" s="253">
        <v>0</v>
      </c>
      <c r="BU33" s="276" t="str">
        <f t="shared" si="23"/>
        <v>-</v>
      </c>
      <c r="BV33" s="257">
        <v>7</v>
      </c>
      <c r="BW33" s="253">
        <v>1</v>
      </c>
      <c r="BX33" s="276">
        <f t="shared" si="24"/>
        <v>7</v>
      </c>
      <c r="BY33" s="117">
        <f t="shared" si="26"/>
        <v>222</v>
      </c>
      <c r="BZ33" s="117">
        <f t="shared" si="27"/>
        <v>32</v>
      </c>
      <c r="CA33" s="147">
        <f t="shared" si="25"/>
        <v>6.9375</v>
      </c>
    </row>
    <row r="34" spans="1:79" ht="15" thickBot="1" x14ac:dyDescent="0.35">
      <c r="A34" s="294">
        <v>45960</v>
      </c>
      <c r="B34" s="20">
        <v>25</v>
      </c>
      <c r="C34" s="21">
        <v>3</v>
      </c>
      <c r="D34" s="139">
        <f t="shared" si="0"/>
        <v>8.3333333333333339</v>
      </c>
      <c r="E34" s="20">
        <v>0</v>
      </c>
      <c r="F34" s="21">
        <v>0</v>
      </c>
      <c r="G34" s="139" t="str">
        <f t="shared" si="1"/>
        <v>-</v>
      </c>
      <c r="H34" s="20">
        <v>0</v>
      </c>
      <c r="I34" s="21">
        <v>0</v>
      </c>
      <c r="J34" s="139" t="str">
        <f t="shared" si="2"/>
        <v>-</v>
      </c>
      <c r="K34" s="20">
        <v>9</v>
      </c>
      <c r="L34" s="21">
        <v>1</v>
      </c>
      <c r="M34" s="139">
        <f t="shared" si="3"/>
        <v>9</v>
      </c>
      <c r="N34" s="125">
        <v>0</v>
      </c>
      <c r="O34" s="126">
        <v>0</v>
      </c>
      <c r="P34" s="139" t="str">
        <f t="shared" si="62"/>
        <v>-</v>
      </c>
      <c r="Q34" s="125">
        <v>0</v>
      </c>
      <c r="R34" s="126">
        <v>0</v>
      </c>
      <c r="S34" s="139" t="str">
        <f t="shared" si="63"/>
        <v>-</v>
      </c>
      <c r="T34" s="125">
        <v>60</v>
      </c>
      <c r="U34" s="126">
        <v>9</v>
      </c>
      <c r="V34" s="139">
        <f t="shared" si="6"/>
        <v>6.666666666666667</v>
      </c>
      <c r="W34" s="125">
        <v>21</v>
      </c>
      <c r="X34" s="126">
        <v>5</v>
      </c>
      <c r="Y34" s="139">
        <f t="shared" si="7"/>
        <v>4.2</v>
      </c>
      <c r="Z34" s="125">
        <v>0</v>
      </c>
      <c r="AA34" s="126">
        <v>0</v>
      </c>
      <c r="AB34" s="139" t="str">
        <f t="shared" si="8"/>
        <v>-</v>
      </c>
      <c r="AC34" s="125">
        <v>20</v>
      </c>
      <c r="AD34" s="126">
        <v>4</v>
      </c>
      <c r="AE34" s="139">
        <f t="shared" si="9"/>
        <v>5</v>
      </c>
      <c r="AF34" s="125">
        <v>0</v>
      </c>
      <c r="AG34" s="126">
        <v>0</v>
      </c>
      <c r="AH34" s="139" t="str">
        <f t="shared" si="10"/>
        <v>-</v>
      </c>
      <c r="AI34" s="125">
        <v>30</v>
      </c>
      <c r="AJ34" s="126">
        <v>5</v>
      </c>
      <c r="AK34" s="139">
        <f t="shared" si="11"/>
        <v>6</v>
      </c>
      <c r="AL34" s="125">
        <v>0</v>
      </c>
      <c r="AM34" s="126">
        <v>0</v>
      </c>
      <c r="AN34" s="139" t="str">
        <f t="shared" si="12"/>
        <v>-</v>
      </c>
      <c r="AO34" s="125">
        <v>0</v>
      </c>
      <c r="AP34" s="126">
        <v>0</v>
      </c>
      <c r="AQ34" s="139" t="str">
        <f t="shared" si="13"/>
        <v>-</v>
      </c>
      <c r="AR34" s="125">
        <v>0</v>
      </c>
      <c r="AS34" s="126">
        <v>0</v>
      </c>
      <c r="AT34" s="139" t="str">
        <f t="shared" si="14"/>
        <v>-</v>
      </c>
      <c r="AU34" s="125">
        <v>0</v>
      </c>
      <c r="AV34" s="126">
        <v>0</v>
      </c>
      <c r="AW34" s="139" t="str">
        <f t="shared" si="15"/>
        <v>-</v>
      </c>
      <c r="AX34" s="125">
        <v>0</v>
      </c>
      <c r="AY34" s="126">
        <v>0</v>
      </c>
      <c r="AZ34" s="139" t="str">
        <f t="shared" si="16"/>
        <v>-</v>
      </c>
      <c r="BA34" s="125">
        <v>0</v>
      </c>
      <c r="BB34" s="126">
        <v>0</v>
      </c>
      <c r="BC34" s="139" t="str">
        <f t="shared" si="17"/>
        <v>-</v>
      </c>
      <c r="BD34" s="125">
        <v>0</v>
      </c>
      <c r="BE34" s="126">
        <v>0</v>
      </c>
      <c r="BF34" s="139" t="str">
        <f t="shared" si="18"/>
        <v>-</v>
      </c>
      <c r="BG34" s="125">
        <v>0</v>
      </c>
      <c r="BH34" s="126">
        <v>0</v>
      </c>
      <c r="BI34" s="139" t="str">
        <f t="shared" si="19"/>
        <v>-</v>
      </c>
      <c r="BJ34" s="125">
        <v>0</v>
      </c>
      <c r="BK34" s="126">
        <v>0</v>
      </c>
      <c r="BL34" s="139" t="str">
        <f t="shared" si="20"/>
        <v>-</v>
      </c>
      <c r="BM34" s="252">
        <v>48</v>
      </c>
      <c r="BN34" s="253">
        <v>7</v>
      </c>
      <c r="BO34" s="276">
        <f t="shared" si="21"/>
        <v>6.8571428571428568</v>
      </c>
      <c r="BP34" s="252">
        <v>0</v>
      </c>
      <c r="BQ34" s="253">
        <v>0</v>
      </c>
      <c r="BR34" s="276" t="str">
        <f t="shared" si="22"/>
        <v>-</v>
      </c>
      <c r="BS34" s="252">
        <v>0</v>
      </c>
      <c r="BT34" s="253">
        <v>0</v>
      </c>
      <c r="BU34" s="276" t="str">
        <f t="shared" si="23"/>
        <v>-</v>
      </c>
      <c r="BV34" s="257">
        <v>0</v>
      </c>
      <c r="BW34" s="253">
        <v>0</v>
      </c>
      <c r="BX34" s="276" t="str">
        <f t="shared" si="24"/>
        <v>-</v>
      </c>
      <c r="BY34" s="117">
        <f t="shared" si="26"/>
        <v>213</v>
      </c>
      <c r="BZ34" s="117">
        <f t="shared" si="27"/>
        <v>34</v>
      </c>
      <c r="CA34" s="147">
        <f t="shared" si="25"/>
        <v>6.2647058823529411</v>
      </c>
    </row>
    <row r="35" spans="1:79" ht="15" thickBot="1" x14ac:dyDescent="0.35">
      <c r="A35" s="294">
        <v>45961</v>
      </c>
      <c r="B35" s="20">
        <v>25</v>
      </c>
      <c r="C35" s="21">
        <v>3</v>
      </c>
      <c r="D35" s="139">
        <f t="shared" ref="D35" si="66">IF(C35=0,"-",B35/C35)</f>
        <v>8.3333333333333339</v>
      </c>
      <c r="E35" s="20">
        <v>6</v>
      </c>
      <c r="F35" s="21">
        <v>1</v>
      </c>
      <c r="G35" s="139">
        <f t="shared" ref="G35" si="67">IF(F35=0,"-",E35/F35)</f>
        <v>6</v>
      </c>
      <c r="H35" s="20">
        <v>0</v>
      </c>
      <c r="I35" s="21">
        <v>0</v>
      </c>
      <c r="J35" s="139" t="str">
        <f t="shared" ref="J35" si="68">IF(I35=0,"-",H35/I35)</f>
        <v>-</v>
      </c>
      <c r="K35" s="20">
        <v>26</v>
      </c>
      <c r="L35" s="21">
        <v>3</v>
      </c>
      <c r="M35" s="139">
        <f t="shared" ref="M35" si="69">IF(L35=0,"-",K35/L35)</f>
        <v>8.6666666666666661</v>
      </c>
      <c r="N35" s="125">
        <v>0</v>
      </c>
      <c r="O35" s="126">
        <v>0</v>
      </c>
      <c r="P35" s="139" t="str">
        <f t="shared" si="62"/>
        <v>-</v>
      </c>
      <c r="Q35" s="125">
        <v>0</v>
      </c>
      <c r="R35" s="126">
        <v>0</v>
      </c>
      <c r="S35" s="139" t="str">
        <f t="shared" si="63"/>
        <v>-</v>
      </c>
      <c r="T35" s="125">
        <v>53</v>
      </c>
      <c r="U35" s="126">
        <v>9</v>
      </c>
      <c r="V35" s="139">
        <f t="shared" ref="V35" si="70">IF(U35=0,"-",T35/U35)</f>
        <v>5.8888888888888893</v>
      </c>
      <c r="W35" s="125">
        <v>0</v>
      </c>
      <c r="X35" s="126">
        <v>0</v>
      </c>
      <c r="Y35" s="139" t="str">
        <f t="shared" ref="Y35" si="71">IF(X35=0,"-",W35/X35)</f>
        <v>-</v>
      </c>
      <c r="Z35" s="125">
        <v>0</v>
      </c>
      <c r="AA35" s="126">
        <v>0</v>
      </c>
      <c r="AB35" s="139" t="str">
        <f t="shared" ref="AB35" si="72">IF(AA35=0,"-",Z35/AA35)</f>
        <v>-</v>
      </c>
      <c r="AC35" s="125">
        <v>20</v>
      </c>
      <c r="AD35" s="126">
        <v>4</v>
      </c>
      <c r="AE35" s="139">
        <f t="shared" si="9"/>
        <v>5</v>
      </c>
      <c r="AF35" s="125">
        <v>5</v>
      </c>
      <c r="AG35" s="126">
        <v>1</v>
      </c>
      <c r="AH35" s="139">
        <f t="shared" ref="AH35" si="73">IF(AG35=0,"-",AF35/AG35)</f>
        <v>5</v>
      </c>
      <c r="AI35" s="125">
        <v>0</v>
      </c>
      <c r="AJ35" s="126">
        <v>0</v>
      </c>
      <c r="AK35" s="139" t="str">
        <f t="shared" ref="AK35" si="74">IF(AJ35=0,"-",AI35/AJ35)</f>
        <v>-</v>
      </c>
      <c r="AL35" s="125">
        <v>0</v>
      </c>
      <c r="AM35" s="126">
        <v>0</v>
      </c>
      <c r="AN35" s="139" t="str">
        <f t="shared" ref="AN35" si="75">IF(AM35=0,"-",AL35/AM35)</f>
        <v>-</v>
      </c>
      <c r="AO35" s="125">
        <v>0</v>
      </c>
      <c r="AP35" s="126">
        <v>0</v>
      </c>
      <c r="AQ35" s="139" t="str">
        <f t="shared" ref="AQ35" si="76">IF(AP35=0,"-",AO35/AP35)</f>
        <v>-</v>
      </c>
      <c r="AR35" s="125">
        <v>0</v>
      </c>
      <c r="AS35" s="126">
        <v>0</v>
      </c>
      <c r="AT35" s="139" t="str">
        <f t="shared" ref="AT35" si="77">IF(AS35=0,"-",AR35/AS35)</f>
        <v>-</v>
      </c>
      <c r="AU35" s="125">
        <v>0</v>
      </c>
      <c r="AV35" s="126">
        <v>0</v>
      </c>
      <c r="AW35" s="139" t="str">
        <f t="shared" ref="AW35" si="78">IF(AV35=0,"-",AU35/AV35)</f>
        <v>-</v>
      </c>
      <c r="AX35" s="125">
        <v>0</v>
      </c>
      <c r="AY35" s="126">
        <v>0</v>
      </c>
      <c r="AZ35" s="139" t="str">
        <f t="shared" ref="AZ35" si="79">IF(AY35=0,"-",AX35/AY35)</f>
        <v>-</v>
      </c>
      <c r="BA35" s="125">
        <v>0</v>
      </c>
      <c r="BB35" s="126">
        <v>0</v>
      </c>
      <c r="BC35" s="139" t="str">
        <f t="shared" ref="BC35" si="80">IF(BB35=0,"-",BA35/BB35)</f>
        <v>-</v>
      </c>
      <c r="BD35" s="125">
        <v>0</v>
      </c>
      <c r="BE35" s="126">
        <v>0</v>
      </c>
      <c r="BF35" s="139" t="str">
        <f t="shared" ref="BF35" si="81">IF(BE35=0,"-",BD35/BE35)</f>
        <v>-</v>
      </c>
      <c r="BG35" s="125">
        <v>15</v>
      </c>
      <c r="BH35" s="126">
        <v>5</v>
      </c>
      <c r="BI35" s="139">
        <f t="shared" ref="BI35" si="82">IF(BH35=0,"-",BG35/BH35)</f>
        <v>3</v>
      </c>
      <c r="BJ35" s="125">
        <v>0</v>
      </c>
      <c r="BK35" s="126">
        <v>0</v>
      </c>
      <c r="BL35" s="139" t="str">
        <f t="shared" ref="BL35" si="83">IF(BK35=0,"-",BJ35/BK35)</f>
        <v>-</v>
      </c>
      <c r="BM35" s="252">
        <v>64</v>
      </c>
      <c r="BN35" s="253">
        <v>10</v>
      </c>
      <c r="BO35" s="276">
        <f t="shared" ref="BO35" si="84">IF(BN35=0,"-",BM35/BN35)</f>
        <v>6.4</v>
      </c>
      <c r="BP35" s="252">
        <v>0</v>
      </c>
      <c r="BQ35" s="253">
        <v>0</v>
      </c>
      <c r="BR35" s="276" t="str">
        <f t="shared" ref="BR35" si="85">IF(BQ35=0,"-",BP35/BQ35)</f>
        <v>-</v>
      </c>
      <c r="BS35" s="302">
        <v>0</v>
      </c>
      <c r="BT35" s="303">
        <v>0</v>
      </c>
      <c r="BU35" s="276" t="str">
        <f t="shared" ref="BU35" si="86">IF(BT35=0,"-",BS35/BT35)</f>
        <v>-</v>
      </c>
      <c r="BV35" s="257">
        <v>0</v>
      </c>
      <c r="BW35" s="253">
        <v>0</v>
      </c>
      <c r="BX35" s="276" t="str">
        <f t="shared" ref="BX35" si="87">IF(BW35=0,"-",BV35/BW35)</f>
        <v>-</v>
      </c>
      <c r="BY35" s="117">
        <f t="shared" si="26"/>
        <v>214</v>
      </c>
      <c r="BZ35" s="117">
        <f t="shared" si="27"/>
        <v>36</v>
      </c>
      <c r="CA35" s="147">
        <f t="shared" ref="CA35" si="88">IF(BZ35=0,"",BY35/BZ35)</f>
        <v>5.9444444444444446</v>
      </c>
    </row>
    <row r="36" spans="1:79" s="41" customFormat="1" ht="15.6" customHeight="1" thickBot="1" x14ac:dyDescent="0.35">
      <c r="A36" s="295" t="s">
        <v>33</v>
      </c>
      <c r="B36" s="43">
        <f>SUM(B5:B35)</f>
        <v>1786</v>
      </c>
      <c r="C36" s="43">
        <f>SUM(C5:C35)</f>
        <v>211</v>
      </c>
      <c r="D36" s="332">
        <f t="shared" ref="D36:J36" si="89">SUM(D5:D34)</f>
        <v>255.82272727272726</v>
      </c>
      <c r="E36" s="43">
        <f>SUM(E5:E35)</f>
        <v>60</v>
      </c>
      <c r="F36" s="43">
        <f>SUM(F5:F35)</f>
        <v>8</v>
      </c>
      <c r="G36" s="332">
        <f t="shared" si="89"/>
        <v>46.5</v>
      </c>
      <c r="H36" s="43">
        <f t="shared" si="89"/>
        <v>0</v>
      </c>
      <c r="I36" s="43">
        <f t="shared" si="89"/>
        <v>0</v>
      </c>
      <c r="J36" s="43">
        <f t="shared" si="89"/>
        <v>0</v>
      </c>
      <c r="K36" s="43">
        <f>SUM(K5:K35)</f>
        <v>502</v>
      </c>
      <c r="L36" s="43">
        <f>SUM(L5:L35)</f>
        <v>58</v>
      </c>
      <c r="M36" s="334">
        <f t="shared" si="3"/>
        <v>8.6551724137931032</v>
      </c>
      <c r="N36" s="43">
        <f t="shared" ref="N36:V36" si="90">SUM(N5:N34)</f>
        <v>42</v>
      </c>
      <c r="O36" s="43">
        <f t="shared" si="90"/>
        <v>6</v>
      </c>
      <c r="P36" s="43">
        <f t="shared" si="90"/>
        <v>14</v>
      </c>
      <c r="Q36" s="43">
        <f t="shared" si="90"/>
        <v>56</v>
      </c>
      <c r="R36" s="43">
        <f t="shared" si="90"/>
        <v>8</v>
      </c>
      <c r="S36" s="43">
        <f t="shared" si="90"/>
        <v>7</v>
      </c>
      <c r="T36" s="43">
        <f>SUM(T5:T35)</f>
        <v>1121</v>
      </c>
      <c r="U36" s="43">
        <f>SUM(U5:U35)</f>
        <v>197</v>
      </c>
      <c r="V36" s="332">
        <f t="shared" si="90"/>
        <v>155.98156565656561</v>
      </c>
      <c r="W36" s="43">
        <f>SUM(W5:W35)</f>
        <v>300</v>
      </c>
      <c r="X36" s="43">
        <f>SUM(X5:X35)</f>
        <v>61</v>
      </c>
      <c r="Y36" s="333">
        <f t="shared" si="7"/>
        <v>4.918032786885246</v>
      </c>
      <c r="Z36" s="43">
        <f t="shared" ref="Z36:BE36" si="91">SUM(Z5:Z34)</f>
        <v>0</v>
      </c>
      <c r="AA36" s="43">
        <f t="shared" si="91"/>
        <v>0</v>
      </c>
      <c r="AB36" s="43">
        <f t="shared" si="91"/>
        <v>0</v>
      </c>
      <c r="AC36" s="43">
        <f>SUM(AC5:AC35)</f>
        <v>468</v>
      </c>
      <c r="AD36" s="43">
        <f>SUM(AD5:AD35)</f>
        <v>96</v>
      </c>
      <c r="AE36" s="333">
        <f t="shared" si="9"/>
        <v>4.875</v>
      </c>
      <c r="AF36" s="43">
        <f>SUM(AF5:AF35)</f>
        <v>74</v>
      </c>
      <c r="AG36" s="43">
        <f>SUM(AG5:AG35)</f>
        <v>15</v>
      </c>
      <c r="AH36" s="332">
        <f t="shared" si="91"/>
        <v>30</v>
      </c>
      <c r="AI36" s="43">
        <f>SUM(AI5:AI35)</f>
        <v>188</v>
      </c>
      <c r="AJ36" s="43">
        <f>SUM(AJ5:AJ35)</f>
        <v>32</v>
      </c>
      <c r="AK36" s="332">
        <f t="shared" si="91"/>
        <v>48</v>
      </c>
      <c r="AL36" s="43">
        <f>SUM(AL5:AL35)</f>
        <v>154</v>
      </c>
      <c r="AM36" s="43">
        <f>SUM(AM5:AM35)</f>
        <v>26</v>
      </c>
      <c r="AN36" s="43">
        <f t="shared" si="91"/>
        <v>94.666666666666671</v>
      </c>
      <c r="AO36" s="43">
        <f>SUM(AO5:AO35)</f>
        <v>42</v>
      </c>
      <c r="AP36" s="43">
        <f>SUM(AP5:AP35)</f>
        <v>7</v>
      </c>
      <c r="AQ36" s="43">
        <f t="shared" si="91"/>
        <v>36</v>
      </c>
      <c r="AR36" s="43">
        <f>SUM(AR5:AR35)</f>
        <v>217</v>
      </c>
      <c r="AS36" s="43">
        <f>SUM(AS5:AS35)</f>
        <v>36</v>
      </c>
      <c r="AT36" s="43">
        <f t="shared" si="91"/>
        <v>60.05</v>
      </c>
      <c r="AU36" s="43">
        <f>SUM(AU5:AU35)</f>
        <v>54</v>
      </c>
      <c r="AV36" s="43">
        <f>SUM(AV5:AV35)</f>
        <v>10</v>
      </c>
      <c r="AW36" s="43">
        <f t="shared" si="91"/>
        <v>50</v>
      </c>
      <c r="AX36" s="43">
        <f t="shared" si="91"/>
        <v>0</v>
      </c>
      <c r="AY36" s="43">
        <f t="shared" si="91"/>
        <v>0</v>
      </c>
      <c r="AZ36" s="43">
        <f t="shared" si="91"/>
        <v>0</v>
      </c>
      <c r="BA36" s="43">
        <f>SUM(BA5:BA35)</f>
        <v>18</v>
      </c>
      <c r="BB36" s="43">
        <f>SUM(BB5:BB35)</f>
        <v>11</v>
      </c>
      <c r="BC36" s="43">
        <f t="shared" si="91"/>
        <v>17</v>
      </c>
      <c r="BD36" s="43">
        <f t="shared" si="91"/>
        <v>0</v>
      </c>
      <c r="BE36" s="43">
        <f t="shared" si="91"/>
        <v>0</v>
      </c>
      <c r="BF36" s="332">
        <f t="shared" ref="BF36:BX36" si="92">SUM(BF5:BF34)</f>
        <v>0</v>
      </c>
      <c r="BG36" s="43">
        <f>SUM(BG5:BG35)</f>
        <v>138</v>
      </c>
      <c r="BH36" s="43">
        <f>SUM(BH5:BH35)</f>
        <v>22</v>
      </c>
      <c r="BI36" s="43">
        <f t="shared" si="92"/>
        <v>66.166666666666657</v>
      </c>
      <c r="BJ36" s="43">
        <f t="shared" si="92"/>
        <v>0</v>
      </c>
      <c r="BK36" s="43">
        <f t="shared" si="92"/>
        <v>0</v>
      </c>
      <c r="BL36" s="43">
        <f t="shared" si="92"/>
        <v>0</v>
      </c>
      <c r="BM36" s="43">
        <f>SUM(BM5:BM35)</f>
        <v>699</v>
      </c>
      <c r="BN36" s="43">
        <f>SUM(BN5:BN35)</f>
        <v>111</v>
      </c>
      <c r="BO36" s="332">
        <f t="shared" si="92"/>
        <v>175.63603896103896</v>
      </c>
      <c r="BP36" s="43">
        <f>SUM(BP5:BP35)</f>
        <v>23</v>
      </c>
      <c r="BQ36" s="43">
        <f>SUM(BQ5:BQ35)</f>
        <v>3</v>
      </c>
      <c r="BR36" s="43">
        <f t="shared" si="92"/>
        <v>23</v>
      </c>
      <c r="BS36" s="43">
        <f>SUM(BS5:BS35)</f>
        <v>126</v>
      </c>
      <c r="BT36" s="43">
        <f>SUM(BT5:BT35)</f>
        <v>18</v>
      </c>
      <c r="BU36" s="43">
        <f t="shared" si="92"/>
        <v>35.299999999999997</v>
      </c>
      <c r="BV36" s="43">
        <f>SUM(BV5:BV35)</f>
        <v>67</v>
      </c>
      <c r="BW36" s="43">
        <f>SUM(BW5:BW35)</f>
        <v>10</v>
      </c>
      <c r="BX36" s="43">
        <f t="shared" si="92"/>
        <v>67</v>
      </c>
      <c r="BY36" s="43">
        <f>SUM(BY5:BY35)</f>
        <v>6135</v>
      </c>
      <c r="BZ36" s="43">
        <f>SUM(BZ5:BZ35)</f>
        <v>946</v>
      </c>
      <c r="CA36" s="144">
        <f t="shared" si="25"/>
        <v>6.485200845665962</v>
      </c>
    </row>
    <row r="37" spans="1:79" x14ac:dyDescent="0.3">
      <c r="A37" s="294"/>
      <c r="E37"/>
      <c r="F37"/>
      <c r="H37"/>
      <c r="I37"/>
      <c r="K37"/>
      <c r="L37"/>
      <c r="N37"/>
      <c r="O37"/>
      <c r="T37"/>
      <c r="U37"/>
      <c r="W37"/>
      <c r="X37"/>
      <c r="Z37"/>
      <c r="AA37"/>
    </row>
    <row r="38" spans="1:79" x14ac:dyDescent="0.3">
      <c r="A38" s="294"/>
      <c r="E38"/>
      <c r="F38"/>
      <c r="H38"/>
      <c r="I38"/>
      <c r="K38"/>
      <c r="L38"/>
      <c r="N38"/>
      <c r="O38"/>
      <c r="T38"/>
      <c r="U38"/>
      <c r="W38"/>
      <c r="X38"/>
      <c r="Z38"/>
      <c r="AA38"/>
    </row>
    <row r="39" spans="1:79" x14ac:dyDescent="0.3">
      <c r="A39" s="294"/>
    </row>
    <row r="40" spans="1:79" x14ac:dyDescent="0.3">
      <c r="A40" s="294"/>
    </row>
    <row r="41" spans="1:79" x14ac:dyDescent="0.3">
      <c r="A41" s="294"/>
    </row>
    <row r="42" spans="1:79" x14ac:dyDescent="0.3">
      <c r="A42" s="294"/>
    </row>
    <row r="43" spans="1:79" x14ac:dyDescent="0.3">
      <c r="A43" s="294"/>
    </row>
    <row r="44" spans="1:79" x14ac:dyDescent="0.3">
      <c r="A44" s="294"/>
    </row>
    <row r="45" spans="1:79" x14ac:dyDescent="0.3">
      <c r="A45" s="294"/>
    </row>
    <row r="46" spans="1:79" x14ac:dyDescent="0.3">
      <c r="A46" s="294"/>
    </row>
    <row r="47" spans="1:79" x14ac:dyDescent="0.3">
      <c r="A47" s="294"/>
    </row>
    <row r="48" spans="1:79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1B2A-B0CD-432A-BEFF-3BBBA431E217}">
  <sheetPr>
    <tabColor rgb="FFFF0000"/>
  </sheetPr>
  <dimension ref="A1:CL43"/>
  <sheetViews>
    <sheetView workbookViewId="0">
      <selection activeCell="B41" sqref="B41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</cols>
  <sheetData>
    <row r="1" spans="1:90" ht="18" x14ac:dyDescent="0.35">
      <c r="A1" s="67" t="s">
        <v>118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F3" s="68"/>
      <c r="G3" s="90" t="s">
        <v>42</v>
      </c>
      <c r="H3" s="91" t="s">
        <v>43</v>
      </c>
    </row>
    <row r="4" spans="1:90" x14ac:dyDescent="0.3">
      <c r="A4" s="92" t="s">
        <v>8</v>
      </c>
      <c r="B4" s="93">
        <f>'October 2025'!B36</f>
        <v>1786</v>
      </c>
      <c r="C4" s="68"/>
      <c r="D4" s="95" t="s">
        <v>19</v>
      </c>
      <c r="E4" s="93">
        <f>'October 2025'!BA36</f>
        <v>18</v>
      </c>
      <c r="F4" s="68"/>
      <c r="G4" s="87" t="s">
        <v>24</v>
      </c>
      <c r="H4" s="81">
        <f>'October 2025'!N36</f>
        <v>42</v>
      </c>
    </row>
    <row r="5" spans="1:90" x14ac:dyDescent="0.3">
      <c r="A5" s="80"/>
      <c r="B5" s="151">
        <f>'October 2025'!C36</f>
        <v>211</v>
      </c>
      <c r="C5" s="68"/>
      <c r="D5" s="85"/>
      <c r="E5" s="81">
        <f>'October 2025'!BB36</f>
        <v>11</v>
      </c>
      <c r="F5" s="68"/>
      <c r="G5" s="87"/>
      <c r="H5" s="81">
        <f>'October 2025'!O36</f>
        <v>6</v>
      </c>
    </row>
    <row r="6" spans="1:90" x14ac:dyDescent="0.3">
      <c r="A6" s="82"/>
      <c r="B6" s="349">
        <f>B4/B5</f>
        <v>8.4644549763033172</v>
      </c>
      <c r="C6" s="68"/>
      <c r="D6" s="86"/>
      <c r="E6" s="258">
        <f>E4/E5</f>
        <v>1.6363636363636365</v>
      </c>
      <c r="F6" s="68"/>
      <c r="G6" s="88"/>
      <c r="H6" s="258">
        <f>H4/H5</f>
        <v>7</v>
      </c>
    </row>
    <row r="7" spans="1:90" x14ac:dyDescent="0.3">
      <c r="A7" s="80" t="s">
        <v>9</v>
      </c>
      <c r="B7" s="81">
        <f>'October 2025'!E36</f>
        <v>60</v>
      </c>
      <c r="C7" s="68"/>
      <c r="D7" s="85" t="s">
        <v>20</v>
      </c>
      <c r="E7" s="81">
        <f>'October 2025'!BD36</f>
        <v>0</v>
      </c>
      <c r="F7" s="68"/>
      <c r="G7" s="87" t="s">
        <v>38</v>
      </c>
      <c r="H7" s="151">
        <f>'October 2025'!BS36</f>
        <v>126</v>
      </c>
    </row>
    <row r="8" spans="1:90" x14ac:dyDescent="0.3">
      <c r="A8" s="80"/>
      <c r="B8" s="81">
        <f>'October 2025'!F36</f>
        <v>8</v>
      </c>
      <c r="C8" s="68"/>
      <c r="D8" s="85"/>
      <c r="E8" s="81">
        <f>'October 2025'!BB35</f>
        <v>0</v>
      </c>
      <c r="F8" s="68"/>
      <c r="G8" s="87"/>
      <c r="H8" s="151">
        <f>'October 2025'!BT36</f>
        <v>18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58">
        <f>B7/B8</f>
        <v>7.5</v>
      </c>
      <c r="C9" s="68"/>
      <c r="D9" s="86"/>
      <c r="E9" s="258" t="e">
        <f>E7/E8</f>
        <v>#DIV/0!</v>
      </c>
      <c r="F9" s="68"/>
      <c r="G9" s="88"/>
      <c r="H9" s="258">
        <f>H7/H8</f>
        <v>7</v>
      </c>
    </row>
    <row r="10" spans="1:90" x14ac:dyDescent="0.3">
      <c r="A10" s="80" t="s">
        <v>55</v>
      </c>
      <c r="B10" s="81">
        <f>'October 2025'!K36</f>
        <v>502</v>
      </c>
      <c r="C10" s="68"/>
      <c r="D10" s="85" t="s">
        <v>21</v>
      </c>
      <c r="E10" s="81">
        <f>'October 2025'!BG36</f>
        <v>138</v>
      </c>
      <c r="F10" s="68"/>
      <c r="G10" s="87" t="s">
        <v>113</v>
      </c>
      <c r="H10" s="151">
        <f>'October 2025'!BV36</f>
        <v>67</v>
      </c>
    </row>
    <row r="11" spans="1:90" x14ac:dyDescent="0.3">
      <c r="A11" s="80"/>
      <c r="B11" s="81">
        <f>'October 2025'!L36</f>
        <v>58</v>
      </c>
      <c r="C11" s="68"/>
      <c r="D11" s="85"/>
      <c r="E11" s="81">
        <f>'October 2025'!BH36</f>
        <v>22</v>
      </c>
      <c r="F11" s="68"/>
      <c r="G11" s="87"/>
      <c r="H11" s="81">
        <f>'October 2025'!BW36</f>
        <v>10</v>
      </c>
    </row>
    <row r="12" spans="1:90" x14ac:dyDescent="0.3">
      <c r="A12" s="82"/>
      <c r="B12" s="258">
        <f>B10/B11</f>
        <v>8.6551724137931032</v>
      </c>
      <c r="C12" s="68"/>
      <c r="D12" s="86"/>
      <c r="E12" s="258">
        <f>E10/E11</f>
        <v>6.2727272727272725</v>
      </c>
      <c r="F12" s="68"/>
      <c r="G12" s="88"/>
      <c r="H12" s="258">
        <f>H10/H11</f>
        <v>6.7</v>
      </c>
    </row>
    <row r="13" spans="1:90" x14ac:dyDescent="0.3">
      <c r="A13" s="80" t="s">
        <v>11</v>
      </c>
      <c r="B13" s="81">
        <f>'October 2025'!T36</f>
        <v>1121</v>
      </c>
      <c r="C13" s="68"/>
      <c r="D13" s="85" t="s">
        <v>22</v>
      </c>
      <c r="E13" s="81">
        <f>'October 2025'!BJ36</f>
        <v>0</v>
      </c>
      <c r="F13" s="68"/>
      <c r="G13" s="96" t="s">
        <v>28</v>
      </c>
      <c r="H13" s="97">
        <f>'October 2025'!BY36</f>
        <v>6135</v>
      </c>
    </row>
    <row r="14" spans="1:90" x14ac:dyDescent="0.3">
      <c r="A14" s="80"/>
      <c r="B14" s="81">
        <f>'October 2025'!U36</f>
        <v>197</v>
      </c>
      <c r="C14" s="68"/>
      <c r="D14" s="85"/>
      <c r="E14" s="81">
        <f>'October 2025'!BK36</f>
        <v>0</v>
      </c>
      <c r="F14" s="68"/>
      <c r="G14" s="96"/>
      <c r="H14" s="97">
        <f>'October 2025'!BZ36</f>
        <v>946</v>
      </c>
    </row>
    <row r="15" spans="1:90" ht="15" thickBot="1" x14ac:dyDescent="0.35">
      <c r="A15" s="82"/>
      <c r="B15" s="258">
        <f>B13/B14</f>
        <v>5.6903553299492389</v>
      </c>
      <c r="C15" s="68"/>
      <c r="D15" s="85"/>
      <c r="E15" s="258" t="e">
        <f>E13/E14</f>
        <v>#DIV/0!</v>
      </c>
      <c r="F15" s="68"/>
      <c r="G15" s="98"/>
      <c r="H15" s="99">
        <f>H13/H14</f>
        <v>6.485200845665962</v>
      </c>
    </row>
    <row r="16" spans="1:90" x14ac:dyDescent="0.3">
      <c r="A16" s="80" t="s">
        <v>44</v>
      </c>
      <c r="B16" s="81">
        <f>'October 2025'!W36</f>
        <v>300</v>
      </c>
      <c r="C16" s="68"/>
      <c r="D16" s="85" t="s">
        <v>45</v>
      </c>
      <c r="E16" s="26">
        <f>'October 2025'!BM36</f>
        <v>699</v>
      </c>
      <c r="F16" s="68"/>
    </row>
    <row r="17" spans="1:7" x14ac:dyDescent="0.3">
      <c r="A17" s="80"/>
      <c r="B17" s="81">
        <f>'October 2025'!X36</f>
        <v>61</v>
      </c>
      <c r="C17" s="68"/>
      <c r="D17" s="85"/>
      <c r="E17" s="81">
        <f>'October 2025'!BN36</f>
        <v>111</v>
      </c>
      <c r="F17" s="68"/>
    </row>
    <row r="18" spans="1:7" ht="15" thickBot="1" x14ac:dyDescent="0.35">
      <c r="A18" s="82"/>
      <c r="B18" s="258">
        <f>B16/B17</f>
        <v>4.918032786885246</v>
      </c>
      <c r="C18" s="68"/>
      <c r="D18" s="102"/>
      <c r="E18" s="260">
        <f>E16/E17</f>
        <v>6.2972972972972974</v>
      </c>
      <c r="F18" s="68"/>
    </row>
    <row r="19" spans="1:7" x14ac:dyDescent="0.3">
      <c r="A19" s="80" t="s">
        <v>85</v>
      </c>
      <c r="B19" s="81">
        <f>'October 2025'!W35</f>
        <v>0</v>
      </c>
      <c r="C19" s="68"/>
    </row>
    <row r="20" spans="1:7" x14ac:dyDescent="0.3">
      <c r="A20" s="80"/>
      <c r="B20" s="81">
        <f>'October 2025'!X35</f>
        <v>0</v>
      </c>
      <c r="C20" s="68"/>
    </row>
    <row r="21" spans="1:7" x14ac:dyDescent="0.3">
      <c r="A21" s="100"/>
      <c r="B21" s="259">
        <f>'October 2025'!Y335</f>
        <v>0</v>
      </c>
      <c r="C21" s="68"/>
    </row>
    <row r="22" spans="1:7" x14ac:dyDescent="0.3">
      <c r="A22" s="310" t="s">
        <v>86</v>
      </c>
      <c r="B22" s="311">
        <f>'October 2025'!AC36</f>
        <v>468</v>
      </c>
      <c r="C22" s="68"/>
      <c r="D22" s="68"/>
      <c r="E22" s="68"/>
    </row>
    <row r="23" spans="1:7" x14ac:dyDescent="0.3">
      <c r="A23" s="324"/>
      <c r="B23" s="323">
        <f>'October 2025'!AD36</f>
        <v>96</v>
      </c>
      <c r="C23" s="68"/>
      <c r="D23" s="68"/>
      <c r="E23" s="68"/>
    </row>
    <row r="24" spans="1:7" x14ac:dyDescent="0.3">
      <c r="A24" s="325"/>
      <c r="B24" s="350">
        <f>B22/B23</f>
        <v>4.875</v>
      </c>
      <c r="C24" s="68"/>
      <c r="D24" s="68"/>
      <c r="E24" s="68"/>
    </row>
    <row r="25" spans="1:7" x14ac:dyDescent="0.3">
      <c r="A25" s="325" t="s">
        <v>111</v>
      </c>
      <c r="B25" s="274">
        <f>'October 2025'!AF36</f>
        <v>74</v>
      </c>
      <c r="C25" s="68"/>
      <c r="D25" s="68"/>
      <c r="E25" s="68"/>
    </row>
    <row r="26" spans="1:7" x14ac:dyDescent="0.3">
      <c r="A26" s="325"/>
      <c r="B26" s="274">
        <f>'October 2025'!AG36</f>
        <v>15</v>
      </c>
      <c r="C26" s="68"/>
      <c r="D26" s="68"/>
      <c r="E26" s="68"/>
    </row>
    <row r="27" spans="1:7" x14ac:dyDescent="0.3">
      <c r="A27" s="325"/>
      <c r="B27" s="350">
        <f>B25/B26</f>
        <v>4.9333333333333336</v>
      </c>
      <c r="C27" s="68"/>
      <c r="D27" s="68"/>
      <c r="E27" s="68"/>
    </row>
    <row r="28" spans="1:7" x14ac:dyDescent="0.3">
      <c r="A28" s="308" t="s">
        <v>14</v>
      </c>
      <c r="B28" s="309">
        <f>'October 2025'!AF36</f>
        <v>74</v>
      </c>
      <c r="C28" s="68"/>
      <c r="D28" s="68"/>
      <c r="E28" s="68"/>
      <c r="G28" s="68"/>
    </row>
    <row r="29" spans="1:7" x14ac:dyDescent="0.3">
      <c r="A29" s="83"/>
      <c r="B29" s="81">
        <f>'October 2025'!AG36</f>
        <v>15</v>
      </c>
      <c r="C29" s="68"/>
      <c r="D29" s="68"/>
      <c r="E29" s="68"/>
      <c r="G29" s="68"/>
    </row>
    <row r="30" spans="1:7" x14ac:dyDescent="0.3">
      <c r="A30" s="84"/>
      <c r="B30" s="350">
        <f>B28/B29</f>
        <v>4.9333333333333336</v>
      </c>
      <c r="C30" s="68"/>
      <c r="D30" s="68"/>
      <c r="E30" s="68"/>
      <c r="G30" s="68"/>
    </row>
    <row r="31" spans="1:7" x14ac:dyDescent="0.3">
      <c r="A31" s="83" t="s">
        <v>15</v>
      </c>
      <c r="B31" s="81">
        <f>'October 2025'!AI36</f>
        <v>188</v>
      </c>
      <c r="C31" s="68"/>
      <c r="F31" s="68"/>
      <c r="G31" s="68"/>
    </row>
    <row r="32" spans="1:7" x14ac:dyDescent="0.3">
      <c r="A32" s="83"/>
      <c r="B32" s="81">
        <f>'October 2025'!AJ36</f>
        <v>32</v>
      </c>
      <c r="C32" s="68"/>
      <c r="F32" s="68"/>
      <c r="G32" s="68"/>
    </row>
    <row r="33" spans="1:7" x14ac:dyDescent="0.3">
      <c r="A33" s="84"/>
      <c r="B33" s="350">
        <f>B31/B32</f>
        <v>5.875</v>
      </c>
      <c r="C33" s="68"/>
      <c r="F33" s="68"/>
      <c r="G33" s="68"/>
    </row>
    <row r="34" spans="1:7" x14ac:dyDescent="0.3">
      <c r="A34" s="83" t="s">
        <v>16</v>
      </c>
      <c r="B34" s="81">
        <f>'October 2025'!AO36</f>
        <v>42</v>
      </c>
      <c r="C34" s="68"/>
      <c r="F34" s="68"/>
      <c r="G34" s="68"/>
    </row>
    <row r="35" spans="1:7" x14ac:dyDescent="0.3">
      <c r="A35" s="83"/>
      <c r="B35" s="81">
        <f>'October 2025'!AP36</f>
        <v>7</v>
      </c>
      <c r="C35" s="68"/>
      <c r="F35" s="68"/>
      <c r="G35" s="68"/>
    </row>
    <row r="36" spans="1:7" x14ac:dyDescent="0.3">
      <c r="A36" s="84"/>
      <c r="B36" s="350">
        <f>B34/B35</f>
        <v>6</v>
      </c>
      <c r="C36" s="68"/>
      <c r="F36" s="68"/>
      <c r="G36" s="68"/>
    </row>
    <row r="37" spans="1:7" x14ac:dyDescent="0.3">
      <c r="A37" s="83" t="s">
        <v>17</v>
      </c>
      <c r="B37" s="81">
        <f>'October 2025'!AR36</f>
        <v>217</v>
      </c>
      <c r="C37" s="68"/>
      <c r="F37" s="68"/>
      <c r="G37" s="68"/>
    </row>
    <row r="38" spans="1:7" x14ac:dyDescent="0.3">
      <c r="A38" s="83"/>
      <c r="B38" s="81">
        <f>'October 2025'!AS36</f>
        <v>36</v>
      </c>
      <c r="C38" s="68"/>
      <c r="F38" s="68"/>
      <c r="G38" s="68"/>
    </row>
    <row r="39" spans="1:7" x14ac:dyDescent="0.3">
      <c r="A39" s="84"/>
      <c r="B39" s="350">
        <f>B37/B38</f>
        <v>6.0277777777777777</v>
      </c>
      <c r="C39" s="68"/>
      <c r="F39" s="68"/>
      <c r="G39" s="68"/>
    </row>
    <row r="40" spans="1:7" x14ac:dyDescent="0.3">
      <c r="A40" s="83" t="s">
        <v>59</v>
      </c>
      <c r="B40" s="81">
        <f>'October 2025'!AU36</f>
        <v>54</v>
      </c>
      <c r="C40" s="68"/>
      <c r="F40" s="68"/>
      <c r="G40" s="68"/>
    </row>
    <row r="41" spans="1:7" x14ac:dyDescent="0.3">
      <c r="A41" s="83"/>
      <c r="B41" s="81">
        <f>'October 2025'!AV36</f>
        <v>10</v>
      </c>
      <c r="C41" s="68"/>
      <c r="F41" s="68"/>
    </row>
    <row r="42" spans="1:7" ht="15" thickBot="1" x14ac:dyDescent="0.35">
      <c r="A42" s="94"/>
      <c r="B42" s="350">
        <f>B40/B41</f>
        <v>5.4</v>
      </c>
      <c r="C42" s="68"/>
      <c r="F42" s="68"/>
    </row>
    <row r="43" spans="1:7" x14ac:dyDescent="0.3">
      <c r="F43" s="68"/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A1D6-2F3F-4B32-B438-97F26DF0181E}">
  <dimension ref="A1:CA125"/>
  <sheetViews>
    <sheetView zoomScaleNormal="100" workbookViewId="0">
      <pane xSplit="9" ySplit="11" topLeftCell="AG12" activePane="bottomRight" state="frozen"/>
      <selection pane="topRight" activeCell="J1" sqref="J1"/>
      <selection pane="bottomLeft" activeCell="A12" sqref="A12"/>
      <selection pane="bottomRight" activeCell="H9" sqref="H9"/>
    </sheetView>
  </sheetViews>
  <sheetFormatPr defaultRowHeight="14.4" x14ac:dyDescent="0.3"/>
  <cols>
    <col min="1" max="1" width="32" style="296" customWidth="1"/>
    <col min="2" max="3" width="8.88671875" customWidth="1"/>
    <col min="4" max="6" width="8.88671875" style="2" customWidth="1"/>
    <col min="7" max="7" width="8.77734375" style="2" bestFit="1" customWidth="1"/>
    <col min="8" max="8" width="18.109375" style="2" bestFit="1" customWidth="1"/>
    <col min="9" max="9" width="8.21875" style="2" bestFit="1" customWidth="1"/>
    <col min="10" max="10" width="8.77734375" style="2" bestFit="1" customWidth="1"/>
    <col min="11" max="24" width="8.88671875" style="2" customWidth="1"/>
    <col min="25" max="25" width="9.6640625" style="2" customWidth="1"/>
    <col min="26" max="27" width="8.88671875" style="2" hidden="1" customWidth="1"/>
    <col min="28" max="28" width="9.6640625" style="2" hidden="1" customWidth="1"/>
    <col min="29" max="46" width="9.6640625" style="2" customWidth="1"/>
    <col min="47" max="48" width="8.88671875" customWidth="1"/>
    <col min="49" max="49" width="8.88671875" style="2" customWidth="1"/>
    <col min="50" max="51" width="8.88671875" hidden="1" customWidth="1"/>
    <col min="52" max="52" width="8.88671875" style="2" hidden="1" customWidth="1"/>
    <col min="53" max="54" width="8.88671875" customWidth="1"/>
    <col min="55" max="55" width="8.88671875" style="2" customWidth="1"/>
    <col min="56" max="57" width="8.88671875" hidden="1" customWidth="1"/>
    <col min="58" max="58" width="7.33203125" style="2" hidden="1" customWidth="1"/>
    <col min="59" max="59" width="8.33203125" customWidth="1"/>
    <col min="60" max="60" width="9.6640625" customWidth="1"/>
    <col min="61" max="61" width="9.88671875" style="2" customWidth="1"/>
    <col min="62" max="62" width="8.33203125" hidden="1" customWidth="1"/>
    <col min="63" max="63" width="9.6640625" hidden="1" customWidth="1"/>
    <col min="64" max="64" width="8.88671875" style="2" hidden="1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2" width="8.88671875" customWidth="1"/>
    <col min="73" max="73" width="8.88671875" style="2" customWidth="1"/>
    <col min="74" max="76" width="8.88671875" customWidth="1"/>
    <col min="77" max="77" width="9.109375" style="79" bestFit="1" customWidth="1"/>
    <col min="78" max="78" width="9.109375" style="79"/>
    <col min="79" max="79" width="9.109375" style="2"/>
  </cols>
  <sheetData>
    <row r="1" spans="1:79" ht="18.600000000000001" thickBot="1" x14ac:dyDescent="0.4">
      <c r="A1" s="290" t="s">
        <v>120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68"/>
      <c r="BW1" s="68"/>
      <c r="BX1" s="68"/>
      <c r="BY1" s="113"/>
      <c r="BZ1" s="113"/>
      <c r="CA1" s="69"/>
    </row>
    <row r="2" spans="1:79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124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282"/>
      <c r="T2" s="73"/>
      <c r="U2" s="73" t="s">
        <v>2</v>
      </c>
      <c r="V2" s="73"/>
      <c r="W2" s="77"/>
      <c r="X2" s="73" t="s">
        <v>2</v>
      </c>
      <c r="Y2" s="74"/>
      <c r="Z2" s="77"/>
      <c r="AA2" s="73" t="s">
        <v>2</v>
      </c>
      <c r="AB2" s="74"/>
      <c r="AC2" s="73"/>
      <c r="AD2" s="73" t="s">
        <v>2</v>
      </c>
      <c r="AE2" s="73"/>
      <c r="AF2" s="73"/>
      <c r="AG2" s="73" t="s">
        <v>2</v>
      </c>
      <c r="AH2" s="73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7"/>
      <c r="AS2" s="73" t="s">
        <v>2</v>
      </c>
      <c r="AT2" s="74"/>
      <c r="AU2" s="71"/>
      <c r="AV2" s="72" t="s">
        <v>3</v>
      </c>
      <c r="AW2" s="282"/>
      <c r="AX2" s="72"/>
      <c r="AY2" s="72" t="s">
        <v>3</v>
      </c>
      <c r="AZ2" s="74"/>
      <c r="BA2" s="72"/>
      <c r="BB2" s="72" t="s">
        <v>4</v>
      </c>
      <c r="BC2" s="73"/>
      <c r="BD2" s="71"/>
      <c r="BE2" s="72" t="s">
        <v>4</v>
      </c>
      <c r="BF2" s="74"/>
      <c r="BG2" s="72"/>
      <c r="BH2" s="72" t="s">
        <v>4</v>
      </c>
      <c r="BI2" s="282"/>
      <c r="BJ2" s="72"/>
      <c r="BK2" s="72" t="s">
        <v>4</v>
      </c>
      <c r="BL2" s="74"/>
      <c r="BM2" s="108"/>
      <c r="BN2" s="109" t="s">
        <v>5</v>
      </c>
      <c r="BO2" s="110"/>
      <c r="BP2" s="108"/>
      <c r="BQ2" s="109" t="s">
        <v>5</v>
      </c>
      <c r="BR2" s="111"/>
      <c r="BS2" s="109"/>
      <c r="BT2" s="109" t="s">
        <v>5</v>
      </c>
      <c r="BU2" s="110"/>
      <c r="BV2" s="108"/>
      <c r="BW2" s="109" t="s">
        <v>5</v>
      </c>
      <c r="BX2" s="112"/>
      <c r="BY2" s="114" t="s">
        <v>7</v>
      </c>
      <c r="BZ2" s="119"/>
      <c r="CA2" s="74"/>
    </row>
    <row r="3" spans="1:79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126</v>
      </c>
      <c r="I3" s="4"/>
      <c r="J3" s="33"/>
      <c r="K3" s="4" t="s">
        <v>55</v>
      </c>
      <c r="L3" s="4"/>
      <c r="M3" s="33"/>
      <c r="N3" s="4" t="s">
        <v>114</v>
      </c>
      <c r="O3" s="4"/>
      <c r="P3" s="283"/>
      <c r="Q3" s="4" t="s">
        <v>67</v>
      </c>
      <c r="R3" s="4"/>
      <c r="S3" s="35"/>
      <c r="T3" s="4" t="s">
        <v>11</v>
      </c>
      <c r="U3" s="4"/>
      <c r="V3" s="35"/>
      <c r="W3" s="3" t="s">
        <v>12</v>
      </c>
      <c r="X3" s="4"/>
      <c r="Y3" s="33"/>
      <c r="Z3" s="3" t="s">
        <v>35</v>
      </c>
      <c r="AA3" s="4"/>
      <c r="AB3" s="33"/>
      <c r="AC3" s="3" t="s">
        <v>115</v>
      </c>
      <c r="AD3" s="35"/>
      <c r="AE3" s="35"/>
      <c r="AF3" s="3" t="s">
        <v>116</v>
      </c>
      <c r="AG3" s="35"/>
      <c r="AH3" s="35"/>
      <c r="AI3" s="3" t="s">
        <v>73</v>
      </c>
      <c r="AJ3" s="4"/>
      <c r="AK3" s="33"/>
      <c r="AL3" s="3" t="s">
        <v>68</v>
      </c>
      <c r="AM3" s="4"/>
      <c r="AN3" s="33"/>
      <c r="AO3" s="3" t="s">
        <v>91</v>
      </c>
      <c r="AP3" s="4"/>
      <c r="AQ3" s="33"/>
      <c r="AR3" s="3" t="s">
        <v>117</v>
      </c>
      <c r="AS3" s="4"/>
      <c r="AT3" s="33"/>
      <c r="AU3" s="47" t="s">
        <v>14</v>
      </c>
      <c r="AV3" s="47"/>
      <c r="AW3" s="287"/>
      <c r="AX3" s="47" t="s">
        <v>15</v>
      </c>
      <c r="AY3" s="47"/>
      <c r="AZ3" s="48"/>
      <c r="BA3" s="47" t="s">
        <v>16</v>
      </c>
      <c r="BB3" s="47"/>
      <c r="BC3" s="351"/>
      <c r="BD3" s="46" t="s">
        <v>17</v>
      </c>
      <c r="BE3" s="47"/>
      <c r="BF3" s="48"/>
      <c r="BG3" s="47" t="s">
        <v>64</v>
      </c>
      <c r="BH3" s="47"/>
      <c r="BI3" s="287"/>
      <c r="BJ3" s="47" t="s">
        <v>64</v>
      </c>
      <c r="BK3" s="47"/>
      <c r="BL3" s="49"/>
      <c r="BM3" s="9" t="s">
        <v>36</v>
      </c>
      <c r="BN3" s="7"/>
      <c r="BO3" s="29"/>
      <c r="BP3" s="9" t="s">
        <v>37</v>
      </c>
      <c r="BQ3" s="7"/>
      <c r="BR3" s="31"/>
      <c r="BS3" s="7" t="s">
        <v>38</v>
      </c>
      <c r="BT3" s="7"/>
      <c r="BU3" s="29"/>
      <c r="BV3" s="9" t="s">
        <v>39</v>
      </c>
      <c r="BW3" s="7"/>
      <c r="BX3" s="8"/>
      <c r="BY3" s="115" t="s">
        <v>28</v>
      </c>
      <c r="BZ3" s="115"/>
      <c r="CA3" s="24"/>
    </row>
    <row r="4" spans="1:79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6" t="s">
        <v>7</v>
      </c>
      <c r="U4" s="6" t="s">
        <v>30</v>
      </c>
      <c r="V4" s="36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" t="s">
        <v>7</v>
      </c>
      <c r="AS4" s="6" t="s">
        <v>30</v>
      </c>
      <c r="AT4" s="34" t="s">
        <v>31</v>
      </c>
      <c r="AU4" s="51" t="s">
        <v>7</v>
      </c>
      <c r="AV4" s="51" t="s">
        <v>30</v>
      </c>
      <c r="AW4" s="288" t="s">
        <v>31</v>
      </c>
      <c r="AX4" s="51" t="s">
        <v>7</v>
      </c>
      <c r="AY4" s="51" t="s">
        <v>30</v>
      </c>
      <c r="AZ4" s="52" t="s">
        <v>31</v>
      </c>
      <c r="BA4" s="51" t="s">
        <v>7</v>
      </c>
      <c r="BB4" s="51" t="s">
        <v>30</v>
      </c>
      <c r="BC4" s="352" t="s">
        <v>31</v>
      </c>
      <c r="BD4" s="50" t="s">
        <v>7</v>
      </c>
      <c r="BE4" s="51" t="s">
        <v>30</v>
      </c>
      <c r="BF4" s="52" t="s">
        <v>31</v>
      </c>
      <c r="BG4" s="51" t="s">
        <v>7</v>
      </c>
      <c r="BH4" s="51" t="s">
        <v>30</v>
      </c>
      <c r="BI4" s="288" t="s">
        <v>31</v>
      </c>
      <c r="BJ4" s="51" t="s">
        <v>7</v>
      </c>
      <c r="BK4" s="51" t="s">
        <v>30</v>
      </c>
      <c r="BL4" s="53" t="s">
        <v>31</v>
      </c>
      <c r="BM4" s="12" t="s">
        <v>7</v>
      </c>
      <c r="BN4" s="10" t="s">
        <v>30</v>
      </c>
      <c r="BO4" s="30" t="s">
        <v>31</v>
      </c>
      <c r="BP4" s="12" t="s">
        <v>7</v>
      </c>
      <c r="BQ4" s="10" t="s">
        <v>30</v>
      </c>
      <c r="BR4" s="32" t="s">
        <v>31</v>
      </c>
      <c r="BS4" s="10" t="s">
        <v>7</v>
      </c>
      <c r="BT4" s="10" t="s">
        <v>30</v>
      </c>
      <c r="BU4" s="30" t="s">
        <v>31</v>
      </c>
      <c r="BV4" s="12" t="s">
        <v>7</v>
      </c>
      <c r="BW4" s="10" t="s">
        <v>30</v>
      </c>
      <c r="BX4" s="11" t="s">
        <v>31</v>
      </c>
      <c r="BY4" s="116" t="s">
        <v>7</v>
      </c>
      <c r="BZ4" s="116" t="s">
        <v>30</v>
      </c>
      <c r="CA4" s="146" t="s">
        <v>31</v>
      </c>
    </row>
    <row r="5" spans="1:79" ht="15" thickBot="1" x14ac:dyDescent="0.35">
      <c r="A5" s="294">
        <v>45962</v>
      </c>
      <c r="B5" s="125">
        <v>50</v>
      </c>
      <c r="C5" s="126">
        <v>6</v>
      </c>
      <c r="D5" s="276">
        <f t="shared" ref="D5:D35" si="0">IF(C5=0,"-",B5/C5)</f>
        <v>8.3333333333333339</v>
      </c>
      <c r="E5" s="125">
        <v>0</v>
      </c>
      <c r="F5" s="126">
        <v>0</v>
      </c>
      <c r="G5" s="139" t="str">
        <f t="shared" ref="G5:G35" si="1">IF(F5=0,"-",E5/F5)</f>
        <v>-</v>
      </c>
      <c r="H5" s="125">
        <v>0</v>
      </c>
      <c r="I5" s="126">
        <v>0</v>
      </c>
      <c r="J5" s="139" t="str">
        <f t="shared" ref="J5:J34" si="2">IF(I5=0,"-",H5/I5)</f>
        <v>-</v>
      </c>
      <c r="K5" s="125">
        <v>0</v>
      </c>
      <c r="L5" s="126">
        <v>0</v>
      </c>
      <c r="M5" s="276" t="str">
        <f t="shared" ref="M5:M35" si="3">IF(L5=0,"-",K5/L5)</f>
        <v>-</v>
      </c>
      <c r="N5" s="20">
        <v>0</v>
      </c>
      <c r="O5" s="21">
        <v>0</v>
      </c>
      <c r="P5" s="139" t="str">
        <f t="shared" ref="P5:P35" si="4">IF(O5=0,"-",N5/O5)</f>
        <v>-</v>
      </c>
      <c r="Q5" s="20">
        <v>0</v>
      </c>
      <c r="R5" s="21">
        <v>0</v>
      </c>
      <c r="S5" s="139" t="str">
        <f t="shared" ref="S5:S35" si="5">IF(R5=0,"-",Q5/R5)</f>
        <v>-</v>
      </c>
      <c r="T5" s="20">
        <v>27</v>
      </c>
      <c r="U5" s="21">
        <v>5</v>
      </c>
      <c r="V5" s="139">
        <f t="shared" ref="V5:V35" si="6">IF(U5=0,"-",T5/U5)</f>
        <v>5.4</v>
      </c>
      <c r="W5" s="20">
        <v>0</v>
      </c>
      <c r="X5" s="21">
        <v>0</v>
      </c>
      <c r="Y5" s="139" t="str">
        <f t="shared" ref="Y5:Y35" si="7">IF(X5=0,"-",W5/X5)</f>
        <v>-</v>
      </c>
      <c r="Z5" s="20">
        <v>0</v>
      </c>
      <c r="AA5" s="21">
        <v>0</v>
      </c>
      <c r="AB5" s="139" t="str">
        <f t="shared" ref="AB5:AB34" si="8">IF(AA5=0,"-",Z5/AA5)</f>
        <v>-</v>
      </c>
      <c r="AC5" s="20">
        <v>0</v>
      </c>
      <c r="AD5" s="21">
        <v>0</v>
      </c>
      <c r="AE5" s="139" t="str">
        <f t="shared" ref="AE5:AE35" si="9">IF(AD5=0,"-",AC5/AD5)</f>
        <v>-</v>
      </c>
      <c r="AF5" s="20">
        <v>0</v>
      </c>
      <c r="AG5" s="21">
        <v>0</v>
      </c>
      <c r="AH5" s="139" t="str">
        <f t="shared" ref="AH5:AH35" si="10">IF(AG5=0,"-",AF5/AG5)</f>
        <v>-</v>
      </c>
      <c r="AI5" s="20">
        <v>0</v>
      </c>
      <c r="AJ5" s="21">
        <v>0</v>
      </c>
      <c r="AK5" s="139" t="str">
        <f t="shared" ref="AK5:AK35" si="11">IF(AJ5=0,"-",AI5/AJ5)</f>
        <v>-</v>
      </c>
      <c r="AL5" s="20">
        <v>5</v>
      </c>
      <c r="AM5" s="21">
        <v>1</v>
      </c>
      <c r="AN5" s="139">
        <f t="shared" ref="AN5:AN35" si="12">IF(AM5=0,"-",AL5/AM5)</f>
        <v>5</v>
      </c>
      <c r="AO5" s="20">
        <v>0</v>
      </c>
      <c r="AP5" s="21">
        <v>0</v>
      </c>
      <c r="AQ5" s="139" t="str">
        <f t="shared" ref="AQ5:AQ35" si="13">IF(AP5=0,"-",AO5/AP5)</f>
        <v>-</v>
      </c>
      <c r="AR5" s="20">
        <v>52</v>
      </c>
      <c r="AS5" s="21">
        <v>8</v>
      </c>
      <c r="AT5" s="139">
        <f t="shared" ref="AT5:AT35" si="14">IF(AS5=0,"-",AR5/AS5)</f>
        <v>6.5</v>
      </c>
      <c r="AU5" s="20">
        <v>0</v>
      </c>
      <c r="AV5" s="21">
        <v>0</v>
      </c>
      <c r="AW5" s="139" t="str">
        <f t="shared" ref="AW5:AW35" si="15">IF(AV5=0,"-",AU5/AV5)</f>
        <v>-</v>
      </c>
      <c r="AX5" s="20">
        <v>0</v>
      </c>
      <c r="AY5" s="21">
        <v>0</v>
      </c>
      <c r="AZ5" s="139" t="str">
        <f t="shared" ref="AZ5:AZ6" si="16">IF(AY5=0,"-",AX5/AY5)</f>
        <v>-</v>
      </c>
      <c r="BA5" s="20">
        <v>0</v>
      </c>
      <c r="BB5" s="21">
        <v>0</v>
      </c>
      <c r="BC5" s="139" t="str">
        <f t="shared" ref="BC5:BC6" si="17">IF(BB5=0,"-",BA5/BB5)</f>
        <v>-</v>
      </c>
      <c r="BD5" s="20">
        <v>0</v>
      </c>
      <c r="BE5" s="21">
        <v>0</v>
      </c>
      <c r="BF5" s="139" t="str">
        <f t="shared" ref="BF5:BF6" si="18">IF(BE5=0,"-",BD5/BE5)</f>
        <v>-</v>
      </c>
      <c r="BG5" s="20">
        <v>0</v>
      </c>
      <c r="BH5" s="21">
        <v>0</v>
      </c>
      <c r="BI5" s="139" t="str">
        <f t="shared" ref="BI5:BI6" si="19">IF(BH5=0,"-",BG5/BH5)</f>
        <v>-</v>
      </c>
      <c r="BJ5" s="20">
        <v>0</v>
      </c>
      <c r="BK5" s="21">
        <v>0</v>
      </c>
      <c r="BL5" s="139" t="str">
        <f t="shared" ref="BL5:BL34" si="20">IF(BK5=0,"-",BJ5/BK5)</f>
        <v>-</v>
      </c>
      <c r="BM5" s="250">
        <v>48</v>
      </c>
      <c r="BN5" s="251">
        <v>7</v>
      </c>
      <c r="BO5" s="276">
        <f t="shared" ref="BO5:BO35" si="21">IF(BN5=0,"-",BM5/BN5)</f>
        <v>6.8571428571428568</v>
      </c>
      <c r="BP5" s="250">
        <v>0</v>
      </c>
      <c r="BQ5" s="251">
        <v>0</v>
      </c>
      <c r="BR5" s="276" t="str">
        <f t="shared" ref="BR5:BR35" si="22">IF(BQ5=0,"-",BP5/BQ5)</f>
        <v>-</v>
      </c>
      <c r="BS5" s="326">
        <v>0</v>
      </c>
      <c r="BT5" s="327">
        <v>0</v>
      </c>
      <c r="BU5" s="276" t="str">
        <f t="shared" ref="BU5:BU35" si="23">IF(BT5=0,"-",BS5/BT5)</f>
        <v>-</v>
      </c>
      <c r="BV5" s="254">
        <v>0</v>
      </c>
      <c r="BW5" s="255">
        <v>0</v>
      </c>
      <c r="BX5" s="276" t="str">
        <f t="shared" ref="BX5:BX35" si="24">IF(BW5=0,"-",BV5/BW5)</f>
        <v>-</v>
      </c>
      <c r="BY5" s="117">
        <f t="shared" ref="BY5:BY34" si="25">SUM(B5,E5,K5,N5,Q5,T5,W5,AC5,AF5,AI5,AL5,AO5,AR5,AU5,BA5,BG5,BM5,BP5,BS5,BV5)</f>
        <v>182</v>
      </c>
      <c r="BZ5" s="117">
        <f t="shared" ref="BZ5:BZ34" si="26">SUM(C5,F5,L5,O5,R5,U5,X5,AD5,AG5,AJ5,AM5,AP5,AS5,AV5,BB5,BH5,BN5,BQ5,BT5,BW5)</f>
        <v>27</v>
      </c>
      <c r="CA5" s="147">
        <f t="shared" ref="CA5:CA35" si="27">IF(BZ5=0,"",BY5/BZ5)</f>
        <v>6.7407407407407405</v>
      </c>
    </row>
    <row r="6" spans="1:79" ht="15" thickBot="1" x14ac:dyDescent="0.35">
      <c r="A6" s="294">
        <v>45963</v>
      </c>
      <c r="B6" s="20">
        <v>163</v>
      </c>
      <c r="C6" s="21">
        <v>19</v>
      </c>
      <c r="D6" s="139">
        <f t="shared" si="0"/>
        <v>8.5789473684210531</v>
      </c>
      <c r="E6" s="125">
        <v>8</v>
      </c>
      <c r="F6" s="126">
        <v>1</v>
      </c>
      <c r="G6" s="139">
        <f t="shared" si="1"/>
        <v>8</v>
      </c>
      <c r="H6" s="125">
        <v>0</v>
      </c>
      <c r="I6" s="126">
        <v>0</v>
      </c>
      <c r="J6" s="139" t="str">
        <f t="shared" si="2"/>
        <v>-</v>
      </c>
      <c r="K6" s="20">
        <v>20</v>
      </c>
      <c r="L6" s="21">
        <v>2</v>
      </c>
      <c r="M6" s="139">
        <f t="shared" si="3"/>
        <v>10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15</v>
      </c>
      <c r="U6" s="21">
        <v>3</v>
      </c>
      <c r="V6" s="139">
        <f t="shared" si="6"/>
        <v>5</v>
      </c>
      <c r="W6" s="21">
        <v>0</v>
      </c>
      <c r="X6" s="21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20">
        <v>19</v>
      </c>
      <c r="AD6" s="21">
        <v>4</v>
      </c>
      <c r="AE6" s="139">
        <f t="shared" si="9"/>
        <v>4.75</v>
      </c>
      <c r="AF6" s="20">
        <v>0</v>
      </c>
      <c r="AG6" s="21">
        <v>0</v>
      </c>
      <c r="AH6" s="139" t="str">
        <f t="shared" ref="AH6" si="28">IF(AG6=0,"-",AF6/AG6)</f>
        <v>-</v>
      </c>
      <c r="AI6" s="20">
        <v>0</v>
      </c>
      <c r="AJ6" s="21">
        <v>0</v>
      </c>
      <c r="AK6" s="139" t="str">
        <f t="shared" ref="AK6" si="29">IF(AJ6=0,"-",AI6/AJ6)</f>
        <v>-</v>
      </c>
      <c r="AL6" s="20">
        <v>0</v>
      </c>
      <c r="AM6" s="21">
        <v>0</v>
      </c>
      <c r="AN6" s="139" t="str">
        <f t="shared" si="12"/>
        <v>-</v>
      </c>
      <c r="AO6" s="20">
        <v>0</v>
      </c>
      <c r="AP6" s="21">
        <v>0</v>
      </c>
      <c r="AQ6" s="139" t="str">
        <f t="shared" si="13"/>
        <v>-</v>
      </c>
      <c r="AR6" s="20">
        <v>0</v>
      </c>
      <c r="AS6" s="21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252">
        <v>31</v>
      </c>
      <c r="BN6" s="253">
        <v>5</v>
      </c>
      <c r="BO6" s="276">
        <f t="shared" si="21"/>
        <v>6.2</v>
      </c>
      <c r="BP6" s="252">
        <v>0</v>
      </c>
      <c r="BQ6" s="253">
        <v>0</v>
      </c>
      <c r="BR6" s="276" t="str">
        <f t="shared" si="22"/>
        <v>-</v>
      </c>
      <c r="BS6" s="302">
        <v>0</v>
      </c>
      <c r="BT6" s="303">
        <v>0</v>
      </c>
      <c r="BU6" s="276" t="str">
        <f t="shared" si="23"/>
        <v>-</v>
      </c>
      <c r="BV6" s="256">
        <v>7</v>
      </c>
      <c r="BW6" s="253">
        <v>1</v>
      </c>
      <c r="BX6" s="276">
        <f t="shared" si="24"/>
        <v>7</v>
      </c>
      <c r="BY6" s="117">
        <f t="shared" si="25"/>
        <v>263</v>
      </c>
      <c r="BZ6" s="117">
        <f t="shared" si="26"/>
        <v>35</v>
      </c>
      <c r="CA6" s="147">
        <f t="shared" si="27"/>
        <v>7.5142857142857142</v>
      </c>
    </row>
    <row r="7" spans="1:79" ht="15" thickBot="1" x14ac:dyDescent="0.35">
      <c r="A7" s="294">
        <v>45964</v>
      </c>
      <c r="B7" s="20">
        <v>111</v>
      </c>
      <c r="C7" s="21">
        <v>13</v>
      </c>
      <c r="D7" s="139">
        <f t="shared" si="0"/>
        <v>8.5384615384615383</v>
      </c>
      <c r="E7" s="125">
        <v>0</v>
      </c>
      <c r="F7" s="126">
        <v>0</v>
      </c>
      <c r="G7" s="139" t="str">
        <f t="shared" si="1"/>
        <v>-</v>
      </c>
      <c r="H7" s="125">
        <v>0</v>
      </c>
      <c r="I7" s="126">
        <v>0</v>
      </c>
      <c r="J7" s="139" t="str">
        <f t="shared" si="2"/>
        <v>-</v>
      </c>
      <c r="K7" s="20">
        <v>121</v>
      </c>
      <c r="L7" s="21">
        <v>16</v>
      </c>
      <c r="M7" s="139">
        <f t="shared" si="3"/>
        <v>7.5625</v>
      </c>
      <c r="N7" s="20">
        <v>0</v>
      </c>
      <c r="O7" s="21">
        <v>0</v>
      </c>
      <c r="P7" s="139" t="str">
        <f t="shared" si="4"/>
        <v>-</v>
      </c>
      <c r="Q7" s="20">
        <v>0</v>
      </c>
      <c r="R7" s="21">
        <v>0</v>
      </c>
      <c r="S7" s="139" t="str">
        <f t="shared" si="5"/>
        <v>-</v>
      </c>
      <c r="T7" s="20">
        <v>44</v>
      </c>
      <c r="U7" s="21">
        <v>9</v>
      </c>
      <c r="V7" s="139">
        <f t="shared" si="6"/>
        <v>4.8888888888888893</v>
      </c>
      <c r="W7" s="20">
        <v>0</v>
      </c>
      <c r="X7" s="21">
        <v>0</v>
      </c>
      <c r="Y7" s="139" t="str">
        <f t="shared" si="7"/>
        <v>-</v>
      </c>
      <c r="Z7" s="20">
        <v>0</v>
      </c>
      <c r="AA7" s="21">
        <v>0</v>
      </c>
      <c r="AB7" s="139" t="str">
        <f t="shared" si="8"/>
        <v>-</v>
      </c>
      <c r="AC7" s="20">
        <v>0</v>
      </c>
      <c r="AD7" s="21">
        <v>0</v>
      </c>
      <c r="AE7" s="139" t="str">
        <f t="shared" si="9"/>
        <v>-</v>
      </c>
      <c r="AF7" s="20">
        <v>0</v>
      </c>
      <c r="AG7" s="21">
        <v>0</v>
      </c>
      <c r="AH7" s="139" t="str">
        <f t="shared" si="10"/>
        <v>-</v>
      </c>
      <c r="AI7" s="270">
        <v>20</v>
      </c>
      <c r="AJ7" s="21">
        <v>4</v>
      </c>
      <c r="AK7" s="139">
        <f t="shared" si="11"/>
        <v>5</v>
      </c>
      <c r="AL7" s="20">
        <v>11</v>
      </c>
      <c r="AM7" s="21">
        <v>2</v>
      </c>
      <c r="AN7" s="139">
        <f t="shared" si="12"/>
        <v>5.5</v>
      </c>
      <c r="AO7" s="20">
        <v>0</v>
      </c>
      <c r="AP7" s="21">
        <v>0</v>
      </c>
      <c r="AQ7" s="139" t="str">
        <f t="shared" si="13"/>
        <v>-</v>
      </c>
      <c r="AR7" s="20">
        <v>9</v>
      </c>
      <c r="AS7" s="21">
        <v>2</v>
      </c>
      <c r="AT7" s="139">
        <f t="shared" si="14"/>
        <v>4.5</v>
      </c>
      <c r="AU7" s="20">
        <v>0</v>
      </c>
      <c r="AV7" s="21">
        <v>0</v>
      </c>
      <c r="AW7" s="139" t="str">
        <f t="shared" ref="AW7" si="30">IF(AV7=0,"-",AU7/AV7)</f>
        <v>-</v>
      </c>
      <c r="AX7" s="20">
        <v>0</v>
      </c>
      <c r="AY7" s="21">
        <v>0</v>
      </c>
      <c r="AZ7" s="139" t="str">
        <f t="shared" ref="AZ7" si="31">IF(AY7=0,"-",AX7/AY7)</f>
        <v>-</v>
      </c>
      <c r="BA7" s="20">
        <v>0</v>
      </c>
      <c r="BB7" s="21">
        <v>0</v>
      </c>
      <c r="BC7" s="139" t="str">
        <f t="shared" ref="BC7" si="32">IF(BB7=0,"-",BA7/BB7)</f>
        <v>-</v>
      </c>
      <c r="BD7" s="20">
        <v>0</v>
      </c>
      <c r="BE7" s="21">
        <v>0</v>
      </c>
      <c r="BF7" s="139" t="str">
        <f t="shared" ref="BF7:BF34" si="33">IF(BE7=0,"-",BD7/BE7)</f>
        <v>-</v>
      </c>
      <c r="BG7" s="20">
        <v>8</v>
      </c>
      <c r="BH7" s="21">
        <v>3</v>
      </c>
      <c r="BI7" s="139">
        <f t="shared" ref="BI7:BI35" si="34">IF(BH7=0,"-",BG7/BH7)</f>
        <v>2.6666666666666665</v>
      </c>
      <c r="BJ7" s="20">
        <v>0</v>
      </c>
      <c r="BK7" s="21">
        <v>0</v>
      </c>
      <c r="BL7" s="139" t="str">
        <f t="shared" si="20"/>
        <v>-</v>
      </c>
      <c r="BM7" s="252">
        <v>39</v>
      </c>
      <c r="BN7" s="253">
        <v>7</v>
      </c>
      <c r="BO7" s="276">
        <f t="shared" si="21"/>
        <v>5.5714285714285712</v>
      </c>
      <c r="BP7" s="252">
        <v>0</v>
      </c>
      <c r="BQ7" s="253">
        <v>0</v>
      </c>
      <c r="BR7" s="276" t="str">
        <f t="shared" si="22"/>
        <v>-</v>
      </c>
      <c r="BS7" s="302">
        <v>0</v>
      </c>
      <c r="BT7" s="303">
        <v>0</v>
      </c>
      <c r="BU7" s="276" t="str">
        <f t="shared" si="23"/>
        <v>-</v>
      </c>
      <c r="BV7" s="256">
        <v>0</v>
      </c>
      <c r="BW7" s="253">
        <v>0</v>
      </c>
      <c r="BX7" s="276" t="str">
        <f t="shared" si="24"/>
        <v>-</v>
      </c>
      <c r="BY7" s="117">
        <f t="shared" si="25"/>
        <v>363</v>
      </c>
      <c r="BZ7" s="117">
        <f t="shared" si="26"/>
        <v>56</v>
      </c>
      <c r="CA7" s="147">
        <f t="shared" si="27"/>
        <v>6.4821428571428568</v>
      </c>
    </row>
    <row r="8" spans="1:79" ht="15" thickBot="1" x14ac:dyDescent="0.35">
      <c r="A8" s="294">
        <v>45965</v>
      </c>
      <c r="B8" s="20">
        <v>53</v>
      </c>
      <c r="C8" s="21">
        <v>6</v>
      </c>
      <c r="D8" s="139">
        <f t="shared" si="0"/>
        <v>8.8333333333333339</v>
      </c>
      <c r="E8" s="125">
        <v>0</v>
      </c>
      <c r="F8" s="126">
        <v>0</v>
      </c>
      <c r="G8" s="139" t="str">
        <f t="shared" si="1"/>
        <v>-</v>
      </c>
      <c r="H8" s="125">
        <v>0</v>
      </c>
      <c r="I8" s="126">
        <v>0</v>
      </c>
      <c r="J8" s="139" t="str">
        <f t="shared" si="2"/>
        <v>-</v>
      </c>
      <c r="K8" s="20">
        <v>9</v>
      </c>
      <c r="L8" s="21">
        <v>1</v>
      </c>
      <c r="M8" s="139">
        <f>IF(L8=0,"-",K8/L8)</f>
        <v>9</v>
      </c>
      <c r="N8" s="20">
        <v>0</v>
      </c>
      <c r="O8" s="21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19</v>
      </c>
      <c r="U8" s="21">
        <v>4</v>
      </c>
      <c r="V8" s="139">
        <f t="shared" si="6"/>
        <v>4.75</v>
      </c>
      <c r="W8" s="20">
        <v>21</v>
      </c>
      <c r="X8" s="21">
        <v>4</v>
      </c>
      <c r="Y8" s="139">
        <f t="shared" si="7"/>
        <v>5.25</v>
      </c>
      <c r="Z8" s="20">
        <v>0</v>
      </c>
      <c r="AA8" s="21">
        <v>0</v>
      </c>
      <c r="AB8" s="139" t="str">
        <f t="shared" si="8"/>
        <v>-</v>
      </c>
      <c r="AC8" s="20">
        <v>0</v>
      </c>
      <c r="AD8" s="21">
        <v>0</v>
      </c>
      <c r="AE8" s="139" t="str">
        <f t="shared" si="9"/>
        <v>-</v>
      </c>
      <c r="AF8" s="20">
        <v>0</v>
      </c>
      <c r="AG8" s="21">
        <v>0</v>
      </c>
      <c r="AH8" s="139" t="str">
        <f t="shared" si="10"/>
        <v>-</v>
      </c>
      <c r="AI8" s="270">
        <v>20</v>
      </c>
      <c r="AJ8" s="21">
        <v>4</v>
      </c>
      <c r="AK8" s="139">
        <f t="shared" si="11"/>
        <v>5</v>
      </c>
      <c r="AL8" s="20">
        <v>0</v>
      </c>
      <c r="AM8" s="21">
        <v>0</v>
      </c>
      <c r="AN8" s="139" t="str">
        <f t="shared" si="12"/>
        <v>-</v>
      </c>
      <c r="AO8" s="20">
        <v>0</v>
      </c>
      <c r="AP8" s="21">
        <v>0</v>
      </c>
      <c r="AQ8" s="139" t="str">
        <f t="shared" si="13"/>
        <v>-</v>
      </c>
      <c r="AR8" s="20">
        <v>6</v>
      </c>
      <c r="AS8" s="21">
        <v>1</v>
      </c>
      <c r="AT8" s="139">
        <f t="shared" si="14"/>
        <v>6</v>
      </c>
      <c r="AU8" s="20">
        <v>0</v>
      </c>
      <c r="AV8" s="21">
        <v>0</v>
      </c>
      <c r="AW8" s="139" t="str">
        <f t="shared" ref="AW8" si="35">IF(AV8=0,"-",AU8/AV8)</f>
        <v>-</v>
      </c>
      <c r="AX8" s="20">
        <v>0</v>
      </c>
      <c r="AY8" s="21">
        <v>0</v>
      </c>
      <c r="AZ8" s="139" t="str">
        <f t="shared" ref="AZ8:AZ34" si="36">IF(AY8=0,"-",AX8/AY8)</f>
        <v>-</v>
      </c>
      <c r="BA8" s="20">
        <v>1</v>
      </c>
      <c r="BB8" s="21">
        <v>1</v>
      </c>
      <c r="BC8" s="139">
        <f t="shared" ref="BC8:BC35" si="37">IF(BB8=0,"-",BA8/BB8)</f>
        <v>1</v>
      </c>
      <c r="BD8" s="20">
        <v>0</v>
      </c>
      <c r="BE8" s="21">
        <v>0</v>
      </c>
      <c r="BF8" s="139" t="str">
        <f t="shared" si="33"/>
        <v>-</v>
      </c>
      <c r="BG8" s="20">
        <v>8</v>
      </c>
      <c r="BH8" s="21">
        <v>2</v>
      </c>
      <c r="BI8" s="139">
        <f t="shared" si="34"/>
        <v>4</v>
      </c>
      <c r="BJ8" s="20">
        <v>0</v>
      </c>
      <c r="BK8" s="21">
        <v>0</v>
      </c>
      <c r="BL8" s="139" t="str">
        <f t="shared" si="20"/>
        <v>-</v>
      </c>
      <c r="BM8" s="252">
        <v>20</v>
      </c>
      <c r="BN8" s="253">
        <v>4</v>
      </c>
      <c r="BO8" s="276">
        <f t="shared" si="21"/>
        <v>5</v>
      </c>
      <c r="BP8" s="252">
        <v>0</v>
      </c>
      <c r="BQ8" s="253">
        <v>0</v>
      </c>
      <c r="BR8" s="276" t="str">
        <f t="shared" si="22"/>
        <v>-</v>
      </c>
      <c r="BS8" s="302">
        <v>0</v>
      </c>
      <c r="BT8" s="303">
        <v>0</v>
      </c>
      <c r="BU8" s="276" t="str">
        <f t="shared" si="23"/>
        <v>-</v>
      </c>
      <c r="BV8" s="256">
        <v>0</v>
      </c>
      <c r="BW8" s="253">
        <v>0</v>
      </c>
      <c r="BX8" s="276" t="str">
        <f t="shared" si="24"/>
        <v>-</v>
      </c>
      <c r="BY8" s="117">
        <f t="shared" si="25"/>
        <v>157</v>
      </c>
      <c r="BZ8" s="117">
        <f t="shared" si="26"/>
        <v>27</v>
      </c>
      <c r="CA8" s="147">
        <f t="shared" si="27"/>
        <v>5.8148148148148149</v>
      </c>
    </row>
    <row r="9" spans="1:79" ht="15" thickBot="1" x14ac:dyDescent="0.35">
      <c r="A9" s="294">
        <v>45966</v>
      </c>
      <c r="B9" s="20">
        <v>145</v>
      </c>
      <c r="C9" s="21">
        <v>17</v>
      </c>
      <c r="D9" s="139">
        <f t="shared" si="0"/>
        <v>8.5294117647058822</v>
      </c>
      <c r="E9" s="125">
        <v>0</v>
      </c>
      <c r="F9" s="126">
        <v>0</v>
      </c>
      <c r="G9" s="139" t="str">
        <f t="shared" si="1"/>
        <v>-</v>
      </c>
      <c r="H9" s="125">
        <v>0</v>
      </c>
      <c r="I9" s="126">
        <v>0</v>
      </c>
      <c r="J9" s="139" t="str">
        <f t="shared" si="2"/>
        <v>-</v>
      </c>
      <c r="K9" s="125">
        <v>27</v>
      </c>
      <c r="L9" s="126">
        <v>3</v>
      </c>
      <c r="M9" s="139">
        <f t="shared" si="3"/>
        <v>9</v>
      </c>
      <c r="N9" s="20">
        <v>0</v>
      </c>
      <c r="O9" s="21">
        <v>0</v>
      </c>
      <c r="P9" s="139" t="str">
        <f t="shared" si="4"/>
        <v>-</v>
      </c>
      <c r="Q9" s="20">
        <v>0</v>
      </c>
      <c r="R9" s="21">
        <v>0</v>
      </c>
      <c r="S9" s="139" t="str">
        <f t="shared" si="5"/>
        <v>-</v>
      </c>
      <c r="T9" s="20">
        <v>34</v>
      </c>
      <c r="U9" s="21">
        <v>6</v>
      </c>
      <c r="V9" s="139">
        <f t="shared" si="6"/>
        <v>5.666666666666667</v>
      </c>
      <c r="W9" s="20">
        <v>0</v>
      </c>
      <c r="X9" s="21">
        <v>0</v>
      </c>
      <c r="Y9" s="139" t="str">
        <f t="shared" si="7"/>
        <v>-</v>
      </c>
      <c r="Z9" s="20">
        <v>0</v>
      </c>
      <c r="AA9" s="21">
        <v>0</v>
      </c>
      <c r="AB9" s="139" t="str">
        <f t="shared" si="8"/>
        <v>-</v>
      </c>
      <c r="AC9" s="20">
        <v>95</v>
      </c>
      <c r="AD9" s="21">
        <v>20</v>
      </c>
      <c r="AE9" s="139">
        <f t="shared" si="9"/>
        <v>4.75</v>
      </c>
      <c r="AF9" s="20">
        <v>0</v>
      </c>
      <c r="AG9" s="21">
        <v>0</v>
      </c>
      <c r="AH9" s="139" t="str">
        <f t="shared" si="10"/>
        <v>-</v>
      </c>
      <c r="AI9" s="20">
        <v>15</v>
      </c>
      <c r="AJ9" s="21">
        <v>3</v>
      </c>
      <c r="AK9" s="139">
        <f t="shared" si="11"/>
        <v>5</v>
      </c>
      <c r="AL9" s="20">
        <v>25</v>
      </c>
      <c r="AM9" s="21">
        <v>7</v>
      </c>
      <c r="AN9" s="139">
        <f t="shared" si="12"/>
        <v>3.5714285714285716</v>
      </c>
      <c r="AO9" s="20">
        <v>6</v>
      </c>
      <c r="AP9" s="21">
        <v>1</v>
      </c>
      <c r="AQ9" s="139">
        <f t="shared" si="13"/>
        <v>6</v>
      </c>
      <c r="AR9" s="20">
        <v>0</v>
      </c>
      <c r="AS9" s="21">
        <v>0</v>
      </c>
      <c r="AT9" s="139" t="str">
        <f t="shared" si="14"/>
        <v>-</v>
      </c>
      <c r="AU9" s="20">
        <v>0</v>
      </c>
      <c r="AV9" s="21">
        <v>0</v>
      </c>
      <c r="AW9" s="139" t="str">
        <f t="shared" si="15"/>
        <v>-</v>
      </c>
      <c r="AX9" s="20">
        <v>0</v>
      </c>
      <c r="AY9" s="21">
        <v>0</v>
      </c>
      <c r="AZ9" s="139" t="str">
        <f t="shared" si="36"/>
        <v>-</v>
      </c>
      <c r="BA9" s="20">
        <v>0</v>
      </c>
      <c r="BB9" s="21">
        <v>0</v>
      </c>
      <c r="BC9" s="139" t="str">
        <f>IF(BB9=0,"-",BA9/BB9)</f>
        <v>-</v>
      </c>
      <c r="BD9" s="20">
        <v>0</v>
      </c>
      <c r="BE9" s="21">
        <v>0</v>
      </c>
      <c r="BF9" s="139" t="str">
        <f t="shared" si="33"/>
        <v>-</v>
      </c>
      <c r="BG9" s="20">
        <v>9</v>
      </c>
      <c r="BH9" s="21">
        <v>3</v>
      </c>
      <c r="BI9" s="139">
        <f t="shared" si="34"/>
        <v>3</v>
      </c>
      <c r="BJ9" s="20">
        <v>0</v>
      </c>
      <c r="BK9" s="21">
        <v>0</v>
      </c>
      <c r="BL9" s="139" t="str">
        <f t="shared" si="20"/>
        <v>-</v>
      </c>
      <c r="BM9" s="252">
        <v>0</v>
      </c>
      <c r="BN9" s="253">
        <v>0</v>
      </c>
      <c r="BO9" s="276" t="str">
        <f t="shared" si="21"/>
        <v>-</v>
      </c>
      <c r="BP9" s="252">
        <v>0</v>
      </c>
      <c r="BQ9" s="253">
        <v>0</v>
      </c>
      <c r="BR9" s="276" t="str">
        <f t="shared" si="22"/>
        <v>-</v>
      </c>
      <c r="BS9" s="302">
        <v>0</v>
      </c>
      <c r="BT9" s="303">
        <v>0</v>
      </c>
      <c r="BU9" s="276" t="str">
        <f t="shared" si="23"/>
        <v>-</v>
      </c>
      <c r="BV9" s="257">
        <v>13</v>
      </c>
      <c r="BW9" s="253">
        <v>2</v>
      </c>
      <c r="BX9" s="276">
        <f t="shared" si="24"/>
        <v>6.5</v>
      </c>
      <c r="BY9" s="117">
        <f t="shared" si="25"/>
        <v>369</v>
      </c>
      <c r="BZ9" s="117">
        <f t="shared" si="26"/>
        <v>62</v>
      </c>
      <c r="CA9" s="147">
        <f t="shared" si="27"/>
        <v>5.9516129032258061</v>
      </c>
    </row>
    <row r="10" spans="1:79" ht="15" thickBot="1" x14ac:dyDescent="0.35">
      <c r="A10" s="294">
        <v>45967</v>
      </c>
      <c r="B10" s="20">
        <v>36</v>
      </c>
      <c r="C10" s="21">
        <v>4</v>
      </c>
      <c r="D10" s="139">
        <f t="shared" si="0"/>
        <v>9</v>
      </c>
      <c r="E10" s="125">
        <v>0</v>
      </c>
      <c r="F10" s="126">
        <v>0</v>
      </c>
      <c r="G10" s="139" t="str">
        <f t="shared" si="1"/>
        <v>-</v>
      </c>
      <c r="H10" s="125">
        <v>0</v>
      </c>
      <c r="I10" s="126">
        <v>0</v>
      </c>
      <c r="J10" s="139" t="str">
        <f t="shared" si="2"/>
        <v>-</v>
      </c>
      <c r="K10" s="20">
        <v>0</v>
      </c>
      <c r="L10" s="21">
        <v>0</v>
      </c>
      <c r="M10" s="139" t="str">
        <f t="shared" si="3"/>
        <v>-</v>
      </c>
      <c r="N10" s="20">
        <v>0</v>
      </c>
      <c r="O10" s="21">
        <v>0</v>
      </c>
      <c r="P10" s="139" t="str">
        <f t="shared" si="4"/>
        <v>-</v>
      </c>
      <c r="Q10" s="20">
        <v>0</v>
      </c>
      <c r="R10" s="21">
        <v>0</v>
      </c>
      <c r="S10" s="139" t="str">
        <f t="shared" si="5"/>
        <v>-</v>
      </c>
      <c r="T10" s="20">
        <v>38</v>
      </c>
      <c r="U10" s="21">
        <v>7</v>
      </c>
      <c r="V10" s="139">
        <f t="shared" si="6"/>
        <v>5.4285714285714288</v>
      </c>
      <c r="W10" s="20">
        <v>24</v>
      </c>
      <c r="X10" s="21">
        <v>4</v>
      </c>
      <c r="Y10" s="139">
        <f t="shared" si="7"/>
        <v>6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10"/>
        <v>-</v>
      </c>
      <c r="AI10" s="20">
        <v>20</v>
      </c>
      <c r="AJ10" s="21">
        <v>5</v>
      </c>
      <c r="AK10" s="139">
        <f t="shared" si="11"/>
        <v>4</v>
      </c>
      <c r="AL10" s="20">
        <v>2</v>
      </c>
      <c r="AM10" s="21">
        <v>2</v>
      </c>
      <c r="AN10" s="139">
        <f t="shared" si="12"/>
        <v>1</v>
      </c>
      <c r="AO10" s="20">
        <v>0</v>
      </c>
      <c r="AP10" s="21">
        <v>0</v>
      </c>
      <c r="AQ10" s="139" t="str">
        <f t="shared" si="13"/>
        <v>-</v>
      </c>
      <c r="AR10" s="20">
        <v>6</v>
      </c>
      <c r="AS10" s="21">
        <v>1</v>
      </c>
      <c r="AT10" s="139">
        <f t="shared" si="14"/>
        <v>6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36"/>
        <v>-</v>
      </c>
      <c r="BA10" s="20">
        <v>2</v>
      </c>
      <c r="BB10" s="21">
        <v>2</v>
      </c>
      <c r="BC10" s="139">
        <f t="shared" si="37"/>
        <v>1</v>
      </c>
      <c r="BD10" s="20">
        <v>0</v>
      </c>
      <c r="BE10" s="21">
        <v>0</v>
      </c>
      <c r="BF10" s="139" t="str">
        <f t="shared" si="33"/>
        <v>-</v>
      </c>
      <c r="BG10" s="20">
        <v>0</v>
      </c>
      <c r="BH10" s="21">
        <v>0</v>
      </c>
      <c r="BI10" s="139" t="str">
        <f t="shared" si="34"/>
        <v>-</v>
      </c>
      <c r="BJ10" s="20">
        <v>0</v>
      </c>
      <c r="BK10" s="21">
        <v>0</v>
      </c>
      <c r="BL10" s="139" t="str">
        <f t="shared" si="20"/>
        <v>-</v>
      </c>
      <c r="BM10" s="252">
        <v>5</v>
      </c>
      <c r="BN10" s="253">
        <v>1</v>
      </c>
      <c r="BO10" s="139">
        <f t="shared" si="21"/>
        <v>5</v>
      </c>
      <c r="BP10" s="252">
        <v>0</v>
      </c>
      <c r="BQ10" s="253">
        <v>0</v>
      </c>
      <c r="BR10" s="139" t="str">
        <f t="shared" si="22"/>
        <v>-</v>
      </c>
      <c r="BS10" s="302">
        <v>0</v>
      </c>
      <c r="BT10" s="303">
        <v>0</v>
      </c>
      <c r="BU10" s="139" t="str">
        <f t="shared" si="23"/>
        <v>-</v>
      </c>
      <c r="BV10" s="257">
        <v>7</v>
      </c>
      <c r="BW10" s="253">
        <v>1</v>
      </c>
      <c r="BX10" s="139">
        <f t="shared" si="24"/>
        <v>7</v>
      </c>
      <c r="BY10" s="117">
        <f t="shared" si="25"/>
        <v>140</v>
      </c>
      <c r="BZ10" s="117">
        <f t="shared" si="26"/>
        <v>27</v>
      </c>
      <c r="CA10" s="147">
        <f t="shared" si="27"/>
        <v>5.1851851851851851</v>
      </c>
    </row>
    <row r="11" spans="1:79" ht="15" thickBot="1" x14ac:dyDescent="0.35">
      <c r="A11" s="294">
        <v>45968</v>
      </c>
      <c r="B11" s="20">
        <v>75</v>
      </c>
      <c r="C11" s="21">
        <v>8</v>
      </c>
      <c r="D11" s="139">
        <f t="shared" si="0"/>
        <v>9.375</v>
      </c>
      <c r="E11" s="20">
        <v>0</v>
      </c>
      <c r="F11" s="21">
        <v>0</v>
      </c>
      <c r="G11" s="139" t="str">
        <f t="shared" si="1"/>
        <v>-</v>
      </c>
      <c r="H11" s="20">
        <v>0</v>
      </c>
      <c r="I11" s="21">
        <v>0</v>
      </c>
      <c r="J11" s="139" t="str">
        <f t="shared" si="2"/>
        <v>-</v>
      </c>
      <c r="K11" s="20">
        <v>0</v>
      </c>
      <c r="L11" s="21">
        <v>0</v>
      </c>
      <c r="M11" s="139" t="str">
        <f t="shared" si="3"/>
        <v>-</v>
      </c>
      <c r="N11" s="125">
        <v>0</v>
      </c>
      <c r="O11" s="126">
        <v>0</v>
      </c>
      <c r="P11" s="139" t="str">
        <f t="shared" si="4"/>
        <v>-</v>
      </c>
      <c r="Q11" s="125">
        <v>0</v>
      </c>
      <c r="R11" s="126">
        <v>0</v>
      </c>
      <c r="S11" s="139" t="str">
        <f t="shared" si="5"/>
        <v>-</v>
      </c>
      <c r="T11" s="20">
        <v>61</v>
      </c>
      <c r="U11" s="21">
        <v>10</v>
      </c>
      <c r="V11" s="139">
        <f t="shared" si="6"/>
        <v>6.1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0</v>
      </c>
      <c r="AD11" s="21">
        <v>0</v>
      </c>
      <c r="AE11" s="139" t="str">
        <f t="shared" si="9"/>
        <v>-</v>
      </c>
      <c r="AF11" s="20">
        <v>0</v>
      </c>
      <c r="AG11" s="21">
        <v>0</v>
      </c>
      <c r="AH11" s="139" t="str">
        <f t="shared" si="10"/>
        <v>-</v>
      </c>
      <c r="AI11" s="20">
        <v>20</v>
      </c>
      <c r="AJ11" s="21">
        <v>5</v>
      </c>
      <c r="AK11" s="139">
        <f t="shared" si="11"/>
        <v>4</v>
      </c>
      <c r="AL11" s="20">
        <v>0</v>
      </c>
      <c r="AM11" s="21">
        <v>0</v>
      </c>
      <c r="AN11" s="139" t="str">
        <f t="shared" si="12"/>
        <v>-</v>
      </c>
      <c r="AO11" s="20">
        <v>0</v>
      </c>
      <c r="AP11" s="21">
        <v>0</v>
      </c>
      <c r="AQ11" s="139" t="str">
        <f t="shared" si="13"/>
        <v>-</v>
      </c>
      <c r="AR11" s="20">
        <v>30</v>
      </c>
      <c r="AS11" s="21">
        <v>5</v>
      </c>
      <c r="AT11" s="139">
        <f t="shared" si="14"/>
        <v>6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36"/>
        <v>-</v>
      </c>
      <c r="BA11" s="20">
        <v>9</v>
      </c>
      <c r="BB11" s="21">
        <v>3</v>
      </c>
      <c r="BC11" s="139">
        <f t="shared" si="37"/>
        <v>3</v>
      </c>
      <c r="BD11" s="20">
        <v>0</v>
      </c>
      <c r="BE11" s="21">
        <v>0</v>
      </c>
      <c r="BF11" s="139" t="str">
        <f t="shared" si="33"/>
        <v>-</v>
      </c>
      <c r="BG11" s="20">
        <v>20</v>
      </c>
      <c r="BH11" s="21">
        <v>3</v>
      </c>
      <c r="BI11" s="139">
        <f t="shared" si="34"/>
        <v>6.666666666666667</v>
      </c>
      <c r="BJ11" s="20">
        <v>0</v>
      </c>
      <c r="BK11" s="21">
        <v>0</v>
      </c>
      <c r="BL11" s="139" t="str">
        <f t="shared" si="20"/>
        <v>-</v>
      </c>
      <c r="BM11" s="252">
        <v>6</v>
      </c>
      <c r="BN11" s="253">
        <v>1</v>
      </c>
      <c r="BO11" s="139">
        <f t="shared" si="21"/>
        <v>6</v>
      </c>
      <c r="BP11" s="252">
        <v>0</v>
      </c>
      <c r="BQ11" s="253">
        <v>0</v>
      </c>
      <c r="BR11" s="139" t="str">
        <f t="shared" si="22"/>
        <v>-</v>
      </c>
      <c r="BS11" s="302">
        <v>0</v>
      </c>
      <c r="BT11" s="303">
        <v>0</v>
      </c>
      <c r="BU11" s="139" t="str">
        <f t="shared" si="23"/>
        <v>-</v>
      </c>
      <c r="BV11" s="257">
        <v>0</v>
      </c>
      <c r="BW11" s="253">
        <v>0</v>
      </c>
      <c r="BX11" s="139" t="str">
        <f t="shared" si="24"/>
        <v>-</v>
      </c>
      <c r="BY11" s="117">
        <f t="shared" si="25"/>
        <v>221</v>
      </c>
      <c r="BZ11" s="117">
        <f t="shared" si="26"/>
        <v>35</v>
      </c>
      <c r="CA11" s="147">
        <f t="shared" si="27"/>
        <v>6.3142857142857141</v>
      </c>
    </row>
    <row r="12" spans="1:79" ht="16.2" customHeight="1" thickBot="1" x14ac:dyDescent="0.35">
      <c r="A12" s="294">
        <v>45969</v>
      </c>
      <c r="B12" s="20">
        <v>48</v>
      </c>
      <c r="C12" s="21">
        <v>5</v>
      </c>
      <c r="D12" s="139">
        <f t="shared" si="0"/>
        <v>9.6</v>
      </c>
      <c r="E12" s="20">
        <v>0</v>
      </c>
      <c r="F12" s="21">
        <v>0</v>
      </c>
      <c r="G12" s="139" t="str">
        <f t="shared" si="1"/>
        <v>-</v>
      </c>
      <c r="H12" s="20">
        <v>0</v>
      </c>
      <c r="I12" s="21">
        <v>0</v>
      </c>
      <c r="J12" s="139" t="str">
        <f t="shared" si="2"/>
        <v>-</v>
      </c>
      <c r="K12" s="20">
        <v>0</v>
      </c>
      <c r="L12" s="21">
        <v>0</v>
      </c>
      <c r="M12" s="139" t="str">
        <f t="shared" si="3"/>
        <v>-</v>
      </c>
      <c r="N12" s="125">
        <v>0</v>
      </c>
      <c r="O12" s="126">
        <v>0</v>
      </c>
      <c r="P12" s="139" t="str">
        <f t="shared" si="4"/>
        <v>-</v>
      </c>
      <c r="Q12" s="125">
        <v>0</v>
      </c>
      <c r="R12" s="126">
        <v>0</v>
      </c>
      <c r="S12" s="139" t="str">
        <f t="shared" si="5"/>
        <v>-</v>
      </c>
      <c r="T12" s="23">
        <v>36</v>
      </c>
      <c r="U12" s="21">
        <v>6</v>
      </c>
      <c r="V12" s="139">
        <f t="shared" si="6"/>
        <v>6</v>
      </c>
      <c r="W12" s="20">
        <v>0</v>
      </c>
      <c r="X12" s="21">
        <v>0</v>
      </c>
      <c r="Y12" s="139" t="str">
        <f t="shared" ref="Y12:Y13" si="38">IF(X12=0,"-",W12/X12)</f>
        <v>-</v>
      </c>
      <c r="Z12" s="20">
        <v>0</v>
      </c>
      <c r="AA12" s="21">
        <v>0</v>
      </c>
      <c r="AB12" s="139" t="str">
        <f t="shared" ref="AB12:AB13" si="39">IF(AA12=0,"-",Z12/AA12)</f>
        <v>-</v>
      </c>
      <c r="AC12" s="20">
        <v>0</v>
      </c>
      <c r="AD12" s="21">
        <v>0</v>
      </c>
      <c r="AE12" s="139" t="str">
        <f t="shared" ref="AE12:AE13" si="40">IF(AD12=0,"-",AC12/AD12)</f>
        <v>-</v>
      </c>
      <c r="AF12" s="20">
        <v>0</v>
      </c>
      <c r="AG12" s="21">
        <v>0</v>
      </c>
      <c r="AH12" s="139" t="str">
        <f t="shared" si="10"/>
        <v>-</v>
      </c>
      <c r="AI12" s="20">
        <v>0</v>
      </c>
      <c r="AJ12" s="21">
        <v>0</v>
      </c>
      <c r="AK12" s="139" t="str">
        <f t="shared" si="11"/>
        <v>-</v>
      </c>
      <c r="AL12" s="23">
        <v>18</v>
      </c>
      <c r="AM12" s="21">
        <v>3</v>
      </c>
      <c r="AN12" s="139">
        <f t="shared" si="12"/>
        <v>6</v>
      </c>
      <c r="AO12" s="20">
        <v>0</v>
      </c>
      <c r="AP12" s="21">
        <v>0</v>
      </c>
      <c r="AQ12" s="139" t="str">
        <f t="shared" ref="AQ12:AQ13" si="41">IF(AP12=0,"-",AO12/AP12)</f>
        <v>-</v>
      </c>
      <c r="AR12" s="23">
        <v>18</v>
      </c>
      <c r="AS12" s="21">
        <v>3</v>
      </c>
      <c r="AT12" s="139">
        <f t="shared" si="14"/>
        <v>6</v>
      </c>
      <c r="AU12" s="20">
        <v>0</v>
      </c>
      <c r="AV12" s="21">
        <v>0</v>
      </c>
      <c r="AW12" s="139" t="str">
        <f t="shared" ref="AW12:AW13" si="42">IF(AV12=0,"-",AU12/AV12)</f>
        <v>-</v>
      </c>
      <c r="AX12" s="20">
        <v>0</v>
      </c>
      <c r="AY12" s="21">
        <v>0</v>
      </c>
      <c r="AZ12" s="139" t="str">
        <f t="shared" si="36"/>
        <v>-</v>
      </c>
      <c r="BA12" s="20">
        <v>0</v>
      </c>
      <c r="BB12" s="21">
        <v>0</v>
      </c>
      <c r="BC12" s="139" t="str">
        <f t="shared" si="37"/>
        <v>-</v>
      </c>
      <c r="BD12" s="20">
        <v>0</v>
      </c>
      <c r="BE12" s="21">
        <v>0</v>
      </c>
      <c r="BF12" s="139" t="str">
        <f t="shared" si="33"/>
        <v>-</v>
      </c>
      <c r="BG12" s="20">
        <v>0</v>
      </c>
      <c r="BH12" s="21">
        <v>0</v>
      </c>
      <c r="BI12" s="139" t="str">
        <f t="shared" si="34"/>
        <v>-</v>
      </c>
      <c r="BJ12" s="20">
        <v>0</v>
      </c>
      <c r="BK12" s="21">
        <v>0</v>
      </c>
      <c r="BL12" s="139" t="str">
        <f t="shared" si="20"/>
        <v>-</v>
      </c>
      <c r="BM12" s="252">
        <v>14</v>
      </c>
      <c r="BN12" s="253">
        <v>2</v>
      </c>
      <c r="BO12" s="139">
        <f t="shared" si="21"/>
        <v>7</v>
      </c>
      <c r="BP12" s="252">
        <v>0</v>
      </c>
      <c r="BQ12" s="253">
        <v>0</v>
      </c>
      <c r="BR12" s="139" t="str">
        <f t="shared" si="22"/>
        <v>-</v>
      </c>
      <c r="BS12" s="302">
        <v>0</v>
      </c>
      <c r="BT12" s="303">
        <v>0</v>
      </c>
      <c r="BU12" s="139" t="str">
        <f t="shared" si="23"/>
        <v>-</v>
      </c>
      <c r="BV12" s="257">
        <v>0</v>
      </c>
      <c r="BW12" s="253">
        <v>0</v>
      </c>
      <c r="BX12" s="139" t="str">
        <f t="shared" si="24"/>
        <v>-</v>
      </c>
      <c r="BY12" s="117">
        <f t="shared" si="25"/>
        <v>134</v>
      </c>
      <c r="BZ12" s="117">
        <f t="shared" si="26"/>
        <v>19</v>
      </c>
      <c r="CA12" s="147">
        <f t="shared" si="27"/>
        <v>7.0526315789473681</v>
      </c>
    </row>
    <row r="13" spans="1:79" ht="15" thickBot="1" x14ac:dyDescent="0.35">
      <c r="A13" s="294">
        <v>45970</v>
      </c>
      <c r="B13" s="20">
        <v>125</v>
      </c>
      <c r="C13" s="21">
        <v>15</v>
      </c>
      <c r="D13" s="139">
        <f t="shared" si="0"/>
        <v>8.3333333333333339</v>
      </c>
      <c r="E13" s="20">
        <v>0</v>
      </c>
      <c r="F13" s="21">
        <v>0</v>
      </c>
      <c r="G13" s="139" t="str">
        <f t="shared" ref="G13" si="43">IF(F13=0,"-",E13/F13)</f>
        <v>-</v>
      </c>
      <c r="H13" s="20">
        <v>0</v>
      </c>
      <c r="I13" s="21">
        <v>0</v>
      </c>
      <c r="J13" s="139" t="str">
        <f t="shared" ref="J13:J14" si="44">IF(I13=0,"-",H13/I13)</f>
        <v>-</v>
      </c>
      <c r="K13" s="20">
        <v>43</v>
      </c>
      <c r="L13" s="21">
        <v>5</v>
      </c>
      <c r="M13" s="139">
        <f t="shared" ref="M13" si="45">IF(L13=0,"-",K13/L13)</f>
        <v>8.6</v>
      </c>
      <c r="N13" s="125">
        <v>0</v>
      </c>
      <c r="O13" s="126">
        <v>0</v>
      </c>
      <c r="P13" s="139" t="str">
        <f t="shared" ref="P13" si="46">IF(O13=0,"-",N13/O13)</f>
        <v>-</v>
      </c>
      <c r="Q13" s="125">
        <v>0</v>
      </c>
      <c r="R13" s="126">
        <v>0</v>
      </c>
      <c r="S13" s="139" t="str">
        <f t="shared" ref="S13" si="47">IF(R13=0,"-",Q13/R13)</f>
        <v>-</v>
      </c>
      <c r="T13" s="125">
        <v>0</v>
      </c>
      <c r="U13" s="126">
        <v>0</v>
      </c>
      <c r="V13" s="139" t="str">
        <f t="shared" si="6"/>
        <v>-</v>
      </c>
      <c r="W13" s="125">
        <v>0</v>
      </c>
      <c r="X13" s="126">
        <v>0</v>
      </c>
      <c r="Y13" s="139" t="str">
        <f t="shared" si="38"/>
        <v>-</v>
      </c>
      <c r="Z13" s="125">
        <v>0</v>
      </c>
      <c r="AA13" s="126">
        <v>0</v>
      </c>
      <c r="AB13" s="139" t="str">
        <f t="shared" si="39"/>
        <v>-</v>
      </c>
      <c r="AC13" s="125">
        <v>0</v>
      </c>
      <c r="AD13" s="126">
        <v>0</v>
      </c>
      <c r="AE13" s="139" t="str">
        <f t="shared" si="40"/>
        <v>-</v>
      </c>
      <c r="AF13" s="125">
        <v>0</v>
      </c>
      <c r="AG13" s="126">
        <v>0</v>
      </c>
      <c r="AH13" s="139" t="str">
        <f t="shared" si="10"/>
        <v>-</v>
      </c>
      <c r="AI13" s="125">
        <v>0</v>
      </c>
      <c r="AJ13" s="126">
        <v>0</v>
      </c>
      <c r="AK13" s="139" t="str">
        <f t="shared" si="11"/>
        <v>-</v>
      </c>
      <c r="AL13" s="125">
        <v>0</v>
      </c>
      <c r="AM13" s="126">
        <v>0</v>
      </c>
      <c r="AN13" s="139" t="str">
        <f t="shared" si="12"/>
        <v>-</v>
      </c>
      <c r="AO13" s="125">
        <v>0</v>
      </c>
      <c r="AP13" s="126">
        <v>0</v>
      </c>
      <c r="AQ13" s="139" t="str">
        <f t="shared" si="41"/>
        <v>-</v>
      </c>
      <c r="AR13" s="125">
        <v>0</v>
      </c>
      <c r="AS13" s="126">
        <v>0</v>
      </c>
      <c r="AT13" s="139" t="str">
        <f t="shared" si="14"/>
        <v>-</v>
      </c>
      <c r="AU13" s="20">
        <v>0</v>
      </c>
      <c r="AV13" s="21">
        <v>0</v>
      </c>
      <c r="AW13" s="139" t="str">
        <f t="shared" si="42"/>
        <v>-</v>
      </c>
      <c r="AX13" s="20">
        <v>0</v>
      </c>
      <c r="AY13" s="21">
        <v>0</v>
      </c>
      <c r="AZ13" s="139" t="str">
        <f t="shared" si="36"/>
        <v>-</v>
      </c>
      <c r="BA13" s="20">
        <v>0</v>
      </c>
      <c r="BB13" s="21">
        <v>0</v>
      </c>
      <c r="BC13" s="139" t="str">
        <f t="shared" si="37"/>
        <v>-</v>
      </c>
      <c r="BD13" s="20">
        <v>0</v>
      </c>
      <c r="BE13" s="21">
        <v>0</v>
      </c>
      <c r="BF13" s="139" t="str">
        <f t="shared" si="33"/>
        <v>-</v>
      </c>
      <c r="BG13" s="20">
        <v>0</v>
      </c>
      <c r="BH13" s="21">
        <v>0</v>
      </c>
      <c r="BI13" s="139" t="str">
        <f t="shared" si="34"/>
        <v>-</v>
      </c>
      <c r="BJ13" s="20">
        <v>0</v>
      </c>
      <c r="BK13" s="21">
        <v>0</v>
      </c>
      <c r="BL13" s="139" t="str">
        <f t="shared" si="20"/>
        <v>-</v>
      </c>
      <c r="BM13" s="252">
        <v>25</v>
      </c>
      <c r="BN13" s="253">
        <v>4</v>
      </c>
      <c r="BO13" s="276">
        <f t="shared" si="21"/>
        <v>6.25</v>
      </c>
      <c r="BP13" s="252">
        <v>0</v>
      </c>
      <c r="BQ13" s="253">
        <v>0</v>
      </c>
      <c r="BR13" s="276" t="str">
        <f t="shared" si="22"/>
        <v>-</v>
      </c>
      <c r="BS13" s="302">
        <v>0</v>
      </c>
      <c r="BT13" s="303">
        <v>0</v>
      </c>
      <c r="BU13" s="276" t="str">
        <f t="shared" si="23"/>
        <v>-</v>
      </c>
      <c r="BV13" s="257">
        <v>0</v>
      </c>
      <c r="BW13" s="253">
        <v>0</v>
      </c>
      <c r="BX13" s="139" t="str">
        <f t="shared" si="24"/>
        <v>-</v>
      </c>
      <c r="BY13" s="117">
        <f t="shared" si="25"/>
        <v>193</v>
      </c>
      <c r="BZ13" s="117">
        <f t="shared" si="26"/>
        <v>24</v>
      </c>
      <c r="CA13" s="147">
        <f t="shared" si="27"/>
        <v>8.0416666666666661</v>
      </c>
    </row>
    <row r="14" spans="1:79" ht="15" thickBot="1" x14ac:dyDescent="0.35">
      <c r="A14" s="294">
        <v>45971</v>
      </c>
      <c r="B14" s="20">
        <v>17</v>
      </c>
      <c r="C14" s="21">
        <v>2</v>
      </c>
      <c r="D14" s="139">
        <f t="shared" si="0"/>
        <v>8.5</v>
      </c>
      <c r="E14" s="20">
        <v>8</v>
      </c>
      <c r="F14" s="21">
        <v>1</v>
      </c>
      <c r="G14" s="139">
        <f t="shared" si="1"/>
        <v>8</v>
      </c>
      <c r="H14" s="20">
        <v>0</v>
      </c>
      <c r="I14" s="21">
        <v>0</v>
      </c>
      <c r="J14" s="139" t="str">
        <f t="shared" si="44"/>
        <v>-</v>
      </c>
      <c r="K14" s="20">
        <v>9</v>
      </c>
      <c r="L14" s="21">
        <v>1</v>
      </c>
      <c r="M14" s="139">
        <f t="shared" si="3"/>
        <v>9</v>
      </c>
      <c r="N14" s="125">
        <v>0</v>
      </c>
      <c r="O14" s="126">
        <v>0</v>
      </c>
      <c r="P14" s="139" t="str">
        <f t="shared" ref="P14" si="48">IF(O14=0,"-",N14/O14)</f>
        <v>-</v>
      </c>
      <c r="Q14" s="125">
        <v>0</v>
      </c>
      <c r="R14" s="126">
        <v>0</v>
      </c>
      <c r="S14" s="139" t="str">
        <f t="shared" ref="S14" si="49">IF(R14=0,"-",Q14/R14)</f>
        <v>-</v>
      </c>
      <c r="T14" s="20">
        <v>53</v>
      </c>
      <c r="U14" s="21">
        <v>9</v>
      </c>
      <c r="V14" s="139">
        <f t="shared" si="6"/>
        <v>5.8888888888888893</v>
      </c>
      <c r="W14" s="125">
        <v>0</v>
      </c>
      <c r="X14" s="126">
        <v>0</v>
      </c>
      <c r="Y14" s="139" t="str">
        <f t="shared" ref="Y14" si="50">IF(X14=0,"-",W14/X14)</f>
        <v>-</v>
      </c>
      <c r="Z14" s="125">
        <v>0</v>
      </c>
      <c r="AA14" s="126">
        <v>0</v>
      </c>
      <c r="AB14" s="139" t="str">
        <f t="shared" ref="AB14" si="51">IF(AA14=0,"-",Z14/AA14)</f>
        <v>-</v>
      </c>
      <c r="AC14" s="125">
        <v>0</v>
      </c>
      <c r="AD14" s="126">
        <v>0</v>
      </c>
      <c r="AE14" s="139" t="str">
        <f t="shared" ref="AE14" si="52">IF(AD14=0,"-",AC14/AD14)</f>
        <v>-</v>
      </c>
      <c r="AF14" s="20">
        <v>100</v>
      </c>
      <c r="AG14" s="21">
        <v>17</v>
      </c>
      <c r="AH14" s="139">
        <f t="shared" si="10"/>
        <v>5.882352941176471</v>
      </c>
      <c r="AI14" s="125">
        <v>20</v>
      </c>
      <c r="AJ14" s="126">
        <v>4</v>
      </c>
      <c r="AK14" s="139">
        <f t="shared" ref="AK14" si="53">IF(AJ14=0,"-",AI14/AJ14)</f>
        <v>5</v>
      </c>
      <c r="AL14" s="125">
        <v>0</v>
      </c>
      <c r="AM14" s="126">
        <v>0</v>
      </c>
      <c r="AN14" s="139" t="str">
        <f t="shared" ref="AN14" si="54">IF(AM14=0,"-",AL14/AM14)</f>
        <v>-</v>
      </c>
      <c r="AO14" s="125">
        <v>0</v>
      </c>
      <c r="AP14" s="126">
        <v>0</v>
      </c>
      <c r="AQ14" s="139" t="str">
        <f t="shared" ref="AQ14" si="55">IF(AP14=0,"-",AO14/AP14)</f>
        <v>-</v>
      </c>
      <c r="AR14" s="20">
        <v>12</v>
      </c>
      <c r="AS14" s="21">
        <v>2</v>
      </c>
      <c r="AT14" s="139">
        <f t="shared" si="14"/>
        <v>6</v>
      </c>
      <c r="AU14" s="20">
        <v>0</v>
      </c>
      <c r="AV14" s="21">
        <v>0</v>
      </c>
      <c r="AW14" s="139" t="str">
        <f t="shared" ref="AW14" si="56">IF(AV14=0,"-",AU14/AV14)</f>
        <v>-</v>
      </c>
      <c r="AX14" s="20">
        <v>0</v>
      </c>
      <c r="AY14" s="21">
        <v>0</v>
      </c>
      <c r="AZ14" s="139" t="str">
        <f t="shared" ref="AZ14" si="57">IF(AY14=0,"-",AX14/AY14)</f>
        <v>-</v>
      </c>
      <c r="BA14" s="20">
        <v>0</v>
      </c>
      <c r="BB14" s="21">
        <v>0</v>
      </c>
      <c r="BC14" s="139" t="str">
        <f t="shared" ref="BC14" si="58">IF(BB14=0,"-",BA14/BB14)</f>
        <v>-</v>
      </c>
      <c r="BD14" s="20">
        <v>0</v>
      </c>
      <c r="BE14" s="21">
        <v>0</v>
      </c>
      <c r="BF14" s="139" t="str">
        <f t="shared" si="33"/>
        <v>-</v>
      </c>
      <c r="BG14" s="20">
        <v>10</v>
      </c>
      <c r="BH14" s="21">
        <v>2</v>
      </c>
      <c r="BI14" s="139">
        <f t="shared" si="34"/>
        <v>5</v>
      </c>
      <c r="BJ14" s="20">
        <v>0</v>
      </c>
      <c r="BK14" s="21">
        <v>0</v>
      </c>
      <c r="BL14" s="139" t="str">
        <f t="shared" si="20"/>
        <v>-</v>
      </c>
      <c r="BM14" s="252">
        <v>19</v>
      </c>
      <c r="BN14" s="253">
        <v>3</v>
      </c>
      <c r="BO14" s="276">
        <f t="shared" si="21"/>
        <v>6.333333333333333</v>
      </c>
      <c r="BP14" s="252">
        <v>0</v>
      </c>
      <c r="BQ14" s="253">
        <v>0</v>
      </c>
      <c r="BR14" s="276" t="str">
        <f t="shared" si="22"/>
        <v>-</v>
      </c>
      <c r="BS14" s="302">
        <v>0</v>
      </c>
      <c r="BT14" s="303">
        <v>0</v>
      </c>
      <c r="BU14" s="276" t="str">
        <f t="shared" si="23"/>
        <v>-</v>
      </c>
      <c r="BV14" s="257">
        <v>0</v>
      </c>
      <c r="BW14" s="253">
        <v>0</v>
      </c>
      <c r="BX14" s="276" t="str">
        <f t="shared" si="24"/>
        <v>-</v>
      </c>
      <c r="BY14" s="117">
        <f t="shared" si="25"/>
        <v>248</v>
      </c>
      <c r="BZ14" s="117">
        <f t="shared" si="26"/>
        <v>41</v>
      </c>
      <c r="CA14" s="147">
        <f t="shared" si="27"/>
        <v>6.0487804878048781</v>
      </c>
    </row>
    <row r="15" spans="1:79" ht="15" thickBot="1" x14ac:dyDescent="0.35">
      <c r="A15" s="294">
        <v>45972</v>
      </c>
      <c r="B15" s="20">
        <v>78</v>
      </c>
      <c r="C15" s="21">
        <v>8</v>
      </c>
      <c r="D15" s="139">
        <f t="shared" si="0"/>
        <v>9.75</v>
      </c>
      <c r="E15" s="20">
        <v>0</v>
      </c>
      <c r="F15" s="21">
        <v>0</v>
      </c>
      <c r="G15" s="139" t="str">
        <f t="shared" si="1"/>
        <v>-</v>
      </c>
      <c r="H15" s="20">
        <v>0</v>
      </c>
      <c r="I15" s="21">
        <v>0</v>
      </c>
      <c r="J15" s="139" t="str">
        <f t="shared" si="2"/>
        <v>-</v>
      </c>
      <c r="K15" s="20">
        <v>26</v>
      </c>
      <c r="L15" s="21">
        <v>3</v>
      </c>
      <c r="M15" s="139">
        <f t="shared" si="3"/>
        <v>8.6666666666666661</v>
      </c>
      <c r="N15" s="125">
        <v>0</v>
      </c>
      <c r="O15" s="126">
        <v>0</v>
      </c>
      <c r="P15" s="139" t="str">
        <f t="shared" si="4"/>
        <v>-</v>
      </c>
      <c r="Q15" s="125">
        <v>0</v>
      </c>
      <c r="R15" s="126">
        <v>0</v>
      </c>
      <c r="S15" s="139" t="str">
        <f t="shared" si="5"/>
        <v>-</v>
      </c>
      <c r="T15" s="20">
        <v>68</v>
      </c>
      <c r="U15" s="21">
        <v>12</v>
      </c>
      <c r="V15" s="139">
        <f t="shared" si="6"/>
        <v>5.666666666666667</v>
      </c>
      <c r="W15" s="125">
        <v>0</v>
      </c>
      <c r="X15" s="126">
        <v>0</v>
      </c>
      <c r="Y15" s="139" t="str">
        <f t="shared" ref="Y15" si="59">IF(X15=0,"-",W15/X15)</f>
        <v>-</v>
      </c>
      <c r="Z15" s="125">
        <v>0</v>
      </c>
      <c r="AA15" s="126">
        <v>0</v>
      </c>
      <c r="AB15" s="139" t="str">
        <f t="shared" ref="AB15" si="60">IF(AA15=0,"-",Z15/AA15)</f>
        <v>-</v>
      </c>
      <c r="AC15" s="125">
        <v>0</v>
      </c>
      <c r="AD15" s="126">
        <v>0</v>
      </c>
      <c r="AE15" s="139" t="str">
        <f t="shared" ref="AE15" si="61">IF(AD15=0,"-",AC15/AD15)</f>
        <v>-</v>
      </c>
      <c r="AF15" s="20">
        <v>0</v>
      </c>
      <c r="AG15" s="21">
        <v>0</v>
      </c>
      <c r="AH15" s="139" t="str">
        <f t="shared" si="10"/>
        <v>-</v>
      </c>
      <c r="AI15" s="23">
        <v>46</v>
      </c>
      <c r="AJ15" s="21">
        <v>9</v>
      </c>
      <c r="AK15" s="139">
        <f t="shared" si="11"/>
        <v>5.1111111111111107</v>
      </c>
      <c r="AL15" s="23">
        <v>6</v>
      </c>
      <c r="AM15" s="21">
        <v>1</v>
      </c>
      <c r="AN15" s="139">
        <f t="shared" si="12"/>
        <v>6</v>
      </c>
      <c r="AO15" s="125">
        <v>0</v>
      </c>
      <c r="AP15" s="126">
        <v>0</v>
      </c>
      <c r="AQ15" s="139" t="str">
        <f t="shared" ref="AQ15" si="62">IF(AP15=0,"-",AO15/AP15)</f>
        <v>-</v>
      </c>
      <c r="AR15" s="20">
        <v>12</v>
      </c>
      <c r="AS15" s="21">
        <v>2</v>
      </c>
      <c r="AT15" s="139">
        <f t="shared" si="14"/>
        <v>6</v>
      </c>
      <c r="AU15" s="20">
        <v>0</v>
      </c>
      <c r="AV15" s="21">
        <v>0</v>
      </c>
      <c r="AW15" s="139" t="str">
        <f t="shared" ref="AW15" si="63">IF(AV15=0,"-",AU15/AV15)</f>
        <v>-</v>
      </c>
      <c r="AX15" s="20">
        <v>0</v>
      </c>
      <c r="AY15" s="21">
        <v>0</v>
      </c>
      <c r="AZ15" s="139" t="str">
        <f t="shared" ref="AZ15" si="64">IF(AY15=0,"-",AX15/AY15)</f>
        <v>-</v>
      </c>
      <c r="BA15" s="20">
        <v>0</v>
      </c>
      <c r="BB15" s="21">
        <v>0</v>
      </c>
      <c r="BC15" s="139" t="str">
        <f t="shared" ref="BC15" si="65">IF(BB15=0,"-",BA15/BB15)</f>
        <v>-</v>
      </c>
      <c r="BD15" s="20">
        <v>0</v>
      </c>
      <c r="BE15" s="21">
        <v>0</v>
      </c>
      <c r="BF15" s="139" t="str">
        <f t="shared" si="33"/>
        <v>-</v>
      </c>
      <c r="BG15" s="20">
        <v>3</v>
      </c>
      <c r="BH15" s="21">
        <v>1</v>
      </c>
      <c r="BI15" s="139">
        <f t="shared" si="34"/>
        <v>3</v>
      </c>
      <c r="BJ15" s="20">
        <v>0</v>
      </c>
      <c r="BK15" s="21">
        <v>0</v>
      </c>
      <c r="BL15" s="139" t="str">
        <f t="shared" si="20"/>
        <v>-</v>
      </c>
      <c r="BM15" s="252">
        <v>14</v>
      </c>
      <c r="BN15" s="253">
        <v>2</v>
      </c>
      <c r="BO15" s="276">
        <f t="shared" si="21"/>
        <v>7</v>
      </c>
      <c r="BP15" s="252">
        <v>0</v>
      </c>
      <c r="BQ15" s="253">
        <v>0</v>
      </c>
      <c r="BR15" s="276" t="str">
        <f t="shared" si="22"/>
        <v>-</v>
      </c>
      <c r="BS15" s="302">
        <v>0</v>
      </c>
      <c r="BT15" s="303">
        <v>0</v>
      </c>
      <c r="BU15" s="276" t="str">
        <f t="shared" si="23"/>
        <v>-</v>
      </c>
      <c r="BV15" s="257">
        <v>13</v>
      </c>
      <c r="BW15" s="253">
        <v>2</v>
      </c>
      <c r="BX15" s="276">
        <f t="shared" si="24"/>
        <v>6.5</v>
      </c>
      <c r="BY15" s="117">
        <f t="shared" si="25"/>
        <v>266</v>
      </c>
      <c r="BZ15" s="117">
        <f t="shared" si="26"/>
        <v>40</v>
      </c>
      <c r="CA15" s="147">
        <f t="shared" si="27"/>
        <v>6.65</v>
      </c>
    </row>
    <row r="16" spans="1:79" ht="15" thickBot="1" x14ac:dyDescent="0.35">
      <c r="A16" s="294">
        <v>45973</v>
      </c>
      <c r="B16" s="20">
        <v>101</v>
      </c>
      <c r="C16" s="21">
        <v>11</v>
      </c>
      <c r="D16" s="139">
        <f t="shared" si="0"/>
        <v>9.1818181818181817</v>
      </c>
      <c r="E16" s="20">
        <v>0</v>
      </c>
      <c r="F16" s="21">
        <v>0</v>
      </c>
      <c r="G16" s="139" t="str">
        <f t="shared" ref="G16" si="66">IF(F16=0,"-",E16/F16)</f>
        <v>-</v>
      </c>
      <c r="H16" s="20">
        <v>0</v>
      </c>
      <c r="I16" s="21">
        <v>0</v>
      </c>
      <c r="J16" s="139" t="str">
        <f t="shared" si="2"/>
        <v>-</v>
      </c>
      <c r="K16" s="20">
        <v>42</v>
      </c>
      <c r="L16" s="21">
        <v>5</v>
      </c>
      <c r="M16" s="139">
        <f t="shared" si="3"/>
        <v>8.4</v>
      </c>
      <c r="N16" s="125">
        <v>0</v>
      </c>
      <c r="O16" s="126">
        <v>0</v>
      </c>
      <c r="P16" s="139" t="str">
        <f t="shared" ref="P16" si="67">IF(O16=0,"-",N16/O16)</f>
        <v>-</v>
      </c>
      <c r="Q16" s="125">
        <v>0</v>
      </c>
      <c r="R16" s="126">
        <v>0</v>
      </c>
      <c r="S16" s="139" t="str">
        <f t="shared" ref="S16" si="68">IF(R16=0,"-",Q16/R16)</f>
        <v>-</v>
      </c>
      <c r="T16" s="125">
        <v>45</v>
      </c>
      <c r="U16" s="126">
        <v>20</v>
      </c>
      <c r="V16" s="139">
        <f t="shared" si="6"/>
        <v>2.25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8"/>
        <v>-</v>
      </c>
      <c r="AC16" s="20">
        <v>0</v>
      </c>
      <c r="AD16" s="21">
        <v>0</v>
      </c>
      <c r="AE16" s="139" t="str">
        <f t="shared" si="9"/>
        <v>-</v>
      </c>
      <c r="AF16" s="20">
        <v>0</v>
      </c>
      <c r="AG16" s="21">
        <v>0</v>
      </c>
      <c r="AH16" s="139" t="str">
        <f t="shared" si="10"/>
        <v>-</v>
      </c>
      <c r="AI16" s="20">
        <v>20</v>
      </c>
      <c r="AJ16" s="21">
        <v>4</v>
      </c>
      <c r="AK16" s="139">
        <f t="shared" si="11"/>
        <v>5</v>
      </c>
      <c r="AL16" s="20">
        <v>10</v>
      </c>
      <c r="AM16" s="21">
        <v>2</v>
      </c>
      <c r="AN16" s="139">
        <f t="shared" si="12"/>
        <v>5</v>
      </c>
      <c r="AO16" s="20">
        <v>0</v>
      </c>
      <c r="AP16" s="21">
        <v>0</v>
      </c>
      <c r="AQ16" s="139" t="str">
        <f t="shared" si="13"/>
        <v>-</v>
      </c>
      <c r="AR16" s="20">
        <v>12</v>
      </c>
      <c r="AS16" s="21">
        <v>2</v>
      </c>
      <c r="AT16" s="139">
        <f t="shared" si="14"/>
        <v>6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36"/>
        <v>-</v>
      </c>
      <c r="BA16" s="20">
        <v>3</v>
      </c>
      <c r="BB16" s="21">
        <v>3</v>
      </c>
      <c r="BC16" s="139">
        <f t="shared" si="37"/>
        <v>1</v>
      </c>
      <c r="BD16" s="20">
        <v>0</v>
      </c>
      <c r="BE16" s="21">
        <v>0</v>
      </c>
      <c r="BF16" s="139" t="str">
        <f t="shared" si="33"/>
        <v>-</v>
      </c>
      <c r="BG16" s="20">
        <v>10</v>
      </c>
      <c r="BH16" s="21">
        <v>2</v>
      </c>
      <c r="BI16" s="139">
        <f t="shared" si="34"/>
        <v>5</v>
      </c>
      <c r="BJ16" s="20">
        <v>0</v>
      </c>
      <c r="BK16" s="21">
        <v>0</v>
      </c>
      <c r="BL16" s="139" t="str">
        <f t="shared" si="20"/>
        <v>-</v>
      </c>
      <c r="BM16" s="252">
        <v>5</v>
      </c>
      <c r="BN16" s="253">
        <v>1</v>
      </c>
      <c r="BO16" s="276">
        <f t="shared" si="21"/>
        <v>5</v>
      </c>
      <c r="BP16" s="252">
        <v>0</v>
      </c>
      <c r="BQ16" s="253">
        <v>0</v>
      </c>
      <c r="BR16" s="276" t="str">
        <f t="shared" si="22"/>
        <v>-</v>
      </c>
      <c r="BS16" s="302">
        <v>0</v>
      </c>
      <c r="BT16" s="303">
        <v>0</v>
      </c>
      <c r="BU16" s="276" t="str">
        <f t="shared" si="23"/>
        <v>-</v>
      </c>
      <c r="BV16" s="257">
        <v>0</v>
      </c>
      <c r="BW16" s="253">
        <v>0</v>
      </c>
      <c r="BX16" s="276" t="str">
        <f t="shared" si="24"/>
        <v>-</v>
      </c>
      <c r="BY16" s="117">
        <f t="shared" si="25"/>
        <v>248</v>
      </c>
      <c r="BZ16" s="117">
        <f t="shared" si="26"/>
        <v>50</v>
      </c>
      <c r="CA16" s="147">
        <f t="shared" si="27"/>
        <v>4.96</v>
      </c>
    </row>
    <row r="17" spans="1:79" ht="15" thickBot="1" x14ac:dyDescent="0.35">
      <c r="A17" s="294">
        <v>45974</v>
      </c>
      <c r="B17" s="20">
        <v>120</v>
      </c>
      <c r="C17" s="21">
        <v>14</v>
      </c>
      <c r="D17" s="139">
        <f t="shared" si="0"/>
        <v>8.5714285714285712</v>
      </c>
      <c r="E17" s="20">
        <v>0</v>
      </c>
      <c r="F17" s="21">
        <v>0</v>
      </c>
      <c r="G17" s="139" t="str">
        <f t="shared" si="1"/>
        <v>-</v>
      </c>
      <c r="H17" s="20">
        <v>0</v>
      </c>
      <c r="I17" s="21">
        <v>0</v>
      </c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0</v>
      </c>
      <c r="R17" s="126">
        <v>0</v>
      </c>
      <c r="S17" s="139" t="str">
        <f t="shared" si="5"/>
        <v>-</v>
      </c>
      <c r="T17" s="125">
        <v>30</v>
      </c>
      <c r="U17" s="126">
        <v>6</v>
      </c>
      <c r="V17" s="139">
        <f t="shared" si="6"/>
        <v>5</v>
      </c>
      <c r="W17" s="20">
        <v>0</v>
      </c>
      <c r="X17" s="21">
        <v>0</v>
      </c>
      <c r="Y17" s="139" t="str">
        <f t="shared" ref="Y17" si="69">IF(X17=0,"-",W17/X17)</f>
        <v>-</v>
      </c>
      <c r="Z17" s="20">
        <v>0</v>
      </c>
      <c r="AA17" s="21">
        <v>0</v>
      </c>
      <c r="AB17" s="139" t="str">
        <f t="shared" ref="AB17" si="70">IF(AA17=0,"-",Z17/AA17)</f>
        <v>-</v>
      </c>
      <c r="AC17" s="20">
        <v>0</v>
      </c>
      <c r="AD17" s="21">
        <v>0</v>
      </c>
      <c r="AE17" s="139" t="str">
        <f t="shared" ref="AE17" si="71">IF(AD17=0,"-",AC17/AD17)</f>
        <v>-</v>
      </c>
      <c r="AF17" s="20">
        <v>0</v>
      </c>
      <c r="AG17" s="21">
        <v>0</v>
      </c>
      <c r="AH17" s="139" t="str">
        <f t="shared" ref="AH17" si="72">IF(AG17=0,"-",AF17/AG17)</f>
        <v>-</v>
      </c>
      <c r="AI17" s="20">
        <v>30</v>
      </c>
      <c r="AJ17" s="21">
        <v>6</v>
      </c>
      <c r="AK17" s="139">
        <f t="shared" ref="AK17" si="73">IF(AJ17=0,"-",AI17/AJ17)</f>
        <v>5</v>
      </c>
      <c r="AL17" s="20">
        <v>11</v>
      </c>
      <c r="AM17" s="21">
        <v>2</v>
      </c>
      <c r="AN17" s="139">
        <f t="shared" si="12"/>
        <v>5.5</v>
      </c>
      <c r="AO17" s="20">
        <v>6</v>
      </c>
      <c r="AP17" s="21">
        <v>1</v>
      </c>
      <c r="AQ17" s="139">
        <f t="shared" si="13"/>
        <v>6</v>
      </c>
      <c r="AR17" s="20">
        <v>12</v>
      </c>
      <c r="AS17" s="21">
        <v>2</v>
      </c>
      <c r="AT17" s="139">
        <f t="shared" si="14"/>
        <v>6</v>
      </c>
      <c r="AU17" s="20">
        <v>0</v>
      </c>
      <c r="AV17" s="21">
        <v>0</v>
      </c>
      <c r="AW17" s="139" t="str">
        <f t="shared" ref="AW17" si="74">IF(AV17=0,"-",AU17/AV17)</f>
        <v>-</v>
      </c>
      <c r="AX17" s="20">
        <v>0</v>
      </c>
      <c r="AY17" s="21">
        <v>0</v>
      </c>
      <c r="AZ17" s="139" t="str">
        <f t="shared" si="36"/>
        <v>-</v>
      </c>
      <c r="BA17" s="20">
        <v>0</v>
      </c>
      <c r="BB17" s="21">
        <v>0</v>
      </c>
      <c r="BC17" s="139" t="str">
        <f t="shared" si="37"/>
        <v>-</v>
      </c>
      <c r="BD17" s="20">
        <v>0</v>
      </c>
      <c r="BE17" s="21">
        <v>0</v>
      </c>
      <c r="BF17" s="139" t="str">
        <f t="shared" si="33"/>
        <v>-</v>
      </c>
      <c r="BG17" s="20">
        <v>8</v>
      </c>
      <c r="BH17" s="21">
        <v>2</v>
      </c>
      <c r="BI17" s="139">
        <f t="shared" si="34"/>
        <v>4</v>
      </c>
      <c r="BJ17" s="20">
        <v>0</v>
      </c>
      <c r="BK17" s="21">
        <v>0</v>
      </c>
      <c r="BL17" s="139" t="str">
        <f t="shared" si="20"/>
        <v>-</v>
      </c>
      <c r="BM17" s="252">
        <v>30</v>
      </c>
      <c r="BN17" s="253">
        <v>5</v>
      </c>
      <c r="BO17" s="276">
        <f t="shared" si="21"/>
        <v>6</v>
      </c>
      <c r="BP17" s="252">
        <v>8</v>
      </c>
      <c r="BQ17" s="253">
        <v>1</v>
      </c>
      <c r="BR17" s="276">
        <f t="shared" si="22"/>
        <v>8</v>
      </c>
      <c r="BS17" s="302">
        <v>7</v>
      </c>
      <c r="BT17" s="303">
        <v>1</v>
      </c>
      <c r="BU17" s="276">
        <f t="shared" si="23"/>
        <v>7</v>
      </c>
      <c r="BV17" s="257">
        <v>0</v>
      </c>
      <c r="BW17" s="253">
        <v>0</v>
      </c>
      <c r="BX17" s="276" t="str">
        <f t="shared" si="24"/>
        <v>-</v>
      </c>
      <c r="BY17" s="117">
        <f t="shared" si="25"/>
        <v>262</v>
      </c>
      <c r="BZ17" s="117">
        <f t="shared" si="26"/>
        <v>40</v>
      </c>
      <c r="CA17" s="147">
        <f t="shared" si="27"/>
        <v>6.55</v>
      </c>
    </row>
    <row r="18" spans="1:79" ht="15" thickBot="1" x14ac:dyDescent="0.35">
      <c r="A18" s="294">
        <v>45975</v>
      </c>
      <c r="B18" s="20">
        <v>34</v>
      </c>
      <c r="C18" s="21">
        <v>4</v>
      </c>
      <c r="D18" s="139">
        <f t="shared" si="0"/>
        <v>8.5</v>
      </c>
      <c r="E18" s="20">
        <v>0</v>
      </c>
      <c r="F18" s="21">
        <v>0</v>
      </c>
      <c r="G18" s="139" t="str">
        <f t="shared" si="1"/>
        <v>-</v>
      </c>
      <c r="H18" s="20">
        <v>0</v>
      </c>
      <c r="I18" s="21">
        <v>0</v>
      </c>
      <c r="J18" s="139" t="str">
        <f t="shared" si="2"/>
        <v>-</v>
      </c>
      <c r="K18" s="20">
        <v>0</v>
      </c>
      <c r="L18" s="21">
        <v>0</v>
      </c>
      <c r="M18" s="139" t="str">
        <f t="shared" si="3"/>
        <v>-</v>
      </c>
      <c r="N18" s="125">
        <v>0</v>
      </c>
      <c r="O18" s="126">
        <v>0</v>
      </c>
      <c r="P18" s="139" t="str">
        <f t="shared" si="4"/>
        <v>-</v>
      </c>
      <c r="Q18" s="125">
        <v>0</v>
      </c>
      <c r="R18" s="126">
        <v>0</v>
      </c>
      <c r="S18" s="139" t="str">
        <f t="shared" si="5"/>
        <v>-</v>
      </c>
      <c r="T18" s="125">
        <v>69</v>
      </c>
      <c r="U18" s="126">
        <v>12</v>
      </c>
      <c r="V18" s="139">
        <f t="shared" si="6"/>
        <v>5.75</v>
      </c>
      <c r="W18" s="125">
        <v>0</v>
      </c>
      <c r="X18" s="126">
        <v>0</v>
      </c>
      <c r="Y18" s="139" t="str">
        <f t="shared" si="7"/>
        <v>-</v>
      </c>
      <c r="Z18" s="125">
        <v>0</v>
      </c>
      <c r="AA18" s="126">
        <v>0</v>
      </c>
      <c r="AB18" s="139" t="str">
        <f t="shared" si="8"/>
        <v>-</v>
      </c>
      <c r="AC18" s="125">
        <v>0</v>
      </c>
      <c r="AD18" s="126">
        <v>0</v>
      </c>
      <c r="AE18" s="139" t="str">
        <f t="shared" si="9"/>
        <v>-</v>
      </c>
      <c r="AF18" s="125">
        <v>0</v>
      </c>
      <c r="AG18" s="126">
        <v>0</v>
      </c>
      <c r="AH18" s="139" t="str">
        <f t="shared" si="10"/>
        <v>-</v>
      </c>
      <c r="AI18" s="356">
        <v>26</v>
      </c>
      <c r="AJ18" s="126">
        <v>5</v>
      </c>
      <c r="AK18" s="139">
        <f t="shared" si="11"/>
        <v>5.2</v>
      </c>
      <c r="AL18" s="125">
        <v>0</v>
      </c>
      <c r="AM18" s="126">
        <v>0</v>
      </c>
      <c r="AN18" s="139" t="str">
        <f t="shared" si="12"/>
        <v>-</v>
      </c>
      <c r="AO18" s="125">
        <v>0</v>
      </c>
      <c r="AP18" s="126">
        <v>0</v>
      </c>
      <c r="AQ18" s="139" t="str">
        <f t="shared" si="13"/>
        <v>-</v>
      </c>
      <c r="AR18" s="125">
        <v>18</v>
      </c>
      <c r="AS18" s="126">
        <v>3</v>
      </c>
      <c r="AT18" s="139">
        <f t="shared" si="14"/>
        <v>6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36"/>
        <v>-</v>
      </c>
      <c r="BA18" s="20">
        <v>4</v>
      </c>
      <c r="BB18" s="21">
        <v>2</v>
      </c>
      <c r="BC18" s="139">
        <f t="shared" si="37"/>
        <v>2</v>
      </c>
      <c r="BD18" s="20">
        <v>0</v>
      </c>
      <c r="BE18" s="21">
        <v>0</v>
      </c>
      <c r="BF18" s="139" t="str">
        <f t="shared" si="33"/>
        <v>-</v>
      </c>
      <c r="BG18" s="20">
        <v>5</v>
      </c>
      <c r="BH18" s="21">
        <v>1</v>
      </c>
      <c r="BI18" s="139">
        <f t="shared" si="34"/>
        <v>5</v>
      </c>
      <c r="BJ18" s="20">
        <v>0</v>
      </c>
      <c r="BK18" s="21">
        <v>0</v>
      </c>
      <c r="BL18" s="139" t="str">
        <f t="shared" si="20"/>
        <v>-</v>
      </c>
      <c r="BM18" s="270">
        <v>5</v>
      </c>
      <c r="BN18" s="271">
        <v>1</v>
      </c>
      <c r="BO18" s="276">
        <f t="shared" si="21"/>
        <v>5</v>
      </c>
      <c r="BP18" s="20">
        <v>0</v>
      </c>
      <c r="BQ18" s="21">
        <v>0</v>
      </c>
      <c r="BR18" s="276" t="str">
        <f t="shared" si="22"/>
        <v>-</v>
      </c>
      <c r="BS18" s="354">
        <v>35</v>
      </c>
      <c r="BT18" s="271">
        <v>5</v>
      </c>
      <c r="BU18" s="276">
        <f t="shared" si="23"/>
        <v>7</v>
      </c>
      <c r="BV18" s="355">
        <v>0</v>
      </c>
      <c r="BW18" s="21">
        <v>0</v>
      </c>
      <c r="BX18" s="276" t="str">
        <f t="shared" si="24"/>
        <v>-</v>
      </c>
      <c r="BY18" s="117">
        <f t="shared" si="25"/>
        <v>196</v>
      </c>
      <c r="BZ18" s="117">
        <f t="shared" si="26"/>
        <v>33</v>
      </c>
      <c r="CA18" s="147">
        <f t="shared" si="27"/>
        <v>5.9393939393939394</v>
      </c>
    </row>
    <row r="19" spans="1:79" ht="15" thickBot="1" x14ac:dyDescent="0.35">
      <c r="A19" s="294">
        <v>45976</v>
      </c>
      <c r="B19" s="20">
        <v>77</v>
      </c>
      <c r="C19" s="21">
        <v>9</v>
      </c>
      <c r="D19" s="139">
        <f t="shared" si="0"/>
        <v>8.5555555555555554</v>
      </c>
      <c r="E19" s="20">
        <v>0</v>
      </c>
      <c r="F19" s="21">
        <v>0</v>
      </c>
      <c r="G19" s="139" t="str">
        <f t="shared" si="1"/>
        <v>-</v>
      </c>
      <c r="H19" s="20">
        <v>27</v>
      </c>
      <c r="I19" s="21">
        <v>4</v>
      </c>
      <c r="J19" s="139">
        <f t="shared" si="2"/>
        <v>6.75</v>
      </c>
      <c r="K19" s="20">
        <v>0</v>
      </c>
      <c r="L19" s="21">
        <v>0</v>
      </c>
      <c r="M19" s="139" t="str">
        <f t="shared" si="3"/>
        <v>-</v>
      </c>
      <c r="N19" s="125">
        <v>27</v>
      </c>
      <c r="O19" s="126">
        <v>4</v>
      </c>
      <c r="P19" s="139">
        <f t="shared" si="4"/>
        <v>6.75</v>
      </c>
      <c r="Q19" s="125"/>
      <c r="R19" s="126"/>
      <c r="S19" s="139" t="str">
        <f t="shared" si="5"/>
        <v>-</v>
      </c>
      <c r="T19" s="125">
        <v>30</v>
      </c>
      <c r="U19" s="126">
        <v>5</v>
      </c>
      <c r="V19" s="139">
        <f t="shared" si="6"/>
        <v>6</v>
      </c>
      <c r="W19" s="125">
        <v>0</v>
      </c>
      <c r="X19" s="126">
        <v>0</v>
      </c>
      <c r="Y19" s="139" t="str">
        <f t="shared" si="7"/>
        <v>-</v>
      </c>
      <c r="Z19" s="125">
        <v>0</v>
      </c>
      <c r="AA19" s="126">
        <v>0</v>
      </c>
      <c r="AB19" s="139" t="str">
        <f t="shared" si="8"/>
        <v>-</v>
      </c>
      <c r="AC19" s="125">
        <v>0</v>
      </c>
      <c r="AD19" s="126">
        <v>0</v>
      </c>
      <c r="AE19" s="139" t="str">
        <f t="shared" si="9"/>
        <v>-</v>
      </c>
      <c r="AF19" s="125">
        <v>0</v>
      </c>
      <c r="AG19" s="126">
        <v>0</v>
      </c>
      <c r="AH19" s="139" t="str">
        <f t="shared" si="10"/>
        <v>-</v>
      </c>
      <c r="AI19" s="125">
        <v>0</v>
      </c>
      <c r="AJ19" s="126">
        <v>0</v>
      </c>
      <c r="AK19" s="139" t="str">
        <f t="shared" si="11"/>
        <v>-</v>
      </c>
      <c r="AL19" s="125">
        <v>12</v>
      </c>
      <c r="AM19" s="126">
        <v>2</v>
      </c>
      <c r="AN19" s="139">
        <f t="shared" si="12"/>
        <v>6</v>
      </c>
      <c r="AO19" s="125">
        <v>0</v>
      </c>
      <c r="AP19" s="126">
        <v>0</v>
      </c>
      <c r="AQ19" s="139" t="str">
        <f t="shared" si="13"/>
        <v>-</v>
      </c>
      <c r="AR19" s="125">
        <v>12</v>
      </c>
      <c r="AS19" s="126">
        <v>2</v>
      </c>
      <c r="AT19" s="139">
        <f t="shared" si="14"/>
        <v>6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36"/>
        <v>-</v>
      </c>
      <c r="BA19" s="20">
        <v>0</v>
      </c>
      <c r="BB19" s="21">
        <v>0</v>
      </c>
      <c r="BC19" s="139" t="str">
        <f t="shared" si="37"/>
        <v>-</v>
      </c>
      <c r="BD19" s="20">
        <v>0</v>
      </c>
      <c r="BE19" s="21">
        <v>0</v>
      </c>
      <c r="BF19" s="139" t="str">
        <f t="shared" si="33"/>
        <v>-</v>
      </c>
      <c r="BG19" s="20">
        <v>0</v>
      </c>
      <c r="BH19" s="21">
        <v>0</v>
      </c>
      <c r="BI19" s="139" t="str">
        <f t="shared" si="34"/>
        <v>-</v>
      </c>
      <c r="BJ19" s="20">
        <v>0</v>
      </c>
      <c r="BK19" s="21">
        <v>0</v>
      </c>
      <c r="BL19" s="139" t="str">
        <f t="shared" si="20"/>
        <v>-</v>
      </c>
      <c r="BM19" s="20">
        <v>6</v>
      </c>
      <c r="BN19" s="21">
        <v>1</v>
      </c>
      <c r="BO19" s="276">
        <v>5</v>
      </c>
      <c r="BP19" s="20">
        <v>0</v>
      </c>
      <c r="BQ19" s="21">
        <v>0</v>
      </c>
      <c r="BR19" s="276" t="str">
        <f t="shared" si="22"/>
        <v>-</v>
      </c>
      <c r="BS19" s="354">
        <v>0</v>
      </c>
      <c r="BT19" s="271">
        <v>0</v>
      </c>
      <c r="BU19" s="276" t="str">
        <f t="shared" si="23"/>
        <v>-</v>
      </c>
      <c r="BV19" s="355">
        <v>0</v>
      </c>
      <c r="BW19" s="21">
        <v>0</v>
      </c>
      <c r="BX19" s="276" t="str">
        <f t="shared" si="24"/>
        <v>-</v>
      </c>
      <c r="BY19" s="117">
        <f t="shared" si="25"/>
        <v>164</v>
      </c>
      <c r="BZ19" s="117">
        <f t="shared" si="26"/>
        <v>23</v>
      </c>
      <c r="CA19" s="147">
        <f t="shared" si="27"/>
        <v>7.1304347826086953</v>
      </c>
    </row>
    <row r="20" spans="1:79" ht="15" thickBot="1" x14ac:dyDescent="0.35">
      <c r="A20" s="294">
        <v>45977</v>
      </c>
      <c r="B20" s="20">
        <v>88</v>
      </c>
      <c r="C20" s="21">
        <v>11</v>
      </c>
      <c r="D20" s="139">
        <f t="shared" si="0"/>
        <v>8</v>
      </c>
      <c r="E20" s="20">
        <v>10</v>
      </c>
      <c r="F20" s="21">
        <v>1</v>
      </c>
      <c r="G20" s="139">
        <f t="shared" si="1"/>
        <v>10</v>
      </c>
      <c r="H20" s="20">
        <v>0</v>
      </c>
      <c r="I20" s="21">
        <v>0</v>
      </c>
      <c r="J20" s="139" t="str">
        <f t="shared" si="2"/>
        <v>-</v>
      </c>
      <c r="K20" s="20">
        <v>16</v>
      </c>
      <c r="L20" s="21">
        <v>2</v>
      </c>
      <c r="M20" s="139">
        <f t="shared" si="3"/>
        <v>8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0</v>
      </c>
      <c r="U20" s="21">
        <v>0</v>
      </c>
      <c r="V20" s="139" t="str">
        <f t="shared" si="6"/>
        <v>-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0</v>
      </c>
      <c r="AD20" s="21">
        <v>0</v>
      </c>
      <c r="AE20" s="139" t="str">
        <f t="shared" si="9"/>
        <v>-</v>
      </c>
      <c r="AF20" s="125">
        <v>0</v>
      </c>
      <c r="AG20" s="126">
        <v>0</v>
      </c>
      <c r="AH20" s="139" t="str">
        <f t="shared" si="10"/>
        <v>-</v>
      </c>
      <c r="AI20" s="125">
        <v>0</v>
      </c>
      <c r="AJ20" s="126">
        <v>0</v>
      </c>
      <c r="AK20" s="139" t="str">
        <f t="shared" si="11"/>
        <v>-</v>
      </c>
      <c r="AL20" s="125">
        <v>0</v>
      </c>
      <c r="AM20" s="126">
        <v>0</v>
      </c>
      <c r="AN20" s="139" t="str">
        <f t="shared" si="12"/>
        <v>-</v>
      </c>
      <c r="AO20" s="125">
        <v>0</v>
      </c>
      <c r="AP20" s="126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14"/>
        <v>-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36"/>
        <v>-</v>
      </c>
      <c r="BA20" s="20">
        <v>0</v>
      </c>
      <c r="BB20" s="21">
        <v>0</v>
      </c>
      <c r="BC20" s="139" t="str">
        <f t="shared" si="37"/>
        <v>-</v>
      </c>
      <c r="BD20" s="20">
        <v>0</v>
      </c>
      <c r="BE20" s="21">
        <v>0</v>
      </c>
      <c r="BF20" s="139" t="str">
        <f t="shared" si="33"/>
        <v>-</v>
      </c>
      <c r="BG20" s="20">
        <v>0</v>
      </c>
      <c r="BH20" s="21">
        <v>0</v>
      </c>
      <c r="BI20" s="139" t="str">
        <f t="shared" si="34"/>
        <v>-</v>
      </c>
      <c r="BJ20" s="20">
        <v>0</v>
      </c>
      <c r="BK20" s="21">
        <v>0</v>
      </c>
      <c r="BL20" s="139" t="str">
        <f t="shared" si="20"/>
        <v>-</v>
      </c>
      <c r="BM20" s="20">
        <v>47</v>
      </c>
      <c r="BN20" s="21">
        <v>7</v>
      </c>
      <c r="BO20" s="276">
        <f t="shared" si="21"/>
        <v>6.7142857142857144</v>
      </c>
      <c r="BP20" s="20">
        <v>0</v>
      </c>
      <c r="BQ20" s="21">
        <v>0</v>
      </c>
      <c r="BR20" s="276" t="str">
        <f t="shared" si="22"/>
        <v>-</v>
      </c>
      <c r="BS20" s="354">
        <v>0</v>
      </c>
      <c r="BT20" s="271">
        <v>0</v>
      </c>
      <c r="BU20" s="276" t="str">
        <f t="shared" si="23"/>
        <v>-</v>
      </c>
      <c r="BV20" s="355">
        <v>7</v>
      </c>
      <c r="BW20" s="21">
        <v>1</v>
      </c>
      <c r="BX20" s="276">
        <f t="shared" si="24"/>
        <v>7</v>
      </c>
      <c r="BY20" s="117">
        <f t="shared" si="25"/>
        <v>168</v>
      </c>
      <c r="BZ20" s="117">
        <f t="shared" si="26"/>
        <v>22</v>
      </c>
      <c r="CA20" s="147">
        <f t="shared" si="27"/>
        <v>7.6363636363636367</v>
      </c>
    </row>
    <row r="21" spans="1:79" ht="15" thickBot="1" x14ac:dyDescent="0.35">
      <c r="A21" s="294">
        <v>45978</v>
      </c>
      <c r="B21" s="20">
        <v>34</v>
      </c>
      <c r="C21" s="21">
        <v>4</v>
      </c>
      <c r="D21" s="139">
        <f t="shared" si="0"/>
        <v>8.5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32</v>
      </c>
      <c r="L21" s="21">
        <v>4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125">
        <v>0</v>
      </c>
      <c r="R21" s="126">
        <v>0</v>
      </c>
      <c r="S21" s="139" t="str">
        <f t="shared" si="5"/>
        <v>-</v>
      </c>
      <c r="T21" s="125">
        <v>53</v>
      </c>
      <c r="U21" s="126">
        <v>9</v>
      </c>
      <c r="V21" s="139">
        <f t="shared" si="6"/>
        <v>5.8888888888888893</v>
      </c>
      <c r="W21" s="125">
        <v>0</v>
      </c>
      <c r="X21" s="126">
        <v>0</v>
      </c>
      <c r="Y21" s="139" t="str">
        <f t="shared" si="7"/>
        <v>-</v>
      </c>
      <c r="Z21" s="125">
        <v>0</v>
      </c>
      <c r="AA21" s="126">
        <v>0</v>
      </c>
      <c r="AB21" s="139" t="str">
        <f t="shared" si="8"/>
        <v>-</v>
      </c>
      <c r="AC21" s="125">
        <v>0</v>
      </c>
      <c r="AD21" s="126">
        <v>0</v>
      </c>
      <c r="AE21" s="139" t="str">
        <f t="shared" si="9"/>
        <v>-</v>
      </c>
      <c r="AF21" s="125">
        <v>30</v>
      </c>
      <c r="AG21" s="126">
        <v>6</v>
      </c>
      <c r="AH21" s="139">
        <f t="shared" si="10"/>
        <v>5</v>
      </c>
      <c r="AI21" s="125">
        <v>30</v>
      </c>
      <c r="AJ21" s="126">
        <v>6</v>
      </c>
      <c r="AK21" s="139">
        <f t="shared" si="11"/>
        <v>5</v>
      </c>
      <c r="AL21" s="125">
        <v>0</v>
      </c>
      <c r="AM21" s="126">
        <v>0</v>
      </c>
      <c r="AN21" s="139" t="str">
        <f t="shared" si="12"/>
        <v>-</v>
      </c>
      <c r="AO21" s="125">
        <v>0</v>
      </c>
      <c r="AP21" s="126">
        <v>0</v>
      </c>
      <c r="AQ21" s="139" t="str">
        <f t="shared" si="13"/>
        <v>-</v>
      </c>
      <c r="AR21" s="20">
        <v>6</v>
      </c>
      <c r="AS21" s="21">
        <v>1</v>
      </c>
      <c r="AT21" s="139">
        <f t="shared" si="14"/>
        <v>6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36"/>
        <v>-</v>
      </c>
      <c r="BA21" s="20">
        <v>18</v>
      </c>
      <c r="BB21" s="21">
        <v>5</v>
      </c>
      <c r="BC21" s="139">
        <f t="shared" si="37"/>
        <v>3.6</v>
      </c>
      <c r="BD21" s="20">
        <v>0</v>
      </c>
      <c r="BE21" s="21">
        <v>0</v>
      </c>
      <c r="BF21" s="139" t="str">
        <f t="shared" si="33"/>
        <v>-</v>
      </c>
      <c r="BG21" s="20">
        <v>12</v>
      </c>
      <c r="BH21" s="21">
        <v>2</v>
      </c>
      <c r="BI21" s="139">
        <f t="shared" si="34"/>
        <v>6</v>
      </c>
      <c r="BJ21" s="20">
        <v>0</v>
      </c>
      <c r="BK21" s="21">
        <v>0</v>
      </c>
      <c r="BL21" s="139" t="str">
        <f t="shared" si="20"/>
        <v>-</v>
      </c>
      <c r="BM21" s="20">
        <v>16</v>
      </c>
      <c r="BN21" s="21">
        <v>3</v>
      </c>
      <c r="BO21" s="139">
        <f t="shared" si="21"/>
        <v>5.333333333333333</v>
      </c>
      <c r="BP21" s="20">
        <v>0</v>
      </c>
      <c r="BQ21" s="21">
        <v>0</v>
      </c>
      <c r="BR21" s="276" t="str">
        <f t="shared" si="22"/>
        <v>-</v>
      </c>
      <c r="BS21" s="20">
        <v>0</v>
      </c>
      <c r="BT21" s="21">
        <v>0</v>
      </c>
      <c r="BU21" s="276" t="str">
        <f t="shared" si="23"/>
        <v>-</v>
      </c>
      <c r="BV21" s="355">
        <v>6</v>
      </c>
      <c r="BW21" s="21">
        <v>1</v>
      </c>
      <c r="BX21" s="139">
        <f t="shared" si="24"/>
        <v>6</v>
      </c>
      <c r="BY21" s="117">
        <f t="shared" si="25"/>
        <v>237</v>
      </c>
      <c r="BZ21" s="117">
        <f t="shared" si="26"/>
        <v>41</v>
      </c>
      <c r="CA21" s="147">
        <f t="shared" si="27"/>
        <v>5.7804878048780486</v>
      </c>
    </row>
    <row r="22" spans="1:79" ht="15" thickBot="1" x14ac:dyDescent="0.35">
      <c r="A22" s="294">
        <v>45979</v>
      </c>
      <c r="B22" s="20">
        <v>61</v>
      </c>
      <c r="C22" s="21">
        <v>7</v>
      </c>
      <c r="D22" s="139">
        <f t="shared" si="0"/>
        <v>8.7142857142857135</v>
      </c>
      <c r="E22" s="20">
        <v>0</v>
      </c>
      <c r="F22" s="21">
        <v>0</v>
      </c>
      <c r="G22" s="139" t="str">
        <f t="shared" si="1"/>
        <v>-</v>
      </c>
      <c r="H22" s="20">
        <v>0</v>
      </c>
      <c r="I22" s="21">
        <v>0</v>
      </c>
      <c r="J22" s="139" t="str">
        <f t="shared" si="2"/>
        <v>-</v>
      </c>
      <c r="K22" s="20"/>
      <c r="L22" s="21"/>
      <c r="M22" s="139" t="str">
        <f t="shared" si="3"/>
        <v>-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/>
      <c r="S22" s="139" t="str">
        <f t="shared" si="5"/>
        <v>-</v>
      </c>
      <c r="T22" s="20">
        <v>42</v>
      </c>
      <c r="U22" s="21">
        <v>6</v>
      </c>
      <c r="V22" s="139">
        <f t="shared" si="6"/>
        <v>7</v>
      </c>
      <c r="W22" s="20">
        <v>0</v>
      </c>
      <c r="X22" s="21">
        <v>0</v>
      </c>
      <c r="Y22" s="139" t="str">
        <f t="shared" si="7"/>
        <v>-</v>
      </c>
      <c r="Z22" s="20">
        <v>0</v>
      </c>
      <c r="AA22" s="21">
        <v>0</v>
      </c>
      <c r="AB22" s="139" t="str">
        <f t="shared" si="8"/>
        <v>-</v>
      </c>
      <c r="AC22" s="125">
        <v>0</v>
      </c>
      <c r="AD22" s="126">
        <v>0</v>
      </c>
      <c r="AE22" s="139" t="str">
        <f t="shared" si="9"/>
        <v>-</v>
      </c>
      <c r="AF22" s="125">
        <v>65</v>
      </c>
      <c r="AG22" s="126">
        <v>13</v>
      </c>
      <c r="AH22" s="139">
        <f t="shared" si="10"/>
        <v>5</v>
      </c>
      <c r="AI22" s="125">
        <v>30</v>
      </c>
      <c r="AJ22" s="126">
        <v>6</v>
      </c>
      <c r="AK22" s="139">
        <f t="shared" si="11"/>
        <v>5</v>
      </c>
      <c r="AL22" s="125">
        <v>6</v>
      </c>
      <c r="AM22" s="126">
        <v>1</v>
      </c>
      <c r="AN22" s="139">
        <f t="shared" si="12"/>
        <v>6</v>
      </c>
      <c r="AO22" s="125">
        <v>0</v>
      </c>
      <c r="AP22" s="126">
        <v>0</v>
      </c>
      <c r="AQ22" s="139" t="str">
        <f t="shared" si="13"/>
        <v>-</v>
      </c>
      <c r="AR22" s="125">
        <v>24</v>
      </c>
      <c r="AS22" s="126">
        <v>4</v>
      </c>
      <c r="AT22" s="139">
        <f t="shared" si="14"/>
        <v>6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 t="str">
        <f t="shared" si="36"/>
        <v>-</v>
      </c>
      <c r="BA22" s="20">
        <v>3</v>
      </c>
      <c r="BB22" s="21">
        <v>1</v>
      </c>
      <c r="BC22" s="139">
        <f t="shared" si="37"/>
        <v>3</v>
      </c>
      <c r="BD22" s="20">
        <v>0</v>
      </c>
      <c r="BE22" s="21">
        <v>0</v>
      </c>
      <c r="BF22" s="139" t="str">
        <f t="shared" si="33"/>
        <v>-</v>
      </c>
      <c r="BG22" s="20">
        <v>5</v>
      </c>
      <c r="BH22" s="21">
        <v>1</v>
      </c>
      <c r="BI22" s="139">
        <f t="shared" si="34"/>
        <v>5</v>
      </c>
      <c r="BJ22" s="20">
        <v>0</v>
      </c>
      <c r="BK22" s="21">
        <v>0</v>
      </c>
      <c r="BL22" s="139" t="str">
        <f t="shared" si="20"/>
        <v>-</v>
      </c>
      <c r="BM22" s="252">
        <v>17</v>
      </c>
      <c r="BN22" s="253">
        <v>3</v>
      </c>
      <c r="BO22" s="139">
        <f t="shared" si="21"/>
        <v>5.666666666666667</v>
      </c>
      <c r="BP22" s="252">
        <v>0</v>
      </c>
      <c r="BQ22" s="253">
        <v>0</v>
      </c>
      <c r="BR22" s="276" t="str">
        <f t="shared" si="22"/>
        <v>-</v>
      </c>
      <c r="BS22" s="302">
        <v>0</v>
      </c>
      <c r="BT22" s="303">
        <v>0</v>
      </c>
      <c r="BU22" s="276" t="str">
        <f t="shared" si="23"/>
        <v>-</v>
      </c>
      <c r="BV22" s="257">
        <v>6</v>
      </c>
      <c r="BW22" s="253">
        <v>1</v>
      </c>
      <c r="BX22" s="276">
        <f t="shared" si="24"/>
        <v>6</v>
      </c>
      <c r="BY22" s="117">
        <f t="shared" si="25"/>
        <v>259</v>
      </c>
      <c r="BZ22" s="117">
        <f t="shared" si="26"/>
        <v>43</v>
      </c>
      <c r="CA22" s="147">
        <f t="shared" si="27"/>
        <v>6.0232558139534884</v>
      </c>
    </row>
    <row r="23" spans="1:79" ht="16.2" customHeight="1" thickBot="1" x14ac:dyDescent="0.35">
      <c r="A23" s="294">
        <v>45980</v>
      </c>
      <c r="B23" s="20">
        <v>140</v>
      </c>
      <c r="C23" s="21">
        <v>16</v>
      </c>
      <c r="D23" s="139">
        <f t="shared" si="0"/>
        <v>8.75</v>
      </c>
      <c r="E23" s="20">
        <v>6</v>
      </c>
      <c r="F23" s="21">
        <v>1</v>
      </c>
      <c r="G23" s="139">
        <f t="shared" si="1"/>
        <v>6</v>
      </c>
      <c r="H23" s="20">
        <v>0</v>
      </c>
      <c r="I23" s="21">
        <v>0</v>
      </c>
      <c r="J23" s="139" t="str">
        <f t="shared" si="2"/>
        <v>-</v>
      </c>
      <c r="K23" s="20">
        <v>10</v>
      </c>
      <c r="L23" s="21">
        <v>1</v>
      </c>
      <c r="M23" s="139">
        <f t="shared" si="3"/>
        <v>10</v>
      </c>
      <c r="N23" s="20">
        <v>0</v>
      </c>
      <c r="O23" s="21">
        <v>0</v>
      </c>
      <c r="P23" s="139" t="str">
        <f t="shared" si="4"/>
        <v>-</v>
      </c>
      <c r="Q23" s="20">
        <v>30</v>
      </c>
      <c r="R23" s="21">
        <v>5</v>
      </c>
      <c r="S23" s="139">
        <f t="shared" si="5"/>
        <v>6</v>
      </c>
      <c r="T23" s="20">
        <v>56</v>
      </c>
      <c r="U23" s="21">
        <v>10</v>
      </c>
      <c r="V23" s="139">
        <f t="shared" si="6"/>
        <v>5.6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8"/>
        <v>-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25</v>
      </c>
      <c r="AJ23" s="21">
        <v>5</v>
      </c>
      <c r="AK23" s="139">
        <f t="shared" si="11"/>
        <v>5</v>
      </c>
      <c r="AL23" s="20">
        <v>6</v>
      </c>
      <c r="AM23" s="21">
        <v>1</v>
      </c>
      <c r="AN23" s="139">
        <f t="shared" si="12"/>
        <v>6</v>
      </c>
      <c r="AO23" s="20">
        <v>0</v>
      </c>
      <c r="AP23" s="21">
        <v>0</v>
      </c>
      <c r="AQ23" s="139" t="str">
        <f t="shared" si="13"/>
        <v>-</v>
      </c>
      <c r="AR23" s="20">
        <v>0</v>
      </c>
      <c r="AS23" s="21">
        <v>0</v>
      </c>
      <c r="AT23" s="139" t="str">
        <f t="shared" si="14"/>
        <v>-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36"/>
        <v>-</v>
      </c>
      <c r="BA23" s="20">
        <v>0</v>
      </c>
      <c r="BB23" s="21">
        <v>0</v>
      </c>
      <c r="BC23" s="139" t="str">
        <f t="shared" si="37"/>
        <v>-</v>
      </c>
      <c r="BD23" s="20">
        <v>0</v>
      </c>
      <c r="BE23" s="21">
        <v>0</v>
      </c>
      <c r="BF23" s="139" t="str">
        <f t="shared" si="33"/>
        <v>-</v>
      </c>
      <c r="BG23" s="20">
        <v>9</v>
      </c>
      <c r="BH23" s="21">
        <v>2</v>
      </c>
      <c r="BI23" s="139">
        <f t="shared" si="34"/>
        <v>4.5</v>
      </c>
      <c r="BJ23" s="20">
        <v>0</v>
      </c>
      <c r="BK23" s="21">
        <v>0</v>
      </c>
      <c r="BL23" s="139" t="str">
        <f t="shared" si="20"/>
        <v>-</v>
      </c>
      <c r="BM23" s="20">
        <v>6</v>
      </c>
      <c r="BN23" s="21">
        <v>1</v>
      </c>
      <c r="BO23" s="276">
        <f t="shared" si="21"/>
        <v>6</v>
      </c>
      <c r="BP23" s="20">
        <v>0</v>
      </c>
      <c r="BQ23" s="21">
        <v>0</v>
      </c>
      <c r="BR23" s="276" t="str">
        <f t="shared" si="22"/>
        <v>-</v>
      </c>
      <c r="BS23" s="354">
        <v>0</v>
      </c>
      <c r="BT23" s="271">
        <v>0</v>
      </c>
      <c r="BU23" s="276" t="str">
        <f t="shared" si="23"/>
        <v>-</v>
      </c>
      <c r="BV23" s="355">
        <v>6</v>
      </c>
      <c r="BW23" s="21">
        <v>1</v>
      </c>
      <c r="BX23" s="276">
        <f t="shared" si="24"/>
        <v>6</v>
      </c>
      <c r="BY23" s="117">
        <f t="shared" si="25"/>
        <v>294</v>
      </c>
      <c r="BZ23" s="117">
        <f t="shared" si="26"/>
        <v>43</v>
      </c>
      <c r="CA23" s="147">
        <f t="shared" si="27"/>
        <v>6.8372093023255811</v>
      </c>
    </row>
    <row r="24" spans="1:79" ht="15" thickBot="1" x14ac:dyDescent="0.35">
      <c r="A24" s="294">
        <v>45981</v>
      </c>
      <c r="B24" s="20">
        <v>203</v>
      </c>
      <c r="C24" s="21">
        <v>22</v>
      </c>
      <c r="D24" s="139">
        <f t="shared" si="0"/>
        <v>9.2272727272727266</v>
      </c>
      <c r="E24" s="20">
        <v>0</v>
      </c>
      <c r="F24" s="21">
        <v>0</v>
      </c>
      <c r="G24" s="139" t="str">
        <f t="shared" si="1"/>
        <v>-</v>
      </c>
      <c r="H24" s="20">
        <v>25</v>
      </c>
      <c r="I24" s="21">
        <v>5</v>
      </c>
      <c r="J24" s="139">
        <f t="shared" si="2"/>
        <v>5</v>
      </c>
      <c r="K24" s="20">
        <v>0</v>
      </c>
      <c r="L24" s="21">
        <v>0</v>
      </c>
      <c r="M24" s="139" t="str">
        <f t="shared" si="3"/>
        <v>-</v>
      </c>
      <c r="N24" s="20">
        <v>0</v>
      </c>
      <c r="O24" s="21">
        <v>0</v>
      </c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51</v>
      </c>
      <c r="U24" s="21">
        <v>10</v>
      </c>
      <c r="V24" s="139">
        <f t="shared" si="6"/>
        <v>5.0999999999999996</v>
      </c>
      <c r="W24" s="20">
        <v>0</v>
      </c>
      <c r="X24" s="21">
        <v>0</v>
      </c>
      <c r="Y24" s="139" t="str">
        <f t="shared" si="7"/>
        <v>-</v>
      </c>
      <c r="Z24" s="20">
        <v>0</v>
      </c>
      <c r="AA24" s="21">
        <v>0</v>
      </c>
      <c r="AB24" s="139" t="str">
        <f t="shared" si="8"/>
        <v>-</v>
      </c>
      <c r="AC24" s="20">
        <v>0</v>
      </c>
      <c r="AD24" s="21">
        <v>0</v>
      </c>
      <c r="AE24" s="139" t="str">
        <f t="shared" si="9"/>
        <v>-</v>
      </c>
      <c r="AF24" s="20">
        <v>0</v>
      </c>
      <c r="AG24" s="21">
        <v>0</v>
      </c>
      <c r="AH24" s="139" t="str">
        <f t="shared" si="10"/>
        <v>-</v>
      </c>
      <c r="AI24" s="20">
        <v>10</v>
      </c>
      <c r="AJ24" s="21">
        <v>2</v>
      </c>
      <c r="AK24" s="139">
        <f t="shared" si="11"/>
        <v>5</v>
      </c>
      <c r="AL24" s="20">
        <v>0</v>
      </c>
      <c r="AM24" s="21">
        <v>0</v>
      </c>
      <c r="AN24" s="139" t="str">
        <f t="shared" si="12"/>
        <v>-</v>
      </c>
      <c r="AO24" s="20">
        <v>0</v>
      </c>
      <c r="AP24" s="21">
        <v>0</v>
      </c>
      <c r="AQ24" s="139" t="str">
        <f t="shared" si="13"/>
        <v>-</v>
      </c>
      <c r="AR24" s="20">
        <v>6</v>
      </c>
      <c r="AS24" s="21">
        <v>1</v>
      </c>
      <c r="AT24" s="139">
        <f t="shared" si="14"/>
        <v>6</v>
      </c>
      <c r="AU24" s="20">
        <v>0</v>
      </c>
      <c r="AV24" s="21">
        <v>0</v>
      </c>
      <c r="AW24" s="139" t="str">
        <f t="shared" si="15"/>
        <v>-</v>
      </c>
      <c r="AX24" s="20">
        <v>0</v>
      </c>
      <c r="AY24" s="21">
        <v>0</v>
      </c>
      <c r="AZ24" s="139" t="str">
        <f t="shared" si="36"/>
        <v>-</v>
      </c>
      <c r="BA24" s="20">
        <v>4</v>
      </c>
      <c r="BB24" s="21">
        <v>2</v>
      </c>
      <c r="BC24" s="139">
        <f t="shared" si="37"/>
        <v>2</v>
      </c>
      <c r="BD24" s="20">
        <v>0</v>
      </c>
      <c r="BE24" s="21">
        <v>0</v>
      </c>
      <c r="BF24" s="139" t="str">
        <f t="shared" si="33"/>
        <v>-</v>
      </c>
      <c r="BG24" s="20">
        <v>5</v>
      </c>
      <c r="BH24" s="21">
        <v>1</v>
      </c>
      <c r="BI24" s="139">
        <f t="shared" si="34"/>
        <v>5</v>
      </c>
      <c r="BJ24" s="20">
        <v>0</v>
      </c>
      <c r="BK24" s="21">
        <v>0</v>
      </c>
      <c r="BL24" s="139" t="str">
        <f t="shared" si="20"/>
        <v>-</v>
      </c>
      <c r="BM24" s="252">
        <v>21</v>
      </c>
      <c r="BN24" s="253">
        <v>4</v>
      </c>
      <c r="BO24" s="276">
        <f t="shared" si="21"/>
        <v>5.25</v>
      </c>
      <c r="BP24" s="252">
        <v>0</v>
      </c>
      <c r="BQ24" s="253">
        <v>0</v>
      </c>
      <c r="BR24" s="276" t="str">
        <f t="shared" si="22"/>
        <v>-</v>
      </c>
      <c r="BS24" s="302">
        <v>0</v>
      </c>
      <c r="BT24" s="303">
        <v>0</v>
      </c>
      <c r="BU24" s="276" t="str">
        <f t="shared" si="23"/>
        <v>-</v>
      </c>
      <c r="BV24" s="256">
        <v>0</v>
      </c>
      <c r="BW24" s="253">
        <v>0</v>
      </c>
      <c r="BX24" s="276" t="str">
        <f t="shared" si="24"/>
        <v>-</v>
      </c>
      <c r="BY24" s="117">
        <f t="shared" si="25"/>
        <v>300</v>
      </c>
      <c r="BZ24" s="117">
        <f t="shared" si="26"/>
        <v>42</v>
      </c>
      <c r="CA24" s="147">
        <f t="shared" si="27"/>
        <v>7.1428571428571432</v>
      </c>
    </row>
    <row r="25" spans="1:79" ht="15" thickBot="1" x14ac:dyDescent="0.35">
      <c r="A25" s="294">
        <v>45982</v>
      </c>
      <c r="B25" s="20">
        <v>69</v>
      </c>
      <c r="C25" s="21">
        <v>7</v>
      </c>
      <c r="D25" s="139">
        <f t="shared" si="0"/>
        <v>9.8571428571428577</v>
      </c>
      <c r="E25" s="20">
        <v>49</v>
      </c>
      <c r="F25" s="21">
        <v>8</v>
      </c>
      <c r="G25" s="139">
        <f t="shared" si="1"/>
        <v>6.125</v>
      </c>
      <c r="H25" s="20">
        <v>0</v>
      </c>
      <c r="I25" s="21">
        <v>0</v>
      </c>
      <c r="J25" s="139" t="str">
        <f t="shared" si="2"/>
        <v>-</v>
      </c>
      <c r="K25" s="20">
        <v>0</v>
      </c>
      <c r="L25" s="21">
        <v>0</v>
      </c>
      <c r="M25" s="139" t="str">
        <f t="shared" si="3"/>
        <v>-</v>
      </c>
      <c r="N25" s="125">
        <v>0</v>
      </c>
      <c r="O25" s="126">
        <v>0</v>
      </c>
      <c r="P25" s="139" t="str">
        <f t="shared" si="4"/>
        <v>-</v>
      </c>
      <c r="Q25" s="125">
        <v>0</v>
      </c>
      <c r="R25" s="126">
        <v>0</v>
      </c>
      <c r="S25" s="139" t="str">
        <f t="shared" si="5"/>
        <v>-</v>
      </c>
      <c r="T25" s="125">
        <v>77</v>
      </c>
      <c r="U25" s="126">
        <v>13</v>
      </c>
      <c r="V25" s="139">
        <f t="shared" si="6"/>
        <v>5.9230769230769234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9"/>
        <v>-</v>
      </c>
      <c r="AF25" s="20">
        <v>0</v>
      </c>
      <c r="AG25" s="21">
        <v>0</v>
      </c>
      <c r="AH25" s="139" t="str">
        <f t="shared" si="10"/>
        <v>-</v>
      </c>
      <c r="AI25" s="20">
        <v>20</v>
      </c>
      <c r="AJ25" s="21">
        <v>4</v>
      </c>
      <c r="AK25" s="139">
        <f t="shared" si="11"/>
        <v>5</v>
      </c>
      <c r="AL25" s="20">
        <v>0</v>
      </c>
      <c r="AM25" s="21">
        <v>0</v>
      </c>
      <c r="AN25" s="139" t="str">
        <f t="shared" si="12"/>
        <v>-</v>
      </c>
      <c r="AO25" s="20"/>
      <c r="AP25" s="21"/>
      <c r="AQ25" s="139" t="str">
        <f t="shared" si="13"/>
        <v>-</v>
      </c>
      <c r="AR25" s="20">
        <v>35</v>
      </c>
      <c r="AS25" s="21">
        <v>6</v>
      </c>
      <c r="AT25" s="139">
        <f t="shared" si="14"/>
        <v>5.833333333333333</v>
      </c>
      <c r="AU25" s="20">
        <v>0</v>
      </c>
      <c r="AV25" s="21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36"/>
        <v>-</v>
      </c>
      <c r="BA25" s="20">
        <v>0</v>
      </c>
      <c r="BB25" s="21">
        <v>0</v>
      </c>
      <c r="BC25" s="139" t="str">
        <f t="shared" si="37"/>
        <v>-</v>
      </c>
      <c r="BD25" s="20">
        <v>0</v>
      </c>
      <c r="BE25" s="21">
        <v>0</v>
      </c>
      <c r="BF25" s="139" t="str">
        <f t="shared" si="33"/>
        <v>-</v>
      </c>
      <c r="BG25" s="20">
        <v>0</v>
      </c>
      <c r="BH25" s="21">
        <v>0</v>
      </c>
      <c r="BI25" s="139" t="str">
        <f t="shared" si="34"/>
        <v>-</v>
      </c>
      <c r="BJ25" s="20">
        <v>0</v>
      </c>
      <c r="BK25" s="21">
        <v>0</v>
      </c>
      <c r="BL25" s="139" t="str">
        <f t="shared" si="20"/>
        <v>-</v>
      </c>
      <c r="BM25" s="20">
        <v>7</v>
      </c>
      <c r="BN25" s="21">
        <v>1</v>
      </c>
      <c r="BO25" s="122">
        <f t="shared" ref="BO25:BO27" si="75">IF(BN25=0,"",BM25/BN25)</f>
        <v>7</v>
      </c>
      <c r="BP25" s="20">
        <v>0</v>
      </c>
      <c r="BQ25" s="21">
        <v>0</v>
      </c>
      <c r="BR25" s="122" t="str">
        <f t="shared" ref="BR25:BR27" si="76">IF(BQ25=0,"",BP25/BQ25)</f>
        <v/>
      </c>
      <c r="BS25" s="354">
        <v>0</v>
      </c>
      <c r="BT25" s="271">
        <v>0</v>
      </c>
      <c r="BU25" s="357" t="str">
        <f t="shared" ref="BU25:BU27" si="77">IF(BT25=0,"",BS25/BT25)</f>
        <v/>
      </c>
      <c r="BV25" s="355">
        <v>0</v>
      </c>
      <c r="BW25" s="21">
        <v>0</v>
      </c>
      <c r="BX25" s="276" t="str">
        <f t="shared" si="24"/>
        <v>-</v>
      </c>
      <c r="BY25" s="117">
        <f t="shared" si="25"/>
        <v>257</v>
      </c>
      <c r="BZ25" s="117">
        <f t="shared" si="26"/>
        <v>39</v>
      </c>
      <c r="CA25" s="147">
        <f t="shared" si="27"/>
        <v>6.5897435897435894</v>
      </c>
    </row>
    <row r="26" spans="1:79" ht="15" thickBot="1" x14ac:dyDescent="0.35">
      <c r="A26" s="294">
        <v>45983</v>
      </c>
      <c r="B26" s="20">
        <v>115</v>
      </c>
      <c r="C26" s="21">
        <v>13</v>
      </c>
      <c r="D26" s="139">
        <f t="shared" si="0"/>
        <v>8.8461538461538467</v>
      </c>
      <c r="E26" s="20">
        <v>12</v>
      </c>
      <c r="F26" s="21">
        <v>2</v>
      </c>
      <c r="G26" s="139">
        <f t="shared" si="1"/>
        <v>6</v>
      </c>
      <c r="H26" s="20">
        <v>0</v>
      </c>
      <c r="I26" s="21">
        <v>0</v>
      </c>
      <c r="J26" s="139" t="str">
        <f t="shared" si="2"/>
        <v>-</v>
      </c>
      <c r="K26" s="20">
        <v>0</v>
      </c>
      <c r="L26" s="21">
        <v>0</v>
      </c>
      <c r="M26" s="139" t="str">
        <f t="shared" si="3"/>
        <v>-</v>
      </c>
      <c r="N26" s="125">
        <v>0</v>
      </c>
      <c r="O26" s="126">
        <v>0</v>
      </c>
      <c r="P26" s="139" t="str">
        <f t="shared" si="4"/>
        <v>-</v>
      </c>
      <c r="Q26" s="125">
        <v>0</v>
      </c>
      <c r="R26" s="126">
        <v>0</v>
      </c>
      <c r="S26" s="139" t="str">
        <f t="shared" si="5"/>
        <v>-</v>
      </c>
      <c r="T26" s="125">
        <v>47</v>
      </c>
      <c r="U26" s="126">
        <v>8</v>
      </c>
      <c r="V26" s="139">
        <f t="shared" si="6"/>
        <v>5.875</v>
      </c>
      <c r="W26" s="20">
        <v>0</v>
      </c>
      <c r="X26" s="21">
        <v>0</v>
      </c>
      <c r="Y26" s="139" t="str">
        <f t="shared" si="7"/>
        <v>-</v>
      </c>
      <c r="Z26" s="20">
        <v>0</v>
      </c>
      <c r="AA26" s="21">
        <v>0</v>
      </c>
      <c r="AB26" s="139" t="str">
        <f t="shared" si="8"/>
        <v>-</v>
      </c>
      <c r="AC26" s="20">
        <v>0</v>
      </c>
      <c r="AD26" s="21">
        <v>0</v>
      </c>
      <c r="AE26" s="139" t="str">
        <f t="shared" si="9"/>
        <v>-</v>
      </c>
      <c r="AF26" s="20">
        <v>0</v>
      </c>
      <c r="AG26" s="21">
        <v>0</v>
      </c>
      <c r="AH26" s="139" t="str">
        <f t="shared" si="10"/>
        <v>-</v>
      </c>
      <c r="AI26" s="20">
        <v>0</v>
      </c>
      <c r="AJ26" s="21">
        <v>0</v>
      </c>
      <c r="AK26" s="139" t="str">
        <f t="shared" si="11"/>
        <v>-</v>
      </c>
      <c r="AL26" s="20">
        <v>0</v>
      </c>
      <c r="AM26" s="21">
        <v>0</v>
      </c>
      <c r="AN26" s="139" t="str">
        <f t="shared" si="12"/>
        <v>-</v>
      </c>
      <c r="AO26" s="20">
        <v>12</v>
      </c>
      <c r="AP26" s="21">
        <v>2</v>
      </c>
      <c r="AQ26" s="139">
        <f t="shared" si="13"/>
        <v>6</v>
      </c>
      <c r="AR26" s="20">
        <v>42</v>
      </c>
      <c r="AS26" s="21">
        <v>7</v>
      </c>
      <c r="AT26" s="139">
        <f t="shared" si="14"/>
        <v>6</v>
      </c>
      <c r="AU26" s="20">
        <v>0</v>
      </c>
      <c r="AV26" s="21">
        <v>0</v>
      </c>
      <c r="AW26" s="139" t="str">
        <f t="shared" si="15"/>
        <v>-</v>
      </c>
      <c r="AX26" s="20">
        <v>0</v>
      </c>
      <c r="AY26" s="21">
        <v>0</v>
      </c>
      <c r="AZ26" s="139" t="str">
        <f t="shared" si="36"/>
        <v>-</v>
      </c>
      <c r="BA26" s="20">
        <v>0</v>
      </c>
      <c r="BB26" s="21">
        <v>0</v>
      </c>
      <c r="BC26" s="139" t="str">
        <f t="shared" si="37"/>
        <v>-</v>
      </c>
      <c r="BD26" s="20">
        <v>0</v>
      </c>
      <c r="BE26" s="21">
        <v>0</v>
      </c>
      <c r="BF26" s="139" t="str">
        <f t="shared" si="33"/>
        <v>-</v>
      </c>
      <c r="BG26" s="20">
        <v>0</v>
      </c>
      <c r="BH26" s="21">
        <v>0</v>
      </c>
      <c r="BI26" s="139" t="str">
        <f t="shared" si="34"/>
        <v>-</v>
      </c>
      <c r="BJ26" s="125">
        <v>0</v>
      </c>
      <c r="BK26" s="126">
        <v>0</v>
      </c>
      <c r="BL26" s="139" t="str">
        <f t="shared" si="20"/>
        <v>-</v>
      </c>
      <c r="BM26" s="20">
        <v>12</v>
      </c>
      <c r="BN26" s="21">
        <v>2</v>
      </c>
      <c r="BO26" s="122">
        <f t="shared" si="75"/>
        <v>6</v>
      </c>
      <c r="BP26" s="20">
        <v>0</v>
      </c>
      <c r="BQ26" s="21">
        <v>0</v>
      </c>
      <c r="BR26" s="122" t="str">
        <f t="shared" si="76"/>
        <v/>
      </c>
      <c r="BS26" s="354">
        <v>0</v>
      </c>
      <c r="BT26" s="271">
        <v>0</v>
      </c>
      <c r="BU26" s="357" t="str">
        <f t="shared" si="77"/>
        <v/>
      </c>
      <c r="BV26" s="355">
        <v>0</v>
      </c>
      <c r="BW26" s="21">
        <v>0</v>
      </c>
      <c r="BX26" s="276" t="str">
        <f t="shared" si="24"/>
        <v>-</v>
      </c>
      <c r="BY26" s="117">
        <f t="shared" si="25"/>
        <v>240</v>
      </c>
      <c r="BZ26" s="117">
        <f t="shared" si="26"/>
        <v>34</v>
      </c>
      <c r="CA26" s="147">
        <f t="shared" si="27"/>
        <v>7.0588235294117645</v>
      </c>
    </row>
    <row r="27" spans="1:79" ht="15" thickBot="1" x14ac:dyDescent="0.35">
      <c r="A27" s="294">
        <v>45984</v>
      </c>
      <c r="B27" s="20">
        <v>115</v>
      </c>
      <c r="C27" s="21">
        <v>12</v>
      </c>
      <c r="D27" s="139">
        <f t="shared" si="0"/>
        <v>9.5833333333333339</v>
      </c>
      <c r="E27" s="20">
        <v>0</v>
      </c>
      <c r="F27" s="21">
        <v>0</v>
      </c>
      <c r="G27" s="139" t="str">
        <f t="shared" si="1"/>
        <v>-</v>
      </c>
      <c r="H27" s="20">
        <v>0</v>
      </c>
      <c r="I27" s="21">
        <v>0</v>
      </c>
      <c r="J27" s="139" t="str">
        <f t="shared" si="2"/>
        <v>-</v>
      </c>
      <c r="K27" s="20">
        <v>34</v>
      </c>
      <c r="L27" s="21">
        <v>4</v>
      </c>
      <c r="M27" s="139">
        <f t="shared" si="3"/>
        <v>8.5</v>
      </c>
      <c r="N27" s="125">
        <v>0</v>
      </c>
      <c r="O27" s="126">
        <v>0</v>
      </c>
      <c r="P27" s="139" t="str">
        <f t="shared" si="4"/>
        <v>-</v>
      </c>
      <c r="Q27" s="125">
        <v>0</v>
      </c>
      <c r="R27" s="126">
        <v>0</v>
      </c>
      <c r="S27" s="139" t="str">
        <f t="shared" si="5"/>
        <v>-</v>
      </c>
      <c r="T27" s="125">
        <v>0</v>
      </c>
      <c r="U27" s="126">
        <v>0</v>
      </c>
      <c r="V27" s="139" t="str">
        <f t="shared" si="6"/>
        <v>-</v>
      </c>
      <c r="W27" s="20">
        <v>0</v>
      </c>
      <c r="X27" s="21">
        <v>0</v>
      </c>
      <c r="Y27" s="139" t="str">
        <f t="shared" si="7"/>
        <v>-</v>
      </c>
      <c r="Z27" s="20">
        <v>0</v>
      </c>
      <c r="AA27" s="21">
        <v>0</v>
      </c>
      <c r="AB27" s="139" t="str">
        <f t="shared" si="8"/>
        <v>-</v>
      </c>
      <c r="AC27" s="20">
        <v>0</v>
      </c>
      <c r="AD27" s="21">
        <v>0</v>
      </c>
      <c r="AE27" s="139" t="str">
        <f t="shared" si="9"/>
        <v>-</v>
      </c>
      <c r="AF27" s="20">
        <v>0</v>
      </c>
      <c r="AG27" s="21">
        <v>0</v>
      </c>
      <c r="AH27" s="139" t="str">
        <f t="shared" si="10"/>
        <v>-</v>
      </c>
      <c r="AI27" s="20">
        <v>0</v>
      </c>
      <c r="AJ27" s="21">
        <v>0</v>
      </c>
      <c r="AK27" s="139" t="str">
        <f t="shared" si="11"/>
        <v>-</v>
      </c>
      <c r="AL27" s="125">
        <v>0</v>
      </c>
      <c r="AM27" s="126">
        <v>0</v>
      </c>
      <c r="AN27" s="139" t="str">
        <f t="shared" si="12"/>
        <v>-</v>
      </c>
      <c r="AO27" s="125">
        <v>0</v>
      </c>
      <c r="AP27" s="126">
        <v>0</v>
      </c>
      <c r="AQ27" s="139" t="str">
        <f t="shared" si="13"/>
        <v>-</v>
      </c>
      <c r="AR27" s="125">
        <v>6</v>
      </c>
      <c r="AS27" s="126">
        <v>1</v>
      </c>
      <c r="AT27" s="139">
        <f t="shared" si="14"/>
        <v>6</v>
      </c>
      <c r="AU27" s="125">
        <v>0</v>
      </c>
      <c r="AV27" s="126">
        <v>0</v>
      </c>
      <c r="AW27" s="139" t="str">
        <f t="shared" si="15"/>
        <v>-</v>
      </c>
      <c r="AX27" s="125">
        <v>0</v>
      </c>
      <c r="AY27" s="126">
        <v>0</v>
      </c>
      <c r="AZ27" s="139" t="str">
        <f t="shared" si="36"/>
        <v>-</v>
      </c>
      <c r="BA27" s="125">
        <v>0</v>
      </c>
      <c r="BB27" s="126">
        <v>0</v>
      </c>
      <c r="BC27" s="139" t="str">
        <f t="shared" si="37"/>
        <v>-</v>
      </c>
      <c r="BD27" s="125">
        <v>0</v>
      </c>
      <c r="BE27" s="126">
        <v>0</v>
      </c>
      <c r="BF27" s="139" t="str">
        <f t="shared" si="33"/>
        <v>-</v>
      </c>
      <c r="BG27" s="125">
        <v>0</v>
      </c>
      <c r="BH27" s="126">
        <v>0</v>
      </c>
      <c r="BI27" s="139" t="str">
        <f t="shared" si="34"/>
        <v>-</v>
      </c>
      <c r="BJ27" s="125">
        <v>0</v>
      </c>
      <c r="BK27" s="126">
        <v>0</v>
      </c>
      <c r="BL27" s="139" t="str">
        <f t="shared" si="20"/>
        <v>-</v>
      </c>
      <c r="BM27" s="20">
        <v>25</v>
      </c>
      <c r="BN27" s="21">
        <v>4</v>
      </c>
      <c r="BO27" s="122">
        <f t="shared" si="75"/>
        <v>6.25</v>
      </c>
      <c r="BP27" s="20">
        <v>0</v>
      </c>
      <c r="BQ27" s="21">
        <v>0</v>
      </c>
      <c r="BR27" s="122" t="str">
        <f t="shared" si="76"/>
        <v/>
      </c>
      <c r="BS27" s="354">
        <v>0</v>
      </c>
      <c r="BT27" s="271">
        <v>0</v>
      </c>
      <c r="BU27" s="357" t="str">
        <f t="shared" si="77"/>
        <v/>
      </c>
      <c r="BV27" s="355">
        <v>0</v>
      </c>
      <c r="BW27" s="21">
        <v>0</v>
      </c>
      <c r="BX27" s="276" t="str">
        <f t="shared" si="24"/>
        <v>-</v>
      </c>
      <c r="BY27" s="117">
        <f t="shared" si="25"/>
        <v>180</v>
      </c>
      <c r="BZ27" s="117">
        <f t="shared" si="26"/>
        <v>21</v>
      </c>
      <c r="CA27" s="147">
        <f t="shared" si="27"/>
        <v>8.5714285714285712</v>
      </c>
    </row>
    <row r="28" spans="1:79" ht="15" thickBot="1" x14ac:dyDescent="0.35">
      <c r="A28" s="294">
        <v>45985</v>
      </c>
      <c r="B28" s="20">
        <v>49</v>
      </c>
      <c r="C28" s="21">
        <v>6</v>
      </c>
      <c r="D28" s="139">
        <f t="shared" si="0"/>
        <v>8.1666666666666661</v>
      </c>
      <c r="E28" s="20">
        <v>3</v>
      </c>
      <c r="F28" s="21">
        <v>1</v>
      </c>
      <c r="G28" s="139">
        <f t="shared" si="1"/>
        <v>3</v>
      </c>
      <c r="H28" s="20">
        <v>0</v>
      </c>
      <c r="I28" s="21">
        <v>0</v>
      </c>
      <c r="J28" s="139" t="str">
        <f t="shared" si="2"/>
        <v>-</v>
      </c>
      <c r="K28" s="20">
        <v>0</v>
      </c>
      <c r="L28" s="21">
        <v>0</v>
      </c>
      <c r="M28" s="139" t="str">
        <f t="shared" si="3"/>
        <v>-</v>
      </c>
      <c r="N28" s="125">
        <v>0</v>
      </c>
      <c r="O28" s="126">
        <v>0</v>
      </c>
      <c r="P28" s="139" t="str">
        <f t="shared" si="4"/>
        <v>-</v>
      </c>
      <c r="Q28" s="125">
        <v>0</v>
      </c>
      <c r="R28" s="126">
        <v>0</v>
      </c>
      <c r="S28" s="139" t="str">
        <f t="shared" si="5"/>
        <v>-</v>
      </c>
      <c r="T28" s="125">
        <v>37</v>
      </c>
      <c r="U28" s="126">
        <v>7</v>
      </c>
      <c r="V28" s="139">
        <f t="shared" si="6"/>
        <v>5.2857142857142856</v>
      </c>
      <c r="W28" s="20">
        <v>0</v>
      </c>
      <c r="X28" s="21">
        <v>0</v>
      </c>
      <c r="Y28" s="139" t="str">
        <f t="shared" si="7"/>
        <v>-</v>
      </c>
      <c r="Z28" s="20">
        <v>0</v>
      </c>
      <c r="AA28" s="21">
        <v>0</v>
      </c>
      <c r="AB28" s="139" t="str">
        <f t="shared" si="8"/>
        <v>-</v>
      </c>
      <c r="AC28" s="20">
        <v>0</v>
      </c>
      <c r="AD28" s="21">
        <v>0</v>
      </c>
      <c r="AE28" s="139" t="str">
        <f t="shared" si="9"/>
        <v>-</v>
      </c>
      <c r="AF28" s="20">
        <v>0</v>
      </c>
      <c r="AG28" s="21">
        <v>0</v>
      </c>
      <c r="AH28" s="139" t="str">
        <f t="shared" si="10"/>
        <v>-</v>
      </c>
      <c r="AI28" s="20">
        <v>20</v>
      </c>
      <c r="AJ28" s="21">
        <v>4</v>
      </c>
      <c r="AK28" s="139">
        <f t="shared" si="11"/>
        <v>5</v>
      </c>
      <c r="AL28" s="20">
        <v>0</v>
      </c>
      <c r="AM28" s="21">
        <v>0</v>
      </c>
      <c r="AN28" s="139" t="str">
        <f t="shared" si="12"/>
        <v>-</v>
      </c>
      <c r="AO28" s="20">
        <v>0</v>
      </c>
      <c r="AP28" s="21">
        <v>0</v>
      </c>
      <c r="AQ28" s="139" t="str">
        <f t="shared" si="13"/>
        <v>-</v>
      </c>
      <c r="AR28" s="20">
        <v>18</v>
      </c>
      <c r="AS28" s="21">
        <v>3</v>
      </c>
      <c r="AT28" s="139">
        <f t="shared" si="14"/>
        <v>6</v>
      </c>
      <c r="AU28" s="125">
        <v>0</v>
      </c>
      <c r="AV28" s="126">
        <v>0</v>
      </c>
      <c r="AW28" s="139" t="str">
        <f t="shared" si="15"/>
        <v>-</v>
      </c>
      <c r="AX28" s="125">
        <v>0</v>
      </c>
      <c r="AY28" s="126">
        <v>0</v>
      </c>
      <c r="AZ28" s="139" t="str">
        <f t="shared" si="36"/>
        <v>-</v>
      </c>
      <c r="BA28" s="125">
        <v>1</v>
      </c>
      <c r="BB28" s="126">
        <v>1</v>
      </c>
      <c r="BC28" s="139">
        <f t="shared" si="37"/>
        <v>1</v>
      </c>
      <c r="BD28" s="125">
        <v>0</v>
      </c>
      <c r="BE28" s="126">
        <v>0</v>
      </c>
      <c r="BF28" s="139" t="str">
        <f t="shared" si="33"/>
        <v>-</v>
      </c>
      <c r="BG28" s="125">
        <v>12</v>
      </c>
      <c r="BH28" s="126">
        <v>2</v>
      </c>
      <c r="BI28" s="139">
        <f t="shared" si="34"/>
        <v>6</v>
      </c>
      <c r="BJ28" s="125">
        <v>0</v>
      </c>
      <c r="BK28" s="126">
        <v>0</v>
      </c>
      <c r="BL28" s="139" t="str">
        <f t="shared" si="20"/>
        <v>-</v>
      </c>
      <c r="BM28" s="252">
        <v>56</v>
      </c>
      <c r="BN28" s="253">
        <v>10</v>
      </c>
      <c r="BO28" s="139">
        <f t="shared" si="21"/>
        <v>5.6</v>
      </c>
      <c r="BP28" s="252">
        <v>0</v>
      </c>
      <c r="BQ28" s="253">
        <v>0</v>
      </c>
      <c r="BR28" s="139" t="str">
        <f t="shared" si="22"/>
        <v>-</v>
      </c>
      <c r="BS28" s="302">
        <v>0</v>
      </c>
      <c r="BT28" s="303">
        <v>0</v>
      </c>
      <c r="BU28" s="139" t="str">
        <f t="shared" si="23"/>
        <v>-</v>
      </c>
      <c r="BV28" s="257">
        <v>0</v>
      </c>
      <c r="BW28" s="253">
        <v>0</v>
      </c>
      <c r="BX28" s="139" t="str">
        <f t="shared" si="24"/>
        <v>-</v>
      </c>
      <c r="BY28" s="117">
        <f t="shared" si="25"/>
        <v>196</v>
      </c>
      <c r="BZ28" s="117">
        <f t="shared" si="26"/>
        <v>34</v>
      </c>
      <c r="CA28" s="147">
        <f t="shared" si="27"/>
        <v>5.7647058823529411</v>
      </c>
    </row>
    <row r="29" spans="1:79" ht="15" thickBot="1" x14ac:dyDescent="0.35">
      <c r="A29" s="294">
        <v>45986</v>
      </c>
      <c r="B29" s="20">
        <v>76</v>
      </c>
      <c r="C29" s="21">
        <v>9</v>
      </c>
      <c r="D29" s="139">
        <f t="shared" si="0"/>
        <v>8.4444444444444446</v>
      </c>
      <c r="E29" s="20">
        <v>0</v>
      </c>
      <c r="F29" s="21">
        <v>0</v>
      </c>
      <c r="G29" s="139" t="str">
        <f t="shared" si="1"/>
        <v>-</v>
      </c>
      <c r="H29" s="20">
        <v>0</v>
      </c>
      <c r="I29" s="21">
        <v>0</v>
      </c>
      <c r="J29" s="139" t="str">
        <f t="shared" si="2"/>
        <v>-</v>
      </c>
      <c r="K29" s="20">
        <v>8</v>
      </c>
      <c r="L29" s="21">
        <v>1</v>
      </c>
      <c r="M29" s="139">
        <f t="shared" si="3"/>
        <v>8</v>
      </c>
      <c r="N29" s="125">
        <v>0</v>
      </c>
      <c r="O29" s="126">
        <v>0</v>
      </c>
      <c r="P29" s="139" t="str">
        <f t="shared" si="4"/>
        <v>-</v>
      </c>
      <c r="Q29" s="125">
        <v>0</v>
      </c>
      <c r="R29" s="126">
        <v>0</v>
      </c>
      <c r="S29" s="139" t="str">
        <f t="shared" si="5"/>
        <v>-</v>
      </c>
      <c r="T29" s="125">
        <v>33</v>
      </c>
      <c r="U29" s="126">
        <v>6</v>
      </c>
      <c r="V29" s="139">
        <f t="shared" si="6"/>
        <v>5.5</v>
      </c>
      <c r="W29" s="20">
        <v>0</v>
      </c>
      <c r="X29" s="21">
        <v>0</v>
      </c>
      <c r="Y29" s="139" t="str">
        <f t="shared" si="7"/>
        <v>-</v>
      </c>
      <c r="Z29" s="125">
        <v>0</v>
      </c>
      <c r="AA29" s="126">
        <v>0</v>
      </c>
      <c r="AB29" s="139" t="str">
        <f t="shared" si="8"/>
        <v>-</v>
      </c>
      <c r="AC29" s="125">
        <v>0</v>
      </c>
      <c r="AD29" s="126">
        <v>0</v>
      </c>
      <c r="AE29" s="139" t="str">
        <f t="shared" si="9"/>
        <v>-</v>
      </c>
      <c r="AF29" s="20">
        <v>49</v>
      </c>
      <c r="AG29" s="21">
        <v>10</v>
      </c>
      <c r="AH29" s="139">
        <f t="shared" si="10"/>
        <v>4.9000000000000004</v>
      </c>
      <c r="AI29" s="20">
        <v>10</v>
      </c>
      <c r="AJ29" s="21">
        <v>2</v>
      </c>
      <c r="AK29" s="139">
        <f t="shared" si="11"/>
        <v>5</v>
      </c>
      <c r="AL29" s="20">
        <v>0</v>
      </c>
      <c r="AM29" s="21">
        <v>0</v>
      </c>
      <c r="AN29" s="139" t="str">
        <f t="shared" si="12"/>
        <v>-</v>
      </c>
      <c r="AO29" s="20">
        <v>0</v>
      </c>
      <c r="AP29" s="21">
        <v>0</v>
      </c>
      <c r="AQ29" s="139" t="str">
        <f t="shared" si="13"/>
        <v>-</v>
      </c>
      <c r="AR29" s="20">
        <v>0</v>
      </c>
      <c r="AS29" s="21">
        <v>0</v>
      </c>
      <c r="AT29" s="139" t="str">
        <f t="shared" si="14"/>
        <v>-</v>
      </c>
      <c r="AU29" s="125">
        <v>0</v>
      </c>
      <c r="AV29" s="126">
        <v>0</v>
      </c>
      <c r="AW29" s="139" t="str">
        <f t="shared" si="15"/>
        <v>-</v>
      </c>
      <c r="AX29" s="125">
        <v>0</v>
      </c>
      <c r="AY29" s="126">
        <v>0</v>
      </c>
      <c r="AZ29" s="139" t="str">
        <f t="shared" si="36"/>
        <v>-</v>
      </c>
      <c r="BA29" s="125">
        <v>0</v>
      </c>
      <c r="BB29" s="126">
        <v>0</v>
      </c>
      <c r="BC29" s="139" t="str">
        <f t="shared" si="37"/>
        <v>-</v>
      </c>
      <c r="BD29" s="125">
        <v>0</v>
      </c>
      <c r="BE29" s="126">
        <v>0</v>
      </c>
      <c r="BF29" s="139" t="str">
        <f t="shared" si="33"/>
        <v>-</v>
      </c>
      <c r="BG29" s="125">
        <v>18</v>
      </c>
      <c r="BH29" s="126">
        <v>3</v>
      </c>
      <c r="BI29" s="139">
        <f t="shared" si="34"/>
        <v>6</v>
      </c>
      <c r="BJ29" s="125">
        <v>0</v>
      </c>
      <c r="BK29" s="126">
        <v>0</v>
      </c>
      <c r="BL29" s="139" t="str">
        <f t="shared" si="20"/>
        <v>-</v>
      </c>
      <c r="BM29" s="252">
        <v>26</v>
      </c>
      <c r="BN29" s="253">
        <v>4</v>
      </c>
      <c r="BO29" s="276">
        <f t="shared" si="21"/>
        <v>6.5</v>
      </c>
      <c r="BP29" s="252">
        <v>7</v>
      </c>
      <c r="BQ29" s="253">
        <v>1</v>
      </c>
      <c r="BR29" s="276">
        <f t="shared" si="22"/>
        <v>7</v>
      </c>
      <c r="BS29" s="302">
        <v>29</v>
      </c>
      <c r="BT29" s="303">
        <v>4</v>
      </c>
      <c r="BU29" s="276">
        <f t="shared" si="23"/>
        <v>7.25</v>
      </c>
      <c r="BV29" s="257">
        <v>0</v>
      </c>
      <c r="BW29" s="253">
        <v>0</v>
      </c>
      <c r="BX29" s="276" t="str">
        <f t="shared" si="24"/>
        <v>-</v>
      </c>
      <c r="BY29" s="117">
        <f t="shared" si="25"/>
        <v>256</v>
      </c>
      <c r="BZ29" s="117">
        <f t="shared" si="26"/>
        <v>40</v>
      </c>
      <c r="CA29" s="147">
        <f t="shared" si="27"/>
        <v>6.4</v>
      </c>
    </row>
    <row r="30" spans="1:79" ht="15" thickBot="1" x14ac:dyDescent="0.35">
      <c r="A30" s="294">
        <v>45987</v>
      </c>
      <c r="B30" s="20">
        <v>8</v>
      </c>
      <c r="C30" s="21">
        <v>1</v>
      </c>
      <c r="D30" s="139">
        <f t="shared" si="0"/>
        <v>8</v>
      </c>
      <c r="E30" s="20">
        <v>0</v>
      </c>
      <c r="F30" s="21">
        <v>0</v>
      </c>
      <c r="G30" s="139" t="str">
        <f t="shared" si="1"/>
        <v>-</v>
      </c>
      <c r="H30" s="20">
        <v>10</v>
      </c>
      <c r="I30" s="21">
        <v>2</v>
      </c>
      <c r="J30" s="139">
        <f t="shared" si="2"/>
        <v>5</v>
      </c>
      <c r="K30" s="20">
        <v>0</v>
      </c>
      <c r="L30" s="21">
        <v>0</v>
      </c>
      <c r="M30" s="139" t="str">
        <f t="shared" si="3"/>
        <v>-</v>
      </c>
      <c r="N30" s="125">
        <v>10</v>
      </c>
      <c r="O30" s="126">
        <v>2</v>
      </c>
      <c r="P30" s="139">
        <f t="shared" si="4"/>
        <v>5</v>
      </c>
      <c r="Q30" s="125">
        <v>0</v>
      </c>
      <c r="R30" s="126">
        <v>0</v>
      </c>
      <c r="S30" s="139" t="str">
        <f t="shared" si="5"/>
        <v>-</v>
      </c>
      <c r="T30" s="125">
        <v>34</v>
      </c>
      <c r="U30" s="126">
        <v>6</v>
      </c>
      <c r="V30" s="139">
        <f t="shared" si="6"/>
        <v>5.666666666666667</v>
      </c>
      <c r="W30" s="125">
        <v>0</v>
      </c>
      <c r="X30" s="126">
        <v>0</v>
      </c>
      <c r="Y30" s="139" t="str">
        <f t="shared" si="7"/>
        <v>-</v>
      </c>
      <c r="Z30" s="125">
        <v>0</v>
      </c>
      <c r="AA30" s="126">
        <v>0</v>
      </c>
      <c r="AB30" s="139" t="str">
        <f t="shared" si="8"/>
        <v>-</v>
      </c>
      <c r="AC30" s="125">
        <v>0</v>
      </c>
      <c r="AD30" s="126">
        <v>0</v>
      </c>
      <c r="AE30" s="139" t="str">
        <f t="shared" si="9"/>
        <v>-</v>
      </c>
      <c r="AF30" s="125">
        <v>0</v>
      </c>
      <c r="AG30" s="126">
        <v>0</v>
      </c>
      <c r="AH30" s="139" t="str">
        <f t="shared" si="10"/>
        <v>-</v>
      </c>
      <c r="AI30" s="125">
        <v>20</v>
      </c>
      <c r="AJ30" s="126">
        <v>4</v>
      </c>
      <c r="AK30" s="139">
        <f t="shared" si="11"/>
        <v>5</v>
      </c>
      <c r="AL30" s="20">
        <v>12</v>
      </c>
      <c r="AM30" s="21">
        <v>2</v>
      </c>
      <c r="AN30" s="139">
        <f t="shared" si="12"/>
        <v>6</v>
      </c>
      <c r="AO30" s="20">
        <v>0</v>
      </c>
      <c r="AP30" s="21">
        <v>0</v>
      </c>
      <c r="AQ30" s="139" t="str">
        <f t="shared" si="13"/>
        <v>-</v>
      </c>
      <c r="AR30" s="125">
        <v>36</v>
      </c>
      <c r="AS30" s="126">
        <v>6</v>
      </c>
      <c r="AT30" s="139">
        <f t="shared" si="14"/>
        <v>6</v>
      </c>
      <c r="AU30" s="125">
        <v>0</v>
      </c>
      <c r="AV30" s="126">
        <v>0</v>
      </c>
      <c r="AW30" s="139" t="str">
        <f t="shared" si="15"/>
        <v>-</v>
      </c>
      <c r="AX30" s="125">
        <v>0</v>
      </c>
      <c r="AY30" s="126">
        <v>0</v>
      </c>
      <c r="AZ30" s="139" t="str">
        <f t="shared" si="36"/>
        <v>-</v>
      </c>
      <c r="BA30" s="125">
        <v>1</v>
      </c>
      <c r="BB30" s="126">
        <v>1</v>
      </c>
      <c r="BC30" s="139">
        <f t="shared" si="37"/>
        <v>1</v>
      </c>
      <c r="BD30" s="125">
        <v>0</v>
      </c>
      <c r="BE30" s="126">
        <v>0</v>
      </c>
      <c r="BF30" s="139" t="str">
        <f t="shared" si="33"/>
        <v>-</v>
      </c>
      <c r="BG30" s="125">
        <v>12</v>
      </c>
      <c r="BH30" s="126">
        <v>2</v>
      </c>
      <c r="BI30" s="139">
        <f t="shared" si="34"/>
        <v>6</v>
      </c>
      <c r="BJ30" s="125">
        <v>0</v>
      </c>
      <c r="BK30" s="126">
        <v>0</v>
      </c>
      <c r="BL30" s="139" t="str">
        <f t="shared" si="20"/>
        <v>-</v>
      </c>
      <c r="BM30" s="252">
        <v>51</v>
      </c>
      <c r="BN30" s="253">
        <v>8</v>
      </c>
      <c r="BO30" s="276">
        <f t="shared" si="21"/>
        <v>6.375</v>
      </c>
      <c r="BP30" s="252">
        <v>0</v>
      </c>
      <c r="BQ30" s="253">
        <v>0</v>
      </c>
      <c r="BR30" s="276" t="str">
        <f t="shared" si="22"/>
        <v>-</v>
      </c>
      <c r="BS30" s="302">
        <v>0</v>
      </c>
      <c r="BT30" s="303">
        <v>0</v>
      </c>
      <c r="BU30" s="276" t="str">
        <f t="shared" si="23"/>
        <v>-</v>
      </c>
      <c r="BV30" s="257">
        <v>0</v>
      </c>
      <c r="BW30" s="253">
        <v>0</v>
      </c>
      <c r="BX30" s="276" t="str">
        <f t="shared" si="24"/>
        <v>-</v>
      </c>
      <c r="BY30" s="117">
        <f t="shared" si="25"/>
        <v>184</v>
      </c>
      <c r="BZ30" s="117">
        <f t="shared" si="26"/>
        <v>32</v>
      </c>
      <c r="CA30" s="147">
        <f t="shared" si="27"/>
        <v>5.75</v>
      </c>
    </row>
    <row r="31" spans="1:79" ht="15" thickBot="1" x14ac:dyDescent="0.35">
      <c r="A31" s="294">
        <v>45988</v>
      </c>
      <c r="B31" s="20">
        <v>111</v>
      </c>
      <c r="C31" s="21">
        <v>13</v>
      </c>
      <c r="D31" s="139">
        <f t="shared" si="0"/>
        <v>8.5384615384615383</v>
      </c>
      <c r="E31" s="20">
        <v>0</v>
      </c>
      <c r="F31" s="21">
        <v>0</v>
      </c>
      <c r="G31" s="139" t="str">
        <f t="shared" si="1"/>
        <v>-</v>
      </c>
      <c r="H31" s="20">
        <v>0</v>
      </c>
      <c r="I31" s="21">
        <v>0</v>
      </c>
      <c r="J31" s="139" t="str">
        <f t="shared" si="2"/>
        <v>-</v>
      </c>
      <c r="K31" s="20">
        <v>0</v>
      </c>
      <c r="L31" s="21">
        <v>0</v>
      </c>
      <c r="M31" s="139" t="str">
        <f t="shared" si="3"/>
        <v>-</v>
      </c>
      <c r="N31" s="125">
        <v>0</v>
      </c>
      <c r="O31" s="126">
        <v>0</v>
      </c>
      <c r="P31" s="139" t="str">
        <f t="shared" si="4"/>
        <v>-</v>
      </c>
      <c r="Q31" s="125">
        <v>30</v>
      </c>
      <c r="R31" s="126">
        <v>5</v>
      </c>
      <c r="S31" s="139">
        <f t="shared" si="5"/>
        <v>6</v>
      </c>
      <c r="T31" s="125">
        <v>22</v>
      </c>
      <c r="U31" s="126">
        <v>4</v>
      </c>
      <c r="V31" s="139">
        <f t="shared" si="6"/>
        <v>5.5</v>
      </c>
      <c r="W31" s="125">
        <v>0</v>
      </c>
      <c r="X31" s="126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125">
        <v>0</v>
      </c>
      <c r="AD31" s="126">
        <v>0</v>
      </c>
      <c r="AE31" s="139" t="str">
        <f t="shared" si="9"/>
        <v>-</v>
      </c>
      <c r="AF31" s="125">
        <v>0</v>
      </c>
      <c r="AG31" s="126">
        <v>0</v>
      </c>
      <c r="AH31" s="139" t="str">
        <f t="shared" si="10"/>
        <v>-</v>
      </c>
      <c r="AI31" s="125">
        <v>20</v>
      </c>
      <c r="AJ31" s="126">
        <v>4</v>
      </c>
      <c r="AK31" s="139">
        <f t="shared" si="11"/>
        <v>5</v>
      </c>
      <c r="AL31" s="125">
        <v>0</v>
      </c>
      <c r="AM31" s="126">
        <v>0</v>
      </c>
      <c r="AN31" s="139" t="str">
        <f t="shared" si="12"/>
        <v>-</v>
      </c>
      <c r="AO31" s="125">
        <v>0</v>
      </c>
      <c r="AP31" s="126">
        <v>0</v>
      </c>
      <c r="AQ31" s="139" t="str">
        <f t="shared" si="13"/>
        <v>-</v>
      </c>
      <c r="AR31" s="125">
        <v>4</v>
      </c>
      <c r="AS31" s="126">
        <v>1</v>
      </c>
      <c r="AT31" s="139">
        <f t="shared" si="14"/>
        <v>4</v>
      </c>
      <c r="AU31" s="125">
        <v>0</v>
      </c>
      <c r="AV31" s="126">
        <v>0</v>
      </c>
      <c r="AW31" s="139" t="str">
        <f t="shared" si="15"/>
        <v>-</v>
      </c>
      <c r="AX31" s="125">
        <v>0</v>
      </c>
      <c r="AY31" s="126">
        <v>0</v>
      </c>
      <c r="AZ31" s="139" t="str">
        <f t="shared" si="36"/>
        <v>-</v>
      </c>
      <c r="BA31" s="125">
        <v>2</v>
      </c>
      <c r="BB31" s="126">
        <v>1</v>
      </c>
      <c r="BC31" s="139">
        <f t="shared" si="37"/>
        <v>2</v>
      </c>
      <c r="BD31" s="125">
        <v>0</v>
      </c>
      <c r="BE31" s="126">
        <v>0</v>
      </c>
      <c r="BF31" s="139" t="str">
        <f t="shared" si="33"/>
        <v>-</v>
      </c>
      <c r="BG31" s="125">
        <v>16</v>
      </c>
      <c r="BH31" s="126">
        <v>3</v>
      </c>
      <c r="BI31" s="139">
        <f t="shared" si="34"/>
        <v>5.333333333333333</v>
      </c>
      <c r="BJ31" s="125">
        <v>0</v>
      </c>
      <c r="BK31" s="126">
        <v>0</v>
      </c>
      <c r="BL31" s="139" t="str">
        <f t="shared" si="20"/>
        <v>-</v>
      </c>
      <c r="BM31" s="252">
        <v>34</v>
      </c>
      <c r="BN31" s="253">
        <v>6</v>
      </c>
      <c r="BO31" s="276">
        <f t="shared" si="21"/>
        <v>5.666666666666667</v>
      </c>
      <c r="BP31" s="252">
        <v>0</v>
      </c>
      <c r="BQ31" s="253">
        <v>0</v>
      </c>
      <c r="BR31" s="276" t="str">
        <f t="shared" si="22"/>
        <v>-</v>
      </c>
      <c r="BS31" s="302">
        <v>0</v>
      </c>
      <c r="BT31" s="303">
        <v>0</v>
      </c>
      <c r="BU31" s="276" t="str">
        <f t="shared" si="23"/>
        <v>-</v>
      </c>
      <c r="BV31" s="257">
        <v>0</v>
      </c>
      <c r="BW31" s="253">
        <v>0</v>
      </c>
      <c r="BX31" s="276" t="str">
        <f>IF(BW31=0,"-",BV31/BW31)</f>
        <v>-</v>
      </c>
      <c r="BY31" s="117">
        <f t="shared" si="25"/>
        <v>239</v>
      </c>
      <c r="BZ31" s="117">
        <f t="shared" si="26"/>
        <v>37</v>
      </c>
      <c r="CA31" s="147">
        <f t="shared" si="27"/>
        <v>6.4594594594594597</v>
      </c>
    </row>
    <row r="32" spans="1:79" ht="15" thickBot="1" x14ac:dyDescent="0.35">
      <c r="A32" s="294">
        <v>45989</v>
      </c>
      <c r="B32" s="20">
        <v>114</v>
      </c>
      <c r="C32" s="21">
        <v>13</v>
      </c>
      <c r="D32" s="139">
        <f t="shared" si="0"/>
        <v>8.7692307692307701</v>
      </c>
      <c r="E32" s="20">
        <v>0</v>
      </c>
      <c r="F32" s="21">
        <v>0</v>
      </c>
      <c r="G32" s="139" t="str">
        <f t="shared" si="1"/>
        <v>-</v>
      </c>
      <c r="H32" s="20">
        <v>12</v>
      </c>
      <c r="I32" s="21">
        <v>3</v>
      </c>
      <c r="J32" s="139">
        <f t="shared" si="2"/>
        <v>4</v>
      </c>
      <c r="K32" s="20">
        <v>0</v>
      </c>
      <c r="L32" s="21">
        <v>0</v>
      </c>
      <c r="M32" s="139" t="str">
        <f t="shared" si="3"/>
        <v>-</v>
      </c>
      <c r="N32" s="125">
        <v>0</v>
      </c>
      <c r="O32" s="126">
        <v>0</v>
      </c>
      <c r="P32" s="139" t="str">
        <f t="shared" si="4"/>
        <v>-</v>
      </c>
      <c r="Q32" s="125"/>
      <c r="R32" s="126"/>
      <c r="S32" s="139" t="str">
        <f t="shared" si="5"/>
        <v>-</v>
      </c>
      <c r="T32" s="125">
        <v>33</v>
      </c>
      <c r="U32" s="126">
        <v>6</v>
      </c>
      <c r="V32" s="139">
        <f t="shared" si="6"/>
        <v>5.5</v>
      </c>
      <c r="W32" s="125">
        <v>0</v>
      </c>
      <c r="X32" s="126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si="8"/>
        <v>-</v>
      </c>
      <c r="AC32" s="125"/>
      <c r="AD32" s="126"/>
      <c r="AE32" s="139" t="str">
        <f t="shared" si="9"/>
        <v>-</v>
      </c>
      <c r="AF32" s="125"/>
      <c r="AG32" s="126"/>
      <c r="AH32" s="139" t="str">
        <f t="shared" si="10"/>
        <v>-</v>
      </c>
      <c r="AI32" s="125">
        <v>25</v>
      </c>
      <c r="AJ32" s="126">
        <v>5</v>
      </c>
      <c r="AK32" s="139">
        <f t="shared" si="11"/>
        <v>5</v>
      </c>
      <c r="AL32" s="125">
        <v>0</v>
      </c>
      <c r="AM32" s="126">
        <v>0</v>
      </c>
      <c r="AN32" s="139" t="str">
        <f t="shared" si="12"/>
        <v>-</v>
      </c>
      <c r="AO32" s="125">
        <v>0</v>
      </c>
      <c r="AP32" s="126">
        <v>0</v>
      </c>
      <c r="AQ32" s="139" t="str">
        <f t="shared" si="13"/>
        <v>-</v>
      </c>
      <c r="AR32" s="125">
        <v>18</v>
      </c>
      <c r="AS32" s="126">
        <v>3</v>
      </c>
      <c r="AT32" s="139">
        <f t="shared" si="14"/>
        <v>6</v>
      </c>
      <c r="AU32" s="125">
        <v>0</v>
      </c>
      <c r="AV32" s="126">
        <v>0</v>
      </c>
      <c r="AW32" s="139" t="str">
        <f t="shared" si="15"/>
        <v>-</v>
      </c>
      <c r="AX32" s="125">
        <v>0</v>
      </c>
      <c r="AY32" s="126">
        <v>0</v>
      </c>
      <c r="AZ32" s="139" t="str">
        <f t="shared" si="36"/>
        <v>-</v>
      </c>
      <c r="BA32" s="125">
        <v>4</v>
      </c>
      <c r="BB32" s="126">
        <v>1</v>
      </c>
      <c r="BC32" s="139">
        <f t="shared" si="37"/>
        <v>4</v>
      </c>
      <c r="BD32" s="125">
        <v>0</v>
      </c>
      <c r="BE32" s="126">
        <v>0</v>
      </c>
      <c r="BF32" s="139" t="str">
        <f t="shared" si="33"/>
        <v>-</v>
      </c>
      <c r="BG32" s="125">
        <v>5</v>
      </c>
      <c r="BH32" s="126">
        <v>1</v>
      </c>
      <c r="BI32" s="139">
        <f t="shared" si="34"/>
        <v>5</v>
      </c>
      <c r="BJ32" s="125">
        <v>0</v>
      </c>
      <c r="BK32" s="126">
        <v>0</v>
      </c>
      <c r="BL32" s="139" t="str">
        <f t="shared" si="20"/>
        <v>-</v>
      </c>
      <c r="BM32" s="318">
        <v>22</v>
      </c>
      <c r="BN32" s="253">
        <v>4</v>
      </c>
      <c r="BO32" s="276">
        <f t="shared" si="21"/>
        <v>5.5</v>
      </c>
      <c r="BP32" s="252">
        <v>0</v>
      </c>
      <c r="BQ32" s="253">
        <v>0</v>
      </c>
      <c r="BR32" s="276" t="str">
        <f t="shared" si="22"/>
        <v>-</v>
      </c>
      <c r="BS32" s="302">
        <v>0</v>
      </c>
      <c r="BT32" s="303">
        <v>0</v>
      </c>
      <c r="BU32" s="276" t="str">
        <f t="shared" si="23"/>
        <v>-</v>
      </c>
      <c r="BV32" s="257">
        <v>0</v>
      </c>
      <c r="BW32" s="253">
        <v>0</v>
      </c>
      <c r="BX32" s="276" t="str">
        <f>IF(BW32=0,"-",BV32/BW32)</f>
        <v>-</v>
      </c>
      <c r="BY32" s="117">
        <f t="shared" si="25"/>
        <v>221</v>
      </c>
      <c r="BZ32" s="117">
        <f t="shared" si="26"/>
        <v>33</v>
      </c>
      <c r="CA32" s="147">
        <f t="shared" si="27"/>
        <v>6.6969696969696972</v>
      </c>
    </row>
    <row r="33" spans="1:79" ht="15" thickBot="1" x14ac:dyDescent="0.35">
      <c r="A33" s="294">
        <v>45990</v>
      </c>
      <c r="B33" s="20">
        <v>20</v>
      </c>
      <c r="C33" s="21">
        <v>2</v>
      </c>
      <c r="D33" s="139">
        <f t="shared" si="0"/>
        <v>10</v>
      </c>
      <c r="E33" s="20">
        <v>45</v>
      </c>
      <c r="F33" s="21">
        <v>8</v>
      </c>
      <c r="G33" s="139">
        <f t="shared" si="1"/>
        <v>5.625</v>
      </c>
      <c r="H33" s="20">
        <v>0</v>
      </c>
      <c r="I33" s="21">
        <v>0</v>
      </c>
      <c r="J33" s="139" t="str">
        <f t="shared" si="2"/>
        <v>-</v>
      </c>
      <c r="K33" s="20">
        <v>0</v>
      </c>
      <c r="L33" s="21">
        <v>0</v>
      </c>
      <c r="M33" s="139" t="str">
        <f t="shared" si="3"/>
        <v>-</v>
      </c>
      <c r="N33" s="125">
        <v>0</v>
      </c>
      <c r="O33" s="126">
        <v>0</v>
      </c>
      <c r="P33" s="139" t="str">
        <f t="shared" si="4"/>
        <v>-</v>
      </c>
      <c r="Q33" s="125"/>
      <c r="R33" s="126"/>
      <c r="S33" s="139" t="str">
        <f t="shared" si="5"/>
        <v>-</v>
      </c>
      <c r="T33" s="125">
        <v>32</v>
      </c>
      <c r="U33" s="126">
        <v>6</v>
      </c>
      <c r="V33" s="139">
        <f t="shared" si="6"/>
        <v>5.333333333333333</v>
      </c>
      <c r="W33" s="125">
        <v>28</v>
      </c>
      <c r="X33" s="126">
        <v>6</v>
      </c>
      <c r="Y33" s="139">
        <f t="shared" si="7"/>
        <v>4.666666666666667</v>
      </c>
      <c r="Z33" s="125">
        <v>0</v>
      </c>
      <c r="AA33" s="126">
        <v>0</v>
      </c>
      <c r="AB33" s="139" t="str">
        <f t="shared" si="8"/>
        <v>-</v>
      </c>
      <c r="AC33" s="125"/>
      <c r="AD33" s="126"/>
      <c r="AE33" s="139" t="str">
        <f t="shared" si="9"/>
        <v>-</v>
      </c>
      <c r="AF33" s="125"/>
      <c r="AG33" s="126"/>
      <c r="AH33" s="139" t="str">
        <f t="shared" si="10"/>
        <v>-</v>
      </c>
      <c r="AI33" s="125">
        <v>0</v>
      </c>
      <c r="AJ33" s="126">
        <v>0</v>
      </c>
      <c r="AK33" s="139" t="str">
        <f t="shared" si="11"/>
        <v>-</v>
      </c>
      <c r="AL33" s="125">
        <v>0</v>
      </c>
      <c r="AM33" s="126">
        <v>0</v>
      </c>
      <c r="AN33" s="139" t="str">
        <f t="shared" si="12"/>
        <v>-</v>
      </c>
      <c r="AO33" s="125">
        <v>36</v>
      </c>
      <c r="AP33" s="126">
        <v>6</v>
      </c>
      <c r="AQ33" s="139">
        <f t="shared" si="13"/>
        <v>6</v>
      </c>
      <c r="AR33" s="125">
        <v>0</v>
      </c>
      <c r="AS33" s="126">
        <v>0</v>
      </c>
      <c r="AT33" s="139" t="str">
        <f t="shared" si="14"/>
        <v>-</v>
      </c>
      <c r="AU33" s="125">
        <v>0</v>
      </c>
      <c r="AV33" s="126">
        <v>0</v>
      </c>
      <c r="AW33" s="139" t="str">
        <f t="shared" si="15"/>
        <v>-</v>
      </c>
      <c r="AX33" s="125">
        <v>0</v>
      </c>
      <c r="AY33" s="126">
        <v>0</v>
      </c>
      <c r="AZ33" s="139" t="str">
        <f t="shared" si="36"/>
        <v>-</v>
      </c>
      <c r="BA33" s="125">
        <v>0</v>
      </c>
      <c r="BB33" s="126">
        <v>0</v>
      </c>
      <c r="BC33" s="139" t="str">
        <f t="shared" si="37"/>
        <v>-</v>
      </c>
      <c r="BD33" s="125">
        <v>0</v>
      </c>
      <c r="BE33" s="126">
        <v>0</v>
      </c>
      <c r="BF33" s="139" t="str">
        <f t="shared" si="33"/>
        <v>-</v>
      </c>
      <c r="BG33" s="125">
        <v>0</v>
      </c>
      <c r="BH33" s="126">
        <v>0</v>
      </c>
      <c r="BI33" s="139" t="str">
        <f t="shared" si="34"/>
        <v>-</v>
      </c>
      <c r="BJ33" s="125">
        <v>0</v>
      </c>
      <c r="BK33" s="126">
        <v>0</v>
      </c>
      <c r="BL33" s="139" t="str">
        <f t="shared" si="20"/>
        <v>-</v>
      </c>
      <c r="BM33" s="252">
        <v>34</v>
      </c>
      <c r="BN33" s="253">
        <v>5</v>
      </c>
      <c r="BO33" s="276">
        <f t="shared" si="21"/>
        <v>6.8</v>
      </c>
      <c r="BP33" s="252">
        <v>0</v>
      </c>
      <c r="BQ33" s="253">
        <v>0</v>
      </c>
      <c r="BR33" s="276" t="str">
        <f t="shared" si="22"/>
        <v>-</v>
      </c>
      <c r="BS33" s="252">
        <v>0</v>
      </c>
      <c r="BT33" s="253">
        <v>0</v>
      </c>
      <c r="BU33" s="276" t="str">
        <f t="shared" si="23"/>
        <v>-</v>
      </c>
      <c r="BV33" s="257">
        <v>0</v>
      </c>
      <c r="BW33" s="253">
        <v>0</v>
      </c>
      <c r="BX33" s="276" t="str">
        <f t="shared" si="24"/>
        <v>-</v>
      </c>
      <c r="BY33" s="117">
        <f t="shared" si="25"/>
        <v>195</v>
      </c>
      <c r="BZ33" s="117">
        <f t="shared" si="26"/>
        <v>33</v>
      </c>
      <c r="CA33" s="147">
        <f t="shared" si="27"/>
        <v>5.9090909090909092</v>
      </c>
    </row>
    <row r="34" spans="1:79" ht="15" thickBot="1" x14ac:dyDescent="0.35">
      <c r="A34" s="294">
        <v>45991</v>
      </c>
      <c r="B34" s="20">
        <v>44</v>
      </c>
      <c r="C34" s="21">
        <v>5</v>
      </c>
      <c r="D34" s="139">
        <f t="shared" si="0"/>
        <v>8.8000000000000007</v>
      </c>
      <c r="E34" s="20">
        <v>0</v>
      </c>
      <c r="F34" s="21">
        <v>0</v>
      </c>
      <c r="G34" s="139" t="str">
        <f t="shared" si="1"/>
        <v>-</v>
      </c>
      <c r="H34" s="20">
        <v>0</v>
      </c>
      <c r="I34" s="21">
        <v>0</v>
      </c>
      <c r="J34" s="139" t="str">
        <f t="shared" si="2"/>
        <v>-</v>
      </c>
      <c r="K34" s="20">
        <v>0</v>
      </c>
      <c r="L34" s="21">
        <v>0</v>
      </c>
      <c r="M34" s="139" t="str">
        <f t="shared" si="3"/>
        <v>-</v>
      </c>
      <c r="N34" s="125">
        <v>0</v>
      </c>
      <c r="O34" s="126">
        <v>0</v>
      </c>
      <c r="P34" s="139" t="str">
        <f t="shared" si="4"/>
        <v>-</v>
      </c>
      <c r="Q34" s="125"/>
      <c r="R34" s="126"/>
      <c r="S34" s="139" t="str">
        <f t="shared" si="5"/>
        <v>-</v>
      </c>
      <c r="T34" s="125"/>
      <c r="U34" s="126"/>
      <c r="V34" s="139" t="str">
        <f t="shared" si="6"/>
        <v>-</v>
      </c>
      <c r="W34" s="125"/>
      <c r="X34" s="126"/>
      <c r="Y34" s="139" t="str">
        <f t="shared" si="7"/>
        <v>-</v>
      </c>
      <c r="Z34" s="125">
        <v>0</v>
      </c>
      <c r="AA34" s="126">
        <v>0</v>
      </c>
      <c r="AB34" s="139" t="str">
        <f t="shared" si="8"/>
        <v>-</v>
      </c>
      <c r="AC34" s="125"/>
      <c r="AD34" s="126"/>
      <c r="AE34" s="139" t="str">
        <f t="shared" si="9"/>
        <v>-</v>
      </c>
      <c r="AF34" s="125"/>
      <c r="AG34" s="126"/>
      <c r="AH34" s="139" t="str">
        <f t="shared" si="10"/>
        <v>-</v>
      </c>
      <c r="AI34" s="125">
        <v>0</v>
      </c>
      <c r="AJ34" s="126">
        <v>0</v>
      </c>
      <c r="AK34" s="139" t="str">
        <f t="shared" si="11"/>
        <v>-</v>
      </c>
      <c r="AL34" s="125">
        <v>0</v>
      </c>
      <c r="AM34" s="126">
        <v>0</v>
      </c>
      <c r="AN34" s="139" t="str">
        <f t="shared" si="12"/>
        <v>-</v>
      </c>
      <c r="AO34" s="125">
        <v>0</v>
      </c>
      <c r="AP34" s="126">
        <v>0</v>
      </c>
      <c r="AQ34" s="139" t="str">
        <f t="shared" si="13"/>
        <v>-</v>
      </c>
      <c r="AR34" s="125">
        <v>0</v>
      </c>
      <c r="AS34" s="126">
        <v>0</v>
      </c>
      <c r="AT34" s="139" t="str">
        <f t="shared" si="14"/>
        <v>-</v>
      </c>
      <c r="AU34" s="125">
        <v>0</v>
      </c>
      <c r="AV34" s="126">
        <v>0</v>
      </c>
      <c r="AW34" s="139" t="str">
        <f t="shared" si="15"/>
        <v>-</v>
      </c>
      <c r="AX34" s="125">
        <v>0</v>
      </c>
      <c r="AY34" s="126">
        <v>0</v>
      </c>
      <c r="AZ34" s="139" t="str">
        <f t="shared" si="36"/>
        <v>-</v>
      </c>
      <c r="BA34" s="125">
        <v>0</v>
      </c>
      <c r="BB34" s="126">
        <v>0</v>
      </c>
      <c r="BC34" s="139" t="str">
        <f t="shared" si="37"/>
        <v>-</v>
      </c>
      <c r="BD34" s="125">
        <v>0</v>
      </c>
      <c r="BE34" s="126">
        <v>0</v>
      </c>
      <c r="BF34" s="139" t="str">
        <f t="shared" si="33"/>
        <v>-</v>
      </c>
      <c r="BG34" s="125">
        <v>0</v>
      </c>
      <c r="BH34" s="126">
        <v>0</v>
      </c>
      <c r="BI34" s="139" t="str">
        <f t="shared" si="34"/>
        <v>-</v>
      </c>
      <c r="BJ34" s="125">
        <v>0</v>
      </c>
      <c r="BK34" s="126">
        <v>0</v>
      </c>
      <c r="BL34" s="139" t="str">
        <f t="shared" si="20"/>
        <v>-</v>
      </c>
      <c r="BM34" s="252">
        <v>67</v>
      </c>
      <c r="BN34" s="253">
        <v>10</v>
      </c>
      <c r="BO34" s="276">
        <f t="shared" si="21"/>
        <v>6.7</v>
      </c>
      <c r="BP34" s="252">
        <v>0</v>
      </c>
      <c r="BQ34" s="253">
        <v>0</v>
      </c>
      <c r="BR34" s="276" t="str">
        <f t="shared" si="22"/>
        <v>-</v>
      </c>
      <c r="BS34" s="252">
        <v>0</v>
      </c>
      <c r="BT34" s="253">
        <v>0</v>
      </c>
      <c r="BU34" s="276" t="str">
        <f t="shared" si="23"/>
        <v>-</v>
      </c>
      <c r="BV34" s="257">
        <v>0</v>
      </c>
      <c r="BW34" s="253">
        <v>0</v>
      </c>
      <c r="BX34" s="276" t="str">
        <f t="shared" si="24"/>
        <v>-</v>
      </c>
      <c r="BY34" s="117">
        <f t="shared" si="25"/>
        <v>111</v>
      </c>
      <c r="BZ34" s="117">
        <f t="shared" si="26"/>
        <v>15</v>
      </c>
      <c r="CA34" s="147">
        <f t="shared" si="27"/>
        <v>7.4</v>
      </c>
    </row>
    <row r="35" spans="1:79" s="41" customFormat="1" ht="15.6" customHeight="1" thickBot="1" x14ac:dyDescent="0.35">
      <c r="A35" s="295" t="s">
        <v>33</v>
      </c>
      <c r="B35" s="43">
        <f>SUM(B5:B34)</f>
        <v>2480</v>
      </c>
      <c r="C35" s="43">
        <f>SUM(C5:C34)</f>
        <v>282</v>
      </c>
      <c r="D35" s="332">
        <f t="shared" si="0"/>
        <v>8.7943262411347511</v>
      </c>
      <c r="E35" s="43">
        <f>SUM(E5:E34)</f>
        <v>141</v>
      </c>
      <c r="F35" s="43">
        <f>SUM(F5:F34)</f>
        <v>23</v>
      </c>
      <c r="G35" s="332">
        <f t="shared" si="1"/>
        <v>6.1304347826086953</v>
      </c>
      <c r="H35" s="43">
        <f>SUM(H5:H34)</f>
        <v>74</v>
      </c>
      <c r="I35" s="43">
        <f t="shared" ref="I35:J35" si="78">SUM(I5:I34)</f>
        <v>14</v>
      </c>
      <c r="J35" s="43">
        <f t="shared" si="78"/>
        <v>20.75</v>
      </c>
      <c r="K35" s="43">
        <f>SUM(K5:K34)</f>
        <v>397</v>
      </c>
      <c r="L35" s="43">
        <f>SUM(L5:L34)</f>
        <v>48</v>
      </c>
      <c r="M35" s="334">
        <f t="shared" si="3"/>
        <v>8.2708333333333339</v>
      </c>
      <c r="N35" s="43">
        <f t="shared" ref="N35:R35" si="79">SUM(N5:N34)</f>
        <v>37</v>
      </c>
      <c r="O35" s="43">
        <f t="shared" si="79"/>
        <v>6</v>
      </c>
      <c r="P35" s="43">
        <f t="shared" si="4"/>
        <v>6.166666666666667</v>
      </c>
      <c r="Q35" s="43">
        <f t="shared" si="79"/>
        <v>60</v>
      </c>
      <c r="R35" s="43">
        <f t="shared" si="79"/>
        <v>10</v>
      </c>
      <c r="S35" s="43">
        <f t="shared" si="5"/>
        <v>6</v>
      </c>
      <c r="T35" s="43">
        <f>SUM(T5:T34)</f>
        <v>1086</v>
      </c>
      <c r="U35" s="43">
        <f>SUM(U5:U34)</f>
        <v>205</v>
      </c>
      <c r="V35" s="332">
        <f t="shared" si="6"/>
        <v>5.2975609756097564</v>
      </c>
      <c r="W35" s="43">
        <f>SUM(W5:W34)</f>
        <v>73</v>
      </c>
      <c r="X35" s="43">
        <f>SUM(X5:X34)</f>
        <v>14</v>
      </c>
      <c r="Y35" s="333">
        <f t="shared" si="7"/>
        <v>5.2142857142857144</v>
      </c>
      <c r="Z35" s="43">
        <f t="shared" ref="Z35:BL35" si="80">SUM(Z5:Z34)</f>
        <v>0</v>
      </c>
      <c r="AA35" s="43">
        <f t="shared" si="80"/>
        <v>0</v>
      </c>
      <c r="AB35" s="43">
        <f t="shared" si="80"/>
        <v>0</v>
      </c>
      <c r="AC35" s="43">
        <f>SUM(AC5:AC34)</f>
        <v>114</v>
      </c>
      <c r="AD35" s="43">
        <f>SUM(AD5:AD34)</f>
        <v>24</v>
      </c>
      <c r="AE35" s="333">
        <f t="shared" si="9"/>
        <v>4.75</v>
      </c>
      <c r="AF35" s="43">
        <f>SUM(AF5:AF34)</f>
        <v>244</v>
      </c>
      <c r="AG35" s="43">
        <f>SUM(AG5:AG34)</f>
        <v>46</v>
      </c>
      <c r="AH35" s="332">
        <f t="shared" si="10"/>
        <v>5.3043478260869561</v>
      </c>
      <c r="AI35" s="43">
        <f>SUM(AI5:AI34)</f>
        <v>447</v>
      </c>
      <c r="AJ35" s="43">
        <f>SUM(AJ5:AJ34)</f>
        <v>91</v>
      </c>
      <c r="AK35" s="332">
        <f t="shared" si="11"/>
        <v>4.9120879120879124</v>
      </c>
      <c r="AL35" s="43">
        <f>SUM(AL5:AL34)</f>
        <v>124</v>
      </c>
      <c r="AM35" s="43">
        <f>SUM(AM5:AM34)</f>
        <v>26</v>
      </c>
      <c r="AN35" s="364">
        <f t="shared" si="12"/>
        <v>4.7692307692307692</v>
      </c>
      <c r="AO35" s="43">
        <f>SUM(AO5:AO34)</f>
        <v>60</v>
      </c>
      <c r="AP35" s="43">
        <f>SUM(AP5:AP34)</f>
        <v>10</v>
      </c>
      <c r="AQ35" s="43">
        <f t="shared" si="13"/>
        <v>6</v>
      </c>
      <c r="AR35" s="43">
        <f>SUM(AR5:AR34)</f>
        <v>394</v>
      </c>
      <c r="AS35" s="43">
        <f>SUM(AS5:AS34)</f>
        <v>66</v>
      </c>
      <c r="AT35" s="43">
        <f t="shared" si="14"/>
        <v>5.9696969696969697</v>
      </c>
      <c r="AU35" s="43">
        <f>SUM(AU5:AU34)</f>
        <v>0</v>
      </c>
      <c r="AV35" s="43">
        <f>SUM(AV5:AV34)</f>
        <v>0</v>
      </c>
      <c r="AW35" s="43" t="str">
        <f t="shared" si="15"/>
        <v>-</v>
      </c>
      <c r="AX35" s="43">
        <f t="shared" si="80"/>
        <v>0</v>
      </c>
      <c r="AY35" s="43">
        <f t="shared" si="80"/>
        <v>0</v>
      </c>
      <c r="AZ35" s="43">
        <f t="shared" si="80"/>
        <v>0</v>
      </c>
      <c r="BA35" s="43">
        <f>SUM(BA5:BA34)</f>
        <v>52</v>
      </c>
      <c r="BB35" s="43">
        <f>SUM(BB5:BB34)</f>
        <v>23</v>
      </c>
      <c r="BC35" s="364">
        <f t="shared" si="37"/>
        <v>2.2608695652173911</v>
      </c>
      <c r="BD35" s="43">
        <f t="shared" si="80"/>
        <v>0</v>
      </c>
      <c r="BE35" s="43">
        <f t="shared" si="80"/>
        <v>0</v>
      </c>
      <c r="BF35" s="332">
        <f t="shared" si="80"/>
        <v>0</v>
      </c>
      <c r="BG35" s="43">
        <f>SUM(BG5:BG34)</f>
        <v>175</v>
      </c>
      <c r="BH35" s="43">
        <f>SUM(BH5:BH34)</f>
        <v>36</v>
      </c>
      <c r="BI35" s="364">
        <f t="shared" si="34"/>
        <v>4.8611111111111107</v>
      </c>
      <c r="BJ35" s="43">
        <f t="shared" si="80"/>
        <v>0</v>
      </c>
      <c r="BK35" s="43">
        <f t="shared" si="80"/>
        <v>0</v>
      </c>
      <c r="BL35" s="43">
        <f t="shared" si="80"/>
        <v>0</v>
      </c>
      <c r="BM35" s="43">
        <f>SUM(BM5:BM34)</f>
        <v>708</v>
      </c>
      <c r="BN35" s="43">
        <f>SUM(BN5:BN34)</f>
        <v>116</v>
      </c>
      <c r="BO35" s="332">
        <f t="shared" si="21"/>
        <v>6.1034482758620694</v>
      </c>
      <c r="BP35" s="43">
        <f>SUM(BP5:BP34)</f>
        <v>15</v>
      </c>
      <c r="BQ35" s="43">
        <f>SUM(BQ5:BQ34)</f>
        <v>2</v>
      </c>
      <c r="BR35" s="43">
        <f t="shared" si="22"/>
        <v>7.5</v>
      </c>
      <c r="BS35" s="43">
        <f>SUM(BS5:BS34)</f>
        <v>71</v>
      </c>
      <c r="BT35" s="43">
        <f>SUM(BT5:BT34)</f>
        <v>10</v>
      </c>
      <c r="BU35" s="43">
        <f t="shared" si="23"/>
        <v>7.1</v>
      </c>
      <c r="BV35" s="43">
        <f>SUM(BV5:BV34)</f>
        <v>65</v>
      </c>
      <c r="BW35" s="43">
        <f>SUM(BW5:BW34)</f>
        <v>10</v>
      </c>
      <c r="BX35" s="43">
        <f t="shared" si="24"/>
        <v>6.5</v>
      </c>
      <c r="BY35" s="353">
        <f>SUM(BY5:BY34)</f>
        <v>6743</v>
      </c>
      <c r="BZ35" s="43">
        <f>SUM(BZ5:BZ34)</f>
        <v>1048</v>
      </c>
      <c r="CA35" s="144">
        <f t="shared" si="27"/>
        <v>6.4341603053435117</v>
      </c>
    </row>
    <row r="36" spans="1:79" x14ac:dyDescent="0.3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</row>
    <row r="37" spans="1:79" x14ac:dyDescent="0.3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</row>
    <row r="38" spans="1:79" x14ac:dyDescent="0.3">
      <c r="A38" s="294"/>
    </row>
    <row r="39" spans="1:79" x14ac:dyDescent="0.3">
      <c r="A39" s="294"/>
    </row>
    <row r="40" spans="1:79" x14ac:dyDescent="0.3">
      <c r="A40" s="294"/>
    </row>
    <row r="41" spans="1:79" x14ac:dyDescent="0.3">
      <c r="A41" s="294"/>
    </row>
    <row r="42" spans="1:79" x14ac:dyDescent="0.3">
      <c r="A42" s="294"/>
    </row>
    <row r="43" spans="1:79" x14ac:dyDescent="0.3">
      <c r="A43" s="294"/>
    </row>
    <row r="44" spans="1:79" x14ac:dyDescent="0.3">
      <c r="A44" s="294"/>
    </row>
    <row r="45" spans="1:79" x14ac:dyDescent="0.3">
      <c r="A45" s="294"/>
    </row>
    <row r="46" spans="1:79" x14ac:dyDescent="0.3">
      <c r="A46" s="294"/>
    </row>
    <row r="47" spans="1:79" x14ac:dyDescent="0.3">
      <c r="A47" s="294"/>
    </row>
    <row r="48" spans="1:79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8F9C-DF6A-483D-BDFC-7400B15BDF0F}">
  <sheetPr>
    <tabColor rgb="FFFF0000"/>
  </sheetPr>
  <dimension ref="A1:CL57"/>
  <sheetViews>
    <sheetView workbookViewId="0">
      <selection activeCell="N18" sqref="N18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  <col min="10" max="10" width="19.109375" customWidth="1"/>
    <col min="11" max="11" width="7.44140625" bestFit="1" customWidth="1"/>
    <col min="13" max="13" width="19.109375" bestFit="1" customWidth="1"/>
  </cols>
  <sheetData>
    <row r="1" spans="1:90" ht="18" x14ac:dyDescent="0.35">
      <c r="A1" s="67" t="s">
        <v>119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G3" s="90" t="s">
        <v>42</v>
      </c>
      <c r="H3" s="91" t="s">
        <v>43</v>
      </c>
      <c r="J3" s="90" t="s">
        <v>42</v>
      </c>
      <c r="K3" s="91" t="s">
        <v>43</v>
      </c>
      <c r="L3" s="68"/>
      <c r="M3" s="90" t="s">
        <v>42</v>
      </c>
      <c r="N3" s="91" t="s">
        <v>43</v>
      </c>
    </row>
    <row r="4" spans="1:90" x14ac:dyDescent="0.3">
      <c r="A4" s="92" t="s">
        <v>8</v>
      </c>
      <c r="B4" s="93">
        <f>'November 2025'!B35</f>
        <v>2480</v>
      </c>
      <c r="C4" s="68"/>
      <c r="D4" s="80" t="s">
        <v>67</v>
      </c>
      <c r="E4" s="360">
        <f>'November 2025'!Q35</f>
        <v>60</v>
      </c>
      <c r="G4" s="308" t="s">
        <v>14</v>
      </c>
      <c r="H4" s="309">
        <f>'November 2025'!AU35</f>
        <v>0</v>
      </c>
      <c r="J4" s="95" t="s">
        <v>123</v>
      </c>
      <c r="K4" s="93">
        <f>'November 2025'!BM35</f>
        <v>708</v>
      </c>
      <c r="L4" s="68"/>
      <c r="M4" s="87" t="s">
        <v>24</v>
      </c>
      <c r="N4" s="81">
        <f>'November 2025'!H35</f>
        <v>74</v>
      </c>
    </row>
    <row r="5" spans="1:90" x14ac:dyDescent="0.3">
      <c r="A5" s="80"/>
      <c r="B5" s="151">
        <f>'November 2025'!C35</f>
        <v>282</v>
      </c>
      <c r="C5" s="68"/>
      <c r="D5" s="80"/>
      <c r="E5" s="358">
        <f>'November 2025'!R35</f>
        <v>10</v>
      </c>
      <c r="G5" s="83"/>
      <c r="H5" s="81">
        <f>'November 2025'!AV35</f>
        <v>0</v>
      </c>
      <c r="J5" s="85"/>
      <c r="K5" s="81">
        <f>'November 2025'!BN35</f>
        <v>116</v>
      </c>
      <c r="L5" s="68"/>
      <c r="M5" s="87"/>
      <c r="N5" s="81">
        <f>'November 2025'!I35</f>
        <v>14</v>
      </c>
    </row>
    <row r="6" spans="1:90" x14ac:dyDescent="0.3">
      <c r="A6" s="82"/>
      <c r="B6" s="349">
        <f>B4/B5</f>
        <v>8.7943262411347511</v>
      </c>
      <c r="C6" s="68"/>
      <c r="D6" s="80"/>
      <c r="E6" s="359">
        <f>E4/E5</f>
        <v>6</v>
      </c>
      <c r="G6" s="84"/>
      <c r="H6" s="359" t="e">
        <f>H4/H5</f>
        <v>#DIV/0!</v>
      </c>
      <c r="J6" s="86"/>
      <c r="K6" s="258">
        <f>K4/K5</f>
        <v>6.1034482758620694</v>
      </c>
      <c r="L6" s="68"/>
      <c r="M6" s="88"/>
      <c r="N6" s="258">
        <f>N4/N5</f>
        <v>5.2857142857142856</v>
      </c>
    </row>
    <row r="7" spans="1:90" x14ac:dyDescent="0.3">
      <c r="A7" s="80" t="s">
        <v>121</v>
      </c>
      <c r="B7" s="81">
        <f>'November 2025'!E35</f>
        <v>141</v>
      </c>
      <c r="C7" s="68"/>
      <c r="D7" s="80" t="s">
        <v>11</v>
      </c>
      <c r="E7" s="81">
        <f>'November 2025'!T35</f>
        <v>1086</v>
      </c>
      <c r="G7" s="83" t="s">
        <v>15</v>
      </c>
      <c r="H7" s="81">
        <f>'November 2025'!AX35</f>
        <v>0</v>
      </c>
      <c r="J7" s="85" t="s">
        <v>20</v>
      </c>
      <c r="K7" s="81">
        <f>'November 2025'!BP35</f>
        <v>15</v>
      </c>
      <c r="L7" s="68"/>
      <c r="M7" s="87" t="s">
        <v>38</v>
      </c>
      <c r="N7" s="151">
        <f>'November 2025'!BS35</f>
        <v>71</v>
      </c>
    </row>
    <row r="8" spans="1:90" x14ac:dyDescent="0.3">
      <c r="A8" s="80"/>
      <c r="B8" s="81">
        <f>'November 2025'!F35</f>
        <v>23</v>
      </c>
      <c r="C8" s="68"/>
      <c r="D8" s="80"/>
      <c r="E8" s="81">
        <f>'November 2025'!U35</f>
        <v>205</v>
      </c>
      <c r="G8" s="83"/>
      <c r="H8" s="81">
        <f>'November 2025'!AY35</f>
        <v>0</v>
      </c>
      <c r="J8" s="85"/>
      <c r="K8" s="81">
        <f>'November 2025'!BQ35</f>
        <v>2</v>
      </c>
      <c r="L8" s="68"/>
      <c r="M8" s="87"/>
      <c r="N8" s="151">
        <f>'November 2025'!BT35</f>
        <v>10</v>
      </c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58">
        <f>B7/B8</f>
        <v>6.1304347826086953</v>
      </c>
      <c r="C9" s="68"/>
      <c r="D9" s="80"/>
      <c r="E9" s="258">
        <f>E7/E8</f>
        <v>5.2975609756097564</v>
      </c>
      <c r="G9" s="84"/>
      <c r="H9" s="359" t="e">
        <f>H7/H8</f>
        <v>#DIV/0!</v>
      </c>
      <c r="J9" s="86"/>
      <c r="K9" s="258">
        <f>K7/K8</f>
        <v>7.5</v>
      </c>
      <c r="L9" s="68"/>
      <c r="M9" s="88"/>
      <c r="N9" s="258">
        <f>N7/N8</f>
        <v>7.1</v>
      </c>
    </row>
    <row r="10" spans="1:90" x14ac:dyDescent="0.3">
      <c r="A10" s="80" t="s">
        <v>122</v>
      </c>
      <c r="B10" s="81">
        <f>'November 2025'!K35</f>
        <v>397</v>
      </c>
      <c r="C10" s="68"/>
      <c r="D10" s="80" t="s">
        <v>44</v>
      </c>
      <c r="E10" s="81">
        <f>'November 2025'!W35</f>
        <v>73</v>
      </c>
      <c r="G10" s="83" t="s">
        <v>16</v>
      </c>
      <c r="H10" s="81">
        <f>'November 2025'!BA35</f>
        <v>52</v>
      </c>
      <c r="J10" s="85" t="s">
        <v>21</v>
      </c>
      <c r="K10" s="81">
        <f>'November 2025'!BS35</f>
        <v>71</v>
      </c>
      <c r="L10" s="68"/>
      <c r="M10" s="87" t="s">
        <v>113</v>
      </c>
      <c r="N10" s="151"/>
    </row>
    <row r="11" spans="1:90" x14ac:dyDescent="0.3">
      <c r="A11" s="80"/>
      <c r="B11" s="81">
        <f>'November 2025'!L35</f>
        <v>48</v>
      </c>
      <c r="C11" s="68"/>
      <c r="D11" s="80"/>
      <c r="E11" s="81">
        <f>'November 2025'!X35</f>
        <v>14</v>
      </c>
      <c r="G11" s="83"/>
      <c r="H11" s="81">
        <f>'November 2025'!BB35</f>
        <v>23</v>
      </c>
      <c r="J11" s="85"/>
      <c r="K11" s="81">
        <f>'November 2025'!BT35</f>
        <v>10</v>
      </c>
      <c r="L11" s="68"/>
      <c r="M11" s="87"/>
      <c r="N11" s="81"/>
    </row>
    <row r="12" spans="1:90" x14ac:dyDescent="0.3">
      <c r="A12" s="82"/>
      <c r="B12" s="258">
        <f>B10/B11</f>
        <v>8.2708333333333339</v>
      </c>
      <c r="C12" s="68"/>
      <c r="D12" s="80"/>
      <c r="E12" s="258">
        <f>E10/E11</f>
        <v>5.2142857142857144</v>
      </c>
      <c r="G12" s="84"/>
      <c r="H12" s="359">
        <f>H10/H11</f>
        <v>2.2608695652173911</v>
      </c>
      <c r="J12" s="86"/>
      <c r="K12" s="258">
        <f>K10/K11</f>
        <v>7.1</v>
      </c>
      <c r="L12" s="68"/>
      <c r="M12" s="88"/>
      <c r="N12" s="258" t="e">
        <f>N10/N11</f>
        <v>#DIV/0!</v>
      </c>
    </row>
    <row r="13" spans="1:90" x14ac:dyDescent="0.3">
      <c r="A13" s="80" t="s">
        <v>114</v>
      </c>
      <c r="B13" s="81">
        <f>'November 2025'!N35</f>
        <v>37</v>
      </c>
      <c r="C13" s="68"/>
      <c r="D13" s="80" t="s">
        <v>115</v>
      </c>
      <c r="E13" s="311">
        <f>'November 2025'!AC35</f>
        <v>114</v>
      </c>
      <c r="G13" s="83" t="s">
        <v>59</v>
      </c>
      <c r="H13" s="81">
        <f>'November 2025'!BG35</f>
        <v>175</v>
      </c>
      <c r="J13" s="85" t="s">
        <v>22</v>
      </c>
      <c r="K13" s="81">
        <f>'November 2025'!BV35</f>
        <v>65</v>
      </c>
      <c r="L13" s="68"/>
      <c r="M13" s="96" t="s">
        <v>28</v>
      </c>
      <c r="N13" s="97">
        <f>'November 2025'!BY35</f>
        <v>6743</v>
      </c>
    </row>
    <row r="14" spans="1:90" x14ac:dyDescent="0.3">
      <c r="A14" s="80"/>
      <c r="B14" s="81">
        <f>'November 2025'!O35</f>
        <v>6</v>
      </c>
      <c r="C14" s="68"/>
      <c r="D14" s="80"/>
      <c r="E14" s="361">
        <f>'November 2025'!AD35</f>
        <v>24</v>
      </c>
      <c r="G14" s="83"/>
      <c r="H14" s="81">
        <f>'November 2025'!BH35</f>
        <v>36</v>
      </c>
      <c r="J14" s="85"/>
      <c r="K14" s="81">
        <f>'November 2025'!BW35</f>
        <v>10</v>
      </c>
      <c r="L14" s="68"/>
      <c r="M14" s="96"/>
      <c r="N14" s="97">
        <f>'November 2025'!BZ35</f>
        <v>1048</v>
      </c>
    </row>
    <row r="15" spans="1:90" ht="15" thickBot="1" x14ac:dyDescent="0.35">
      <c r="A15" s="363"/>
      <c r="B15" s="260">
        <f>B13/B14</f>
        <v>6.166666666666667</v>
      </c>
      <c r="C15" s="68"/>
      <c r="D15" s="80"/>
      <c r="E15" s="359">
        <f>E13/E14</f>
        <v>4.75</v>
      </c>
      <c r="G15" s="84"/>
      <c r="H15" s="359">
        <f>H13/H14</f>
        <v>4.8611111111111107</v>
      </c>
      <c r="J15" s="85"/>
      <c r="K15" s="258">
        <f>K13/K14</f>
        <v>6.5</v>
      </c>
      <c r="L15" s="68"/>
      <c r="M15" s="98"/>
      <c r="N15" s="99">
        <f>N13/N14</f>
        <v>6.4341603053435117</v>
      </c>
    </row>
    <row r="16" spans="1:90" x14ac:dyDescent="0.3">
      <c r="C16" s="68"/>
      <c r="D16" s="80" t="s">
        <v>116</v>
      </c>
      <c r="E16" s="311">
        <f>'November 2025'!AF35</f>
        <v>244</v>
      </c>
      <c r="G16" s="83" t="s">
        <v>17</v>
      </c>
      <c r="H16" s="81">
        <f>'November 2025'!BJ35</f>
        <v>0</v>
      </c>
      <c r="J16" s="85"/>
      <c r="K16" s="26"/>
      <c r="L16" s="68"/>
    </row>
    <row r="17" spans="3:12" x14ac:dyDescent="0.3">
      <c r="C17" s="68"/>
      <c r="D17" s="80"/>
      <c r="E17" s="361">
        <f>'November 2025'!AG35</f>
        <v>46</v>
      </c>
      <c r="G17" s="83"/>
      <c r="H17" s="81">
        <f>'November 2025'!BK35</f>
        <v>0</v>
      </c>
      <c r="J17" s="85"/>
      <c r="K17" s="81"/>
      <c r="L17" s="68"/>
    </row>
    <row r="18" spans="3:12" ht="15" thickBot="1" x14ac:dyDescent="0.35">
      <c r="C18" s="68"/>
      <c r="D18" s="80"/>
      <c r="E18" s="359">
        <f>E16/E17</f>
        <v>5.3043478260869561</v>
      </c>
      <c r="G18" s="94"/>
      <c r="H18" s="362" t="e">
        <f>H16/H17</f>
        <v>#DIV/0!</v>
      </c>
      <c r="J18" s="102"/>
      <c r="K18" s="260" t="e">
        <f>K16/K17</f>
        <v>#DIV/0!</v>
      </c>
      <c r="L18" s="68"/>
    </row>
    <row r="19" spans="3:12" x14ac:dyDescent="0.3">
      <c r="C19" s="68"/>
      <c r="D19" s="80" t="s">
        <v>86</v>
      </c>
      <c r="E19" s="81">
        <f>'November 2025'!AI35</f>
        <v>447</v>
      </c>
    </row>
    <row r="20" spans="3:12" x14ac:dyDescent="0.3">
      <c r="C20" s="68"/>
      <c r="D20" s="80"/>
      <c r="E20" s="81">
        <f>'November 2025'!AJ35</f>
        <v>91</v>
      </c>
    </row>
    <row r="21" spans="3:12" x14ac:dyDescent="0.3">
      <c r="C21" s="68"/>
      <c r="D21" s="80"/>
      <c r="E21" s="259">
        <f>E19/E20</f>
        <v>4.9120879120879124</v>
      </c>
    </row>
    <row r="22" spans="3:12" x14ac:dyDescent="0.3">
      <c r="C22" s="68"/>
      <c r="D22" s="80" t="s">
        <v>68</v>
      </c>
      <c r="E22" s="311">
        <f>'November 2025'!AL35</f>
        <v>124</v>
      </c>
    </row>
    <row r="23" spans="3:12" x14ac:dyDescent="0.3">
      <c r="C23" s="68"/>
      <c r="D23" s="80"/>
      <c r="E23" s="361">
        <f>'November 2025'!AM35</f>
        <v>26</v>
      </c>
    </row>
    <row r="24" spans="3:12" x14ac:dyDescent="0.3">
      <c r="C24" s="68"/>
      <c r="D24" s="80"/>
      <c r="E24" s="359">
        <f>E22/E23</f>
        <v>4.7692307692307692</v>
      </c>
    </row>
    <row r="25" spans="3:12" x14ac:dyDescent="0.3">
      <c r="C25" s="68"/>
      <c r="D25" s="80" t="s">
        <v>91</v>
      </c>
      <c r="E25" s="311">
        <f>'November 2025'!AO35</f>
        <v>60</v>
      </c>
    </row>
    <row r="26" spans="3:12" x14ac:dyDescent="0.3">
      <c r="C26" s="68"/>
      <c r="D26" s="80"/>
      <c r="E26" s="361">
        <f>'November 2025'!AP35</f>
        <v>10</v>
      </c>
    </row>
    <row r="27" spans="3:12" x14ac:dyDescent="0.3">
      <c r="C27" s="68"/>
      <c r="D27" s="80"/>
      <c r="E27" s="359">
        <f>E25/E26</f>
        <v>6</v>
      </c>
    </row>
    <row r="28" spans="3:12" x14ac:dyDescent="0.3">
      <c r="C28" s="68"/>
      <c r="D28" s="80" t="s">
        <v>117</v>
      </c>
      <c r="E28" s="358">
        <f>'November 2025'!AR35</f>
        <v>394</v>
      </c>
    </row>
    <row r="29" spans="3:12" x14ac:dyDescent="0.3">
      <c r="C29" s="68"/>
      <c r="D29" s="80"/>
      <c r="E29" s="358">
        <f>'November 2025'!AS35</f>
        <v>66</v>
      </c>
    </row>
    <row r="30" spans="3:12" ht="15" thickBot="1" x14ac:dyDescent="0.35">
      <c r="C30" s="68"/>
      <c r="D30" s="363"/>
      <c r="E30" s="362">
        <f>E28/E29</f>
        <v>5.9696969696969697</v>
      </c>
    </row>
    <row r="31" spans="3:12" x14ac:dyDescent="0.3">
      <c r="C31" s="68"/>
      <c r="D31" s="68"/>
      <c r="E31" s="68"/>
    </row>
    <row r="32" spans="3:12" x14ac:dyDescent="0.3">
      <c r="C32" s="68"/>
      <c r="D32" s="68"/>
      <c r="E32" s="68"/>
    </row>
    <row r="33" spans="3:7" x14ac:dyDescent="0.3">
      <c r="C33" s="68"/>
      <c r="D33" s="68"/>
      <c r="E33" s="68"/>
    </row>
    <row r="34" spans="3:7" x14ac:dyDescent="0.3">
      <c r="C34" s="68"/>
      <c r="D34" s="68"/>
      <c r="E34" s="68"/>
    </row>
    <row r="35" spans="3:7" x14ac:dyDescent="0.3">
      <c r="C35" s="68"/>
      <c r="D35" s="68"/>
      <c r="E35" s="68"/>
    </row>
    <row r="36" spans="3:7" x14ac:dyDescent="0.3">
      <c r="C36" s="68"/>
      <c r="D36" s="68"/>
      <c r="E36" s="68"/>
    </row>
    <row r="37" spans="3:7" x14ac:dyDescent="0.3">
      <c r="C37" s="68"/>
      <c r="D37" s="68"/>
      <c r="E37" s="68"/>
    </row>
    <row r="38" spans="3:7" x14ac:dyDescent="0.3">
      <c r="C38" s="68"/>
      <c r="D38" s="68"/>
      <c r="E38" s="68"/>
    </row>
    <row r="39" spans="3:7" x14ac:dyDescent="0.3">
      <c r="C39" s="68"/>
      <c r="D39" s="68"/>
      <c r="E39" s="68"/>
    </row>
    <row r="40" spans="3:7" x14ac:dyDescent="0.3">
      <c r="C40" s="68"/>
      <c r="D40" s="68"/>
      <c r="E40" s="68"/>
    </row>
    <row r="41" spans="3:7" x14ac:dyDescent="0.3">
      <c r="C41" s="68"/>
      <c r="D41" s="68"/>
      <c r="E41" s="68"/>
    </row>
    <row r="42" spans="3:7" x14ac:dyDescent="0.3">
      <c r="C42" s="68"/>
      <c r="D42" s="68"/>
      <c r="E42" s="68"/>
    </row>
    <row r="43" spans="3:7" x14ac:dyDescent="0.3">
      <c r="C43" s="68"/>
      <c r="D43" s="68"/>
      <c r="E43" s="68"/>
    </row>
    <row r="44" spans="3:7" x14ac:dyDescent="0.3">
      <c r="C44" s="68"/>
      <c r="D44" s="68"/>
      <c r="E44" s="68"/>
    </row>
    <row r="45" spans="3:7" x14ac:dyDescent="0.3">
      <c r="C45" s="68"/>
      <c r="D45" s="68"/>
      <c r="E45" s="68"/>
    </row>
    <row r="46" spans="3:7" x14ac:dyDescent="0.3">
      <c r="C46" s="68"/>
      <c r="D46" s="68"/>
      <c r="E46" s="68"/>
      <c r="G46" s="68"/>
    </row>
    <row r="47" spans="3:7" x14ac:dyDescent="0.3">
      <c r="C47" s="68"/>
      <c r="D47" s="68"/>
      <c r="E47" s="68"/>
      <c r="G47" s="68"/>
    </row>
    <row r="48" spans="3:7" x14ac:dyDescent="0.3">
      <c r="C48" s="68"/>
      <c r="D48" s="68"/>
      <c r="E48" s="68"/>
      <c r="G48" s="68"/>
    </row>
    <row r="49" spans="3:7" x14ac:dyDescent="0.3">
      <c r="C49" s="68"/>
      <c r="F49" s="68"/>
      <c r="G49" s="68"/>
    </row>
    <row r="50" spans="3:7" x14ac:dyDescent="0.3">
      <c r="C50" s="68"/>
      <c r="F50" s="68"/>
      <c r="G50" s="68"/>
    </row>
    <row r="51" spans="3:7" x14ac:dyDescent="0.3">
      <c r="C51" s="68"/>
      <c r="F51" s="68"/>
      <c r="G51" s="68"/>
    </row>
    <row r="52" spans="3:7" x14ac:dyDescent="0.3">
      <c r="C52" s="68"/>
      <c r="F52" s="68"/>
      <c r="G52" s="68"/>
    </row>
    <row r="53" spans="3:7" x14ac:dyDescent="0.3">
      <c r="C53" s="68"/>
      <c r="F53" s="68"/>
      <c r="G53" s="68"/>
    </row>
    <row r="54" spans="3:7" x14ac:dyDescent="0.3">
      <c r="C54" s="68"/>
      <c r="F54" s="68"/>
      <c r="G54" s="68"/>
    </row>
    <row r="55" spans="3:7" x14ac:dyDescent="0.3">
      <c r="C55" s="68"/>
      <c r="F55" s="68"/>
      <c r="G55" s="68"/>
    </row>
    <row r="56" spans="3:7" x14ac:dyDescent="0.3">
      <c r="C56" s="68"/>
      <c r="F56" s="68"/>
      <c r="G56" s="68"/>
    </row>
    <row r="57" spans="3:7" x14ac:dyDescent="0.3">
      <c r="C57" s="68"/>
      <c r="F57" s="68"/>
      <c r="G57" s="68"/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514F-F2D3-4046-83BD-164922A23F97}">
  <dimension ref="A1:CA126"/>
  <sheetViews>
    <sheetView zoomScaleNormal="100" workbookViewId="0">
      <pane xSplit="9" ySplit="11" topLeftCell="BI19" activePane="bottomRight" state="frozen"/>
      <selection pane="topRight" activeCell="J1" sqref="J1"/>
      <selection pane="bottomLeft" activeCell="A12" sqref="A12"/>
      <selection pane="bottomRight" activeCell="BY37" sqref="BY37"/>
    </sheetView>
  </sheetViews>
  <sheetFormatPr defaultRowHeight="14.4" x14ac:dyDescent="0.3"/>
  <cols>
    <col min="1" max="1" width="32.88671875" style="296" customWidth="1"/>
    <col min="2" max="3" width="8.88671875" customWidth="1"/>
    <col min="4" max="6" width="8.88671875" style="2" customWidth="1"/>
    <col min="7" max="7" width="8.77734375" style="2" bestFit="1" customWidth="1"/>
    <col min="8" max="8" width="18.109375" style="2" bestFit="1" customWidth="1"/>
    <col min="9" max="9" width="8.21875" style="2" bestFit="1" customWidth="1"/>
    <col min="10" max="10" width="9.5546875" style="2" bestFit="1" customWidth="1"/>
    <col min="11" max="24" width="8.88671875" style="2" customWidth="1"/>
    <col min="25" max="25" width="9.6640625" style="2" customWidth="1"/>
    <col min="26" max="27" width="8.88671875" style="2" hidden="1" customWidth="1"/>
    <col min="28" max="28" width="9.6640625" style="2" hidden="1" customWidth="1"/>
    <col min="29" max="46" width="9.6640625" style="2" customWidth="1"/>
    <col min="47" max="48" width="8.88671875" customWidth="1"/>
    <col min="49" max="49" width="8.88671875" style="2" customWidth="1"/>
    <col min="50" max="51" width="8.88671875" hidden="1" customWidth="1"/>
    <col min="52" max="52" width="8.88671875" style="2" hidden="1" customWidth="1"/>
    <col min="53" max="54" width="8.88671875" customWidth="1"/>
    <col min="55" max="55" width="8.88671875" style="2" customWidth="1"/>
    <col min="56" max="57" width="8.88671875" hidden="1" customWidth="1"/>
    <col min="58" max="58" width="7.33203125" style="2" hidden="1" customWidth="1"/>
    <col min="59" max="59" width="8.33203125" customWidth="1"/>
    <col min="60" max="60" width="9.6640625" customWidth="1"/>
    <col min="61" max="61" width="9.88671875" style="2" customWidth="1"/>
    <col min="62" max="62" width="8.33203125" hidden="1" customWidth="1"/>
    <col min="63" max="63" width="9.6640625" hidden="1" customWidth="1"/>
    <col min="64" max="64" width="8.88671875" style="2" hidden="1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2" width="8.88671875" customWidth="1"/>
    <col min="73" max="73" width="8.88671875" style="2" customWidth="1"/>
    <col min="74" max="76" width="8.88671875" customWidth="1"/>
    <col min="77" max="77" width="9.109375" style="79" bestFit="1" customWidth="1"/>
    <col min="78" max="78" width="8.88671875" style="79"/>
    <col min="79" max="79" width="8.88671875" style="2"/>
  </cols>
  <sheetData>
    <row r="1" spans="1:79" ht="18.600000000000001" thickBot="1" x14ac:dyDescent="0.4">
      <c r="A1" s="290" t="s">
        <v>125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68"/>
      <c r="BW1" s="68"/>
      <c r="BX1" s="68"/>
      <c r="BY1" s="113"/>
      <c r="BZ1" s="113"/>
      <c r="CA1" s="69"/>
    </row>
    <row r="2" spans="1:79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124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282"/>
      <c r="T2" s="73"/>
      <c r="U2" s="73" t="s">
        <v>2</v>
      </c>
      <c r="V2" s="73"/>
      <c r="W2" s="77"/>
      <c r="X2" s="73" t="s">
        <v>2</v>
      </c>
      <c r="Y2" s="74"/>
      <c r="Z2" s="77"/>
      <c r="AA2" s="73" t="s">
        <v>2</v>
      </c>
      <c r="AB2" s="74"/>
      <c r="AC2" s="73"/>
      <c r="AD2" s="73" t="s">
        <v>2</v>
      </c>
      <c r="AE2" s="73"/>
      <c r="AF2" s="73"/>
      <c r="AG2" s="73" t="s">
        <v>2</v>
      </c>
      <c r="AH2" s="73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7"/>
      <c r="AS2" s="73" t="s">
        <v>2</v>
      </c>
      <c r="AT2" s="74"/>
      <c r="AU2" s="71"/>
      <c r="AV2" s="72" t="s">
        <v>3</v>
      </c>
      <c r="AW2" s="282"/>
      <c r="AX2" s="72"/>
      <c r="AY2" s="72" t="s">
        <v>3</v>
      </c>
      <c r="AZ2" s="74"/>
      <c r="BA2" s="72"/>
      <c r="BB2" s="72" t="s">
        <v>4</v>
      </c>
      <c r="BC2" s="73"/>
      <c r="BD2" s="71"/>
      <c r="BE2" s="72" t="s">
        <v>4</v>
      </c>
      <c r="BF2" s="74"/>
      <c r="BG2" s="72"/>
      <c r="BH2" s="72" t="s">
        <v>4</v>
      </c>
      <c r="BI2" s="282"/>
      <c r="BJ2" s="72"/>
      <c r="BK2" s="72" t="s">
        <v>4</v>
      </c>
      <c r="BL2" s="74"/>
      <c r="BM2" s="108"/>
      <c r="BN2" s="109" t="s">
        <v>5</v>
      </c>
      <c r="BO2" s="110"/>
      <c r="BP2" s="108"/>
      <c r="BQ2" s="109" t="s">
        <v>5</v>
      </c>
      <c r="BR2" s="111"/>
      <c r="BS2" s="109"/>
      <c r="BT2" s="109" t="s">
        <v>5</v>
      </c>
      <c r="BU2" s="110"/>
      <c r="BV2" s="108"/>
      <c r="BW2" s="109" t="s">
        <v>5</v>
      </c>
      <c r="BX2" s="112"/>
      <c r="BY2" s="114" t="s">
        <v>7</v>
      </c>
      <c r="BZ2" s="119"/>
      <c r="CA2" s="74"/>
    </row>
    <row r="3" spans="1:79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128</v>
      </c>
      <c r="I3" s="4"/>
      <c r="J3" s="33"/>
      <c r="K3" s="4" t="s">
        <v>55</v>
      </c>
      <c r="L3" s="4"/>
      <c r="M3" s="33"/>
      <c r="N3" s="4" t="s">
        <v>114</v>
      </c>
      <c r="O3" s="4"/>
      <c r="P3" s="283"/>
      <c r="Q3" s="4" t="s">
        <v>67</v>
      </c>
      <c r="R3" s="4"/>
      <c r="S3" s="35"/>
      <c r="T3" s="4" t="s">
        <v>11</v>
      </c>
      <c r="U3" s="4"/>
      <c r="V3" s="35"/>
      <c r="W3" s="3" t="s">
        <v>12</v>
      </c>
      <c r="X3" s="4"/>
      <c r="Y3" s="33"/>
      <c r="Z3" s="3" t="s">
        <v>35</v>
      </c>
      <c r="AA3" s="4"/>
      <c r="AB3" s="33"/>
      <c r="AC3" s="3" t="s">
        <v>115</v>
      </c>
      <c r="AD3" s="35"/>
      <c r="AE3" s="35"/>
      <c r="AF3" s="3" t="s">
        <v>116</v>
      </c>
      <c r="AG3" s="35"/>
      <c r="AH3" s="35"/>
      <c r="AI3" s="3" t="s">
        <v>73</v>
      </c>
      <c r="AJ3" s="4"/>
      <c r="AK3" s="33"/>
      <c r="AL3" s="3" t="s">
        <v>68</v>
      </c>
      <c r="AM3" s="4"/>
      <c r="AN3" s="33"/>
      <c r="AO3" s="3" t="s">
        <v>91</v>
      </c>
      <c r="AP3" s="4"/>
      <c r="AQ3" s="33"/>
      <c r="AR3" s="3" t="s">
        <v>117</v>
      </c>
      <c r="AS3" s="4"/>
      <c r="AT3" s="33"/>
      <c r="AU3" s="47" t="s">
        <v>14</v>
      </c>
      <c r="AV3" s="47"/>
      <c r="AW3" s="287"/>
      <c r="AX3" s="47" t="s">
        <v>15</v>
      </c>
      <c r="AY3" s="47"/>
      <c r="AZ3" s="48"/>
      <c r="BA3" s="47" t="s">
        <v>16</v>
      </c>
      <c r="BB3" s="47"/>
      <c r="BC3" s="351"/>
      <c r="BD3" s="46" t="s">
        <v>17</v>
      </c>
      <c r="BE3" s="47"/>
      <c r="BF3" s="48"/>
      <c r="BG3" s="47" t="s">
        <v>64</v>
      </c>
      <c r="BH3" s="47"/>
      <c r="BI3" s="287"/>
      <c r="BJ3" s="47" t="s">
        <v>64</v>
      </c>
      <c r="BK3" s="47"/>
      <c r="BL3" s="49"/>
      <c r="BM3" s="9" t="s">
        <v>36</v>
      </c>
      <c r="BN3" s="7"/>
      <c r="BO3" s="29"/>
      <c r="BP3" s="9" t="s">
        <v>37</v>
      </c>
      <c r="BQ3" s="7"/>
      <c r="BR3" s="31"/>
      <c r="BS3" s="7" t="s">
        <v>38</v>
      </c>
      <c r="BT3" s="7"/>
      <c r="BU3" s="29"/>
      <c r="BV3" s="9" t="s">
        <v>39</v>
      </c>
      <c r="BW3" s="7"/>
      <c r="BX3" s="8"/>
      <c r="BY3" s="115" t="s">
        <v>28</v>
      </c>
      <c r="BZ3" s="115"/>
      <c r="CA3" s="24"/>
    </row>
    <row r="4" spans="1:79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6" t="s">
        <v>7</v>
      </c>
      <c r="U4" s="6" t="s">
        <v>30</v>
      </c>
      <c r="V4" s="36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" t="s">
        <v>7</v>
      </c>
      <c r="AS4" s="6" t="s">
        <v>30</v>
      </c>
      <c r="AT4" s="34" t="s">
        <v>31</v>
      </c>
      <c r="AU4" s="51" t="s">
        <v>7</v>
      </c>
      <c r="AV4" s="51" t="s">
        <v>30</v>
      </c>
      <c r="AW4" s="288" t="s">
        <v>31</v>
      </c>
      <c r="AX4" s="51" t="s">
        <v>7</v>
      </c>
      <c r="AY4" s="51" t="s">
        <v>30</v>
      </c>
      <c r="AZ4" s="52" t="s">
        <v>31</v>
      </c>
      <c r="BA4" s="51" t="s">
        <v>7</v>
      </c>
      <c r="BB4" s="51" t="s">
        <v>30</v>
      </c>
      <c r="BC4" s="352" t="s">
        <v>31</v>
      </c>
      <c r="BD4" s="50" t="s">
        <v>7</v>
      </c>
      <c r="BE4" s="51" t="s">
        <v>30</v>
      </c>
      <c r="BF4" s="52" t="s">
        <v>31</v>
      </c>
      <c r="BG4" s="51" t="s">
        <v>7</v>
      </c>
      <c r="BH4" s="51" t="s">
        <v>30</v>
      </c>
      <c r="BI4" s="288" t="s">
        <v>31</v>
      </c>
      <c r="BJ4" s="51" t="s">
        <v>7</v>
      </c>
      <c r="BK4" s="51" t="s">
        <v>30</v>
      </c>
      <c r="BL4" s="53" t="s">
        <v>31</v>
      </c>
      <c r="BM4" s="12" t="s">
        <v>7</v>
      </c>
      <c r="BN4" s="10" t="s">
        <v>30</v>
      </c>
      <c r="BO4" s="30" t="s">
        <v>31</v>
      </c>
      <c r="BP4" s="12" t="s">
        <v>7</v>
      </c>
      <c r="BQ4" s="10" t="s">
        <v>30</v>
      </c>
      <c r="BR4" s="32" t="s">
        <v>31</v>
      </c>
      <c r="BS4" s="10" t="s">
        <v>7</v>
      </c>
      <c r="BT4" s="10" t="s">
        <v>30</v>
      </c>
      <c r="BU4" s="30" t="s">
        <v>31</v>
      </c>
      <c r="BV4" s="12" t="s">
        <v>7</v>
      </c>
      <c r="BW4" s="10" t="s">
        <v>30</v>
      </c>
      <c r="BX4" s="11" t="s">
        <v>31</v>
      </c>
      <c r="BY4" s="116" t="s">
        <v>7</v>
      </c>
      <c r="BZ4" s="116" t="s">
        <v>30</v>
      </c>
      <c r="CA4" s="146" t="s">
        <v>31</v>
      </c>
    </row>
    <row r="5" spans="1:79" ht="15" thickBot="1" x14ac:dyDescent="0.35">
      <c r="A5" s="294">
        <v>45992</v>
      </c>
      <c r="B5" s="125">
        <v>107</v>
      </c>
      <c r="C5" s="126">
        <v>12</v>
      </c>
      <c r="D5" s="276">
        <f t="shared" ref="D5:D36" si="0">IF(C5=0,"-",B5/C5)</f>
        <v>8.9166666666666661</v>
      </c>
      <c r="E5" s="125">
        <v>0</v>
      </c>
      <c r="F5" s="126">
        <v>0</v>
      </c>
      <c r="G5" s="139" t="str">
        <f t="shared" ref="G5:G36" si="1">IF(F5=0,"-",E5/F5)</f>
        <v>-</v>
      </c>
      <c r="H5" s="125">
        <v>1</v>
      </c>
      <c r="I5" s="126">
        <v>1</v>
      </c>
      <c r="J5" s="139">
        <f t="shared" ref="J5:J36" si="2">IF(I5=0,"-",H5/I5)</f>
        <v>1</v>
      </c>
      <c r="K5" s="125">
        <v>48</v>
      </c>
      <c r="L5" s="126">
        <v>6</v>
      </c>
      <c r="M5" s="276">
        <f t="shared" ref="M5:M36" si="3">IF(L5=0,"-",K5/L5)</f>
        <v>8</v>
      </c>
      <c r="N5" s="20">
        <v>0</v>
      </c>
      <c r="O5" s="21">
        <v>0</v>
      </c>
      <c r="P5" s="139" t="str">
        <f t="shared" ref="P5:P36" si="4">IF(O5=0,"-",N5/O5)</f>
        <v>-</v>
      </c>
      <c r="Q5" s="20">
        <v>0</v>
      </c>
      <c r="R5" s="21">
        <v>0</v>
      </c>
      <c r="S5" s="139" t="str">
        <f t="shared" ref="S5:S36" si="5">IF(R5=0,"-",Q5/R5)</f>
        <v>-</v>
      </c>
      <c r="T5" s="20">
        <v>35</v>
      </c>
      <c r="U5" s="21">
        <v>6</v>
      </c>
      <c r="V5" s="139">
        <f t="shared" ref="V5:V36" si="6">IF(U5=0,"-",T5/U5)</f>
        <v>5.833333333333333</v>
      </c>
      <c r="W5" s="20">
        <v>0</v>
      </c>
      <c r="X5" s="21">
        <v>0</v>
      </c>
      <c r="Y5" s="139" t="str">
        <f t="shared" ref="Y5:Y36" si="7">IF(X5=0,"-",W5/X5)</f>
        <v>-</v>
      </c>
      <c r="Z5" s="20">
        <v>0</v>
      </c>
      <c r="AA5" s="21">
        <v>0</v>
      </c>
      <c r="AB5" s="139" t="str">
        <f t="shared" ref="AB5:AB35" si="8">IF(AA5=0,"-",Z5/AA5)</f>
        <v>-</v>
      </c>
      <c r="AC5" s="20">
        <v>0</v>
      </c>
      <c r="AD5" s="21">
        <v>0</v>
      </c>
      <c r="AE5" s="139" t="str">
        <f t="shared" ref="AE5:AE36" si="9">IF(AD5=0,"-",AC5/AD5)</f>
        <v>-</v>
      </c>
      <c r="AF5" s="20">
        <v>0</v>
      </c>
      <c r="AG5" s="21">
        <v>0</v>
      </c>
      <c r="AH5" s="139" t="str">
        <f t="shared" ref="AH5:AH36" si="10">IF(AG5=0,"-",AF5/AG5)</f>
        <v>-</v>
      </c>
      <c r="AI5" s="20">
        <v>30</v>
      </c>
      <c r="AJ5" s="21">
        <v>6</v>
      </c>
      <c r="AK5" s="139">
        <f t="shared" ref="AK5:AK36" si="11">IF(AJ5=0,"-",AI5/AJ5)</f>
        <v>5</v>
      </c>
      <c r="AL5" s="20">
        <v>0</v>
      </c>
      <c r="AM5" s="21">
        <v>0</v>
      </c>
      <c r="AN5" s="139" t="str">
        <f t="shared" ref="AN5:AN36" si="12">IF(AM5=0,"-",AL5/AM5)</f>
        <v>-</v>
      </c>
      <c r="AO5" s="20">
        <v>0</v>
      </c>
      <c r="AP5" s="21">
        <v>0</v>
      </c>
      <c r="AQ5" s="139" t="str">
        <f t="shared" ref="AQ5:AQ36" si="13">IF(AP5=0,"-",AO5/AP5)</f>
        <v>-</v>
      </c>
      <c r="AR5" s="20">
        <v>6</v>
      </c>
      <c r="AS5" s="21">
        <v>1</v>
      </c>
      <c r="AT5" s="139">
        <f t="shared" ref="AT5:AT36" si="14">IF(AS5=0,"-",AR5/AS5)</f>
        <v>6</v>
      </c>
      <c r="AU5" s="20">
        <v>0</v>
      </c>
      <c r="AV5" s="21">
        <v>0</v>
      </c>
      <c r="AW5" s="139" t="str">
        <f t="shared" ref="AW5:AW36" si="15">IF(AV5=0,"-",AU5/AV5)</f>
        <v>-</v>
      </c>
      <c r="AX5" s="20">
        <v>0</v>
      </c>
      <c r="AY5" s="21">
        <v>0</v>
      </c>
      <c r="AZ5" s="139" t="str">
        <f t="shared" ref="AZ5:AZ35" si="16">IF(AY5=0,"-",AX5/AY5)</f>
        <v>-</v>
      </c>
      <c r="BA5" s="20">
        <v>5</v>
      </c>
      <c r="BB5" s="21">
        <v>1</v>
      </c>
      <c r="BC5" s="139">
        <f t="shared" ref="BC5:BC36" si="17">IF(BB5=0,"-",BA5/BB5)</f>
        <v>5</v>
      </c>
      <c r="BD5" s="20">
        <v>0</v>
      </c>
      <c r="BE5" s="21">
        <v>0</v>
      </c>
      <c r="BF5" s="139" t="str">
        <f t="shared" ref="BF5:BF35" si="18">IF(BE5=0,"-",BD5/BE5)</f>
        <v>-</v>
      </c>
      <c r="BG5" s="20">
        <v>9</v>
      </c>
      <c r="BH5" s="21">
        <v>2</v>
      </c>
      <c r="BI5" s="139">
        <f t="shared" ref="BI5:BI36" si="19">IF(BH5=0,"-",BG5/BH5)</f>
        <v>4.5</v>
      </c>
      <c r="BJ5" s="20">
        <v>0</v>
      </c>
      <c r="BK5" s="21">
        <v>0</v>
      </c>
      <c r="BL5" s="139" t="str">
        <f t="shared" ref="BL5:BL35" si="20">IF(BK5=0,"-",BJ5/BK5)</f>
        <v>-</v>
      </c>
      <c r="BM5" s="17">
        <v>51</v>
      </c>
      <c r="BN5" s="18">
        <v>8</v>
      </c>
      <c r="BO5" s="276">
        <f t="shared" ref="BO5:BO36" si="21">IF(BN5=0,"-",BM5/BN5)</f>
        <v>6.375</v>
      </c>
      <c r="BP5" s="17">
        <v>0</v>
      </c>
      <c r="BQ5" s="18">
        <v>0</v>
      </c>
      <c r="BR5" s="276" t="str">
        <f t="shared" ref="BR5:BR36" si="22">IF(BQ5=0,"-",BP5/BQ5)</f>
        <v>-</v>
      </c>
      <c r="BS5" s="365">
        <v>0</v>
      </c>
      <c r="BT5" s="366">
        <v>0</v>
      </c>
      <c r="BU5" s="276" t="str">
        <f t="shared" ref="BU5:BU36" si="23">IF(BT5=0,"-",BS5/BT5)</f>
        <v>-</v>
      </c>
      <c r="BV5" s="367">
        <v>0</v>
      </c>
      <c r="BW5" s="128">
        <v>0</v>
      </c>
      <c r="BX5" s="276" t="str">
        <f t="shared" ref="BX5:BX36" si="24">IF(BW5=0,"-",BV5/BW5)</f>
        <v>-</v>
      </c>
      <c r="BY5" s="117">
        <f>SUM(B5,E5,H5,K5,N5,Q5,T5,W5,AC5,AF5,AI5,AL5,AO5,AR5,AU5,BA5,BG5,BM5,BP5,BS5,BV5)</f>
        <v>292</v>
      </c>
      <c r="BZ5" s="117">
        <f t="shared" ref="BZ5:BZ35" si="25">SUM(C5,F5,L5,O5,R5,U5,X5,AD5,AG5,AJ5,AM5,AP5,AS5,AV5,BB5,BH5,BN5,BQ5,BT5,BW5)</f>
        <v>42</v>
      </c>
      <c r="CA5" s="147">
        <f t="shared" ref="CA5:CA35" si="26">IF(BZ5=0,"",BY5/BZ5)</f>
        <v>6.9523809523809526</v>
      </c>
    </row>
    <row r="6" spans="1:79" ht="15" thickBot="1" x14ac:dyDescent="0.35">
      <c r="A6" s="294">
        <v>45993</v>
      </c>
      <c r="B6" s="20">
        <v>159</v>
      </c>
      <c r="C6" s="21">
        <v>17</v>
      </c>
      <c r="D6" s="139">
        <f t="shared" si="0"/>
        <v>9.3529411764705888</v>
      </c>
      <c r="E6" s="125">
        <v>0</v>
      </c>
      <c r="F6" s="126">
        <v>0</v>
      </c>
      <c r="G6" s="139" t="str">
        <f t="shared" si="1"/>
        <v>-</v>
      </c>
      <c r="H6" s="125">
        <v>0</v>
      </c>
      <c r="I6" s="126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si="4"/>
        <v>-</v>
      </c>
      <c r="Q6" s="20">
        <v>0</v>
      </c>
      <c r="R6" s="21">
        <v>0</v>
      </c>
      <c r="S6" s="139" t="str">
        <f t="shared" si="5"/>
        <v>-</v>
      </c>
      <c r="T6" s="20">
        <v>41</v>
      </c>
      <c r="U6" s="21">
        <v>7</v>
      </c>
      <c r="V6" s="139">
        <f t="shared" si="6"/>
        <v>5.8571428571428568</v>
      </c>
      <c r="W6" s="21">
        <v>0</v>
      </c>
      <c r="X6" s="21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20">
        <v>0</v>
      </c>
      <c r="AD6" s="21">
        <v>0</v>
      </c>
      <c r="AE6" s="139" t="str">
        <f t="shared" si="9"/>
        <v>-</v>
      </c>
      <c r="AF6" s="20">
        <v>0</v>
      </c>
      <c r="AG6" s="21">
        <v>0</v>
      </c>
      <c r="AH6" s="139" t="str">
        <f t="shared" si="10"/>
        <v>-</v>
      </c>
      <c r="AI6" s="20">
        <v>30</v>
      </c>
      <c r="AJ6" s="21">
        <v>6</v>
      </c>
      <c r="AK6" s="139">
        <f t="shared" si="11"/>
        <v>5</v>
      </c>
      <c r="AL6" s="20">
        <v>12</v>
      </c>
      <c r="AM6" s="21">
        <v>2</v>
      </c>
      <c r="AN6" s="139">
        <f t="shared" si="12"/>
        <v>6</v>
      </c>
      <c r="AO6" s="20">
        <v>0</v>
      </c>
      <c r="AP6" s="21">
        <v>0</v>
      </c>
      <c r="AQ6" s="139" t="str">
        <f t="shared" si="13"/>
        <v>-</v>
      </c>
      <c r="AR6" s="20">
        <v>18</v>
      </c>
      <c r="AS6" s="21">
        <v>3</v>
      </c>
      <c r="AT6" s="139">
        <f t="shared" si="14"/>
        <v>6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16</v>
      </c>
      <c r="BH6" s="21">
        <v>3</v>
      </c>
      <c r="BI6" s="139">
        <f t="shared" si="19"/>
        <v>5.333333333333333</v>
      </c>
      <c r="BJ6" s="20">
        <v>0</v>
      </c>
      <c r="BK6" s="21">
        <v>0</v>
      </c>
      <c r="BL6" s="139" t="str">
        <f t="shared" si="20"/>
        <v>-</v>
      </c>
      <c r="BM6" s="20">
        <v>81</v>
      </c>
      <c r="BN6" s="21">
        <v>12</v>
      </c>
      <c r="BO6" s="276">
        <f t="shared" si="21"/>
        <v>6.75</v>
      </c>
      <c r="BP6" s="20">
        <v>0</v>
      </c>
      <c r="BQ6" s="21">
        <v>0</v>
      </c>
      <c r="BR6" s="276" t="str">
        <f t="shared" si="22"/>
        <v>-</v>
      </c>
      <c r="BS6" s="354">
        <v>0</v>
      </c>
      <c r="BT6" s="271">
        <v>0</v>
      </c>
      <c r="BU6" s="276" t="str">
        <f t="shared" si="23"/>
        <v>-</v>
      </c>
      <c r="BV6" s="368">
        <v>7</v>
      </c>
      <c r="BW6" s="21">
        <v>1</v>
      </c>
      <c r="BX6" s="276">
        <f t="shared" si="24"/>
        <v>7</v>
      </c>
      <c r="BY6" s="117">
        <f>SUM(B6,E6,H6,K6,N6,Q6,T6,W6,AC6,AF6,AI6,AL6,AO6,AR6,AU6,BA6,BG6,BM6,BP6,BS6,BV6)</f>
        <v>364</v>
      </c>
      <c r="BZ6" s="117">
        <f t="shared" si="25"/>
        <v>51</v>
      </c>
      <c r="CA6" s="147">
        <f t="shared" si="26"/>
        <v>7.1372549019607847</v>
      </c>
    </row>
    <row r="7" spans="1:79" ht="15" thickBot="1" x14ac:dyDescent="0.35">
      <c r="A7" s="294">
        <v>45994</v>
      </c>
      <c r="B7" s="20">
        <v>90</v>
      </c>
      <c r="C7" s="21">
        <v>10</v>
      </c>
      <c r="D7" s="139">
        <f t="shared" si="0"/>
        <v>9</v>
      </c>
      <c r="E7" s="125">
        <v>0</v>
      </c>
      <c r="F7" s="126">
        <v>0</v>
      </c>
      <c r="G7" s="139" t="str">
        <f t="shared" si="1"/>
        <v>-</v>
      </c>
      <c r="H7" s="125">
        <v>0</v>
      </c>
      <c r="I7" s="126">
        <v>0</v>
      </c>
      <c r="J7" s="139" t="str">
        <f t="shared" si="2"/>
        <v>-</v>
      </c>
      <c r="K7" s="20">
        <v>9</v>
      </c>
      <c r="L7" s="21">
        <v>1</v>
      </c>
      <c r="M7" s="139">
        <f t="shared" si="3"/>
        <v>9</v>
      </c>
      <c r="N7" s="20">
        <v>0</v>
      </c>
      <c r="O7" s="21">
        <v>0</v>
      </c>
      <c r="P7" s="139" t="str">
        <f t="shared" si="4"/>
        <v>-</v>
      </c>
      <c r="Q7" s="20">
        <v>30</v>
      </c>
      <c r="R7" s="21">
        <v>5</v>
      </c>
      <c r="S7" s="139">
        <f t="shared" si="5"/>
        <v>6</v>
      </c>
      <c r="T7" s="20">
        <v>30</v>
      </c>
      <c r="U7" s="21">
        <v>5</v>
      </c>
      <c r="V7" s="139">
        <f t="shared" si="6"/>
        <v>6</v>
      </c>
      <c r="W7" s="20">
        <v>0</v>
      </c>
      <c r="X7" s="21">
        <v>0</v>
      </c>
      <c r="Y7" s="139" t="str">
        <f t="shared" si="7"/>
        <v>-</v>
      </c>
      <c r="Z7" s="20">
        <v>0</v>
      </c>
      <c r="AA7" s="21">
        <v>0</v>
      </c>
      <c r="AB7" s="139" t="str">
        <f t="shared" si="8"/>
        <v>-</v>
      </c>
      <c r="AC7" s="20">
        <v>0</v>
      </c>
      <c r="AD7" s="21">
        <v>0</v>
      </c>
      <c r="AE7" s="139" t="str">
        <f t="shared" si="9"/>
        <v>-</v>
      </c>
      <c r="AF7" s="20">
        <v>28</v>
      </c>
      <c r="AG7" s="21">
        <v>6</v>
      </c>
      <c r="AH7" s="139">
        <f t="shared" si="10"/>
        <v>4.666666666666667</v>
      </c>
      <c r="AI7" s="270">
        <v>38</v>
      </c>
      <c r="AJ7" s="21">
        <v>7</v>
      </c>
      <c r="AK7" s="139">
        <f t="shared" si="11"/>
        <v>5.4285714285714288</v>
      </c>
      <c r="AL7" s="20">
        <v>0</v>
      </c>
      <c r="AM7" s="21">
        <v>0</v>
      </c>
      <c r="AN7" s="139" t="str">
        <f t="shared" si="12"/>
        <v>-</v>
      </c>
      <c r="AO7" s="20">
        <v>0</v>
      </c>
      <c r="AP7" s="21">
        <v>0</v>
      </c>
      <c r="AQ7" s="139" t="str">
        <f t="shared" si="13"/>
        <v>-</v>
      </c>
      <c r="AR7" s="20">
        <v>0</v>
      </c>
      <c r="AS7" s="21">
        <v>0</v>
      </c>
      <c r="AT7" s="139" t="str">
        <f t="shared" si="14"/>
        <v>-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3</v>
      </c>
      <c r="BB7" s="21">
        <v>1</v>
      </c>
      <c r="BC7" s="139">
        <f t="shared" si="17"/>
        <v>3</v>
      </c>
      <c r="BD7" s="20">
        <v>0</v>
      </c>
      <c r="BE7" s="21">
        <v>0</v>
      </c>
      <c r="BF7" s="139" t="str">
        <f t="shared" si="18"/>
        <v>-</v>
      </c>
      <c r="BG7" s="20">
        <v>9</v>
      </c>
      <c r="BH7" s="21">
        <v>2</v>
      </c>
      <c r="BI7" s="139">
        <f t="shared" si="19"/>
        <v>4.5</v>
      </c>
      <c r="BJ7" s="20">
        <v>0</v>
      </c>
      <c r="BK7" s="21">
        <v>0</v>
      </c>
      <c r="BL7" s="139" t="str">
        <f t="shared" si="20"/>
        <v>-</v>
      </c>
      <c r="BM7" s="20">
        <v>14</v>
      </c>
      <c r="BN7" s="21">
        <v>2</v>
      </c>
      <c r="BO7" s="276">
        <f t="shared" si="21"/>
        <v>7</v>
      </c>
      <c r="BP7" s="20">
        <v>0</v>
      </c>
      <c r="BQ7" s="21">
        <v>0</v>
      </c>
      <c r="BR7" s="276" t="str">
        <f t="shared" si="22"/>
        <v>-</v>
      </c>
      <c r="BS7" s="354">
        <v>0</v>
      </c>
      <c r="BT7" s="271">
        <v>0</v>
      </c>
      <c r="BU7" s="276" t="str">
        <f t="shared" si="23"/>
        <v>-</v>
      </c>
      <c r="BV7" s="368">
        <v>8</v>
      </c>
      <c r="BW7" s="21">
        <v>1</v>
      </c>
      <c r="BX7" s="276">
        <f t="shared" si="24"/>
        <v>8</v>
      </c>
      <c r="BY7" s="117">
        <f t="shared" ref="BY7:BY35" si="27">SUM(B7,E7,H7,K7,N7,Q7,T7,W7,AC7,AF7,AI7,AL7,AO7,AR7,AU7,BA7,BG7,BM7,BP7,BS7,BV7)</f>
        <v>259</v>
      </c>
      <c r="BZ7" s="117">
        <f t="shared" si="25"/>
        <v>40</v>
      </c>
      <c r="CA7" s="147">
        <f t="shared" si="26"/>
        <v>6.4749999999999996</v>
      </c>
    </row>
    <row r="8" spans="1:79" ht="15" thickBot="1" x14ac:dyDescent="0.35">
      <c r="A8" s="294">
        <v>45995</v>
      </c>
      <c r="B8" s="20">
        <v>80</v>
      </c>
      <c r="C8" s="21">
        <v>9</v>
      </c>
      <c r="D8" s="139">
        <f t="shared" si="0"/>
        <v>8.8888888888888893</v>
      </c>
      <c r="E8" s="125">
        <v>8</v>
      </c>
      <c r="F8" s="126">
        <v>1</v>
      </c>
      <c r="G8" s="139">
        <f t="shared" si="1"/>
        <v>8</v>
      </c>
      <c r="H8" s="125">
        <v>25</v>
      </c>
      <c r="I8" s="126">
        <v>5</v>
      </c>
      <c r="J8" s="139">
        <f t="shared" si="2"/>
        <v>5</v>
      </c>
      <c r="K8" s="20">
        <v>44</v>
      </c>
      <c r="L8" s="21">
        <v>5</v>
      </c>
      <c r="M8" s="139">
        <f>IF(L8=0,"-",K8/L8)</f>
        <v>8.8000000000000007</v>
      </c>
      <c r="N8" s="20">
        <v>0</v>
      </c>
      <c r="O8" s="21">
        <v>0</v>
      </c>
      <c r="P8" s="139" t="str">
        <f t="shared" si="4"/>
        <v>-</v>
      </c>
      <c r="Q8" s="20">
        <v>0</v>
      </c>
      <c r="R8" s="21">
        <v>0</v>
      </c>
      <c r="S8" s="139" t="str">
        <f t="shared" si="5"/>
        <v>-</v>
      </c>
      <c r="T8" s="20">
        <v>46</v>
      </c>
      <c r="U8" s="21">
        <v>8</v>
      </c>
      <c r="V8" s="139">
        <f t="shared" si="6"/>
        <v>5.75</v>
      </c>
      <c r="W8" s="20">
        <v>0</v>
      </c>
      <c r="X8" s="21">
        <v>0</v>
      </c>
      <c r="Y8" s="139" t="str">
        <f t="shared" si="7"/>
        <v>-</v>
      </c>
      <c r="Z8" s="20">
        <v>0</v>
      </c>
      <c r="AA8" s="21">
        <v>0</v>
      </c>
      <c r="AB8" s="139" t="str">
        <f t="shared" si="8"/>
        <v>-</v>
      </c>
      <c r="AC8" s="20">
        <v>0</v>
      </c>
      <c r="AD8" s="21">
        <v>0</v>
      </c>
      <c r="AE8" s="139" t="str">
        <f t="shared" si="9"/>
        <v>-</v>
      </c>
      <c r="AF8" s="20">
        <v>51</v>
      </c>
      <c r="AG8" s="21">
        <v>10</v>
      </c>
      <c r="AH8" s="139">
        <f t="shared" si="10"/>
        <v>5.0999999999999996</v>
      </c>
      <c r="AI8" s="270">
        <v>29</v>
      </c>
      <c r="AJ8" s="21">
        <v>6</v>
      </c>
      <c r="AK8" s="139">
        <f t="shared" si="11"/>
        <v>4.833333333333333</v>
      </c>
      <c r="AL8" s="20">
        <v>0</v>
      </c>
      <c r="AM8" s="21">
        <v>0</v>
      </c>
      <c r="AN8" s="139" t="str">
        <f t="shared" si="12"/>
        <v>-</v>
      </c>
      <c r="AO8" s="20">
        <v>0</v>
      </c>
      <c r="AP8" s="21">
        <v>0</v>
      </c>
      <c r="AQ8" s="139" t="str">
        <f t="shared" si="13"/>
        <v>-</v>
      </c>
      <c r="AR8" s="20">
        <v>0</v>
      </c>
      <c r="AS8" s="21">
        <v>0</v>
      </c>
      <c r="AT8" s="139" t="str">
        <f t="shared" si="14"/>
        <v>-</v>
      </c>
      <c r="AU8" s="20">
        <v>0</v>
      </c>
      <c r="AV8" s="21">
        <v>0</v>
      </c>
      <c r="AW8" s="139" t="str">
        <f t="shared" si="15"/>
        <v>-</v>
      </c>
      <c r="AX8" s="20">
        <v>0</v>
      </c>
      <c r="AY8" s="21">
        <v>0</v>
      </c>
      <c r="AZ8" s="139" t="str">
        <f t="shared" si="16"/>
        <v>-</v>
      </c>
      <c r="BA8" s="20">
        <v>1</v>
      </c>
      <c r="BB8" s="21">
        <v>1</v>
      </c>
      <c r="BC8" s="139">
        <f t="shared" si="17"/>
        <v>1</v>
      </c>
      <c r="BD8" s="20">
        <v>0</v>
      </c>
      <c r="BE8" s="21">
        <v>0</v>
      </c>
      <c r="BF8" s="139" t="str">
        <f t="shared" si="18"/>
        <v>-</v>
      </c>
      <c r="BG8" s="20">
        <v>10</v>
      </c>
      <c r="BH8" s="21">
        <v>2</v>
      </c>
      <c r="BI8" s="139">
        <f t="shared" si="19"/>
        <v>5</v>
      </c>
      <c r="BJ8" s="20">
        <v>0</v>
      </c>
      <c r="BK8" s="21">
        <v>0</v>
      </c>
      <c r="BL8" s="139" t="str">
        <f t="shared" si="20"/>
        <v>-</v>
      </c>
      <c r="BM8" s="20">
        <v>22</v>
      </c>
      <c r="BN8" s="21">
        <v>4</v>
      </c>
      <c r="BO8" s="276">
        <f t="shared" si="21"/>
        <v>5.5</v>
      </c>
      <c r="BP8" s="20">
        <v>0</v>
      </c>
      <c r="BQ8" s="21">
        <v>0</v>
      </c>
      <c r="BR8" s="276" t="str">
        <f t="shared" si="22"/>
        <v>-</v>
      </c>
      <c r="BS8" s="354">
        <v>0</v>
      </c>
      <c r="BT8" s="271">
        <v>0</v>
      </c>
      <c r="BU8" s="276" t="str">
        <f t="shared" si="23"/>
        <v>-</v>
      </c>
      <c r="BV8" s="368">
        <v>0</v>
      </c>
      <c r="BW8" s="21">
        <v>0</v>
      </c>
      <c r="BX8" s="276" t="str">
        <f t="shared" si="24"/>
        <v>-</v>
      </c>
      <c r="BY8" s="117">
        <f t="shared" si="27"/>
        <v>316</v>
      </c>
      <c r="BZ8" s="117">
        <f t="shared" si="25"/>
        <v>46</v>
      </c>
      <c r="CA8" s="147">
        <f t="shared" si="26"/>
        <v>6.8695652173913047</v>
      </c>
    </row>
    <row r="9" spans="1:79" ht="15" thickBot="1" x14ac:dyDescent="0.35">
      <c r="A9" s="294">
        <v>45996</v>
      </c>
      <c r="B9" s="20">
        <v>58</v>
      </c>
      <c r="C9" s="21">
        <v>7</v>
      </c>
      <c r="D9" s="139">
        <f t="shared" si="0"/>
        <v>8.2857142857142865</v>
      </c>
      <c r="E9" s="125">
        <v>0</v>
      </c>
      <c r="F9" s="126">
        <v>0</v>
      </c>
      <c r="G9" s="139" t="str">
        <f t="shared" si="1"/>
        <v>-</v>
      </c>
      <c r="H9" s="125">
        <v>1</v>
      </c>
      <c r="I9" s="126">
        <v>1</v>
      </c>
      <c r="J9" s="139">
        <f t="shared" si="2"/>
        <v>1</v>
      </c>
      <c r="K9" s="125">
        <v>0</v>
      </c>
      <c r="L9" s="126">
        <v>0</v>
      </c>
      <c r="M9" s="139" t="str">
        <f t="shared" si="3"/>
        <v>-</v>
      </c>
      <c r="N9" s="20">
        <v>0</v>
      </c>
      <c r="O9" s="21">
        <v>0</v>
      </c>
      <c r="P9" s="139" t="str">
        <f t="shared" si="4"/>
        <v>-</v>
      </c>
      <c r="Q9" s="20">
        <v>0</v>
      </c>
      <c r="R9" s="21">
        <v>0</v>
      </c>
      <c r="S9" s="139" t="str">
        <f t="shared" si="5"/>
        <v>-</v>
      </c>
      <c r="T9" s="20">
        <v>74</v>
      </c>
      <c r="U9" s="21">
        <v>13</v>
      </c>
      <c r="V9" s="139">
        <f t="shared" si="6"/>
        <v>5.6923076923076925</v>
      </c>
      <c r="W9" s="20">
        <v>14</v>
      </c>
      <c r="X9" s="21">
        <v>3</v>
      </c>
      <c r="Y9" s="139">
        <f t="shared" si="7"/>
        <v>4.666666666666667</v>
      </c>
      <c r="Z9" s="20">
        <v>0</v>
      </c>
      <c r="AA9" s="21">
        <v>0</v>
      </c>
      <c r="AB9" s="139" t="str">
        <f t="shared" si="8"/>
        <v>-</v>
      </c>
      <c r="AC9" s="20">
        <v>0</v>
      </c>
      <c r="AD9" s="21">
        <v>0</v>
      </c>
      <c r="AE9" s="139" t="str">
        <f t="shared" si="9"/>
        <v>-</v>
      </c>
      <c r="AF9" s="20">
        <v>0</v>
      </c>
      <c r="AG9" s="21">
        <v>0</v>
      </c>
      <c r="AH9" s="139" t="str">
        <f t="shared" si="10"/>
        <v>-</v>
      </c>
      <c r="AI9" s="20">
        <v>25</v>
      </c>
      <c r="AJ9" s="21">
        <v>5</v>
      </c>
      <c r="AK9" s="139">
        <f t="shared" si="11"/>
        <v>5</v>
      </c>
      <c r="AL9" s="20">
        <v>0</v>
      </c>
      <c r="AM9" s="21">
        <v>0</v>
      </c>
      <c r="AN9" s="139" t="str">
        <f t="shared" si="12"/>
        <v>-</v>
      </c>
      <c r="AO9" s="20">
        <v>0</v>
      </c>
      <c r="AP9" s="21">
        <v>0</v>
      </c>
      <c r="AQ9" s="139" t="str">
        <f t="shared" si="13"/>
        <v>-</v>
      </c>
      <c r="AR9" s="20">
        <v>6</v>
      </c>
      <c r="AS9" s="21">
        <v>1</v>
      </c>
      <c r="AT9" s="139">
        <f t="shared" si="14"/>
        <v>6</v>
      </c>
      <c r="AU9" s="20">
        <v>0</v>
      </c>
      <c r="AV9" s="21">
        <v>0</v>
      </c>
      <c r="AW9" s="139" t="str">
        <f t="shared" si="15"/>
        <v>-</v>
      </c>
      <c r="AX9" s="20">
        <v>0</v>
      </c>
      <c r="AY9" s="21">
        <v>0</v>
      </c>
      <c r="AZ9" s="139" t="str">
        <f t="shared" si="16"/>
        <v>-</v>
      </c>
      <c r="BA9" s="20">
        <v>1</v>
      </c>
      <c r="BB9" s="21">
        <v>1</v>
      </c>
      <c r="BC9" s="139">
        <f>IF(BB9=0,"-",BA9/BB9)</f>
        <v>1</v>
      </c>
      <c r="BD9" s="20">
        <v>0</v>
      </c>
      <c r="BE9" s="21">
        <v>0</v>
      </c>
      <c r="BF9" s="139" t="str">
        <f t="shared" si="18"/>
        <v>-</v>
      </c>
      <c r="BG9" s="20">
        <v>2</v>
      </c>
      <c r="BH9" s="21">
        <v>2</v>
      </c>
      <c r="BI9" s="139">
        <f t="shared" si="19"/>
        <v>1</v>
      </c>
      <c r="BJ9" s="20">
        <v>0</v>
      </c>
      <c r="BK9" s="21">
        <v>0</v>
      </c>
      <c r="BL9" s="139" t="str">
        <f t="shared" si="20"/>
        <v>-</v>
      </c>
      <c r="BM9" s="20">
        <v>6</v>
      </c>
      <c r="BN9" s="21">
        <v>1</v>
      </c>
      <c r="BO9" s="276">
        <f t="shared" si="21"/>
        <v>6</v>
      </c>
      <c r="BP9" s="20">
        <v>0</v>
      </c>
      <c r="BQ9" s="21">
        <v>0</v>
      </c>
      <c r="BR9" s="276" t="str">
        <f t="shared" si="22"/>
        <v>-</v>
      </c>
      <c r="BS9" s="354">
        <v>20</v>
      </c>
      <c r="BT9" s="271">
        <v>2</v>
      </c>
      <c r="BU9" s="276">
        <f t="shared" si="23"/>
        <v>10</v>
      </c>
      <c r="BV9" s="355">
        <v>0</v>
      </c>
      <c r="BW9" s="21">
        <v>0</v>
      </c>
      <c r="BX9" s="276" t="str">
        <f t="shared" si="24"/>
        <v>-</v>
      </c>
      <c r="BY9" s="117">
        <f t="shared" si="27"/>
        <v>207</v>
      </c>
      <c r="BZ9" s="117">
        <f t="shared" si="25"/>
        <v>35</v>
      </c>
      <c r="CA9" s="147">
        <f t="shared" si="26"/>
        <v>5.9142857142857146</v>
      </c>
    </row>
    <row r="10" spans="1:79" ht="15" thickBot="1" x14ac:dyDescent="0.35">
      <c r="A10" s="294">
        <v>45997</v>
      </c>
      <c r="B10" s="20">
        <v>156</v>
      </c>
      <c r="C10" s="21">
        <v>18</v>
      </c>
      <c r="D10" s="139">
        <f t="shared" si="0"/>
        <v>8.6666666666666661</v>
      </c>
      <c r="E10" s="125">
        <v>0</v>
      </c>
      <c r="F10" s="126">
        <v>0</v>
      </c>
      <c r="G10" s="139" t="str">
        <f t="shared" si="1"/>
        <v>-</v>
      </c>
      <c r="H10" s="125">
        <v>0</v>
      </c>
      <c r="I10" s="126">
        <v>0</v>
      </c>
      <c r="J10" s="139" t="str">
        <f t="shared" si="2"/>
        <v>-</v>
      </c>
      <c r="K10" s="20">
        <v>0</v>
      </c>
      <c r="L10" s="21">
        <v>0</v>
      </c>
      <c r="M10" s="139" t="str">
        <f t="shared" si="3"/>
        <v>-</v>
      </c>
      <c r="N10" s="20">
        <v>0</v>
      </c>
      <c r="O10" s="21">
        <v>0</v>
      </c>
      <c r="P10" s="139" t="str">
        <f t="shared" si="4"/>
        <v>-</v>
      </c>
      <c r="Q10" s="20">
        <v>0</v>
      </c>
      <c r="R10" s="21">
        <v>0</v>
      </c>
      <c r="S10" s="139" t="str">
        <f t="shared" si="5"/>
        <v>-</v>
      </c>
      <c r="T10" s="20">
        <v>57</v>
      </c>
      <c r="U10" s="21">
        <v>10</v>
      </c>
      <c r="V10" s="139">
        <f t="shared" si="6"/>
        <v>5.7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10"/>
        <v>-</v>
      </c>
      <c r="AI10" s="20">
        <v>0</v>
      </c>
      <c r="AJ10" s="21">
        <v>0</v>
      </c>
      <c r="AK10" s="139" t="str">
        <f t="shared" si="11"/>
        <v>-</v>
      </c>
      <c r="AL10" s="20">
        <v>0</v>
      </c>
      <c r="AM10" s="21">
        <v>0</v>
      </c>
      <c r="AN10" s="139" t="str">
        <f t="shared" si="12"/>
        <v>-</v>
      </c>
      <c r="AO10" s="20">
        <v>0</v>
      </c>
      <c r="AP10" s="21">
        <v>0</v>
      </c>
      <c r="AQ10" s="139" t="str">
        <f t="shared" si="13"/>
        <v>-</v>
      </c>
      <c r="AR10" s="20">
        <v>6</v>
      </c>
      <c r="AS10" s="21">
        <v>1</v>
      </c>
      <c r="AT10" s="139">
        <f t="shared" si="14"/>
        <v>6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0</v>
      </c>
      <c r="BB10" s="21">
        <v>0</v>
      </c>
      <c r="BC10" s="139" t="str">
        <f t="shared" si="17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0">
        <v>0</v>
      </c>
      <c r="BK10" s="21">
        <v>0</v>
      </c>
      <c r="BL10" s="139" t="str">
        <f t="shared" si="20"/>
        <v>-</v>
      </c>
      <c r="BM10" s="20">
        <v>21</v>
      </c>
      <c r="BN10" s="21">
        <v>3</v>
      </c>
      <c r="BO10" s="139">
        <f t="shared" si="21"/>
        <v>7</v>
      </c>
      <c r="BP10" s="20">
        <v>0</v>
      </c>
      <c r="BQ10" s="21">
        <v>0</v>
      </c>
      <c r="BR10" s="139" t="str">
        <f t="shared" si="22"/>
        <v>-</v>
      </c>
      <c r="BS10" s="354">
        <v>0</v>
      </c>
      <c r="BT10" s="271">
        <v>0</v>
      </c>
      <c r="BU10" s="139" t="str">
        <f t="shared" si="23"/>
        <v>-</v>
      </c>
      <c r="BV10" s="355">
        <v>0</v>
      </c>
      <c r="BW10" s="21">
        <v>0</v>
      </c>
      <c r="BX10" s="139" t="str">
        <f t="shared" si="24"/>
        <v>-</v>
      </c>
      <c r="BY10" s="117">
        <f t="shared" si="27"/>
        <v>240</v>
      </c>
      <c r="BZ10" s="117">
        <f t="shared" si="25"/>
        <v>32</v>
      </c>
      <c r="CA10" s="147">
        <f t="shared" si="26"/>
        <v>7.5</v>
      </c>
    </row>
    <row r="11" spans="1:79" ht="15" thickBot="1" x14ac:dyDescent="0.35">
      <c r="A11" s="294">
        <v>45998</v>
      </c>
      <c r="B11" s="20">
        <v>36</v>
      </c>
      <c r="C11" s="21">
        <v>5</v>
      </c>
      <c r="D11" s="139">
        <f t="shared" si="0"/>
        <v>7.2</v>
      </c>
      <c r="E11" s="20">
        <v>24</v>
      </c>
      <c r="F11" s="21">
        <v>3</v>
      </c>
      <c r="G11" s="139">
        <f t="shared" si="1"/>
        <v>8</v>
      </c>
      <c r="H11" s="20">
        <v>0</v>
      </c>
      <c r="I11" s="21">
        <v>0</v>
      </c>
      <c r="J11" s="139" t="str">
        <f t="shared" si="2"/>
        <v>-</v>
      </c>
      <c r="K11" s="20">
        <v>48</v>
      </c>
      <c r="L11" s="21">
        <v>6</v>
      </c>
      <c r="M11" s="139">
        <f t="shared" si="3"/>
        <v>8</v>
      </c>
      <c r="N11" s="125">
        <v>0</v>
      </c>
      <c r="O11" s="126">
        <v>0</v>
      </c>
      <c r="P11" s="139" t="str">
        <f t="shared" si="4"/>
        <v>-</v>
      </c>
      <c r="Q11" s="125">
        <v>0</v>
      </c>
      <c r="R11" s="126">
        <v>0</v>
      </c>
      <c r="S11" s="139" t="str">
        <f t="shared" si="5"/>
        <v>-</v>
      </c>
      <c r="T11" s="20">
        <v>0</v>
      </c>
      <c r="U11" s="21">
        <v>0</v>
      </c>
      <c r="V11" s="139" t="str">
        <f t="shared" si="6"/>
        <v>-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0</v>
      </c>
      <c r="AD11" s="21">
        <v>0</v>
      </c>
      <c r="AE11" s="139" t="str">
        <f t="shared" si="9"/>
        <v>-</v>
      </c>
      <c r="AF11" s="20">
        <v>0</v>
      </c>
      <c r="AG11" s="21">
        <v>0</v>
      </c>
      <c r="AH11" s="139" t="str">
        <f t="shared" si="10"/>
        <v>-</v>
      </c>
      <c r="AI11" s="20">
        <v>0</v>
      </c>
      <c r="AJ11" s="21">
        <v>0</v>
      </c>
      <c r="AK11" s="139" t="str">
        <f t="shared" si="11"/>
        <v>-</v>
      </c>
      <c r="AL11" s="20">
        <v>0</v>
      </c>
      <c r="AM11" s="21">
        <v>0</v>
      </c>
      <c r="AN11" s="139" t="str">
        <f t="shared" si="12"/>
        <v>-</v>
      </c>
      <c r="AO11" s="20">
        <v>0</v>
      </c>
      <c r="AP11" s="21">
        <v>0</v>
      </c>
      <c r="AQ11" s="139" t="str">
        <f t="shared" si="13"/>
        <v>-</v>
      </c>
      <c r="AR11" s="20">
        <v>0</v>
      </c>
      <c r="AS11" s="21">
        <v>0</v>
      </c>
      <c r="AT11" s="139" t="str">
        <f t="shared" si="14"/>
        <v>-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0</v>
      </c>
      <c r="BB11" s="21">
        <v>0</v>
      </c>
      <c r="BC11" s="139" t="str">
        <f t="shared" si="17"/>
        <v>-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0">
        <v>0</v>
      </c>
      <c r="BK11" s="21">
        <v>0</v>
      </c>
      <c r="BL11" s="139" t="str">
        <f t="shared" si="20"/>
        <v>-</v>
      </c>
      <c r="BM11" s="20">
        <v>5</v>
      </c>
      <c r="BN11" s="21">
        <v>1</v>
      </c>
      <c r="BO11" s="139">
        <f t="shared" si="21"/>
        <v>5</v>
      </c>
      <c r="BP11" s="20">
        <v>0</v>
      </c>
      <c r="BQ11" s="21">
        <v>0</v>
      </c>
      <c r="BR11" s="139" t="str">
        <f t="shared" si="22"/>
        <v>-</v>
      </c>
      <c r="BS11" s="354">
        <v>0</v>
      </c>
      <c r="BT11" s="271">
        <v>0</v>
      </c>
      <c r="BU11" s="139" t="str">
        <f t="shared" si="23"/>
        <v>-</v>
      </c>
      <c r="BV11" s="355">
        <v>0</v>
      </c>
      <c r="BW11" s="21">
        <v>0</v>
      </c>
      <c r="BX11" s="139" t="str">
        <f t="shared" si="24"/>
        <v>-</v>
      </c>
      <c r="BY11" s="117">
        <f>SUM(B11,E11,H11,K11,N11,Q11,T11,W11,AC11,AF11,AI11,AL11,AO11,AR11,AU11,BA11,BG11,BM11,BP11,BS11,BV11)</f>
        <v>113</v>
      </c>
      <c r="BZ11" s="117">
        <f>SUM(C11,F11,L11,O11,R11,U11,X11,AD11,AG11,AJ11,AM11,AP11,AS11,AV11,BB11,BH11,BN11,BQ11,BT11,BW11)</f>
        <v>15</v>
      </c>
      <c r="CA11" s="147">
        <f t="shared" si="26"/>
        <v>7.5333333333333332</v>
      </c>
    </row>
    <row r="12" spans="1:79" ht="16.2" customHeight="1" thickBot="1" x14ac:dyDescent="0.35">
      <c r="A12" s="294">
        <v>45999</v>
      </c>
      <c r="B12" s="20">
        <v>168</v>
      </c>
      <c r="C12" s="21">
        <v>19</v>
      </c>
      <c r="D12" s="139">
        <f t="shared" si="0"/>
        <v>8.8421052631578956</v>
      </c>
      <c r="E12" s="20">
        <v>0</v>
      </c>
      <c r="F12" s="21">
        <v>0</v>
      </c>
      <c r="G12" s="139" t="str">
        <f t="shared" si="1"/>
        <v>-</v>
      </c>
      <c r="H12" s="20">
        <v>0</v>
      </c>
      <c r="I12" s="21">
        <v>0</v>
      </c>
      <c r="J12" s="139" t="str">
        <f t="shared" si="2"/>
        <v>-</v>
      </c>
      <c r="K12" s="20">
        <v>50</v>
      </c>
      <c r="L12" s="21">
        <v>7</v>
      </c>
      <c r="M12" s="139">
        <f t="shared" si="3"/>
        <v>7.1428571428571432</v>
      </c>
      <c r="N12" s="125">
        <v>0</v>
      </c>
      <c r="O12" s="126">
        <v>0</v>
      </c>
      <c r="P12" s="139" t="str">
        <f t="shared" si="4"/>
        <v>-</v>
      </c>
      <c r="Q12" s="125">
        <v>30</v>
      </c>
      <c r="R12" s="126">
        <v>5</v>
      </c>
      <c r="S12" s="139">
        <f t="shared" si="5"/>
        <v>6</v>
      </c>
      <c r="T12" s="23">
        <v>40</v>
      </c>
      <c r="U12" s="21">
        <v>7</v>
      </c>
      <c r="V12" s="139">
        <f t="shared" si="6"/>
        <v>5.7142857142857144</v>
      </c>
      <c r="W12" s="20">
        <v>0</v>
      </c>
      <c r="X12" s="21">
        <v>0</v>
      </c>
      <c r="Y12" s="139" t="str">
        <f t="shared" si="7"/>
        <v>-</v>
      </c>
      <c r="Z12" s="20">
        <v>0</v>
      </c>
      <c r="AA12" s="21">
        <v>0</v>
      </c>
      <c r="AB12" s="139" t="str">
        <f t="shared" si="8"/>
        <v>-</v>
      </c>
      <c r="AC12" s="20">
        <v>0</v>
      </c>
      <c r="AD12" s="21">
        <v>0</v>
      </c>
      <c r="AE12" s="139" t="str">
        <f t="shared" si="9"/>
        <v>-</v>
      </c>
      <c r="AF12" s="20">
        <v>0</v>
      </c>
      <c r="AG12" s="21">
        <v>0</v>
      </c>
      <c r="AH12" s="139" t="str">
        <f t="shared" si="10"/>
        <v>-</v>
      </c>
      <c r="AI12" s="20">
        <v>30</v>
      </c>
      <c r="AJ12" s="21">
        <v>6</v>
      </c>
      <c r="AK12" s="139">
        <f t="shared" si="11"/>
        <v>5</v>
      </c>
      <c r="AL12" s="23">
        <v>0</v>
      </c>
      <c r="AM12" s="21">
        <v>0</v>
      </c>
      <c r="AN12" s="139" t="str">
        <f t="shared" si="12"/>
        <v>-</v>
      </c>
      <c r="AO12" s="20">
        <v>0</v>
      </c>
      <c r="AP12" s="21">
        <v>0</v>
      </c>
      <c r="AQ12" s="139" t="str">
        <f t="shared" si="13"/>
        <v>-</v>
      </c>
      <c r="AR12" s="20">
        <v>0</v>
      </c>
      <c r="AS12" s="21">
        <v>0</v>
      </c>
      <c r="AT12" s="139" t="str">
        <f t="shared" si="14"/>
        <v>-</v>
      </c>
      <c r="AU12" s="20">
        <v>0</v>
      </c>
      <c r="AV12" s="21">
        <v>0</v>
      </c>
      <c r="AW12" s="139" t="str">
        <f t="shared" si="15"/>
        <v>-</v>
      </c>
      <c r="AX12" s="20">
        <v>0</v>
      </c>
      <c r="AY12" s="21">
        <v>0</v>
      </c>
      <c r="AZ12" s="139" t="str">
        <f t="shared" si="16"/>
        <v>-</v>
      </c>
      <c r="BA12" s="20">
        <v>4</v>
      </c>
      <c r="BB12" s="21">
        <v>3</v>
      </c>
      <c r="BC12" s="139">
        <f t="shared" si="17"/>
        <v>1.3333333333333333</v>
      </c>
      <c r="BD12" s="20">
        <v>0</v>
      </c>
      <c r="BE12" s="21">
        <v>0</v>
      </c>
      <c r="BF12" s="139" t="str">
        <f t="shared" si="18"/>
        <v>-</v>
      </c>
      <c r="BG12" s="20">
        <v>12</v>
      </c>
      <c r="BH12" s="21">
        <v>2</v>
      </c>
      <c r="BI12" s="139">
        <f t="shared" si="19"/>
        <v>6</v>
      </c>
      <c r="BJ12" s="20">
        <v>0</v>
      </c>
      <c r="BK12" s="21">
        <v>0</v>
      </c>
      <c r="BL12" s="139" t="str">
        <f t="shared" si="20"/>
        <v>-</v>
      </c>
      <c r="BM12" s="20">
        <v>5</v>
      </c>
      <c r="BN12" s="21">
        <v>1</v>
      </c>
      <c r="BO12" s="139">
        <f t="shared" si="21"/>
        <v>5</v>
      </c>
      <c r="BP12" s="20">
        <v>0</v>
      </c>
      <c r="BQ12" s="21">
        <v>0</v>
      </c>
      <c r="BR12" s="139" t="str">
        <f t="shared" si="22"/>
        <v>-</v>
      </c>
      <c r="BS12" s="354">
        <v>0</v>
      </c>
      <c r="BT12" s="271">
        <v>0</v>
      </c>
      <c r="BU12" s="139" t="str">
        <f t="shared" si="23"/>
        <v>-</v>
      </c>
      <c r="BV12" s="355">
        <v>13</v>
      </c>
      <c r="BW12" s="21">
        <v>2</v>
      </c>
      <c r="BX12" s="139">
        <f t="shared" si="24"/>
        <v>6.5</v>
      </c>
      <c r="BY12" s="117">
        <f t="shared" si="27"/>
        <v>352</v>
      </c>
      <c r="BZ12" s="117">
        <f t="shared" si="25"/>
        <v>52</v>
      </c>
      <c r="CA12" s="147">
        <f t="shared" si="26"/>
        <v>6.7692307692307692</v>
      </c>
    </row>
    <row r="13" spans="1:79" ht="15" thickBot="1" x14ac:dyDescent="0.35">
      <c r="A13" s="294">
        <v>46000</v>
      </c>
      <c r="B13" s="20">
        <v>67</v>
      </c>
      <c r="C13" s="21">
        <v>8</v>
      </c>
      <c r="D13" s="139">
        <f t="shared" si="0"/>
        <v>8.375</v>
      </c>
      <c r="E13" s="20">
        <v>0</v>
      </c>
      <c r="F13" s="21">
        <v>0</v>
      </c>
      <c r="G13" s="139" t="str">
        <f t="shared" si="1"/>
        <v>-</v>
      </c>
      <c r="H13" s="20">
        <v>1</v>
      </c>
      <c r="I13" s="21">
        <v>1</v>
      </c>
      <c r="J13" s="139">
        <f t="shared" si="2"/>
        <v>1</v>
      </c>
      <c r="K13" s="20">
        <v>0</v>
      </c>
      <c r="L13" s="21">
        <v>0</v>
      </c>
      <c r="M13" s="139" t="str">
        <f t="shared" si="3"/>
        <v>-</v>
      </c>
      <c r="N13" s="125">
        <v>0</v>
      </c>
      <c r="O13" s="126">
        <v>0</v>
      </c>
      <c r="P13" s="139" t="str">
        <f t="shared" si="4"/>
        <v>-</v>
      </c>
      <c r="Q13" s="125">
        <v>0</v>
      </c>
      <c r="R13" s="126">
        <v>0</v>
      </c>
      <c r="S13" s="139" t="str">
        <f t="shared" si="5"/>
        <v>-</v>
      </c>
      <c r="T13" s="125">
        <v>35</v>
      </c>
      <c r="U13" s="126">
        <v>7</v>
      </c>
      <c r="V13" s="139">
        <f t="shared" si="6"/>
        <v>5</v>
      </c>
      <c r="W13" s="20">
        <v>0</v>
      </c>
      <c r="X13" s="21">
        <v>0</v>
      </c>
      <c r="Y13" s="139" t="str">
        <f t="shared" si="7"/>
        <v>-</v>
      </c>
      <c r="Z13" s="125">
        <v>0</v>
      </c>
      <c r="AA13" s="126">
        <v>0</v>
      </c>
      <c r="AB13" s="139" t="str">
        <f t="shared" si="8"/>
        <v>-</v>
      </c>
      <c r="AC13" s="20">
        <v>0</v>
      </c>
      <c r="AD13" s="21">
        <v>0</v>
      </c>
      <c r="AE13" s="139" t="str">
        <f t="shared" si="9"/>
        <v>-</v>
      </c>
      <c r="AF13" s="125">
        <v>0</v>
      </c>
      <c r="AG13" s="126">
        <v>0</v>
      </c>
      <c r="AH13" s="139" t="str">
        <f t="shared" si="10"/>
        <v>-</v>
      </c>
      <c r="AI13" s="125">
        <v>30</v>
      </c>
      <c r="AJ13" s="126">
        <v>6</v>
      </c>
      <c r="AK13" s="139">
        <f t="shared" si="11"/>
        <v>5</v>
      </c>
      <c r="AL13" s="125">
        <v>0</v>
      </c>
      <c r="AM13" s="126">
        <v>0</v>
      </c>
      <c r="AN13" s="139" t="str">
        <f t="shared" si="12"/>
        <v>-</v>
      </c>
      <c r="AO13" s="125">
        <v>12</v>
      </c>
      <c r="AP13" s="126">
        <v>2</v>
      </c>
      <c r="AQ13" s="139">
        <f t="shared" si="13"/>
        <v>6</v>
      </c>
      <c r="AR13" s="20">
        <v>0</v>
      </c>
      <c r="AS13" s="21">
        <v>0</v>
      </c>
      <c r="AT13" s="139" t="str">
        <f t="shared" si="14"/>
        <v>-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0</v>
      </c>
      <c r="BB13" s="21">
        <v>0</v>
      </c>
      <c r="BC13" s="139" t="str">
        <f t="shared" si="17"/>
        <v>-</v>
      </c>
      <c r="BD13" s="20">
        <v>0</v>
      </c>
      <c r="BE13" s="21">
        <v>0</v>
      </c>
      <c r="BF13" s="139" t="str">
        <f t="shared" si="18"/>
        <v>-</v>
      </c>
      <c r="BG13" s="20">
        <v>10</v>
      </c>
      <c r="BH13" s="21">
        <v>2</v>
      </c>
      <c r="BI13" s="139">
        <f t="shared" si="19"/>
        <v>5</v>
      </c>
      <c r="BJ13" s="20">
        <v>0</v>
      </c>
      <c r="BK13" s="21">
        <v>0</v>
      </c>
      <c r="BL13" s="139" t="str">
        <f t="shared" si="20"/>
        <v>-</v>
      </c>
      <c r="BM13" s="20">
        <v>30</v>
      </c>
      <c r="BN13" s="21">
        <v>5</v>
      </c>
      <c r="BO13" s="276">
        <f t="shared" si="21"/>
        <v>6</v>
      </c>
      <c r="BP13" s="20">
        <v>0</v>
      </c>
      <c r="BQ13" s="21">
        <v>0</v>
      </c>
      <c r="BR13" s="276" t="str">
        <f t="shared" si="22"/>
        <v>-</v>
      </c>
      <c r="BS13" s="354">
        <v>0</v>
      </c>
      <c r="BT13" s="271">
        <v>0</v>
      </c>
      <c r="BU13" s="276" t="str">
        <f t="shared" si="23"/>
        <v>-</v>
      </c>
      <c r="BV13" s="355">
        <v>0</v>
      </c>
      <c r="BW13" s="21">
        <v>0</v>
      </c>
      <c r="BX13" s="139" t="str">
        <f t="shared" si="24"/>
        <v>-</v>
      </c>
      <c r="BY13" s="117">
        <f t="shared" si="27"/>
        <v>185</v>
      </c>
      <c r="BZ13" s="117">
        <f t="shared" si="25"/>
        <v>30</v>
      </c>
      <c r="CA13" s="147">
        <f t="shared" si="26"/>
        <v>6.166666666666667</v>
      </c>
    </row>
    <row r="14" spans="1:79" ht="15" thickBot="1" x14ac:dyDescent="0.35">
      <c r="A14" s="294">
        <v>46001</v>
      </c>
      <c r="B14" s="20">
        <v>84</v>
      </c>
      <c r="C14" s="21">
        <v>9</v>
      </c>
      <c r="D14" s="139">
        <f t="shared" si="0"/>
        <v>9.3333333333333339</v>
      </c>
      <c r="E14" s="20">
        <v>0</v>
      </c>
      <c r="F14" s="21">
        <v>0</v>
      </c>
      <c r="G14" s="139" t="str">
        <f t="shared" si="1"/>
        <v>-</v>
      </c>
      <c r="H14" s="20">
        <v>0</v>
      </c>
      <c r="I14" s="21">
        <v>0</v>
      </c>
      <c r="J14" s="139" t="str">
        <f t="shared" si="2"/>
        <v>-</v>
      </c>
      <c r="K14" s="20">
        <v>0</v>
      </c>
      <c r="L14" s="21">
        <v>0</v>
      </c>
      <c r="M14" s="139" t="str">
        <f t="shared" si="3"/>
        <v>-</v>
      </c>
      <c r="N14" s="125">
        <v>0</v>
      </c>
      <c r="O14" s="126">
        <v>0</v>
      </c>
      <c r="P14" s="139" t="str">
        <f t="shared" si="4"/>
        <v>-</v>
      </c>
      <c r="Q14" s="125">
        <v>0</v>
      </c>
      <c r="R14" s="126">
        <v>0</v>
      </c>
      <c r="S14" s="139" t="str">
        <f t="shared" si="5"/>
        <v>-</v>
      </c>
      <c r="T14" s="20">
        <v>45</v>
      </c>
      <c r="U14" s="21">
        <v>10</v>
      </c>
      <c r="V14" s="139">
        <f t="shared" si="6"/>
        <v>4.5</v>
      </c>
      <c r="W14" s="125">
        <v>0</v>
      </c>
      <c r="X14" s="126">
        <v>0</v>
      </c>
      <c r="Y14" s="139" t="str">
        <f t="shared" si="7"/>
        <v>-</v>
      </c>
      <c r="Z14" s="125">
        <v>0</v>
      </c>
      <c r="AA14" s="126">
        <v>0</v>
      </c>
      <c r="AB14" s="139" t="str">
        <f t="shared" si="8"/>
        <v>-</v>
      </c>
      <c r="AC14" s="125">
        <v>0</v>
      </c>
      <c r="AD14" s="126">
        <v>0</v>
      </c>
      <c r="AE14" s="139" t="str">
        <f t="shared" si="9"/>
        <v>-</v>
      </c>
      <c r="AF14" s="20">
        <v>0</v>
      </c>
      <c r="AG14" s="21">
        <v>0</v>
      </c>
      <c r="AH14" s="139" t="str">
        <f t="shared" si="10"/>
        <v>-</v>
      </c>
      <c r="AI14" s="125">
        <v>30</v>
      </c>
      <c r="AJ14" s="126">
        <v>6</v>
      </c>
      <c r="AK14" s="139">
        <f t="shared" si="11"/>
        <v>5</v>
      </c>
      <c r="AL14" s="125">
        <v>17</v>
      </c>
      <c r="AM14" s="126">
        <v>3</v>
      </c>
      <c r="AN14" s="139">
        <f t="shared" si="12"/>
        <v>5.666666666666667</v>
      </c>
      <c r="AO14" s="125">
        <v>0</v>
      </c>
      <c r="AP14" s="126">
        <v>0</v>
      </c>
      <c r="AQ14" s="139" t="str">
        <f t="shared" si="13"/>
        <v>-</v>
      </c>
      <c r="AR14" s="20">
        <v>18</v>
      </c>
      <c r="AS14" s="21">
        <v>3</v>
      </c>
      <c r="AT14" s="139">
        <f t="shared" si="14"/>
        <v>6</v>
      </c>
      <c r="AU14" s="20">
        <v>0</v>
      </c>
      <c r="AV14" s="21">
        <v>0</v>
      </c>
      <c r="AW14" s="139" t="str">
        <f t="shared" si="15"/>
        <v>-</v>
      </c>
      <c r="AX14" s="20">
        <v>0</v>
      </c>
      <c r="AY14" s="21">
        <v>0</v>
      </c>
      <c r="AZ14" s="139" t="str">
        <f t="shared" si="16"/>
        <v>-</v>
      </c>
      <c r="BA14" s="20">
        <v>2</v>
      </c>
      <c r="BB14" s="21">
        <v>2</v>
      </c>
      <c r="BC14" s="139">
        <f t="shared" si="17"/>
        <v>1</v>
      </c>
      <c r="BD14" s="20">
        <v>0</v>
      </c>
      <c r="BE14" s="21">
        <v>0</v>
      </c>
      <c r="BF14" s="139" t="str">
        <f t="shared" si="18"/>
        <v>-</v>
      </c>
      <c r="BG14" s="20">
        <v>11</v>
      </c>
      <c r="BH14" s="21">
        <v>2</v>
      </c>
      <c r="BI14" s="139">
        <f t="shared" si="19"/>
        <v>5.5</v>
      </c>
      <c r="BJ14" s="20">
        <v>0</v>
      </c>
      <c r="BK14" s="21">
        <v>0</v>
      </c>
      <c r="BL14" s="139" t="str">
        <f t="shared" si="20"/>
        <v>-</v>
      </c>
      <c r="BM14" s="252">
        <v>25</v>
      </c>
      <c r="BN14" s="253">
        <v>4</v>
      </c>
      <c r="BO14" s="276">
        <f t="shared" si="21"/>
        <v>6.25</v>
      </c>
      <c r="BP14" s="252">
        <v>0</v>
      </c>
      <c r="BQ14" s="253">
        <v>0</v>
      </c>
      <c r="BR14" s="276" t="str">
        <f t="shared" si="22"/>
        <v>-</v>
      </c>
      <c r="BS14" s="302">
        <v>14</v>
      </c>
      <c r="BT14" s="303">
        <v>2</v>
      </c>
      <c r="BU14" s="276">
        <f t="shared" si="23"/>
        <v>7</v>
      </c>
      <c r="BV14" s="257">
        <v>0</v>
      </c>
      <c r="BW14" s="253">
        <v>0</v>
      </c>
      <c r="BX14" s="276" t="str">
        <f t="shared" si="24"/>
        <v>-</v>
      </c>
      <c r="BY14" s="117">
        <f t="shared" si="27"/>
        <v>246</v>
      </c>
      <c r="BZ14" s="117">
        <f t="shared" si="25"/>
        <v>41</v>
      </c>
      <c r="CA14" s="147">
        <f t="shared" si="26"/>
        <v>6</v>
      </c>
    </row>
    <row r="15" spans="1:79" ht="15" thickBot="1" x14ac:dyDescent="0.35">
      <c r="A15" s="294">
        <v>46002</v>
      </c>
      <c r="B15" s="20">
        <v>30</v>
      </c>
      <c r="C15" s="21">
        <v>3</v>
      </c>
      <c r="D15" s="139">
        <f t="shared" si="0"/>
        <v>10</v>
      </c>
      <c r="E15" s="20">
        <v>0</v>
      </c>
      <c r="F15" s="21">
        <v>0</v>
      </c>
      <c r="G15" s="139" t="str">
        <f t="shared" si="1"/>
        <v>-</v>
      </c>
      <c r="H15" s="20">
        <v>0</v>
      </c>
      <c r="I15" s="21">
        <v>0</v>
      </c>
      <c r="J15" s="139" t="str">
        <f t="shared" si="2"/>
        <v>-</v>
      </c>
      <c r="K15" s="20">
        <v>0</v>
      </c>
      <c r="L15" s="21">
        <v>0</v>
      </c>
      <c r="M15" s="139" t="str">
        <f t="shared" si="3"/>
        <v>-</v>
      </c>
      <c r="N15" s="125">
        <v>0</v>
      </c>
      <c r="O15" s="126">
        <v>0</v>
      </c>
      <c r="P15" s="139" t="str">
        <f t="shared" si="4"/>
        <v>-</v>
      </c>
      <c r="Q15" s="125">
        <v>30</v>
      </c>
      <c r="R15" s="126">
        <v>5</v>
      </c>
      <c r="S15" s="139">
        <f t="shared" si="5"/>
        <v>6</v>
      </c>
      <c r="T15" s="20">
        <v>34</v>
      </c>
      <c r="U15" s="21">
        <v>6</v>
      </c>
      <c r="V15" s="139">
        <f t="shared" si="6"/>
        <v>5.666666666666667</v>
      </c>
      <c r="W15" s="125">
        <v>0</v>
      </c>
      <c r="X15" s="126">
        <v>0</v>
      </c>
      <c r="Y15" s="139" t="str">
        <f t="shared" si="7"/>
        <v>-</v>
      </c>
      <c r="Z15" s="125">
        <v>0</v>
      </c>
      <c r="AA15" s="126">
        <v>0</v>
      </c>
      <c r="AB15" s="139" t="str">
        <f t="shared" si="8"/>
        <v>-</v>
      </c>
      <c r="AC15" s="125">
        <v>0</v>
      </c>
      <c r="AD15" s="126">
        <v>0</v>
      </c>
      <c r="AE15" s="139" t="str">
        <f t="shared" si="9"/>
        <v>-</v>
      </c>
      <c r="AF15" s="20">
        <v>30</v>
      </c>
      <c r="AG15" s="21">
        <v>6</v>
      </c>
      <c r="AH15" s="139">
        <f t="shared" si="10"/>
        <v>5</v>
      </c>
      <c r="AI15" s="23">
        <v>12</v>
      </c>
      <c r="AJ15" s="21">
        <v>3</v>
      </c>
      <c r="AK15" s="139">
        <f t="shared" si="11"/>
        <v>4</v>
      </c>
      <c r="AL15" s="23">
        <v>0</v>
      </c>
      <c r="AM15" s="21">
        <v>0</v>
      </c>
      <c r="AN15" s="139" t="str">
        <f t="shared" si="12"/>
        <v>-</v>
      </c>
      <c r="AO15" s="125">
        <v>0</v>
      </c>
      <c r="AP15" s="126">
        <v>0</v>
      </c>
      <c r="AQ15" s="139" t="str">
        <f t="shared" si="13"/>
        <v>-</v>
      </c>
      <c r="AR15" s="2">
        <v>0</v>
      </c>
      <c r="AS15" s="21">
        <v>0</v>
      </c>
      <c r="AT15" s="139" t="str">
        <f t="shared" si="14"/>
        <v>-</v>
      </c>
      <c r="AU15" s="20">
        <v>0</v>
      </c>
      <c r="AV15" s="21">
        <v>0</v>
      </c>
      <c r="AW15" s="139" t="str">
        <f t="shared" si="15"/>
        <v>-</v>
      </c>
      <c r="AX15" s="20">
        <v>0</v>
      </c>
      <c r="AY15" s="21">
        <v>0</v>
      </c>
      <c r="AZ15" s="139" t="str">
        <f t="shared" si="16"/>
        <v>-</v>
      </c>
      <c r="BA15" s="20">
        <v>0</v>
      </c>
      <c r="BB15" s="21">
        <v>0</v>
      </c>
      <c r="BC15" s="139" t="str">
        <f t="shared" si="17"/>
        <v>-</v>
      </c>
      <c r="BD15" s="20">
        <v>0</v>
      </c>
      <c r="BE15" s="21">
        <v>0</v>
      </c>
      <c r="BF15" s="139" t="str">
        <f t="shared" si="18"/>
        <v>-</v>
      </c>
      <c r="BG15" s="20">
        <v>13</v>
      </c>
      <c r="BH15" s="21">
        <v>2</v>
      </c>
      <c r="BI15" s="139">
        <f t="shared" si="19"/>
        <v>6.5</v>
      </c>
      <c r="BJ15" s="20">
        <v>0</v>
      </c>
      <c r="BK15" s="21">
        <v>0</v>
      </c>
      <c r="BL15" s="139" t="str">
        <f t="shared" si="20"/>
        <v>-</v>
      </c>
      <c r="BM15" s="252">
        <v>7</v>
      </c>
      <c r="BN15" s="253">
        <v>1</v>
      </c>
      <c r="BO15" s="276">
        <f t="shared" si="21"/>
        <v>7</v>
      </c>
      <c r="BP15" s="252">
        <v>21</v>
      </c>
      <c r="BQ15" s="253">
        <v>3</v>
      </c>
      <c r="BR15" s="276">
        <f t="shared" si="22"/>
        <v>7</v>
      </c>
      <c r="BS15" s="302">
        <v>35</v>
      </c>
      <c r="BT15" s="303">
        <v>5</v>
      </c>
      <c r="BU15" s="276">
        <f t="shared" si="23"/>
        <v>7</v>
      </c>
      <c r="BV15" s="257">
        <v>0</v>
      </c>
      <c r="BW15" s="253">
        <v>0</v>
      </c>
      <c r="BX15" s="276" t="str">
        <f t="shared" si="24"/>
        <v>-</v>
      </c>
      <c r="BY15" s="117">
        <f>SUM(B15,E15,H15,K15,N15,Q15,T15,W15,AC15,AF15,AI15,AL15,AO15,AR16,AU15,BA15,BG15,BM15,BP15,BS15,BV15)</f>
        <v>224</v>
      </c>
      <c r="BZ15" s="117">
        <f t="shared" si="25"/>
        <v>34</v>
      </c>
      <c r="CA15" s="147">
        <f t="shared" si="26"/>
        <v>6.5882352941176467</v>
      </c>
    </row>
    <row r="16" spans="1:79" ht="15" thickBot="1" x14ac:dyDescent="0.35">
      <c r="A16" s="294">
        <v>46003</v>
      </c>
      <c r="B16" s="20">
        <v>98</v>
      </c>
      <c r="C16" s="21">
        <v>12</v>
      </c>
      <c r="D16" s="139">
        <f t="shared" si="0"/>
        <v>8.1666666666666661</v>
      </c>
      <c r="E16" s="20">
        <v>0</v>
      </c>
      <c r="F16" s="21">
        <v>0</v>
      </c>
      <c r="G16" s="139" t="str">
        <f t="shared" si="1"/>
        <v>-</v>
      </c>
      <c r="H16" s="20">
        <v>2</v>
      </c>
      <c r="I16" s="21">
        <v>1</v>
      </c>
      <c r="J16" s="139">
        <f t="shared" si="2"/>
        <v>2</v>
      </c>
      <c r="K16" s="20">
        <v>0</v>
      </c>
      <c r="L16" s="21">
        <v>0</v>
      </c>
      <c r="M16" s="139" t="str">
        <f t="shared" si="3"/>
        <v>-</v>
      </c>
      <c r="N16" s="125">
        <v>0</v>
      </c>
      <c r="O16" s="126">
        <v>0</v>
      </c>
      <c r="P16" s="139" t="str">
        <f t="shared" si="4"/>
        <v>-</v>
      </c>
      <c r="Q16" s="125">
        <v>0</v>
      </c>
      <c r="R16" s="126">
        <v>0</v>
      </c>
      <c r="S16" s="139" t="str">
        <f t="shared" si="5"/>
        <v>-</v>
      </c>
      <c r="T16" s="125">
        <v>41</v>
      </c>
      <c r="U16" s="126">
        <v>7</v>
      </c>
      <c r="V16" s="139">
        <f t="shared" si="6"/>
        <v>5.8571428571428568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8"/>
        <v>-</v>
      </c>
      <c r="AC16" s="20">
        <v>0</v>
      </c>
      <c r="AD16" s="21">
        <v>0</v>
      </c>
      <c r="AE16" s="139" t="str">
        <f t="shared" si="9"/>
        <v>-</v>
      </c>
      <c r="AF16" s="20">
        <v>0</v>
      </c>
      <c r="AG16" s="21">
        <v>0</v>
      </c>
      <c r="AH16" s="139" t="str">
        <f t="shared" si="10"/>
        <v>-</v>
      </c>
      <c r="AI16" s="20">
        <v>30</v>
      </c>
      <c r="AJ16" s="21">
        <v>6</v>
      </c>
      <c r="AK16" s="139">
        <f t="shared" si="11"/>
        <v>5</v>
      </c>
      <c r="AL16" s="20">
        <v>5</v>
      </c>
      <c r="AM16" s="21">
        <v>1</v>
      </c>
      <c r="AN16" s="139">
        <f t="shared" si="12"/>
        <v>5</v>
      </c>
      <c r="AO16" s="20">
        <v>0</v>
      </c>
      <c r="AP16" s="21">
        <v>0</v>
      </c>
      <c r="AQ16" s="139" t="str">
        <f t="shared" si="13"/>
        <v>-</v>
      </c>
      <c r="AR16" s="20">
        <v>12</v>
      </c>
      <c r="AS16" s="21">
        <v>2</v>
      </c>
      <c r="AT16" s="139">
        <f t="shared" si="14"/>
        <v>6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16"/>
        <v>-</v>
      </c>
      <c r="BA16" s="20">
        <v>2</v>
      </c>
      <c r="BB16" s="21">
        <v>2</v>
      </c>
      <c r="BC16" s="139">
        <f t="shared" si="17"/>
        <v>1</v>
      </c>
      <c r="BD16" s="20">
        <v>0</v>
      </c>
      <c r="BE16" s="21">
        <v>0</v>
      </c>
      <c r="BF16" s="139" t="str">
        <f t="shared" si="18"/>
        <v>-</v>
      </c>
      <c r="BG16" s="20">
        <v>13</v>
      </c>
      <c r="BH16" s="21">
        <v>3</v>
      </c>
      <c r="BI16" s="139">
        <f t="shared" si="19"/>
        <v>4.333333333333333</v>
      </c>
      <c r="BJ16" s="20">
        <v>0</v>
      </c>
      <c r="BK16" s="21">
        <v>0</v>
      </c>
      <c r="BL16" s="139" t="str">
        <f t="shared" si="20"/>
        <v>-</v>
      </c>
      <c r="BM16" s="20">
        <v>24</v>
      </c>
      <c r="BN16" s="21">
        <v>4</v>
      </c>
      <c r="BO16" s="276">
        <f t="shared" si="21"/>
        <v>6</v>
      </c>
      <c r="BP16" s="20">
        <v>0</v>
      </c>
      <c r="BQ16" s="21">
        <v>0</v>
      </c>
      <c r="BR16" s="276" t="str">
        <f t="shared" si="22"/>
        <v>-</v>
      </c>
      <c r="BS16" s="354">
        <v>23</v>
      </c>
      <c r="BT16" s="271">
        <v>3</v>
      </c>
      <c r="BU16" s="276">
        <f t="shared" si="23"/>
        <v>7.666666666666667</v>
      </c>
      <c r="BV16" s="355">
        <v>0</v>
      </c>
      <c r="BW16" s="21">
        <v>0</v>
      </c>
      <c r="BX16" s="276" t="str">
        <f t="shared" si="24"/>
        <v>-</v>
      </c>
      <c r="BY16" s="117">
        <f>SUM(B16,E16,H16,K16,N16,Q16,T16,W16,AC16,AF16,AI16,AL16,AO16,AR17,AU16,BA16,BG16,BM16,BP16,BS16,BV16)</f>
        <v>266</v>
      </c>
      <c r="BZ16" s="117">
        <f t="shared" ref="BZ16" si="28">SUM(C16,F16,L16,O16,R16,U16,X16,AD16,AG16,AJ16,AM16,AP16,AS16,AV16,BB16,BH16,BN16,BQ16,BT16,BW16)</f>
        <v>40</v>
      </c>
      <c r="CA16" s="147">
        <f t="shared" ref="CA16" si="29">IF(BZ16=0,"",BY16/BZ16)</f>
        <v>6.65</v>
      </c>
    </row>
    <row r="17" spans="1:79" ht="15" thickBot="1" x14ac:dyDescent="0.35">
      <c r="A17" s="294">
        <v>46004</v>
      </c>
      <c r="B17" s="20">
        <v>55</v>
      </c>
      <c r="C17" s="21">
        <v>8</v>
      </c>
      <c r="D17" s="139">
        <f t="shared" si="0"/>
        <v>6.875</v>
      </c>
      <c r="E17" s="20">
        <v>0</v>
      </c>
      <c r="F17" s="21">
        <v>0</v>
      </c>
      <c r="G17" s="139" t="str">
        <f t="shared" si="1"/>
        <v>-</v>
      </c>
      <c r="H17" s="20">
        <v>0</v>
      </c>
      <c r="I17" s="21">
        <v>0</v>
      </c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0</v>
      </c>
      <c r="R17" s="126">
        <v>0</v>
      </c>
      <c r="S17" s="139" t="str">
        <f t="shared" si="5"/>
        <v>-</v>
      </c>
      <c r="T17" s="125">
        <v>11</v>
      </c>
      <c r="U17" s="126">
        <v>2</v>
      </c>
      <c r="V17" s="139">
        <f t="shared" si="6"/>
        <v>5.5</v>
      </c>
      <c r="W17" s="20">
        <v>0</v>
      </c>
      <c r="X17" s="21">
        <v>0</v>
      </c>
      <c r="Y17" s="139" t="str">
        <f t="shared" si="7"/>
        <v>-</v>
      </c>
      <c r="Z17" s="20">
        <v>0</v>
      </c>
      <c r="AA17" s="21">
        <v>0</v>
      </c>
      <c r="AB17" s="139" t="str">
        <f t="shared" si="8"/>
        <v>-</v>
      </c>
      <c r="AC17" s="20">
        <v>0</v>
      </c>
      <c r="AD17" s="21">
        <v>0</v>
      </c>
      <c r="AE17" s="139" t="str">
        <f t="shared" si="9"/>
        <v>-</v>
      </c>
      <c r="AF17" s="20">
        <v>0</v>
      </c>
      <c r="AG17" s="21">
        <v>0</v>
      </c>
      <c r="AH17" s="139" t="str">
        <f t="shared" si="10"/>
        <v>-</v>
      </c>
      <c r="AI17" s="20">
        <v>30</v>
      </c>
      <c r="AJ17" s="21">
        <v>6</v>
      </c>
      <c r="AK17" s="139">
        <f t="shared" si="11"/>
        <v>5</v>
      </c>
      <c r="AL17" s="20">
        <v>0</v>
      </c>
      <c r="AM17" s="21">
        <v>0</v>
      </c>
      <c r="AN17" s="139" t="str">
        <f t="shared" si="12"/>
        <v>-</v>
      </c>
      <c r="AO17" s="20">
        <v>0</v>
      </c>
      <c r="AP17" s="21">
        <v>0</v>
      </c>
      <c r="AQ17" s="139" t="str">
        <f t="shared" si="13"/>
        <v>-</v>
      </c>
      <c r="AR17" s="20">
        <v>28</v>
      </c>
      <c r="AS17" s="21">
        <v>5</v>
      </c>
      <c r="AT17" s="139">
        <f t="shared" si="14"/>
        <v>5.6</v>
      </c>
      <c r="AU17" s="20">
        <v>0</v>
      </c>
      <c r="AV17" s="21">
        <v>0</v>
      </c>
      <c r="AW17" s="139" t="str">
        <f t="shared" si="15"/>
        <v>-</v>
      </c>
      <c r="AX17" s="20">
        <v>0</v>
      </c>
      <c r="AY17" s="21">
        <v>0</v>
      </c>
      <c r="AZ17" s="139" t="str">
        <f t="shared" si="16"/>
        <v>-</v>
      </c>
      <c r="BA17" s="20">
        <v>0</v>
      </c>
      <c r="BB17" s="21">
        <v>0</v>
      </c>
      <c r="BC17" s="139" t="str">
        <f t="shared" si="17"/>
        <v>-</v>
      </c>
      <c r="BD17" s="20">
        <v>0</v>
      </c>
      <c r="BE17" s="21">
        <v>0</v>
      </c>
      <c r="BF17" s="139" t="str">
        <f t="shared" si="18"/>
        <v>-</v>
      </c>
      <c r="BG17" s="20">
        <v>0</v>
      </c>
      <c r="BH17" s="21">
        <v>0</v>
      </c>
      <c r="BI17" s="139" t="str">
        <f t="shared" si="19"/>
        <v>-</v>
      </c>
      <c r="BJ17" s="20">
        <v>0</v>
      </c>
      <c r="BK17" s="21">
        <v>0</v>
      </c>
      <c r="BL17" s="139" t="str">
        <f t="shared" si="20"/>
        <v>-</v>
      </c>
      <c r="BM17" s="20">
        <v>18</v>
      </c>
      <c r="BN17" s="21">
        <v>3</v>
      </c>
      <c r="BO17" s="276">
        <f t="shared" si="21"/>
        <v>6</v>
      </c>
      <c r="BP17" s="20">
        <v>0</v>
      </c>
      <c r="BQ17" s="21">
        <v>0</v>
      </c>
      <c r="BR17" s="276" t="str">
        <f t="shared" si="22"/>
        <v>-</v>
      </c>
      <c r="BS17" s="354">
        <v>0</v>
      </c>
      <c r="BT17" s="271">
        <v>0</v>
      </c>
      <c r="BU17" s="276" t="str">
        <f t="shared" si="23"/>
        <v>-</v>
      </c>
      <c r="BV17" s="355">
        <v>0</v>
      </c>
      <c r="BW17" s="21">
        <v>0</v>
      </c>
      <c r="BX17" s="276" t="str">
        <f t="shared" si="24"/>
        <v>-</v>
      </c>
      <c r="BY17" s="117">
        <f t="shared" si="27"/>
        <v>142</v>
      </c>
      <c r="BZ17" s="117">
        <f t="shared" si="25"/>
        <v>24</v>
      </c>
      <c r="CA17" s="147">
        <f t="shared" si="26"/>
        <v>5.916666666666667</v>
      </c>
    </row>
    <row r="18" spans="1:79" ht="15" thickBot="1" x14ac:dyDescent="0.35">
      <c r="A18" s="294">
        <v>46005</v>
      </c>
      <c r="B18" s="20">
        <v>26</v>
      </c>
      <c r="C18" s="21">
        <v>4</v>
      </c>
      <c r="D18" s="139">
        <f t="shared" si="0"/>
        <v>6.5</v>
      </c>
      <c r="E18" s="20">
        <v>0</v>
      </c>
      <c r="F18" s="21">
        <v>0</v>
      </c>
      <c r="G18" s="139" t="str">
        <f t="shared" si="1"/>
        <v>-</v>
      </c>
      <c r="H18" s="20">
        <v>0</v>
      </c>
      <c r="I18" s="21">
        <v>0</v>
      </c>
      <c r="J18" s="139" t="str">
        <f t="shared" si="2"/>
        <v>-</v>
      </c>
      <c r="K18" s="20">
        <v>0</v>
      </c>
      <c r="L18" s="21">
        <v>0</v>
      </c>
      <c r="M18" s="139" t="str">
        <f t="shared" si="3"/>
        <v>-</v>
      </c>
      <c r="N18" s="125">
        <v>0</v>
      </c>
      <c r="O18" s="126">
        <v>0</v>
      </c>
      <c r="P18" s="139" t="str">
        <f t="shared" si="4"/>
        <v>-</v>
      </c>
      <c r="Q18" s="125">
        <v>0</v>
      </c>
      <c r="R18" s="126">
        <v>0</v>
      </c>
      <c r="S18" s="139" t="str">
        <f t="shared" si="5"/>
        <v>-</v>
      </c>
      <c r="T18" s="125">
        <v>0</v>
      </c>
      <c r="U18" s="126">
        <v>0</v>
      </c>
      <c r="V18" s="139" t="str">
        <f t="shared" si="6"/>
        <v>-</v>
      </c>
      <c r="W18" s="125">
        <v>0</v>
      </c>
      <c r="X18" s="126">
        <v>0</v>
      </c>
      <c r="Y18" s="139" t="str">
        <f t="shared" si="7"/>
        <v>-</v>
      </c>
      <c r="Z18" s="125">
        <v>0</v>
      </c>
      <c r="AA18" s="126">
        <v>0</v>
      </c>
      <c r="AB18" s="139" t="str">
        <f t="shared" si="8"/>
        <v>-</v>
      </c>
      <c r="AC18" s="125">
        <v>0</v>
      </c>
      <c r="AD18" s="126">
        <v>0</v>
      </c>
      <c r="AE18" s="139" t="str">
        <f t="shared" si="9"/>
        <v>-</v>
      </c>
      <c r="AF18" s="125">
        <v>0</v>
      </c>
      <c r="AG18" s="126">
        <v>0</v>
      </c>
      <c r="AH18" s="139" t="str">
        <f t="shared" si="10"/>
        <v>-</v>
      </c>
      <c r="AI18" s="356">
        <v>30</v>
      </c>
      <c r="AJ18" s="126">
        <v>6</v>
      </c>
      <c r="AK18" s="139">
        <f t="shared" si="11"/>
        <v>5</v>
      </c>
      <c r="AL18" s="125">
        <v>5</v>
      </c>
      <c r="AM18" s="126">
        <v>1</v>
      </c>
      <c r="AN18" s="139">
        <f t="shared" si="12"/>
        <v>5</v>
      </c>
      <c r="AO18" s="125">
        <v>0</v>
      </c>
      <c r="AP18" s="126">
        <v>0</v>
      </c>
      <c r="AQ18" s="139" t="str">
        <f t="shared" si="13"/>
        <v>-</v>
      </c>
      <c r="AR18" s="125">
        <v>0</v>
      </c>
      <c r="AS18" s="126">
        <v>0</v>
      </c>
      <c r="AT18" s="139" t="str">
        <f t="shared" si="14"/>
        <v>-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0</v>
      </c>
      <c r="BB18" s="21">
        <v>2</v>
      </c>
      <c r="BC18" s="139">
        <f t="shared" si="17"/>
        <v>0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>IF(BH18=0,"-",BG18/BH18)</f>
        <v>-</v>
      </c>
      <c r="BJ18" s="20">
        <v>0</v>
      </c>
      <c r="BK18" s="21">
        <v>0</v>
      </c>
      <c r="BL18" s="139" t="str">
        <f t="shared" si="20"/>
        <v>-</v>
      </c>
      <c r="BM18" s="270">
        <v>50</v>
      </c>
      <c r="BN18" s="271">
        <v>9</v>
      </c>
      <c r="BO18" s="276">
        <f t="shared" si="21"/>
        <v>5.5555555555555554</v>
      </c>
      <c r="BP18" s="20">
        <v>0</v>
      </c>
      <c r="BQ18" s="21">
        <v>0</v>
      </c>
      <c r="BR18" s="276" t="str">
        <f t="shared" si="22"/>
        <v>-</v>
      </c>
      <c r="BS18" s="354">
        <v>0</v>
      </c>
      <c r="BT18" s="271">
        <v>0</v>
      </c>
      <c r="BU18" s="276" t="str">
        <f t="shared" si="23"/>
        <v>-</v>
      </c>
      <c r="BV18" s="355">
        <v>12</v>
      </c>
      <c r="BW18" s="21">
        <v>2</v>
      </c>
      <c r="BX18" s="276">
        <f t="shared" si="24"/>
        <v>6</v>
      </c>
      <c r="BY18" s="117">
        <f>SUM(B18,E18,H18,K18,N18,Q18,T18,W18,AC18,AF18,AI18,AL18,AO18,AR18,AU18,BA18,BG18,BM18,BP18,BS18,BV18)</f>
        <v>123</v>
      </c>
      <c r="BZ18" s="117">
        <f>SUM(C18,F18,L18,O18,R18,U18,X18,AD18,AG18,AJ18,AM18,AP18,AS18,AV18,BB18,BH18,BN18,BQ18,BT18,BW18)</f>
        <v>24</v>
      </c>
      <c r="CA18" s="147">
        <f t="shared" si="26"/>
        <v>5.125</v>
      </c>
    </row>
    <row r="19" spans="1:79" ht="15" thickBot="1" x14ac:dyDescent="0.35">
      <c r="A19" s="294">
        <v>46006</v>
      </c>
      <c r="B19" s="20">
        <v>51</v>
      </c>
      <c r="C19" s="21">
        <v>6</v>
      </c>
      <c r="D19" s="139">
        <f t="shared" si="0"/>
        <v>8.5</v>
      </c>
      <c r="E19" s="20">
        <v>8</v>
      </c>
      <c r="F19" s="21">
        <v>1</v>
      </c>
      <c r="G19" s="139">
        <f t="shared" si="1"/>
        <v>8</v>
      </c>
      <c r="H19" s="20">
        <v>0</v>
      </c>
      <c r="I19" s="21">
        <v>0</v>
      </c>
      <c r="J19" s="139" t="str">
        <f t="shared" si="2"/>
        <v>-</v>
      </c>
      <c r="K19" s="20">
        <v>34</v>
      </c>
      <c r="L19" s="21">
        <v>4</v>
      </c>
      <c r="M19" s="139">
        <f t="shared" si="3"/>
        <v>8.5</v>
      </c>
      <c r="N19" s="125">
        <v>0</v>
      </c>
      <c r="O19" s="126">
        <v>0</v>
      </c>
      <c r="P19" s="139" t="str">
        <f t="shared" si="4"/>
        <v>-</v>
      </c>
      <c r="Q19" s="125">
        <v>0</v>
      </c>
      <c r="R19" s="126">
        <v>0</v>
      </c>
      <c r="S19" s="139" t="str">
        <f t="shared" si="5"/>
        <v>-</v>
      </c>
      <c r="T19" s="125">
        <v>72</v>
      </c>
      <c r="U19" s="126">
        <v>12</v>
      </c>
      <c r="V19" s="139">
        <f t="shared" si="6"/>
        <v>6</v>
      </c>
      <c r="W19" s="125">
        <v>0</v>
      </c>
      <c r="X19" s="126">
        <v>0</v>
      </c>
      <c r="Y19" s="139" t="str">
        <f t="shared" si="7"/>
        <v>-</v>
      </c>
      <c r="Z19" s="125">
        <v>0</v>
      </c>
      <c r="AA19" s="126">
        <v>0</v>
      </c>
      <c r="AB19" s="139" t="str">
        <f t="shared" si="8"/>
        <v>-</v>
      </c>
      <c r="AC19" s="125">
        <v>56</v>
      </c>
      <c r="AD19" s="126">
        <v>12</v>
      </c>
      <c r="AE19" s="139">
        <f t="shared" si="9"/>
        <v>4.666666666666667</v>
      </c>
      <c r="AF19" s="125">
        <v>0</v>
      </c>
      <c r="AG19" s="126">
        <v>0</v>
      </c>
      <c r="AH19" s="139" t="str">
        <f t="shared" si="10"/>
        <v>-</v>
      </c>
      <c r="AI19" s="125">
        <v>0</v>
      </c>
      <c r="AJ19" s="126">
        <v>0</v>
      </c>
      <c r="AK19" s="139" t="str">
        <f t="shared" si="11"/>
        <v>-</v>
      </c>
      <c r="AL19" s="125">
        <v>0</v>
      </c>
      <c r="AM19" s="126">
        <v>0</v>
      </c>
      <c r="AN19" s="139" t="str">
        <f t="shared" si="12"/>
        <v>-</v>
      </c>
      <c r="AO19" s="125">
        <v>24</v>
      </c>
      <c r="AP19" s="126">
        <v>4</v>
      </c>
      <c r="AQ19" s="139">
        <f t="shared" si="13"/>
        <v>6</v>
      </c>
      <c r="AR19" s="125">
        <v>0</v>
      </c>
      <c r="AS19" s="126">
        <v>0</v>
      </c>
      <c r="AT19" s="139" t="str">
        <f t="shared" si="14"/>
        <v>-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9</v>
      </c>
      <c r="BB19" s="21">
        <v>1</v>
      </c>
      <c r="BC19" s="139">
        <f t="shared" si="17"/>
        <v>9</v>
      </c>
      <c r="BD19" s="20">
        <v>0</v>
      </c>
      <c r="BE19" s="21">
        <v>0</v>
      </c>
      <c r="BF19" s="139" t="str">
        <f t="shared" si="18"/>
        <v>-</v>
      </c>
      <c r="BG19" s="20">
        <v>11</v>
      </c>
      <c r="BH19" s="21">
        <v>2</v>
      </c>
      <c r="BI19" s="139">
        <f>IF(BH19=0,"-",BG19/BH19)</f>
        <v>5.5</v>
      </c>
      <c r="BJ19" s="20">
        <v>0</v>
      </c>
      <c r="BK19" s="21">
        <v>0</v>
      </c>
      <c r="BL19" s="139" t="str">
        <f t="shared" si="20"/>
        <v>-</v>
      </c>
      <c r="BM19" s="20">
        <v>59</v>
      </c>
      <c r="BN19" s="21">
        <v>9</v>
      </c>
      <c r="BO19" s="276">
        <f t="shared" si="21"/>
        <v>6.5555555555555554</v>
      </c>
      <c r="BP19" s="20">
        <v>0</v>
      </c>
      <c r="BQ19" s="21">
        <v>0</v>
      </c>
      <c r="BR19" s="276" t="str">
        <f t="shared" si="22"/>
        <v>-</v>
      </c>
      <c r="BS19" s="354">
        <v>0</v>
      </c>
      <c r="BT19" s="271">
        <v>0</v>
      </c>
      <c r="BU19" s="276" t="str">
        <f t="shared" si="23"/>
        <v>-</v>
      </c>
      <c r="BV19" s="355">
        <v>0</v>
      </c>
      <c r="BW19" s="21">
        <v>0</v>
      </c>
      <c r="BX19" s="276" t="str">
        <f t="shared" si="24"/>
        <v>-</v>
      </c>
      <c r="BY19" s="117">
        <f>SUM(B19,E19,H19,K19,N19,Q19,T19,W19,AC19,AF19,AI19,AL19,AO19,AR19,AU19,BA19,BG19,BM19,BP19,BS19,BV19)</f>
        <v>324</v>
      </c>
      <c r="BZ19" s="117">
        <f>SUM(C19,F19,L19,O19,R19,U19,X19,AD19,AG19,AJ19,AM19,AP19,AS19,AV19,BB19,BH19,BN19,BQ19,BT19,BW19)</f>
        <v>51</v>
      </c>
      <c r="CA19" s="147">
        <f t="shared" si="26"/>
        <v>6.3529411764705879</v>
      </c>
    </row>
    <row r="20" spans="1:79" ht="15" thickBot="1" x14ac:dyDescent="0.35">
      <c r="A20" s="294">
        <v>46007</v>
      </c>
      <c r="B20" s="20">
        <v>16</v>
      </c>
      <c r="C20" s="21">
        <v>2</v>
      </c>
      <c r="D20" s="139">
        <f t="shared" si="0"/>
        <v>8</v>
      </c>
      <c r="E20" s="20">
        <v>15</v>
      </c>
      <c r="F20" s="21">
        <v>2</v>
      </c>
      <c r="G20" s="139">
        <f t="shared" si="1"/>
        <v>7.5</v>
      </c>
      <c r="H20" s="20">
        <v>0</v>
      </c>
      <c r="I20" s="21">
        <v>0</v>
      </c>
      <c r="J20" s="139" t="str">
        <f t="shared" si="2"/>
        <v>-</v>
      </c>
      <c r="K20" s="20">
        <v>0</v>
      </c>
      <c r="L20" s="21">
        <v>0</v>
      </c>
      <c r="M20" s="139" t="str">
        <f t="shared" si="3"/>
        <v>-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18</v>
      </c>
      <c r="U20" s="21">
        <v>3</v>
      </c>
      <c r="V20" s="139">
        <f t="shared" si="6"/>
        <v>6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0</v>
      </c>
      <c r="AD20" s="21">
        <v>0</v>
      </c>
      <c r="AE20" s="139" t="str">
        <f t="shared" si="9"/>
        <v>-</v>
      </c>
      <c r="AF20" s="125">
        <v>0</v>
      </c>
      <c r="AG20" s="126">
        <v>0</v>
      </c>
      <c r="AH20" s="139" t="str">
        <f t="shared" si="10"/>
        <v>-</v>
      </c>
      <c r="AI20" s="125">
        <v>0</v>
      </c>
      <c r="AJ20" s="126">
        <v>0</v>
      </c>
      <c r="AK20" s="139" t="str">
        <f t="shared" si="11"/>
        <v>-</v>
      </c>
      <c r="AL20" s="125">
        <v>0</v>
      </c>
      <c r="AM20" s="126">
        <v>0</v>
      </c>
      <c r="AN20" s="139" t="str">
        <f t="shared" si="12"/>
        <v>-</v>
      </c>
      <c r="AO20" s="125">
        <v>0</v>
      </c>
      <c r="AP20" s="126">
        <v>0</v>
      </c>
      <c r="AQ20" s="139" t="str">
        <f t="shared" si="13"/>
        <v>-</v>
      </c>
      <c r="AR20" s="20">
        <v>0</v>
      </c>
      <c r="AS20" s="21">
        <v>0</v>
      </c>
      <c r="AT20" s="139" t="str">
        <f t="shared" si="14"/>
        <v>-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0</v>
      </c>
      <c r="BB20" s="21">
        <v>0</v>
      </c>
      <c r="BC20" s="139" t="str">
        <f t="shared" si="17"/>
        <v>-</v>
      </c>
      <c r="BD20" s="20">
        <v>0</v>
      </c>
      <c r="BE20" s="21">
        <v>0</v>
      </c>
      <c r="BF20" s="139" t="str">
        <f t="shared" si="18"/>
        <v>-</v>
      </c>
      <c r="BG20" s="20">
        <v>0</v>
      </c>
      <c r="BH20" s="21">
        <v>0</v>
      </c>
      <c r="BI20" s="139" t="str">
        <f t="shared" si="19"/>
        <v>-</v>
      </c>
      <c r="BJ20" s="20">
        <v>0</v>
      </c>
      <c r="BK20" s="21">
        <v>0</v>
      </c>
      <c r="BL20" s="139" t="str">
        <f t="shared" si="20"/>
        <v>-</v>
      </c>
      <c r="BM20" s="20">
        <v>15</v>
      </c>
      <c r="BN20" s="21">
        <v>2</v>
      </c>
      <c r="BO20" s="276">
        <f t="shared" si="21"/>
        <v>7.5</v>
      </c>
      <c r="BP20" s="20">
        <v>0</v>
      </c>
      <c r="BQ20" s="21">
        <v>0</v>
      </c>
      <c r="BR20" s="276" t="str">
        <f t="shared" si="22"/>
        <v>-</v>
      </c>
      <c r="BS20" s="354">
        <v>0</v>
      </c>
      <c r="BT20" s="271">
        <v>0</v>
      </c>
      <c r="BU20" s="276" t="str">
        <f t="shared" si="23"/>
        <v>-</v>
      </c>
      <c r="BV20" s="355">
        <v>7</v>
      </c>
      <c r="BW20" s="21">
        <v>1</v>
      </c>
      <c r="BX20" s="276">
        <f t="shared" si="24"/>
        <v>7</v>
      </c>
      <c r="BY20" s="117">
        <f t="shared" si="27"/>
        <v>71</v>
      </c>
      <c r="BZ20" s="117">
        <f t="shared" si="25"/>
        <v>10</v>
      </c>
      <c r="CA20" s="147">
        <f t="shared" si="26"/>
        <v>7.1</v>
      </c>
    </row>
    <row r="21" spans="1:79" ht="15" thickBot="1" x14ac:dyDescent="0.35">
      <c r="A21" s="294">
        <v>46008</v>
      </c>
      <c r="B21" s="20">
        <v>15</v>
      </c>
      <c r="C21" s="21">
        <v>2</v>
      </c>
      <c r="D21" s="139">
        <f t="shared" si="0"/>
        <v>7.5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0</v>
      </c>
      <c r="L21" s="21">
        <v>0</v>
      </c>
      <c r="M21" s="139" t="str">
        <f t="shared" si="3"/>
        <v>-</v>
      </c>
      <c r="N21" s="125">
        <v>0</v>
      </c>
      <c r="O21" s="126">
        <v>0</v>
      </c>
      <c r="P21" s="139" t="str">
        <f t="shared" si="4"/>
        <v>-</v>
      </c>
      <c r="Q21" s="125">
        <v>6</v>
      </c>
      <c r="R21" s="126">
        <v>1</v>
      </c>
      <c r="S21" s="139">
        <f t="shared" si="5"/>
        <v>6</v>
      </c>
      <c r="T21" s="125">
        <v>37</v>
      </c>
      <c r="U21" s="126">
        <v>7</v>
      </c>
      <c r="V21" s="139">
        <f t="shared" si="6"/>
        <v>5.2857142857142856</v>
      </c>
      <c r="W21" s="125">
        <v>0</v>
      </c>
      <c r="X21" s="126">
        <v>0</v>
      </c>
      <c r="Y21" s="139" t="str">
        <f t="shared" si="7"/>
        <v>-</v>
      </c>
      <c r="Z21" s="125">
        <v>0</v>
      </c>
      <c r="AA21" s="126">
        <v>0</v>
      </c>
      <c r="AB21" s="139" t="str">
        <f t="shared" si="8"/>
        <v>-</v>
      </c>
      <c r="AC21" s="125">
        <v>116</v>
      </c>
      <c r="AD21" s="126">
        <v>24</v>
      </c>
      <c r="AE21" s="139">
        <f t="shared" si="9"/>
        <v>4.833333333333333</v>
      </c>
      <c r="AF21" s="125">
        <v>0</v>
      </c>
      <c r="AG21" s="126">
        <v>0</v>
      </c>
      <c r="AH21" s="139" t="str">
        <f t="shared" si="10"/>
        <v>-</v>
      </c>
      <c r="AI21" s="125">
        <v>40</v>
      </c>
      <c r="AJ21" s="126">
        <v>8</v>
      </c>
      <c r="AK21" s="139">
        <f t="shared" si="11"/>
        <v>5</v>
      </c>
      <c r="AL21" s="125">
        <v>0</v>
      </c>
      <c r="AM21" s="126">
        <v>0</v>
      </c>
      <c r="AN21" s="139" t="str">
        <f t="shared" si="12"/>
        <v>-</v>
      </c>
      <c r="AO21" s="125">
        <v>0</v>
      </c>
      <c r="AP21" s="126">
        <v>0</v>
      </c>
      <c r="AQ21" s="139" t="str">
        <f t="shared" si="13"/>
        <v>-</v>
      </c>
      <c r="AR21" s="20">
        <v>12</v>
      </c>
      <c r="AS21" s="21">
        <v>2</v>
      </c>
      <c r="AT21" s="139">
        <f t="shared" si="14"/>
        <v>6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9</v>
      </c>
      <c r="BH21" s="21">
        <v>2</v>
      </c>
      <c r="BI21" s="139">
        <f t="shared" si="19"/>
        <v>4.5</v>
      </c>
      <c r="BJ21" s="20">
        <v>0</v>
      </c>
      <c r="BK21" s="21">
        <v>0</v>
      </c>
      <c r="BL21" s="139" t="str">
        <f t="shared" si="20"/>
        <v>-</v>
      </c>
      <c r="BM21" s="20">
        <v>26</v>
      </c>
      <c r="BN21" s="21">
        <v>4</v>
      </c>
      <c r="BO21" s="139">
        <f t="shared" si="21"/>
        <v>6.5</v>
      </c>
      <c r="BP21" s="20">
        <v>0</v>
      </c>
      <c r="BQ21" s="21">
        <v>0</v>
      </c>
      <c r="BR21" s="276" t="str">
        <f t="shared" si="22"/>
        <v>-</v>
      </c>
      <c r="BS21" s="20">
        <v>0</v>
      </c>
      <c r="BT21" s="21">
        <v>0</v>
      </c>
      <c r="BU21" s="276" t="str">
        <f t="shared" si="23"/>
        <v>-</v>
      </c>
      <c r="BV21" s="355">
        <v>0</v>
      </c>
      <c r="BW21" s="21">
        <v>0</v>
      </c>
      <c r="BX21" s="139" t="str">
        <f t="shared" si="24"/>
        <v>-</v>
      </c>
      <c r="BY21" s="117">
        <f t="shared" si="27"/>
        <v>261</v>
      </c>
      <c r="BZ21" s="117">
        <f t="shared" si="25"/>
        <v>50</v>
      </c>
      <c r="CA21" s="147">
        <f t="shared" si="26"/>
        <v>5.22</v>
      </c>
    </row>
    <row r="22" spans="1:79" ht="15" thickBot="1" x14ac:dyDescent="0.35">
      <c r="A22" s="294">
        <v>46009</v>
      </c>
      <c r="B22" s="20">
        <v>8</v>
      </c>
      <c r="C22" s="21">
        <v>1</v>
      </c>
      <c r="D22" s="139">
        <f t="shared" si="0"/>
        <v>8</v>
      </c>
      <c r="E22" s="20">
        <v>0</v>
      </c>
      <c r="F22" s="21">
        <v>0</v>
      </c>
      <c r="G22" s="139" t="str">
        <f t="shared" si="1"/>
        <v>-</v>
      </c>
      <c r="H22" s="20">
        <v>0</v>
      </c>
      <c r="I22" s="21">
        <v>0</v>
      </c>
      <c r="J22" s="139" t="str">
        <f t="shared" si="2"/>
        <v>-</v>
      </c>
      <c r="K22" s="20">
        <v>0</v>
      </c>
      <c r="L22" s="21">
        <v>0</v>
      </c>
      <c r="M22" s="139" t="str">
        <f t="shared" si="3"/>
        <v>-</v>
      </c>
      <c r="N22" s="20">
        <v>0</v>
      </c>
      <c r="O22" s="21">
        <v>0</v>
      </c>
      <c r="P22" s="139" t="str">
        <f t="shared" si="4"/>
        <v>-</v>
      </c>
      <c r="Q22" s="20">
        <v>6</v>
      </c>
      <c r="R22" s="21">
        <v>1</v>
      </c>
      <c r="S22" s="139">
        <f t="shared" si="5"/>
        <v>6</v>
      </c>
      <c r="T22" s="125">
        <v>17</v>
      </c>
      <c r="U22" s="126">
        <v>2</v>
      </c>
      <c r="V22" s="139">
        <f>IF(U23=0,"-",T23/U23)</f>
        <v>4.333333333333333</v>
      </c>
      <c r="W22" s="20">
        <v>0</v>
      </c>
      <c r="X22" s="21">
        <v>0</v>
      </c>
      <c r="Y22" s="139" t="str">
        <f t="shared" si="7"/>
        <v>-</v>
      </c>
      <c r="Z22" s="20">
        <v>0</v>
      </c>
      <c r="AA22" s="21">
        <v>0</v>
      </c>
      <c r="AB22" s="139" t="str">
        <f t="shared" si="8"/>
        <v>-</v>
      </c>
      <c r="AC22" s="125">
        <v>0</v>
      </c>
      <c r="AD22" s="126">
        <v>0</v>
      </c>
      <c r="AE22" s="139" t="str">
        <f t="shared" si="9"/>
        <v>-</v>
      </c>
      <c r="AF22" s="125">
        <v>0</v>
      </c>
      <c r="AG22" s="126">
        <v>0</v>
      </c>
      <c r="AH22" s="139" t="str">
        <f t="shared" si="10"/>
        <v>-</v>
      </c>
      <c r="AI22" s="125">
        <v>50</v>
      </c>
      <c r="AJ22" s="126">
        <v>10</v>
      </c>
      <c r="AK22" s="139">
        <f t="shared" si="11"/>
        <v>5</v>
      </c>
      <c r="AL22" s="125">
        <v>6</v>
      </c>
      <c r="AM22" s="126">
        <v>1</v>
      </c>
      <c r="AN22" s="139">
        <f t="shared" si="12"/>
        <v>6</v>
      </c>
      <c r="AO22" s="125">
        <v>0</v>
      </c>
      <c r="AP22" s="126">
        <v>0</v>
      </c>
      <c r="AQ22" s="139" t="str">
        <f t="shared" si="13"/>
        <v>-</v>
      </c>
      <c r="AR22" s="125">
        <v>12</v>
      </c>
      <c r="AS22" s="126">
        <v>2</v>
      </c>
      <c r="AT22" s="139">
        <f t="shared" si="14"/>
        <v>6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 t="str">
        <f t="shared" si="16"/>
        <v>-</v>
      </c>
      <c r="BA22" s="20">
        <v>0</v>
      </c>
      <c r="BB22" s="21">
        <v>0</v>
      </c>
      <c r="BC22" s="139" t="str">
        <f t="shared" si="17"/>
        <v>-</v>
      </c>
      <c r="BD22" s="20">
        <v>0</v>
      </c>
      <c r="BE22" s="21">
        <v>0</v>
      </c>
      <c r="BF22" s="139" t="str">
        <f t="shared" si="18"/>
        <v>-</v>
      </c>
      <c r="BG22" s="20">
        <v>29</v>
      </c>
      <c r="BH22" s="21">
        <v>4</v>
      </c>
      <c r="BI22" s="139">
        <f t="shared" si="19"/>
        <v>7.25</v>
      </c>
      <c r="BJ22" s="20">
        <v>0</v>
      </c>
      <c r="BK22" s="21">
        <v>0</v>
      </c>
      <c r="BL22" s="139" t="str">
        <f t="shared" si="20"/>
        <v>-</v>
      </c>
      <c r="BM22" s="252">
        <v>28</v>
      </c>
      <c r="BN22" s="253">
        <v>4</v>
      </c>
      <c r="BO22" s="139">
        <f t="shared" si="21"/>
        <v>7</v>
      </c>
      <c r="BP22" s="252">
        <v>0</v>
      </c>
      <c r="BQ22" s="253">
        <v>0</v>
      </c>
      <c r="BR22" s="276" t="str">
        <f t="shared" si="22"/>
        <v>-</v>
      </c>
      <c r="BS22" s="302">
        <v>0</v>
      </c>
      <c r="BT22" s="303">
        <v>0</v>
      </c>
      <c r="BU22" s="276" t="str">
        <f t="shared" si="23"/>
        <v>-</v>
      </c>
      <c r="BV22" s="257">
        <v>0</v>
      </c>
      <c r="BW22" s="253">
        <v>0</v>
      </c>
      <c r="BX22" s="276" t="str">
        <f t="shared" si="24"/>
        <v>-</v>
      </c>
      <c r="BY22" s="117">
        <f>SUM(B22,E22,H22,K22,N22,Q22,T23,W22,AC22,AF22,AI22,AL22,AO22,AR22,AU22,BA22,BG22,BM22,BP22,BS22,BV22)</f>
        <v>152</v>
      </c>
      <c r="BZ22" s="117">
        <f>SUM(C22,F22,L22,O22,R22,U23,X22,AD22,AG22,AJ22,AM22,AP22,AS22,AV22,BB22,BH22,BN22,BQ22,BT22,BW22)</f>
        <v>26</v>
      </c>
      <c r="CA22" s="147">
        <f t="shared" si="26"/>
        <v>5.8461538461538458</v>
      </c>
    </row>
    <row r="23" spans="1:79" ht="16.2" customHeight="1" thickBot="1" x14ac:dyDescent="0.35">
      <c r="A23" s="294">
        <v>46010</v>
      </c>
      <c r="B23" s="20">
        <v>0</v>
      </c>
      <c r="C23" s="21">
        <v>0</v>
      </c>
      <c r="D23" s="139" t="str">
        <f t="shared" si="0"/>
        <v>-</v>
      </c>
      <c r="E23" s="20">
        <v>0</v>
      </c>
      <c r="F23" s="21">
        <v>0</v>
      </c>
      <c r="G23" s="139" t="str">
        <f t="shared" si="1"/>
        <v>-</v>
      </c>
      <c r="H23" s="20">
        <v>0</v>
      </c>
      <c r="I23" s="21">
        <v>0</v>
      </c>
      <c r="J23" s="139" t="str">
        <f t="shared" si="2"/>
        <v>-</v>
      </c>
      <c r="K23" s="20">
        <v>0</v>
      </c>
      <c r="L23" s="21">
        <v>0</v>
      </c>
      <c r="M23" s="139" t="str">
        <f t="shared" si="3"/>
        <v>-</v>
      </c>
      <c r="N23" s="20">
        <v>0</v>
      </c>
      <c r="O23" s="21">
        <v>0</v>
      </c>
      <c r="P23" s="139" t="str">
        <f t="shared" si="4"/>
        <v>-</v>
      </c>
      <c r="Q23" s="20">
        <v>0</v>
      </c>
      <c r="R23" s="21">
        <v>0</v>
      </c>
      <c r="S23" s="139" t="str">
        <f t="shared" si="5"/>
        <v>-</v>
      </c>
      <c r="T23" s="20">
        <v>13</v>
      </c>
      <c r="U23" s="21">
        <v>3</v>
      </c>
      <c r="V23" s="139" t="str">
        <f>IF(U24=0,"-",T24/U24)</f>
        <v>-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8"/>
        <v>-</v>
      </c>
      <c r="AC23" s="20">
        <v>0</v>
      </c>
      <c r="AD23" s="21">
        <v>0</v>
      </c>
      <c r="AE23" s="139" t="str">
        <f t="shared" si="9"/>
        <v>-</v>
      </c>
      <c r="AF23" s="20">
        <v>0</v>
      </c>
      <c r="AG23" s="21">
        <v>0</v>
      </c>
      <c r="AH23" s="139" t="str">
        <f t="shared" si="10"/>
        <v>-</v>
      </c>
      <c r="AI23" s="20">
        <v>50</v>
      </c>
      <c r="AJ23" s="21">
        <v>10</v>
      </c>
      <c r="AK23" s="139">
        <f t="shared" si="11"/>
        <v>5</v>
      </c>
      <c r="AL23" s="20">
        <v>0</v>
      </c>
      <c r="AM23" s="21">
        <v>0</v>
      </c>
      <c r="AN23" s="139" t="str">
        <f t="shared" si="12"/>
        <v>-</v>
      </c>
      <c r="AO23" s="20">
        <v>0</v>
      </c>
      <c r="AP23" s="21">
        <v>0</v>
      </c>
      <c r="AQ23" s="139" t="str">
        <f t="shared" si="13"/>
        <v>-</v>
      </c>
      <c r="AR23" s="20">
        <v>0</v>
      </c>
      <c r="AS23" s="21">
        <v>0</v>
      </c>
      <c r="AT23" s="139" t="str">
        <f t="shared" si="14"/>
        <v>-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16"/>
        <v>-</v>
      </c>
      <c r="BA23" s="20">
        <v>0</v>
      </c>
      <c r="BB23" s="21">
        <v>0</v>
      </c>
      <c r="BC23" s="139" t="str">
        <f t="shared" si="17"/>
        <v>-</v>
      </c>
      <c r="BD23" s="20">
        <v>0</v>
      </c>
      <c r="BE23" s="21">
        <v>0</v>
      </c>
      <c r="BF23" s="139" t="str">
        <f t="shared" si="18"/>
        <v>-</v>
      </c>
      <c r="BG23" s="20">
        <v>0</v>
      </c>
      <c r="BH23" s="21">
        <v>0</v>
      </c>
      <c r="BI23" s="139" t="str">
        <f t="shared" si="19"/>
        <v>-</v>
      </c>
      <c r="BJ23" s="20">
        <v>0</v>
      </c>
      <c r="BK23" s="21">
        <v>0</v>
      </c>
      <c r="BL23" s="139" t="str">
        <f t="shared" si="20"/>
        <v>-</v>
      </c>
      <c r="BM23" s="20">
        <v>6</v>
      </c>
      <c r="BN23" s="21">
        <v>1</v>
      </c>
      <c r="BO23" s="276">
        <f t="shared" si="21"/>
        <v>6</v>
      </c>
      <c r="BP23" s="20">
        <v>0</v>
      </c>
      <c r="BQ23" s="21">
        <v>0</v>
      </c>
      <c r="BR23" s="276" t="str">
        <f t="shared" si="22"/>
        <v>-</v>
      </c>
      <c r="BS23" s="354">
        <v>0</v>
      </c>
      <c r="BT23" s="271">
        <v>0</v>
      </c>
      <c r="BU23" s="276" t="str">
        <f t="shared" si="23"/>
        <v>-</v>
      </c>
      <c r="BV23" s="355">
        <v>0</v>
      </c>
      <c r="BW23" s="21">
        <v>0</v>
      </c>
      <c r="BX23" s="276" t="str">
        <f t="shared" si="24"/>
        <v>-</v>
      </c>
      <c r="BY23" s="117">
        <f>SUM(B23,E23,H23,K23,N23,Q23,T24,W23,AC23,AF23,AI23,AL23,AO23,AR23,AU23,BA23,BG23,BM23,BP23,BS23,BV23)</f>
        <v>56</v>
      </c>
      <c r="BZ23" s="117">
        <f>SUM(C23,F23,L23,O23,R23,U24,X23,AD23,AG23,AJ23,AM23,AP23,AS23,AV23,BB23,BH23,BN23,BQ23,BT23,BW23)</f>
        <v>11</v>
      </c>
      <c r="CA23" s="147">
        <f t="shared" ref="CA23" si="30">IF(BZ23=0,"",BY23/BZ23)</f>
        <v>5.0909090909090908</v>
      </c>
    </row>
    <row r="24" spans="1:79" ht="15" thickBot="1" x14ac:dyDescent="0.35">
      <c r="A24" s="294">
        <v>46011</v>
      </c>
      <c r="B24" s="20">
        <v>0</v>
      </c>
      <c r="C24" s="21">
        <v>0</v>
      </c>
      <c r="D24" s="139" t="str">
        <f t="shared" si="0"/>
        <v>-</v>
      </c>
      <c r="E24" s="20">
        <v>0</v>
      </c>
      <c r="F24" s="21">
        <v>0</v>
      </c>
      <c r="G24" s="139" t="str">
        <f t="shared" si="1"/>
        <v>-</v>
      </c>
      <c r="H24" s="20">
        <v>0</v>
      </c>
      <c r="I24" s="21">
        <v>0</v>
      </c>
      <c r="J24" s="139" t="str">
        <f t="shared" si="2"/>
        <v>-</v>
      </c>
      <c r="K24" s="20">
        <v>0</v>
      </c>
      <c r="L24" s="21">
        <v>0</v>
      </c>
      <c r="M24" s="139" t="str">
        <f t="shared" si="3"/>
        <v>-</v>
      </c>
      <c r="N24" s="20">
        <v>0</v>
      </c>
      <c r="O24" s="21">
        <v>0</v>
      </c>
      <c r="P24" s="139" t="str">
        <f t="shared" si="4"/>
        <v>-</v>
      </c>
      <c r="Q24" s="20">
        <v>0</v>
      </c>
      <c r="R24" s="21">
        <v>0</v>
      </c>
      <c r="S24" s="139" t="str">
        <f t="shared" si="5"/>
        <v>-</v>
      </c>
      <c r="T24" s="20">
        <v>0</v>
      </c>
      <c r="U24" s="21">
        <v>0</v>
      </c>
      <c r="V24" s="139" t="str">
        <f t="shared" si="6"/>
        <v>-</v>
      </c>
      <c r="W24" s="20">
        <v>6</v>
      </c>
      <c r="X24" s="21">
        <v>1</v>
      </c>
      <c r="Y24" s="139">
        <f t="shared" si="7"/>
        <v>6</v>
      </c>
      <c r="Z24" s="20">
        <v>0</v>
      </c>
      <c r="AA24" s="21">
        <v>0</v>
      </c>
      <c r="AB24" s="139" t="str">
        <f t="shared" si="8"/>
        <v>-</v>
      </c>
      <c r="AC24" s="20">
        <v>15</v>
      </c>
      <c r="AD24" s="21">
        <v>3</v>
      </c>
      <c r="AE24" s="139">
        <f t="shared" si="9"/>
        <v>5</v>
      </c>
      <c r="AF24" s="20">
        <v>0</v>
      </c>
      <c r="AG24" s="21">
        <v>0</v>
      </c>
      <c r="AH24" s="139" t="str">
        <f t="shared" si="10"/>
        <v>-</v>
      </c>
      <c r="AI24" s="20">
        <v>0</v>
      </c>
      <c r="AJ24" s="21">
        <v>0</v>
      </c>
      <c r="AK24" s="139" t="str">
        <f t="shared" si="11"/>
        <v>-</v>
      </c>
      <c r="AL24" s="20">
        <v>0</v>
      </c>
      <c r="AM24" s="21">
        <v>0</v>
      </c>
      <c r="AN24" s="139" t="str">
        <f t="shared" si="12"/>
        <v>-</v>
      </c>
      <c r="AO24" s="20">
        <v>0</v>
      </c>
      <c r="AP24" s="21">
        <v>0</v>
      </c>
      <c r="AQ24" s="139" t="str">
        <f t="shared" si="13"/>
        <v>-</v>
      </c>
      <c r="AR24" s="20">
        <v>0</v>
      </c>
      <c r="AS24" s="21">
        <v>0</v>
      </c>
      <c r="AT24" s="139" t="str">
        <f t="shared" si="14"/>
        <v>-</v>
      </c>
      <c r="AU24" s="20">
        <v>0</v>
      </c>
      <c r="AV24" s="21">
        <v>0</v>
      </c>
      <c r="AW24" s="139" t="str">
        <f t="shared" si="15"/>
        <v>-</v>
      </c>
      <c r="AX24" s="20">
        <v>0</v>
      </c>
      <c r="AY24" s="21">
        <v>0</v>
      </c>
      <c r="AZ24" s="139" t="str">
        <f t="shared" si="16"/>
        <v>-</v>
      </c>
      <c r="BA24" s="20">
        <v>0</v>
      </c>
      <c r="BB24" s="21">
        <v>0</v>
      </c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0</v>
      </c>
      <c r="BH24" s="21">
        <v>0</v>
      </c>
      <c r="BI24" s="139" t="str">
        <f t="shared" si="19"/>
        <v>-</v>
      </c>
      <c r="BJ24" s="20">
        <v>0</v>
      </c>
      <c r="BK24" s="21">
        <v>0</v>
      </c>
      <c r="BL24" s="139" t="str">
        <f t="shared" si="20"/>
        <v>-</v>
      </c>
      <c r="BM24" s="252">
        <v>32</v>
      </c>
      <c r="BN24" s="253">
        <v>5</v>
      </c>
      <c r="BO24" s="276">
        <f t="shared" si="21"/>
        <v>6.4</v>
      </c>
      <c r="BP24" s="252">
        <v>0</v>
      </c>
      <c r="BQ24" s="253">
        <v>0</v>
      </c>
      <c r="BR24" s="276" t="str">
        <f t="shared" si="22"/>
        <v>-</v>
      </c>
      <c r="BS24" s="302">
        <v>0</v>
      </c>
      <c r="BT24" s="303">
        <v>0</v>
      </c>
      <c r="BU24" s="276" t="str">
        <f t="shared" si="23"/>
        <v>-</v>
      </c>
      <c r="BV24" s="256">
        <v>5</v>
      </c>
      <c r="BW24" s="253">
        <v>1</v>
      </c>
      <c r="BX24" s="276">
        <f t="shared" si="24"/>
        <v>5</v>
      </c>
      <c r="BY24" s="117">
        <f t="shared" si="27"/>
        <v>58</v>
      </c>
      <c r="BZ24" s="117">
        <f t="shared" si="25"/>
        <v>10</v>
      </c>
      <c r="CA24" s="147">
        <f t="shared" si="26"/>
        <v>5.8</v>
      </c>
    </row>
    <row r="25" spans="1:79" ht="15" thickBot="1" x14ac:dyDescent="0.35">
      <c r="A25" s="294">
        <v>46012</v>
      </c>
      <c r="B25" s="20">
        <v>0</v>
      </c>
      <c r="C25" s="21">
        <v>0</v>
      </c>
      <c r="D25" s="139" t="str">
        <f t="shared" si="0"/>
        <v>-</v>
      </c>
      <c r="E25" s="20">
        <v>0</v>
      </c>
      <c r="F25" s="21">
        <v>0</v>
      </c>
      <c r="G25" s="139" t="str">
        <f t="shared" si="1"/>
        <v>-</v>
      </c>
      <c r="H25" s="20">
        <v>0</v>
      </c>
      <c r="I25" s="21">
        <v>0</v>
      </c>
      <c r="J25" s="139" t="str">
        <f t="shared" si="2"/>
        <v>-</v>
      </c>
      <c r="K25" s="20">
        <v>0</v>
      </c>
      <c r="L25" s="21">
        <v>0</v>
      </c>
      <c r="M25" s="139" t="str">
        <f t="shared" si="3"/>
        <v>-</v>
      </c>
      <c r="N25" s="20">
        <v>0</v>
      </c>
      <c r="O25" s="21">
        <v>0</v>
      </c>
      <c r="P25" s="139" t="str">
        <f t="shared" si="4"/>
        <v>-</v>
      </c>
      <c r="Q25" s="20">
        <v>0</v>
      </c>
      <c r="R25" s="21">
        <v>0</v>
      </c>
      <c r="S25" s="139" t="str">
        <f t="shared" si="5"/>
        <v>-</v>
      </c>
      <c r="T25" s="20">
        <v>0</v>
      </c>
      <c r="U25" s="21">
        <v>0</v>
      </c>
      <c r="V25" s="139" t="str">
        <f t="shared" si="6"/>
        <v>-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9"/>
        <v>-</v>
      </c>
      <c r="AF25" s="20">
        <v>0</v>
      </c>
      <c r="AG25" s="21">
        <v>0</v>
      </c>
      <c r="AH25" s="139" t="str">
        <f t="shared" si="10"/>
        <v>-</v>
      </c>
      <c r="AI25" s="20">
        <v>0</v>
      </c>
      <c r="AJ25" s="21">
        <v>0</v>
      </c>
      <c r="AK25" s="139" t="str">
        <f t="shared" si="11"/>
        <v>-</v>
      </c>
      <c r="AL25" s="20">
        <v>0</v>
      </c>
      <c r="AM25" s="21">
        <v>0</v>
      </c>
      <c r="AN25" s="139" t="str">
        <f t="shared" si="12"/>
        <v>-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si="14"/>
        <v>-</v>
      </c>
      <c r="AU25" s="20">
        <v>0</v>
      </c>
      <c r="AV25" s="21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>
        <v>0</v>
      </c>
      <c r="BB25" s="21">
        <v>0</v>
      </c>
      <c r="BC25" s="139" t="str">
        <f t="shared" si="17"/>
        <v>-</v>
      </c>
      <c r="BD25" s="20">
        <v>0</v>
      </c>
      <c r="BE25" s="21">
        <v>0</v>
      </c>
      <c r="BF25" s="139" t="str">
        <f t="shared" si="18"/>
        <v>-</v>
      </c>
      <c r="BG25" s="20">
        <v>0</v>
      </c>
      <c r="BH25" s="21">
        <v>0</v>
      </c>
      <c r="BI25" s="139" t="str">
        <f t="shared" si="19"/>
        <v>-</v>
      </c>
      <c r="BJ25" s="20">
        <v>0</v>
      </c>
      <c r="BK25" s="21">
        <v>0</v>
      </c>
      <c r="BL25" s="139" t="str">
        <f t="shared" si="20"/>
        <v>-</v>
      </c>
      <c r="BM25" s="20">
        <v>0</v>
      </c>
      <c r="BN25" s="21">
        <v>0</v>
      </c>
      <c r="BO25" s="122" t="str">
        <f t="shared" ref="BO25:BO27" si="31">IF(BN25=0,"",BM25/BN25)</f>
        <v/>
      </c>
      <c r="BP25" s="20">
        <v>0</v>
      </c>
      <c r="BQ25" s="21">
        <v>0</v>
      </c>
      <c r="BR25" s="122" t="str">
        <f t="shared" ref="BR25:BR27" si="32">IF(BQ25=0,"",BP25/BQ25)</f>
        <v/>
      </c>
      <c r="BS25" s="354">
        <v>0</v>
      </c>
      <c r="BT25" s="271">
        <v>0</v>
      </c>
      <c r="BU25" s="357" t="str">
        <f t="shared" ref="BU25:BU27" si="33">IF(BT25=0,"",BS25/BT25)</f>
        <v/>
      </c>
      <c r="BV25" s="355">
        <v>0</v>
      </c>
      <c r="BW25" s="21">
        <v>0</v>
      </c>
      <c r="BX25" s="276" t="str">
        <f t="shared" si="24"/>
        <v>-</v>
      </c>
      <c r="BY25" s="117">
        <f t="shared" si="27"/>
        <v>0</v>
      </c>
      <c r="BZ25" s="117">
        <f t="shared" si="25"/>
        <v>0</v>
      </c>
      <c r="CA25" s="147" t="str">
        <f t="shared" si="26"/>
        <v/>
      </c>
    </row>
    <row r="26" spans="1:79" ht="15" thickBot="1" x14ac:dyDescent="0.35">
      <c r="A26" s="294">
        <v>46013</v>
      </c>
      <c r="B26" s="20">
        <v>0</v>
      </c>
      <c r="C26" s="21">
        <v>0</v>
      </c>
      <c r="D26" s="139" t="str">
        <f t="shared" si="0"/>
        <v>-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2"/>
        <v>-</v>
      </c>
      <c r="K26" s="20">
        <v>0</v>
      </c>
      <c r="L26" s="21">
        <v>0</v>
      </c>
      <c r="M26" s="139" t="str">
        <f t="shared" si="3"/>
        <v>-</v>
      </c>
      <c r="N26" s="20">
        <v>0</v>
      </c>
      <c r="O26" s="21">
        <v>0</v>
      </c>
      <c r="P26" s="139" t="str">
        <f t="shared" si="4"/>
        <v>-</v>
      </c>
      <c r="Q26" s="20">
        <v>0</v>
      </c>
      <c r="R26" s="21">
        <v>0</v>
      </c>
      <c r="S26" s="139" t="str">
        <f t="shared" si="5"/>
        <v>-</v>
      </c>
      <c r="T26" s="20">
        <v>0</v>
      </c>
      <c r="U26" s="21">
        <v>0</v>
      </c>
      <c r="V26" s="139" t="str">
        <f t="shared" si="6"/>
        <v>-</v>
      </c>
      <c r="W26" s="20">
        <v>0</v>
      </c>
      <c r="X26" s="21">
        <v>0</v>
      </c>
      <c r="Y26" s="139" t="str">
        <f t="shared" si="7"/>
        <v>-</v>
      </c>
      <c r="Z26" s="20">
        <v>0</v>
      </c>
      <c r="AA26" s="21">
        <v>0</v>
      </c>
      <c r="AB26" s="139" t="str">
        <f t="shared" si="8"/>
        <v>-</v>
      </c>
      <c r="AC26" s="20">
        <v>0</v>
      </c>
      <c r="AD26" s="21">
        <v>0</v>
      </c>
      <c r="AE26" s="139" t="str">
        <f t="shared" si="9"/>
        <v>-</v>
      </c>
      <c r="AF26" s="20">
        <v>0</v>
      </c>
      <c r="AG26" s="21">
        <v>0</v>
      </c>
      <c r="AH26" s="139" t="str">
        <f t="shared" si="10"/>
        <v>-</v>
      </c>
      <c r="AI26" s="20">
        <v>38</v>
      </c>
      <c r="AJ26" s="21">
        <v>8</v>
      </c>
      <c r="AK26" s="139">
        <f t="shared" si="11"/>
        <v>4.75</v>
      </c>
      <c r="AL26" s="20">
        <v>0</v>
      </c>
      <c r="AM26" s="21">
        <v>0</v>
      </c>
      <c r="AN26" s="139" t="str">
        <f t="shared" si="12"/>
        <v>-</v>
      </c>
      <c r="AO26" s="20">
        <v>0</v>
      </c>
      <c r="AP26" s="21">
        <v>0</v>
      </c>
      <c r="AQ26" s="139" t="str">
        <f t="shared" si="13"/>
        <v>-</v>
      </c>
      <c r="AR26" s="20">
        <v>0</v>
      </c>
      <c r="AS26" s="21">
        <v>0</v>
      </c>
      <c r="AT26" s="139" t="str">
        <f t="shared" si="14"/>
        <v>-</v>
      </c>
      <c r="AU26" s="20">
        <v>0</v>
      </c>
      <c r="AV26" s="21">
        <v>0</v>
      </c>
      <c r="AW26" s="139" t="str">
        <f t="shared" si="15"/>
        <v>-</v>
      </c>
      <c r="AX26" s="20">
        <v>0</v>
      </c>
      <c r="AY26" s="21">
        <v>0</v>
      </c>
      <c r="AZ26" s="139" t="str">
        <f t="shared" si="16"/>
        <v>-</v>
      </c>
      <c r="BA26" s="20">
        <v>0</v>
      </c>
      <c r="BB26" s="21">
        <v>0</v>
      </c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20">
        <v>0</v>
      </c>
      <c r="BH26" s="21">
        <v>0</v>
      </c>
      <c r="BI26" s="139" t="str">
        <f t="shared" si="19"/>
        <v>-</v>
      </c>
      <c r="BJ26" s="125">
        <v>0</v>
      </c>
      <c r="BK26" s="126">
        <v>0</v>
      </c>
      <c r="BL26" s="139" t="str">
        <f t="shared" si="20"/>
        <v>-</v>
      </c>
      <c r="BM26" s="20">
        <v>0</v>
      </c>
      <c r="BN26" s="21">
        <v>0</v>
      </c>
      <c r="BO26" s="122" t="str">
        <f t="shared" si="31"/>
        <v/>
      </c>
      <c r="BP26" s="20">
        <v>0</v>
      </c>
      <c r="BQ26" s="21">
        <v>0</v>
      </c>
      <c r="BR26" s="122" t="str">
        <f t="shared" si="32"/>
        <v/>
      </c>
      <c r="BS26" s="354">
        <v>0</v>
      </c>
      <c r="BT26" s="271">
        <v>0</v>
      </c>
      <c r="BU26" s="357" t="str">
        <f t="shared" si="33"/>
        <v/>
      </c>
      <c r="BV26" s="355">
        <v>0</v>
      </c>
      <c r="BW26" s="21">
        <v>0</v>
      </c>
      <c r="BX26" s="276" t="str">
        <f t="shared" si="24"/>
        <v>-</v>
      </c>
      <c r="BY26" s="117">
        <f t="shared" si="27"/>
        <v>38</v>
      </c>
      <c r="BZ26" s="117">
        <f t="shared" si="25"/>
        <v>8</v>
      </c>
      <c r="CA26" s="147">
        <f t="shared" si="26"/>
        <v>4.75</v>
      </c>
    </row>
    <row r="27" spans="1:79" ht="15" thickBot="1" x14ac:dyDescent="0.35">
      <c r="A27" s="294">
        <v>46014</v>
      </c>
      <c r="B27" s="20">
        <v>0</v>
      </c>
      <c r="C27" s="21">
        <v>0</v>
      </c>
      <c r="D27" s="139" t="str">
        <f t="shared" si="0"/>
        <v>-</v>
      </c>
      <c r="E27" s="20">
        <v>0</v>
      </c>
      <c r="F27" s="21">
        <v>0</v>
      </c>
      <c r="G27" s="139" t="str">
        <f t="shared" si="1"/>
        <v>-</v>
      </c>
      <c r="H27" s="20">
        <v>0</v>
      </c>
      <c r="I27" s="21">
        <v>0</v>
      </c>
      <c r="J27" s="139" t="str">
        <f t="shared" si="2"/>
        <v>-</v>
      </c>
      <c r="K27" s="20">
        <v>0</v>
      </c>
      <c r="L27" s="21">
        <v>0</v>
      </c>
      <c r="M27" s="139" t="str">
        <f t="shared" si="3"/>
        <v>-</v>
      </c>
      <c r="N27" s="20">
        <v>0</v>
      </c>
      <c r="O27" s="21">
        <v>0</v>
      </c>
      <c r="P27" s="139" t="str">
        <f t="shared" si="4"/>
        <v>-</v>
      </c>
      <c r="Q27" s="20">
        <v>0</v>
      </c>
      <c r="R27" s="21">
        <v>0</v>
      </c>
      <c r="S27" s="139" t="str">
        <f t="shared" si="5"/>
        <v>-</v>
      </c>
      <c r="T27" s="20">
        <v>0</v>
      </c>
      <c r="U27" s="21">
        <v>0</v>
      </c>
      <c r="V27" s="139" t="str">
        <f t="shared" si="6"/>
        <v>-</v>
      </c>
      <c r="W27" s="20">
        <v>0</v>
      </c>
      <c r="X27" s="21">
        <v>0</v>
      </c>
      <c r="Y27" s="139" t="str">
        <f t="shared" si="7"/>
        <v>-</v>
      </c>
      <c r="Z27" s="20">
        <v>0</v>
      </c>
      <c r="AA27" s="21">
        <v>0</v>
      </c>
      <c r="AB27" s="139" t="str">
        <f t="shared" si="8"/>
        <v>-</v>
      </c>
      <c r="AC27" s="20">
        <v>0</v>
      </c>
      <c r="AD27" s="21">
        <v>0</v>
      </c>
      <c r="AE27" s="139" t="str">
        <f t="shared" si="9"/>
        <v>-</v>
      </c>
      <c r="AF27" s="20">
        <v>0</v>
      </c>
      <c r="AG27" s="21">
        <v>0</v>
      </c>
      <c r="AH27" s="139" t="str">
        <f t="shared" si="10"/>
        <v>-</v>
      </c>
      <c r="AI27" s="20">
        <v>0</v>
      </c>
      <c r="AJ27" s="21">
        <v>0</v>
      </c>
      <c r="AK27" s="139" t="str">
        <f t="shared" si="11"/>
        <v>-</v>
      </c>
      <c r="AL27" s="20">
        <v>0</v>
      </c>
      <c r="AM27" s="21">
        <v>0</v>
      </c>
      <c r="AN27" s="139" t="str">
        <f t="shared" si="12"/>
        <v>-</v>
      </c>
      <c r="AO27" s="20">
        <v>0</v>
      </c>
      <c r="AP27" s="21">
        <v>0</v>
      </c>
      <c r="AQ27" s="139" t="str">
        <f t="shared" si="13"/>
        <v>-</v>
      </c>
      <c r="AR27" s="20">
        <v>0</v>
      </c>
      <c r="AS27" s="21">
        <v>0</v>
      </c>
      <c r="AT27" s="139" t="str">
        <f t="shared" si="14"/>
        <v>-</v>
      </c>
      <c r="AU27" s="20">
        <v>0</v>
      </c>
      <c r="AV27" s="21">
        <v>0</v>
      </c>
      <c r="AW27" s="139" t="str">
        <f t="shared" si="15"/>
        <v>-</v>
      </c>
      <c r="AX27" s="125">
        <v>0</v>
      </c>
      <c r="AY27" s="126">
        <v>0</v>
      </c>
      <c r="AZ27" s="139" t="str">
        <f t="shared" si="16"/>
        <v>-</v>
      </c>
      <c r="BA27" s="20">
        <v>0</v>
      </c>
      <c r="BB27" s="21">
        <v>0</v>
      </c>
      <c r="BC27" s="139" t="str">
        <f t="shared" si="17"/>
        <v>-</v>
      </c>
      <c r="BD27" s="125">
        <v>0</v>
      </c>
      <c r="BE27" s="126">
        <v>0</v>
      </c>
      <c r="BF27" s="139" t="str">
        <f t="shared" si="18"/>
        <v>-</v>
      </c>
      <c r="BG27" s="20">
        <v>0</v>
      </c>
      <c r="BH27" s="21">
        <v>0</v>
      </c>
      <c r="BI27" s="139" t="str">
        <f t="shared" si="19"/>
        <v>-</v>
      </c>
      <c r="BJ27" s="125">
        <v>0</v>
      </c>
      <c r="BK27" s="126">
        <v>0</v>
      </c>
      <c r="BL27" s="139" t="str">
        <f t="shared" si="20"/>
        <v>-</v>
      </c>
      <c r="BM27" s="20">
        <v>0</v>
      </c>
      <c r="BN27" s="21">
        <v>0</v>
      </c>
      <c r="BO27" s="122" t="str">
        <f t="shared" si="31"/>
        <v/>
      </c>
      <c r="BP27" s="20">
        <v>0</v>
      </c>
      <c r="BQ27" s="21">
        <v>0</v>
      </c>
      <c r="BR27" s="122" t="str">
        <f t="shared" si="32"/>
        <v/>
      </c>
      <c r="BS27" s="354">
        <v>0</v>
      </c>
      <c r="BT27" s="271">
        <v>0</v>
      </c>
      <c r="BU27" s="357" t="str">
        <f t="shared" si="33"/>
        <v/>
      </c>
      <c r="BV27" s="355">
        <v>0</v>
      </c>
      <c r="BW27" s="21">
        <v>0</v>
      </c>
      <c r="BX27" s="276" t="str">
        <f t="shared" si="24"/>
        <v>-</v>
      </c>
      <c r="BY27" s="117">
        <f t="shared" si="27"/>
        <v>0</v>
      </c>
      <c r="BZ27" s="117">
        <f t="shared" si="25"/>
        <v>0</v>
      </c>
      <c r="CA27" s="147" t="str">
        <f t="shared" si="26"/>
        <v/>
      </c>
    </row>
    <row r="28" spans="1:79" ht="15" thickBot="1" x14ac:dyDescent="0.35">
      <c r="A28" s="294">
        <v>46015</v>
      </c>
      <c r="B28" s="20">
        <v>0</v>
      </c>
      <c r="C28" s="21">
        <v>0</v>
      </c>
      <c r="D28" s="139" t="str">
        <f t="shared" si="0"/>
        <v>-</v>
      </c>
      <c r="E28" s="20">
        <v>0</v>
      </c>
      <c r="F28" s="21">
        <v>0</v>
      </c>
      <c r="G28" s="139" t="str">
        <f t="shared" si="1"/>
        <v>-</v>
      </c>
      <c r="H28" s="20">
        <v>0</v>
      </c>
      <c r="I28" s="21">
        <v>0</v>
      </c>
      <c r="J28" s="139" t="str">
        <f t="shared" si="2"/>
        <v>-</v>
      </c>
      <c r="K28" s="20">
        <v>0</v>
      </c>
      <c r="L28" s="21">
        <v>0</v>
      </c>
      <c r="M28" s="139" t="str">
        <f t="shared" si="3"/>
        <v>-</v>
      </c>
      <c r="N28" s="20">
        <v>0</v>
      </c>
      <c r="O28" s="21">
        <v>0</v>
      </c>
      <c r="P28" s="139" t="str">
        <f t="shared" si="4"/>
        <v>-</v>
      </c>
      <c r="Q28" s="20">
        <v>0</v>
      </c>
      <c r="R28" s="21">
        <v>0</v>
      </c>
      <c r="S28" s="139" t="str">
        <f t="shared" si="5"/>
        <v>-</v>
      </c>
      <c r="T28" s="20">
        <v>0</v>
      </c>
      <c r="U28" s="21">
        <v>0</v>
      </c>
      <c r="V28" s="139" t="str">
        <f t="shared" si="6"/>
        <v>-</v>
      </c>
      <c r="W28" s="20">
        <v>0</v>
      </c>
      <c r="X28" s="21">
        <v>0</v>
      </c>
      <c r="Y28" s="139" t="str">
        <f t="shared" si="7"/>
        <v>-</v>
      </c>
      <c r="Z28" s="20">
        <v>0</v>
      </c>
      <c r="AA28" s="21">
        <v>0</v>
      </c>
      <c r="AB28" s="139" t="str">
        <f t="shared" si="8"/>
        <v>-</v>
      </c>
      <c r="AC28" s="20">
        <v>0</v>
      </c>
      <c r="AD28" s="21">
        <v>0</v>
      </c>
      <c r="AE28" s="139" t="str">
        <f t="shared" si="9"/>
        <v>-</v>
      </c>
      <c r="AF28" s="20">
        <v>0</v>
      </c>
      <c r="AG28" s="21">
        <v>0</v>
      </c>
      <c r="AH28" s="139" t="str">
        <f t="shared" si="10"/>
        <v>-</v>
      </c>
      <c r="AI28" s="20">
        <v>0</v>
      </c>
      <c r="AJ28" s="21">
        <v>0</v>
      </c>
      <c r="AK28" s="139" t="str">
        <f t="shared" si="11"/>
        <v>-</v>
      </c>
      <c r="AL28" s="20">
        <v>0</v>
      </c>
      <c r="AM28" s="21">
        <v>0</v>
      </c>
      <c r="AN28" s="139" t="str">
        <f t="shared" si="12"/>
        <v>-</v>
      </c>
      <c r="AO28" s="20">
        <v>0</v>
      </c>
      <c r="AP28" s="21">
        <v>0</v>
      </c>
      <c r="AQ28" s="139" t="str">
        <f t="shared" si="13"/>
        <v>-</v>
      </c>
      <c r="AR28" s="20">
        <v>0</v>
      </c>
      <c r="AS28" s="21">
        <v>0</v>
      </c>
      <c r="AT28" s="139" t="str">
        <f t="shared" si="14"/>
        <v>-</v>
      </c>
      <c r="AU28" s="20">
        <v>0</v>
      </c>
      <c r="AV28" s="21">
        <v>0</v>
      </c>
      <c r="AW28" s="139" t="str">
        <f t="shared" si="15"/>
        <v>-</v>
      </c>
      <c r="AX28" s="125">
        <v>0</v>
      </c>
      <c r="AY28" s="126">
        <v>0</v>
      </c>
      <c r="AZ28" s="139" t="str">
        <f t="shared" si="16"/>
        <v>-</v>
      </c>
      <c r="BA28" s="20">
        <v>0</v>
      </c>
      <c r="BB28" s="21">
        <v>0</v>
      </c>
      <c r="BC28" s="139" t="str">
        <f t="shared" si="17"/>
        <v>-</v>
      </c>
      <c r="BD28" s="125">
        <v>0</v>
      </c>
      <c r="BE28" s="126">
        <v>0</v>
      </c>
      <c r="BF28" s="139" t="str">
        <f t="shared" si="18"/>
        <v>-</v>
      </c>
      <c r="BG28" s="20">
        <v>0</v>
      </c>
      <c r="BH28" s="21">
        <v>0</v>
      </c>
      <c r="BI28" s="139" t="str">
        <f t="shared" si="19"/>
        <v>-</v>
      </c>
      <c r="BJ28" s="125">
        <v>0</v>
      </c>
      <c r="BK28" s="126">
        <v>0</v>
      </c>
      <c r="BL28" s="139" t="str">
        <f t="shared" si="20"/>
        <v>-</v>
      </c>
      <c r="BM28" s="252">
        <v>0</v>
      </c>
      <c r="BN28" s="253">
        <v>0</v>
      </c>
      <c r="BO28" s="139" t="str">
        <f t="shared" si="21"/>
        <v>-</v>
      </c>
      <c r="BP28" s="252">
        <v>0</v>
      </c>
      <c r="BQ28" s="253">
        <v>0</v>
      </c>
      <c r="BR28" s="139" t="str">
        <f t="shared" si="22"/>
        <v>-</v>
      </c>
      <c r="BS28" s="302">
        <v>0</v>
      </c>
      <c r="BT28" s="303">
        <v>0</v>
      </c>
      <c r="BU28" s="139" t="str">
        <f t="shared" si="23"/>
        <v>-</v>
      </c>
      <c r="BV28" s="257">
        <v>0</v>
      </c>
      <c r="BW28" s="253">
        <v>0</v>
      </c>
      <c r="BX28" s="139" t="str">
        <f t="shared" si="24"/>
        <v>-</v>
      </c>
      <c r="BY28" s="117">
        <f t="shared" si="27"/>
        <v>0</v>
      </c>
      <c r="BZ28" s="117">
        <f t="shared" si="25"/>
        <v>0</v>
      </c>
      <c r="CA28" s="147" t="str">
        <f t="shared" si="26"/>
        <v/>
      </c>
    </row>
    <row r="29" spans="1:79" ht="15" thickBot="1" x14ac:dyDescent="0.35">
      <c r="A29" s="294">
        <v>46016</v>
      </c>
      <c r="B29" s="20">
        <v>0</v>
      </c>
      <c r="C29" s="21">
        <v>0</v>
      </c>
      <c r="D29" s="139" t="str">
        <f t="shared" si="0"/>
        <v>-</v>
      </c>
      <c r="E29" s="20">
        <v>0</v>
      </c>
      <c r="F29" s="21">
        <v>0</v>
      </c>
      <c r="G29" s="139" t="str">
        <f t="shared" si="1"/>
        <v>-</v>
      </c>
      <c r="H29" s="20">
        <v>0</v>
      </c>
      <c r="I29" s="21">
        <v>0</v>
      </c>
      <c r="J29" s="139" t="str">
        <f t="shared" si="2"/>
        <v>-</v>
      </c>
      <c r="K29" s="20">
        <v>0</v>
      </c>
      <c r="L29" s="21">
        <v>0</v>
      </c>
      <c r="M29" s="139" t="str">
        <f t="shared" si="3"/>
        <v>-</v>
      </c>
      <c r="N29" s="20">
        <v>0</v>
      </c>
      <c r="O29" s="21">
        <v>0</v>
      </c>
      <c r="P29" s="139" t="str">
        <f t="shared" si="4"/>
        <v>-</v>
      </c>
      <c r="Q29" s="20">
        <v>0</v>
      </c>
      <c r="R29" s="21">
        <v>0</v>
      </c>
      <c r="S29" s="139" t="str">
        <f t="shared" si="5"/>
        <v>-</v>
      </c>
      <c r="T29" s="20">
        <v>0</v>
      </c>
      <c r="U29" s="21">
        <v>0</v>
      </c>
      <c r="V29" s="139" t="str">
        <f t="shared" si="6"/>
        <v>-</v>
      </c>
      <c r="W29" s="20">
        <v>0</v>
      </c>
      <c r="X29" s="21">
        <v>0</v>
      </c>
      <c r="Y29" s="139" t="str">
        <f t="shared" si="7"/>
        <v>-</v>
      </c>
      <c r="Z29" s="125">
        <v>0</v>
      </c>
      <c r="AA29" s="126">
        <v>0</v>
      </c>
      <c r="AB29" s="139" t="str">
        <f t="shared" si="8"/>
        <v>-</v>
      </c>
      <c r="AC29" s="20">
        <v>0</v>
      </c>
      <c r="AD29" s="21">
        <v>0</v>
      </c>
      <c r="AE29" s="139" t="str">
        <f t="shared" si="9"/>
        <v>-</v>
      </c>
      <c r="AF29" s="20">
        <v>0</v>
      </c>
      <c r="AG29" s="21">
        <v>0</v>
      </c>
      <c r="AH29" s="139" t="str">
        <f t="shared" si="10"/>
        <v>-</v>
      </c>
      <c r="AI29" s="20">
        <v>0</v>
      </c>
      <c r="AJ29" s="21">
        <v>0</v>
      </c>
      <c r="AK29" s="139" t="str">
        <f t="shared" si="11"/>
        <v>-</v>
      </c>
      <c r="AL29" s="20">
        <v>0</v>
      </c>
      <c r="AM29" s="21">
        <v>0</v>
      </c>
      <c r="AN29" s="139" t="str">
        <f t="shared" si="12"/>
        <v>-</v>
      </c>
      <c r="AO29" s="20">
        <v>0</v>
      </c>
      <c r="AP29" s="21">
        <v>0</v>
      </c>
      <c r="AQ29" s="139" t="str">
        <f t="shared" si="13"/>
        <v>-</v>
      </c>
      <c r="AR29" s="20">
        <v>0</v>
      </c>
      <c r="AS29" s="21">
        <v>0</v>
      </c>
      <c r="AT29" s="139" t="str">
        <f t="shared" si="14"/>
        <v>-</v>
      </c>
      <c r="AU29" s="20">
        <v>0</v>
      </c>
      <c r="AV29" s="21">
        <v>0</v>
      </c>
      <c r="AW29" s="139" t="str">
        <f t="shared" si="15"/>
        <v>-</v>
      </c>
      <c r="AX29" s="125">
        <v>0</v>
      </c>
      <c r="AY29" s="126">
        <v>0</v>
      </c>
      <c r="AZ29" s="139" t="str">
        <f t="shared" si="16"/>
        <v>-</v>
      </c>
      <c r="BA29" s="20">
        <v>0</v>
      </c>
      <c r="BB29" s="21">
        <v>0</v>
      </c>
      <c r="BC29" s="139" t="str">
        <f t="shared" si="17"/>
        <v>-</v>
      </c>
      <c r="BD29" s="125">
        <v>0</v>
      </c>
      <c r="BE29" s="126">
        <v>0</v>
      </c>
      <c r="BF29" s="139" t="str">
        <f t="shared" si="18"/>
        <v>-</v>
      </c>
      <c r="BG29" s="20">
        <v>0</v>
      </c>
      <c r="BH29" s="21">
        <v>0</v>
      </c>
      <c r="BI29" s="139" t="str">
        <f t="shared" si="19"/>
        <v>-</v>
      </c>
      <c r="BJ29" s="125">
        <v>0</v>
      </c>
      <c r="BK29" s="126">
        <v>0</v>
      </c>
      <c r="BL29" s="139" t="str">
        <f t="shared" si="20"/>
        <v>-</v>
      </c>
      <c r="BM29" s="252">
        <v>0</v>
      </c>
      <c r="BN29" s="253">
        <v>0</v>
      </c>
      <c r="BO29" s="276" t="str">
        <f t="shared" si="21"/>
        <v>-</v>
      </c>
      <c r="BP29" s="252">
        <v>0</v>
      </c>
      <c r="BQ29" s="253">
        <v>0</v>
      </c>
      <c r="BR29" s="276" t="str">
        <f t="shared" si="22"/>
        <v>-</v>
      </c>
      <c r="BS29" s="302">
        <v>0</v>
      </c>
      <c r="BT29" s="303">
        <v>0</v>
      </c>
      <c r="BU29" s="276" t="str">
        <f t="shared" si="23"/>
        <v>-</v>
      </c>
      <c r="BV29" s="257">
        <v>0</v>
      </c>
      <c r="BW29" s="253">
        <v>0</v>
      </c>
      <c r="BX29" s="276" t="str">
        <f t="shared" si="24"/>
        <v>-</v>
      </c>
      <c r="BY29" s="117">
        <f t="shared" si="27"/>
        <v>0</v>
      </c>
      <c r="BZ29" s="117">
        <f t="shared" si="25"/>
        <v>0</v>
      </c>
      <c r="CA29" s="147" t="str">
        <f t="shared" si="26"/>
        <v/>
      </c>
    </row>
    <row r="30" spans="1:79" ht="15" thickBot="1" x14ac:dyDescent="0.35">
      <c r="A30" s="294">
        <v>46017</v>
      </c>
      <c r="B30" s="20">
        <v>0</v>
      </c>
      <c r="C30" s="21">
        <v>0</v>
      </c>
      <c r="D30" s="139" t="str">
        <f t="shared" si="0"/>
        <v>-</v>
      </c>
      <c r="E30" s="20">
        <v>0</v>
      </c>
      <c r="F30" s="21">
        <v>0</v>
      </c>
      <c r="G30" s="139" t="str">
        <f t="shared" si="1"/>
        <v>-</v>
      </c>
      <c r="H30" s="20">
        <v>0</v>
      </c>
      <c r="I30" s="21">
        <v>0</v>
      </c>
      <c r="J30" s="139" t="str">
        <f t="shared" si="2"/>
        <v>-</v>
      </c>
      <c r="K30" s="20">
        <v>0</v>
      </c>
      <c r="L30" s="21">
        <v>0</v>
      </c>
      <c r="M30" s="139" t="str">
        <f t="shared" si="3"/>
        <v>-</v>
      </c>
      <c r="N30" s="20">
        <v>0</v>
      </c>
      <c r="O30" s="21">
        <v>0</v>
      </c>
      <c r="P30" s="139" t="str">
        <f t="shared" si="4"/>
        <v>-</v>
      </c>
      <c r="Q30" s="20">
        <v>0</v>
      </c>
      <c r="R30" s="21">
        <v>0</v>
      </c>
      <c r="S30" s="139" t="str">
        <f t="shared" si="5"/>
        <v>-</v>
      </c>
      <c r="T30" s="20">
        <v>0</v>
      </c>
      <c r="U30" s="21">
        <v>0</v>
      </c>
      <c r="V30" s="139" t="str">
        <f t="shared" si="6"/>
        <v>-</v>
      </c>
      <c r="W30" s="20">
        <v>0</v>
      </c>
      <c r="X30" s="21">
        <v>0</v>
      </c>
      <c r="Y30" s="139" t="str">
        <f t="shared" si="7"/>
        <v>-</v>
      </c>
      <c r="Z30" s="125">
        <v>0</v>
      </c>
      <c r="AA30" s="126">
        <v>0</v>
      </c>
      <c r="AB30" s="139" t="str">
        <f t="shared" si="8"/>
        <v>-</v>
      </c>
      <c r="AC30" s="20">
        <v>0</v>
      </c>
      <c r="AD30" s="21">
        <v>0</v>
      </c>
      <c r="AE30" s="139" t="str">
        <f t="shared" si="9"/>
        <v>-</v>
      </c>
      <c r="AF30" s="20">
        <v>0</v>
      </c>
      <c r="AG30" s="21">
        <v>0</v>
      </c>
      <c r="AH30" s="139" t="str">
        <f t="shared" si="10"/>
        <v>-</v>
      </c>
      <c r="AI30" s="20">
        <v>0</v>
      </c>
      <c r="AJ30" s="21">
        <v>0</v>
      </c>
      <c r="AK30" s="139" t="str">
        <f t="shared" si="11"/>
        <v>-</v>
      </c>
      <c r="AL30" s="20">
        <v>0</v>
      </c>
      <c r="AM30" s="21">
        <v>0</v>
      </c>
      <c r="AN30" s="139" t="str">
        <f t="shared" si="12"/>
        <v>-</v>
      </c>
      <c r="AO30" s="20">
        <v>0</v>
      </c>
      <c r="AP30" s="21">
        <v>0</v>
      </c>
      <c r="AQ30" s="139" t="str">
        <f t="shared" si="13"/>
        <v>-</v>
      </c>
      <c r="AR30" s="20">
        <v>0</v>
      </c>
      <c r="AS30" s="21">
        <v>0</v>
      </c>
      <c r="AT30" s="139" t="str">
        <f t="shared" si="14"/>
        <v>-</v>
      </c>
      <c r="AU30" s="20">
        <v>0</v>
      </c>
      <c r="AV30" s="21">
        <v>0</v>
      </c>
      <c r="AW30" s="139" t="str">
        <f t="shared" si="15"/>
        <v>-</v>
      </c>
      <c r="AX30" s="125">
        <v>0</v>
      </c>
      <c r="AY30" s="126">
        <v>0</v>
      </c>
      <c r="AZ30" s="139" t="str">
        <f t="shared" si="16"/>
        <v>-</v>
      </c>
      <c r="BA30" s="20">
        <v>0</v>
      </c>
      <c r="BB30" s="21">
        <v>0</v>
      </c>
      <c r="BC30" s="139" t="str">
        <f t="shared" si="17"/>
        <v>-</v>
      </c>
      <c r="BD30" s="125">
        <v>0</v>
      </c>
      <c r="BE30" s="126">
        <v>0</v>
      </c>
      <c r="BF30" s="139" t="str">
        <f t="shared" si="18"/>
        <v>-</v>
      </c>
      <c r="BG30" s="20">
        <v>0</v>
      </c>
      <c r="BH30" s="21">
        <v>0</v>
      </c>
      <c r="BI30" s="139" t="str">
        <f t="shared" si="19"/>
        <v>-</v>
      </c>
      <c r="BJ30" s="125">
        <v>0</v>
      </c>
      <c r="BK30" s="126">
        <v>0</v>
      </c>
      <c r="BL30" s="139" t="str">
        <f t="shared" si="20"/>
        <v>-</v>
      </c>
      <c r="BM30" s="252">
        <v>0</v>
      </c>
      <c r="BN30" s="253">
        <v>0</v>
      </c>
      <c r="BO30" s="276" t="str">
        <f t="shared" si="21"/>
        <v>-</v>
      </c>
      <c r="BP30" s="252">
        <v>0</v>
      </c>
      <c r="BQ30" s="253">
        <v>0</v>
      </c>
      <c r="BR30" s="276" t="str">
        <f t="shared" si="22"/>
        <v>-</v>
      </c>
      <c r="BS30" s="302">
        <v>0</v>
      </c>
      <c r="BT30" s="303">
        <v>0</v>
      </c>
      <c r="BU30" s="276" t="str">
        <f t="shared" si="23"/>
        <v>-</v>
      </c>
      <c r="BV30" s="257">
        <v>0</v>
      </c>
      <c r="BW30" s="253">
        <v>0</v>
      </c>
      <c r="BX30" s="276" t="str">
        <f t="shared" si="24"/>
        <v>-</v>
      </c>
      <c r="BY30" s="117">
        <f t="shared" si="27"/>
        <v>0</v>
      </c>
      <c r="BZ30" s="117">
        <f t="shared" si="25"/>
        <v>0</v>
      </c>
      <c r="CA30" s="147" t="str">
        <f t="shared" si="26"/>
        <v/>
      </c>
    </row>
    <row r="31" spans="1:79" ht="15" thickBot="1" x14ac:dyDescent="0.35">
      <c r="A31" s="294">
        <v>46018</v>
      </c>
      <c r="B31" s="20">
        <v>0</v>
      </c>
      <c r="C31" s="21">
        <v>0</v>
      </c>
      <c r="D31" s="139" t="str">
        <f t="shared" si="0"/>
        <v>-</v>
      </c>
      <c r="E31" s="20">
        <v>0</v>
      </c>
      <c r="F31" s="21">
        <v>0</v>
      </c>
      <c r="G31" s="139" t="str">
        <f t="shared" si="1"/>
        <v>-</v>
      </c>
      <c r="H31" s="20">
        <v>0</v>
      </c>
      <c r="I31" s="21">
        <v>0</v>
      </c>
      <c r="J31" s="139" t="str">
        <f t="shared" si="2"/>
        <v>-</v>
      </c>
      <c r="K31" s="20">
        <v>0</v>
      </c>
      <c r="L31" s="21">
        <v>0</v>
      </c>
      <c r="M31" s="139" t="str">
        <f t="shared" si="3"/>
        <v>-</v>
      </c>
      <c r="N31" s="20">
        <v>0</v>
      </c>
      <c r="O31" s="21">
        <v>0</v>
      </c>
      <c r="P31" s="139" t="str">
        <f t="shared" si="4"/>
        <v>-</v>
      </c>
      <c r="Q31" s="20">
        <v>0</v>
      </c>
      <c r="R31" s="21">
        <v>0</v>
      </c>
      <c r="S31" s="139" t="str">
        <f t="shared" si="5"/>
        <v>-</v>
      </c>
      <c r="T31" s="20">
        <v>0</v>
      </c>
      <c r="U31" s="21">
        <v>0</v>
      </c>
      <c r="V31" s="139" t="str">
        <f t="shared" si="6"/>
        <v>-</v>
      </c>
      <c r="W31" s="20">
        <v>0</v>
      </c>
      <c r="X31" s="21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20">
        <v>0</v>
      </c>
      <c r="AD31" s="21">
        <v>0</v>
      </c>
      <c r="AE31" s="139" t="str">
        <f t="shared" si="9"/>
        <v>-</v>
      </c>
      <c r="AF31" s="20">
        <v>0</v>
      </c>
      <c r="AG31" s="21">
        <v>0</v>
      </c>
      <c r="AH31" s="139" t="str">
        <f t="shared" si="10"/>
        <v>-</v>
      </c>
      <c r="AI31" s="20">
        <v>0</v>
      </c>
      <c r="AJ31" s="21">
        <v>0</v>
      </c>
      <c r="AK31" s="139" t="str">
        <f t="shared" si="11"/>
        <v>-</v>
      </c>
      <c r="AL31" s="20">
        <v>0</v>
      </c>
      <c r="AM31" s="21">
        <v>0</v>
      </c>
      <c r="AN31" s="139" t="str">
        <f t="shared" si="12"/>
        <v>-</v>
      </c>
      <c r="AO31" s="20">
        <v>0</v>
      </c>
      <c r="AP31" s="21">
        <v>0</v>
      </c>
      <c r="AQ31" s="139" t="str">
        <f t="shared" si="13"/>
        <v>-</v>
      </c>
      <c r="AR31" s="20">
        <v>0</v>
      </c>
      <c r="AS31" s="21">
        <v>0</v>
      </c>
      <c r="AT31" s="139" t="str">
        <f t="shared" si="14"/>
        <v>-</v>
      </c>
      <c r="AU31" s="20">
        <v>0</v>
      </c>
      <c r="AV31" s="21">
        <v>0</v>
      </c>
      <c r="AW31" s="139" t="str">
        <f t="shared" si="15"/>
        <v>-</v>
      </c>
      <c r="AX31" s="125">
        <v>0</v>
      </c>
      <c r="AY31" s="126">
        <v>0</v>
      </c>
      <c r="AZ31" s="139" t="str">
        <f t="shared" si="16"/>
        <v>-</v>
      </c>
      <c r="BA31" s="20">
        <v>0</v>
      </c>
      <c r="BB31" s="21">
        <v>0</v>
      </c>
      <c r="BC31" s="139" t="str">
        <f t="shared" si="17"/>
        <v>-</v>
      </c>
      <c r="BD31" s="125">
        <v>0</v>
      </c>
      <c r="BE31" s="126">
        <v>0</v>
      </c>
      <c r="BF31" s="139" t="str">
        <f t="shared" si="18"/>
        <v>-</v>
      </c>
      <c r="BG31" s="20">
        <v>0</v>
      </c>
      <c r="BH31" s="21">
        <v>0</v>
      </c>
      <c r="BI31" s="139" t="str">
        <f t="shared" si="19"/>
        <v>-</v>
      </c>
      <c r="BJ31" s="125">
        <v>0</v>
      </c>
      <c r="BK31" s="126">
        <v>0</v>
      </c>
      <c r="BL31" s="139" t="str">
        <f t="shared" si="20"/>
        <v>-</v>
      </c>
      <c r="BM31" s="252">
        <v>0</v>
      </c>
      <c r="BN31" s="253">
        <v>0</v>
      </c>
      <c r="BO31" s="276" t="str">
        <f t="shared" si="21"/>
        <v>-</v>
      </c>
      <c r="BP31" s="252">
        <v>0</v>
      </c>
      <c r="BQ31" s="253">
        <v>0</v>
      </c>
      <c r="BR31" s="276" t="str">
        <f t="shared" si="22"/>
        <v>-</v>
      </c>
      <c r="BS31" s="302">
        <v>0</v>
      </c>
      <c r="BT31" s="303">
        <v>0</v>
      </c>
      <c r="BU31" s="276" t="str">
        <f t="shared" si="23"/>
        <v>-</v>
      </c>
      <c r="BV31" s="257">
        <v>0</v>
      </c>
      <c r="BW31" s="253">
        <v>0</v>
      </c>
      <c r="BX31" s="276" t="str">
        <f>IF(BW31=0,"-",BV31/BW31)</f>
        <v>-</v>
      </c>
      <c r="BY31" s="117">
        <f t="shared" si="27"/>
        <v>0</v>
      </c>
      <c r="BZ31" s="117">
        <f t="shared" si="25"/>
        <v>0</v>
      </c>
      <c r="CA31" s="147" t="str">
        <f t="shared" si="26"/>
        <v/>
      </c>
    </row>
    <row r="32" spans="1:79" ht="15" thickBot="1" x14ac:dyDescent="0.35">
      <c r="A32" s="294">
        <v>46019</v>
      </c>
      <c r="B32" s="20">
        <v>0</v>
      </c>
      <c r="C32" s="21">
        <v>0</v>
      </c>
      <c r="D32" s="139" t="str">
        <f t="shared" si="0"/>
        <v>-</v>
      </c>
      <c r="E32" s="20">
        <v>0</v>
      </c>
      <c r="F32" s="21">
        <v>0</v>
      </c>
      <c r="G32" s="139" t="str">
        <f t="shared" si="1"/>
        <v>-</v>
      </c>
      <c r="H32" s="20">
        <v>0</v>
      </c>
      <c r="I32" s="21">
        <v>0</v>
      </c>
      <c r="J32" s="139" t="str">
        <f t="shared" si="2"/>
        <v>-</v>
      </c>
      <c r="K32" s="20">
        <v>0</v>
      </c>
      <c r="L32" s="21">
        <v>0</v>
      </c>
      <c r="M32" s="139" t="str">
        <f t="shared" si="3"/>
        <v>-</v>
      </c>
      <c r="N32" s="20">
        <v>0</v>
      </c>
      <c r="O32" s="21">
        <v>0</v>
      </c>
      <c r="P32" s="139" t="str">
        <f t="shared" si="4"/>
        <v>-</v>
      </c>
      <c r="Q32" s="20">
        <v>0</v>
      </c>
      <c r="R32" s="21">
        <v>0</v>
      </c>
      <c r="S32" s="139" t="str">
        <f t="shared" si="5"/>
        <v>-</v>
      </c>
      <c r="T32" s="20">
        <v>0</v>
      </c>
      <c r="U32" s="21">
        <v>0</v>
      </c>
      <c r="V32" s="139" t="str">
        <f t="shared" si="6"/>
        <v>-</v>
      </c>
      <c r="W32" s="20">
        <v>0</v>
      </c>
      <c r="X32" s="21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si="8"/>
        <v>-</v>
      </c>
      <c r="AC32" s="20">
        <v>0</v>
      </c>
      <c r="AD32" s="21">
        <v>0</v>
      </c>
      <c r="AE32" s="139" t="str">
        <f t="shared" si="9"/>
        <v>-</v>
      </c>
      <c r="AF32" s="20">
        <v>0</v>
      </c>
      <c r="AG32" s="21">
        <v>0</v>
      </c>
      <c r="AH32" s="139" t="str">
        <f t="shared" si="10"/>
        <v>-</v>
      </c>
      <c r="AI32" s="20">
        <v>0</v>
      </c>
      <c r="AJ32" s="21">
        <v>0</v>
      </c>
      <c r="AK32" s="139" t="str">
        <f t="shared" si="11"/>
        <v>-</v>
      </c>
      <c r="AL32" s="20">
        <v>0</v>
      </c>
      <c r="AM32" s="21">
        <v>0</v>
      </c>
      <c r="AN32" s="139" t="str">
        <f t="shared" si="12"/>
        <v>-</v>
      </c>
      <c r="AO32" s="20">
        <v>0</v>
      </c>
      <c r="AP32" s="21">
        <v>0</v>
      </c>
      <c r="AQ32" s="139" t="str">
        <f t="shared" si="13"/>
        <v>-</v>
      </c>
      <c r="AR32" s="20">
        <v>0</v>
      </c>
      <c r="AS32" s="21">
        <v>0</v>
      </c>
      <c r="AT32" s="139" t="str">
        <f t="shared" si="14"/>
        <v>-</v>
      </c>
      <c r="AU32" s="20">
        <v>0</v>
      </c>
      <c r="AV32" s="21">
        <v>0</v>
      </c>
      <c r="AW32" s="139" t="str">
        <f t="shared" si="15"/>
        <v>-</v>
      </c>
      <c r="AX32" s="125">
        <v>0</v>
      </c>
      <c r="AY32" s="126">
        <v>0</v>
      </c>
      <c r="AZ32" s="139" t="str">
        <f t="shared" si="16"/>
        <v>-</v>
      </c>
      <c r="BA32" s="20">
        <v>0</v>
      </c>
      <c r="BB32" s="21">
        <v>0</v>
      </c>
      <c r="BC32" s="139" t="str">
        <f t="shared" si="17"/>
        <v>-</v>
      </c>
      <c r="BD32" s="125">
        <v>0</v>
      </c>
      <c r="BE32" s="126">
        <v>0</v>
      </c>
      <c r="BF32" s="139" t="str">
        <f t="shared" si="18"/>
        <v>-</v>
      </c>
      <c r="BG32" s="20">
        <v>0</v>
      </c>
      <c r="BH32" s="21">
        <v>0</v>
      </c>
      <c r="BI32" s="139" t="str">
        <f t="shared" si="19"/>
        <v>-</v>
      </c>
      <c r="BJ32" s="125">
        <v>0</v>
      </c>
      <c r="BK32" s="126">
        <v>0</v>
      </c>
      <c r="BL32" s="139" t="str">
        <f t="shared" si="20"/>
        <v>-</v>
      </c>
      <c r="BM32" s="318">
        <v>0</v>
      </c>
      <c r="BN32" s="253">
        <v>0</v>
      </c>
      <c r="BO32" s="276" t="str">
        <f t="shared" si="21"/>
        <v>-</v>
      </c>
      <c r="BP32" s="252">
        <v>0</v>
      </c>
      <c r="BQ32" s="253">
        <v>0</v>
      </c>
      <c r="BR32" s="276" t="str">
        <f t="shared" si="22"/>
        <v>-</v>
      </c>
      <c r="BS32" s="302">
        <v>0</v>
      </c>
      <c r="BT32" s="303">
        <v>0</v>
      </c>
      <c r="BU32" s="276" t="str">
        <f t="shared" si="23"/>
        <v>-</v>
      </c>
      <c r="BV32" s="257">
        <v>0</v>
      </c>
      <c r="BW32" s="253">
        <v>0</v>
      </c>
      <c r="BX32" s="276" t="str">
        <f>IF(BW32=0,"-",BV32/BW32)</f>
        <v>-</v>
      </c>
      <c r="BY32" s="117">
        <f t="shared" si="27"/>
        <v>0</v>
      </c>
      <c r="BZ32" s="117">
        <f t="shared" si="25"/>
        <v>0</v>
      </c>
      <c r="CA32" s="147" t="str">
        <f t="shared" si="26"/>
        <v/>
      </c>
    </row>
    <row r="33" spans="1:79" ht="15" thickBot="1" x14ac:dyDescent="0.35">
      <c r="A33" s="294">
        <v>46020</v>
      </c>
      <c r="B33" s="20">
        <v>0</v>
      </c>
      <c r="C33" s="21">
        <v>0</v>
      </c>
      <c r="D33" s="139" t="str">
        <f t="shared" si="0"/>
        <v>-</v>
      </c>
      <c r="E33" s="20">
        <v>0</v>
      </c>
      <c r="F33" s="21">
        <v>0</v>
      </c>
      <c r="G33" s="139" t="str">
        <f t="shared" si="1"/>
        <v>-</v>
      </c>
      <c r="H33" s="20">
        <v>0</v>
      </c>
      <c r="I33" s="21">
        <v>0</v>
      </c>
      <c r="J33" s="139" t="str">
        <f t="shared" si="2"/>
        <v>-</v>
      </c>
      <c r="K33" s="20">
        <v>0</v>
      </c>
      <c r="L33" s="21">
        <v>0</v>
      </c>
      <c r="M33" s="139" t="str">
        <f t="shared" si="3"/>
        <v>-</v>
      </c>
      <c r="N33" s="20">
        <v>0</v>
      </c>
      <c r="O33" s="21">
        <v>0</v>
      </c>
      <c r="P33" s="139" t="str">
        <f t="shared" si="4"/>
        <v>-</v>
      </c>
      <c r="Q33" s="20">
        <v>0</v>
      </c>
      <c r="R33" s="21">
        <v>0</v>
      </c>
      <c r="S33" s="139" t="str">
        <f t="shared" si="5"/>
        <v>-</v>
      </c>
      <c r="T33" s="20">
        <v>0</v>
      </c>
      <c r="U33" s="21">
        <v>0</v>
      </c>
      <c r="V33" s="139" t="str">
        <f t="shared" si="6"/>
        <v>-</v>
      </c>
      <c r="W33" s="20">
        <v>0</v>
      </c>
      <c r="X33" s="21">
        <v>0</v>
      </c>
      <c r="Y33" s="139" t="str">
        <f t="shared" si="7"/>
        <v>-</v>
      </c>
      <c r="Z33" s="125">
        <v>0</v>
      </c>
      <c r="AA33" s="126">
        <v>0</v>
      </c>
      <c r="AB33" s="139" t="str">
        <f t="shared" si="8"/>
        <v>-</v>
      </c>
      <c r="AC33" s="20">
        <v>0</v>
      </c>
      <c r="AD33" s="21">
        <v>0</v>
      </c>
      <c r="AE33" s="139" t="str">
        <f t="shared" si="9"/>
        <v>-</v>
      </c>
      <c r="AF33" s="20">
        <v>0</v>
      </c>
      <c r="AG33" s="21">
        <v>0</v>
      </c>
      <c r="AH33" s="139" t="str">
        <f t="shared" si="10"/>
        <v>-</v>
      </c>
      <c r="AI33" s="20">
        <v>0</v>
      </c>
      <c r="AJ33" s="21">
        <v>0</v>
      </c>
      <c r="AK33" s="139" t="str">
        <f t="shared" si="11"/>
        <v>-</v>
      </c>
      <c r="AL33" s="20">
        <v>0</v>
      </c>
      <c r="AM33" s="21">
        <v>0</v>
      </c>
      <c r="AN33" s="139" t="str">
        <f t="shared" si="12"/>
        <v>-</v>
      </c>
      <c r="AO33" s="20">
        <v>0</v>
      </c>
      <c r="AP33" s="21">
        <v>0</v>
      </c>
      <c r="AQ33" s="139" t="str">
        <f t="shared" si="13"/>
        <v>-</v>
      </c>
      <c r="AR33" s="20">
        <v>0</v>
      </c>
      <c r="AS33" s="21">
        <v>0</v>
      </c>
      <c r="AT33" s="139" t="str">
        <f t="shared" si="14"/>
        <v>-</v>
      </c>
      <c r="AU33" s="20">
        <v>0</v>
      </c>
      <c r="AV33" s="21">
        <v>0</v>
      </c>
      <c r="AW33" s="139" t="str">
        <f t="shared" si="15"/>
        <v>-</v>
      </c>
      <c r="AX33" s="125">
        <v>0</v>
      </c>
      <c r="AY33" s="126">
        <v>0</v>
      </c>
      <c r="AZ33" s="139" t="str">
        <f t="shared" si="16"/>
        <v>-</v>
      </c>
      <c r="BA33" s="20">
        <v>0</v>
      </c>
      <c r="BB33" s="21">
        <v>0</v>
      </c>
      <c r="BC33" s="139" t="str">
        <f t="shared" si="17"/>
        <v>-</v>
      </c>
      <c r="BD33" s="125">
        <v>0</v>
      </c>
      <c r="BE33" s="126">
        <v>0</v>
      </c>
      <c r="BF33" s="139" t="str">
        <f t="shared" si="18"/>
        <v>-</v>
      </c>
      <c r="BG33" s="20">
        <v>0</v>
      </c>
      <c r="BH33" s="21">
        <v>0</v>
      </c>
      <c r="BI33" s="139" t="str">
        <f t="shared" si="19"/>
        <v>-</v>
      </c>
      <c r="BJ33" s="125">
        <v>0</v>
      </c>
      <c r="BK33" s="126">
        <v>0</v>
      </c>
      <c r="BL33" s="139" t="str">
        <f t="shared" si="20"/>
        <v>-</v>
      </c>
      <c r="BM33" s="252">
        <v>0</v>
      </c>
      <c r="BN33" s="253">
        <v>0</v>
      </c>
      <c r="BO33" s="276" t="str">
        <f t="shared" si="21"/>
        <v>-</v>
      </c>
      <c r="BP33" s="252">
        <v>0</v>
      </c>
      <c r="BQ33" s="253">
        <v>0</v>
      </c>
      <c r="BR33" s="276" t="str">
        <f t="shared" si="22"/>
        <v>-</v>
      </c>
      <c r="BS33" s="252">
        <v>0</v>
      </c>
      <c r="BT33" s="253">
        <v>0</v>
      </c>
      <c r="BU33" s="276" t="str">
        <f t="shared" si="23"/>
        <v>-</v>
      </c>
      <c r="BV33" s="257">
        <v>0</v>
      </c>
      <c r="BW33" s="253">
        <v>0</v>
      </c>
      <c r="BX33" s="276" t="str">
        <f t="shared" si="24"/>
        <v>-</v>
      </c>
      <c r="BY33" s="117">
        <f t="shared" si="27"/>
        <v>0</v>
      </c>
      <c r="BZ33" s="117">
        <f t="shared" si="25"/>
        <v>0</v>
      </c>
      <c r="CA33" s="147" t="str">
        <f t="shared" si="26"/>
        <v/>
      </c>
    </row>
    <row r="34" spans="1:79" ht="15" thickBot="1" x14ac:dyDescent="0.35">
      <c r="A34" s="294">
        <v>46021</v>
      </c>
      <c r="B34" s="20">
        <v>0</v>
      </c>
      <c r="C34" s="21">
        <v>0</v>
      </c>
      <c r="D34" s="139" t="str">
        <f t="shared" ref="D34" si="34">IF(C34=0,"-",B34/C34)</f>
        <v>-</v>
      </c>
      <c r="E34" s="20">
        <v>0</v>
      </c>
      <c r="F34" s="21">
        <v>0</v>
      </c>
      <c r="G34" s="139" t="str">
        <f t="shared" ref="G34" si="35">IF(F34=0,"-",E34/F34)</f>
        <v>-</v>
      </c>
      <c r="H34" s="20">
        <v>0</v>
      </c>
      <c r="I34" s="21">
        <v>0</v>
      </c>
      <c r="J34" s="139" t="str">
        <f t="shared" ref="J34" si="36">IF(I34=0,"-",H34/I34)</f>
        <v>-</v>
      </c>
      <c r="K34" s="20">
        <v>0</v>
      </c>
      <c r="L34" s="21">
        <v>0</v>
      </c>
      <c r="M34" s="139" t="str">
        <f t="shared" ref="M34" si="37">IF(L34=0,"-",K34/L34)</f>
        <v>-</v>
      </c>
      <c r="N34" s="20">
        <v>0</v>
      </c>
      <c r="O34" s="21">
        <v>0</v>
      </c>
      <c r="P34" s="139" t="str">
        <f t="shared" ref="P34" si="38">IF(O34=0,"-",N34/O34)</f>
        <v>-</v>
      </c>
      <c r="Q34" s="20">
        <v>0</v>
      </c>
      <c r="R34" s="21">
        <v>0</v>
      </c>
      <c r="S34" s="139" t="str">
        <f t="shared" ref="S34" si="39">IF(R34=0,"-",Q34/R34)</f>
        <v>-</v>
      </c>
      <c r="T34" s="20">
        <v>0</v>
      </c>
      <c r="U34" s="21">
        <v>0</v>
      </c>
      <c r="V34" s="139" t="str">
        <f t="shared" ref="V34" si="40">IF(U34=0,"-",T34/U34)</f>
        <v>-</v>
      </c>
      <c r="W34" s="20">
        <v>0</v>
      </c>
      <c r="X34" s="21">
        <v>0</v>
      </c>
      <c r="Y34" s="139" t="str">
        <f t="shared" ref="Y34" si="41">IF(X34=0,"-",W34/X34)</f>
        <v>-</v>
      </c>
      <c r="Z34" s="125">
        <v>0</v>
      </c>
      <c r="AA34" s="126">
        <v>0</v>
      </c>
      <c r="AB34" s="139" t="str">
        <f t="shared" ref="AB34" si="42">IF(AA34=0,"-",Z34/AA34)</f>
        <v>-</v>
      </c>
      <c r="AC34" s="20">
        <v>0</v>
      </c>
      <c r="AD34" s="21">
        <v>0</v>
      </c>
      <c r="AE34" s="139" t="str">
        <f t="shared" ref="AE34" si="43">IF(AD34=0,"-",AC34/AD34)</f>
        <v>-</v>
      </c>
      <c r="AF34" s="20">
        <v>0</v>
      </c>
      <c r="AG34" s="21">
        <v>0</v>
      </c>
      <c r="AH34" s="139" t="str">
        <f t="shared" ref="AH34" si="44">IF(AG34=0,"-",AF34/AG34)</f>
        <v>-</v>
      </c>
      <c r="AI34" s="20">
        <v>0</v>
      </c>
      <c r="AJ34" s="21">
        <v>0</v>
      </c>
      <c r="AK34" s="139" t="str">
        <f t="shared" ref="AK34" si="45">IF(AJ34=0,"-",AI34/AJ34)</f>
        <v>-</v>
      </c>
      <c r="AL34" s="20">
        <v>0</v>
      </c>
      <c r="AM34" s="21">
        <v>0</v>
      </c>
      <c r="AN34" s="139" t="str">
        <f t="shared" ref="AN34" si="46">IF(AM34=0,"-",AL34/AM34)</f>
        <v>-</v>
      </c>
      <c r="AO34" s="20">
        <v>0</v>
      </c>
      <c r="AP34" s="21">
        <v>0</v>
      </c>
      <c r="AQ34" s="139" t="str">
        <f t="shared" ref="AQ34" si="47">IF(AP34=0,"-",AO34/AP34)</f>
        <v>-</v>
      </c>
      <c r="AR34" s="20">
        <v>0</v>
      </c>
      <c r="AS34" s="21">
        <v>0</v>
      </c>
      <c r="AT34" s="139" t="str">
        <f t="shared" ref="AT34" si="48">IF(AS34=0,"-",AR34/AS34)</f>
        <v>-</v>
      </c>
      <c r="AU34" s="20">
        <v>0</v>
      </c>
      <c r="AV34" s="21">
        <v>0</v>
      </c>
      <c r="AW34" s="139" t="str">
        <f t="shared" ref="AW34" si="49">IF(AV34=0,"-",AU34/AV34)</f>
        <v>-</v>
      </c>
      <c r="AX34" s="125">
        <v>0</v>
      </c>
      <c r="AY34" s="126">
        <v>0</v>
      </c>
      <c r="AZ34" s="139" t="str">
        <f t="shared" ref="AZ34" si="50">IF(AY34=0,"-",AX34/AY34)</f>
        <v>-</v>
      </c>
      <c r="BA34" s="20">
        <v>0</v>
      </c>
      <c r="BB34" s="21">
        <v>0</v>
      </c>
      <c r="BC34" s="139" t="str">
        <f t="shared" ref="BC34" si="51">IF(BB34=0,"-",BA34/BB34)</f>
        <v>-</v>
      </c>
      <c r="BD34" s="125">
        <v>0</v>
      </c>
      <c r="BE34" s="126">
        <v>0</v>
      </c>
      <c r="BF34" s="139" t="str">
        <f t="shared" ref="BF34" si="52">IF(BE34=0,"-",BD34/BE34)</f>
        <v>-</v>
      </c>
      <c r="BG34" s="20">
        <v>0</v>
      </c>
      <c r="BH34" s="21">
        <v>0</v>
      </c>
      <c r="BI34" s="139" t="str">
        <f t="shared" ref="BI34" si="53">IF(BH34=0,"-",BG34/BH34)</f>
        <v>-</v>
      </c>
      <c r="BJ34" s="125">
        <v>0</v>
      </c>
      <c r="BK34" s="126">
        <v>0</v>
      </c>
      <c r="BL34" s="139" t="str">
        <f t="shared" ref="BL34" si="54">IF(BK34=0,"-",BJ34/BK34)</f>
        <v>-</v>
      </c>
      <c r="BM34" s="252">
        <v>0</v>
      </c>
      <c r="BN34" s="253">
        <v>0</v>
      </c>
      <c r="BO34" s="276" t="str">
        <f t="shared" ref="BO34" si="55">IF(BN34=0,"-",BM34/BN34)</f>
        <v>-</v>
      </c>
      <c r="BP34" s="252">
        <v>0</v>
      </c>
      <c r="BQ34" s="253">
        <v>0</v>
      </c>
      <c r="BR34" s="276" t="str">
        <f t="shared" ref="BR34" si="56">IF(BQ34=0,"-",BP34/BQ34)</f>
        <v>-</v>
      </c>
      <c r="BS34" s="252">
        <v>0</v>
      </c>
      <c r="BT34" s="253">
        <v>0</v>
      </c>
      <c r="BU34" s="276" t="str">
        <f t="shared" ref="BU34" si="57">IF(BT34=0,"-",BS34/BT34)</f>
        <v>-</v>
      </c>
      <c r="BV34" s="257">
        <v>0</v>
      </c>
      <c r="BW34" s="253">
        <v>0</v>
      </c>
      <c r="BX34" s="276" t="str">
        <f t="shared" ref="BX34" si="58">IF(BW34=0,"-",BV34/BW34)</f>
        <v>-</v>
      </c>
      <c r="BY34" s="117">
        <f t="shared" si="27"/>
        <v>0</v>
      </c>
      <c r="BZ34" s="117">
        <f t="shared" ref="BZ34" si="59">SUM(C34,F34,L34,O34,R34,U34,X34,AD34,AG34,AJ34,AM34,AP34,AS34,AV34,BB34,BH34,BN34,BQ34,BT34,BW34)</f>
        <v>0</v>
      </c>
      <c r="CA34" s="147" t="str">
        <f t="shared" ref="CA34" si="60">IF(BZ34=0,"",BY34/BZ34)</f>
        <v/>
      </c>
    </row>
    <row r="35" spans="1:79" ht="15" thickBot="1" x14ac:dyDescent="0.35">
      <c r="A35" s="294">
        <v>46022</v>
      </c>
      <c r="B35" s="20">
        <v>0</v>
      </c>
      <c r="C35" s="21">
        <v>0</v>
      </c>
      <c r="D35" s="139" t="str">
        <f t="shared" si="0"/>
        <v>-</v>
      </c>
      <c r="E35" s="20">
        <v>0</v>
      </c>
      <c r="F35" s="21">
        <v>0</v>
      </c>
      <c r="G35" s="139" t="str">
        <f t="shared" si="1"/>
        <v>-</v>
      </c>
      <c r="H35" s="20">
        <v>0</v>
      </c>
      <c r="I35" s="21">
        <v>0</v>
      </c>
      <c r="J35" s="139" t="str">
        <f t="shared" si="2"/>
        <v>-</v>
      </c>
      <c r="K35" s="20">
        <v>0</v>
      </c>
      <c r="L35" s="21">
        <v>0</v>
      </c>
      <c r="M35" s="139" t="str">
        <f t="shared" si="3"/>
        <v>-</v>
      </c>
      <c r="N35" s="20">
        <v>0</v>
      </c>
      <c r="O35" s="21">
        <v>0</v>
      </c>
      <c r="P35" s="139" t="str">
        <f t="shared" si="4"/>
        <v>-</v>
      </c>
      <c r="Q35" s="20">
        <v>0</v>
      </c>
      <c r="R35" s="21">
        <v>0</v>
      </c>
      <c r="S35" s="139" t="str">
        <f t="shared" si="5"/>
        <v>-</v>
      </c>
      <c r="T35" s="20">
        <v>0</v>
      </c>
      <c r="U35" s="21">
        <v>0</v>
      </c>
      <c r="V35" s="139" t="str">
        <f t="shared" si="6"/>
        <v>-</v>
      </c>
      <c r="W35" s="20">
        <v>0</v>
      </c>
      <c r="X35" s="21">
        <v>0</v>
      </c>
      <c r="Y35" s="139" t="str">
        <f t="shared" si="7"/>
        <v>-</v>
      </c>
      <c r="Z35" s="125">
        <v>0</v>
      </c>
      <c r="AA35" s="126">
        <v>0</v>
      </c>
      <c r="AB35" s="139" t="str">
        <f t="shared" si="8"/>
        <v>-</v>
      </c>
      <c r="AC35" s="20">
        <v>0</v>
      </c>
      <c r="AD35" s="21">
        <v>0</v>
      </c>
      <c r="AE35" s="139" t="str">
        <f t="shared" si="9"/>
        <v>-</v>
      </c>
      <c r="AF35" s="20">
        <v>0</v>
      </c>
      <c r="AG35" s="21">
        <v>0</v>
      </c>
      <c r="AH35" s="139" t="str">
        <f t="shared" si="10"/>
        <v>-</v>
      </c>
      <c r="AI35" s="20">
        <v>0</v>
      </c>
      <c r="AJ35" s="21">
        <v>0</v>
      </c>
      <c r="AK35" s="139" t="str">
        <f t="shared" si="11"/>
        <v>-</v>
      </c>
      <c r="AL35" s="20">
        <v>0</v>
      </c>
      <c r="AM35" s="21">
        <v>0</v>
      </c>
      <c r="AN35" s="139" t="str">
        <f t="shared" si="12"/>
        <v>-</v>
      </c>
      <c r="AO35" s="20">
        <v>0</v>
      </c>
      <c r="AP35" s="21">
        <v>0</v>
      </c>
      <c r="AQ35" s="139" t="str">
        <f t="shared" si="13"/>
        <v>-</v>
      </c>
      <c r="AR35" s="20">
        <v>0</v>
      </c>
      <c r="AS35" s="21">
        <v>0</v>
      </c>
      <c r="AT35" s="139" t="str">
        <f t="shared" si="14"/>
        <v>-</v>
      </c>
      <c r="AU35" s="20">
        <v>0</v>
      </c>
      <c r="AV35" s="21">
        <v>0</v>
      </c>
      <c r="AW35" s="139" t="str">
        <f t="shared" si="15"/>
        <v>-</v>
      </c>
      <c r="AX35" s="125">
        <v>0</v>
      </c>
      <c r="AY35" s="126">
        <v>0</v>
      </c>
      <c r="AZ35" s="139" t="str">
        <f t="shared" si="16"/>
        <v>-</v>
      </c>
      <c r="BA35" s="20">
        <v>0</v>
      </c>
      <c r="BB35" s="21">
        <v>0</v>
      </c>
      <c r="BC35" s="139" t="str">
        <f t="shared" si="17"/>
        <v>-</v>
      </c>
      <c r="BD35" s="125">
        <v>0</v>
      </c>
      <c r="BE35" s="126">
        <v>0</v>
      </c>
      <c r="BF35" s="139" t="str">
        <f t="shared" si="18"/>
        <v>-</v>
      </c>
      <c r="BG35" s="20">
        <v>0</v>
      </c>
      <c r="BH35" s="21">
        <v>0</v>
      </c>
      <c r="BI35" s="139" t="str">
        <f t="shared" si="19"/>
        <v>-</v>
      </c>
      <c r="BJ35" s="125">
        <v>0</v>
      </c>
      <c r="BK35" s="126">
        <v>0</v>
      </c>
      <c r="BL35" s="139" t="str">
        <f t="shared" si="20"/>
        <v>-</v>
      </c>
      <c r="BM35" s="252">
        <v>0</v>
      </c>
      <c r="BN35" s="253">
        <v>0</v>
      </c>
      <c r="BO35" s="276" t="str">
        <f t="shared" si="21"/>
        <v>-</v>
      </c>
      <c r="BP35" s="252">
        <v>0</v>
      </c>
      <c r="BQ35" s="253">
        <v>0</v>
      </c>
      <c r="BR35" s="276" t="str">
        <f t="shared" si="22"/>
        <v>-</v>
      </c>
      <c r="BS35" s="252">
        <v>0</v>
      </c>
      <c r="BT35" s="253">
        <v>0</v>
      </c>
      <c r="BU35" s="276" t="str">
        <f t="shared" si="23"/>
        <v>-</v>
      </c>
      <c r="BV35" s="257">
        <v>0</v>
      </c>
      <c r="BW35" s="253">
        <v>0</v>
      </c>
      <c r="BX35" s="276" t="str">
        <f t="shared" si="24"/>
        <v>-</v>
      </c>
      <c r="BY35" s="117">
        <f t="shared" si="27"/>
        <v>0</v>
      </c>
      <c r="BZ35" s="117">
        <f t="shared" si="25"/>
        <v>0</v>
      </c>
      <c r="CA35" s="147" t="str">
        <f t="shared" si="26"/>
        <v/>
      </c>
    </row>
    <row r="36" spans="1:79" s="41" customFormat="1" ht="15.6" customHeight="1" thickBot="1" x14ac:dyDescent="0.35">
      <c r="A36" s="295" t="s">
        <v>33</v>
      </c>
      <c r="B36" s="43">
        <f>SUM(B5:B35)</f>
        <v>1304</v>
      </c>
      <c r="C36" s="43">
        <f>SUM(C5:C35)</f>
        <v>152</v>
      </c>
      <c r="D36" s="332">
        <f t="shared" si="0"/>
        <v>8.5789473684210531</v>
      </c>
      <c r="E36" s="43">
        <f>SUM(E5:E35)</f>
        <v>55</v>
      </c>
      <c r="F36" s="43">
        <f>SUM(F5:F35)</f>
        <v>7</v>
      </c>
      <c r="G36" s="332">
        <f t="shared" si="1"/>
        <v>7.8571428571428568</v>
      </c>
      <c r="H36" s="43">
        <f>SUM(H5:H35)</f>
        <v>30</v>
      </c>
      <c r="I36" s="43">
        <f t="shared" ref="I36" si="61">SUM(I5:I35)</f>
        <v>9</v>
      </c>
      <c r="J36" s="364">
        <f t="shared" si="2"/>
        <v>3.3333333333333335</v>
      </c>
      <c r="K36" s="43">
        <f>SUM(K5:K35)</f>
        <v>233</v>
      </c>
      <c r="L36" s="43">
        <f>SUM(L5:L35)</f>
        <v>29</v>
      </c>
      <c r="M36" s="334">
        <f t="shared" si="3"/>
        <v>8.0344827586206904</v>
      </c>
      <c r="N36" s="43">
        <f t="shared" ref="N36:R36" si="62">SUM(N5:N35)</f>
        <v>0</v>
      </c>
      <c r="O36" s="43">
        <f t="shared" si="62"/>
        <v>0</v>
      </c>
      <c r="P36" s="43" t="str">
        <f t="shared" si="4"/>
        <v>-</v>
      </c>
      <c r="Q36" s="43">
        <f t="shared" si="62"/>
        <v>102</v>
      </c>
      <c r="R36" s="43">
        <f t="shared" si="62"/>
        <v>17</v>
      </c>
      <c r="S36" s="43">
        <f t="shared" si="5"/>
        <v>6</v>
      </c>
      <c r="T36" s="43">
        <f>SUM(T5:T35)</f>
        <v>646</v>
      </c>
      <c r="U36" s="43">
        <f>SUM(U5:U35)</f>
        <v>115</v>
      </c>
      <c r="V36" s="332">
        <f t="shared" si="6"/>
        <v>5.6173913043478265</v>
      </c>
      <c r="W36" s="43">
        <f>SUM(W5:W35)</f>
        <v>20</v>
      </c>
      <c r="X36" s="43">
        <f>SUM(X5:X35)</f>
        <v>4</v>
      </c>
      <c r="Y36" s="333">
        <f t="shared" si="7"/>
        <v>5</v>
      </c>
      <c r="Z36" s="43">
        <f t="shared" ref="Z36:BL36" si="63">SUM(Z5:Z35)</f>
        <v>0</v>
      </c>
      <c r="AA36" s="43">
        <f t="shared" si="63"/>
        <v>0</v>
      </c>
      <c r="AB36" s="43">
        <f t="shared" si="63"/>
        <v>0</v>
      </c>
      <c r="AC36" s="43">
        <f>SUM(AC5:AC35)</f>
        <v>187</v>
      </c>
      <c r="AD36" s="43">
        <f>SUM(AD5:AD35)</f>
        <v>39</v>
      </c>
      <c r="AE36" s="333">
        <f t="shared" si="9"/>
        <v>4.7948717948717947</v>
      </c>
      <c r="AF36" s="43">
        <f>SUM(AF5:AF35)</f>
        <v>109</v>
      </c>
      <c r="AG36" s="43">
        <f>SUM(AG5:AG35)</f>
        <v>22</v>
      </c>
      <c r="AH36" s="332">
        <f t="shared" si="10"/>
        <v>4.9545454545454541</v>
      </c>
      <c r="AI36" s="43">
        <f>SUM(AI5:AI35)</f>
        <v>522</v>
      </c>
      <c r="AJ36" s="43">
        <f>SUM(AJ5:AJ35)</f>
        <v>105</v>
      </c>
      <c r="AK36" s="332">
        <f t="shared" si="11"/>
        <v>4.9714285714285715</v>
      </c>
      <c r="AL36" s="43">
        <f>SUM(AL5:AL35)</f>
        <v>45</v>
      </c>
      <c r="AM36" s="43">
        <f>SUM(AM5:AM35)</f>
        <v>8</v>
      </c>
      <c r="AN36" s="364">
        <f t="shared" si="12"/>
        <v>5.625</v>
      </c>
      <c r="AO36" s="43">
        <f>SUM(AO5:AO35)</f>
        <v>36</v>
      </c>
      <c r="AP36" s="43">
        <f>SUM(AP5:AP35)</f>
        <v>6</v>
      </c>
      <c r="AQ36" s="43">
        <f t="shared" si="13"/>
        <v>6</v>
      </c>
      <c r="AR36" s="43">
        <f>SUM(AR5:AR35)</f>
        <v>118</v>
      </c>
      <c r="AS36" s="43">
        <f>SUM(AS5:AS35)</f>
        <v>20</v>
      </c>
      <c r="AT36" s="43">
        <f t="shared" si="14"/>
        <v>5.9</v>
      </c>
      <c r="AU36" s="43">
        <f>SUM(AU5:AU35)</f>
        <v>0</v>
      </c>
      <c r="AV36" s="43">
        <f>SUM(AV5:AV35)</f>
        <v>0</v>
      </c>
      <c r="AW36" s="43" t="str">
        <f t="shared" si="15"/>
        <v>-</v>
      </c>
      <c r="AX36" s="43">
        <f t="shared" si="63"/>
        <v>0</v>
      </c>
      <c r="AY36" s="43">
        <f t="shared" si="63"/>
        <v>0</v>
      </c>
      <c r="AZ36" s="43">
        <f t="shared" si="63"/>
        <v>0</v>
      </c>
      <c r="BA36" s="43">
        <f>SUM(BA5:BA35)</f>
        <v>27</v>
      </c>
      <c r="BB36" s="43">
        <f>SUM(BB5:BB35)</f>
        <v>14</v>
      </c>
      <c r="BC36" s="364">
        <f t="shared" si="17"/>
        <v>1.9285714285714286</v>
      </c>
      <c r="BD36" s="43">
        <f t="shared" si="63"/>
        <v>0</v>
      </c>
      <c r="BE36" s="43">
        <f t="shared" si="63"/>
        <v>0</v>
      </c>
      <c r="BF36" s="332">
        <f t="shared" si="63"/>
        <v>0</v>
      </c>
      <c r="BG36" s="43">
        <f>SUM(BG5:BG35)</f>
        <v>154</v>
      </c>
      <c r="BH36" s="43">
        <f>SUM(BH5:BH35)</f>
        <v>30</v>
      </c>
      <c r="BI36" s="364">
        <f t="shared" si="19"/>
        <v>5.1333333333333337</v>
      </c>
      <c r="BJ36" s="43">
        <f t="shared" si="63"/>
        <v>0</v>
      </c>
      <c r="BK36" s="43">
        <f t="shared" si="63"/>
        <v>0</v>
      </c>
      <c r="BL36" s="43">
        <f t="shared" si="63"/>
        <v>0</v>
      </c>
      <c r="BM36" s="43">
        <f>SUM(BM5:BM35)</f>
        <v>525</v>
      </c>
      <c r="BN36" s="43">
        <f>SUM(BN5:BN35)</f>
        <v>83</v>
      </c>
      <c r="BO36" s="332">
        <f t="shared" si="21"/>
        <v>6.3253012048192767</v>
      </c>
      <c r="BP36" s="43">
        <f>SUM(BP5:BP35)</f>
        <v>21</v>
      </c>
      <c r="BQ36" s="43">
        <f>SUM(BQ5:BQ35)</f>
        <v>3</v>
      </c>
      <c r="BR36" s="43">
        <f t="shared" si="22"/>
        <v>7</v>
      </c>
      <c r="BS36" s="43">
        <f>SUM(BS5:BS35)</f>
        <v>92</v>
      </c>
      <c r="BT36" s="43">
        <f>SUM(BT5:BT35)</f>
        <v>12</v>
      </c>
      <c r="BU36" s="43">
        <f t="shared" si="23"/>
        <v>7.666666666666667</v>
      </c>
      <c r="BV36" s="43">
        <f>SUM(BV5:BV35)</f>
        <v>52</v>
      </c>
      <c r="BW36" s="43">
        <f>SUM(BW5:BW35)</f>
        <v>8</v>
      </c>
      <c r="BX36" s="43">
        <f t="shared" si="24"/>
        <v>6.5</v>
      </c>
      <c r="BY36" s="353">
        <f>SUM(BY5:BY35)</f>
        <v>4289</v>
      </c>
      <c r="BZ36" s="353">
        <f>SUM(BZ5:BZ35)</f>
        <v>672</v>
      </c>
      <c r="CA36" s="144">
        <f>IF(BZ36=0,"",BY36/BZ36)</f>
        <v>6.3824404761904763</v>
      </c>
    </row>
    <row r="37" spans="1:79" x14ac:dyDescent="0.3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</row>
    <row r="38" spans="1:79" x14ac:dyDescent="0.3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</row>
    <row r="39" spans="1:79" x14ac:dyDescent="0.3">
      <c r="A39" s="294"/>
    </row>
    <row r="40" spans="1:79" x14ac:dyDescent="0.3">
      <c r="A40" s="294"/>
    </row>
    <row r="41" spans="1:79" x14ac:dyDescent="0.3">
      <c r="A41" s="294"/>
    </row>
    <row r="42" spans="1:79" x14ac:dyDescent="0.3">
      <c r="A42" s="294"/>
    </row>
    <row r="43" spans="1:79" x14ac:dyDescent="0.3">
      <c r="A43" s="294"/>
    </row>
    <row r="44" spans="1:79" x14ac:dyDescent="0.3">
      <c r="A44" s="294"/>
    </row>
    <row r="45" spans="1:79" x14ac:dyDescent="0.3">
      <c r="A45" s="294"/>
    </row>
    <row r="46" spans="1:79" x14ac:dyDescent="0.3">
      <c r="A46" s="294"/>
    </row>
    <row r="47" spans="1:79" x14ac:dyDescent="0.3">
      <c r="A47" s="294"/>
    </row>
    <row r="48" spans="1:79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8E70-780C-43AF-AECC-32B1461AA0E5}">
  <sheetPr>
    <tabColor rgb="FFFF0000"/>
  </sheetPr>
  <dimension ref="A1:CL57"/>
  <sheetViews>
    <sheetView workbookViewId="0">
      <selection activeCell="M18" sqref="M18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  <col min="10" max="10" width="19.109375" customWidth="1"/>
    <col min="11" max="11" width="7.44140625" bestFit="1" customWidth="1"/>
    <col min="13" max="13" width="23.6640625" customWidth="1"/>
    <col min="14" max="14" width="7.88671875" bestFit="1" customWidth="1"/>
    <col min="15" max="15" width="9.5546875" bestFit="1" customWidth="1"/>
  </cols>
  <sheetData>
    <row r="1" spans="1:90" ht="18" x14ac:dyDescent="0.35">
      <c r="A1" s="67" t="s">
        <v>127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G3" s="90" t="s">
        <v>42</v>
      </c>
      <c r="H3" s="91" t="s">
        <v>43</v>
      </c>
      <c r="J3" s="90" t="s">
        <v>42</v>
      </c>
      <c r="K3" s="91" t="s">
        <v>43</v>
      </c>
      <c r="L3" s="68"/>
      <c r="M3" s="90" t="s">
        <v>42</v>
      </c>
      <c r="N3" s="91" t="s">
        <v>43</v>
      </c>
    </row>
    <row r="4" spans="1:90" x14ac:dyDescent="0.3">
      <c r="A4" s="92" t="s">
        <v>8</v>
      </c>
      <c r="B4" s="93">
        <f>'December 2025'!B36</f>
        <v>1304</v>
      </c>
      <c r="C4" s="68"/>
      <c r="D4" s="80" t="s">
        <v>67</v>
      </c>
      <c r="E4" s="360">
        <f>'December 2025'!Q36</f>
        <v>102</v>
      </c>
      <c r="G4" s="308" t="s">
        <v>14</v>
      </c>
      <c r="H4" s="309">
        <f>'December 2025'!AU36</f>
        <v>0</v>
      </c>
      <c r="J4" s="95" t="s">
        <v>123</v>
      </c>
      <c r="K4" s="93">
        <f>'December 2025'!BM36</f>
        <v>525</v>
      </c>
      <c r="L4" s="68"/>
      <c r="M4" s="87" t="s">
        <v>128</v>
      </c>
      <c r="N4" s="81">
        <f>'December 2025'!H36</f>
        <v>30</v>
      </c>
    </row>
    <row r="5" spans="1:90" x14ac:dyDescent="0.3">
      <c r="A5" s="80"/>
      <c r="B5" s="151">
        <f>'December 2025'!C36</f>
        <v>152</v>
      </c>
      <c r="C5" s="68"/>
      <c r="D5" s="80"/>
      <c r="E5" s="358">
        <f>'December 2025'!R36</f>
        <v>17</v>
      </c>
      <c r="G5" s="83"/>
      <c r="H5" s="81">
        <f>'December 2025'!AV36</f>
        <v>0</v>
      </c>
      <c r="J5" s="85"/>
      <c r="K5" s="81">
        <f>'December 2025'!BN36</f>
        <v>83</v>
      </c>
      <c r="L5" s="68"/>
      <c r="M5" s="87"/>
      <c r="N5" s="81">
        <f>'December 2025'!I36</f>
        <v>9</v>
      </c>
    </row>
    <row r="6" spans="1:90" x14ac:dyDescent="0.3">
      <c r="A6" s="82"/>
      <c r="B6" s="349">
        <f>B4/B5</f>
        <v>8.5789473684210531</v>
      </c>
      <c r="C6" s="68"/>
      <c r="D6" s="80"/>
      <c r="E6" s="359">
        <f>E4/E5</f>
        <v>6</v>
      </c>
      <c r="G6" s="84"/>
      <c r="H6" s="359" t="e">
        <f>H4/H5</f>
        <v>#DIV/0!</v>
      </c>
      <c r="J6" s="86"/>
      <c r="K6" s="258">
        <f>K4/K5</f>
        <v>6.3253012048192767</v>
      </c>
      <c r="L6" s="68"/>
      <c r="M6" s="88"/>
      <c r="N6" s="258">
        <f>N4/N5</f>
        <v>3.3333333333333335</v>
      </c>
    </row>
    <row r="7" spans="1:90" x14ac:dyDescent="0.3">
      <c r="A7" s="80" t="s">
        <v>121</v>
      </c>
      <c r="B7" s="81">
        <f>'December 2025'!E36</f>
        <v>55</v>
      </c>
      <c r="C7" s="68"/>
      <c r="D7" s="80" t="s">
        <v>11</v>
      </c>
      <c r="E7" s="81">
        <f>'December 2025'!T36</f>
        <v>646</v>
      </c>
      <c r="G7" s="83" t="s">
        <v>15</v>
      </c>
      <c r="H7" s="81">
        <f>'December 2025'!AX36</f>
        <v>0</v>
      </c>
      <c r="J7" s="85" t="s">
        <v>20</v>
      </c>
      <c r="K7" s="81">
        <f>'December 2025'!BP36</f>
        <v>21</v>
      </c>
      <c r="L7" s="68"/>
      <c r="M7" s="87" t="s">
        <v>38</v>
      </c>
      <c r="N7" s="151"/>
    </row>
    <row r="8" spans="1:90" x14ac:dyDescent="0.3">
      <c r="A8" s="80"/>
      <c r="B8" s="81">
        <f>'December 2025'!F36</f>
        <v>7</v>
      </c>
      <c r="C8" s="68"/>
      <c r="D8" s="80"/>
      <c r="E8" s="81">
        <f>'December 2025'!U36</f>
        <v>115</v>
      </c>
      <c r="G8" s="83"/>
      <c r="H8" s="81">
        <f>'December 2025'!AY36</f>
        <v>0</v>
      </c>
      <c r="J8" s="85"/>
      <c r="K8" s="81">
        <f>'December 2025'!BQ36</f>
        <v>3</v>
      </c>
      <c r="L8" s="68"/>
      <c r="M8" s="87"/>
      <c r="N8" s="151"/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58">
        <f>B7/B8</f>
        <v>7.8571428571428568</v>
      </c>
      <c r="C9" s="68"/>
      <c r="D9" s="80"/>
      <c r="E9" s="258">
        <f>E7/E8</f>
        <v>5.6173913043478265</v>
      </c>
      <c r="G9" s="84"/>
      <c r="H9" s="359" t="e">
        <f>H7/H8</f>
        <v>#DIV/0!</v>
      </c>
      <c r="J9" s="86"/>
      <c r="K9" s="258">
        <f>K7/K8</f>
        <v>7</v>
      </c>
      <c r="L9" s="68"/>
      <c r="M9" s="88"/>
      <c r="N9" s="258" t="e">
        <f>N7/N8</f>
        <v>#DIV/0!</v>
      </c>
    </row>
    <row r="10" spans="1:90" x14ac:dyDescent="0.3">
      <c r="A10" s="80" t="s">
        <v>122</v>
      </c>
      <c r="B10" s="81">
        <f>'December 2025'!K36</f>
        <v>233</v>
      </c>
      <c r="C10" s="68"/>
      <c r="D10" s="80" t="s">
        <v>44</v>
      </c>
      <c r="E10" s="81">
        <f>'December 2025'!W36</f>
        <v>20</v>
      </c>
      <c r="G10" s="83" t="s">
        <v>16</v>
      </c>
      <c r="H10" s="81">
        <f>'December 2025'!BA36</f>
        <v>27</v>
      </c>
      <c r="J10" s="85" t="s">
        <v>21</v>
      </c>
      <c r="K10" s="81">
        <f>'December 2025'!BS36</f>
        <v>92</v>
      </c>
      <c r="L10" s="68"/>
      <c r="M10" s="87" t="s">
        <v>113</v>
      </c>
      <c r="N10" s="151"/>
    </row>
    <row r="11" spans="1:90" x14ac:dyDescent="0.3">
      <c r="A11" s="80"/>
      <c r="B11" s="81">
        <f>'December 2025'!L36</f>
        <v>29</v>
      </c>
      <c r="C11" s="68"/>
      <c r="D11" s="80"/>
      <c r="E11" s="81">
        <f>'December 2025'!X36</f>
        <v>4</v>
      </c>
      <c r="G11" s="83"/>
      <c r="H11" s="81">
        <f>'December 2025'!BB36</f>
        <v>14</v>
      </c>
      <c r="J11" s="85"/>
      <c r="K11" s="81">
        <f>'December 2025'!BT36</f>
        <v>12</v>
      </c>
      <c r="L11" s="68"/>
      <c r="M11" s="87"/>
      <c r="N11" s="81"/>
    </row>
    <row r="12" spans="1:90" x14ac:dyDescent="0.3">
      <c r="A12" s="82"/>
      <c r="B12" s="258">
        <f>B10/B11</f>
        <v>8.0344827586206904</v>
      </c>
      <c r="C12" s="68"/>
      <c r="D12" s="80"/>
      <c r="E12" s="258">
        <f>E10/E11</f>
        <v>5</v>
      </c>
      <c r="G12" s="84"/>
      <c r="H12" s="359">
        <f>H10/H11</f>
        <v>1.9285714285714286</v>
      </c>
      <c r="J12" s="86"/>
      <c r="K12" s="258">
        <f>K10/K11</f>
        <v>7.666666666666667</v>
      </c>
      <c r="L12" s="68"/>
      <c r="M12" s="88"/>
      <c r="N12" s="258" t="e">
        <f>N10/N11</f>
        <v>#DIV/0!</v>
      </c>
    </row>
    <row r="13" spans="1:90" x14ac:dyDescent="0.3">
      <c r="A13" s="80" t="s">
        <v>114</v>
      </c>
      <c r="B13" s="81">
        <f>'December 2025'!N36</f>
        <v>0</v>
      </c>
      <c r="C13" s="68"/>
      <c r="D13" s="80" t="s">
        <v>115</v>
      </c>
      <c r="E13" s="311">
        <f>'December 2025'!AC36</f>
        <v>187</v>
      </c>
      <c r="G13" s="83" t="s">
        <v>59</v>
      </c>
      <c r="H13" s="81">
        <f>'December 2025'!BG36</f>
        <v>154</v>
      </c>
      <c r="J13" s="85" t="s">
        <v>22</v>
      </c>
      <c r="K13" s="81">
        <f>'December 2025'!BV36</f>
        <v>52</v>
      </c>
      <c r="L13" s="68"/>
      <c r="M13" s="96" t="s">
        <v>28</v>
      </c>
      <c r="N13" s="97">
        <f>'December 2025'!BY36</f>
        <v>4289</v>
      </c>
    </row>
    <row r="14" spans="1:90" x14ac:dyDescent="0.3">
      <c r="A14" s="80"/>
      <c r="B14" s="81">
        <f>'December 2025'!O35</f>
        <v>0</v>
      </c>
      <c r="C14" s="68"/>
      <c r="D14" s="80"/>
      <c r="E14" s="361">
        <f>'December 2025'!AD36</f>
        <v>39</v>
      </c>
      <c r="G14" s="83"/>
      <c r="H14" s="81">
        <f>'December 2025'!BH36</f>
        <v>30</v>
      </c>
      <c r="J14" s="85"/>
      <c r="K14" s="81">
        <f>'December 2025'!BW36</f>
        <v>8</v>
      </c>
      <c r="L14" s="68"/>
      <c r="M14" s="96"/>
      <c r="N14" s="97">
        <f>'December 2025'!BZ36</f>
        <v>672</v>
      </c>
    </row>
    <row r="15" spans="1:90" ht="15" thickBot="1" x14ac:dyDescent="0.35">
      <c r="A15" s="363"/>
      <c r="B15" s="260" t="e">
        <f>B13/B14</f>
        <v>#DIV/0!</v>
      </c>
      <c r="C15" s="68"/>
      <c r="D15" s="80"/>
      <c r="E15" s="359">
        <f>E13/E14</f>
        <v>4.7948717948717947</v>
      </c>
      <c r="G15" s="84"/>
      <c r="H15" s="359">
        <f>H13/H14</f>
        <v>5.1333333333333337</v>
      </c>
      <c r="J15" s="85"/>
      <c r="K15" s="258">
        <f>K13/K14</f>
        <v>6.5</v>
      </c>
      <c r="L15" s="68"/>
      <c r="M15" s="98"/>
      <c r="N15" s="99">
        <f>N13/N14</f>
        <v>6.3824404761904763</v>
      </c>
    </row>
    <row r="16" spans="1:90" x14ac:dyDescent="0.3">
      <c r="C16" s="68"/>
      <c r="D16" s="80" t="s">
        <v>116</v>
      </c>
      <c r="E16" s="311">
        <f>'December 2025'!AF36</f>
        <v>109</v>
      </c>
      <c r="G16" s="83" t="s">
        <v>17</v>
      </c>
      <c r="H16" s="81">
        <f>'December 2025'!BJ36</f>
        <v>0</v>
      </c>
      <c r="J16" s="85"/>
      <c r="K16" s="26"/>
      <c r="L16" s="68"/>
    </row>
    <row r="17" spans="3:15" x14ac:dyDescent="0.3">
      <c r="C17" s="68"/>
      <c r="D17" s="80"/>
      <c r="E17" s="361">
        <f>'December 2025'!AG36</f>
        <v>22</v>
      </c>
      <c r="G17" s="83"/>
      <c r="H17" s="81">
        <f>'December 2025'!BK36</f>
        <v>0</v>
      </c>
      <c r="J17" s="85"/>
      <c r="K17" s="81"/>
      <c r="L17" s="68"/>
    </row>
    <row r="18" spans="3:15" ht="15" thickBot="1" x14ac:dyDescent="0.35">
      <c r="C18" s="68"/>
      <c r="D18" s="80"/>
      <c r="E18" s="359">
        <f>E16/E17</f>
        <v>4.9545454545454541</v>
      </c>
      <c r="G18" s="94"/>
      <c r="H18" s="362" t="e">
        <f>H16/H17</f>
        <v>#DIV/0!</v>
      </c>
      <c r="J18" s="102"/>
      <c r="K18" s="260" t="e">
        <f>K16/K17</f>
        <v>#DIV/0!</v>
      </c>
      <c r="L18" s="68"/>
      <c r="M18" s="78"/>
      <c r="N18" s="78"/>
      <c r="O18" s="370"/>
    </row>
    <row r="19" spans="3:15" x14ac:dyDescent="0.3">
      <c r="C19" s="68"/>
      <c r="D19" s="80" t="s">
        <v>86</v>
      </c>
      <c r="E19" s="81">
        <f>'December 2025'!AI36</f>
        <v>522</v>
      </c>
      <c r="M19" s="369"/>
      <c r="N19" s="78"/>
    </row>
    <row r="20" spans="3:15" x14ac:dyDescent="0.3">
      <c r="C20" s="68"/>
      <c r="D20" s="80"/>
      <c r="E20" s="81">
        <f>'December 2025'!AJ36</f>
        <v>105</v>
      </c>
    </row>
    <row r="21" spans="3:15" x14ac:dyDescent="0.3">
      <c r="C21" s="68"/>
      <c r="D21" s="80"/>
      <c r="E21" s="259">
        <f>E19/E20</f>
        <v>4.9714285714285715</v>
      </c>
    </row>
    <row r="22" spans="3:15" x14ac:dyDescent="0.3">
      <c r="C22" s="68"/>
      <c r="D22" s="80" t="s">
        <v>68</v>
      </c>
      <c r="E22" s="311">
        <f>'December 2025'!AL36</f>
        <v>45</v>
      </c>
    </row>
    <row r="23" spans="3:15" x14ac:dyDescent="0.3">
      <c r="C23" s="68"/>
      <c r="D23" s="80"/>
      <c r="E23" s="361">
        <f>'December 2025'!AM36</f>
        <v>8</v>
      </c>
    </row>
    <row r="24" spans="3:15" x14ac:dyDescent="0.3">
      <c r="C24" s="68"/>
      <c r="D24" s="80"/>
      <c r="E24" s="359">
        <f>E22/E23</f>
        <v>5.625</v>
      </c>
    </row>
    <row r="25" spans="3:15" x14ac:dyDescent="0.3">
      <c r="C25" s="68"/>
      <c r="D25" s="80" t="s">
        <v>91</v>
      </c>
      <c r="E25" s="311">
        <f>'December 2025'!AO36</f>
        <v>36</v>
      </c>
    </row>
    <row r="26" spans="3:15" x14ac:dyDescent="0.3">
      <c r="C26" s="68"/>
      <c r="D26" s="80"/>
      <c r="E26" s="361">
        <f>'December 2025'!AP36</f>
        <v>6</v>
      </c>
    </row>
    <row r="27" spans="3:15" x14ac:dyDescent="0.3">
      <c r="C27" s="68"/>
      <c r="D27" s="80"/>
      <c r="E27" s="359">
        <f>E25/E26</f>
        <v>6</v>
      </c>
    </row>
    <row r="28" spans="3:15" x14ac:dyDescent="0.3">
      <c r="C28" s="68"/>
      <c r="D28" s="80" t="s">
        <v>117</v>
      </c>
      <c r="E28" s="358">
        <f>'December 2025'!AR36</f>
        <v>118</v>
      </c>
    </row>
    <row r="29" spans="3:15" x14ac:dyDescent="0.3">
      <c r="C29" s="68"/>
      <c r="D29" s="80"/>
      <c r="E29" s="358">
        <f>'December 2025'!AS36</f>
        <v>20</v>
      </c>
    </row>
    <row r="30" spans="3:15" ht="15" thickBot="1" x14ac:dyDescent="0.35">
      <c r="C30" s="68"/>
      <c r="D30" s="363"/>
      <c r="E30" s="362">
        <f>E28/E29</f>
        <v>5.9</v>
      </c>
    </row>
    <row r="31" spans="3:15" x14ac:dyDescent="0.3">
      <c r="C31" s="68"/>
      <c r="D31" s="68"/>
      <c r="E31" s="68"/>
    </row>
    <row r="32" spans="3:15" x14ac:dyDescent="0.3">
      <c r="C32" s="68"/>
      <c r="D32" s="68"/>
      <c r="E32" s="68"/>
    </row>
    <row r="33" spans="3:7" x14ac:dyDescent="0.3">
      <c r="C33" s="68"/>
      <c r="D33" s="68"/>
      <c r="E33" s="68"/>
    </row>
    <row r="34" spans="3:7" x14ac:dyDescent="0.3">
      <c r="C34" s="68"/>
      <c r="D34" s="68"/>
      <c r="E34" s="68"/>
    </row>
    <row r="35" spans="3:7" x14ac:dyDescent="0.3">
      <c r="C35" s="68"/>
      <c r="D35" s="68"/>
      <c r="E35" s="68"/>
    </row>
    <row r="36" spans="3:7" x14ac:dyDescent="0.3">
      <c r="C36" s="68"/>
      <c r="D36" s="68"/>
      <c r="E36" s="68"/>
    </row>
    <row r="37" spans="3:7" x14ac:dyDescent="0.3">
      <c r="C37" s="68"/>
      <c r="D37" s="68"/>
      <c r="E37" s="68"/>
    </row>
    <row r="38" spans="3:7" x14ac:dyDescent="0.3">
      <c r="C38" s="68"/>
      <c r="D38" s="68"/>
      <c r="E38" s="68"/>
    </row>
    <row r="39" spans="3:7" x14ac:dyDescent="0.3">
      <c r="C39" s="68"/>
      <c r="D39" s="68"/>
      <c r="E39" s="68"/>
    </row>
    <row r="40" spans="3:7" x14ac:dyDescent="0.3">
      <c r="C40" s="68"/>
      <c r="D40" s="68"/>
      <c r="E40" s="68"/>
    </row>
    <row r="41" spans="3:7" x14ac:dyDescent="0.3">
      <c r="C41" s="68"/>
      <c r="D41" s="68"/>
      <c r="E41" s="68"/>
    </row>
    <row r="42" spans="3:7" x14ac:dyDescent="0.3">
      <c r="C42" s="68"/>
      <c r="D42" s="68"/>
      <c r="E42" s="68"/>
    </row>
    <row r="43" spans="3:7" x14ac:dyDescent="0.3">
      <c r="C43" s="68"/>
      <c r="D43" s="68"/>
      <c r="E43" s="68"/>
    </row>
    <row r="44" spans="3:7" x14ac:dyDescent="0.3">
      <c r="C44" s="68"/>
      <c r="D44" s="68"/>
      <c r="E44" s="68"/>
    </row>
    <row r="45" spans="3:7" x14ac:dyDescent="0.3">
      <c r="C45" s="68"/>
      <c r="D45" s="68"/>
      <c r="E45" s="68"/>
    </row>
    <row r="46" spans="3:7" x14ac:dyDescent="0.3">
      <c r="C46" s="68"/>
      <c r="D46" s="68"/>
      <c r="E46" s="68"/>
      <c r="G46" s="68"/>
    </row>
    <row r="47" spans="3:7" x14ac:dyDescent="0.3">
      <c r="C47" s="68"/>
      <c r="D47" s="68"/>
      <c r="E47" s="68"/>
      <c r="G47" s="68"/>
    </row>
    <row r="48" spans="3:7" x14ac:dyDescent="0.3">
      <c r="C48" s="68"/>
      <c r="D48" s="68"/>
      <c r="E48" s="68"/>
      <c r="G48" s="68"/>
    </row>
    <row r="49" spans="3:7" x14ac:dyDescent="0.3">
      <c r="C49" s="68"/>
      <c r="F49" s="68"/>
      <c r="G49" s="68"/>
    </row>
    <row r="50" spans="3:7" x14ac:dyDescent="0.3">
      <c r="C50" s="68"/>
      <c r="F50" s="68"/>
      <c r="G50" s="68"/>
    </row>
    <row r="51" spans="3:7" x14ac:dyDescent="0.3">
      <c r="C51" s="68"/>
      <c r="F51" s="68"/>
      <c r="G51" s="68"/>
    </row>
    <row r="52" spans="3:7" x14ac:dyDescent="0.3">
      <c r="C52" s="68"/>
      <c r="F52" s="68"/>
      <c r="G52" s="68"/>
    </row>
    <row r="53" spans="3:7" x14ac:dyDescent="0.3">
      <c r="C53" s="68"/>
      <c r="F53" s="68"/>
      <c r="G53" s="68"/>
    </row>
    <row r="54" spans="3:7" x14ac:dyDescent="0.3">
      <c r="C54" s="68"/>
      <c r="F54" s="68"/>
      <c r="G54" s="68"/>
    </row>
    <row r="55" spans="3:7" x14ac:dyDescent="0.3">
      <c r="C55" s="68"/>
      <c r="F55" s="68"/>
      <c r="G55" s="68"/>
    </row>
    <row r="56" spans="3:7" x14ac:dyDescent="0.3">
      <c r="C56" s="68"/>
      <c r="F56" s="68"/>
      <c r="G56" s="68"/>
    </row>
    <row r="57" spans="3:7" x14ac:dyDescent="0.3">
      <c r="C57" s="68"/>
      <c r="F57" s="68"/>
      <c r="G57" s="68"/>
    </row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ED26-49F4-4257-8B99-05A7578C16C3}">
  <dimension ref="A1:CA126"/>
  <sheetViews>
    <sheetView zoomScaleNormal="100" workbookViewId="0">
      <pane xSplit="9" ySplit="11" topLeftCell="BN23" activePane="bottomRight" state="frozen"/>
      <selection pane="topRight" activeCell="J1" sqref="J1"/>
      <selection pane="bottomLeft" activeCell="A12" sqref="A12"/>
      <selection pane="bottomRight" activeCell="A6" sqref="A6:XFD6"/>
    </sheetView>
  </sheetViews>
  <sheetFormatPr defaultRowHeight="14.4" x14ac:dyDescent="0.3"/>
  <cols>
    <col min="1" max="1" width="32.88671875" style="296" customWidth="1"/>
    <col min="2" max="3" width="8.88671875" customWidth="1"/>
    <col min="4" max="6" width="8.88671875" style="2" customWidth="1"/>
    <col min="7" max="7" width="8.77734375" style="2" bestFit="1" customWidth="1"/>
    <col min="8" max="8" width="18.109375" style="2" bestFit="1" customWidth="1"/>
    <col min="9" max="9" width="8.21875" style="2" bestFit="1" customWidth="1"/>
    <col min="10" max="10" width="9.5546875" style="2" bestFit="1" customWidth="1"/>
    <col min="11" max="24" width="8.88671875" style="2" customWidth="1"/>
    <col min="25" max="25" width="9.6640625" style="2" customWidth="1"/>
    <col min="26" max="27" width="8.88671875" style="2" hidden="1" customWidth="1"/>
    <col min="28" max="28" width="9.6640625" style="2" hidden="1" customWidth="1"/>
    <col min="29" max="46" width="9.6640625" style="2" customWidth="1"/>
    <col min="47" max="48" width="8.88671875" customWidth="1"/>
    <col min="49" max="49" width="8.88671875" style="2" customWidth="1"/>
    <col min="50" max="51" width="8.88671875" hidden="1" customWidth="1"/>
    <col min="52" max="52" width="8.88671875" style="2" hidden="1" customWidth="1"/>
    <col min="53" max="54" width="8.88671875" customWidth="1"/>
    <col min="55" max="55" width="8.88671875" style="2" customWidth="1"/>
    <col min="56" max="57" width="8.88671875" hidden="1" customWidth="1"/>
    <col min="58" max="58" width="7.33203125" style="2" hidden="1" customWidth="1"/>
    <col min="59" max="59" width="8.33203125" customWidth="1"/>
    <col min="60" max="60" width="9.6640625" customWidth="1"/>
    <col min="61" max="61" width="9.88671875" style="2" customWidth="1"/>
    <col min="62" max="62" width="25.109375" hidden="1" customWidth="1"/>
    <col min="63" max="63" width="7.33203125" hidden="1" customWidth="1"/>
    <col min="64" max="64" width="8.77734375" style="2" hidden="1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2" width="8.88671875" customWidth="1"/>
    <col min="73" max="73" width="8.88671875" style="2" customWidth="1"/>
    <col min="74" max="76" width="8.88671875" customWidth="1"/>
    <col min="77" max="77" width="9.109375" style="79" bestFit="1" customWidth="1"/>
    <col min="78" max="78" width="8.88671875" style="79"/>
    <col min="79" max="79" width="8.88671875" style="2"/>
  </cols>
  <sheetData>
    <row r="1" spans="1:79" ht="18.600000000000001" thickBot="1" x14ac:dyDescent="0.4">
      <c r="A1" s="290" t="s">
        <v>129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68"/>
      <c r="BW1" s="68"/>
      <c r="BX1" s="68"/>
      <c r="BY1" s="113"/>
      <c r="BZ1" s="113"/>
      <c r="CA1" s="69"/>
    </row>
    <row r="2" spans="1:79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124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2</v>
      </c>
      <c r="S2" s="282"/>
      <c r="T2" s="73"/>
      <c r="U2" s="73" t="s">
        <v>2</v>
      </c>
      <c r="V2" s="73"/>
      <c r="W2" s="77"/>
      <c r="X2" s="73" t="s">
        <v>2</v>
      </c>
      <c r="Y2" s="74"/>
      <c r="Z2" s="77"/>
      <c r="AA2" s="73" t="s">
        <v>2</v>
      </c>
      <c r="AB2" s="74"/>
      <c r="AC2" s="73"/>
      <c r="AD2" s="73" t="s">
        <v>2</v>
      </c>
      <c r="AE2" s="73"/>
      <c r="AF2" s="73"/>
      <c r="AG2" s="73" t="s">
        <v>2</v>
      </c>
      <c r="AH2" s="73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7"/>
      <c r="AS2" s="73" t="s">
        <v>2</v>
      </c>
      <c r="AT2" s="74"/>
      <c r="AU2" s="71"/>
      <c r="AV2" s="72" t="s">
        <v>3</v>
      </c>
      <c r="AW2" s="282"/>
      <c r="AX2" s="72"/>
      <c r="AY2" s="72" t="s">
        <v>3</v>
      </c>
      <c r="AZ2" s="74"/>
      <c r="BA2" s="72"/>
      <c r="BB2" s="72" t="s">
        <v>4</v>
      </c>
      <c r="BC2" s="73"/>
      <c r="BD2" s="71"/>
      <c r="BE2" s="72" t="s">
        <v>4</v>
      </c>
      <c r="BF2" s="74"/>
      <c r="BG2" s="72"/>
      <c r="BH2" s="72" t="s">
        <v>4</v>
      </c>
      <c r="BI2" s="282"/>
      <c r="BJ2" s="72"/>
      <c r="BK2" s="72" t="s">
        <v>4</v>
      </c>
      <c r="BL2" s="74"/>
      <c r="BM2" s="108"/>
      <c r="BN2" s="109" t="s">
        <v>5</v>
      </c>
      <c r="BO2" s="110"/>
      <c r="BP2" s="108"/>
      <c r="BQ2" s="109" t="s">
        <v>5</v>
      </c>
      <c r="BR2" s="111"/>
      <c r="BS2" s="109"/>
      <c r="BT2" s="109" t="s">
        <v>5</v>
      </c>
      <c r="BU2" s="110"/>
      <c r="BV2" s="108"/>
      <c r="BW2" s="109" t="s">
        <v>5</v>
      </c>
      <c r="BX2" s="112"/>
      <c r="BY2" s="114" t="s">
        <v>7</v>
      </c>
      <c r="BZ2" s="119"/>
      <c r="CA2" s="74"/>
    </row>
    <row r="3" spans="1:79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128</v>
      </c>
      <c r="I3" s="4"/>
      <c r="J3" s="33"/>
      <c r="K3" s="4" t="s">
        <v>55</v>
      </c>
      <c r="L3" s="4"/>
      <c r="M3" s="33"/>
      <c r="N3" s="4" t="s">
        <v>114</v>
      </c>
      <c r="O3" s="4"/>
      <c r="P3" s="283"/>
      <c r="Q3" s="4" t="s">
        <v>67</v>
      </c>
      <c r="R3" s="4"/>
      <c r="S3" s="35"/>
      <c r="T3" s="4" t="s">
        <v>11</v>
      </c>
      <c r="U3" s="4"/>
      <c r="V3" s="35"/>
      <c r="W3" s="3" t="s">
        <v>12</v>
      </c>
      <c r="X3" s="4"/>
      <c r="Y3" s="33"/>
      <c r="Z3" s="3" t="s">
        <v>35</v>
      </c>
      <c r="AA3" s="4"/>
      <c r="AB3" s="33"/>
      <c r="AC3" s="3" t="s">
        <v>115</v>
      </c>
      <c r="AD3" s="35"/>
      <c r="AE3" s="35"/>
      <c r="AF3" s="3" t="s">
        <v>116</v>
      </c>
      <c r="AG3" s="35"/>
      <c r="AH3" s="35"/>
      <c r="AI3" s="3" t="s">
        <v>73</v>
      </c>
      <c r="AJ3" s="4"/>
      <c r="AK3" s="33"/>
      <c r="AL3" s="3" t="s">
        <v>68</v>
      </c>
      <c r="AM3" s="4"/>
      <c r="AN3" s="33"/>
      <c r="AO3" s="3" t="s">
        <v>91</v>
      </c>
      <c r="AP3" s="4"/>
      <c r="AQ3" s="33"/>
      <c r="AR3" s="3" t="s">
        <v>117</v>
      </c>
      <c r="AS3" s="4"/>
      <c r="AT3" s="33"/>
      <c r="AU3" s="47" t="s">
        <v>14</v>
      </c>
      <c r="AV3" s="47"/>
      <c r="AW3" s="287"/>
      <c r="AX3" s="47" t="s">
        <v>15</v>
      </c>
      <c r="AY3" s="47"/>
      <c r="AZ3" s="48"/>
      <c r="BA3" s="47" t="s">
        <v>16</v>
      </c>
      <c r="BB3" s="47"/>
      <c r="BC3" s="351"/>
      <c r="BD3" s="46" t="s">
        <v>17</v>
      </c>
      <c r="BE3" s="47"/>
      <c r="BF3" s="48"/>
      <c r="BG3" s="47" t="s">
        <v>64</v>
      </c>
      <c r="BH3" s="47"/>
      <c r="BI3" s="287"/>
      <c r="BJ3" s="47" t="s">
        <v>64</v>
      </c>
      <c r="BK3" s="47"/>
      <c r="BL3" s="49"/>
      <c r="BM3" s="9" t="s">
        <v>36</v>
      </c>
      <c r="BN3" s="7"/>
      <c r="BO3" s="29"/>
      <c r="BP3" s="9" t="s">
        <v>37</v>
      </c>
      <c r="BQ3" s="7"/>
      <c r="BR3" s="31"/>
      <c r="BS3" s="7" t="s">
        <v>38</v>
      </c>
      <c r="BT3" s="7"/>
      <c r="BU3" s="29"/>
      <c r="BV3" s="9" t="s">
        <v>39</v>
      </c>
      <c r="BW3" s="7"/>
      <c r="BX3" s="8"/>
      <c r="BY3" s="115" t="s">
        <v>28</v>
      </c>
      <c r="BZ3" s="115"/>
      <c r="CA3" s="24"/>
    </row>
    <row r="4" spans="1:79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6" t="s">
        <v>7</v>
      </c>
      <c r="U4" s="6" t="s">
        <v>30</v>
      </c>
      <c r="V4" s="36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" t="s">
        <v>7</v>
      </c>
      <c r="AS4" s="6" t="s">
        <v>30</v>
      </c>
      <c r="AT4" s="34" t="s">
        <v>31</v>
      </c>
      <c r="AU4" s="51" t="s">
        <v>7</v>
      </c>
      <c r="AV4" s="51" t="s">
        <v>30</v>
      </c>
      <c r="AW4" s="288" t="s">
        <v>31</v>
      </c>
      <c r="AX4" s="51" t="s">
        <v>7</v>
      </c>
      <c r="AY4" s="51" t="s">
        <v>30</v>
      </c>
      <c r="AZ4" s="52" t="s">
        <v>31</v>
      </c>
      <c r="BA4" s="51" t="s">
        <v>7</v>
      </c>
      <c r="BB4" s="51" t="s">
        <v>30</v>
      </c>
      <c r="BC4" s="352" t="s">
        <v>31</v>
      </c>
      <c r="BD4" s="50" t="s">
        <v>7</v>
      </c>
      <c r="BE4" s="51" t="s">
        <v>30</v>
      </c>
      <c r="BF4" s="52" t="s">
        <v>31</v>
      </c>
      <c r="BG4" s="51" t="s">
        <v>7</v>
      </c>
      <c r="BH4" s="51" t="s">
        <v>30</v>
      </c>
      <c r="BI4" s="288" t="s">
        <v>31</v>
      </c>
      <c r="BJ4" s="51" t="s">
        <v>7</v>
      </c>
      <c r="BK4" s="51" t="s">
        <v>30</v>
      </c>
      <c r="BL4" s="53" t="s">
        <v>31</v>
      </c>
      <c r="BM4" s="12" t="s">
        <v>7</v>
      </c>
      <c r="BN4" s="10" t="s">
        <v>30</v>
      </c>
      <c r="BO4" s="30" t="s">
        <v>31</v>
      </c>
      <c r="BP4" s="12" t="s">
        <v>7</v>
      </c>
      <c r="BQ4" s="10" t="s">
        <v>30</v>
      </c>
      <c r="BR4" s="32" t="s">
        <v>31</v>
      </c>
      <c r="BS4" s="10" t="s">
        <v>7</v>
      </c>
      <c r="BT4" s="10" t="s">
        <v>30</v>
      </c>
      <c r="BU4" s="30" t="s">
        <v>31</v>
      </c>
      <c r="BV4" s="12" t="s">
        <v>7</v>
      </c>
      <c r="BW4" s="10" t="s">
        <v>30</v>
      </c>
      <c r="BX4" s="11" t="s">
        <v>31</v>
      </c>
      <c r="BY4" s="371" t="s">
        <v>7</v>
      </c>
      <c r="BZ4" s="371" t="s">
        <v>30</v>
      </c>
      <c r="CA4" s="146" t="s">
        <v>31</v>
      </c>
    </row>
    <row r="5" spans="1:79" x14ac:dyDescent="0.3">
      <c r="A5" s="294">
        <v>46023</v>
      </c>
      <c r="B5" s="125">
        <v>0</v>
      </c>
      <c r="C5" s="126">
        <v>0</v>
      </c>
      <c r="D5" s="276" t="str">
        <f t="shared" ref="D5:D36" si="0">IF(C5=0,"-",B5/C5)</f>
        <v>-</v>
      </c>
      <c r="E5" s="125">
        <v>0</v>
      </c>
      <c r="F5" s="126">
        <v>0</v>
      </c>
      <c r="G5" s="139" t="str">
        <f t="shared" ref="G5:G36" si="1">IF(F5=0,"-",E5/F5)</f>
        <v>-</v>
      </c>
      <c r="H5" s="125">
        <v>0</v>
      </c>
      <c r="I5" s="126">
        <v>0</v>
      </c>
      <c r="J5" s="139" t="str">
        <f t="shared" ref="J5:J36" si="2">IF(I5=0,"-",H5/I5)</f>
        <v>-</v>
      </c>
      <c r="K5" s="125">
        <v>0</v>
      </c>
      <c r="L5" s="126">
        <v>0</v>
      </c>
      <c r="M5" s="276" t="str">
        <f t="shared" ref="M5:M36" si="3">IF(L5=0,"-",K5/L5)</f>
        <v>-</v>
      </c>
      <c r="N5" s="20">
        <v>0</v>
      </c>
      <c r="O5" s="21">
        <v>0</v>
      </c>
      <c r="P5" s="139" t="str">
        <f t="shared" ref="P5:P36" si="4">IF(O5=0,"-",N5/O5)</f>
        <v>-</v>
      </c>
      <c r="Q5" s="125">
        <v>0</v>
      </c>
      <c r="R5" s="126">
        <v>0</v>
      </c>
      <c r="S5" s="139" t="str">
        <f t="shared" ref="S5:S36" si="5">IF(R5=0,"-",Q5/R5)</f>
        <v>-</v>
      </c>
      <c r="T5" s="125">
        <v>0</v>
      </c>
      <c r="U5" s="126">
        <v>0</v>
      </c>
      <c r="V5" s="139" t="str">
        <f t="shared" ref="V5:V36" si="6">IF(U5=0,"-",T5/U5)</f>
        <v>-</v>
      </c>
      <c r="W5" s="125">
        <v>0</v>
      </c>
      <c r="X5" s="126">
        <v>0</v>
      </c>
      <c r="Y5" s="139" t="str">
        <f t="shared" ref="Y5:Y36" si="7">IF(X5=0,"-",W5/X5)</f>
        <v>-</v>
      </c>
      <c r="Z5" s="20">
        <v>0</v>
      </c>
      <c r="AA5" s="21">
        <v>0</v>
      </c>
      <c r="AB5" s="139" t="str">
        <f t="shared" ref="AB5:AB35" si="8">IF(AA5=0,"-",Z5/AA5)</f>
        <v>-</v>
      </c>
      <c r="AC5" s="125">
        <v>0</v>
      </c>
      <c r="AD5" s="126">
        <v>0</v>
      </c>
      <c r="AE5" s="139" t="str">
        <f t="shared" ref="AE5:AE36" si="9">IF(AD5=0,"-",AC5/AD5)</f>
        <v>-</v>
      </c>
      <c r="AF5" s="125">
        <v>0</v>
      </c>
      <c r="AG5" s="126">
        <v>0</v>
      </c>
      <c r="AH5" s="139" t="str">
        <f t="shared" ref="AH5:AH36" si="10">IF(AG5=0,"-",AF5/AG5)</f>
        <v>-</v>
      </c>
      <c r="AI5" s="20">
        <v>0</v>
      </c>
      <c r="AJ5" s="21">
        <v>0</v>
      </c>
      <c r="AK5" s="139" t="str">
        <f t="shared" ref="AK5:AK36" si="11">IF(AJ5=0,"-",AI5/AJ5)</f>
        <v>-</v>
      </c>
      <c r="AL5" s="125">
        <v>0</v>
      </c>
      <c r="AM5" s="126">
        <v>0</v>
      </c>
      <c r="AN5" s="139" t="str">
        <f t="shared" ref="AN5:AN36" si="12">IF(AM5=0,"-",AL5/AM5)</f>
        <v>-</v>
      </c>
      <c r="AO5" s="125">
        <v>0</v>
      </c>
      <c r="AP5" s="126">
        <v>0</v>
      </c>
      <c r="AQ5" s="139" t="str">
        <f t="shared" ref="AQ5:AQ36" si="13">IF(AP5=0,"-",AO5/AP5)</f>
        <v>-</v>
      </c>
      <c r="AR5" s="125">
        <v>0</v>
      </c>
      <c r="AS5" s="126">
        <v>0</v>
      </c>
      <c r="AT5" s="139" t="str">
        <f t="shared" ref="AT5:AT36" si="14">IF(AS5=0,"-",AR5/AS5)</f>
        <v>-</v>
      </c>
      <c r="AU5" s="20">
        <v>0</v>
      </c>
      <c r="AV5" s="21">
        <v>0</v>
      </c>
      <c r="AW5" s="139" t="str">
        <f t="shared" ref="AW5:AW36" si="15">IF(AV5=0,"-",AU5/AV5)</f>
        <v>-</v>
      </c>
      <c r="AX5" s="20">
        <v>0</v>
      </c>
      <c r="AY5" s="21">
        <v>0</v>
      </c>
      <c r="AZ5" s="139" t="str">
        <f t="shared" ref="AZ5:AZ35" si="16">IF(AY5=0,"-",AX5/AY5)</f>
        <v>-</v>
      </c>
      <c r="BA5" s="20">
        <v>0</v>
      </c>
      <c r="BB5" s="21">
        <v>0</v>
      </c>
      <c r="BC5" s="139" t="str">
        <f t="shared" ref="BC5:BC36" si="17">IF(BB5=0,"-",BA5/BB5)</f>
        <v>-</v>
      </c>
      <c r="BD5" s="20">
        <v>0</v>
      </c>
      <c r="BE5" s="21">
        <v>0</v>
      </c>
      <c r="BF5" s="139" t="str">
        <f t="shared" ref="BF5:BF35" si="18">IF(BE5=0,"-",BD5/BE5)</f>
        <v>-</v>
      </c>
      <c r="BG5" s="20">
        <v>0</v>
      </c>
      <c r="BH5" s="21">
        <v>0</v>
      </c>
      <c r="BI5" s="139" t="str">
        <f t="shared" ref="BI5:BI36" si="19">IF(BH5=0,"-",BG5/BH5)</f>
        <v>-</v>
      </c>
      <c r="BJ5" s="20">
        <v>0</v>
      </c>
      <c r="BK5" s="21">
        <v>0</v>
      </c>
      <c r="BL5" s="139" t="str">
        <f t="shared" ref="BL5:BL35" si="20">IF(BK5=0,"-",BJ5/BK5)</f>
        <v>-</v>
      </c>
      <c r="BM5" s="17">
        <v>0</v>
      </c>
      <c r="BN5" s="18">
        <v>0</v>
      </c>
      <c r="BO5" s="276" t="str">
        <f t="shared" ref="BO5:BO36" si="21">IF(BN5=0,"-",BM5/BN5)</f>
        <v>-</v>
      </c>
      <c r="BP5" s="17">
        <v>0</v>
      </c>
      <c r="BQ5" s="18">
        <v>0</v>
      </c>
      <c r="BR5" s="276" t="str">
        <f t="shared" ref="BR5:BR36" si="22">IF(BQ5=0,"-",BP5/BQ5)</f>
        <v>-</v>
      </c>
      <c r="BS5" s="365">
        <v>0</v>
      </c>
      <c r="BT5" s="366">
        <v>0</v>
      </c>
      <c r="BU5" s="276" t="str">
        <f t="shared" ref="BU5:BU36" si="23">IF(BT5=0,"-",BS5/BT5)</f>
        <v>-</v>
      </c>
      <c r="BV5" s="367">
        <v>0</v>
      </c>
      <c r="BW5" s="128">
        <v>0</v>
      </c>
      <c r="BX5" s="277" t="str">
        <f t="shared" ref="BX5:BX36" si="24">IF(BW5=0,"-",BV5/BW5)</f>
        <v>-</v>
      </c>
      <c r="BY5" s="374">
        <f>SUM(B5,E5,H5,K5,N5,Q5,T5,W5,AC5,AF5,AI5,AL5,AO5,AR5,AU5,BA5,BG5,BM5,BP5,BS5,BV5)</f>
        <v>0</v>
      </c>
      <c r="BZ5" s="120">
        <f>SUM(C5,F5,I5,L5,O5,R5,U5,X5,AD5,AG5,AJ5,AM5,AP5,AS5,AV5,BB5,BH5,BN5,BQ5,BT5,BW5)</f>
        <v>0</v>
      </c>
      <c r="CA5" s="19" t="str">
        <f t="shared" ref="CA5:CA36" si="25">IF(BZ5=0,"",BY5/BZ5)</f>
        <v/>
      </c>
    </row>
    <row r="6" spans="1:79" x14ac:dyDescent="0.3">
      <c r="A6" s="294">
        <v>46024</v>
      </c>
      <c r="B6" s="20">
        <v>0</v>
      </c>
      <c r="C6" s="21">
        <v>0</v>
      </c>
      <c r="D6" s="139" t="str">
        <f t="shared" si="0"/>
        <v>-</v>
      </c>
      <c r="E6" s="125">
        <v>0</v>
      </c>
      <c r="F6" s="126">
        <v>0</v>
      </c>
      <c r="G6" s="139" t="str">
        <f t="shared" si="1"/>
        <v>-</v>
      </c>
      <c r="H6" s="125">
        <v>0</v>
      </c>
      <c r="I6" s="126">
        <v>0</v>
      </c>
      <c r="J6" s="139" t="str">
        <f t="shared" si="2"/>
        <v>-</v>
      </c>
      <c r="K6" s="20">
        <v>0</v>
      </c>
      <c r="L6" s="21">
        <v>0</v>
      </c>
      <c r="M6" s="139" t="str">
        <f t="shared" si="3"/>
        <v>-</v>
      </c>
      <c r="N6" s="20">
        <v>0</v>
      </c>
      <c r="O6" s="21">
        <v>0</v>
      </c>
      <c r="P6" s="139" t="str">
        <f t="shared" si="4"/>
        <v>-</v>
      </c>
      <c r="Q6" s="125">
        <v>0</v>
      </c>
      <c r="R6" s="126">
        <v>0</v>
      </c>
      <c r="S6" s="139" t="str">
        <f t="shared" si="5"/>
        <v>-</v>
      </c>
      <c r="T6" s="125">
        <v>0</v>
      </c>
      <c r="U6" s="126">
        <v>0</v>
      </c>
      <c r="V6" s="139" t="str">
        <f t="shared" si="6"/>
        <v>-</v>
      </c>
      <c r="W6" s="125">
        <v>0</v>
      </c>
      <c r="X6" s="126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125">
        <v>0</v>
      </c>
      <c r="AD6" s="126">
        <v>0</v>
      </c>
      <c r="AE6" s="139" t="str">
        <f t="shared" si="9"/>
        <v>-</v>
      </c>
      <c r="AF6" s="125">
        <v>0</v>
      </c>
      <c r="AG6" s="126">
        <v>0</v>
      </c>
      <c r="AH6" s="139" t="str">
        <f t="shared" si="10"/>
        <v>-</v>
      </c>
      <c r="AI6" s="20">
        <v>0</v>
      </c>
      <c r="AJ6" s="21">
        <v>0</v>
      </c>
      <c r="AK6" s="139" t="str">
        <f t="shared" si="11"/>
        <v>-</v>
      </c>
      <c r="AL6" s="125">
        <v>0</v>
      </c>
      <c r="AM6" s="126">
        <v>0</v>
      </c>
      <c r="AN6" s="139" t="str">
        <f t="shared" si="12"/>
        <v>-</v>
      </c>
      <c r="AO6" s="125">
        <v>0</v>
      </c>
      <c r="AP6" s="126">
        <v>0</v>
      </c>
      <c r="AQ6" s="139" t="str">
        <f t="shared" si="13"/>
        <v>-</v>
      </c>
      <c r="AR6" s="125">
        <v>0</v>
      </c>
      <c r="AS6" s="126">
        <v>0</v>
      </c>
      <c r="AT6" s="139" t="str">
        <f t="shared" si="14"/>
        <v>-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0</v>
      </c>
      <c r="BH6" s="21">
        <v>0</v>
      </c>
      <c r="BI6" s="139" t="str">
        <f t="shared" si="19"/>
        <v>-</v>
      </c>
      <c r="BJ6" s="20">
        <v>0</v>
      </c>
      <c r="BK6" s="21">
        <v>0</v>
      </c>
      <c r="BL6" s="139" t="str">
        <f t="shared" si="20"/>
        <v>-</v>
      </c>
      <c r="BM6" s="20">
        <v>0</v>
      </c>
      <c r="BN6" s="21">
        <v>0</v>
      </c>
      <c r="BO6" s="276" t="str">
        <f t="shared" si="21"/>
        <v>-</v>
      </c>
      <c r="BP6" s="20">
        <v>0</v>
      </c>
      <c r="BQ6" s="21">
        <v>0</v>
      </c>
      <c r="BR6" s="276" t="str">
        <f t="shared" si="22"/>
        <v>-</v>
      </c>
      <c r="BS6" s="354">
        <v>0</v>
      </c>
      <c r="BT6" s="271">
        <v>0</v>
      </c>
      <c r="BU6" s="276" t="str">
        <f t="shared" si="23"/>
        <v>-</v>
      </c>
      <c r="BV6" s="368">
        <v>0</v>
      </c>
      <c r="BW6" s="21">
        <v>0</v>
      </c>
      <c r="BX6" s="277" t="str">
        <f t="shared" si="24"/>
        <v>-</v>
      </c>
      <c r="BY6" s="375">
        <f>SUM(B6,E6,H6,K6,N6,Q6,T6,W6,AC6,AF6,AI6,AL6,AO6,AR6,AU6,BA6,BG6,BM6,BP6,BS6,BV6)</f>
        <v>0</v>
      </c>
      <c r="BZ6" s="373">
        <f t="shared" ref="BZ6:BZ35" si="26">SUM(C6,F6,I6,L6,O6,R6,U6,X6,AD6,AG6,AJ6,AM6,AP6,AS6,AV6,BB6,BH6,BN6,BQ6,BT6,BW6)</f>
        <v>0</v>
      </c>
      <c r="CA6" s="26" t="str">
        <f t="shared" si="25"/>
        <v/>
      </c>
    </row>
    <row r="7" spans="1:79" x14ac:dyDescent="0.3">
      <c r="A7" s="294">
        <v>46025</v>
      </c>
      <c r="B7" s="20">
        <v>0</v>
      </c>
      <c r="C7" s="21">
        <v>0</v>
      </c>
      <c r="D7" s="139" t="str">
        <f t="shared" si="0"/>
        <v>-</v>
      </c>
      <c r="E7" s="125">
        <v>0</v>
      </c>
      <c r="F7" s="126">
        <v>0</v>
      </c>
      <c r="G7" s="139" t="str">
        <f t="shared" si="1"/>
        <v>-</v>
      </c>
      <c r="H7" s="125">
        <v>0</v>
      </c>
      <c r="I7" s="126">
        <v>0</v>
      </c>
      <c r="J7" s="139" t="str">
        <f t="shared" si="2"/>
        <v>-</v>
      </c>
      <c r="K7" s="20">
        <v>0</v>
      </c>
      <c r="L7" s="21">
        <v>0</v>
      </c>
      <c r="M7" s="139" t="str">
        <f t="shared" si="3"/>
        <v>-</v>
      </c>
      <c r="N7" s="20">
        <v>0</v>
      </c>
      <c r="O7" s="21">
        <v>0</v>
      </c>
      <c r="P7" s="139" t="str">
        <f t="shared" si="4"/>
        <v>-</v>
      </c>
      <c r="Q7" s="125">
        <v>0</v>
      </c>
      <c r="R7" s="126">
        <v>0</v>
      </c>
      <c r="S7" s="139" t="str">
        <f t="shared" si="5"/>
        <v>-</v>
      </c>
      <c r="T7" s="125">
        <v>0</v>
      </c>
      <c r="U7" s="126">
        <v>0</v>
      </c>
      <c r="V7" s="139" t="str">
        <f t="shared" si="6"/>
        <v>-</v>
      </c>
      <c r="W7" s="125">
        <v>0</v>
      </c>
      <c r="X7" s="126">
        <v>0</v>
      </c>
      <c r="Y7" s="139" t="str">
        <f t="shared" si="7"/>
        <v>-</v>
      </c>
      <c r="Z7" s="20">
        <v>0</v>
      </c>
      <c r="AA7" s="21">
        <v>0</v>
      </c>
      <c r="AB7" s="139" t="str">
        <f t="shared" si="8"/>
        <v>-</v>
      </c>
      <c r="AC7" s="125">
        <v>0</v>
      </c>
      <c r="AD7" s="126">
        <v>0</v>
      </c>
      <c r="AE7" s="139" t="str">
        <f t="shared" si="9"/>
        <v>-</v>
      </c>
      <c r="AF7" s="125">
        <v>0</v>
      </c>
      <c r="AG7" s="126">
        <v>0</v>
      </c>
      <c r="AH7" s="139" t="str">
        <f t="shared" si="10"/>
        <v>-</v>
      </c>
      <c r="AI7" s="270">
        <v>0</v>
      </c>
      <c r="AJ7" s="21">
        <v>0</v>
      </c>
      <c r="AK7" s="139" t="str">
        <f t="shared" si="11"/>
        <v>-</v>
      </c>
      <c r="AL7" s="125">
        <v>0</v>
      </c>
      <c r="AM7" s="126">
        <v>0</v>
      </c>
      <c r="AN7" s="139" t="str">
        <f t="shared" si="12"/>
        <v>-</v>
      </c>
      <c r="AO7" s="125">
        <v>0</v>
      </c>
      <c r="AP7" s="126">
        <v>0</v>
      </c>
      <c r="AQ7" s="139" t="str">
        <f t="shared" si="13"/>
        <v>-</v>
      </c>
      <c r="AR7" s="125">
        <v>0</v>
      </c>
      <c r="AS7" s="126">
        <v>0</v>
      </c>
      <c r="AT7" s="139" t="str">
        <f t="shared" si="14"/>
        <v>-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si="18"/>
        <v>-</v>
      </c>
      <c r="BG7" s="20">
        <v>0</v>
      </c>
      <c r="BH7" s="21">
        <v>0</v>
      </c>
      <c r="BI7" s="139" t="str">
        <f t="shared" si="19"/>
        <v>-</v>
      </c>
      <c r="BJ7" s="20">
        <v>0</v>
      </c>
      <c r="BK7" s="21">
        <v>0</v>
      </c>
      <c r="BL7" s="139" t="str">
        <f t="shared" si="20"/>
        <v>-</v>
      </c>
      <c r="BM7" s="20">
        <v>0</v>
      </c>
      <c r="BN7" s="21">
        <v>0</v>
      </c>
      <c r="BO7" s="276" t="str">
        <f t="shared" si="21"/>
        <v>-</v>
      </c>
      <c r="BP7" s="20">
        <v>0</v>
      </c>
      <c r="BQ7" s="21">
        <v>0</v>
      </c>
      <c r="BR7" s="276" t="str">
        <f t="shared" si="22"/>
        <v>-</v>
      </c>
      <c r="BS7" s="354">
        <v>0</v>
      </c>
      <c r="BT7" s="271">
        <v>0</v>
      </c>
      <c r="BU7" s="276" t="str">
        <f t="shared" si="23"/>
        <v>-</v>
      </c>
      <c r="BV7" s="368">
        <v>0</v>
      </c>
      <c r="BW7" s="21">
        <v>0</v>
      </c>
      <c r="BX7" s="277" t="str">
        <f t="shared" si="24"/>
        <v>-</v>
      </c>
      <c r="BY7" s="375">
        <f t="shared" ref="BY7:BY35" si="27">SUM(B7,E7,H7,K7,N7,Q7,T7,W7,AC7,AF7,AI7,AL7,AO7,AR7,AU7,BA7,BG7,BM7,BP7,BS7,BV7)</f>
        <v>0</v>
      </c>
      <c r="BZ7" s="373">
        <f t="shared" si="26"/>
        <v>0</v>
      </c>
      <c r="CA7" s="26" t="str">
        <f t="shared" si="25"/>
        <v/>
      </c>
    </row>
    <row r="8" spans="1:79" x14ac:dyDescent="0.3">
      <c r="A8" s="294">
        <v>46026</v>
      </c>
      <c r="B8" s="20">
        <v>0</v>
      </c>
      <c r="C8" s="21">
        <v>0</v>
      </c>
      <c r="D8" s="139" t="str">
        <f t="shared" si="0"/>
        <v>-</v>
      </c>
      <c r="E8" s="125">
        <v>0</v>
      </c>
      <c r="F8" s="126">
        <v>0</v>
      </c>
      <c r="G8" s="139" t="str">
        <f t="shared" si="1"/>
        <v>-</v>
      </c>
      <c r="H8" s="125">
        <v>0</v>
      </c>
      <c r="I8" s="126">
        <v>0</v>
      </c>
      <c r="J8" s="139" t="str">
        <f t="shared" si="2"/>
        <v>-</v>
      </c>
      <c r="K8" s="20">
        <v>0</v>
      </c>
      <c r="L8" s="21">
        <v>0</v>
      </c>
      <c r="M8" s="139" t="str">
        <f>IF(L8=0,"-",K8/L8)</f>
        <v>-</v>
      </c>
      <c r="N8" s="20">
        <v>0</v>
      </c>
      <c r="O8" s="21">
        <v>0</v>
      </c>
      <c r="P8" s="139" t="str">
        <f t="shared" si="4"/>
        <v>-</v>
      </c>
      <c r="Q8" s="125">
        <v>0</v>
      </c>
      <c r="R8" s="126">
        <v>0</v>
      </c>
      <c r="S8" s="139" t="str">
        <f t="shared" si="5"/>
        <v>-</v>
      </c>
      <c r="T8" s="125">
        <v>0</v>
      </c>
      <c r="U8" s="126">
        <v>0</v>
      </c>
      <c r="V8" s="139" t="str">
        <f t="shared" si="6"/>
        <v>-</v>
      </c>
      <c r="W8" s="125">
        <v>0</v>
      </c>
      <c r="X8" s="126">
        <v>0</v>
      </c>
      <c r="Y8" s="139" t="str">
        <f t="shared" si="7"/>
        <v>-</v>
      </c>
      <c r="Z8" s="20">
        <v>0</v>
      </c>
      <c r="AA8" s="21">
        <v>0</v>
      </c>
      <c r="AB8" s="139" t="str">
        <f t="shared" si="8"/>
        <v>-</v>
      </c>
      <c r="AC8" s="125">
        <v>0</v>
      </c>
      <c r="AD8" s="126">
        <v>0</v>
      </c>
      <c r="AE8" s="139" t="str">
        <f t="shared" si="9"/>
        <v>-</v>
      </c>
      <c r="AF8" s="125">
        <v>0</v>
      </c>
      <c r="AG8" s="126">
        <v>0</v>
      </c>
      <c r="AH8" s="139" t="str">
        <f t="shared" si="10"/>
        <v>-</v>
      </c>
      <c r="AI8" s="270">
        <v>0</v>
      </c>
      <c r="AJ8" s="21">
        <v>0</v>
      </c>
      <c r="AK8" s="139" t="str">
        <f t="shared" si="11"/>
        <v>-</v>
      </c>
      <c r="AL8" s="125">
        <v>0</v>
      </c>
      <c r="AM8" s="126">
        <v>0</v>
      </c>
      <c r="AN8" s="139" t="str">
        <f t="shared" si="12"/>
        <v>-</v>
      </c>
      <c r="AO8" s="125">
        <v>0</v>
      </c>
      <c r="AP8" s="126">
        <v>0</v>
      </c>
      <c r="AQ8" s="139" t="str">
        <f t="shared" si="13"/>
        <v>-</v>
      </c>
      <c r="AR8" s="125">
        <v>0</v>
      </c>
      <c r="AS8" s="126">
        <v>0</v>
      </c>
      <c r="AT8" s="139" t="str">
        <f t="shared" si="14"/>
        <v>-</v>
      </c>
      <c r="AU8" s="20">
        <v>0</v>
      </c>
      <c r="AV8" s="21">
        <v>0</v>
      </c>
      <c r="AW8" s="139" t="str">
        <f t="shared" si="15"/>
        <v>-</v>
      </c>
      <c r="AX8" s="20">
        <v>0</v>
      </c>
      <c r="AY8" s="21">
        <v>0</v>
      </c>
      <c r="AZ8" s="139" t="str">
        <f t="shared" si="16"/>
        <v>-</v>
      </c>
      <c r="BA8" s="20">
        <v>0</v>
      </c>
      <c r="BB8" s="21">
        <v>0</v>
      </c>
      <c r="BC8" s="139" t="str">
        <f t="shared" si="17"/>
        <v>-</v>
      </c>
      <c r="BD8" s="20">
        <v>0</v>
      </c>
      <c r="BE8" s="21">
        <v>0</v>
      </c>
      <c r="BF8" s="139" t="str">
        <f t="shared" si="18"/>
        <v>-</v>
      </c>
      <c r="BG8" s="20">
        <v>0</v>
      </c>
      <c r="BH8" s="21">
        <v>0</v>
      </c>
      <c r="BI8" s="139" t="str">
        <f t="shared" si="19"/>
        <v>-</v>
      </c>
      <c r="BJ8" s="20">
        <v>0</v>
      </c>
      <c r="BK8" s="21">
        <v>0</v>
      </c>
      <c r="BL8" s="139" t="str">
        <f t="shared" si="20"/>
        <v>-</v>
      </c>
      <c r="BM8" s="20">
        <v>0</v>
      </c>
      <c r="BN8" s="21">
        <v>0</v>
      </c>
      <c r="BO8" s="276" t="str">
        <f t="shared" si="21"/>
        <v>-</v>
      </c>
      <c r="BP8" s="20">
        <v>0</v>
      </c>
      <c r="BQ8" s="21">
        <v>0</v>
      </c>
      <c r="BR8" s="276" t="str">
        <f t="shared" si="22"/>
        <v>-</v>
      </c>
      <c r="BS8" s="354">
        <v>0</v>
      </c>
      <c r="BT8" s="271">
        <v>0</v>
      </c>
      <c r="BU8" s="276" t="str">
        <f t="shared" si="23"/>
        <v>-</v>
      </c>
      <c r="BV8" s="368">
        <v>0</v>
      </c>
      <c r="BW8" s="21">
        <v>0</v>
      </c>
      <c r="BX8" s="277" t="str">
        <f t="shared" si="24"/>
        <v>-</v>
      </c>
      <c r="BY8" s="375">
        <f t="shared" si="27"/>
        <v>0</v>
      </c>
      <c r="BZ8" s="373">
        <f t="shared" si="26"/>
        <v>0</v>
      </c>
      <c r="CA8" s="26" t="str">
        <f t="shared" si="25"/>
        <v/>
      </c>
    </row>
    <row r="9" spans="1:79" x14ac:dyDescent="0.3">
      <c r="A9" s="294">
        <v>46027</v>
      </c>
      <c r="B9" s="20">
        <v>92</v>
      </c>
      <c r="C9" s="21">
        <v>10</v>
      </c>
      <c r="D9" s="139">
        <f t="shared" si="0"/>
        <v>9.1999999999999993</v>
      </c>
      <c r="E9" s="125">
        <v>0</v>
      </c>
      <c r="F9" s="126">
        <v>0</v>
      </c>
      <c r="G9" s="139" t="str">
        <f t="shared" si="1"/>
        <v>-</v>
      </c>
      <c r="H9" s="125">
        <v>0</v>
      </c>
      <c r="I9" s="126">
        <v>0</v>
      </c>
      <c r="J9" s="139" t="str">
        <f t="shared" si="2"/>
        <v>-</v>
      </c>
      <c r="K9" s="125">
        <v>76</v>
      </c>
      <c r="L9" s="126">
        <v>8</v>
      </c>
      <c r="M9" s="139">
        <f t="shared" si="3"/>
        <v>9.5</v>
      </c>
      <c r="N9" s="20">
        <v>0</v>
      </c>
      <c r="O9" s="21">
        <v>0</v>
      </c>
      <c r="P9" s="139" t="str">
        <f t="shared" si="4"/>
        <v>-</v>
      </c>
      <c r="Q9" s="20">
        <v>0</v>
      </c>
      <c r="R9" s="21">
        <v>0</v>
      </c>
      <c r="S9" s="139" t="str">
        <f t="shared" si="5"/>
        <v>-</v>
      </c>
      <c r="T9" s="20">
        <v>113</v>
      </c>
      <c r="U9" s="21">
        <v>9</v>
      </c>
      <c r="V9" s="139">
        <f t="shared" si="6"/>
        <v>12.555555555555555</v>
      </c>
      <c r="W9" s="20">
        <v>0</v>
      </c>
      <c r="X9" s="21">
        <v>0</v>
      </c>
      <c r="Y9" s="139" t="str">
        <f t="shared" si="7"/>
        <v>-</v>
      </c>
      <c r="Z9" s="20">
        <v>0</v>
      </c>
      <c r="AA9" s="21">
        <v>0</v>
      </c>
      <c r="AB9" s="139" t="str">
        <f t="shared" si="8"/>
        <v>-</v>
      </c>
      <c r="AC9" s="20">
        <v>0</v>
      </c>
      <c r="AD9" s="21">
        <v>0</v>
      </c>
      <c r="AE9" s="139" t="str">
        <f t="shared" si="9"/>
        <v>-</v>
      </c>
      <c r="AF9" s="20">
        <v>0</v>
      </c>
      <c r="AG9" s="21">
        <v>0</v>
      </c>
      <c r="AH9" s="139" t="str">
        <f t="shared" si="10"/>
        <v>-</v>
      </c>
      <c r="AI9" s="20">
        <v>0</v>
      </c>
      <c r="AJ9" s="21">
        <v>0</v>
      </c>
      <c r="AK9" s="139" t="str">
        <f t="shared" si="11"/>
        <v>-</v>
      </c>
      <c r="AL9" s="20">
        <v>0</v>
      </c>
      <c r="AM9" s="21">
        <v>0</v>
      </c>
      <c r="AN9" s="139" t="str">
        <f t="shared" si="12"/>
        <v>-</v>
      </c>
      <c r="AO9" s="20">
        <v>0</v>
      </c>
      <c r="AP9" s="21">
        <v>0</v>
      </c>
      <c r="AQ9" s="139" t="str">
        <f t="shared" si="13"/>
        <v>-</v>
      </c>
      <c r="AR9" s="20">
        <v>0</v>
      </c>
      <c r="AS9" s="21">
        <v>0</v>
      </c>
      <c r="AT9" s="139" t="str">
        <f t="shared" si="14"/>
        <v>-</v>
      </c>
      <c r="AU9" s="20">
        <v>0</v>
      </c>
      <c r="AV9" s="21">
        <v>0</v>
      </c>
      <c r="AW9" s="139" t="str">
        <f t="shared" si="15"/>
        <v>-</v>
      </c>
      <c r="AX9" s="20">
        <v>0</v>
      </c>
      <c r="AY9" s="21">
        <v>0</v>
      </c>
      <c r="AZ9" s="139" t="str">
        <f t="shared" si="16"/>
        <v>-</v>
      </c>
      <c r="BA9" s="20">
        <v>4</v>
      </c>
      <c r="BB9" s="21">
        <v>1</v>
      </c>
      <c r="BC9" s="139">
        <f>IF(BB9=0,"-",BA9/BB9)</f>
        <v>4</v>
      </c>
      <c r="BD9" s="20">
        <v>0</v>
      </c>
      <c r="BE9" s="21">
        <v>0</v>
      </c>
      <c r="BF9" s="139" t="str">
        <f t="shared" si="18"/>
        <v>-</v>
      </c>
      <c r="BG9" s="20">
        <v>0</v>
      </c>
      <c r="BH9" s="21">
        <v>0</v>
      </c>
      <c r="BI9" s="139" t="str">
        <f t="shared" si="19"/>
        <v>-</v>
      </c>
      <c r="BJ9" s="20">
        <v>0</v>
      </c>
      <c r="BK9" s="21">
        <v>0</v>
      </c>
      <c r="BL9" s="139" t="str">
        <f t="shared" si="20"/>
        <v>-</v>
      </c>
      <c r="BM9" s="20">
        <v>0</v>
      </c>
      <c r="BN9" s="21">
        <v>0</v>
      </c>
      <c r="BO9" s="276" t="str">
        <f t="shared" si="21"/>
        <v>-</v>
      </c>
      <c r="BP9" s="20">
        <v>8</v>
      </c>
      <c r="BQ9" s="21">
        <v>1</v>
      </c>
      <c r="BR9" s="276">
        <f t="shared" si="22"/>
        <v>8</v>
      </c>
      <c r="BS9" s="354">
        <v>0</v>
      </c>
      <c r="BT9" s="271">
        <v>0</v>
      </c>
      <c r="BU9" s="276" t="str">
        <f t="shared" si="23"/>
        <v>-</v>
      </c>
      <c r="BV9" s="355">
        <v>0</v>
      </c>
      <c r="BW9" s="21">
        <v>0</v>
      </c>
      <c r="BX9" s="277" t="str">
        <f t="shared" si="24"/>
        <v>-</v>
      </c>
      <c r="BY9" s="375">
        <f t="shared" si="27"/>
        <v>293</v>
      </c>
      <c r="BZ9" s="373">
        <f t="shared" si="26"/>
        <v>29</v>
      </c>
      <c r="CA9" s="26">
        <f t="shared" si="25"/>
        <v>10.103448275862069</v>
      </c>
    </row>
    <row r="10" spans="1:79" x14ac:dyDescent="0.3">
      <c r="A10" s="294">
        <v>46028</v>
      </c>
      <c r="B10" s="20">
        <v>30</v>
      </c>
      <c r="C10" s="21">
        <v>3</v>
      </c>
      <c r="D10" s="139">
        <f t="shared" si="0"/>
        <v>10</v>
      </c>
      <c r="E10" s="125">
        <v>0</v>
      </c>
      <c r="F10" s="126">
        <v>0</v>
      </c>
      <c r="G10" s="139" t="str">
        <f t="shared" si="1"/>
        <v>-</v>
      </c>
      <c r="H10" s="125">
        <v>0</v>
      </c>
      <c r="I10" s="126">
        <v>0</v>
      </c>
      <c r="J10" s="139" t="str">
        <f t="shared" si="2"/>
        <v>-</v>
      </c>
      <c r="K10" s="20">
        <v>0</v>
      </c>
      <c r="L10" s="21">
        <v>0</v>
      </c>
      <c r="M10" s="139" t="str">
        <f t="shared" si="3"/>
        <v>-</v>
      </c>
      <c r="N10" s="20">
        <v>0</v>
      </c>
      <c r="O10" s="21">
        <v>0</v>
      </c>
      <c r="P10" s="139" t="str">
        <f t="shared" si="4"/>
        <v>-</v>
      </c>
      <c r="Q10" s="20">
        <v>0</v>
      </c>
      <c r="R10" s="21">
        <v>0</v>
      </c>
      <c r="S10" s="139" t="str">
        <f t="shared" si="5"/>
        <v>-</v>
      </c>
      <c r="T10" s="20">
        <v>42</v>
      </c>
      <c r="U10" s="21">
        <v>7</v>
      </c>
      <c r="V10" s="139">
        <f t="shared" si="6"/>
        <v>6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10"/>
        <v>-</v>
      </c>
      <c r="AI10" s="20">
        <v>12</v>
      </c>
      <c r="AJ10" s="21">
        <v>3</v>
      </c>
      <c r="AK10" s="139">
        <f t="shared" si="11"/>
        <v>4</v>
      </c>
      <c r="AL10" s="20">
        <v>28</v>
      </c>
      <c r="AM10" s="21">
        <v>5</v>
      </c>
      <c r="AN10" s="139">
        <f t="shared" si="12"/>
        <v>5.6</v>
      </c>
      <c r="AO10" s="20">
        <v>0</v>
      </c>
      <c r="AP10" s="21">
        <v>0</v>
      </c>
      <c r="AQ10" s="139" t="str">
        <f t="shared" si="13"/>
        <v>-</v>
      </c>
      <c r="AR10" s="20">
        <v>6</v>
      </c>
      <c r="AS10" s="21">
        <v>1</v>
      </c>
      <c r="AT10" s="139">
        <f t="shared" si="14"/>
        <v>6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0</v>
      </c>
      <c r="BB10" s="21">
        <v>0</v>
      </c>
      <c r="BC10" s="139" t="str">
        <f t="shared" si="17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0">
        <v>0</v>
      </c>
      <c r="BK10" s="21">
        <v>0</v>
      </c>
      <c r="BL10" s="139" t="str">
        <f t="shared" si="20"/>
        <v>-</v>
      </c>
      <c r="BM10" s="20">
        <v>7</v>
      </c>
      <c r="BN10" s="21">
        <v>1</v>
      </c>
      <c r="BO10" s="139">
        <f t="shared" si="21"/>
        <v>7</v>
      </c>
      <c r="BP10" s="20">
        <v>7</v>
      </c>
      <c r="BQ10" s="21">
        <v>1</v>
      </c>
      <c r="BR10" s="139">
        <f t="shared" si="22"/>
        <v>7</v>
      </c>
      <c r="BS10" s="354">
        <v>6</v>
      </c>
      <c r="BT10" s="271">
        <v>1</v>
      </c>
      <c r="BU10" s="139">
        <f t="shared" si="23"/>
        <v>6</v>
      </c>
      <c r="BV10" s="355">
        <v>0</v>
      </c>
      <c r="BW10" s="21">
        <v>0</v>
      </c>
      <c r="BX10" s="278" t="str">
        <f t="shared" si="24"/>
        <v>-</v>
      </c>
      <c r="BY10" s="375">
        <f t="shared" si="27"/>
        <v>138</v>
      </c>
      <c r="BZ10" s="373">
        <f t="shared" si="26"/>
        <v>22</v>
      </c>
      <c r="CA10" s="26">
        <f t="shared" si="25"/>
        <v>6.2727272727272725</v>
      </c>
    </row>
    <row r="11" spans="1:79" x14ac:dyDescent="0.3">
      <c r="A11" s="294">
        <v>46029</v>
      </c>
      <c r="B11" s="20">
        <v>72</v>
      </c>
      <c r="C11" s="21">
        <v>7</v>
      </c>
      <c r="D11" s="139">
        <f t="shared" si="0"/>
        <v>10.285714285714286</v>
      </c>
      <c r="E11" s="125">
        <v>0</v>
      </c>
      <c r="F11" s="126">
        <v>0</v>
      </c>
      <c r="G11" s="139" t="str">
        <f t="shared" si="1"/>
        <v>-</v>
      </c>
      <c r="H11" s="125">
        <v>0</v>
      </c>
      <c r="I11" s="126">
        <v>0</v>
      </c>
      <c r="J11" s="139" t="str">
        <f t="shared" si="2"/>
        <v>-</v>
      </c>
      <c r="K11" s="125">
        <v>0</v>
      </c>
      <c r="L11" s="126">
        <v>0</v>
      </c>
      <c r="M11" s="139" t="str">
        <f t="shared" si="3"/>
        <v>-</v>
      </c>
      <c r="N11" s="125">
        <v>0</v>
      </c>
      <c r="O11" s="126">
        <v>0</v>
      </c>
      <c r="P11" s="139" t="str">
        <f t="shared" si="4"/>
        <v>-</v>
      </c>
      <c r="Q11" s="125">
        <v>0</v>
      </c>
      <c r="R11" s="126">
        <v>0</v>
      </c>
      <c r="S11" s="139" t="str">
        <f t="shared" si="5"/>
        <v>-</v>
      </c>
      <c r="T11" s="20">
        <v>34</v>
      </c>
      <c r="U11" s="21">
        <v>6</v>
      </c>
      <c r="V11" s="139">
        <f t="shared" si="6"/>
        <v>5.666666666666667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0</v>
      </c>
      <c r="AD11" s="21">
        <v>0</v>
      </c>
      <c r="AE11" s="139" t="str">
        <f t="shared" si="9"/>
        <v>-</v>
      </c>
      <c r="AF11" s="20">
        <v>0</v>
      </c>
      <c r="AG11" s="21">
        <v>0</v>
      </c>
      <c r="AH11" s="139" t="str">
        <f t="shared" si="10"/>
        <v>-</v>
      </c>
      <c r="AI11" s="20">
        <v>38</v>
      </c>
      <c r="AJ11" s="21">
        <v>7</v>
      </c>
      <c r="AK11" s="139">
        <f t="shared" si="11"/>
        <v>5.4285714285714288</v>
      </c>
      <c r="AL11" s="20">
        <v>0</v>
      </c>
      <c r="AM11" s="21">
        <v>0</v>
      </c>
      <c r="AN11" s="139" t="str">
        <f t="shared" si="12"/>
        <v>-</v>
      </c>
      <c r="AO11" s="20">
        <v>0</v>
      </c>
      <c r="AP11" s="21">
        <v>0</v>
      </c>
      <c r="AQ11" s="139" t="str">
        <f t="shared" si="13"/>
        <v>-</v>
      </c>
      <c r="AR11" s="20">
        <v>42</v>
      </c>
      <c r="AS11" s="21">
        <v>7</v>
      </c>
      <c r="AT11" s="139">
        <f t="shared" si="14"/>
        <v>6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4</v>
      </c>
      <c r="BB11" s="21">
        <v>1</v>
      </c>
      <c r="BC11" s="139">
        <f t="shared" si="17"/>
        <v>4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0">
        <v>0</v>
      </c>
      <c r="BK11" s="21">
        <v>0</v>
      </c>
      <c r="BL11" s="139" t="str">
        <f t="shared" si="20"/>
        <v>-</v>
      </c>
      <c r="BM11" s="20">
        <v>7</v>
      </c>
      <c r="BN11" s="21">
        <v>1</v>
      </c>
      <c r="BO11" s="139">
        <f t="shared" si="21"/>
        <v>7</v>
      </c>
      <c r="BP11" s="20">
        <v>0</v>
      </c>
      <c r="BQ11" s="21">
        <v>0</v>
      </c>
      <c r="BR11" s="139" t="str">
        <f t="shared" si="22"/>
        <v>-</v>
      </c>
      <c r="BS11" s="354">
        <v>41</v>
      </c>
      <c r="BT11" s="271">
        <v>6</v>
      </c>
      <c r="BU11" s="139">
        <f t="shared" si="23"/>
        <v>6.833333333333333</v>
      </c>
      <c r="BV11" s="355">
        <v>0</v>
      </c>
      <c r="BW11" s="21">
        <v>0</v>
      </c>
      <c r="BX11" s="278" t="str">
        <f t="shared" si="24"/>
        <v>-</v>
      </c>
      <c r="BY11" s="375">
        <f t="shared" si="27"/>
        <v>238</v>
      </c>
      <c r="BZ11" s="373">
        <f t="shared" si="26"/>
        <v>35</v>
      </c>
      <c r="CA11" s="26">
        <f t="shared" si="25"/>
        <v>6.8</v>
      </c>
    </row>
    <row r="12" spans="1:79" ht="16.2" customHeight="1" x14ac:dyDescent="0.3">
      <c r="A12" s="294">
        <v>46030</v>
      </c>
      <c r="B12" s="20">
        <v>69</v>
      </c>
      <c r="C12" s="21">
        <v>7</v>
      </c>
      <c r="D12" s="139">
        <f t="shared" si="0"/>
        <v>9.8571428571428577</v>
      </c>
      <c r="E12" s="125">
        <v>0</v>
      </c>
      <c r="F12" s="126">
        <v>0</v>
      </c>
      <c r="G12" s="139" t="str">
        <f t="shared" si="1"/>
        <v>-</v>
      </c>
      <c r="H12" s="125">
        <v>0</v>
      </c>
      <c r="I12" s="126">
        <v>0</v>
      </c>
      <c r="J12" s="139" t="str">
        <f t="shared" si="2"/>
        <v>-</v>
      </c>
      <c r="K12" s="125">
        <v>0</v>
      </c>
      <c r="L12" s="126">
        <v>0</v>
      </c>
      <c r="M12" s="139" t="str">
        <f t="shared" si="3"/>
        <v>-</v>
      </c>
      <c r="N12" s="125">
        <v>0</v>
      </c>
      <c r="O12" s="126">
        <v>0</v>
      </c>
      <c r="P12" s="139" t="str">
        <f t="shared" si="4"/>
        <v>-</v>
      </c>
      <c r="Q12" s="125">
        <v>0</v>
      </c>
      <c r="R12" s="126">
        <v>0</v>
      </c>
      <c r="S12" s="139" t="str">
        <f t="shared" si="5"/>
        <v>-</v>
      </c>
      <c r="T12" s="23">
        <v>27</v>
      </c>
      <c r="U12" s="21">
        <v>4</v>
      </c>
      <c r="V12" s="139">
        <f t="shared" si="6"/>
        <v>6.75</v>
      </c>
      <c r="W12" s="20">
        <v>0</v>
      </c>
      <c r="X12" s="21">
        <v>0</v>
      </c>
      <c r="Y12" s="139" t="str">
        <f t="shared" si="7"/>
        <v>-</v>
      </c>
      <c r="Z12" s="20">
        <v>0</v>
      </c>
      <c r="AA12" s="21">
        <v>0</v>
      </c>
      <c r="AB12" s="139" t="str">
        <f t="shared" si="8"/>
        <v>-</v>
      </c>
      <c r="AC12" s="20">
        <v>2</v>
      </c>
      <c r="AD12" s="21">
        <v>1</v>
      </c>
      <c r="AE12" s="139">
        <f t="shared" si="9"/>
        <v>2</v>
      </c>
      <c r="AF12" s="20">
        <v>0</v>
      </c>
      <c r="AG12" s="21">
        <v>0</v>
      </c>
      <c r="AH12" s="139" t="str">
        <f t="shared" si="10"/>
        <v>-</v>
      </c>
      <c r="AI12" s="20">
        <v>0</v>
      </c>
      <c r="AJ12" s="21">
        <v>0</v>
      </c>
      <c r="AK12" s="139" t="str">
        <f t="shared" si="11"/>
        <v>-</v>
      </c>
      <c r="AL12" s="23">
        <v>0</v>
      </c>
      <c r="AM12" s="21">
        <v>0</v>
      </c>
      <c r="AN12" s="139" t="str">
        <f t="shared" si="12"/>
        <v>-</v>
      </c>
      <c r="AO12" s="20">
        <v>0</v>
      </c>
      <c r="AP12" s="21">
        <v>0</v>
      </c>
      <c r="AQ12" s="139" t="str">
        <f t="shared" si="13"/>
        <v>-</v>
      </c>
      <c r="AR12" s="20">
        <v>6</v>
      </c>
      <c r="AS12" s="21">
        <v>1</v>
      </c>
      <c r="AT12" s="139">
        <f t="shared" si="14"/>
        <v>6</v>
      </c>
      <c r="AU12" s="20">
        <v>0</v>
      </c>
      <c r="AV12" s="21">
        <v>0</v>
      </c>
      <c r="AW12" s="139" t="str">
        <f t="shared" si="15"/>
        <v>-</v>
      </c>
      <c r="AX12" s="20">
        <v>0</v>
      </c>
      <c r="AY12" s="21">
        <v>0</v>
      </c>
      <c r="AZ12" s="139" t="str">
        <f t="shared" si="16"/>
        <v>-</v>
      </c>
      <c r="BA12" s="20">
        <v>2</v>
      </c>
      <c r="BB12" s="21">
        <v>2</v>
      </c>
      <c r="BC12" s="139">
        <f t="shared" si="17"/>
        <v>1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0">
        <v>0</v>
      </c>
      <c r="BK12" s="21">
        <v>0</v>
      </c>
      <c r="BL12" s="139" t="str">
        <f t="shared" si="20"/>
        <v>-</v>
      </c>
      <c r="BM12" s="20">
        <v>0</v>
      </c>
      <c r="BN12" s="21">
        <v>0</v>
      </c>
      <c r="BO12" s="139" t="str">
        <f t="shared" si="21"/>
        <v>-</v>
      </c>
      <c r="BP12" s="20">
        <v>0</v>
      </c>
      <c r="BQ12" s="21">
        <v>0</v>
      </c>
      <c r="BR12" s="139" t="str">
        <f t="shared" si="22"/>
        <v>-</v>
      </c>
      <c r="BS12" s="354">
        <v>0</v>
      </c>
      <c r="BT12" s="271">
        <v>0</v>
      </c>
      <c r="BU12" s="139" t="str">
        <f t="shared" si="23"/>
        <v>-</v>
      </c>
      <c r="BV12" s="355">
        <v>11</v>
      </c>
      <c r="BW12" s="21">
        <v>2</v>
      </c>
      <c r="BX12" s="278">
        <f t="shared" si="24"/>
        <v>5.5</v>
      </c>
      <c r="BY12" s="375">
        <f t="shared" si="27"/>
        <v>117</v>
      </c>
      <c r="BZ12" s="373">
        <f t="shared" si="26"/>
        <v>17</v>
      </c>
      <c r="CA12" s="26">
        <f t="shared" si="25"/>
        <v>6.882352941176471</v>
      </c>
    </row>
    <row r="13" spans="1:79" x14ac:dyDescent="0.3">
      <c r="A13" s="294">
        <v>46031</v>
      </c>
      <c r="B13" s="20">
        <v>143</v>
      </c>
      <c r="C13" s="21">
        <v>15</v>
      </c>
      <c r="D13" s="139">
        <f t="shared" si="0"/>
        <v>9.5333333333333332</v>
      </c>
      <c r="E13" s="125">
        <v>0</v>
      </c>
      <c r="F13" s="126">
        <v>0</v>
      </c>
      <c r="G13" s="139" t="str">
        <f t="shared" si="1"/>
        <v>-</v>
      </c>
      <c r="H13" s="125">
        <v>0</v>
      </c>
      <c r="I13" s="126">
        <v>0</v>
      </c>
      <c r="J13" s="139" t="str">
        <f t="shared" si="2"/>
        <v>-</v>
      </c>
      <c r="K13" s="125">
        <v>0</v>
      </c>
      <c r="L13" s="126">
        <v>0</v>
      </c>
      <c r="M13" s="139" t="str">
        <f t="shared" si="3"/>
        <v>-</v>
      </c>
      <c r="N13" s="125">
        <v>0</v>
      </c>
      <c r="O13" s="126">
        <v>0</v>
      </c>
      <c r="P13" s="139" t="str">
        <f t="shared" si="4"/>
        <v>-</v>
      </c>
      <c r="Q13" s="125">
        <v>0</v>
      </c>
      <c r="R13" s="126">
        <v>0</v>
      </c>
      <c r="S13" s="139" t="str">
        <f t="shared" si="5"/>
        <v>-</v>
      </c>
      <c r="T13" s="125">
        <v>25</v>
      </c>
      <c r="U13" s="126">
        <v>5</v>
      </c>
      <c r="V13" s="139">
        <f t="shared" si="6"/>
        <v>5</v>
      </c>
      <c r="W13" s="20">
        <v>0</v>
      </c>
      <c r="X13" s="21">
        <v>0</v>
      </c>
      <c r="Y13" s="139" t="str">
        <f t="shared" si="7"/>
        <v>-</v>
      </c>
      <c r="Z13" s="125">
        <v>0</v>
      </c>
      <c r="AA13" s="126">
        <v>0</v>
      </c>
      <c r="AB13" s="139" t="str">
        <f t="shared" si="8"/>
        <v>-</v>
      </c>
      <c r="AC13" s="20">
        <v>0</v>
      </c>
      <c r="AD13" s="21">
        <v>0</v>
      </c>
      <c r="AE13" s="139" t="str">
        <f t="shared" si="9"/>
        <v>-</v>
      </c>
      <c r="AF13" s="125">
        <v>0</v>
      </c>
      <c r="AG13" s="126">
        <v>0</v>
      </c>
      <c r="AH13" s="139" t="str">
        <f t="shared" si="10"/>
        <v>-</v>
      </c>
      <c r="AI13" s="125">
        <v>39</v>
      </c>
      <c r="AJ13" s="126">
        <v>8</v>
      </c>
      <c r="AK13" s="139">
        <f t="shared" si="11"/>
        <v>4.875</v>
      </c>
      <c r="AL13" s="125">
        <v>0</v>
      </c>
      <c r="AM13" s="126">
        <v>0</v>
      </c>
      <c r="AN13" s="139" t="str">
        <f t="shared" si="12"/>
        <v>-</v>
      </c>
      <c r="AO13" s="125">
        <v>0</v>
      </c>
      <c r="AP13" s="126">
        <v>0</v>
      </c>
      <c r="AQ13" s="139" t="str">
        <f t="shared" si="13"/>
        <v>-</v>
      </c>
      <c r="AR13" s="20">
        <v>12</v>
      </c>
      <c r="AS13" s="21">
        <v>2</v>
      </c>
      <c r="AT13" s="139">
        <f t="shared" si="14"/>
        <v>6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3</v>
      </c>
      <c r="BB13" s="21">
        <v>1</v>
      </c>
      <c r="BC13" s="139">
        <f t="shared" si="17"/>
        <v>3</v>
      </c>
      <c r="BD13" s="20">
        <v>0</v>
      </c>
      <c r="BE13" s="21">
        <v>0</v>
      </c>
      <c r="BF13" s="139" t="str">
        <f t="shared" si="18"/>
        <v>-</v>
      </c>
      <c r="BG13" s="20">
        <v>0</v>
      </c>
      <c r="BH13" s="21">
        <v>0</v>
      </c>
      <c r="BI13" s="139" t="str">
        <f t="shared" si="19"/>
        <v>-</v>
      </c>
      <c r="BJ13" s="20">
        <v>0</v>
      </c>
      <c r="BK13" s="21">
        <v>0</v>
      </c>
      <c r="BL13" s="139" t="str">
        <f t="shared" si="20"/>
        <v>-</v>
      </c>
      <c r="BM13" s="20">
        <v>11</v>
      </c>
      <c r="BN13" s="21">
        <v>2</v>
      </c>
      <c r="BO13" s="276">
        <f t="shared" si="21"/>
        <v>5.5</v>
      </c>
      <c r="BP13" s="20">
        <v>0</v>
      </c>
      <c r="BQ13" s="21">
        <v>0</v>
      </c>
      <c r="BR13" s="276" t="str">
        <f t="shared" si="22"/>
        <v>-</v>
      </c>
      <c r="BS13" s="354">
        <v>0</v>
      </c>
      <c r="BT13" s="271">
        <v>0</v>
      </c>
      <c r="BU13" s="276" t="str">
        <f t="shared" si="23"/>
        <v>-</v>
      </c>
      <c r="BV13" s="355">
        <v>5</v>
      </c>
      <c r="BW13" s="21">
        <v>1</v>
      </c>
      <c r="BX13" s="278">
        <f t="shared" si="24"/>
        <v>5</v>
      </c>
      <c r="BY13" s="375">
        <f t="shared" si="27"/>
        <v>238</v>
      </c>
      <c r="BZ13" s="373">
        <f t="shared" si="26"/>
        <v>34</v>
      </c>
      <c r="CA13" s="26">
        <f t="shared" si="25"/>
        <v>7</v>
      </c>
    </row>
    <row r="14" spans="1:79" x14ac:dyDescent="0.3">
      <c r="A14" s="294">
        <v>46032</v>
      </c>
      <c r="B14" s="20">
        <v>52</v>
      </c>
      <c r="C14" s="21">
        <v>6</v>
      </c>
      <c r="D14" s="139">
        <f t="shared" si="0"/>
        <v>8.6666666666666661</v>
      </c>
      <c r="E14" s="20">
        <v>0</v>
      </c>
      <c r="F14" s="21">
        <v>0</v>
      </c>
      <c r="G14" s="139" t="str">
        <f t="shared" si="1"/>
        <v>-</v>
      </c>
      <c r="H14" s="20">
        <v>0</v>
      </c>
      <c r="I14" s="21">
        <v>0</v>
      </c>
      <c r="J14" s="139" t="str">
        <f t="shared" si="2"/>
        <v>-</v>
      </c>
      <c r="K14" s="20">
        <v>0</v>
      </c>
      <c r="L14" s="21">
        <v>0</v>
      </c>
      <c r="M14" s="139" t="str">
        <f t="shared" si="3"/>
        <v>-</v>
      </c>
      <c r="N14" s="125">
        <v>0</v>
      </c>
      <c r="O14" s="126">
        <v>0</v>
      </c>
      <c r="P14" s="139" t="str">
        <f t="shared" si="4"/>
        <v>-</v>
      </c>
      <c r="Q14" s="125">
        <v>0</v>
      </c>
      <c r="R14" s="126">
        <v>0</v>
      </c>
      <c r="S14" s="139" t="str">
        <f t="shared" si="5"/>
        <v>-</v>
      </c>
      <c r="T14" s="20">
        <v>18</v>
      </c>
      <c r="U14" s="21">
        <v>3</v>
      </c>
      <c r="V14" s="139">
        <f t="shared" si="6"/>
        <v>6</v>
      </c>
      <c r="W14" s="125">
        <v>0</v>
      </c>
      <c r="X14" s="126">
        <v>0</v>
      </c>
      <c r="Y14" s="139" t="str">
        <f t="shared" si="7"/>
        <v>-</v>
      </c>
      <c r="Z14" s="125">
        <v>0</v>
      </c>
      <c r="AA14" s="126">
        <v>0</v>
      </c>
      <c r="AB14" s="139" t="str">
        <f t="shared" si="8"/>
        <v>-</v>
      </c>
      <c r="AC14" s="125">
        <v>26</v>
      </c>
      <c r="AD14" s="126">
        <v>5</v>
      </c>
      <c r="AE14" s="139">
        <f t="shared" si="9"/>
        <v>5.2</v>
      </c>
      <c r="AF14" s="20">
        <v>0</v>
      </c>
      <c r="AG14" s="21">
        <v>0</v>
      </c>
      <c r="AH14" s="139" t="str">
        <f t="shared" si="10"/>
        <v>-</v>
      </c>
      <c r="AI14" s="125">
        <v>2</v>
      </c>
      <c r="AJ14" s="126">
        <v>1</v>
      </c>
      <c r="AK14" s="139">
        <f t="shared" si="11"/>
        <v>2</v>
      </c>
      <c r="AL14" s="125">
        <v>12</v>
      </c>
      <c r="AM14" s="126">
        <v>2</v>
      </c>
      <c r="AN14" s="139">
        <f t="shared" si="12"/>
        <v>6</v>
      </c>
      <c r="AO14" s="125">
        <v>0</v>
      </c>
      <c r="AP14" s="126">
        <v>0</v>
      </c>
      <c r="AQ14" s="139" t="str">
        <f t="shared" si="13"/>
        <v>-</v>
      </c>
      <c r="AR14" s="20">
        <v>49</v>
      </c>
      <c r="AS14" s="21">
        <v>8</v>
      </c>
      <c r="AT14" s="139">
        <f t="shared" si="14"/>
        <v>6.125</v>
      </c>
      <c r="AU14" s="20">
        <v>0</v>
      </c>
      <c r="AV14" s="21">
        <v>0</v>
      </c>
      <c r="AW14" s="139" t="str">
        <f t="shared" si="15"/>
        <v>-</v>
      </c>
      <c r="AX14" s="20">
        <v>0</v>
      </c>
      <c r="AY14" s="21">
        <v>0</v>
      </c>
      <c r="AZ14" s="139" t="str">
        <f t="shared" si="16"/>
        <v>-</v>
      </c>
      <c r="BA14" s="20">
        <v>0</v>
      </c>
      <c r="BB14" s="21">
        <v>0</v>
      </c>
      <c r="BC14" s="139" t="str">
        <f t="shared" si="17"/>
        <v>-</v>
      </c>
      <c r="BD14" s="20">
        <v>0</v>
      </c>
      <c r="BE14" s="21">
        <v>0</v>
      </c>
      <c r="BF14" s="139" t="str">
        <f t="shared" si="18"/>
        <v>-</v>
      </c>
      <c r="BG14" s="20">
        <v>0</v>
      </c>
      <c r="BH14" s="21">
        <v>0</v>
      </c>
      <c r="BI14" s="139" t="str">
        <f t="shared" si="19"/>
        <v>-</v>
      </c>
      <c r="BJ14" s="20">
        <v>0</v>
      </c>
      <c r="BK14" s="21">
        <v>0</v>
      </c>
      <c r="BL14" s="139" t="str">
        <f t="shared" si="20"/>
        <v>-</v>
      </c>
      <c r="BM14" s="20">
        <v>10</v>
      </c>
      <c r="BN14" s="21">
        <v>2</v>
      </c>
      <c r="BO14" s="276">
        <f t="shared" si="21"/>
        <v>5</v>
      </c>
      <c r="BP14" s="20">
        <v>0</v>
      </c>
      <c r="BQ14" s="21">
        <v>0</v>
      </c>
      <c r="BR14" s="276" t="str">
        <f t="shared" si="22"/>
        <v>-</v>
      </c>
      <c r="BS14" s="354">
        <v>0</v>
      </c>
      <c r="BT14" s="271">
        <v>0</v>
      </c>
      <c r="BU14" s="276" t="str">
        <f t="shared" si="23"/>
        <v>-</v>
      </c>
      <c r="BV14" s="355">
        <v>0</v>
      </c>
      <c r="BW14" s="21">
        <v>0</v>
      </c>
      <c r="BX14" s="277" t="str">
        <f t="shared" si="24"/>
        <v>-</v>
      </c>
      <c r="BY14" s="375">
        <f t="shared" si="27"/>
        <v>169</v>
      </c>
      <c r="BZ14" s="373">
        <f t="shared" si="26"/>
        <v>27</v>
      </c>
      <c r="CA14" s="26">
        <f t="shared" si="25"/>
        <v>6.2592592592592595</v>
      </c>
    </row>
    <row r="15" spans="1:79" x14ac:dyDescent="0.3">
      <c r="A15" s="294">
        <v>46033</v>
      </c>
      <c r="B15" s="20">
        <v>34</v>
      </c>
      <c r="C15" s="21">
        <v>4</v>
      </c>
      <c r="D15" s="139">
        <f t="shared" si="0"/>
        <v>8.5</v>
      </c>
      <c r="E15" s="20">
        <v>0</v>
      </c>
      <c r="F15" s="21">
        <v>0</v>
      </c>
      <c r="G15" s="139" t="str">
        <f t="shared" si="1"/>
        <v>-</v>
      </c>
      <c r="H15" s="20">
        <v>0</v>
      </c>
      <c r="I15" s="21">
        <v>0</v>
      </c>
      <c r="J15" s="139" t="str">
        <f t="shared" si="2"/>
        <v>-</v>
      </c>
      <c r="K15" s="20">
        <v>0</v>
      </c>
      <c r="L15" s="21">
        <v>0</v>
      </c>
      <c r="M15" s="139" t="str">
        <f t="shared" si="3"/>
        <v>-</v>
      </c>
      <c r="N15" s="125">
        <v>0</v>
      </c>
      <c r="O15" s="126">
        <v>0</v>
      </c>
      <c r="P15" s="139" t="str">
        <f t="shared" si="4"/>
        <v>-</v>
      </c>
      <c r="Q15" s="125">
        <v>0</v>
      </c>
      <c r="R15" s="126">
        <v>0</v>
      </c>
      <c r="S15" s="139" t="str">
        <f t="shared" si="5"/>
        <v>-</v>
      </c>
      <c r="T15" s="20">
        <v>0</v>
      </c>
      <c r="U15" s="21">
        <v>0</v>
      </c>
      <c r="V15" s="139" t="str">
        <f t="shared" si="6"/>
        <v>-</v>
      </c>
      <c r="W15" s="125">
        <v>0</v>
      </c>
      <c r="X15" s="126">
        <v>0</v>
      </c>
      <c r="Y15" s="139" t="str">
        <f t="shared" si="7"/>
        <v>-</v>
      </c>
      <c r="Z15" s="125">
        <v>0</v>
      </c>
      <c r="AA15" s="126">
        <v>0</v>
      </c>
      <c r="AB15" s="139" t="str">
        <f t="shared" si="8"/>
        <v>-</v>
      </c>
      <c r="AC15" s="125">
        <v>0</v>
      </c>
      <c r="AD15" s="126">
        <v>0</v>
      </c>
      <c r="AE15" s="139" t="str">
        <f t="shared" si="9"/>
        <v>-</v>
      </c>
      <c r="AF15" s="20">
        <v>0</v>
      </c>
      <c r="AG15" s="21">
        <v>0</v>
      </c>
      <c r="AH15" s="139" t="str">
        <f t="shared" si="10"/>
        <v>-</v>
      </c>
      <c r="AI15" s="23">
        <v>0</v>
      </c>
      <c r="AJ15" s="21">
        <v>0</v>
      </c>
      <c r="AK15" s="139" t="str">
        <f t="shared" si="11"/>
        <v>-</v>
      </c>
      <c r="AL15" s="23">
        <v>0</v>
      </c>
      <c r="AM15" s="21">
        <v>0</v>
      </c>
      <c r="AN15" s="139" t="str">
        <f t="shared" si="12"/>
        <v>-</v>
      </c>
      <c r="AO15" s="125">
        <v>0</v>
      </c>
      <c r="AP15" s="126">
        <v>0</v>
      </c>
      <c r="AQ15" s="139" t="str">
        <f t="shared" si="13"/>
        <v>-</v>
      </c>
      <c r="AR15" s="2">
        <v>0</v>
      </c>
      <c r="AS15" s="21">
        <v>0</v>
      </c>
      <c r="AT15" s="139" t="str">
        <f t="shared" si="14"/>
        <v>-</v>
      </c>
      <c r="AU15" s="20">
        <v>0</v>
      </c>
      <c r="AV15" s="21">
        <v>0</v>
      </c>
      <c r="AW15" s="139" t="str">
        <f t="shared" si="15"/>
        <v>-</v>
      </c>
      <c r="AX15" s="20">
        <v>0</v>
      </c>
      <c r="AY15" s="21">
        <v>0</v>
      </c>
      <c r="AZ15" s="139" t="str">
        <f t="shared" si="16"/>
        <v>-</v>
      </c>
      <c r="BA15" s="20">
        <v>0</v>
      </c>
      <c r="BB15" s="21">
        <v>0</v>
      </c>
      <c r="BC15" s="139" t="str">
        <f t="shared" si="17"/>
        <v>-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0">
        <v>0</v>
      </c>
      <c r="BK15" s="21">
        <v>0</v>
      </c>
      <c r="BL15" s="139" t="str">
        <f t="shared" si="20"/>
        <v>-</v>
      </c>
      <c r="BM15" s="20">
        <v>0</v>
      </c>
      <c r="BN15" s="21">
        <v>0</v>
      </c>
      <c r="BO15" s="276" t="str">
        <f t="shared" si="21"/>
        <v>-</v>
      </c>
      <c r="BP15" s="20">
        <v>0</v>
      </c>
      <c r="BQ15" s="21">
        <v>0</v>
      </c>
      <c r="BR15" s="276" t="str">
        <f t="shared" si="22"/>
        <v>-</v>
      </c>
      <c r="BS15" s="354">
        <v>0</v>
      </c>
      <c r="BT15" s="271">
        <v>0</v>
      </c>
      <c r="BU15" s="276" t="str">
        <f t="shared" si="23"/>
        <v>-</v>
      </c>
      <c r="BV15" s="355">
        <v>0</v>
      </c>
      <c r="BW15" s="21">
        <v>0</v>
      </c>
      <c r="BX15" s="277" t="str">
        <f t="shared" si="24"/>
        <v>-</v>
      </c>
      <c r="BY15" s="375">
        <f t="shared" si="27"/>
        <v>34</v>
      </c>
      <c r="BZ15" s="373">
        <f t="shared" si="26"/>
        <v>4</v>
      </c>
      <c r="CA15" s="26">
        <f t="shared" si="25"/>
        <v>8.5</v>
      </c>
    </row>
    <row r="16" spans="1:79" x14ac:dyDescent="0.3">
      <c r="A16" s="294">
        <v>46034</v>
      </c>
      <c r="B16" s="20">
        <v>81</v>
      </c>
      <c r="C16" s="21">
        <v>10</v>
      </c>
      <c r="D16" s="139">
        <f t="shared" si="0"/>
        <v>8.1</v>
      </c>
      <c r="E16" s="20">
        <v>0</v>
      </c>
      <c r="F16" s="21">
        <v>0</v>
      </c>
      <c r="G16" s="139" t="str">
        <f t="shared" si="1"/>
        <v>-</v>
      </c>
      <c r="H16" s="20">
        <v>0</v>
      </c>
      <c r="I16" s="21">
        <v>0</v>
      </c>
      <c r="J16" s="139" t="str">
        <f t="shared" si="2"/>
        <v>-</v>
      </c>
      <c r="K16" s="20">
        <v>8</v>
      </c>
      <c r="L16" s="21">
        <v>1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125">
        <v>0</v>
      </c>
      <c r="R16" s="126">
        <v>0</v>
      </c>
      <c r="S16" s="139" t="str">
        <f t="shared" si="5"/>
        <v>-</v>
      </c>
      <c r="T16" s="125">
        <v>48</v>
      </c>
      <c r="U16" s="126">
        <v>8</v>
      </c>
      <c r="V16" s="139">
        <f t="shared" si="6"/>
        <v>6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8"/>
        <v>-</v>
      </c>
      <c r="AC16" s="20">
        <v>0</v>
      </c>
      <c r="AD16" s="21">
        <v>0</v>
      </c>
      <c r="AE16" s="139" t="str">
        <f t="shared" si="9"/>
        <v>-</v>
      </c>
      <c r="AF16" s="20">
        <v>0</v>
      </c>
      <c r="AG16" s="21">
        <v>0</v>
      </c>
      <c r="AH16" s="139" t="str">
        <f t="shared" si="10"/>
        <v>-</v>
      </c>
      <c r="AI16" s="20">
        <v>54</v>
      </c>
      <c r="AJ16" s="21">
        <v>11</v>
      </c>
      <c r="AK16" s="139">
        <f t="shared" si="11"/>
        <v>4.9090909090909092</v>
      </c>
      <c r="AL16" s="20">
        <v>0</v>
      </c>
      <c r="AM16" s="21">
        <v>0</v>
      </c>
      <c r="AN16" s="139" t="str">
        <f t="shared" si="12"/>
        <v>-</v>
      </c>
      <c r="AO16" s="20">
        <v>12</v>
      </c>
      <c r="AP16" s="21">
        <v>2</v>
      </c>
      <c r="AQ16" s="139">
        <f t="shared" si="13"/>
        <v>6</v>
      </c>
      <c r="AR16" s="20">
        <v>0</v>
      </c>
      <c r="AS16" s="21">
        <v>0</v>
      </c>
      <c r="AT16" s="139" t="str">
        <f t="shared" si="14"/>
        <v>-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16"/>
        <v>-</v>
      </c>
      <c r="BA16" s="20">
        <v>1</v>
      </c>
      <c r="BB16" s="21">
        <v>1</v>
      </c>
      <c r="BC16" s="139">
        <f t="shared" si="17"/>
        <v>1</v>
      </c>
      <c r="BD16" s="20">
        <v>0</v>
      </c>
      <c r="BE16" s="21">
        <v>0</v>
      </c>
      <c r="BF16" s="139" t="str">
        <f t="shared" si="18"/>
        <v>-</v>
      </c>
      <c r="BG16" s="20">
        <v>6</v>
      </c>
      <c r="BH16" s="21">
        <v>1</v>
      </c>
      <c r="BI16" s="139">
        <f t="shared" si="19"/>
        <v>6</v>
      </c>
      <c r="BJ16" s="20">
        <v>0</v>
      </c>
      <c r="BK16" s="21">
        <v>0</v>
      </c>
      <c r="BL16" s="139" t="str">
        <f t="shared" si="20"/>
        <v>-</v>
      </c>
      <c r="BM16" s="20">
        <v>15</v>
      </c>
      <c r="BN16" s="21">
        <v>3</v>
      </c>
      <c r="BO16" s="276">
        <f t="shared" si="21"/>
        <v>5</v>
      </c>
      <c r="BP16" s="20">
        <v>0</v>
      </c>
      <c r="BQ16" s="21">
        <v>0</v>
      </c>
      <c r="BR16" s="276" t="str">
        <f t="shared" si="22"/>
        <v>-</v>
      </c>
      <c r="BS16" s="354">
        <v>0</v>
      </c>
      <c r="BT16" s="271">
        <v>0</v>
      </c>
      <c r="BU16" s="276" t="str">
        <f t="shared" si="23"/>
        <v>-</v>
      </c>
      <c r="BV16" s="355">
        <v>0</v>
      </c>
      <c r="BW16" s="21">
        <v>0</v>
      </c>
      <c r="BX16" s="277" t="str">
        <f t="shared" si="24"/>
        <v>-</v>
      </c>
      <c r="BY16" s="375">
        <f t="shared" si="27"/>
        <v>225</v>
      </c>
      <c r="BZ16" s="373">
        <f t="shared" si="26"/>
        <v>37</v>
      </c>
      <c r="CA16" s="26">
        <f t="shared" si="25"/>
        <v>6.0810810810810807</v>
      </c>
    </row>
    <row r="17" spans="1:79" x14ac:dyDescent="0.3">
      <c r="A17" s="294">
        <v>46035</v>
      </c>
      <c r="B17" s="20">
        <v>24</v>
      </c>
      <c r="C17" s="21">
        <v>3</v>
      </c>
      <c r="D17" s="139">
        <f t="shared" si="0"/>
        <v>8</v>
      </c>
      <c r="E17" s="20">
        <v>8</v>
      </c>
      <c r="F17" s="21">
        <v>1</v>
      </c>
      <c r="G17" s="139">
        <f t="shared" si="1"/>
        <v>8</v>
      </c>
      <c r="H17" s="20">
        <v>0</v>
      </c>
      <c r="I17" s="21">
        <v>0</v>
      </c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0</v>
      </c>
      <c r="R17" s="126">
        <v>0</v>
      </c>
      <c r="S17" s="139" t="str">
        <f t="shared" si="5"/>
        <v>-</v>
      </c>
      <c r="T17" s="125">
        <v>65</v>
      </c>
      <c r="U17" s="126">
        <v>11</v>
      </c>
      <c r="V17" s="139">
        <f t="shared" si="6"/>
        <v>5.9090909090909092</v>
      </c>
      <c r="W17" s="20">
        <v>0</v>
      </c>
      <c r="X17" s="21">
        <v>0</v>
      </c>
      <c r="Y17" s="139" t="str">
        <f t="shared" si="7"/>
        <v>-</v>
      </c>
      <c r="Z17" s="20">
        <v>0</v>
      </c>
      <c r="AA17" s="21">
        <v>0</v>
      </c>
      <c r="AB17" s="139" t="str">
        <f t="shared" si="8"/>
        <v>-</v>
      </c>
      <c r="AC17" s="20">
        <v>0</v>
      </c>
      <c r="AD17" s="21">
        <v>0</v>
      </c>
      <c r="AE17" s="139" t="str">
        <f t="shared" si="9"/>
        <v>-</v>
      </c>
      <c r="AF17" s="20">
        <v>50</v>
      </c>
      <c r="AG17" s="21">
        <v>10</v>
      </c>
      <c r="AH17" s="139">
        <f t="shared" si="10"/>
        <v>5</v>
      </c>
      <c r="AI17" s="20">
        <v>61</v>
      </c>
      <c r="AJ17" s="21">
        <v>13</v>
      </c>
      <c r="AK17" s="139">
        <f t="shared" si="11"/>
        <v>4.6923076923076925</v>
      </c>
      <c r="AL17" s="20">
        <v>0</v>
      </c>
      <c r="AM17" s="21">
        <v>0</v>
      </c>
      <c r="AN17" s="139" t="str">
        <f t="shared" si="12"/>
        <v>-</v>
      </c>
      <c r="AO17" s="20">
        <v>0</v>
      </c>
      <c r="AP17" s="21">
        <v>0</v>
      </c>
      <c r="AQ17" s="139" t="str">
        <f t="shared" si="13"/>
        <v>-</v>
      </c>
      <c r="AR17" s="20">
        <v>0</v>
      </c>
      <c r="AS17" s="21">
        <v>0</v>
      </c>
      <c r="AT17" s="139" t="str">
        <f t="shared" si="14"/>
        <v>-</v>
      </c>
      <c r="AU17" s="20">
        <v>0</v>
      </c>
      <c r="AV17" s="21">
        <v>0</v>
      </c>
      <c r="AW17" s="139" t="str">
        <f t="shared" si="15"/>
        <v>-</v>
      </c>
      <c r="AX17" s="20">
        <v>0</v>
      </c>
      <c r="AY17" s="21">
        <v>0</v>
      </c>
      <c r="AZ17" s="139" t="str">
        <f t="shared" si="16"/>
        <v>-</v>
      </c>
      <c r="BA17" s="20">
        <v>0</v>
      </c>
      <c r="BB17" s="21">
        <v>0</v>
      </c>
      <c r="BC17" s="139" t="str">
        <f t="shared" si="17"/>
        <v>-</v>
      </c>
      <c r="BD17" s="20">
        <v>0</v>
      </c>
      <c r="BE17" s="21">
        <v>0</v>
      </c>
      <c r="BF17" s="139" t="str">
        <f t="shared" si="18"/>
        <v>-</v>
      </c>
      <c r="BG17" s="20">
        <v>5</v>
      </c>
      <c r="BH17" s="21">
        <v>1</v>
      </c>
      <c r="BI17" s="139">
        <f t="shared" si="19"/>
        <v>5</v>
      </c>
      <c r="BJ17" s="20">
        <v>0</v>
      </c>
      <c r="BK17" s="21">
        <v>0</v>
      </c>
      <c r="BL17" s="139" t="str">
        <f t="shared" si="20"/>
        <v>-</v>
      </c>
      <c r="BM17" s="20">
        <v>0</v>
      </c>
      <c r="BN17" s="21">
        <v>0</v>
      </c>
      <c r="BO17" s="276" t="str">
        <f t="shared" si="21"/>
        <v>-</v>
      </c>
      <c r="BP17" s="20">
        <v>0</v>
      </c>
      <c r="BQ17" s="21">
        <v>0</v>
      </c>
      <c r="BR17" s="276" t="str">
        <f t="shared" si="22"/>
        <v>-</v>
      </c>
      <c r="BS17" s="354">
        <v>0</v>
      </c>
      <c r="BT17" s="271">
        <v>0</v>
      </c>
      <c r="BU17" s="276" t="str">
        <f t="shared" si="23"/>
        <v>-</v>
      </c>
      <c r="BV17" s="355">
        <v>0</v>
      </c>
      <c r="BW17" s="21">
        <v>0</v>
      </c>
      <c r="BX17" s="277" t="str">
        <f t="shared" si="24"/>
        <v>-</v>
      </c>
      <c r="BY17" s="375">
        <f t="shared" si="27"/>
        <v>213</v>
      </c>
      <c r="BZ17" s="373">
        <f t="shared" si="26"/>
        <v>39</v>
      </c>
      <c r="CA17" s="26">
        <f t="shared" si="25"/>
        <v>5.4615384615384617</v>
      </c>
    </row>
    <row r="18" spans="1:79" x14ac:dyDescent="0.3">
      <c r="A18" s="294">
        <v>46036</v>
      </c>
      <c r="B18" s="20">
        <v>72</v>
      </c>
      <c r="C18" s="21">
        <v>8</v>
      </c>
      <c r="D18" s="139">
        <f t="shared" si="0"/>
        <v>9</v>
      </c>
      <c r="E18" s="20">
        <v>0</v>
      </c>
      <c r="F18" s="21">
        <v>0</v>
      </c>
      <c r="G18" s="139" t="str">
        <f t="shared" si="1"/>
        <v>-</v>
      </c>
      <c r="H18" s="20">
        <v>0</v>
      </c>
      <c r="I18" s="21">
        <v>0</v>
      </c>
      <c r="J18" s="139" t="str">
        <f t="shared" si="2"/>
        <v>-</v>
      </c>
      <c r="K18" s="20">
        <v>0</v>
      </c>
      <c r="L18" s="21">
        <v>0</v>
      </c>
      <c r="M18" s="139" t="str">
        <f t="shared" si="3"/>
        <v>-</v>
      </c>
      <c r="N18" s="125">
        <v>0</v>
      </c>
      <c r="O18" s="126">
        <v>0</v>
      </c>
      <c r="P18" s="139" t="str">
        <f t="shared" si="4"/>
        <v>-</v>
      </c>
      <c r="Q18" s="125">
        <v>0</v>
      </c>
      <c r="R18" s="126">
        <v>0</v>
      </c>
      <c r="S18" s="139" t="str">
        <f t="shared" si="5"/>
        <v>-</v>
      </c>
      <c r="T18" s="125">
        <v>37</v>
      </c>
      <c r="U18" s="126">
        <v>7</v>
      </c>
      <c r="V18" s="139">
        <f t="shared" si="6"/>
        <v>5.2857142857142856</v>
      </c>
      <c r="W18" s="125">
        <v>0</v>
      </c>
      <c r="X18" s="126">
        <v>0</v>
      </c>
      <c r="Y18" s="139" t="str">
        <f t="shared" si="7"/>
        <v>-</v>
      </c>
      <c r="Z18" s="125">
        <v>0</v>
      </c>
      <c r="AA18" s="126">
        <v>0</v>
      </c>
      <c r="AB18" s="139" t="str">
        <f t="shared" si="8"/>
        <v>-</v>
      </c>
      <c r="AC18" s="125">
        <v>0</v>
      </c>
      <c r="AD18" s="126"/>
      <c r="AE18" s="139" t="str">
        <f t="shared" si="9"/>
        <v>-</v>
      </c>
      <c r="AF18" s="125">
        <v>79</v>
      </c>
      <c r="AG18" s="126">
        <v>15</v>
      </c>
      <c r="AH18" s="139">
        <f t="shared" si="10"/>
        <v>5.2666666666666666</v>
      </c>
      <c r="AI18" s="356">
        <v>30</v>
      </c>
      <c r="AJ18" s="126">
        <v>6</v>
      </c>
      <c r="AK18" s="139">
        <f t="shared" si="11"/>
        <v>5</v>
      </c>
      <c r="AL18" s="125">
        <v>12</v>
      </c>
      <c r="AM18" s="126">
        <v>2</v>
      </c>
      <c r="AN18" s="139">
        <f t="shared" si="12"/>
        <v>6</v>
      </c>
      <c r="AO18" s="125">
        <v>0</v>
      </c>
      <c r="AP18" s="126">
        <v>0</v>
      </c>
      <c r="AQ18" s="139" t="str">
        <f t="shared" si="13"/>
        <v>-</v>
      </c>
      <c r="AR18" s="125">
        <v>18</v>
      </c>
      <c r="AS18" s="126">
        <v>3</v>
      </c>
      <c r="AT18" s="139">
        <f t="shared" si="14"/>
        <v>6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1</v>
      </c>
      <c r="BB18" s="21">
        <v>1</v>
      </c>
      <c r="BC18" s="139">
        <f t="shared" si="17"/>
        <v>1</v>
      </c>
      <c r="BD18" s="20">
        <v>0</v>
      </c>
      <c r="BE18" s="21">
        <v>0</v>
      </c>
      <c r="BF18" s="139" t="str">
        <f t="shared" si="18"/>
        <v>-</v>
      </c>
      <c r="BG18" s="20">
        <v>12</v>
      </c>
      <c r="BH18" s="21">
        <v>2</v>
      </c>
      <c r="BI18" s="139">
        <f>IF(BH18=0,"-",BG18/BH18)</f>
        <v>6</v>
      </c>
      <c r="BJ18" s="20">
        <v>0</v>
      </c>
      <c r="BK18" s="21">
        <v>0</v>
      </c>
      <c r="BL18" s="139" t="str">
        <f t="shared" si="20"/>
        <v>-</v>
      </c>
      <c r="BM18" s="270">
        <v>0</v>
      </c>
      <c r="BN18" s="271">
        <v>0</v>
      </c>
      <c r="BO18" s="276" t="str">
        <f t="shared" si="21"/>
        <v>-</v>
      </c>
      <c r="BP18" s="20">
        <v>0</v>
      </c>
      <c r="BQ18" s="21">
        <v>0</v>
      </c>
      <c r="BR18" s="276" t="str">
        <f t="shared" si="22"/>
        <v>-</v>
      </c>
      <c r="BS18" s="354">
        <v>0</v>
      </c>
      <c r="BT18" s="271">
        <v>0</v>
      </c>
      <c r="BU18" s="276" t="str">
        <f t="shared" si="23"/>
        <v>-</v>
      </c>
      <c r="BV18" s="355">
        <v>0</v>
      </c>
      <c r="BW18" s="21">
        <v>0</v>
      </c>
      <c r="BX18" s="277" t="str">
        <f t="shared" si="24"/>
        <v>-</v>
      </c>
      <c r="BY18" s="375">
        <f t="shared" si="27"/>
        <v>261</v>
      </c>
      <c r="BZ18" s="373">
        <f t="shared" si="26"/>
        <v>44</v>
      </c>
      <c r="CA18" s="26">
        <f t="shared" si="25"/>
        <v>5.9318181818181817</v>
      </c>
    </row>
    <row r="19" spans="1:79" x14ac:dyDescent="0.3">
      <c r="A19" s="294">
        <v>46037</v>
      </c>
      <c r="B19" s="20">
        <v>85</v>
      </c>
      <c r="C19" s="21">
        <v>10</v>
      </c>
      <c r="D19" s="139">
        <f t="shared" si="0"/>
        <v>8.5</v>
      </c>
      <c r="E19" s="20">
        <v>0</v>
      </c>
      <c r="F19" s="21">
        <v>0</v>
      </c>
      <c r="G19" s="139" t="str">
        <f t="shared" si="1"/>
        <v>-</v>
      </c>
      <c r="H19" s="20">
        <v>0</v>
      </c>
      <c r="I19" s="21">
        <v>0</v>
      </c>
      <c r="J19" s="139" t="str">
        <f t="shared" si="2"/>
        <v>-</v>
      </c>
      <c r="K19" s="20">
        <v>34</v>
      </c>
      <c r="L19" s="21">
        <v>4</v>
      </c>
      <c r="M19" s="139">
        <f t="shared" si="3"/>
        <v>8.5</v>
      </c>
      <c r="N19" s="125">
        <v>0</v>
      </c>
      <c r="O19" s="126">
        <v>0</v>
      </c>
      <c r="P19" s="139" t="str">
        <f t="shared" si="4"/>
        <v>-</v>
      </c>
      <c r="Q19" s="125">
        <v>0</v>
      </c>
      <c r="R19" s="126">
        <v>0</v>
      </c>
      <c r="S19" s="139" t="str">
        <f t="shared" si="5"/>
        <v>-</v>
      </c>
      <c r="T19" s="125">
        <v>46</v>
      </c>
      <c r="U19" s="126">
        <v>8</v>
      </c>
      <c r="V19" s="139">
        <f t="shared" si="6"/>
        <v>5.75</v>
      </c>
      <c r="W19" s="125">
        <v>6</v>
      </c>
      <c r="X19" s="126">
        <v>1</v>
      </c>
      <c r="Y19" s="139">
        <f t="shared" si="7"/>
        <v>6</v>
      </c>
      <c r="Z19" s="125">
        <v>0</v>
      </c>
      <c r="AA19" s="126">
        <v>0</v>
      </c>
      <c r="AB19" s="139" t="str">
        <f t="shared" si="8"/>
        <v>-</v>
      </c>
      <c r="AC19" s="125">
        <v>69</v>
      </c>
      <c r="AD19" s="126">
        <v>12</v>
      </c>
      <c r="AE19" s="139">
        <f t="shared" si="9"/>
        <v>5.75</v>
      </c>
      <c r="AF19" s="125">
        <v>0</v>
      </c>
      <c r="AG19" s="126">
        <v>0</v>
      </c>
      <c r="AH19" s="139" t="str">
        <f t="shared" si="10"/>
        <v>-</v>
      </c>
      <c r="AI19" s="125">
        <v>40</v>
      </c>
      <c r="AJ19" s="126">
        <v>8</v>
      </c>
      <c r="AK19" s="139">
        <f t="shared" si="11"/>
        <v>5</v>
      </c>
      <c r="AL19" s="125">
        <v>0</v>
      </c>
      <c r="AM19" s="126">
        <v>0</v>
      </c>
      <c r="AN19" s="139" t="str">
        <f t="shared" si="12"/>
        <v>-</v>
      </c>
      <c r="AO19" s="125">
        <v>0</v>
      </c>
      <c r="AP19" s="126">
        <v>0</v>
      </c>
      <c r="AQ19" s="139" t="str">
        <f t="shared" si="13"/>
        <v>-</v>
      </c>
      <c r="AR19" s="125">
        <v>0</v>
      </c>
      <c r="AS19" s="126">
        <v>0</v>
      </c>
      <c r="AT19" s="139" t="str">
        <f t="shared" si="14"/>
        <v>-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0</v>
      </c>
      <c r="BB19" s="21">
        <v>0</v>
      </c>
      <c r="BC19" s="139" t="str">
        <f t="shared" si="17"/>
        <v>-</v>
      </c>
      <c r="BD19" s="20">
        <v>0</v>
      </c>
      <c r="BE19" s="21">
        <v>0</v>
      </c>
      <c r="BF19" s="139" t="str">
        <f t="shared" si="18"/>
        <v>-</v>
      </c>
      <c r="BG19" s="20">
        <v>8</v>
      </c>
      <c r="BH19" s="21">
        <v>2</v>
      </c>
      <c r="BI19" s="139">
        <f>IF(BH19=0,"-",BG19/BH19)</f>
        <v>4</v>
      </c>
      <c r="BJ19" s="20">
        <v>0</v>
      </c>
      <c r="BK19" s="21">
        <v>0</v>
      </c>
      <c r="BL19" s="139" t="str">
        <f t="shared" si="20"/>
        <v>-</v>
      </c>
      <c r="BM19" s="20">
        <v>0</v>
      </c>
      <c r="BN19" s="21">
        <v>0</v>
      </c>
      <c r="BO19" s="276" t="str">
        <f t="shared" si="21"/>
        <v>-</v>
      </c>
      <c r="BP19" s="20">
        <v>0</v>
      </c>
      <c r="BQ19" s="21">
        <v>0</v>
      </c>
      <c r="BR19" s="276" t="str">
        <f t="shared" si="22"/>
        <v>-</v>
      </c>
      <c r="BS19" s="354">
        <v>0</v>
      </c>
      <c r="BT19" s="271">
        <v>0</v>
      </c>
      <c r="BU19" s="276" t="str">
        <f t="shared" si="23"/>
        <v>-</v>
      </c>
      <c r="BV19" s="355">
        <v>0</v>
      </c>
      <c r="BW19" s="21">
        <v>0</v>
      </c>
      <c r="BX19" s="277" t="str">
        <f t="shared" si="24"/>
        <v>-</v>
      </c>
      <c r="BY19" s="375">
        <f t="shared" si="27"/>
        <v>288</v>
      </c>
      <c r="BZ19" s="373">
        <f t="shared" si="26"/>
        <v>45</v>
      </c>
      <c r="CA19" s="26">
        <f t="shared" si="25"/>
        <v>6.4</v>
      </c>
    </row>
    <row r="20" spans="1:79" x14ac:dyDescent="0.3">
      <c r="A20" s="294">
        <v>46038</v>
      </c>
      <c r="B20" s="20">
        <v>61</v>
      </c>
      <c r="C20" s="21">
        <v>7</v>
      </c>
      <c r="D20" s="139">
        <f t="shared" si="0"/>
        <v>8.7142857142857135</v>
      </c>
      <c r="E20" s="20">
        <v>16</v>
      </c>
      <c r="F20" s="21">
        <v>2</v>
      </c>
      <c r="G20" s="139">
        <f t="shared" si="1"/>
        <v>8</v>
      </c>
      <c r="H20" s="20">
        <v>0</v>
      </c>
      <c r="I20" s="21">
        <v>0</v>
      </c>
      <c r="J20" s="139" t="str">
        <f t="shared" si="2"/>
        <v>-</v>
      </c>
      <c r="K20" s="20">
        <v>8</v>
      </c>
      <c r="L20" s="21">
        <v>1</v>
      </c>
      <c r="M20" s="139">
        <f t="shared" si="3"/>
        <v>8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53</v>
      </c>
      <c r="U20" s="21">
        <v>9</v>
      </c>
      <c r="V20" s="139">
        <f t="shared" si="6"/>
        <v>5.8888888888888893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0</v>
      </c>
      <c r="AD20" s="21">
        <v>0</v>
      </c>
      <c r="AE20" s="139" t="str">
        <f t="shared" si="9"/>
        <v>-</v>
      </c>
      <c r="AF20" s="125">
        <v>0</v>
      </c>
      <c r="AG20" s="126">
        <v>0</v>
      </c>
      <c r="AH20" s="139" t="str">
        <f t="shared" si="10"/>
        <v>-</v>
      </c>
      <c r="AI20" s="125">
        <v>40</v>
      </c>
      <c r="AJ20" s="126">
        <v>8</v>
      </c>
      <c r="AK20" s="139">
        <f t="shared" si="11"/>
        <v>5</v>
      </c>
      <c r="AL20" s="125">
        <v>0</v>
      </c>
      <c r="AM20" s="126">
        <v>0</v>
      </c>
      <c r="AN20" s="139" t="str">
        <f t="shared" si="12"/>
        <v>-</v>
      </c>
      <c r="AO20" s="125">
        <v>0</v>
      </c>
      <c r="AP20" s="126">
        <v>0</v>
      </c>
      <c r="AQ20" s="139" t="str">
        <f t="shared" si="13"/>
        <v>-</v>
      </c>
      <c r="AR20" s="20">
        <v>13</v>
      </c>
      <c r="AS20" s="21">
        <v>2</v>
      </c>
      <c r="AT20" s="139">
        <f t="shared" si="14"/>
        <v>6.5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12</v>
      </c>
      <c r="BB20" s="21">
        <v>3</v>
      </c>
      <c r="BC20" s="139">
        <f t="shared" si="17"/>
        <v>4</v>
      </c>
      <c r="BD20" s="20">
        <v>0</v>
      </c>
      <c r="BE20" s="21">
        <v>0</v>
      </c>
      <c r="BF20" s="139" t="str">
        <f t="shared" si="18"/>
        <v>-</v>
      </c>
      <c r="BG20" s="20">
        <v>14</v>
      </c>
      <c r="BH20" s="21">
        <v>2</v>
      </c>
      <c r="BI20" s="139">
        <f t="shared" si="19"/>
        <v>7</v>
      </c>
      <c r="BJ20" s="20">
        <v>0</v>
      </c>
      <c r="BK20" s="21">
        <v>0</v>
      </c>
      <c r="BL20" s="139" t="str">
        <f t="shared" si="20"/>
        <v>-</v>
      </c>
      <c r="BM20" s="20">
        <v>12</v>
      </c>
      <c r="BN20" s="21">
        <v>2</v>
      </c>
      <c r="BO20" s="276">
        <f t="shared" si="21"/>
        <v>6</v>
      </c>
      <c r="BP20" s="20">
        <v>0</v>
      </c>
      <c r="BQ20" s="21">
        <v>0</v>
      </c>
      <c r="BR20" s="276" t="str">
        <f t="shared" si="22"/>
        <v>-</v>
      </c>
      <c r="BS20" s="354">
        <v>0</v>
      </c>
      <c r="BT20" s="271">
        <v>0</v>
      </c>
      <c r="BU20" s="276" t="str">
        <f t="shared" si="23"/>
        <v>-</v>
      </c>
      <c r="BV20" s="355">
        <v>0</v>
      </c>
      <c r="BW20" s="21">
        <v>0</v>
      </c>
      <c r="BX20" s="277" t="str">
        <f t="shared" si="24"/>
        <v>-</v>
      </c>
      <c r="BY20" s="375">
        <f t="shared" si="27"/>
        <v>229</v>
      </c>
      <c r="BZ20" s="373">
        <f t="shared" si="26"/>
        <v>36</v>
      </c>
      <c r="CA20" s="26">
        <f t="shared" si="25"/>
        <v>6.3611111111111107</v>
      </c>
    </row>
    <row r="21" spans="1:79" x14ac:dyDescent="0.3">
      <c r="A21" s="294">
        <v>46039</v>
      </c>
      <c r="B21" s="20">
        <v>52</v>
      </c>
      <c r="C21" s="21">
        <v>6</v>
      </c>
      <c r="D21" s="139">
        <f t="shared" si="0"/>
        <v>8.6666666666666661</v>
      </c>
      <c r="E21" s="20">
        <v>0</v>
      </c>
      <c r="F21" s="21">
        <v>0</v>
      </c>
      <c r="G21" s="139" t="str">
        <f t="shared" si="1"/>
        <v>-</v>
      </c>
      <c r="H21" s="20">
        <v>0</v>
      </c>
      <c r="I21" s="21">
        <v>0</v>
      </c>
      <c r="J21" s="139" t="str">
        <f t="shared" si="2"/>
        <v>-</v>
      </c>
      <c r="K21" s="20">
        <v>0</v>
      </c>
      <c r="L21" s="21">
        <v>0</v>
      </c>
      <c r="M21" s="139" t="str">
        <f t="shared" si="3"/>
        <v>-</v>
      </c>
      <c r="N21" s="125">
        <v>0</v>
      </c>
      <c r="O21" s="126">
        <v>0</v>
      </c>
      <c r="P21" s="139" t="str">
        <f t="shared" si="4"/>
        <v>-</v>
      </c>
      <c r="Q21" s="125">
        <v>0</v>
      </c>
      <c r="R21" s="126">
        <v>0</v>
      </c>
      <c r="S21" s="139" t="str">
        <f t="shared" si="5"/>
        <v>-</v>
      </c>
      <c r="T21" s="125">
        <v>6</v>
      </c>
      <c r="U21" s="126">
        <v>1</v>
      </c>
      <c r="V21" s="139">
        <f t="shared" si="6"/>
        <v>6</v>
      </c>
      <c r="W21" s="125">
        <v>0</v>
      </c>
      <c r="X21" s="126">
        <v>0</v>
      </c>
      <c r="Y21" s="139" t="str">
        <f t="shared" si="7"/>
        <v>-</v>
      </c>
      <c r="Z21" s="125">
        <v>0</v>
      </c>
      <c r="AA21" s="126">
        <v>0</v>
      </c>
      <c r="AB21" s="139" t="str">
        <f t="shared" si="8"/>
        <v>-</v>
      </c>
      <c r="AC21" s="125">
        <v>0</v>
      </c>
      <c r="AD21" s="126">
        <v>0</v>
      </c>
      <c r="AE21" s="139" t="str">
        <f t="shared" si="9"/>
        <v>-</v>
      </c>
      <c r="AF21" s="125">
        <v>0</v>
      </c>
      <c r="AG21" s="126">
        <v>0</v>
      </c>
      <c r="AH21" s="139" t="str">
        <f t="shared" si="10"/>
        <v>-</v>
      </c>
      <c r="AI21" s="125">
        <v>0</v>
      </c>
      <c r="AJ21" s="126">
        <v>0</v>
      </c>
      <c r="AK21" s="139" t="str">
        <f t="shared" si="11"/>
        <v>-</v>
      </c>
      <c r="AL21" s="125">
        <v>0</v>
      </c>
      <c r="AM21" s="126">
        <v>0</v>
      </c>
      <c r="AN21" s="139" t="str">
        <f t="shared" si="12"/>
        <v>-</v>
      </c>
      <c r="AO21" s="125">
        <v>6</v>
      </c>
      <c r="AP21" s="126">
        <v>1</v>
      </c>
      <c r="AQ21" s="139">
        <f t="shared" si="13"/>
        <v>6</v>
      </c>
      <c r="AR21" s="20">
        <v>0</v>
      </c>
      <c r="AS21" s="21">
        <v>0</v>
      </c>
      <c r="AT21" s="139" t="str">
        <f t="shared" si="14"/>
        <v>-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0</v>
      </c>
      <c r="BH21" s="21">
        <v>0</v>
      </c>
      <c r="BI21" s="139" t="str">
        <f t="shared" si="19"/>
        <v>-</v>
      </c>
      <c r="BJ21" s="20">
        <v>0</v>
      </c>
      <c r="BK21" s="21">
        <v>0</v>
      </c>
      <c r="BL21" s="139" t="str">
        <f t="shared" si="20"/>
        <v>-</v>
      </c>
      <c r="BM21" s="20">
        <v>17</v>
      </c>
      <c r="BN21" s="21">
        <v>3</v>
      </c>
      <c r="BO21" s="139">
        <f t="shared" si="21"/>
        <v>5.666666666666667</v>
      </c>
      <c r="BP21" s="20">
        <v>0</v>
      </c>
      <c r="BQ21" s="21">
        <v>0</v>
      </c>
      <c r="BR21" s="276" t="str">
        <f t="shared" si="22"/>
        <v>-</v>
      </c>
      <c r="BS21" s="354">
        <v>0</v>
      </c>
      <c r="BT21" s="271">
        <v>0</v>
      </c>
      <c r="BU21" s="276" t="str">
        <f t="shared" si="23"/>
        <v>-</v>
      </c>
      <c r="BV21" s="355">
        <v>0</v>
      </c>
      <c r="BW21" s="21">
        <v>0</v>
      </c>
      <c r="BX21" s="278" t="str">
        <f t="shared" si="24"/>
        <v>-</v>
      </c>
      <c r="BY21" s="375">
        <f t="shared" si="27"/>
        <v>81</v>
      </c>
      <c r="BZ21" s="373">
        <f t="shared" si="26"/>
        <v>11</v>
      </c>
      <c r="CA21" s="26">
        <f t="shared" si="25"/>
        <v>7.3636363636363633</v>
      </c>
    </row>
    <row r="22" spans="1:79" x14ac:dyDescent="0.3">
      <c r="A22" s="294">
        <v>46040</v>
      </c>
      <c r="B22" s="20">
        <v>32</v>
      </c>
      <c r="C22" s="21">
        <v>4</v>
      </c>
      <c r="D22" s="139">
        <f t="shared" si="0"/>
        <v>8</v>
      </c>
      <c r="E22" s="20">
        <v>0</v>
      </c>
      <c r="F22" s="21">
        <v>0</v>
      </c>
      <c r="G22" s="139" t="str">
        <f t="shared" si="1"/>
        <v>-</v>
      </c>
      <c r="H22" s="20">
        <v>0</v>
      </c>
      <c r="I22" s="21">
        <v>0</v>
      </c>
      <c r="J22" s="139" t="str">
        <f t="shared" si="2"/>
        <v>-</v>
      </c>
      <c r="K22" s="20">
        <v>34</v>
      </c>
      <c r="L22" s="21">
        <v>4</v>
      </c>
      <c r="M22" s="139">
        <f t="shared" si="3"/>
        <v>8.5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34</v>
      </c>
      <c r="U22" s="21">
        <v>6</v>
      </c>
      <c r="V22" s="139">
        <f t="shared" si="6"/>
        <v>5.666666666666667</v>
      </c>
      <c r="W22" s="20">
        <v>0</v>
      </c>
      <c r="X22" s="21">
        <v>0</v>
      </c>
      <c r="Y22" s="139" t="str">
        <f t="shared" si="7"/>
        <v>-</v>
      </c>
      <c r="Z22" s="20">
        <v>0</v>
      </c>
      <c r="AA22" s="21">
        <v>0</v>
      </c>
      <c r="AB22" s="139" t="str">
        <f t="shared" si="8"/>
        <v>-</v>
      </c>
      <c r="AC22" s="125">
        <v>109</v>
      </c>
      <c r="AD22" s="126">
        <v>23</v>
      </c>
      <c r="AE22" s="139">
        <f t="shared" si="9"/>
        <v>4.7391304347826084</v>
      </c>
      <c r="AF22" s="125">
        <v>0</v>
      </c>
      <c r="AG22" s="126">
        <v>0</v>
      </c>
      <c r="AH22" s="139" t="str">
        <f t="shared" si="10"/>
        <v>-</v>
      </c>
      <c r="AI22" s="125">
        <v>0</v>
      </c>
      <c r="AJ22" s="126">
        <v>0</v>
      </c>
      <c r="AK22" s="139" t="str">
        <f t="shared" si="11"/>
        <v>-</v>
      </c>
      <c r="AL22" s="125">
        <v>6</v>
      </c>
      <c r="AM22" s="126">
        <v>1</v>
      </c>
      <c r="AN22" s="139">
        <f t="shared" si="12"/>
        <v>6</v>
      </c>
      <c r="AO22" s="125">
        <v>0</v>
      </c>
      <c r="AP22" s="126">
        <v>0</v>
      </c>
      <c r="AQ22" s="139" t="str">
        <f t="shared" si="13"/>
        <v>-</v>
      </c>
      <c r="AR22" s="125">
        <v>0</v>
      </c>
      <c r="AS22" s="126">
        <v>0</v>
      </c>
      <c r="AT22" s="139" t="str">
        <f t="shared" si="14"/>
        <v>-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 t="str">
        <f t="shared" si="16"/>
        <v>-</v>
      </c>
      <c r="BA22" s="20">
        <v>0</v>
      </c>
      <c r="BB22" s="21">
        <v>0</v>
      </c>
      <c r="BC22" s="139" t="str">
        <f t="shared" si="17"/>
        <v>-</v>
      </c>
      <c r="BD22" s="20">
        <v>0</v>
      </c>
      <c r="BE22" s="21">
        <v>0</v>
      </c>
      <c r="BF22" s="139" t="str">
        <f t="shared" si="18"/>
        <v>-</v>
      </c>
      <c r="BG22" s="20">
        <v>0</v>
      </c>
      <c r="BH22" s="21">
        <v>0</v>
      </c>
      <c r="BI22" s="139" t="str">
        <f t="shared" si="19"/>
        <v>-</v>
      </c>
      <c r="BJ22" s="20">
        <v>0</v>
      </c>
      <c r="BK22" s="21">
        <v>0</v>
      </c>
      <c r="BL22" s="139" t="str">
        <f t="shared" si="20"/>
        <v>-</v>
      </c>
      <c r="BM22" s="20">
        <v>0</v>
      </c>
      <c r="BN22" s="21">
        <v>0</v>
      </c>
      <c r="BO22" s="139" t="str">
        <f t="shared" si="21"/>
        <v>-</v>
      </c>
      <c r="BP22" s="20">
        <v>0</v>
      </c>
      <c r="BQ22" s="21">
        <v>0</v>
      </c>
      <c r="BR22" s="276" t="str">
        <f t="shared" si="22"/>
        <v>-</v>
      </c>
      <c r="BS22" s="354">
        <v>0</v>
      </c>
      <c r="BT22" s="271">
        <v>0</v>
      </c>
      <c r="BU22" s="276" t="str">
        <f t="shared" si="23"/>
        <v>-</v>
      </c>
      <c r="BV22" s="355">
        <v>0</v>
      </c>
      <c r="BW22" s="21">
        <v>0</v>
      </c>
      <c r="BX22" s="277" t="str">
        <f t="shared" si="24"/>
        <v>-</v>
      </c>
      <c r="BY22" s="375">
        <f t="shared" si="27"/>
        <v>215</v>
      </c>
      <c r="BZ22" s="373">
        <f t="shared" si="26"/>
        <v>38</v>
      </c>
      <c r="CA22" s="26">
        <f t="shared" si="25"/>
        <v>5.6578947368421053</v>
      </c>
    </row>
    <row r="23" spans="1:79" ht="16.2" customHeight="1" x14ac:dyDescent="0.3">
      <c r="A23" s="294">
        <v>46041</v>
      </c>
      <c r="B23" s="20">
        <v>65</v>
      </c>
      <c r="C23" s="21">
        <v>8</v>
      </c>
      <c r="D23" s="139">
        <f t="shared" si="0"/>
        <v>8.125</v>
      </c>
      <c r="E23" s="20">
        <v>0</v>
      </c>
      <c r="F23" s="21">
        <v>0</v>
      </c>
      <c r="G23" s="139" t="str">
        <f t="shared" si="1"/>
        <v>-</v>
      </c>
      <c r="H23" s="20">
        <v>0</v>
      </c>
      <c r="I23" s="21">
        <v>0</v>
      </c>
      <c r="J23" s="139" t="str">
        <f t="shared" si="2"/>
        <v>-</v>
      </c>
      <c r="K23" s="20">
        <v>33</v>
      </c>
      <c r="L23" s="21">
        <v>4</v>
      </c>
      <c r="M23" s="139">
        <f t="shared" si="3"/>
        <v>8.25</v>
      </c>
      <c r="N23" s="20">
        <v>0</v>
      </c>
      <c r="O23" s="21">
        <v>0</v>
      </c>
      <c r="P23" s="139" t="str">
        <f t="shared" si="4"/>
        <v>-</v>
      </c>
      <c r="Q23" s="20">
        <v>6</v>
      </c>
      <c r="R23" s="21">
        <v>1</v>
      </c>
      <c r="S23" s="139">
        <f t="shared" si="5"/>
        <v>6</v>
      </c>
      <c r="T23" s="20">
        <v>54</v>
      </c>
      <c r="U23" s="21">
        <v>9</v>
      </c>
      <c r="V23" s="139">
        <f t="shared" si="6"/>
        <v>6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8"/>
        <v>-</v>
      </c>
      <c r="AC23" s="20">
        <v>0</v>
      </c>
      <c r="AD23" s="21">
        <v>0</v>
      </c>
      <c r="AE23" s="139" t="str">
        <f t="shared" si="9"/>
        <v>-</v>
      </c>
      <c r="AF23" s="20">
        <v>19</v>
      </c>
      <c r="AG23" s="21">
        <v>4</v>
      </c>
      <c r="AH23" s="139">
        <f t="shared" si="10"/>
        <v>4.75</v>
      </c>
      <c r="AI23" s="20">
        <v>39</v>
      </c>
      <c r="AJ23" s="21">
        <v>8</v>
      </c>
      <c r="AK23" s="139">
        <f t="shared" si="11"/>
        <v>4.875</v>
      </c>
      <c r="AL23" s="20">
        <v>6</v>
      </c>
      <c r="AM23" s="21">
        <v>1</v>
      </c>
      <c r="AN23" s="139">
        <f t="shared" si="12"/>
        <v>6</v>
      </c>
      <c r="AO23" s="20">
        <v>6</v>
      </c>
      <c r="AP23" s="21">
        <v>1</v>
      </c>
      <c r="AQ23" s="139">
        <f t="shared" si="13"/>
        <v>6</v>
      </c>
      <c r="AR23" s="20">
        <v>6</v>
      </c>
      <c r="AS23" s="21">
        <v>1</v>
      </c>
      <c r="AT23" s="139">
        <f t="shared" si="14"/>
        <v>6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16"/>
        <v>-</v>
      </c>
      <c r="BA23" s="20">
        <v>2</v>
      </c>
      <c r="BB23" s="21">
        <v>1</v>
      </c>
      <c r="BC23" s="139">
        <f t="shared" si="17"/>
        <v>2</v>
      </c>
      <c r="BD23" s="20">
        <v>0</v>
      </c>
      <c r="BE23" s="21">
        <v>0</v>
      </c>
      <c r="BF23" s="139" t="str">
        <f t="shared" si="18"/>
        <v>-</v>
      </c>
      <c r="BG23" s="20">
        <v>11</v>
      </c>
      <c r="BH23" s="21">
        <v>2</v>
      </c>
      <c r="BI23" s="139">
        <f t="shared" si="19"/>
        <v>5.5</v>
      </c>
      <c r="BJ23" s="20">
        <v>0</v>
      </c>
      <c r="BK23" s="21">
        <v>0</v>
      </c>
      <c r="BL23" s="139" t="str">
        <f t="shared" si="20"/>
        <v>-</v>
      </c>
      <c r="BM23" s="20">
        <v>0</v>
      </c>
      <c r="BN23" s="21">
        <v>0</v>
      </c>
      <c r="BO23" s="276" t="str">
        <f t="shared" si="21"/>
        <v>-</v>
      </c>
      <c r="BP23" s="20">
        <v>0</v>
      </c>
      <c r="BQ23" s="21">
        <v>0</v>
      </c>
      <c r="BR23" s="276" t="str">
        <f t="shared" si="22"/>
        <v>-</v>
      </c>
      <c r="BS23" s="354">
        <v>0</v>
      </c>
      <c r="BT23" s="271">
        <v>0</v>
      </c>
      <c r="BU23" s="276" t="str">
        <f t="shared" si="23"/>
        <v>-</v>
      </c>
      <c r="BV23" s="355">
        <v>0</v>
      </c>
      <c r="BW23" s="21">
        <v>0</v>
      </c>
      <c r="BX23" s="277" t="str">
        <f t="shared" si="24"/>
        <v>-</v>
      </c>
      <c r="BY23" s="375">
        <f t="shared" si="27"/>
        <v>247</v>
      </c>
      <c r="BZ23" s="373">
        <f t="shared" si="26"/>
        <v>40</v>
      </c>
      <c r="CA23" s="26">
        <f t="shared" si="25"/>
        <v>6.1749999999999998</v>
      </c>
    </row>
    <row r="24" spans="1:79" x14ac:dyDescent="0.3">
      <c r="A24" s="294">
        <v>46042</v>
      </c>
      <c r="B24" s="20">
        <v>48</v>
      </c>
      <c r="C24" s="21">
        <v>6</v>
      </c>
      <c r="D24" s="139">
        <f t="shared" si="0"/>
        <v>8</v>
      </c>
      <c r="E24" s="20">
        <v>0</v>
      </c>
      <c r="F24" s="21">
        <v>0</v>
      </c>
      <c r="G24" s="139" t="str">
        <f t="shared" si="1"/>
        <v>-</v>
      </c>
      <c r="H24" s="20">
        <v>2</v>
      </c>
      <c r="I24" s="21">
        <v>1</v>
      </c>
      <c r="J24" s="139">
        <f t="shared" si="2"/>
        <v>2</v>
      </c>
      <c r="K24" s="20">
        <v>17</v>
      </c>
      <c r="L24" s="21">
        <v>2</v>
      </c>
      <c r="M24" s="139">
        <f t="shared" si="3"/>
        <v>8.5</v>
      </c>
      <c r="N24" s="20">
        <v>0</v>
      </c>
      <c r="O24" s="21">
        <v>0</v>
      </c>
      <c r="P24" s="139" t="str">
        <f t="shared" si="4"/>
        <v>-</v>
      </c>
      <c r="Q24" s="20">
        <v>6</v>
      </c>
      <c r="R24" s="21">
        <v>1</v>
      </c>
      <c r="S24" s="139">
        <f t="shared" si="5"/>
        <v>6</v>
      </c>
      <c r="T24" s="20">
        <v>53</v>
      </c>
      <c r="U24" s="21">
        <v>9</v>
      </c>
      <c r="V24" s="139">
        <f t="shared" si="6"/>
        <v>5.8888888888888893</v>
      </c>
      <c r="W24" s="20">
        <v>0</v>
      </c>
      <c r="X24" s="21">
        <v>0</v>
      </c>
      <c r="Y24" s="139" t="str">
        <f t="shared" si="7"/>
        <v>-</v>
      </c>
      <c r="Z24" s="20">
        <v>0</v>
      </c>
      <c r="AA24" s="21">
        <v>0</v>
      </c>
      <c r="AB24" s="139" t="str">
        <f t="shared" si="8"/>
        <v>-</v>
      </c>
      <c r="AC24" s="20">
        <v>0</v>
      </c>
      <c r="AD24" s="21">
        <v>0</v>
      </c>
      <c r="AE24" s="139" t="str">
        <f t="shared" si="9"/>
        <v>-</v>
      </c>
      <c r="AF24" s="20">
        <v>0</v>
      </c>
      <c r="AG24" s="21">
        <v>0</v>
      </c>
      <c r="AH24" s="139" t="str">
        <f t="shared" si="10"/>
        <v>-</v>
      </c>
      <c r="AI24" s="20">
        <v>30</v>
      </c>
      <c r="AJ24" s="21">
        <v>6</v>
      </c>
      <c r="AK24" s="139">
        <f t="shared" si="11"/>
        <v>5</v>
      </c>
      <c r="AL24" s="20">
        <v>0</v>
      </c>
      <c r="AM24" s="21">
        <v>0</v>
      </c>
      <c r="AN24" s="139" t="str">
        <f t="shared" si="12"/>
        <v>-</v>
      </c>
      <c r="AO24" s="20">
        <v>0</v>
      </c>
      <c r="AP24" s="21">
        <v>0</v>
      </c>
      <c r="AQ24" s="139" t="str">
        <f t="shared" si="13"/>
        <v>-</v>
      </c>
      <c r="AR24" s="20">
        <v>0</v>
      </c>
      <c r="AS24" s="21">
        <v>0</v>
      </c>
      <c r="AT24" s="139" t="str">
        <f t="shared" si="14"/>
        <v>-</v>
      </c>
      <c r="AU24" s="20">
        <v>0</v>
      </c>
      <c r="AV24" s="21">
        <v>0</v>
      </c>
      <c r="AW24" s="139" t="str">
        <f t="shared" si="15"/>
        <v>-</v>
      </c>
      <c r="AX24" s="20">
        <v>0</v>
      </c>
      <c r="AY24" s="21">
        <v>0</v>
      </c>
      <c r="AZ24" s="139" t="str">
        <f t="shared" si="16"/>
        <v>-</v>
      </c>
      <c r="BA24" s="20">
        <v>0</v>
      </c>
      <c r="BB24" s="21">
        <v>0</v>
      </c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14</v>
      </c>
      <c r="BH24" s="21">
        <v>2</v>
      </c>
      <c r="BI24" s="139">
        <f t="shared" si="19"/>
        <v>7</v>
      </c>
      <c r="BJ24" s="20">
        <v>0</v>
      </c>
      <c r="BK24" s="21">
        <v>0</v>
      </c>
      <c r="BL24" s="139" t="str">
        <f t="shared" si="20"/>
        <v>-</v>
      </c>
      <c r="BM24" s="20">
        <v>28</v>
      </c>
      <c r="BN24" s="21">
        <v>4</v>
      </c>
      <c r="BO24" s="276">
        <f t="shared" si="21"/>
        <v>7</v>
      </c>
      <c r="BP24" s="20">
        <v>0</v>
      </c>
      <c r="BQ24" s="21">
        <v>0</v>
      </c>
      <c r="BR24" s="276" t="str">
        <f t="shared" si="22"/>
        <v>-</v>
      </c>
      <c r="BS24" s="20">
        <v>0</v>
      </c>
      <c r="BT24" s="21">
        <v>0</v>
      </c>
      <c r="BU24" s="276" t="str">
        <f t="shared" si="23"/>
        <v>-</v>
      </c>
      <c r="BV24" s="368">
        <v>14</v>
      </c>
      <c r="BW24" s="21">
        <v>2</v>
      </c>
      <c r="BX24" s="277">
        <f t="shared" si="24"/>
        <v>7</v>
      </c>
      <c r="BY24" s="375">
        <f t="shared" si="27"/>
        <v>212</v>
      </c>
      <c r="BZ24" s="373">
        <f t="shared" si="26"/>
        <v>33</v>
      </c>
      <c r="CA24" s="26">
        <f t="shared" si="25"/>
        <v>6.4242424242424239</v>
      </c>
    </row>
    <row r="25" spans="1:79" x14ac:dyDescent="0.3">
      <c r="A25" s="294">
        <v>46043</v>
      </c>
      <c r="B25" s="20">
        <v>89</v>
      </c>
      <c r="C25" s="21">
        <v>10</v>
      </c>
      <c r="D25" s="139">
        <f t="shared" si="0"/>
        <v>8.9</v>
      </c>
      <c r="E25" s="20">
        <v>0</v>
      </c>
      <c r="F25" s="21">
        <v>0</v>
      </c>
      <c r="G25" s="139" t="str">
        <f t="shared" si="1"/>
        <v>-</v>
      </c>
      <c r="H25" s="20">
        <v>5</v>
      </c>
      <c r="I25" s="21">
        <v>1</v>
      </c>
      <c r="J25" s="139">
        <f t="shared" si="2"/>
        <v>5</v>
      </c>
      <c r="K25" s="20">
        <v>9</v>
      </c>
      <c r="L25" s="21">
        <v>1</v>
      </c>
      <c r="M25" s="139">
        <f t="shared" si="3"/>
        <v>9</v>
      </c>
      <c r="N25" s="125">
        <v>0</v>
      </c>
      <c r="O25" s="126">
        <v>0</v>
      </c>
      <c r="P25" s="139" t="str">
        <f t="shared" si="4"/>
        <v>-</v>
      </c>
      <c r="Q25" s="125">
        <v>0</v>
      </c>
      <c r="R25" s="126">
        <v>0</v>
      </c>
      <c r="S25" s="139" t="str">
        <f t="shared" si="5"/>
        <v>-</v>
      </c>
      <c r="T25" s="125">
        <v>64</v>
      </c>
      <c r="U25" s="126">
        <v>11</v>
      </c>
      <c r="V25" s="139">
        <f t="shared" si="6"/>
        <v>5.8181818181818183</v>
      </c>
      <c r="W25" s="20">
        <v>0</v>
      </c>
      <c r="X25" s="21">
        <v>0</v>
      </c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>
        <v>0</v>
      </c>
      <c r="AD25" s="21">
        <v>0</v>
      </c>
      <c r="AE25" s="139" t="str">
        <f t="shared" si="9"/>
        <v>-</v>
      </c>
      <c r="AF25" s="20">
        <v>0</v>
      </c>
      <c r="AG25" s="21">
        <v>0</v>
      </c>
      <c r="AH25" s="139" t="str">
        <f t="shared" si="10"/>
        <v>-</v>
      </c>
      <c r="AI25" s="20">
        <v>30</v>
      </c>
      <c r="AJ25" s="21">
        <v>6</v>
      </c>
      <c r="AK25" s="139">
        <f t="shared" si="11"/>
        <v>5</v>
      </c>
      <c r="AL25" s="20">
        <v>12</v>
      </c>
      <c r="AM25" s="21">
        <v>2</v>
      </c>
      <c r="AN25" s="139">
        <f t="shared" si="12"/>
        <v>6</v>
      </c>
      <c r="AO25" s="20">
        <v>0</v>
      </c>
      <c r="AP25" s="21">
        <v>0</v>
      </c>
      <c r="AQ25" s="139" t="str">
        <f t="shared" si="13"/>
        <v>-</v>
      </c>
      <c r="AR25" s="20">
        <v>0</v>
      </c>
      <c r="AS25" s="21">
        <v>0</v>
      </c>
      <c r="AT25" s="139" t="str">
        <f t="shared" si="14"/>
        <v>-</v>
      </c>
      <c r="AU25" s="20">
        <v>0</v>
      </c>
      <c r="AV25" s="21">
        <v>0</v>
      </c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>
        <v>9</v>
      </c>
      <c r="BB25" s="21">
        <v>3</v>
      </c>
      <c r="BC25" s="139">
        <f t="shared" si="17"/>
        <v>3</v>
      </c>
      <c r="BD25" s="20">
        <v>0</v>
      </c>
      <c r="BE25" s="21">
        <v>0</v>
      </c>
      <c r="BF25" s="139" t="str">
        <f t="shared" si="18"/>
        <v>-</v>
      </c>
      <c r="BG25" s="20">
        <v>4</v>
      </c>
      <c r="BH25" s="21">
        <v>1</v>
      </c>
      <c r="BI25" s="139">
        <f t="shared" si="19"/>
        <v>4</v>
      </c>
      <c r="BJ25" s="20">
        <v>0</v>
      </c>
      <c r="BK25" s="21">
        <v>0</v>
      </c>
      <c r="BL25" s="139" t="str">
        <f t="shared" si="20"/>
        <v>-</v>
      </c>
      <c r="BM25" s="20">
        <v>24</v>
      </c>
      <c r="BN25" s="21">
        <v>4</v>
      </c>
      <c r="BO25" s="122">
        <f t="shared" ref="BO25:BO27" si="28">IF(BN25=0,"",BM25/BN25)</f>
        <v>6</v>
      </c>
      <c r="BP25" s="20">
        <v>0</v>
      </c>
      <c r="BQ25" s="21">
        <v>0</v>
      </c>
      <c r="BR25" s="122" t="str">
        <f t="shared" ref="BR25:BR27" si="29">IF(BQ25=0,"",BP25/BQ25)</f>
        <v/>
      </c>
      <c r="BS25" s="354">
        <v>0</v>
      </c>
      <c r="BT25" s="271">
        <v>0</v>
      </c>
      <c r="BU25" s="357" t="str">
        <f t="shared" ref="BU25:BU27" si="30">IF(BT25=0,"",BS25/BT25)</f>
        <v/>
      </c>
      <c r="BV25" s="355">
        <v>0</v>
      </c>
      <c r="BW25" s="21">
        <v>0</v>
      </c>
      <c r="BX25" s="277" t="str">
        <f t="shared" si="24"/>
        <v>-</v>
      </c>
      <c r="BY25" s="375">
        <f t="shared" si="27"/>
        <v>246</v>
      </c>
      <c r="BZ25" s="373">
        <f t="shared" si="26"/>
        <v>39</v>
      </c>
      <c r="CA25" s="26">
        <f t="shared" si="25"/>
        <v>6.3076923076923075</v>
      </c>
    </row>
    <row r="26" spans="1:79" x14ac:dyDescent="0.3">
      <c r="A26" s="294">
        <v>46044</v>
      </c>
      <c r="B26" s="20">
        <v>17</v>
      </c>
      <c r="C26" s="21">
        <v>2</v>
      </c>
      <c r="D26" s="139">
        <f t="shared" si="0"/>
        <v>8.5</v>
      </c>
      <c r="E26" s="20">
        <v>0</v>
      </c>
      <c r="F26" s="21">
        <v>0</v>
      </c>
      <c r="G26" s="139" t="str">
        <f t="shared" si="1"/>
        <v>-</v>
      </c>
      <c r="H26" s="20">
        <v>0</v>
      </c>
      <c r="I26" s="21">
        <v>0</v>
      </c>
      <c r="J26" s="139" t="str">
        <f t="shared" si="2"/>
        <v>-</v>
      </c>
      <c r="K26" s="20">
        <v>25</v>
      </c>
      <c r="L26" s="21">
        <v>3</v>
      </c>
      <c r="M26" s="139">
        <f t="shared" si="3"/>
        <v>8.3333333333333339</v>
      </c>
      <c r="N26" s="125">
        <v>0</v>
      </c>
      <c r="O26" s="126">
        <v>0</v>
      </c>
      <c r="P26" s="139" t="str">
        <f t="shared" si="4"/>
        <v>-</v>
      </c>
      <c r="Q26" s="125">
        <v>0</v>
      </c>
      <c r="R26" s="126">
        <v>0</v>
      </c>
      <c r="S26" s="139" t="str">
        <f t="shared" si="5"/>
        <v>-</v>
      </c>
      <c r="T26" s="125">
        <v>41</v>
      </c>
      <c r="U26" s="126">
        <v>7</v>
      </c>
      <c r="V26" s="139">
        <f t="shared" si="6"/>
        <v>5.8571428571428568</v>
      </c>
      <c r="W26" s="20">
        <v>0</v>
      </c>
      <c r="X26" s="21">
        <v>0</v>
      </c>
      <c r="Y26" s="139" t="str">
        <f t="shared" si="7"/>
        <v>-</v>
      </c>
      <c r="Z26" s="20">
        <v>0</v>
      </c>
      <c r="AA26" s="21">
        <v>0</v>
      </c>
      <c r="AB26" s="139" t="str">
        <f t="shared" si="8"/>
        <v>-</v>
      </c>
      <c r="AC26" s="20">
        <v>0</v>
      </c>
      <c r="AD26" s="21">
        <v>0</v>
      </c>
      <c r="AE26" s="139" t="str">
        <f t="shared" si="9"/>
        <v>-</v>
      </c>
      <c r="AF26" s="20">
        <v>0</v>
      </c>
      <c r="AG26" s="21">
        <v>0</v>
      </c>
      <c r="AH26" s="139" t="str">
        <f t="shared" si="10"/>
        <v>-</v>
      </c>
      <c r="AI26" s="20">
        <v>30</v>
      </c>
      <c r="AJ26" s="21">
        <v>6</v>
      </c>
      <c r="AK26" s="139">
        <f t="shared" si="11"/>
        <v>5</v>
      </c>
      <c r="AL26" s="20">
        <v>0</v>
      </c>
      <c r="AM26" s="21">
        <v>0</v>
      </c>
      <c r="AN26" s="139" t="str">
        <f t="shared" si="12"/>
        <v>-</v>
      </c>
      <c r="AO26" s="20">
        <v>18</v>
      </c>
      <c r="AP26" s="21">
        <v>3</v>
      </c>
      <c r="AQ26" s="139">
        <f t="shared" si="13"/>
        <v>6</v>
      </c>
      <c r="AR26" s="20">
        <v>0</v>
      </c>
      <c r="AS26" s="21">
        <v>0</v>
      </c>
      <c r="AT26" s="139" t="str">
        <f t="shared" si="14"/>
        <v>-</v>
      </c>
      <c r="AU26" s="20">
        <v>0</v>
      </c>
      <c r="AV26" s="21">
        <v>0</v>
      </c>
      <c r="AW26" s="139" t="str">
        <f t="shared" si="15"/>
        <v>-</v>
      </c>
      <c r="AX26" s="20">
        <v>0</v>
      </c>
      <c r="AY26" s="21">
        <v>0</v>
      </c>
      <c r="AZ26" s="139" t="str">
        <f t="shared" si="16"/>
        <v>-</v>
      </c>
      <c r="BA26" s="20">
        <v>0</v>
      </c>
      <c r="BB26" s="21">
        <v>0</v>
      </c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20">
        <v>15</v>
      </c>
      <c r="BH26" s="21">
        <v>3</v>
      </c>
      <c r="BI26" s="139">
        <f t="shared" si="19"/>
        <v>5</v>
      </c>
      <c r="BJ26" s="125">
        <v>0</v>
      </c>
      <c r="BK26" s="126">
        <v>0</v>
      </c>
      <c r="BL26" s="139" t="str">
        <f t="shared" si="20"/>
        <v>-</v>
      </c>
      <c r="BM26" s="20">
        <v>13</v>
      </c>
      <c r="BN26" s="21">
        <v>2</v>
      </c>
      <c r="BO26" s="122">
        <f t="shared" si="28"/>
        <v>6.5</v>
      </c>
      <c r="BP26" s="20">
        <v>0</v>
      </c>
      <c r="BQ26" s="21">
        <v>0</v>
      </c>
      <c r="BR26" s="122" t="str">
        <f t="shared" si="29"/>
        <v/>
      </c>
      <c r="BS26" s="354">
        <v>0</v>
      </c>
      <c r="BT26" s="271">
        <v>0</v>
      </c>
      <c r="BU26" s="357" t="str">
        <f t="shared" si="30"/>
        <v/>
      </c>
      <c r="BV26" s="355">
        <v>7</v>
      </c>
      <c r="BW26" s="21">
        <v>1</v>
      </c>
      <c r="BX26" s="277">
        <f t="shared" si="24"/>
        <v>7</v>
      </c>
      <c r="BY26" s="375">
        <f t="shared" si="27"/>
        <v>166</v>
      </c>
      <c r="BZ26" s="373">
        <f t="shared" si="26"/>
        <v>27</v>
      </c>
      <c r="CA26" s="26">
        <f t="shared" si="25"/>
        <v>6.1481481481481479</v>
      </c>
    </row>
    <row r="27" spans="1:79" x14ac:dyDescent="0.3">
      <c r="A27" s="294">
        <v>46045</v>
      </c>
      <c r="B27" s="20">
        <v>73</v>
      </c>
      <c r="C27" s="21">
        <v>9</v>
      </c>
      <c r="D27" s="139">
        <f t="shared" si="0"/>
        <v>8.1111111111111107</v>
      </c>
      <c r="E27" s="20">
        <v>0</v>
      </c>
      <c r="F27" s="21">
        <v>0</v>
      </c>
      <c r="G27" s="139" t="str">
        <f t="shared" si="1"/>
        <v>-</v>
      </c>
      <c r="H27" s="20">
        <v>6</v>
      </c>
      <c r="I27" s="21">
        <v>1</v>
      </c>
      <c r="J27" s="139">
        <f t="shared" si="2"/>
        <v>6</v>
      </c>
      <c r="K27" s="20">
        <v>0</v>
      </c>
      <c r="L27" s="21">
        <v>0</v>
      </c>
      <c r="M27" s="139" t="str">
        <f t="shared" si="3"/>
        <v>-</v>
      </c>
      <c r="N27" s="125">
        <v>0</v>
      </c>
      <c r="O27" s="126">
        <v>0</v>
      </c>
      <c r="P27" s="139" t="str">
        <f t="shared" si="4"/>
        <v>-</v>
      </c>
      <c r="Q27" s="125">
        <v>7</v>
      </c>
      <c r="R27" s="126">
        <v>1</v>
      </c>
      <c r="S27" s="139">
        <f t="shared" si="5"/>
        <v>7</v>
      </c>
      <c r="T27" s="125">
        <v>81</v>
      </c>
      <c r="U27" s="126">
        <v>14</v>
      </c>
      <c r="V27" s="139">
        <f t="shared" si="6"/>
        <v>5.7857142857142856</v>
      </c>
      <c r="W27" s="20">
        <v>0</v>
      </c>
      <c r="X27" s="21">
        <v>0</v>
      </c>
      <c r="Y27" s="139" t="str">
        <f t="shared" si="7"/>
        <v>-</v>
      </c>
      <c r="Z27" s="20">
        <v>0</v>
      </c>
      <c r="AA27" s="21">
        <v>0</v>
      </c>
      <c r="AB27" s="139" t="str">
        <f t="shared" si="8"/>
        <v>-</v>
      </c>
      <c r="AC27" s="20">
        <v>0</v>
      </c>
      <c r="AD27" s="21">
        <v>0</v>
      </c>
      <c r="AE27" s="139" t="str">
        <f t="shared" si="9"/>
        <v>-</v>
      </c>
      <c r="AF27" s="20">
        <v>0</v>
      </c>
      <c r="AG27" s="21">
        <v>0</v>
      </c>
      <c r="AH27" s="139" t="str">
        <f t="shared" si="10"/>
        <v>-</v>
      </c>
      <c r="AI27" s="20">
        <v>30</v>
      </c>
      <c r="AJ27" s="21">
        <v>5</v>
      </c>
      <c r="AK27" s="139">
        <f t="shared" si="11"/>
        <v>6</v>
      </c>
      <c r="AL27" s="125">
        <v>0</v>
      </c>
      <c r="AM27" s="126">
        <v>0</v>
      </c>
      <c r="AN27" s="139" t="str">
        <f t="shared" si="12"/>
        <v>-</v>
      </c>
      <c r="AO27" s="125">
        <v>0</v>
      </c>
      <c r="AP27" s="126">
        <v>0</v>
      </c>
      <c r="AQ27" s="139" t="str">
        <f t="shared" si="13"/>
        <v>-</v>
      </c>
      <c r="AR27" s="125">
        <v>6</v>
      </c>
      <c r="AS27" s="126">
        <v>1</v>
      </c>
      <c r="AT27" s="139">
        <f t="shared" si="14"/>
        <v>6</v>
      </c>
      <c r="AU27" s="125">
        <v>0</v>
      </c>
      <c r="AV27" s="126">
        <v>0</v>
      </c>
      <c r="AW27" s="139" t="str">
        <f t="shared" si="15"/>
        <v>-</v>
      </c>
      <c r="AX27" s="125">
        <v>0</v>
      </c>
      <c r="AY27" s="126">
        <v>0</v>
      </c>
      <c r="AZ27" s="139" t="str">
        <f t="shared" si="16"/>
        <v>-</v>
      </c>
      <c r="BA27" s="125">
        <v>3</v>
      </c>
      <c r="BB27" s="126">
        <v>1</v>
      </c>
      <c r="BC27" s="139">
        <f t="shared" si="17"/>
        <v>3</v>
      </c>
      <c r="BD27" s="125">
        <v>0</v>
      </c>
      <c r="BE27" s="126">
        <v>0</v>
      </c>
      <c r="BF27" s="139" t="str">
        <f t="shared" si="18"/>
        <v>-</v>
      </c>
      <c r="BG27" s="125">
        <v>7</v>
      </c>
      <c r="BH27" s="126">
        <v>1</v>
      </c>
      <c r="BI27" s="139">
        <f t="shared" si="19"/>
        <v>7</v>
      </c>
      <c r="BJ27" s="125">
        <v>0</v>
      </c>
      <c r="BK27" s="126">
        <v>0</v>
      </c>
      <c r="BL27" s="139" t="str">
        <f t="shared" si="20"/>
        <v>-</v>
      </c>
      <c r="BM27" s="20">
        <v>0</v>
      </c>
      <c r="BN27" s="21">
        <v>0</v>
      </c>
      <c r="BO27" s="122" t="str">
        <f t="shared" si="28"/>
        <v/>
      </c>
      <c r="BP27" s="20">
        <v>7</v>
      </c>
      <c r="BQ27" s="21">
        <v>1</v>
      </c>
      <c r="BR27" s="122">
        <f t="shared" si="29"/>
        <v>7</v>
      </c>
      <c r="BS27" s="354">
        <v>15</v>
      </c>
      <c r="BT27" s="271">
        <v>2</v>
      </c>
      <c r="BU27" s="357">
        <f t="shared" si="30"/>
        <v>7.5</v>
      </c>
      <c r="BV27" s="355">
        <v>0</v>
      </c>
      <c r="BW27" s="21">
        <v>0</v>
      </c>
      <c r="BX27" s="277" t="str">
        <f t="shared" si="24"/>
        <v>-</v>
      </c>
      <c r="BY27" s="375">
        <f t="shared" si="27"/>
        <v>235</v>
      </c>
      <c r="BZ27" s="373">
        <f t="shared" si="26"/>
        <v>36</v>
      </c>
      <c r="CA27" s="26">
        <f t="shared" si="25"/>
        <v>6.5277777777777777</v>
      </c>
    </row>
    <row r="28" spans="1:79" x14ac:dyDescent="0.3">
      <c r="A28" s="294">
        <v>46046</v>
      </c>
      <c r="B28" s="20">
        <v>39</v>
      </c>
      <c r="C28" s="21">
        <v>4</v>
      </c>
      <c r="D28" s="139">
        <f t="shared" si="0"/>
        <v>9.75</v>
      </c>
      <c r="E28" s="20">
        <v>8</v>
      </c>
      <c r="F28" s="21">
        <v>1</v>
      </c>
      <c r="G28" s="139">
        <f t="shared" si="1"/>
        <v>8</v>
      </c>
      <c r="H28" s="20">
        <v>0</v>
      </c>
      <c r="I28" s="21">
        <v>0</v>
      </c>
      <c r="J28" s="139" t="str">
        <f t="shared" si="2"/>
        <v>-</v>
      </c>
      <c r="K28" s="20">
        <v>0</v>
      </c>
      <c r="L28" s="21">
        <v>0</v>
      </c>
      <c r="M28" s="139" t="str">
        <f t="shared" si="3"/>
        <v>-</v>
      </c>
      <c r="N28" s="125">
        <v>0</v>
      </c>
      <c r="O28" s="126">
        <v>0</v>
      </c>
      <c r="P28" s="139" t="str">
        <f t="shared" si="4"/>
        <v>-</v>
      </c>
      <c r="Q28" s="125">
        <v>0</v>
      </c>
      <c r="R28" s="126">
        <v>0</v>
      </c>
      <c r="S28" s="139" t="str">
        <f t="shared" si="5"/>
        <v>-</v>
      </c>
      <c r="T28" s="125">
        <v>30</v>
      </c>
      <c r="U28" s="126">
        <v>5</v>
      </c>
      <c r="V28" s="139">
        <f t="shared" si="6"/>
        <v>6</v>
      </c>
      <c r="W28" s="20">
        <v>0</v>
      </c>
      <c r="X28" s="21">
        <v>0</v>
      </c>
      <c r="Y28" s="139" t="str">
        <f t="shared" si="7"/>
        <v>-</v>
      </c>
      <c r="Z28" s="20">
        <v>0</v>
      </c>
      <c r="AA28" s="21">
        <v>0</v>
      </c>
      <c r="AB28" s="139" t="str">
        <f t="shared" si="8"/>
        <v>-</v>
      </c>
      <c r="AC28" s="20">
        <v>0</v>
      </c>
      <c r="AD28" s="21">
        <v>0</v>
      </c>
      <c r="AE28" s="139" t="str">
        <f t="shared" si="9"/>
        <v>-</v>
      </c>
      <c r="AF28" s="20">
        <v>0</v>
      </c>
      <c r="AG28" s="21">
        <v>0</v>
      </c>
      <c r="AH28" s="139" t="str">
        <f t="shared" si="10"/>
        <v>-</v>
      </c>
      <c r="AI28" s="20">
        <v>0</v>
      </c>
      <c r="AJ28" s="21">
        <v>0</v>
      </c>
      <c r="AK28" s="139" t="str">
        <f t="shared" si="11"/>
        <v>-</v>
      </c>
      <c r="AL28" s="20">
        <v>0</v>
      </c>
      <c r="AM28" s="21">
        <v>0</v>
      </c>
      <c r="AN28" s="139" t="str">
        <f t="shared" si="12"/>
        <v>-</v>
      </c>
      <c r="AO28" s="20">
        <v>6</v>
      </c>
      <c r="AP28" s="21">
        <v>1</v>
      </c>
      <c r="AQ28" s="139">
        <f t="shared" si="13"/>
        <v>6</v>
      </c>
      <c r="AR28" s="20">
        <v>12</v>
      </c>
      <c r="AS28" s="21">
        <v>2</v>
      </c>
      <c r="AT28" s="139">
        <f t="shared" si="14"/>
        <v>6</v>
      </c>
      <c r="AU28" s="125">
        <v>0</v>
      </c>
      <c r="AV28" s="126">
        <v>0</v>
      </c>
      <c r="AW28" s="139" t="str">
        <f t="shared" si="15"/>
        <v>-</v>
      </c>
      <c r="AX28" s="125">
        <v>0</v>
      </c>
      <c r="AY28" s="126">
        <v>0</v>
      </c>
      <c r="AZ28" s="139" t="str">
        <f t="shared" si="16"/>
        <v>-</v>
      </c>
      <c r="BA28" s="125">
        <v>0</v>
      </c>
      <c r="BB28" s="126">
        <v>0</v>
      </c>
      <c r="BC28" s="139" t="str">
        <f t="shared" si="17"/>
        <v>-</v>
      </c>
      <c r="BD28" s="125">
        <v>0</v>
      </c>
      <c r="BE28" s="126">
        <v>0</v>
      </c>
      <c r="BF28" s="139" t="str">
        <f t="shared" si="18"/>
        <v>-</v>
      </c>
      <c r="BG28" s="125">
        <v>0</v>
      </c>
      <c r="BH28" s="126">
        <v>0</v>
      </c>
      <c r="BI28" s="139" t="str">
        <f t="shared" si="19"/>
        <v>-</v>
      </c>
      <c r="BJ28" s="125">
        <v>0</v>
      </c>
      <c r="BK28" s="126">
        <v>0</v>
      </c>
      <c r="BL28" s="139" t="str">
        <f t="shared" si="20"/>
        <v>-</v>
      </c>
      <c r="BM28" s="20">
        <v>21</v>
      </c>
      <c r="BN28" s="21">
        <v>3</v>
      </c>
      <c r="BO28" s="139">
        <f t="shared" si="21"/>
        <v>7</v>
      </c>
      <c r="BP28" s="20">
        <v>7</v>
      </c>
      <c r="BQ28" s="21">
        <v>1</v>
      </c>
      <c r="BR28" s="139">
        <f t="shared" si="22"/>
        <v>7</v>
      </c>
      <c r="BS28" s="354">
        <v>44</v>
      </c>
      <c r="BT28" s="271">
        <v>6</v>
      </c>
      <c r="BU28" s="139">
        <f t="shared" si="23"/>
        <v>7.333333333333333</v>
      </c>
      <c r="BV28" s="355">
        <v>0</v>
      </c>
      <c r="BW28" s="21">
        <v>0</v>
      </c>
      <c r="BX28" s="278" t="str">
        <f t="shared" si="24"/>
        <v>-</v>
      </c>
      <c r="BY28" s="375">
        <f t="shared" si="27"/>
        <v>167</v>
      </c>
      <c r="BZ28" s="373">
        <f t="shared" si="26"/>
        <v>23</v>
      </c>
      <c r="CA28" s="26">
        <f t="shared" si="25"/>
        <v>7.2608695652173916</v>
      </c>
    </row>
    <row r="29" spans="1:79" x14ac:dyDescent="0.3">
      <c r="A29" s="294">
        <v>46047</v>
      </c>
      <c r="B29" s="20">
        <v>19</v>
      </c>
      <c r="C29" s="21">
        <v>2</v>
      </c>
      <c r="D29" s="139">
        <f t="shared" si="0"/>
        <v>9.5</v>
      </c>
      <c r="E29" s="20">
        <v>0</v>
      </c>
      <c r="F29" s="21">
        <v>0</v>
      </c>
      <c r="G29" s="139" t="str">
        <f t="shared" si="1"/>
        <v>-</v>
      </c>
      <c r="H29" s="20">
        <v>35</v>
      </c>
      <c r="I29" s="21">
        <v>5</v>
      </c>
      <c r="J29" s="139">
        <f t="shared" si="2"/>
        <v>7</v>
      </c>
      <c r="K29" s="20">
        <v>0</v>
      </c>
      <c r="L29" s="21">
        <v>0</v>
      </c>
      <c r="M29" s="139" t="str">
        <f t="shared" si="3"/>
        <v>-</v>
      </c>
      <c r="N29" s="125">
        <v>0</v>
      </c>
      <c r="O29" s="126">
        <v>0</v>
      </c>
      <c r="P29" s="139" t="str">
        <f t="shared" si="4"/>
        <v>-</v>
      </c>
      <c r="Q29" s="125">
        <v>0</v>
      </c>
      <c r="R29" s="126">
        <v>0</v>
      </c>
      <c r="S29" s="139" t="str">
        <f t="shared" si="5"/>
        <v>-</v>
      </c>
      <c r="T29" s="125">
        <v>0</v>
      </c>
      <c r="U29" s="126">
        <v>0</v>
      </c>
      <c r="V29" s="139" t="str">
        <f t="shared" si="6"/>
        <v>-</v>
      </c>
      <c r="W29" s="20">
        <v>0</v>
      </c>
      <c r="X29" s="21">
        <v>0</v>
      </c>
      <c r="Y29" s="139" t="str">
        <f t="shared" si="7"/>
        <v>-</v>
      </c>
      <c r="Z29" s="125">
        <v>0</v>
      </c>
      <c r="AA29" s="126">
        <v>0</v>
      </c>
      <c r="AB29" s="139" t="str">
        <f t="shared" si="8"/>
        <v>-</v>
      </c>
      <c r="AC29" s="125">
        <v>0</v>
      </c>
      <c r="AD29" s="126">
        <v>0</v>
      </c>
      <c r="AE29" s="139" t="str">
        <f t="shared" si="9"/>
        <v>-</v>
      </c>
      <c r="AF29" s="20">
        <v>0</v>
      </c>
      <c r="AG29" s="21">
        <v>0</v>
      </c>
      <c r="AH29" s="139" t="str">
        <f t="shared" si="10"/>
        <v>-</v>
      </c>
      <c r="AI29" s="20">
        <v>0</v>
      </c>
      <c r="AJ29" s="21">
        <v>0</v>
      </c>
      <c r="AK29" s="139" t="str">
        <f t="shared" si="11"/>
        <v>-</v>
      </c>
      <c r="AL29" s="20">
        <v>0</v>
      </c>
      <c r="AM29" s="21">
        <v>0</v>
      </c>
      <c r="AN29" s="139" t="str">
        <f t="shared" si="12"/>
        <v>-</v>
      </c>
      <c r="AO29" s="20">
        <v>0</v>
      </c>
      <c r="AP29" s="21">
        <v>0</v>
      </c>
      <c r="AQ29" s="139" t="str">
        <f t="shared" si="13"/>
        <v>-</v>
      </c>
      <c r="AR29" s="20">
        <v>6</v>
      </c>
      <c r="AS29" s="21">
        <v>1</v>
      </c>
      <c r="AT29" s="139">
        <f t="shared" si="14"/>
        <v>6</v>
      </c>
      <c r="AU29" s="125">
        <v>0</v>
      </c>
      <c r="AV29" s="126">
        <v>0</v>
      </c>
      <c r="AW29" s="139" t="str">
        <f t="shared" si="15"/>
        <v>-</v>
      </c>
      <c r="AX29" s="125">
        <v>0</v>
      </c>
      <c r="AY29" s="126">
        <v>0</v>
      </c>
      <c r="AZ29" s="139" t="str">
        <f t="shared" si="16"/>
        <v>-</v>
      </c>
      <c r="BA29" s="125">
        <v>0</v>
      </c>
      <c r="BB29" s="126">
        <v>0</v>
      </c>
      <c r="BC29" s="139" t="str">
        <f t="shared" si="17"/>
        <v>-</v>
      </c>
      <c r="BD29" s="125">
        <v>0</v>
      </c>
      <c r="BE29" s="126">
        <v>0</v>
      </c>
      <c r="BF29" s="139" t="str">
        <f t="shared" si="18"/>
        <v>-</v>
      </c>
      <c r="BG29" s="125">
        <v>0</v>
      </c>
      <c r="BH29" s="126">
        <v>0</v>
      </c>
      <c r="BI29" s="139" t="str">
        <f t="shared" si="19"/>
        <v>-</v>
      </c>
      <c r="BJ29" s="125">
        <v>0</v>
      </c>
      <c r="BK29" s="126">
        <v>0</v>
      </c>
      <c r="BL29" s="139" t="str">
        <f t="shared" si="20"/>
        <v>-</v>
      </c>
      <c r="BM29" s="20">
        <v>6</v>
      </c>
      <c r="BN29" s="21">
        <v>1</v>
      </c>
      <c r="BO29" s="276">
        <f t="shared" si="21"/>
        <v>6</v>
      </c>
      <c r="BP29" s="20">
        <v>0</v>
      </c>
      <c r="BQ29" s="21">
        <v>0</v>
      </c>
      <c r="BR29" s="276" t="str">
        <f t="shared" si="22"/>
        <v>-</v>
      </c>
      <c r="BS29" s="354">
        <v>0</v>
      </c>
      <c r="BT29" s="271">
        <v>0</v>
      </c>
      <c r="BU29" s="276" t="str">
        <f t="shared" si="23"/>
        <v>-</v>
      </c>
      <c r="BV29" s="355">
        <v>6</v>
      </c>
      <c r="BW29" s="21">
        <v>1</v>
      </c>
      <c r="BX29" s="277">
        <f t="shared" si="24"/>
        <v>6</v>
      </c>
      <c r="BY29" s="375">
        <f t="shared" si="27"/>
        <v>72</v>
      </c>
      <c r="BZ29" s="373">
        <f t="shared" si="26"/>
        <v>10</v>
      </c>
      <c r="CA29" s="26">
        <f t="shared" si="25"/>
        <v>7.2</v>
      </c>
    </row>
    <row r="30" spans="1:79" x14ac:dyDescent="0.3">
      <c r="A30" s="294">
        <v>46048</v>
      </c>
      <c r="B30" s="20">
        <v>95</v>
      </c>
      <c r="C30" s="21">
        <v>13</v>
      </c>
      <c r="D30" s="139">
        <f t="shared" si="0"/>
        <v>7.3076923076923075</v>
      </c>
      <c r="E30" s="20">
        <v>8</v>
      </c>
      <c r="F30" s="21">
        <v>1</v>
      </c>
      <c r="G30" s="139">
        <f t="shared" si="1"/>
        <v>8</v>
      </c>
      <c r="H30" s="20">
        <v>14</v>
      </c>
      <c r="I30" s="21">
        <v>2</v>
      </c>
      <c r="J30" s="139">
        <f t="shared" si="2"/>
        <v>7</v>
      </c>
      <c r="K30" s="20">
        <v>10</v>
      </c>
      <c r="L30" s="21">
        <v>1</v>
      </c>
      <c r="M30" s="139">
        <f t="shared" si="3"/>
        <v>10</v>
      </c>
      <c r="N30" s="125">
        <v>0</v>
      </c>
      <c r="O30" s="126">
        <v>0</v>
      </c>
      <c r="P30" s="139" t="str">
        <f t="shared" si="4"/>
        <v>-</v>
      </c>
      <c r="Q30" s="125">
        <v>0</v>
      </c>
      <c r="R30" s="126">
        <v>0</v>
      </c>
      <c r="S30" s="139" t="str">
        <f t="shared" si="5"/>
        <v>-</v>
      </c>
      <c r="T30" s="125">
        <v>59</v>
      </c>
      <c r="U30" s="126">
        <v>10</v>
      </c>
      <c r="V30" s="139">
        <f t="shared" si="6"/>
        <v>5.9</v>
      </c>
      <c r="W30" s="125">
        <v>0</v>
      </c>
      <c r="X30" s="126">
        <v>0</v>
      </c>
      <c r="Y30" s="139" t="str">
        <f t="shared" si="7"/>
        <v>-</v>
      </c>
      <c r="Z30" s="125">
        <v>0</v>
      </c>
      <c r="AA30" s="126">
        <v>0</v>
      </c>
      <c r="AB30" s="139" t="str">
        <f t="shared" si="8"/>
        <v>-</v>
      </c>
      <c r="AC30" s="125">
        <v>0</v>
      </c>
      <c r="AD30" s="126">
        <v>0</v>
      </c>
      <c r="AE30" s="139" t="str">
        <f t="shared" si="9"/>
        <v>-</v>
      </c>
      <c r="AF30" s="125">
        <v>0</v>
      </c>
      <c r="AG30" s="126">
        <v>0</v>
      </c>
      <c r="AH30" s="139" t="str">
        <f t="shared" si="10"/>
        <v>-</v>
      </c>
      <c r="AI30" s="125">
        <v>54</v>
      </c>
      <c r="AJ30" s="126">
        <v>11</v>
      </c>
      <c r="AK30" s="139">
        <f t="shared" si="11"/>
        <v>4.9090909090909092</v>
      </c>
      <c r="AL30" s="20">
        <v>0</v>
      </c>
      <c r="AM30" s="21">
        <v>0</v>
      </c>
      <c r="AN30" s="139" t="str">
        <f t="shared" si="12"/>
        <v>-</v>
      </c>
      <c r="AO30" s="20">
        <v>0</v>
      </c>
      <c r="AP30" s="21">
        <v>0</v>
      </c>
      <c r="AQ30" s="139" t="str">
        <f t="shared" si="13"/>
        <v>-</v>
      </c>
      <c r="AR30" s="125">
        <v>6</v>
      </c>
      <c r="AS30" s="126">
        <v>1</v>
      </c>
      <c r="AT30" s="139">
        <f t="shared" si="14"/>
        <v>6</v>
      </c>
      <c r="AU30" s="125">
        <v>0</v>
      </c>
      <c r="AV30" s="126">
        <v>0</v>
      </c>
      <c r="AW30" s="139" t="str">
        <f t="shared" si="15"/>
        <v>-</v>
      </c>
      <c r="AX30" s="125">
        <v>0</v>
      </c>
      <c r="AY30" s="126">
        <v>0</v>
      </c>
      <c r="AZ30" s="139" t="str">
        <f t="shared" si="16"/>
        <v>-</v>
      </c>
      <c r="BA30" s="125">
        <v>0</v>
      </c>
      <c r="BB30" s="126">
        <v>0</v>
      </c>
      <c r="BC30" s="139" t="str">
        <f t="shared" si="17"/>
        <v>-</v>
      </c>
      <c r="BD30" s="125">
        <v>0</v>
      </c>
      <c r="BE30" s="126">
        <v>0</v>
      </c>
      <c r="BF30" s="139" t="str">
        <f t="shared" si="18"/>
        <v>-</v>
      </c>
      <c r="BG30" s="125">
        <v>13</v>
      </c>
      <c r="BH30" s="126">
        <v>3</v>
      </c>
      <c r="BI30" s="139">
        <f t="shared" si="19"/>
        <v>4.333333333333333</v>
      </c>
      <c r="BJ30" s="125">
        <v>0</v>
      </c>
      <c r="BK30" s="126">
        <v>0</v>
      </c>
      <c r="BL30" s="139" t="str">
        <f t="shared" si="20"/>
        <v>-</v>
      </c>
      <c r="BM30" s="20">
        <v>57</v>
      </c>
      <c r="BN30" s="21">
        <v>9</v>
      </c>
      <c r="BO30" s="276">
        <f t="shared" si="21"/>
        <v>6.333333333333333</v>
      </c>
      <c r="BP30" s="354">
        <v>0</v>
      </c>
      <c r="BQ30" s="271">
        <v>0</v>
      </c>
      <c r="BR30" s="276" t="str">
        <f t="shared" si="22"/>
        <v>-</v>
      </c>
      <c r="BS30" s="20">
        <v>0</v>
      </c>
      <c r="BT30" s="21">
        <v>0</v>
      </c>
      <c r="BU30" s="276" t="str">
        <f t="shared" si="23"/>
        <v>-</v>
      </c>
      <c r="BV30" s="355">
        <v>0</v>
      </c>
      <c r="BW30" s="21">
        <v>0</v>
      </c>
      <c r="BX30" s="277" t="str">
        <f t="shared" si="24"/>
        <v>-</v>
      </c>
      <c r="BY30" s="375">
        <f t="shared" si="27"/>
        <v>316</v>
      </c>
      <c r="BZ30" s="373">
        <f t="shared" si="26"/>
        <v>51</v>
      </c>
      <c r="CA30" s="26">
        <f t="shared" si="25"/>
        <v>6.1960784313725492</v>
      </c>
    </row>
    <row r="31" spans="1:79" x14ac:dyDescent="0.3">
      <c r="A31" s="294">
        <v>46049</v>
      </c>
      <c r="B31" s="20">
        <v>86</v>
      </c>
      <c r="C31" s="21">
        <v>11</v>
      </c>
      <c r="D31" s="139">
        <f t="shared" si="0"/>
        <v>7.8181818181818183</v>
      </c>
      <c r="E31" s="20">
        <v>0</v>
      </c>
      <c r="F31" s="21">
        <v>0</v>
      </c>
      <c r="G31" s="139">
        <v>0</v>
      </c>
      <c r="H31" s="20">
        <v>0</v>
      </c>
      <c r="I31" s="21">
        <v>0</v>
      </c>
      <c r="J31" s="139" t="str">
        <f t="shared" si="2"/>
        <v>-</v>
      </c>
      <c r="K31" s="20">
        <v>8</v>
      </c>
      <c r="L31" s="21">
        <v>1</v>
      </c>
      <c r="M31" s="139">
        <f t="shared" si="3"/>
        <v>8</v>
      </c>
      <c r="N31" s="125">
        <v>0</v>
      </c>
      <c r="O31" s="126">
        <v>0</v>
      </c>
      <c r="P31" s="139" t="str">
        <f t="shared" si="4"/>
        <v>-</v>
      </c>
      <c r="Q31" s="125">
        <v>0</v>
      </c>
      <c r="R31" s="126">
        <v>0</v>
      </c>
      <c r="S31" s="139" t="str">
        <f t="shared" si="5"/>
        <v>-</v>
      </c>
      <c r="T31" s="125">
        <v>76</v>
      </c>
      <c r="U31" s="126">
        <v>12</v>
      </c>
      <c r="V31" s="139">
        <f t="shared" si="6"/>
        <v>6.333333333333333</v>
      </c>
      <c r="W31" s="125">
        <v>0</v>
      </c>
      <c r="X31" s="126">
        <v>0</v>
      </c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125">
        <v>0</v>
      </c>
      <c r="AD31" s="126">
        <v>0</v>
      </c>
      <c r="AE31" s="139" t="str">
        <f t="shared" si="9"/>
        <v>-</v>
      </c>
      <c r="AF31" s="125">
        <v>0</v>
      </c>
      <c r="AG31" s="126">
        <v>0</v>
      </c>
      <c r="AH31" s="139" t="str">
        <f t="shared" si="10"/>
        <v>-</v>
      </c>
      <c r="AI31" s="125">
        <v>30</v>
      </c>
      <c r="AJ31" s="126">
        <v>6</v>
      </c>
      <c r="AK31" s="139">
        <f t="shared" si="11"/>
        <v>5</v>
      </c>
      <c r="AL31" s="125">
        <v>0</v>
      </c>
      <c r="AM31" s="126">
        <v>0</v>
      </c>
      <c r="AN31" s="139" t="str">
        <f t="shared" si="12"/>
        <v>-</v>
      </c>
      <c r="AO31" s="125">
        <v>0</v>
      </c>
      <c r="AP31" s="126">
        <v>0</v>
      </c>
      <c r="AQ31" s="139" t="str">
        <f t="shared" si="13"/>
        <v>-</v>
      </c>
      <c r="AR31" s="125">
        <v>12</v>
      </c>
      <c r="AS31" s="126">
        <v>2</v>
      </c>
      <c r="AT31" s="139">
        <f t="shared" si="14"/>
        <v>6</v>
      </c>
      <c r="AU31" s="125">
        <v>0</v>
      </c>
      <c r="AV31" s="126">
        <v>0</v>
      </c>
      <c r="AW31" s="139" t="str">
        <f t="shared" si="15"/>
        <v>-</v>
      </c>
      <c r="AX31" s="125">
        <v>0</v>
      </c>
      <c r="AY31" s="126">
        <v>0</v>
      </c>
      <c r="AZ31" s="139" t="str">
        <f t="shared" si="16"/>
        <v>-</v>
      </c>
      <c r="BA31" s="125">
        <v>3</v>
      </c>
      <c r="BB31" s="126">
        <v>1</v>
      </c>
      <c r="BC31" s="139">
        <f t="shared" si="17"/>
        <v>3</v>
      </c>
      <c r="BD31" s="125">
        <v>0</v>
      </c>
      <c r="BE31" s="126">
        <v>0</v>
      </c>
      <c r="BF31" s="139" t="str">
        <f t="shared" si="18"/>
        <v>-</v>
      </c>
      <c r="BG31" s="125">
        <v>10</v>
      </c>
      <c r="BH31" s="126">
        <v>2</v>
      </c>
      <c r="BI31" s="139">
        <f t="shared" si="19"/>
        <v>5</v>
      </c>
      <c r="BJ31" s="125">
        <v>0</v>
      </c>
      <c r="BK31" s="126">
        <v>0</v>
      </c>
      <c r="BL31" s="139" t="str">
        <f t="shared" si="20"/>
        <v>-</v>
      </c>
      <c r="BM31" s="20">
        <v>38</v>
      </c>
      <c r="BN31" s="21">
        <v>6</v>
      </c>
      <c r="BO31" s="276">
        <f t="shared" si="21"/>
        <v>6.333333333333333</v>
      </c>
      <c r="BP31" s="252">
        <v>0</v>
      </c>
      <c r="BQ31" s="253">
        <v>0</v>
      </c>
      <c r="BR31" s="276" t="str">
        <f t="shared" si="22"/>
        <v>-</v>
      </c>
      <c r="BS31" s="302">
        <v>0</v>
      </c>
      <c r="BT31" s="303">
        <v>0</v>
      </c>
      <c r="BU31" s="276" t="str">
        <f t="shared" si="23"/>
        <v>-</v>
      </c>
      <c r="BV31" s="257">
        <v>0</v>
      </c>
      <c r="BW31" s="253">
        <v>0</v>
      </c>
      <c r="BX31" s="277" t="str">
        <f>IF(BW31=0,"-",BV31/BW31)</f>
        <v>-</v>
      </c>
      <c r="BY31" s="375">
        <f t="shared" si="27"/>
        <v>263</v>
      </c>
      <c r="BZ31" s="373">
        <f t="shared" si="26"/>
        <v>41</v>
      </c>
      <c r="CA31" s="26">
        <f t="shared" si="25"/>
        <v>6.4146341463414638</v>
      </c>
    </row>
    <row r="32" spans="1:79" x14ac:dyDescent="0.3">
      <c r="A32" s="294">
        <v>46050</v>
      </c>
      <c r="B32" s="20">
        <v>38</v>
      </c>
      <c r="C32" s="21">
        <v>4</v>
      </c>
      <c r="D32" s="139">
        <f t="shared" si="0"/>
        <v>9.5</v>
      </c>
      <c r="E32" s="20">
        <v>0</v>
      </c>
      <c r="F32" s="21">
        <v>0</v>
      </c>
      <c r="G32" s="139" t="str">
        <f t="shared" si="1"/>
        <v>-</v>
      </c>
      <c r="H32" s="20">
        <v>0</v>
      </c>
      <c r="I32" s="21">
        <v>0</v>
      </c>
      <c r="J32" s="139" t="str">
        <f t="shared" si="2"/>
        <v>-</v>
      </c>
      <c r="K32" s="20">
        <v>0</v>
      </c>
      <c r="L32" s="21">
        <v>0</v>
      </c>
      <c r="M32" s="139" t="str">
        <f t="shared" si="3"/>
        <v>-</v>
      </c>
      <c r="N32" s="125">
        <v>0</v>
      </c>
      <c r="O32" s="126">
        <v>0</v>
      </c>
      <c r="P32" s="139" t="str">
        <f t="shared" si="4"/>
        <v>-</v>
      </c>
      <c r="Q32" s="125">
        <v>0</v>
      </c>
      <c r="R32" s="126">
        <v>0</v>
      </c>
      <c r="S32" s="139" t="str">
        <f t="shared" si="5"/>
        <v>-</v>
      </c>
      <c r="T32" s="125">
        <v>52</v>
      </c>
      <c r="U32" s="126">
        <v>9</v>
      </c>
      <c r="V32" s="139">
        <f t="shared" si="6"/>
        <v>5.7777777777777777</v>
      </c>
      <c r="W32" s="125">
        <v>0</v>
      </c>
      <c r="X32" s="126">
        <v>0</v>
      </c>
      <c r="Y32" s="139" t="str">
        <f t="shared" si="7"/>
        <v>-</v>
      </c>
      <c r="Z32" s="125">
        <v>0</v>
      </c>
      <c r="AA32" s="126">
        <v>0</v>
      </c>
      <c r="AB32" s="139" t="str">
        <f t="shared" si="8"/>
        <v>-</v>
      </c>
      <c r="AC32" s="125">
        <v>0</v>
      </c>
      <c r="AD32" s="126">
        <v>0</v>
      </c>
      <c r="AE32" s="139" t="str">
        <f t="shared" si="9"/>
        <v>-</v>
      </c>
      <c r="AF32" s="125">
        <v>0</v>
      </c>
      <c r="AG32" s="126">
        <v>0</v>
      </c>
      <c r="AH32" s="139" t="str">
        <f t="shared" si="10"/>
        <v>-</v>
      </c>
      <c r="AI32" s="125">
        <v>40</v>
      </c>
      <c r="AJ32" s="126">
        <v>8</v>
      </c>
      <c r="AK32" s="139">
        <f t="shared" si="11"/>
        <v>5</v>
      </c>
      <c r="AL32" s="125">
        <v>12</v>
      </c>
      <c r="AM32" s="126">
        <v>2</v>
      </c>
      <c r="AN32" s="139">
        <f t="shared" si="12"/>
        <v>6</v>
      </c>
      <c r="AO32" s="125">
        <v>0</v>
      </c>
      <c r="AP32" s="126">
        <v>0</v>
      </c>
      <c r="AQ32" s="139" t="str">
        <f t="shared" si="13"/>
        <v>-</v>
      </c>
      <c r="AR32" s="125">
        <v>21</v>
      </c>
      <c r="AS32" s="126">
        <v>3</v>
      </c>
      <c r="AT32" s="139">
        <f t="shared" si="14"/>
        <v>7</v>
      </c>
      <c r="AU32" s="125">
        <v>0</v>
      </c>
      <c r="AV32" s="126">
        <v>0</v>
      </c>
      <c r="AW32" s="139" t="str">
        <f t="shared" si="15"/>
        <v>-</v>
      </c>
      <c r="AX32" s="125">
        <v>0</v>
      </c>
      <c r="AY32" s="126">
        <v>0</v>
      </c>
      <c r="AZ32" s="139" t="str">
        <f t="shared" si="16"/>
        <v>-</v>
      </c>
      <c r="BA32" s="125">
        <v>2</v>
      </c>
      <c r="BB32" s="126">
        <v>1</v>
      </c>
      <c r="BC32" s="139">
        <f t="shared" si="17"/>
        <v>2</v>
      </c>
      <c r="BD32" s="125">
        <v>0</v>
      </c>
      <c r="BE32" s="126">
        <v>0</v>
      </c>
      <c r="BF32" s="139" t="str">
        <f t="shared" si="18"/>
        <v>-</v>
      </c>
      <c r="BG32" s="125">
        <v>9</v>
      </c>
      <c r="BH32" s="126">
        <v>2</v>
      </c>
      <c r="BI32" s="139">
        <f t="shared" si="19"/>
        <v>4.5</v>
      </c>
      <c r="BJ32" s="125">
        <v>0</v>
      </c>
      <c r="BK32" s="126">
        <v>0</v>
      </c>
      <c r="BL32" s="139" t="str">
        <f t="shared" si="20"/>
        <v>-</v>
      </c>
      <c r="BM32" s="270">
        <v>5</v>
      </c>
      <c r="BN32" s="21">
        <v>1</v>
      </c>
      <c r="BO32" s="276">
        <f t="shared" si="21"/>
        <v>5</v>
      </c>
      <c r="BP32" s="20">
        <v>0</v>
      </c>
      <c r="BQ32" s="21">
        <v>0</v>
      </c>
      <c r="BR32" s="276" t="str">
        <f t="shared" si="22"/>
        <v>-</v>
      </c>
      <c r="BS32" s="20">
        <v>0</v>
      </c>
      <c r="BT32" s="21">
        <v>0</v>
      </c>
      <c r="BU32" s="276" t="str">
        <f t="shared" si="23"/>
        <v>-</v>
      </c>
      <c r="BV32" s="355">
        <v>6</v>
      </c>
      <c r="BW32" s="21">
        <v>1</v>
      </c>
      <c r="BX32" s="277">
        <f>IF(BW32=0,"-",BV32/BW32)</f>
        <v>6</v>
      </c>
      <c r="BY32" s="375">
        <f t="shared" si="27"/>
        <v>185</v>
      </c>
      <c r="BZ32" s="373">
        <f t="shared" si="26"/>
        <v>31</v>
      </c>
      <c r="CA32" s="26">
        <f t="shared" si="25"/>
        <v>5.967741935483871</v>
      </c>
    </row>
    <row r="33" spans="1:79" x14ac:dyDescent="0.3">
      <c r="A33" s="294">
        <v>46051</v>
      </c>
      <c r="B33" s="20">
        <v>93</v>
      </c>
      <c r="C33" s="21">
        <v>10</v>
      </c>
      <c r="D33" s="139">
        <f t="shared" si="0"/>
        <v>9.3000000000000007</v>
      </c>
      <c r="E33" s="20">
        <v>9</v>
      </c>
      <c r="F33" s="21">
        <v>1</v>
      </c>
      <c r="G33" s="139">
        <f t="shared" si="1"/>
        <v>9</v>
      </c>
      <c r="H33" s="20">
        <v>0</v>
      </c>
      <c r="I33" s="21">
        <v>0</v>
      </c>
      <c r="J33" s="139" t="str">
        <f t="shared" si="2"/>
        <v>-</v>
      </c>
      <c r="K33" s="20">
        <v>0</v>
      </c>
      <c r="L33" s="21">
        <v>0</v>
      </c>
      <c r="M33" s="139" t="str">
        <f t="shared" si="3"/>
        <v>-</v>
      </c>
      <c r="N33" s="125">
        <v>0</v>
      </c>
      <c r="O33" s="126">
        <v>0</v>
      </c>
      <c r="P33" s="139" t="str">
        <f t="shared" si="4"/>
        <v>-</v>
      </c>
      <c r="Q33" s="125">
        <v>0</v>
      </c>
      <c r="R33" s="126">
        <v>0</v>
      </c>
      <c r="S33" s="139" t="str">
        <f t="shared" si="5"/>
        <v>-</v>
      </c>
      <c r="T33" s="125">
        <v>66</v>
      </c>
      <c r="U33" s="126">
        <v>11</v>
      </c>
      <c r="V33" s="139">
        <f t="shared" si="6"/>
        <v>6</v>
      </c>
      <c r="W33" s="125">
        <v>0</v>
      </c>
      <c r="X33" s="126">
        <v>0</v>
      </c>
      <c r="Y33" s="139" t="str">
        <f t="shared" si="7"/>
        <v>-</v>
      </c>
      <c r="Z33" s="125">
        <v>0</v>
      </c>
      <c r="AA33" s="126">
        <v>0</v>
      </c>
      <c r="AB33" s="139" t="str">
        <f t="shared" si="8"/>
        <v>-</v>
      </c>
      <c r="AC33" s="125">
        <v>0</v>
      </c>
      <c r="AD33" s="126">
        <v>0</v>
      </c>
      <c r="AE33" s="139" t="str">
        <f t="shared" si="9"/>
        <v>-</v>
      </c>
      <c r="AF33" s="125">
        <v>0</v>
      </c>
      <c r="AG33" s="126">
        <v>0</v>
      </c>
      <c r="AH33" s="139" t="str">
        <f t="shared" si="10"/>
        <v>-</v>
      </c>
      <c r="AI33" s="125">
        <v>30</v>
      </c>
      <c r="AJ33" s="126">
        <v>6</v>
      </c>
      <c r="AK33" s="139">
        <f t="shared" si="11"/>
        <v>5</v>
      </c>
      <c r="AL33" s="125">
        <v>0</v>
      </c>
      <c r="AM33" s="126">
        <v>0</v>
      </c>
      <c r="AN33" s="139" t="str">
        <f t="shared" si="12"/>
        <v>-</v>
      </c>
      <c r="AO33" s="125">
        <v>0</v>
      </c>
      <c r="AP33" s="126">
        <v>0</v>
      </c>
      <c r="AQ33" s="139" t="str">
        <f t="shared" si="13"/>
        <v>-</v>
      </c>
      <c r="AR33" s="125">
        <v>6</v>
      </c>
      <c r="AS33" s="126">
        <v>1</v>
      </c>
      <c r="AT33" s="139">
        <f t="shared" si="14"/>
        <v>6</v>
      </c>
      <c r="AU33" s="125"/>
      <c r="AV33" s="126"/>
      <c r="AW33" s="139" t="str">
        <f t="shared" si="15"/>
        <v>-</v>
      </c>
      <c r="AX33" s="125">
        <v>0</v>
      </c>
      <c r="AY33" s="126">
        <v>0</v>
      </c>
      <c r="AZ33" s="139" t="str">
        <f t="shared" si="16"/>
        <v>-</v>
      </c>
      <c r="BA33" s="125"/>
      <c r="BB33" s="126"/>
      <c r="BC33" s="139" t="str">
        <f t="shared" si="17"/>
        <v>-</v>
      </c>
      <c r="BD33" s="125">
        <v>0</v>
      </c>
      <c r="BE33" s="126">
        <v>0</v>
      </c>
      <c r="BF33" s="139" t="str">
        <f t="shared" si="18"/>
        <v>-</v>
      </c>
      <c r="BG33" s="125"/>
      <c r="BH33" s="126"/>
      <c r="BI33" s="139" t="str">
        <f t="shared" si="19"/>
        <v>-</v>
      </c>
      <c r="BJ33" s="125">
        <v>0</v>
      </c>
      <c r="BK33" s="126">
        <v>0</v>
      </c>
      <c r="BL33" s="139" t="str">
        <f t="shared" si="20"/>
        <v>-</v>
      </c>
      <c r="BM33" s="20">
        <v>19</v>
      </c>
      <c r="BN33" s="21">
        <v>3</v>
      </c>
      <c r="BO33" s="276">
        <f t="shared" si="21"/>
        <v>6.333333333333333</v>
      </c>
      <c r="BP33" s="20">
        <v>0</v>
      </c>
      <c r="BQ33" s="21">
        <v>0</v>
      </c>
      <c r="BR33" s="276" t="str">
        <f t="shared" si="22"/>
        <v>-</v>
      </c>
      <c r="BS33" s="20">
        <v>0</v>
      </c>
      <c r="BT33" s="21">
        <v>0</v>
      </c>
      <c r="BU33" s="276" t="str">
        <f t="shared" si="23"/>
        <v>-</v>
      </c>
      <c r="BV33" s="20">
        <v>0</v>
      </c>
      <c r="BW33" s="21">
        <v>0</v>
      </c>
      <c r="BX33" s="277" t="str">
        <f t="shared" si="24"/>
        <v>-</v>
      </c>
      <c r="BY33" s="375">
        <f t="shared" si="27"/>
        <v>223</v>
      </c>
      <c r="BZ33" s="373">
        <f t="shared" si="26"/>
        <v>32</v>
      </c>
      <c r="CA33" s="26">
        <f t="shared" si="25"/>
        <v>6.96875</v>
      </c>
    </row>
    <row r="34" spans="1:79" x14ac:dyDescent="0.3">
      <c r="A34" s="294">
        <v>46052</v>
      </c>
      <c r="B34" s="20">
        <v>33</v>
      </c>
      <c r="C34" s="21">
        <v>4</v>
      </c>
      <c r="D34" s="139">
        <f t="shared" si="0"/>
        <v>8.25</v>
      </c>
      <c r="E34" s="20">
        <v>16</v>
      </c>
      <c r="F34" s="21">
        <v>2</v>
      </c>
      <c r="G34" s="139">
        <f t="shared" si="1"/>
        <v>8</v>
      </c>
      <c r="H34" s="20">
        <v>0</v>
      </c>
      <c r="I34" s="21">
        <v>0</v>
      </c>
      <c r="J34" s="139" t="str">
        <f t="shared" si="2"/>
        <v>-</v>
      </c>
      <c r="K34" s="20">
        <v>26</v>
      </c>
      <c r="L34" s="21">
        <v>3</v>
      </c>
      <c r="M34" s="139">
        <f t="shared" si="3"/>
        <v>8.6666666666666661</v>
      </c>
      <c r="N34" s="125">
        <v>0</v>
      </c>
      <c r="O34" s="126">
        <v>0</v>
      </c>
      <c r="P34" s="139" t="str">
        <f t="shared" si="4"/>
        <v>-</v>
      </c>
      <c r="Q34" s="125">
        <v>0</v>
      </c>
      <c r="R34" s="126">
        <v>0</v>
      </c>
      <c r="S34" s="139" t="str">
        <f t="shared" si="5"/>
        <v>-</v>
      </c>
      <c r="T34" s="125">
        <v>53</v>
      </c>
      <c r="U34" s="126">
        <v>9</v>
      </c>
      <c r="V34" s="139">
        <f t="shared" si="6"/>
        <v>5.8888888888888893</v>
      </c>
      <c r="W34" s="125">
        <v>10</v>
      </c>
      <c r="X34" s="126">
        <v>2</v>
      </c>
      <c r="Y34" s="139">
        <f t="shared" si="7"/>
        <v>5</v>
      </c>
      <c r="Z34" s="125">
        <v>0</v>
      </c>
      <c r="AA34" s="126">
        <v>0</v>
      </c>
      <c r="AB34" s="139" t="str">
        <f t="shared" si="8"/>
        <v>-</v>
      </c>
      <c r="AC34" s="125">
        <v>0</v>
      </c>
      <c r="AD34" s="126">
        <v>0</v>
      </c>
      <c r="AE34" s="139" t="str">
        <f t="shared" si="9"/>
        <v>-</v>
      </c>
      <c r="AF34" s="125">
        <v>0</v>
      </c>
      <c r="AG34" s="126">
        <v>0</v>
      </c>
      <c r="AH34" s="139" t="str">
        <f t="shared" si="10"/>
        <v>-</v>
      </c>
      <c r="AI34" s="125">
        <v>15</v>
      </c>
      <c r="AJ34" s="126">
        <v>3</v>
      </c>
      <c r="AK34" s="139">
        <f t="shared" si="11"/>
        <v>5</v>
      </c>
      <c r="AL34" s="125">
        <v>12</v>
      </c>
      <c r="AM34" s="126">
        <v>2</v>
      </c>
      <c r="AN34" s="139">
        <f t="shared" si="12"/>
        <v>6</v>
      </c>
      <c r="AO34" s="125">
        <v>0</v>
      </c>
      <c r="AP34" s="126">
        <v>0</v>
      </c>
      <c r="AQ34" s="139" t="str">
        <f t="shared" si="13"/>
        <v>-</v>
      </c>
      <c r="AR34" s="125">
        <v>12</v>
      </c>
      <c r="AS34" s="126">
        <v>2</v>
      </c>
      <c r="AT34" s="139">
        <f t="shared" si="14"/>
        <v>6</v>
      </c>
      <c r="AU34" s="125"/>
      <c r="AV34" s="126"/>
      <c r="AW34" s="139" t="str">
        <f t="shared" si="15"/>
        <v>-</v>
      </c>
      <c r="AX34" s="125">
        <v>0</v>
      </c>
      <c r="AY34" s="126">
        <v>0</v>
      </c>
      <c r="AZ34" s="139" t="str">
        <f t="shared" si="16"/>
        <v>-</v>
      </c>
      <c r="BA34" s="125"/>
      <c r="BB34" s="126"/>
      <c r="BC34" s="139" t="str">
        <f t="shared" si="17"/>
        <v>-</v>
      </c>
      <c r="BD34" s="125">
        <v>0</v>
      </c>
      <c r="BE34" s="126">
        <v>0</v>
      </c>
      <c r="BF34" s="139" t="str">
        <f t="shared" si="18"/>
        <v>-</v>
      </c>
      <c r="BG34" s="125"/>
      <c r="BH34" s="126"/>
      <c r="BI34" s="139" t="str">
        <f t="shared" si="19"/>
        <v>-</v>
      </c>
      <c r="BJ34" s="125">
        <v>0</v>
      </c>
      <c r="BK34" s="126">
        <v>0</v>
      </c>
      <c r="BL34" s="139" t="str">
        <f t="shared" si="20"/>
        <v>-</v>
      </c>
      <c r="BM34" s="20">
        <v>17</v>
      </c>
      <c r="BN34" s="21">
        <v>3</v>
      </c>
      <c r="BO34" s="276">
        <f t="shared" si="21"/>
        <v>5.666666666666667</v>
      </c>
      <c r="BP34" s="20">
        <v>0</v>
      </c>
      <c r="BQ34" s="21">
        <v>0</v>
      </c>
      <c r="BR34" s="276" t="str">
        <f t="shared" si="22"/>
        <v>-</v>
      </c>
      <c r="BS34" s="20">
        <v>0</v>
      </c>
      <c r="BT34" s="21">
        <v>0</v>
      </c>
      <c r="BU34" s="276" t="str">
        <f t="shared" si="23"/>
        <v>-</v>
      </c>
      <c r="BV34" s="20">
        <v>0</v>
      </c>
      <c r="BW34" s="21">
        <v>0</v>
      </c>
      <c r="BX34" s="277" t="str">
        <f t="shared" si="24"/>
        <v>-</v>
      </c>
      <c r="BY34" s="375">
        <f t="shared" si="27"/>
        <v>194</v>
      </c>
      <c r="BZ34" s="373">
        <f t="shared" si="26"/>
        <v>30</v>
      </c>
      <c r="CA34" s="26">
        <f t="shared" si="25"/>
        <v>6.4666666666666668</v>
      </c>
    </row>
    <row r="35" spans="1:79" ht="15" thickBot="1" x14ac:dyDescent="0.35">
      <c r="A35" s="294">
        <v>46053</v>
      </c>
      <c r="B35" s="20">
        <v>33</v>
      </c>
      <c r="C35" s="21">
        <v>4</v>
      </c>
      <c r="D35" s="139">
        <f t="shared" si="0"/>
        <v>8.25</v>
      </c>
      <c r="E35" s="20">
        <v>0</v>
      </c>
      <c r="F35" s="21">
        <v>0</v>
      </c>
      <c r="G35" s="139" t="str">
        <f t="shared" si="1"/>
        <v>-</v>
      </c>
      <c r="H35" s="20">
        <v>0</v>
      </c>
      <c r="I35" s="21">
        <v>0</v>
      </c>
      <c r="J35" s="139" t="str">
        <f t="shared" si="2"/>
        <v>-</v>
      </c>
      <c r="K35" s="20">
        <v>40</v>
      </c>
      <c r="L35" s="21">
        <v>5</v>
      </c>
      <c r="M35" s="139">
        <f t="shared" si="3"/>
        <v>8</v>
      </c>
      <c r="N35" s="125">
        <v>0</v>
      </c>
      <c r="O35" s="126">
        <v>0</v>
      </c>
      <c r="P35" s="139" t="str">
        <f t="shared" si="4"/>
        <v>-</v>
      </c>
      <c r="Q35" s="125">
        <v>0</v>
      </c>
      <c r="R35" s="126">
        <v>0</v>
      </c>
      <c r="S35" s="139" t="str">
        <f t="shared" si="5"/>
        <v>-</v>
      </c>
      <c r="T35" s="125">
        <v>40</v>
      </c>
      <c r="U35" s="126">
        <v>7</v>
      </c>
      <c r="V35" s="139">
        <f t="shared" si="6"/>
        <v>5.7142857142857144</v>
      </c>
      <c r="W35" s="125">
        <v>0</v>
      </c>
      <c r="X35" s="126">
        <v>0</v>
      </c>
      <c r="Y35" s="139" t="str">
        <f t="shared" si="7"/>
        <v>-</v>
      </c>
      <c r="Z35" s="125">
        <v>0</v>
      </c>
      <c r="AA35" s="126">
        <v>0</v>
      </c>
      <c r="AB35" s="139" t="str">
        <f t="shared" si="8"/>
        <v>-</v>
      </c>
      <c r="AC35" s="125">
        <v>0</v>
      </c>
      <c r="AD35" s="126">
        <v>0</v>
      </c>
      <c r="AE35" s="139" t="str">
        <f t="shared" si="9"/>
        <v>-</v>
      </c>
      <c r="AF35" s="125">
        <v>0</v>
      </c>
      <c r="AG35" s="126">
        <v>0</v>
      </c>
      <c r="AH35" s="139" t="str">
        <f t="shared" si="10"/>
        <v>-</v>
      </c>
      <c r="AI35" s="125">
        <v>0</v>
      </c>
      <c r="AJ35" s="126">
        <v>0</v>
      </c>
      <c r="AK35" s="139" t="str">
        <f t="shared" si="11"/>
        <v>-</v>
      </c>
      <c r="AL35" s="125">
        <v>0</v>
      </c>
      <c r="AM35" s="126">
        <v>0</v>
      </c>
      <c r="AN35" s="139" t="str">
        <f t="shared" si="12"/>
        <v>-</v>
      </c>
      <c r="AO35" s="125">
        <v>6</v>
      </c>
      <c r="AP35" s="126">
        <v>1</v>
      </c>
      <c r="AQ35" s="139">
        <f t="shared" si="13"/>
        <v>6</v>
      </c>
      <c r="AR35" s="125">
        <v>6</v>
      </c>
      <c r="AS35" s="126">
        <v>1</v>
      </c>
      <c r="AT35" s="139">
        <f t="shared" si="14"/>
        <v>6</v>
      </c>
      <c r="AU35" s="125"/>
      <c r="AV35" s="126"/>
      <c r="AW35" s="139" t="str">
        <f t="shared" si="15"/>
        <v>-</v>
      </c>
      <c r="AX35" s="125">
        <v>0</v>
      </c>
      <c r="AY35" s="126">
        <v>0</v>
      </c>
      <c r="AZ35" s="139" t="str">
        <f t="shared" si="16"/>
        <v>-</v>
      </c>
      <c r="BA35" s="125"/>
      <c r="BB35" s="126"/>
      <c r="BC35" s="139" t="str">
        <f t="shared" si="17"/>
        <v>-</v>
      </c>
      <c r="BD35" s="125">
        <v>0</v>
      </c>
      <c r="BE35" s="126">
        <v>0</v>
      </c>
      <c r="BF35" s="139" t="str">
        <f t="shared" si="18"/>
        <v>-</v>
      </c>
      <c r="BG35" s="125"/>
      <c r="BH35" s="126"/>
      <c r="BI35" s="139" t="str">
        <f t="shared" si="19"/>
        <v>-</v>
      </c>
      <c r="BJ35" s="125">
        <v>0</v>
      </c>
      <c r="BK35" s="126">
        <v>0</v>
      </c>
      <c r="BL35" s="139" t="str">
        <f t="shared" si="20"/>
        <v>-</v>
      </c>
      <c r="BM35" s="377">
        <v>0</v>
      </c>
      <c r="BN35" s="378">
        <v>0</v>
      </c>
      <c r="BO35" s="276" t="str">
        <f t="shared" si="21"/>
        <v>-</v>
      </c>
      <c r="BP35" s="20">
        <v>0</v>
      </c>
      <c r="BQ35" s="21">
        <v>0</v>
      </c>
      <c r="BR35" s="276" t="str">
        <f t="shared" si="22"/>
        <v>-</v>
      </c>
      <c r="BS35" s="20">
        <v>0</v>
      </c>
      <c r="BT35" s="21">
        <v>0</v>
      </c>
      <c r="BU35" s="276" t="str">
        <f t="shared" si="23"/>
        <v>-</v>
      </c>
      <c r="BV35" s="20">
        <v>0</v>
      </c>
      <c r="BW35" s="21">
        <v>0</v>
      </c>
      <c r="BX35" s="277" t="str">
        <f t="shared" si="24"/>
        <v>-</v>
      </c>
      <c r="BY35" s="375">
        <f t="shared" si="27"/>
        <v>125</v>
      </c>
      <c r="BZ35" s="376">
        <f t="shared" si="26"/>
        <v>18</v>
      </c>
      <c r="CA35" s="89">
        <f t="shared" si="25"/>
        <v>6.9444444444444446</v>
      </c>
    </row>
    <row r="36" spans="1:79" s="41" customFormat="1" ht="15.6" customHeight="1" thickBot="1" x14ac:dyDescent="0.35">
      <c r="A36" s="295" t="s">
        <v>33</v>
      </c>
      <c r="B36" s="43">
        <f>SUM(B5:B35)</f>
        <v>1627</v>
      </c>
      <c r="C36" s="43">
        <f>SUM(C5:C35)</f>
        <v>187</v>
      </c>
      <c r="D36" s="332">
        <f t="shared" si="0"/>
        <v>8.7005347593582893</v>
      </c>
      <c r="E36" s="43">
        <f>SUM(E5:E35)</f>
        <v>65</v>
      </c>
      <c r="F36" s="43">
        <f>SUM(F5:F35)</f>
        <v>8</v>
      </c>
      <c r="G36" s="332">
        <f t="shared" si="1"/>
        <v>8.125</v>
      </c>
      <c r="H36" s="43">
        <f>SUM(H5:H35)</f>
        <v>62</v>
      </c>
      <c r="I36" s="43">
        <f>SUM(I5:I35)</f>
        <v>10</v>
      </c>
      <c r="J36" s="364">
        <f t="shared" si="2"/>
        <v>6.2</v>
      </c>
      <c r="K36" s="43">
        <f>SUM(K5:K35)</f>
        <v>328</v>
      </c>
      <c r="L36" s="43">
        <f>SUM(L5:L35)</f>
        <v>38</v>
      </c>
      <c r="M36" s="334">
        <f t="shared" si="3"/>
        <v>8.6315789473684212</v>
      </c>
      <c r="N36" s="43">
        <f t="shared" ref="N36:R36" si="31">SUM(N5:N35)</f>
        <v>0</v>
      </c>
      <c r="O36" s="43">
        <f t="shared" si="31"/>
        <v>0</v>
      </c>
      <c r="P36" s="43" t="str">
        <f t="shared" si="4"/>
        <v>-</v>
      </c>
      <c r="Q36" s="43">
        <f t="shared" si="31"/>
        <v>19</v>
      </c>
      <c r="R36" s="43">
        <f t="shared" si="31"/>
        <v>3</v>
      </c>
      <c r="S36" s="43">
        <f t="shared" si="5"/>
        <v>6.333333333333333</v>
      </c>
      <c r="T36" s="43">
        <f>SUM(T5:T35)</f>
        <v>1217</v>
      </c>
      <c r="U36" s="43">
        <f>SUM(U5:U35)</f>
        <v>197</v>
      </c>
      <c r="V36" s="332">
        <f t="shared" si="6"/>
        <v>6.1776649746192893</v>
      </c>
      <c r="W36" s="43">
        <f>SUM(W5:W35)</f>
        <v>16</v>
      </c>
      <c r="X36" s="43">
        <f>SUM(X5:X35)</f>
        <v>3</v>
      </c>
      <c r="Y36" s="333">
        <f t="shared" si="7"/>
        <v>5.333333333333333</v>
      </c>
      <c r="Z36" s="43">
        <f t="shared" ref="Z36:BL36" si="32">SUM(Z5:Z35)</f>
        <v>0</v>
      </c>
      <c r="AA36" s="43">
        <f t="shared" si="32"/>
        <v>0</v>
      </c>
      <c r="AB36" s="43">
        <f t="shared" si="32"/>
        <v>0</v>
      </c>
      <c r="AC36" s="43">
        <f>SUM(AC5:AC35)</f>
        <v>206</v>
      </c>
      <c r="AD36" s="43">
        <f>SUM(AD5:AD35)</f>
        <v>41</v>
      </c>
      <c r="AE36" s="333">
        <f t="shared" si="9"/>
        <v>5.024390243902439</v>
      </c>
      <c r="AF36" s="43">
        <f>SUM(AF5:AF35)</f>
        <v>148</v>
      </c>
      <c r="AG36" s="43">
        <f>SUM(AG5:AG35)</f>
        <v>29</v>
      </c>
      <c r="AH36" s="332">
        <f t="shared" si="10"/>
        <v>5.1034482758620694</v>
      </c>
      <c r="AI36" s="43">
        <f>SUM(AI5:AI35)</f>
        <v>644</v>
      </c>
      <c r="AJ36" s="43">
        <f>SUM(AJ5:AJ35)</f>
        <v>130</v>
      </c>
      <c r="AK36" s="332">
        <f t="shared" si="11"/>
        <v>4.953846153846154</v>
      </c>
      <c r="AL36" s="43">
        <f>SUM(AL5:AL35)</f>
        <v>100</v>
      </c>
      <c r="AM36" s="43">
        <f>SUM(AM5:AM35)</f>
        <v>17</v>
      </c>
      <c r="AN36" s="364">
        <f t="shared" si="12"/>
        <v>5.882352941176471</v>
      </c>
      <c r="AO36" s="43">
        <f>SUM(AO5:AO35)</f>
        <v>54</v>
      </c>
      <c r="AP36" s="43">
        <f>SUM(AP5:AP35)</f>
        <v>9</v>
      </c>
      <c r="AQ36" s="43">
        <f t="shared" si="13"/>
        <v>6</v>
      </c>
      <c r="AR36" s="43">
        <f>SUM(AR5:AR35)</f>
        <v>239</v>
      </c>
      <c r="AS36" s="43">
        <f>SUM(AS5:AS35)</f>
        <v>39</v>
      </c>
      <c r="AT36" s="43">
        <f t="shared" si="14"/>
        <v>6.1282051282051286</v>
      </c>
      <c r="AU36" s="43">
        <f>SUM(AU5:AU35)</f>
        <v>0</v>
      </c>
      <c r="AV36" s="43">
        <f>SUM(AV5:AV35)</f>
        <v>0</v>
      </c>
      <c r="AW36" s="43" t="str">
        <f t="shared" si="15"/>
        <v>-</v>
      </c>
      <c r="AX36" s="43">
        <f t="shared" si="32"/>
        <v>0</v>
      </c>
      <c r="AY36" s="43">
        <f t="shared" si="32"/>
        <v>0</v>
      </c>
      <c r="AZ36" s="43">
        <f t="shared" si="32"/>
        <v>0</v>
      </c>
      <c r="BA36" s="43">
        <f>SUM(BA5:BA35)</f>
        <v>46</v>
      </c>
      <c r="BB36" s="43">
        <f>SUM(BB5:BB35)</f>
        <v>17</v>
      </c>
      <c r="BC36" s="364">
        <f t="shared" si="17"/>
        <v>2.7058823529411766</v>
      </c>
      <c r="BD36" s="43">
        <f t="shared" si="32"/>
        <v>0</v>
      </c>
      <c r="BE36" s="43">
        <f t="shared" si="32"/>
        <v>0</v>
      </c>
      <c r="BF36" s="332">
        <f t="shared" si="32"/>
        <v>0</v>
      </c>
      <c r="BG36" s="43">
        <f>SUM(BG5:BG35)</f>
        <v>128</v>
      </c>
      <c r="BH36" s="43">
        <f>SUM(BH5:BH35)</f>
        <v>24</v>
      </c>
      <c r="BI36" s="364">
        <f t="shared" si="19"/>
        <v>5.333333333333333</v>
      </c>
      <c r="BJ36" s="43">
        <f t="shared" si="32"/>
        <v>0</v>
      </c>
      <c r="BK36" s="43">
        <f t="shared" si="32"/>
        <v>0</v>
      </c>
      <c r="BL36" s="43">
        <f t="shared" si="32"/>
        <v>0</v>
      </c>
      <c r="BM36" s="43">
        <f>SUM(BM5:BM35)</f>
        <v>307</v>
      </c>
      <c r="BN36" s="43">
        <f>SUM(BN5:BN35)</f>
        <v>50</v>
      </c>
      <c r="BO36" s="332">
        <f t="shared" si="21"/>
        <v>6.14</v>
      </c>
      <c r="BP36" s="43">
        <f>SUM(BP5:BP35)</f>
        <v>29</v>
      </c>
      <c r="BQ36" s="43">
        <f>SUM(BQ5:BQ35)</f>
        <v>4</v>
      </c>
      <c r="BR36" s="43">
        <f t="shared" si="22"/>
        <v>7.25</v>
      </c>
      <c r="BS36" s="43">
        <f>SUM(BS5:BS35)</f>
        <v>106</v>
      </c>
      <c r="BT36" s="43">
        <f>SUM(BT5:BT35)</f>
        <v>15</v>
      </c>
      <c r="BU36" s="43">
        <f t="shared" si="23"/>
        <v>7.0666666666666664</v>
      </c>
      <c r="BV36" s="43">
        <f>SUM(BV5:BV35)</f>
        <v>49</v>
      </c>
      <c r="BW36" s="43">
        <f>SUM(BW5:BW35)</f>
        <v>8</v>
      </c>
      <c r="BX36" s="43">
        <f t="shared" si="24"/>
        <v>6.125</v>
      </c>
      <c r="BY36" s="372">
        <f>SUM(BY5:BY35)</f>
        <v>5390</v>
      </c>
      <c r="BZ36" s="372">
        <f>SUM(BZ5:BZ35)</f>
        <v>829</v>
      </c>
      <c r="CA36" s="144">
        <f t="shared" si="25"/>
        <v>6.5018094089264178</v>
      </c>
    </row>
    <row r="37" spans="1:79" x14ac:dyDescent="0.3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</row>
    <row r="38" spans="1:79" x14ac:dyDescent="0.3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</row>
    <row r="39" spans="1:79" x14ac:dyDescent="0.3">
      <c r="A39" s="294"/>
    </row>
    <row r="40" spans="1:79" x14ac:dyDescent="0.3">
      <c r="A40" s="294"/>
    </row>
    <row r="41" spans="1:79" x14ac:dyDescent="0.3">
      <c r="A41" s="294"/>
    </row>
    <row r="42" spans="1:79" x14ac:dyDescent="0.3">
      <c r="A42" s="294"/>
    </row>
    <row r="43" spans="1:79" x14ac:dyDescent="0.3">
      <c r="A43" s="294"/>
    </row>
    <row r="44" spans="1:79" x14ac:dyDescent="0.3">
      <c r="A44" s="294"/>
    </row>
    <row r="45" spans="1:79" x14ac:dyDescent="0.3">
      <c r="A45" s="294"/>
    </row>
    <row r="46" spans="1:79" x14ac:dyDescent="0.3">
      <c r="A46" s="294"/>
    </row>
    <row r="47" spans="1:79" x14ac:dyDescent="0.3">
      <c r="A47" s="294"/>
    </row>
    <row r="48" spans="1:79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226E-13C5-4E86-9298-AFB55462F845}">
  <sheetPr>
    <tabColor rgb="FFFF0000"/>
  </sheetPr>
  <dimension ref="A1:CL57"/>
  <sheetViews>
    <sheetView workbookViewId="0">
      <selection activeCell="N14" sqref="N14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  <col min="10" max="10" width="19.109375" customWidth="1"/>
    <col min="11" max="11" width="7.44140625" bestFit="1" customWidth="1"/>
    <col min="13" max="13" width="23.6640625" customWidth="1"/>
    <col min="14" max="14" width="7.88671875" bestFit="1" customWidth="1"/>
    <col min="15" max="15" width="9.5546875" bestFit="1" customWidth="1"/>
  </cols>
  <sheetData>
    <row r="1" spans="1:90" ht="18" x14ac:dyDescent="0.35">
      <c r="A1" s="67" t="s">
        <v>130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G3" s="90" t="s">
        <v>42</v>
      </c>
      <c r="H3" s="91" t="s">
        <v>43</v>
      </c>
      <c r="J3" s="90" t="s">
        <v>42</v>
      </c>
      <c r="K3" s="91" t="s">
        <v>43</v>
      </c>
      <c r="L3" s="68"/>
      <c r="M3" s="90" t="s">
        <v>42</v>
      </c>
      <c r="N3" s="91" t="s">
        <v>43</v>
      </c>
    </row>
    <row r="4" spans="1:90" x14ac:dyDescent="0.3">
      <c r="A4" s="92" t="s">
        <v>8</v>
      </c>
      <c r="B4" s="93">
        <f>'January 2026'!B36</f>
        <v>1627</v>
      </c>
      <c r="C4" s="68"/>
      <c r="D4" s="80" t="s">
        <v>67</v>
      </c>
      <c r="E4" s="360">
        <f>'January 2026'!Q36</f>
        <v>19</v>
      </c>
      <c r="G4" s="308" t="s">
        <v>14</v>
      </c>
      <c r="H4" s="309">
        <f>'January 2026'!AU36</f>
        <v>0</v>
      </c>
      <c r="J4" s="95" t="s">
        <v>123</v>
      </c>
      <c r="K4" s="93">
        <f>'January 2026'!BM36</f>
        <v>307</v>
      </c>
      <c r="L4" s="68"/>
      <c r="M4" s="87" t="s">
        <v>128</v>
      </c>
      <c r="N4" s="81">
        <f>'January 2026'!H36</f>
        <v>62</v>
      </c>
    </row>
    <row r="5" spans="1:90" x14ac:dyDescent="0.3">
      <c r="A5" s="80"/>
      <c r="B5" s="151">
        <f>'January 2026'!C36</f>
        <v>187</v>
      </c>
      <c r="C5" s="68"/>
      <c r="D5" s="80"/>
      <c r="E5" s="358">
        <f>'January 2026'!R36</f>
        <v>3</v>
      </c>
      <c r="G5" s="83"/>
      <c r="H5" s="81">
        <f>'January 2026'!AV36</f>
        <v>0</v>
      </c>
      <c r="J5" s="85"/>
      <c r="K5" s="81">
        <f>'January 2026'!BN36</f>
        <v>50</v>
      </c>
      <c r="L5" s="68"/>
      <c r="M5" s="87"/>
      <c r="N5" s="81">
        <f>'January 2026'!I36</f>
        <v>10</v>
      </c>
    </row>
    <row r="6" spans="1:90" x14ac:dyDescent="0.3">
      <c r="A6" s="82"/>
      <c r="B6" s="349">
        <f>B4/B5</f>
        <v>8.7005347593582893</v>
      </c>
      <c r="C6" s="68"/>
      <c r="D6" s="80"/>
      <c r="E6" s="359">
        <f>E4/E5</f>
        <v>6.333333333333333</v>
      </c>
      <c r="G6" s="84"/>
      <c r="H6" s="359" t="e">
        <f>H4/H5</f>
        <v>#DIV/0!</v>
      </c>
      <c r="J6" s="86"/>
      <c r="K6" s="258">
        <f>K4/K5</f>
        <v>6.14</v>
      </c>
      <c r="L6" s="68"/>
      <c r="M6" s="88"/>
      <c r="N6" s="258">
        <f>N4/N5</f>
        <v>6.2</v>
      </c>
    </row>
    <row r="7" spans="1:90" x14ac:dyDescent="0.3">
      <c r="A7" s="80" t="s">
        <v>121</v>
      </c>
      <c r="B7" s="81">
        <f>'January 2026'!E36</f>
        <v>65</v>
      </c>
      <c r="C7" s="68"/>
      <c r="D7" s="80" t="s">
        <v>11</v>
      </c>
      <c r="E7" s="81">
        <f>'January 2026'!T36</f>
        <v>1217</v>
      </c>
      <c r="G7" s="83" t="s">
        <v>15</v>
      </c>
      <c r="H7" s="81">
        <f>'January 2026'!AX36</f>
        <v>0</v>
      </c>
      <c r="J7" s="85" t="s">
        <v>20</v>
      </c>
      <c r="K7" s="81">
        <f>'January 2026'!BP36</f>
        <v>29</v>
      </c>
      <c r="L7" s="68"/>
      <c r="M7" s="87" t="s">
        <v>38</v>
      </c>
      <c r="N7" s="151"/>
    </row>
    <row r="8" spans="1:90" x14ac:dyDescent="0.3">
      <c r="A8" s="80"/>
      <c r="B8" s="81">
        <f>'January 2026'!F36</f>
        <v>8</v>
      </c>
      <c r="C8" s="68"/>
      <c r="D8" s="80"/>
      <c r="E8" s="81">
        <f>'January 2026'!U36</f>
        <v>197</v>
      </c>
      <c r="G8" s="83"/>
      <c r="H8" s="81">
        <f>'January 2026'!AY36</f>
        <v>0</v>
      </c>
      <c r="J8" s="85"/>
      <c r="K8" s="81">
        <f>'January 2026'!BQ36</f>
        <v>4</v>
      </c>
      <c r="L8" s="68"/>
      <c r="M8" s="87"/>
      <c r="N8" s="151"/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58">
        <f>B7/B8</f>
        <v>8.125</v>
      </c>
      <c r="C9" s="68"/>
      <c r="D9" s="80"/>
      <c r="E9" s="258">
        <f>E7/E8</f>
        <v>6.1776649746192893</v>
      </c>
      <c r="G9" s="84"/>
      <c r="H9" s="359" t="e">
        <f>H7/H8</f>
        <v>#DIV/0!</v>
      </c>
      <c r="J9" s="86"/>
      <c r="K9" s="258">
        <f>K7/K8</f>
        <v>7.25</v>
      </c>
      <c r="L9" s="68"/>
      <c r="M9" s="88"/>
      <c r="N9" s="258" t="e">
        <f>N7/N8</f>
        <v>#DIV/0!</v>
      </c>
    </row>
    <row r="10" spans="1:90" x14ac:dyDescent="0.3">
      <c r="A10" s="80" t="s">
        <v>122</v>
      </c>
      <c r="B10" s="81">
        <f>'January 2026'!K36</f>
        <v>328</v>
      </c>
      <c r="C10" s="68"/>
      <c r="D10" s="80" t="s">
        <v>44</v>
      </c>
      <c r="E10" s="81">
        <f>'January 2026'!W36</f>
        <v>16</v>
      </c>
      <c r="G10" s="83" t="s">
        <v>16</v>
      </c>
      <c r="H10" s="81">
        <f>'January 2026'!BA36</f>
        <v>46</v>
      </c>
      <c r="J10" s="85" t="s">
        <v>21</v>
      </c>
      <c r="K10" s="81">
        <f>'January 2026'!BS36</f>
        <v>106</v>
      </c>
      <c r="L10" s="68"/>
      <c r="M10" s="87" t="s">
        <v>113</v>
      </c>
      <c r="N10" s="151"/>
    </row>
    <row r="11" spans="1:90" x14ac:dyDescent="0.3">
      <c r="A11" s="80"/>
      <c r="B11" s="81">
        <f>'January 2026'!L36</f>
        <v>38</v>
      </c>
      <c r="C11" s="68"/>
      <c r="D11" s="80"/>
      <c r="E11" s="81">
        <f>'January 2026'!X36</f>
        <v>3</v>
      </c>
      <c r="G11" s="83"/>
      <c r="H11" s="81">
        <f>'January 2026'!BB36</f>
        <v>17</v>
      </c>
      <c r="J11" s="85"/>
      <c r="K11" s="81">
        <f>'January 2026'!BT36</f>
        <v>15</v>
      </c>
      <c r="L11" s="68"/>
      <c r="M11" s="87"/>
      <c r="N11" s="81"/>
    </row>
    <row r="12" spans="1:90" x14ac:dyDescent="0.3">
      <c r="A12" s="82"/>
      <c r="B12" s="258">
        <f>B10/B11</f>
        <v>8.6315789473684212</v>
      </c>
      <c r="C12" s="68"/>
      <c r="D12" s="80"/>
      <c r="E12" s="258">
        <f>E10/E11</f>
        <v>5.333333333333333</v>
      </c>
      <c r="G12" s="84"/>
      <c r="H12" s="359">
        <f>H10/H11</f>
        <v>2.7058823529411766</v>
      </c>
      <c r="J12" s="86"/>
      <c r="K12" s="258">
        <f>K10/K11</f>
        <v>7.0666666666666664</v>
      </c>
      <c r="L12" s="68"/>
      <c r="M12" s="88"/>
      <c r="N12" s="258" t="e">
        <f>N10/N11</f>
        <v>#DIV/0!</v>
      </c>
    </row>
    <row r="13" spans="1:90" x14ac:dyDescent="0.3">
      <c r="A13" s="80" t="s">
        <v>114</v>
      </c>
      <c r="B13" s="81">
        <f>'January 2026'!N36</f>
        <v>0</v>
      </c>
      <c r="C13" s="68"/>
      <c r="D13" s="80" t="s">
        <v>115</v>
      </c>
      <c r="E13" s="311">
        <f>'January 2026'!AC36</f>
        <v>206</v>
      </c>
      <c r="G13" s="83" t="s">
        <v>59</v>
      </c>
      <c r="H13" s="81">
        <f>'January 2026'!BG36</f>
        <v>128</v>
      </c>
      <c r="J13" s="85" t="s">
        <v>22</v>
      </c>
      <c r="K13" s="81">
        <f>'January 2026'!BV36</f>
        <v>49</v>
      </c>
      <c r="L13" s="68"/>
      <c r="M13" s="96" t="s">
        <v>28</v>
      </c>
      <c r="N13" s="97">
        <f>'January 2026'!BY36</f>
        <v>5390</v>
      </c>
    </row>
    <row r="14" spans="1:90" x14ac:dyDescent="0.3">
      <c r="A14" s="80"/>
      <c r="B14" s="81">
        <f>'January 2026'!O35</f>
        <v>0</v>
      </c>
      <c r="C14" s="68"/>
      <c r="D14" s="80"/>
      <c r="E14" s="361">
        <f>'January 2026'!AD36</f>
        <v>41</v>
      </c>
      <c r="G14" s="83"/>
      <c r="H14" s="81">
        <f>'January 2026'!BH36</f>
        <v>24</v>
      </c>
      <c r="J14" s="85"/>
      <c r="K14" s="81">
        <f>'January 2026'!BW36</f>
        <v>8</v>
      </c>
      <c r="L14" s="68"/>
      <c r="M14" s="96"/>
      <c r="N14" s="97">
        <f>'January 2026'!BZ36</f>
        <v>829</v>
      </c>
    </row>
    <row r="15" spans="1:90" ht="15" thickBot="1" x14ac:dyDescent="0.35">
      <c r="A15" s="363"/>
      <c r="B15" s="260" t="e">
        <f>B13/B14</f>
        <v>#DIV/0!</v>
      </c>
      <c r="C15" s="68"/>
      <c r="D15" s="80"/>
      <c r="E15" s="359">
        <f>E13/E14</f>
        <v>5.024390243902439</v>
      </c>
      <c r="G15" s="84"/>
      <c r="H15" s="359">
        <f>H13/H14</f>
        <v>5.333333333333333</v>
      </c>
      <c r="J15" s="85"/>
      <c r="K15" s="258">
        <f>K13/K14</f>
        <v>6.125</v>
      </c>
      <c r="L15" s="68"/>
      <c r="M15" s="98"/>
      <c r="N15" s="99">
        <f>N13/N14</f>
        <v>6.5018094089264178</v>
      </c>
    </row>
    <row r="16" spans="1:90" x14ac:dyDescent="0.3">
      <c r="C16" s="68"/>
      <c r="D16" s="80" t="s">
        <v>116</v>
      </c>
      <c r="E16" s="311">
        <f>'January 2026'!AF36</f>
        <v>148</v>
      </c>
      <c r="G16" s="83" t="s">
        <v>17</v>
      </c>
      <c r="H16" s="81">
        <f>'January 2026'!BJ36</f>
        <v>0</v>
      </c>
      <c r="J16" s="85"/>
      <c r="K16" s="26"/>
      <c r="L16" s="68"/>
    </row>
    <row r="17" spans="3:15" x14ac:dyDescent="0.3">
      <c r="C17" s="68"/>
      <c r="D17" s="80"/>
      <c r="E17" s="361">
        <f>'January 2026'!AG36</f>
        <v>29</v>
      </c>
      <c r="G17" s="83"/>
      <c r="H17" s="81">
        <f>'January 2026'!BK36</f>
        <v>0</v>
      </c>
      <c r="J17" s="85"/>
      <c r="K17" s="81"/>
      <c r="L17" s="68"/>
    </row>
    <row r="18" spans="3:15" ht="15" thickBot="1" x14ac:dyDescent="0.35">
      <c r="C18" s="68"/>
      <c r="D18" s="80"/>
      <c r="E18" s="359">
        <f>E16/E17</f>
        <v>5.1034482758620694</v>
      </c>
      <c r="G18" s="94"/>
      <c r="H18" s="362" t="e">
        <f>H16/H17</f>
        <v>#DIV/0!</v>
      </c>
      <c r="J18" s="102"/>
      <c r="K18" s="260" t="e">
        <f>K16/K17</f>
        <v>#DIV/0!</v>
      </c>
      <c r="L18" s="68"/>
      <c r="M18" s="78">
        <f>B4+B7+B10+B13+E4+E7+E10+E13+E16+E19+E22+E25+E28+H4+H7+H10+H13+H16+K4+K7+K10+K13+K16+N4+N7+N10</f>
        <v>5390</v>
      </c>
      <c r="N18" s="78">
        <f>B5+B8+B11+B14+E5+E8+E11+E14+E17+E20+E23+E26+E29+H5+H8+H11+H14+H17+K5+K8+K11+K14+K17+N5+N8+N11</f>
        <v>829</v>
      </c>
      <c r="O18" s="370">
        <f>M18/N18</f>
        <v>6.5018094089264178</v>
      </c>
    </row>
    <row r="19" spans="3:15" x14ac:dyDescent="0.3">
      <c r="C19" s="68"/>
      <c r="D19" s="80" t="s">
        <v>86</v>
      </c>
      <c r="E19" s="81">
        <f>'January 2026'!AI36</f>
        <v>644</v>
      </c>
      <c r="M19" s="369">
        <f>M18-N13</f>
        <v>0</v>
      </c>
      <c r="N19" s="78">
        <f>N18-N14</f>
        <v>0</v>
      </c>
    </row>
    <row r="20" spans="3:15" x14ac:dyDescent="0.3">
      <c r="C20" s="68"/>
      <c r="D20" s="80"/>
      <c r="E20" s="81">
        <f>'January 2026'!AJ36</f>
        <v>130</v>
      </c>
    </row>
    <row r="21" spans="3:15" x14ac:dyDescent="0.3">
      <c r="C21" s="68"/>
      <c r="D21" s="80"/>
      <c r="E21" s="259">
        <f>E19/E20</f>
        <v>4.953846153846154</v>
      </c>
    </row>
    <row r="22" spans="3:15" x14ac:dyDescent="0.3">
      <c r="C22" s="68"/>
      <c r="D22" s="80" t="s">
        <v>68</v>
      </c>
      <c r="E22" s="311">
        <f>'January 2026'!AL36</f>
        <v>100</v>
      </c>
    </row>
    <row r="23" spans="3:15" x14ac:dyDescent="0.3">
      <c r="C23" s="68"/>
      <c r="D23" s="80"/>
      <c r="E23" s="361">
        <f>'January 2026'!AM36</f>
        <v>17</v>
      </c>
    </row>
    <row r="24" spans="3:15" x14ac:dyDescent="0.3">
      <c r="C24" s="68"/>
      <c r="D24" s="80"/>
      <c r="E24" s="359">
        <f>E22/E23</f>
        <v>5.882352941176471</v>
      </c>
    </row>
    <row r="25" spans="3:15" x14ac:dyDescent="0.3">
      <c r="C25" s="68"/>
      <c r="D25" s="80" t="s">
        <v>91</v>
      </c>
      <c r="E25" s="311">
        <f>'January 2026'!AO36</f>
        <v>54</v>
      </c>
    </row>
    <row r="26" spans="3:15" x14ac:dyDescent="0.3">
      <c r="C26" s="68"/>
      <c r="D26" s="80"/>
      <c r="E26" s="361">
        <f>'January 2026'!AP36</f>
        <v>9</v>
      </c>
    </row>
    <row r="27" spans="3:15" x14ac:dyDescent="0.3">
      <c r="C27" s="68"/>
      <c r="D27" s="80"/>
      <c r="E27" s="359">
        <f>E25/E26</f>
        <v>6</v>
      </c>
    </row>
    <row r="28" spans="3:15" x14ac:dyDescent="0.3">
      <c r="C28" s="68"/>
      <c r="D28" s="80" t="s">
        <v>117</v>
      </c>
      <c r="E28" s="358">
        <f>'January 2026'!AR36</f>
        <v>239</v>
      </c>
    </row>
    <row r="29" spans="3:15" x14ac:dyDescent="0.3">
      <c r="C29" s="68"/>
      <c r="D29" s="80"/>
      <c r="E29" s="358">
        <f>'January 2026'!AS36</f>
        <v>39</v>
      </c>
    </row>
    <row r="30" spans="3:15" ht="15" thickBot="1" x14ac:dyDescent="0.35">
      <c r="C30" s="68"/>
      <c r="D30" s="363"/>
      <c r="E30" s="362">
        <f>E28/E29</f>
        <v>6.1282051282051286</v>
      </c>
    </row>
    <row r="31" spans="3:15" x14ac:dyDescent="0.3">
      <c r="C31" s="68"/>
      <c r="D31" s="68"/>
      <c r="E31" s="68"/>
    </row>
    <row r="32" spans="3:15" x14ac:dyDescent="0.3">
      <c r="C32" s="68"/>
      <c r="D32" s="68"/>
      <c r="E32" s="68"/>
    </row>
    <row r="33" spans="3:7" x14ac:dyDescent="0.3">
      <c r="C33" s="68"/>
      <c r="D33" s="68"/>
      <c r="E33" s="68"/>
    </row>
    <row r="34" spans="3:7" x14ac:dyDescent="0.3">
      <c r="C34" s="68"/>
      <c r="D34" s="68"/>
      <c r="E34" s="68"/>
    </row>
    <row r="35" spans="3:7" x14ac:dyDescent="0.3">
      <c r="C35" s="68"/>
      <c r="D35" s="68"/>
      <c r="E35" s="68"/>
    </row>
    <row r="36" spans="3:7" x14ac:dyDescent="0.3">
      <c r="C36" s="68"/>
      <c r="D36" s="68"/>
      <c r="E36" s="68"/>
    </row>
    <row r="37" spans="3:7" x14ac:dyDescent="0.3">
      <c r="C37" s="68"/>
      <c r="D37" s="68"/>
      <c r="E37" s="68"/>
    </row>
    <row r="38" spans="3:7" x14ac:dyDescent="0.3">
      <c r="C38" s="68"/>
      <c r="D38" s="68"/>
      <c r="E38" s="68"/>
    </row>
    <row r="39" spans="3:7" x14ac:dyDescent="0.3">
      <c r="C39" s="68"/>
      <c r="D39" s="68"/>
      <c r="E39" s="68"/>
    </row>
    <row r="40" spans="3:7" x14ac:dyDescent="0.3">
      <c r="C40" s="68"/>
      <c r="D40" s="68"/>
      <c r="E40" s="68"/>
    </row>
    <row r="41" spans="3:7" x14ac:dyDescent="0.3">
      <c r="C41" s="68"/>
      <c r="D41" s="68"/>
      <c r="E41" s="68"/>
    </row>
    <row r="42" spans="3:7" x14ac:dyDescent="0.3">
      <c r="C42" s="68"/>
      <c r="D42" s="68"/>
      <c r="E42" s="68"/>
    </row>
    <row r="43" spans="3:7" x14ac:dyDescent="0.3">
      <c r="C43" s="68"/>
      <c r="D43" s="68"/>
      <c r="E43" s="68"/>
    </row>
    <row r="44" spans="3:7" x14ac:dyDescent="0.3">
      <c r="C44" s="68"/>
      <c r="D44" s="68"/>
      <c r="E44" s="68"/>
    </row>
    <row r="45" spans="3:7" x14ac:dyDescent="0.3">
      <c r="C45" s="68"/>
      <c r="D45" s="68"/>
      <c r="E45" s="68"/>
    </row>
    <row r="46" spans="3:7" x14ac:dyDescent="0.3">
      <c r="C46" s="68"/>
      <c r="D46" s="68"/>
      <c r="E46" s="68"/>
      <c r="G46" s="68"/>
    </row>
    <row r="47" spans="3:7" x14ac:dyDescent="0.3">
      <c r="C47" s="68"/>
      <c r="D47" s="68"/>
      <c r="E47" s="68"/>
      <c r="G47" s="68"/>
    </row>
    <row r="48" spans="3:7" x14ac:dyDescent="0.3">
      <c r="C48" s="68"/>
      <c r="D48" s="68"/>
      <c r="E48" s="68"/>
      <c r="G48" s="68"/>
    </row>
    <row r="49" spans="3:7" x14ac:dyDescent="0.3">
      <c r="C49" s="68"/>
      <c r="F49" s="68"/>
      <c r="G49" s="68"/>
    </row>
    <row r="50" spans="3:7" x14ac:dyDescent="0.3">
      <c r="C50" s="68"/>
      <c r="F50" s="68"/>
      <c r="G50" s="68"/>
    </row>
    <row r="51" spans="3:7" x14ac:dyDescent="0.3">
      <c r="C51" s="68"/>
      <c r="F51" s="68"/>
      <c r="G51" s="68"/>
    </row>
    <row r="52" spans="3:7" x14ac:dyDescent="0.3">
      <c r="C52" s="68"/>
      <c r="F52" s="68"/>
      <c r="G52" s="68"/>
    </row>
    <row r="53" spans="3:7" x14ac:dyDescent="0.3">
      <c r="C53" s="68"/>
      <c r="F53" s="68"/>
      <c r="G53" s="68"/>
    </row>
    <row r="54" spans="3:7" x14ac:dyDescent="0.3">
      <c r="C54" s="68"/>
      <c r="F54" s="68"/>
      <c r="G54" s="68"/>
    </row>
    <row r="55" spans="3:7" x14ac:dyDescent="0.3">
      <c r="C55" s="68"/>
      <c r="F55" s="68"/>
      <c r="G55" s="68"/>
    </row>
    <row r="56" spans="3:7" x14ac:dyDescent="0.3">
      <c r="C56" s="68"/>
      <c r="F56" s="68"/>
      <c r="G56" s="68"/>
    </row>
    <row r="57" spans="3:7" x14ac:dyDescent="0.3">
      <c r="C57" s="68"/>
      <c r="F57" s="68"/>
      <c r="G57" s="68"/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4F1-0452-43D7-A960-E11049A78DDE}">
  <dimension ref="A1:CD126"/>
  <sheetViews>
    <sheetView tabSelected="1" zoomScaleNormal="100" workbookViewId="0">
      <pane xSplit="9" ySplit="11" topLeftCell="BO17" activePane="bottomRight" state="frozen"/>
      <selection pane="topRight" activeCell="J1" sqref="J1"/>
      <selection pane="bottomLeft" activeCell="A12" sqref="A12"/>
      <selection pane="bottomRight" activeCell="BU35" sqref="BU35"/>
    </sheetView>
  </sheetViews>
  <sheetFormatPr defaultRowHeight="14.4" x14ac:dyDescent="0.3"/>
  <cols>
    <col min="1" max="1" width="32.88671875" style="296" customWidth="1"/>
    <col min="2" max="3" width="8.88671875" customWidth="1"/>
    <col min="4" max="6" width="8.88671875" style="2" customWidth="1"/>
    <col min="7" max="7" width="8.77734375" style="2" bestFit="1" customWidth="1"/>
    <col min="8" max="8" width="18.109375" style="2" bestFit="1" customWidth="1"/>
    <col min="9" max="9" width="8.21875" style="2" bestFit="1" customWidth="1"/>
    <col min="10" max="10" width="9.5546875" style="2" bestFit="1" customWidth="1"/>
    <col min="11" max="24" width="8.88671875" style="2" customWidth="1"/>
    <col min="25" max="25" width="9.6640625" style="2" customWidth="1"/>
    <col min="26" max="27" width="8.88671875" style="2" hidden="1" customWidth="1"/>
    <col min="28" max="28" width="9.6640625" style="2" hidden="1" customWidth="1"/>
    <col min="29" max="46" width="9.6640625" style="2" customWidth="1"/>
    <col min="47" max="48" width="8.88671875" customWidth="1"/>
    <col min="49" max="49" width="8.88671875" style="2" customWidth="1"/>
    <col min="50" max="51" width="8.88671875" hidden="1" customWidth="1"/>
    <col min="52" max="52" width="8.88671875" style="2" hidden="1" customWidth="1"/>
    <col min="53" max="54" width="8.88671875" customWidth="1"/>
    <col min="55" max="55" width="8.88671875" style="2" customWidth="1"/>
    <col min="56" max="57" width="8.88671875" hidden="1" customWidth="1"/>
    <col min="58" max="58" width="7.33203125" style="2" hidden="1" customWidth="1"/>
    <col min="59" max="59" width="8.33203125" customWidth="1"/>
    <col min="60" max="60" width="9.6640625" customWidth="1"/>
    <col min="61" max="61" width="9.88671875" style="2" customWidth="1"/>
    <col min="62" max="62" width="26.109375" hidden="1" customWidth="1"/>
    <col min="63" max="63" width="7.6640625" hidden="1" customWidth="1"/>
    <col min="64" max="64" width="9.109375" style="2" hidden="1" customWidth="1"/>
    <col min="65" max="66" width="8.88671875" customWidth="1"/>
    <col min="67" max="67" width="8.88671875" style="2" customWidth="1"/>
    <col min="68" max="69" width="8.88671875" customWidth="1"/>
    <col min="70" max="70" width="8.88671875" style="2" customWidth="1"/>
    <col min="71" max="72" width="8.88671875" customWidth="1"/>
    <col min="73" max="73" width="8.88671875" style="2" customWidth="1"/>
    <col min="74" max="79" width="8.88671875" customWidth="1"/>
    <col min="80" max="80" width="9.109375" style="79" bestFit="1" customWidth="1"/>
    <col min="81" max="81" width="8.88671875" style="79"/>
    <col min="82" max="82" width="8.88671875" style="2"/>
  </cols>
  <sheetData>
    <row r="1" spans="1:82" ht="18.600000000000001" thickBot="1" x14ac:dyDescent="0.4">
      <c r="A1" s="290" t="s">
        <v>131</v>
      </c>
      <c r="B1" s="68"/>
      <c r="C1" s="68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8"/>
      <c r="AV1" s="68"/>
      <c r="AW1" s="69"/>
      <c r="AX1" s="68"/>
      <c r="AY1" s="68"/>
      <c r="AZ1" s="69"/>
      <c r="BA1" s="68"/>
      <c r="BB1" s="68"/>
      <c r="BC1" s="69"/>
      <c r="BD1" s="68"/>
      <c r="BE1" s="68"/>
      <c r="BF1" s="69"/>
      <c r="BG1" s="68"/>
      <c r="BH1" s="68"/>
      <c r="BI1" s="69"/>
      <c r="BJ1" s="68"/>
      <c r="BK1" s="68"/>
      <c r="BL1" s="69"/>
      <c r="BM1" s="68"/>
      <c r="BN1" s="68"/>
      <c r="BO1" s="69"/>
      <c r="BP1" s="68"/>
      <c r="BQ1" s="68"/>
      <c r="BR1" s="69"/>
      <c r="BS1" s="68"/>
      <c r="BT1" s="68"/>
      <c r="BU1" s="69"/>
      <c r="BV1" s="68"/>
      <c r="BW1" s="68"/>
      <c r="BX1" s="68"/>
      <c r="BY1" s="68"/>
      <c r="BZ1" s="68"/>
      <c r="CA1" s="68"/>
      <c r="CB1" s="113"/>
      <c r="CC1" s="113"/>
      <c r="CD1" s="69"/>
    </row>
    <row r="2" spans="1:82" s="41" customFormat="1" ht="15" thickBot="1" x14ac:dyDescent="0.35">
      <c r="A2" s="291"/>
      <c r="B2" s="103"/>
      <c r="C2" s="104" t="s">
        <v>1</v>
      </c>
      <c r="D2" s="105"/>
      <c r="E2" s="106"/>
      <c r="F2" s="104" t="s">
        <v>1</v>
      </c>
      <c r="G2" s="106"/>
      <c r="H2" s="107"/>
      <c r="I2" s="104" t="s">
        <v>124</v>
      </c>
      <c r="J2" s="105"/>
      <c r="K2" s="73"/>
      <c r="L2" s="104" t="s">
        <v>1</v>
      </c>
      <c r="M2" s="74"/>
      <c r="N2" s="73"/>
      <c r="O2" s="104" t="s">
        <v>1</v>
      </c>
      <c r="P2" s="282"/>
      <c r="Q2" s="73"/>
      <c r="R2" s="73" t="s">
        <v>133</v>
      </c>
      <c r="S2" s="282"/>
      <c r="T2" s="73"/>
      <c r="U2" s="73" t="s">
        <v>2</v>
      </c>
      <c r="V2" s="73"/>
      <c r="W2" s="77"/>
      <c r="X2" s="73" t="s">
        <v>2</v>
      </c>
      <c r="Y2" s="74"/>
      <c r="Z2" s="77"/>
      <c r="AA2" s="73" t="s">
        <v>2</v>
      </c>
      <c r="AB2" s="74"/>
      <c r="AC2" s="73"/>
      <c r="AD2" s="73" t="s">
        <v>2</v>
      </c>
      <c r="AE2" s="73"/>
      <c r="AF2" s="73"/>
      <c r="AG2" s="73" t="s">
        <v>2</v>
      </c>
      <c r="AH2" s="73"/>
      <c r="AI2" s="77"/>
      <c r="AJ2" s="73" t="s">
        <v>2</v>
      </c>
      <c r="AK2" s="74"/>
      <c r="AL2" s="77"/>
      <c r="AM2" s="73" t="s">
        <v>2</v>
      </c>
      <c r="AN2" s="74"/>
      <c r="AO2" s="77"/>
      <c r="AP2" s="73" t="s">
        <v>2</v>
      </c>
      <c r="AQ2" s="74"/>
      <c r="AR2" s="77"/>
      <c r="AS2" s="73" t="s">
        <v>2</v>
      </c>
      <c r="AT2" s="74"/>
      <c r="AU2" s="71"/>
      <c r="AV2" s="72" t="s">
        <v>134</v>
      </c>
      <c r="AW2" s="282"/>
      <c r="AX2" s="72"/>
      <c r="AY2" s="72" t="s">
        <v>3</v>
      </c>
      <c r="AZ2" s="74"/>
      <c r="BA2" s="72"/>
      <c r="BB2" s="72" t="s">
        <v>134</v>
      </c>
      <c r="BC2" s="73"/>
      <c r="BD2" s="71"/>
      <c r="BE2" s="72" t="s">
        <v>4</v>
      </c>
      <c r="BF2" s="74"/>
      <c r="BG2" s="72"/>
      <c r="BH2" s="72" t="s">
        <v>134</v>
      </c>
      <c r="BI2" s="282"/>
      <c r="BJ2" s="72"/>
      <c r="BK2" s="72" t="s">
        <v>4</v>
      </c>
      <c r="BL2" s="74"/>
      <c r="BM2" s="108"/>
      <c r="BN2" s="109" t="s">
        <v>5</v>
      </c>
      <c r="BO2" s="110"/>
      <c r="BP2" s="108"/>
      <c r="BQ2" s="109" t="s">
        <v>5</v>
      </c>
      <c r="BR2" s="111"/>
      <c r="BS2" s="109"/>
      <c r="BT2" s="109" t="s">
        <v>5</v>
      </c>
      <c r="BU2" s="110"/>
      <c r="BV2" s="108"/>
      <c r="BW2" s="109" t="s">
        <v>5</v>
      </c>
      <c r="BX2" s="112"/>
      <c r="BY2" s="108"/>
      <c r="BZ2" s="109" t="s">
        <v>5</v>
      </c>
      <c r="CA2" s="112"/>
      <c r="CB2" s="114" t="s">
        <v>7</v>
      </c>
      <c r="CC2" s="119"/>
      <c r="CD2" s="74"/>
    </row>
    <row r="3" spans="1:82" x14ac:dyDescent="0.3">
      <c r="A3" s="292"/>
      <c r="B3" s="58" t="s">
        <v>8</v>
      </c>
      <c r="C3" s="59"/>
      <c r="D3" s="60"/>
      <c r="E3" s="3" t="s">
        <v>9</v>
      </c>
      <c r="F3" s="4"/>
      <c r="G3" s="33"/>
      <c r="H3" s="3" t="s">
        <v>128</v>
      </c>
      <c r="I3" s="4"/>
      <c r="J3" s="33"/>
      <c r="K3" s="4" t="s">
        <v>55</v>
      </c>
      <c r="L3" s="4"/>
      <c r="M3" s="33"/>
      <c r="N3" s="4" t="s">
        <v>114</v>
      </c>
      <c r="O3" s="4"/>
      <c r="P3" s="283"/>
      <c r="Q3" s="4" t="s">
        <v>67</v>
      </c>
      <c r="R3" s="4"/>
      <c r="S3" s="35"/>
      <c r="T3" s="4" t="s">
        <v>11</v>
      </c>
      <c r="U3" s="4"/>
      <c r="V3" s="35"/>
      <c r="W3" s="3" t="s">
        <v>12</v>
      </c>
      <c r="X3" s="4"/>
      <c r="Y3" s="33"/>
      <c r="Z3" s="3" t="s">
        <v>35</v>
      </c>
      <c r="AA3" s="4"/>
      <c r="AB3" s="33"/>
      <c r="AC3" s="3" t="s">
        <v>115</v>
      </c>
      <c r="AD3" s="35"/>
      <c r="AE3" s="35"/>
      <c r="AF3" s="3" t="s">
        <v>116</v>
      </c>
      <c r="AG3" s="35"/>
      <c r="AH3" s="35"/>
      <c r="AI3" s="3" t="s">
        <v>73</v>
      </c>
      <c r="AJ3" s="4"/>
      <c r="AK3" s="33"/>
      <c r="AL3" s="3" t="s">
        <v>68</v>
      </c>
      <c r="AM3" s="4"/>
      <c r="AN3" s="33"/>
      <c r="AO3" s="3" t="s">
        <v>91</v>
      </c>
      <c r="AP3" s="4"/>
      <c r="AQ3" s="33"/>
      <c r="AR3" s="3" t="s">
        <v>117</v>
      </c>
      <c r="AS3" s="4"/>
      <c r="AT3" s="33"/>
      <c r="AU3" s="47" t="s">
        <v>14</v>
      </c>
      <c r="AV3" s="47"/>
      <c r="AW3" s="287"/>
      <c r="AX3" s="47" t="s">
        <v>15</v>
      </c>
      <c r="AY3" s="47"/>
      <c r="AZ3" s="48"/>
      <c r="BA3" s="47" t="s">
        <v>135</v>
      </c>
      <c r="BB3" s="47"/>
      <c r="BC3" s="351"/>
      <c r="BD3" s="46" t="s">
        <v>17</v>
      </c>
      <c r="BE3" s="47"/>
      <c r="BF3" s="48"/>
      <c r="BG3" s="47" t="s">
        <v>64</v>
      </c>
      <c r="BH3" s="47"/>
      <c r="BI3" s="287"/>
      <c r="BJ3" s="47" t="s">
        <v>64</v>
      </c>
      <c r="BK3" s="47"/>
      <c r="BL3" s="49"/>
      <c r="BM3" s="9" t="s">
        <v>36</v>
      </c>
      <c r="BN3" s="7"/>
      <c r="BO3" s="29"/>
      <c r="BP3" s="9" t="s">
        <v>37</v>
      </c>
      <c r="BQ3" s="7"/>
      <c r="BR3" s="31"/>
      <c r="BS3" s="7" t="s">
        <v>38</v>
      </c>
      <c r="BT3" s="7"/>
      <c r="BU3" s="29"/>
      <c r="BV3" s="9" t="s">
        <v>39</v>
      </c>
      <c r="BW3" s="7"/>
      <c r="BX3" s="8"/>
      <c r="BY3" s="9" t="s">
        <v>136</v>
      </c>
      <c r="BZ3" s="7"/>
      <c r="CA3" s="8"/>
      <c r="CB3" s="115" t="s">
        <v>28</v>
      </c>
      <c r="CC3" s="115"/>
      <c r="CD3" s="24"/>
    </row>
    <row r="4" spans="1:82" ht="29.4" thickBot="1" x14ac:dyDescent="0.35">
      <c r="A4" s="293" t="s">
        <v>29</v>
      </c>
      <c r="B4" s="61" t="s">
        <v>7</v>
      </c>
      <c r="C4" s="62" t="s">
        <v>30</v>
      </c>
      <c r="D4" s="63" t="s">
        <v>31</v>
      </c>
      <c r="E4" s="61" t="s">
        <v>7</v>
      </c>
      <c r="F4" s="62" t="s">
        <v>30</v>
      </c>
      <c r="G4" s="63" t="s">
        <v>31</v>
      </c>
      <c r="H4" s="61" t="s">
        <v>7</v>
      </c>
      <c r="I4" s="62" t="s">
        <v>30</v>
      </c>
      <c r="J4" s="63" t="s">
        <v>31</v>
      </c>
      <c r="K4" s="6" t="s">
        <v>7</v>
      </c>
      <c r="L4" s="6" t="s">
        <v>30</v>
      </c>
      <c r="M4" s="34" t="s">
        <v>31</v>
      </c>
      <c r="N4" s="6" t="s">
        <v>7</v>
      </c>
      <c r="O4" s="6" t="s">
        <v>30</v>
      </c>
      <c r="P4" s="284" t="s">
        <v>31</v>
      </c>
      <c r="Q4" s="6" t="s">
        <v>7</v>
      </c>
      <c r="R4" s="6" t="s">
        <v>30</v>
      </c>
      <c r="S4" s="36" t="s">
        <v>31</v>
      </c>
      <c r="T4" s="6" t="s">
        <v>7</v>
      </c>
      <c r="U4" s="6" t="s">
        <v>30</v>
      </c>
      <c r="V4" s="36" t="s">
        <v>31</v>
      </c>
      <c r="W4" s="5" t="s">
        <v>7</v>
      </c>
      <c r="X4" s="6" t="s">
        <v>30</v>
      </c>
      <c r="Y4" s="34" t="s">
        <v>31</v>
      </c>
      <c r="Z4" s="5" t="s">
        <v>7</v>
      </c>
      <c r="AA4" s="6" t="s">
        <v>30</v>
      </c>
      <c r="AB4" s="34" t="s">
        <v>31</v>
      </c>
      <c r="AC4" s="5" t="s">
        <v>7</v>
      </c>
      <c r="AD4" s="6" t="s">
        <v>30</v>
      </c>
      <c r="AE4" s="34" t="s">
        <v>31</v>
      </c>
      <c r="AF4" s="5" t="s">
        <v>7</v>
      </c>
      <c r="AG4" s="6" t="s">
        <v>30</v>
      </c>
      <c r="AH4" s="34" t="s">
        <v>31</v>
      </c>
      <c r="AI4" s="5" t="s">
        <v>7</v>
      </c>
      <c r="AJ4" s="6" t="s">
        <v>30</v>
      </c>
      <c r="AK4" s="34" t="s">
        <v>31</v>
      </c>
      <c r="AL4" s="5" t="s">
        <v>7</v>
      </c>
      <c r="AM4" s="6" t="s">
        <v>30</v>
      </c>
      <c r="AN4" s="34" t="s">
        <v>31</v>
      </c>
      <c r="AO4" s="5" t="s">
        <v>7</v>
      </c>
      <c r="AP4" s="6" t="s">
        <v>30</v>
      </c>
      <c r="AQ4" s="34" t="s">
        <v>31</v>
      </c>
      <c r="AR4" s="5" t="s">
        <v>7</v>
      </c>
      <c r="AS4" s="6" t="s">
        <v>30</v>
      </c>
      <c r="AT4" s="34" t="s">
        <v>31</v>
      </c>
      <c r="AU4" s="51" t="s">
        <v>7</v>
      </c>
      <c r="AV4" s="51" t="s">
        <v>30</v>
      </c>
      <c r="AW4" s="288" t="s">
        <v>31</v>
      </c>
      <c r="AX4" s="51" t="s">
        <v>7</v>
      </c>
      <c r="AY4" s="51" t="s">
        <v>30</v>
      </c>
      <c r="AZ4" s="52" t="s">
        <v>31</v>
      </c>
      <c r="BA4" s="51" t="s">
        <v>7</v>
      </c>
      <c r="BB4" s="51" t="s">
        <v>30</v>
      </c>
      <c r="BC4" s="352" t="s">
        <v>31</v>
      </c>
      <c r="BD4" s="50" t="s">
        <v>7</v>
      </c>
      <c r="BE4" s="51" t="s">
        <v>30</v>
      </c>
      <c r="BF4" s="52" t="s">
        <v>31</v>
      </c>
      <c r="BG4" s="51" t="s">
        <v>7</v>
      </c>
      <c r="BH4" s="51" t="s">
        <v>30</v>
      </c>
      <c r="BI4" s="288" t="s">
        <v>31</v>
      </c>
      <c r="BJ4" s="51" t="s">
        <v>7</v>
      </c>
      <c r="BK4" s="51" t="s">
        <v>30</v>
      </c>
      <c r="BL4" s="53" t="s">
        <v>31</v>
      </c>
      <c r="BM4" s="12" t="s">
        <v>7</v>
      </c>
      <c r="BN4" s="10" t="s">
        <v>30</v>
      </c>
      <c r="BO4" s="30" t="s">
        <v>31</v>
      </c>
      <c r="BP4" s="12" t="s">
        <v>7</v>
      </c>
      <c r="BQ4" s="10" t="s">
        <v>30</v>
      </c>
      <c r="BR4" s="32" t="s">
        <v>31</v>
      </c>
      <c r="BS4" s="10" t="s">
        <v>7</v>
      </c>
      <c r="BT4" s="10" t="s">
        <v>30</v>
      </c>
      <c r="BU4" s="30" t="s">
        <v>31</v>
      </c>
      <c r="BV4" s="12" t="s">
        <v>7</v>
      </c>
      <c r="BW4" s="10" t="s">
        <v>30</v>
      </c>
      <c r="BX4" s="11" t="s">
        <v>31</v>
      </c>
      <c r="BY4" s="12" t="s">
        <v>7</v>
      </c>
      <c r="BZ4" s="10" t="s">
        <v>30</v>
      </c>
      <c r="CA4" s="11" t="s">
        <v>31</v>
      </c>
      <c r="CB4" s="371" t="s">
        <v>7</v>
      </c>
      <c r="CC4" s="371" t="s">
        <v>30</v>
      </c>
      <c r="CD4" s="146" t="s">
        <v>31</v>
      </c>
    </row>
    <row r="5" spans="1:82" x14ac:dyDescent="0.3">
      <c r="A5" s="294">
        <v>46054</v>
      </c>
      <c r="B5" s="125">
        <v>68</v>
      </c>
      <c r="C5" s="126">
        <v>8</v>
      </c>
      <c r="D5" s="276">
        <f t="shared" ref="D5:D36" si="0">IF(C5=0,"-",B5/C5)</f>
        <v>8.5</v>
      </c>
      <c r="E5" s="125">
        <v>7</v>
      </c>
      <c r="F5" s="126">
        <v>1</v>
      </c>
      <c r="G5" s="139">
        <f t="shared" ref="G5:G36" si="1">IF(F5=0,"-",E5/F5)</f>
        <v>7</v>
      </c>
      <c r="H5" s="125">
        <v>0</v>
      </c>
      <c r="I5" s="126">
        <v>0</v>
      </c>
      <c r="J5" s="139" t="str">
        <f t="shared" ref="J5:J36" si="2">IF(I5=0,"-",H5/I5)</f>
        <v>-</v>
      </c>
      <c r="K5" s="125">
        <v>8</v>
      </c>
      <c r="L5" s="126">
        <v>1</v>
      </c>
      <c r="M5" s="276">
        <f t="shared" ref="M5:M36" si="3">IF(L5=0,"-",K5/L5)</f>
        <v>8</v>
      </c>
      <c r="N5" s="20">
        <v>0</v>
      </c>
      <c r="O5" s="21">
        <v>0</v>
      </c>
      <c r="P5" s="139" t="str">
        <f t="shared" ref="P5:P36" si="4">IF(O5=0,"-",N5/O5)</f>
        <v>-</v>
      </c>
      <c r="Q5" s="125">
        <v>0</v>
      </c>
      <c r="R5" s="126">
        <v>0</v>
      </c>
      <c r="S5" s="139" t="str">
        <f t="shared" ref="S5:S36" si="5">IF(R5=0,"-",Q5/R5)</f>
        <v>-</v>
      </c>
      <c r="T5" s="125">
        <v>0</v>
      </c>
      <c r="U5" s="126">
        <v>0</v>
      </c>
      <c r="V5" s="139" t="str">
        <f t="shared" ref="V5:V36" si="6">IF(U5=0,"-",T5/U5)</f>
        <v>-</v>
      </c>
      <c r="W5" s="125">
        <v>0</v>
      </c>
      <c r="X5" s="126">
        <v>0</v>
      </c>
      <c r="Y5" s="139" t="str">
        <f t="shared" ref="Y5:Y36" si="7">IF(X5=0,"-",W5/X5)</f>
        <v>-</v>
      </c>
      <c r="Z5" s="20">
        <v>0</v>
      </c>
      <c r="AA5" s="21">
        <v>0</v>
      </c>
      <c r="AB5" s="139" t="str">
        <f t="shared" ref="AB5:AB35" si="8">IF(AA5=0,"-",Z5/AA5)</f>
        <v>-</v>
      </c>
      <c r="AC5" s="125">
        <v>0</v>
      </c>
      <c r="AD5" s="126">
        <v>0</v>
      </c>
      <c r="AE5" s="139" t="str">
        <f t="shared" ref="AE5:AE36" si="9">IF(AD5=0,"-",AC5/AD5)</f>
        <v>-</v>
      </c>
      <c r="AF5" s="125">
        <v>0</v>
      </c>
      <c r="AG5" s="126">
        <v>0</v>
      </c>
      <c r="AH5" s="139" t="str">
        <f t="shared" ref="AH5:AH36" si="10">IF(AG5=0,"-",AF5/AG5)</f>
        <v>-</v>
      </c>
      <c r="AI5" s="20">
        <v>0</v>
      </c>
      <c r="AJ5" s="21">
        <v>0</v>
      </c>
      <c r="AK5" s="139" t="str">
        <f t="shared" ref="AK5:AK36" si="11">IF(AJ5=0,"-",AI5/AJ5)</f>
        <v>-</v>
      </c>
      <c r="AL5" s="125">
        <v>0</v>
      </c>
      <c r="AM5" s="126">
        <v>0</v>
      </c>
      <c r="AN5" s="139" t="str">
        <f t="shared" ref="AN5:AN36" si="12">IF(AM5=0,"-",AL5/AM5)</f>
        <v>-</v>
      </c>
      <c r="AO5" s="125">
        <v>0</v>
      </c>
      <c r="AP5" s="126">
        <v>0</v>
      </c>
      <c r="AQ5" s="139" t="str">
        <f t="shared" ref="AQ5:AQ36" si="13">IF(AP5=0,"-",AO5/AP5)</f>
        <v>-</v>
      </c>
      <c r="AR5" s="125">
        <v>0</v>
      </c>
      <c r="AS5" s="126">
        <v>0</v>
      </c>
      <c r="AT5" s="139" t="str">
        <f t="shared" ref="AT5:AT36" si="14">IF(AS5=0,"-",AR5/AS5)</f>
        <v>-</v>
      </c>
      <c r="AU5" s="20">
        <v>0</v>
      </c>
      <c r="AV5" s="21">
        <v>0</v>
      </c>
      <c r="AW5" s="139" t="str">
        <f t="shared" ref="AW5:AW36" si="15">IF(AV5=0,"-",AU5/AV5)</f>
        <v>-</v>
      </c>
      <c r="AX5" s="20">
        <v>0</v>
      </c>
      <c r="AY5" s="21">
        <v>0</v>
      </c>
      <c r="AZ5" s="139" t="str">
        <f t="shared" ref="AZ5:AZ35" si="16">IF(AY5=0,"-",AX5/AY5)</f>
        <v>-</v>
      </c>
      <c r="BA5" s="20">
        <v>0</v>
      </c>
      <c r="BB5" s="21">
        <v>0</v>
      </c>
      <c r="BC5" s="139" t="str">
        <f t="shared" ref="BC5:BC36" si="17">IF(BB5=0,"-",BA5/BB5)</f>
        <v>-</v>
      </c>
      <c r="BD5" s="20">
        <v>0</v>
      </c>
      <c r="BE5" s="21">
        <v>0</v>
      </c>
      <c r="BF5" s="139" t="str">
        <f t="shared" ref="BF5:BF35" si="18">IF(BE5=0,"-",BD5/BE5)</f>
        <v>-</v>
      </c>
      <c r="BG5" s="20">
        <v>0</v>
      </c>
      <c r="BH5" s="21">
        <v>0</v>
      </c>
      <c r="BI5" s="139" t="str">
        <f t="shared" ref="BI5:BI36" si="19">IF(BH5=0,"-",BG5/BH5)</f>
        <v>-</v>
      </c>
      <c r="BJ5" s="20">
        <v>0</v>
      </c>
      <c r="BK5" s="21">
        <v>0</v>
      </c>
      <c r="BL5" s="139" t="str">
        <f t="shared" ref="BL5:BL35" si="20">IF(BK5=0,"-",BJ5/BK5)</f>
        <v>-</v>
      </c>
      <c r="BM5" s="17">
        <v>6</v>
      </c>
      <c r="BN5" s="18">
        <v>1</v>
      </c>
      <c r="BO5" s="276">
        <f t="shared" ref="BO5:BO36" si="21">IF(BN5=0,"-",BM5/BN5)</f>
        <v>6</v>
      </c>
      <c r="BP5" s="17">
        <v>0</v>
      </c>
      <c r="BQ5" s="18">
        <v>0</v>
      </c>
      <c r="BR5" s="276" t="str">
        <f t="shared" ref="BR5:BR36" si="22">IF(BQ5=0,"-",BP5/BQ5)</f>
        <v>-</v>
      </c>
      <c r="BS5" s="365">
        <v>0</v>
      </c>
      <c r="BT5" s="366">
        <v>0</v>
      </c>
      <c r="BU5" s="276" t="str">
        <f t="shared" ref="BU5:BU36" si="23">IF(BT5=0,"-",BS5/BT5)</f>
        <v>-</v>
      </c>
      <c r="BV5" s="379">
        <v>0</v>
      </c>
      <c r="BW5" s="128">
        <v>0</v>
      </c>
      <c r="BX5" s="380" t="str">
        <f t="shared" ref="BX5:BX36" si="24">IF(BW5=0,"-",BV5/BW5)</f>
        <v>-</v>
      </c>
      <c r="BY5" s="17">
        <v>0</v>
      </c>
      <c r="BZ5" s="18">
        <v>0</v>
      </c>
      <c r="CA5" s="380" t="str">
        <f t="shared" ref="CA5:CA35" si="25">IF(BZ5=0,"-",BY5/BZ5)</f>
        <v>-</v>
      </c>
      <c r="CB5" s="374">
        <f>SUM(B5,E5,H5,K5,N5,Q5,T5,W5,AC5,AF5,AI5,AL5,AO5,AR5,AU5,BA5,BG5,BM5,BP5,BS5,BV5,BY5)</f>
        <v>89</v>
      </c>
      <c r="CC5" s="120">
        <f>SUM(C5,F5,I5,L5,O5,R5,U5,X5,AD5,AG5,AJ5,AM5,AP5,AS5,AV5,BB5,BH5,BN5,BQ5,BT5,BW5,BZ5)</f>
        <v>11</v>
      </c>
      <c r="CD5" s="19">
        <f t="shared" ref="CD5:CD36" si="26">IF(CC5=0,"",CB5/CC5)</f>
        <v>8.0909090909090917</v>
      </c>
    </row>
    <row r="6" spans="1:82" x14ac:dyDescent="0.3">
      <c r="A6" s="294">
        <v>46055</v>
      </c>
      <c r="B6" s="20">
        <v>36</v>
      </c>
      <c r="C6" s="21">
        <v>5</v>
      </c>
      <c r="D6" s="139">
        <f t="shared" si="0"/>
        <v>7.2</v>
      </c>
      <c r="E6" s="125">
        <v>0</v>
      </c>
      <c r="F6" s="126">
        <v>0</v>
      </c>
      <c r="G6" s="139" t="str">
        <f t="shared" si="1"/>
        <v>-</v>
      </c>
      <c r="H6" s="125">
        <v>0</v>
      </c>
      <c r="I6" s="126">
        <v>0</v>
      </c>
      <c r="J6" s="139" t="str">
        <f t="shared" si="2"/>
        <v>-</v>
      </c>
      <c r="K6" s="20">
        <v>6</v>
      </c>
      <c r="L6" s="21">
        <v>1</v>
      </c>
      <c r="M6" s="139">
        <f t="shared" si="3"/>
        <v>6</v>
      </c>
      <c r="N6" s="20">
        <v>0</v>
      </c>
      <c r="O6" s="21">
        <v>0</v>
      </c>
      <c r="P6" s="139" t="str">
        <f t="shared" si="4"/>
        <v>-</v>
      </c>
      <c r="Q6" s="125">
        <v>0</v>
      </c>
      <c r="R6" s="126">
        <v>0</v>
      </c>
      <c r="S6" s="139" t="str">
        <f t="shared" si="5"/>
        <v>-</v>
      </c>
      <c r="T6" s="125">
        <v>40</v>
      </c>
      <c r="U6" s="126">
        <v>7</v>
      </c>
      <c r="V6" s="139">
        <f t="shared" si="6"/>
        <v>5.7142857142857144</v>
      </c>
      <c r="W6" s="125">
        <v>0</v>
      </c>
      <c r="X6" s="126">
        <v>0</v>
      </c>
      <c r="Y6" s="139" t="str">
        <f t="shared" si="7"/>
        <v>-</v>
      </c>
      <c r="Z6" s="20">
        <v>0</v>
      </c>
      <c r="AA6" s="21">
        <v>0</v>
      </c>
      <c r="AB6" s="139" t="str">
        <f t="shared" si="8"/>
        <v>-</v>
      </c>
      <c r="AC6" s="125">
        <v>0</v>
      </c>
      <c r="AD6" s="126">
        <v>0</v>
      </c>
      <c r="AE6" s="139" t="str">
        <f t="shared" si="9"/>
        <v>-</v>
      </c>
      <c r="AF6" s="125">
        <v>0</v>
      </c>
      <c r="AG6" s="126">
        <v>0</v>
      </c>
      <c r="AH6" s="139" t="str">
        <f t="shared" si="10"/>
        <v>-</v>
      </c>
      <c r="AI6" s="20">
        <v>20</v>
      </c>
      <c r="AJ6" s="21">
        <v>4</v>
      </c>
      <c r="AK6" s="139">
        <f t="shared" si="11"/>
        <v>5</v>
      </c>
      <c r="AL6" s="125">
        <v>0</v>
      </c>
      <c r="AM6" s="126">
        <v>0</v>
      </c>
      <c r="AN6" s="139" t="str">
        <f t="shared" si="12"/>
        <v>-</v>
      </c>
      <c r="AO6" s="125">
        <v>6</v>
      </c>
      <c r="AP6" s="126">
        <v>1</v>
      </c>
      <c r="AQ6" s="139">
        <f t="shared" si="13"/>
        <v>6</v>
      </c>
      <c r="AR6" s="125">
        <v>6</v>
      </c>
      <c r="AS6" s="126">
        <v>1</v>
      </c>
      <c r="AT6" s="139">
        <f t="shared" si="14"/>
        <v>6</v>
      </c>
      <c r="AU6" s="20">
        <v>0</v>
      </c>
      <c r="AV6" s="21">
        <v>0</v>
      </c>
      <c r="AW6" s="139" t="str">
        <f t="shared" si="15"/>
        <v>-</v>
      </c>
      <c r="AX6" s="20">
        <v>0</v>
      </c>
      <c r="AY6" s="21">
        <v>0</v>
      </c>
      <c r="AZ6" s="139" t="str">
        <f t="shared" si="16"/>
        <v>-</v>
      </c>
      <c r="BA6" s="20">
        <v>0</v>
      </c>
      <c r="BB6" s="21">
        <v>0</v>
      </c>
      <c r="BC6" s="139" t="str">
        <f t="shared" si="17"/>
        <v>-</v>
      </c>
      <c r="BD6" s="20">
        <v>0</v>
      </c>
      <c r="BE6" s="21">
        <v>0</v>
      </c>
      <c r="BF6" s="139" t="str">
        <f t="shared" si="18"/>
        <v>-</v>
      </c>
      <c r="BG6" s="20">
        <v>6</v>
      </c>
      <c r="BH6" s="21">
        <v>1</v>
      </c>
      <c r="BI6" s="139">
        <f t="shared" si="19"/>
        <v>6</v>
      </c>
      <c r="BJ6" s="20">
        <v>0</v>
      </c>
      <c r="BK6" s="21">
        <v>0</v>
      </c>
      <c r="BL6" s="139" t="str">
        <f t="shared" si="20"/>
        <v>-</v>
      </c>
      <c r="BM6" s="20">
        <v>19</v>
      </c>
      <c r="BN6" s="21">
        <v>3</v>
      </c>
      <c r="BO6" s="276">
        <f t="shared" si="21"/>
        <v>6.333333333333333</v>
      </c>
      <c r="BP6" s="20">
        <v>0</v>
      </c>
      <c r="BQ6" s="21">
        <v>0</v>
      </c>
      <c r="BR6" s="276" t="str">
        <f t="shared" si="22"/>
        <v>-</v>
      </c>
      <c r="BS6" s="354">
        <v>0</v>
      </c>
      <c r="BT6" s="271">
        <v>0</v>
      </c>
      <c r="BU6" s="276" t="str">
        <f t="shared" si="23"/>
        <v>-</v>
      </c>
      <c r="BV6" s="368">
        <v>7</v>
      </c>
      <c r="BW6" s="21">
        <v>1</v>
      </c>
      <c r="BX6" s="276">
        <f t="shared" si="24"/>
        <v>7</v>
      </c>
      <c r="BY6" s="20">
        <v>0</v>
      </c>
      <c r="BZ6" s="21">
        <v>0</v>
      </c>
      <c r="CA6" s="276" t="str">
        <f t="shared" si="25"/>
        <v>-</v>
      </c>
      <c r="CB6" s="375">
        <f t="shared" ref="CB6:CB21" si="27">SUM(B6,E6,H6,K6,N6,Q6,T6,W6,AC6,AF6,AI6,AL6,AO6,AR6,AU6,BA6,BG6,BM6,BP6,BS6,BV6,BY6)</f>
        <v>146</v>
      </c>
      <c r="CC6" s="373">
        <f t="shared" ref="CC6:CC35" si="28">SUM(C6,F6,I6,L6,O6,R6,U6,X6,AD6,AG6,AJ6,AM6,AP6,AS6,AV6,BB6,BH6,BN6,BQ6,BT6,BW6,BZ6)</f>
        <v>24</v>
      </c>
      <c r="CD6" s="26">
        <f t="shared" si="26"/>
        <v>6.083333333333333</v>
      </c>
    </row>
    <row r="7" spans="1:82" x14ac:dyDescent="0.3">
      <c r="A7" s="294">
        <v>46056</v>
      </c>
      <c r="B7" s="20">
        <v>16</v>
      </c>
      <c r="C7" s="21">
        <v>2</v>
      </c>
      <c r="D7" s="139">
        <f t="shared" si="0"/>
        <v>8</v>
      </c>
      <c r="E7" s="125">
        <v>0</v>
      </c>
      <c r="F7" s="126">
        <v>0</v>
      </c>
      <c r="G7" s="139" t="str">
        <f t="shared" si="1"/>
        <v>-</v>
      </c>
      <c r="H7" s="125">
        <v>0</v>
      </c>
      <c r="I7" s="126">
        <v>0</v>
      </c>
      <c r="J7" s="139" t="str">
        <f t="shared" si="2"/>
        <v>-</v>
      </c>
      <c r="K7" s="20">
        <v>0</v>
      </c>
      <c r="L7" s="21">
        <v>0</v>
      </c>
      <c r="M7" s="139" t="str">
        <f t="shared" si="3"/>
        <v>-</v>
      </c>
      <c r="N7" s="20">
        <v>0</v>
      </c>
      <c r="O7" s="21">
        <v>0</v>
      </c>
      <c r="P7" s="139" t="str">
        <f t="shared" si="4"/>
        <v>-</v>
      </c>
      <c r="Q7" s="125">
        <v>100</v>
      </c>
      <c r="R7" s="126">
        <v>10</v>
      </c>
      <c r="S7" s="139">
        <f t="shared" si="5"/>
        <v>10</v>
      </c>
      <c r="T7" s="125">
        <v>49</v>
      </c>
      <c r="U7" s="126">
        <v>9</v>
      </c>
      <c r="V7" s="139">
        <f t="shared" si="6"/>
        <v>5.4444444444444446</v>
      </c>
      <c r="W7" s="125">
        <v>0</v>
      </c>
      <c r="X7" s="126">
        <v>0</v>
      </c>
      <c r="Y7" s="139" t="str">
        <f t="shared" si="7"/>
        <v>-</v>
      </c>
      <c r="Z7" s="20">
        <v>0</v>
      </c>
      <c r="AA7" s="21">
        <v>0</v>
      </c>
      <c r="AB7" s="139" t="str">
        <f t="shared" si="8"/>
        <v>-</v>
      </c>
      <c r="AC7" s="125">
        <v>0</v>
      </c>
      <c r="AD7" s="126">
        <v>0</v>
      </c>
      <c r="AE7" s="139" t="str">
        <f t="shared" si="9"/>
        <v>-</v>
      </c>
      <c r="AF7" s="125">
        <v>0</v>
      </c>
      <c r="AG7" s="126">
        <v>0</v>
      </c>
      <c r="AH7" s="139" t="str">
        <f t="shared" si="10"/>
        <v>-</v>
      </c>
      <c r="AI7" s="270">
        <v>30</v>
      </c>
      <c r="AJ7" s="21">
        <v>6</v>
      </c>
      <c r="AK7" s="139">
        <f t="shared" si="11"/>
        <v>5</v>
      </c>
      <c r="AL7" s="125">
        <v>0</v>
      </c>
      <c r="AM7" s="126">
        <v>0</v>
      </c>
      <c r="AN7" s="139" t="str">
        <f t="shared" si="12"/>
        <v>-</v>
      </c>
      <c r="AO7" s="125">
        <v>0</v>
      </c>
      <c r="AP7" s="126">
        <v>0</v>
      </c>
      <c r="AQ7" s="139" t="str">
        <f t="shared" si="13"/>
        <v>-</v>
      </c>
      <c r="AR7" s="125">
        <v>16</v>
      </c>
      <c r="AS7" s="126">
        <v>3</v>
      </c>
      <c r="AT7" s="139">
        <f t="shared" si="14"/>
        <v>5.333333333333333</v>
      </c>
      <c r="AU7" s="20">
        <v>0</v>
      </c>
      <c r="AV7" s="21">
        <v>0</v>
      </c>
      <c r="AW7" s="139" t="str">
        <f t="shared" si="15"/>
        <v>-</v>
      </c>
      <c r="AX7" s="20">
        <v>0</v>
      </c>
      <c r="AY7" s="21">
        <v>0</v>
      </c>
      <c r="AZ7" s="139" t="str">
        <f t="shared" si="16"/>
        <v>-</v>
      </c>
      <c r="BA7" s="20">
        <v>0</v>
      </c>
      <c r="BB7" s="21">
        <v>0</v>
      </c>
      <c r="BC7" s="139" t="str">
        <f t="shared" si="17"/>
        <v>-</v>
      </c>
      <c r="BD7" s="20">
        <v>0</v>
      </c>
      <c r="BE7" s="21">
        <v>0</v>
      </c>
      <c r="BF7" s="139" t="str">
        <f t="shared" si="18"/>
        <v>-</v>
      </c>
      <c r="BG7" s="20">
        <v>11</v>
      </c>
      <c r="BH7" s="21">
        <v>2</v>
      </c>
      <c r="BI7" s="139">
        <f t="shared" si="19"/>
        <v>5.5</v>
      </c>
      <c r="BJ7" s="20">
        <v>0</v>
      </c>
      <c r="BK7" s="21">
        <v>0</v>
      </c>
      <c r="BL7" s="139" t="str">
        <f t="shared" si="20"/>
        <v>-</v>
      </c>
      <c r="BM7" s="20">
        <v>40</v>
      </c>
      <c r="BN7" s="21">
        <v>6</v>
      </c>
      <c r="BO7" s="276">
        <f t="shared" si="21"/>
        <v>6.666666666666667</v>
      </c>
      <c r="BP7" s="20">
        <v>0</v>
      </c>
      <c r="BQ7" s="21">
        <v>0</v>
      </c>
      <c r="BR7" s="276" t="str">
        <f t="shared" si="22"/>
        <v>-</v>
      </c>
      <c r="BS7" s="354">
        <v>0</v>
      </c>
      <c r="BT7" s="271">
        <v>0</v>
      </c>
      <c r="BU7" s="276" t="str">
        <f t="shared" si="23"/>
        <v>-</v>
      </c>
      <c r="BV7" s="368">
        <v>0</v>
      </c>
      <c r="BW7" s="21">
        <v>0</v>
      </c>
      <c r="BX7" s="276" t="str">
        <f t="shared" si="24"/>
        <v>-</v>
      </c>
      <c r="BY7" s="20">
        <v>0</v>
      </c>
      <c r="BZ7" s="21">
        <v>0</v>
      </c>
      <c r="CA7" s="276" t="str">
        <f t="shared" si="25"/>
        <v>-</v>
      </c>
      <c r="CB7" s="375">
        <f t="shared" si="27"/>
        <v>262</v>
      </c>
      <c r="CC7" s="373">
        <f t="shared" si="28"/>
        <v>38</v>
      </c>
      <c r="CD7" s="26">
        <f t="shared" si="26"/>
        <v>6.8947368421052628</v>
      </c>
    </row>
    <row r="8" spans="1:82" x14ac:dyDescent="0.3">
      <c r="A8" s="294">
        <v>46057</v>
      </c>
      <c r="B8" s="20">
        <v>24</v>
      </c>
      <c r="C8" s="21">
        <v>3</v>
      </c>
      <c r="D8" s="139">
        <f t="shared" si="0"/>
        <v>8</v>
      </c>
      <c r="E8" s="125">
        <v>8</v>
      </c>
      <c r="F8" s="126">
        <v>1</v>
      </c>
      <c r="G8" s="139">
        <f t="shared" si="1"/>
        <v>8</v>
      </c>
      <c r="H8" s="125">
        <v>21</v>
      </c>
      <c r="I8" s="126">
        <v>3</v>
      </c>
      <c r="J8" s="139">
        <f t="shared" si="2"/>
        <v>7</v>
      </c>
      <c r="K8" s="20">
        <v>8</v>
      </c>
      <c r="L8" s="21">
        <v>1</v>
      </c>
      <c r="M8" s="139">
        <f>IF(L8=0,"-",K8/L8)</f>
        <v>8</v>
      </c>
      <c r="N8" s="20">
        <v>0</v>
      </c>
      <c r="O8" s="21">
        <v>0</v>
      </c>
      <c r="P8" s="139" t="str">
        <f t="shared" si="4"/>
        <v>-</v>
      </c>
      <c r="Q8" s="125">
        <v>0</v>
      </c>
      <c r="R8" s="126">
        <v>0</v>
      </c>
      <c r="S8" s="139" t="str">
        <f t="shared" si="5"/>
        <v>-</v>
      </c>
      <c r="T8" s="125">
        <v>49</v>
      </c>
      <c r="U8" s="126">
        <v>10</v>
      </c>
      <c r="V8" s="139">
        <f t="shared" si="6"/>
        <v>4.9000000000000004</v>
      </c>
      <c r="W8" s="125">
        <v>0</v>
      </c>
      <c r="X8" s="126">
        <v>0</v>
      </c>
      <c r="Y8" s="139" t="str">
        <f t="shared" si="7"/>
        <v>-</v>
      </c>
      <c r="Z8" s="20">
        <v>0</v>
      </c>
      <c r="AA8" s="21">
        <v>0</v>
      </c>
      <c r="AB8" s="139" t="str">
        <f t="shared" si="8"/>
        <v>-</v>
      </c>
      <c r="AC8" s="125">
        <v>0</v>
      </c>
      <c r="AD8" s="126">
        <v>0</v>
      </c>
      <c r="AE8" s="139" t="str">
        <f t="shared" si="9"/>
        <v>-</v>
      </c>
      <c r="AF8" s="125">
        <v>40</v>
      </c>
      <c r="AG8" s="126">
        <v>8</v>
      </c>
      <c r="AH8" s="139">
        <f t="shared" si="10"/>
        <v>5</v>
      </c>
      <c r="AI8" s="270">
        <v>31</v>
      </c>
      <c r="AJ8" s="21">
        <v>7</v>
      </c>
      <c r="AK8" s="139">
        <f t="shared" si="11"/>
        <v>4.4285714285714288</v>
      </c>
      <c r="AL8" s="125">
        <v>6</v>
      </c>
      <c r="AM8" s="126">
        <v>1</v>
      </c>
      <c r="AN8" s="139">
        <f t="shared" si="12"/>
        <v>6</v>
      </c>
      <c r="AO8" s="125">
        <v>0</v>
      </c>
      <c r="AP8" s="126">
        <v>0</v>
      </c>
      <c r="AQ8" s="139" t="str">
        <f t="shared" si="13"/>
        <v>-</v>
      </c>
      <c r="AR8" s="125">
        <v>0</v>
      </c>
      <c r="AS8" s="126">
        <v>0</v>
      </c>
      <c r="AT8" s="139" t="str">
        <f t="shared" si="14"/>
        <v>-</v>
      </c>
      <c r="AU8" s="20">
        <v>0</v>
      </c>
      <c r="AV8" s="21">
        <v>0</v>
      </c>
      <c r="AW8" s="139" t="str">
        <f t="shared" si="15"/>
        <v>-</v>
      </c>
      <c r="AX8" s="20">
        <v>0</v>
      </c>
      <c r="AY8" s="21">
        <v>0</v>
      </c>
      <c r="AZ8" s="139" t="str">
        <f t="shared" si="16"/>
        <v>-</v>
      </c>
      <c r="BA8" s="20">
        <v>0</v>
      </c>
      <c r="BB8" s="21">
        <v>0</v>
      </c>
      <c r="BC8" s="139" t="str">
        <f t="shared" si="17"/>
        <v>-</v>
      </c>
      <c r="BD8" s="20">
        <v>0</v>
      </c>
      <c r="BE8" s="21">
        <v>0</v>
      </c>
      <c r="BF8" s="139" t="str">
        <f t="shared" si="18"/>
        <v>-</v>
      </c>
      <c r="BG8" s="20">
        <v>12</v>
      </c>
      <c r="BH8" s="21">
        <v>3</v>
      </c>
      <c r="BI8" s="139">
        <f t="shared" si="19"/>
        <v>4</v>
      </c>
      <c r="BJ8" s="20">
        <v>0</v>
      </c>
      <c r="BK8" s="21">
        <v>0</v>
      </c>
      <c r="BL8" s="139" t="str">
        <f t="shared" si="20"/>
        <v>-</v>
      </c>
      <c r="BM8" s="20">
        <v>56</v>
      </c>
      <c r="BN8" s="21">
        <v>9</v>
      </c>
      <c r="BO8" s="276">
        <f t="shared" si="21"/>
        <v>6.2222222222222223</v>
      </c>
      <c r="BP8" s="20">
        <v>0</v>
      </c>
      <c r="BQ8" s="21">
        <v>0</v>
      </c>
      <c r="BR8" s="276" t="str">
        <f t="shared" si="22"/>
        <v>-</v>
      </c>
      <c r="BS8" s="354">
        <v>0</v>
      </c>
      <c r="BT8" s="271">
        <v>0</v>
      </c>
      <c r="BU8" s="276" t="str">
        <f t="shared" si="23"/>
        <v>-</v>
      </c>
      <c r="BV8" s="368">
        <v>0</v>
      </c>
      <c r="BW8" s="21">
        <v>0</v>
      </c>
      <c r="BX8" s="276" t="str">
        <f t="shared" si="24"/>
        <v>-</v>
      </c>
      <c r="BY8" s="20">
        <v>0</v>
      </c>
      <c r="BZ8" s="21">
        <v>0</v>
      </c>
      <c r="CA8" s="276" t="str">
        <f t="shared" si="25"/>
        <v>-</v>
      </c>
      <c r="CB8" s="375">
        <f t="shared" si="27"/>
        <v>255</v>
      </c>
      <c r="CC8" s="373">
        <f t="shared" si="28"/>
        <v>46</v>
      </c>
      <c r="CD8" s="26">
        <f t="shared" si="26"/>
        <v>5.5434782608695654</v>
      </c>
    </row>
    <row r="9" spans="1:82" x14ac:dyDescent="0.3">
      <c r="A9" s="294">
        <v>46058</v>
      </c>
      <c r="B9" s="20">
        <v>68</v>
      </c>
      <c r="C9" s="21">
        <v>9</v>
      </c>
      <c r="D9" s="139">
        <f t="shared" si="0"/>
        <v>7.5555555555555554</v>
      </c>
      <c r="E9" s="125">
        <v>16</v>
      </c>
      <c r="F9" s="126">
        <v>2</v>
      </c>
      <c r="G9" s="139">
        <f t="shared" si="1"/>
        <v>8</v>
      </c>
      <c r="H9" s="125">
        <v>0</v>
      </c>
      <c r="I9" s="126">
        <v>0</v>
      </c>
      <c r="J9" s="139" t="str">
        <f t="shared" si="2"/>
        <v>-</v>
      </c>
      <c r="K9" s="125">
        <v>8</v>
      </c>
      <c r="L9" s="126">
        <v>1</v>
      </c>
      <c r="M9" s="139">
        <f t="shared" si="3"/>
        <v>8</v>
      </c>
      <c r="N9" s="20">
        <v>0</v>
      </c>
      <c r="O9" s="21">
        <v>0</v>
      </c>
      <c r="P9" s="139" t="str">
        <f t="shared" si="4"/>
        <v>-</v>
      </c>
      <c r="Q9" s="20">
        <v>100</v>
      </c>
      <c r="R9" s="21">
        <v>10</v>
      </c>
      <c r="S9" s="139">
        <f t="shared" si="5"/>
        <v>10</v>
      </c>
      <c r="T9" s="20">
        <v>48</v>
      </c>
      <c r="U9" s="21">
        <v>10</v>
      </c>
      <c r="V9" s="139">
        <f t="shared" si="6"/>
        <v>4.8</v>
      </c>
      <c r="W9" s="20">
        <v>0</v>
      </c>
      <c r="X9" s="21">
        <v>0</v>
      </c>
      <c r="Y9" s="139" t="str">
        <f t="shared" si="7"/>
        <v>-</v>
      </c>
      <c r="Z9" s="20">
        <v>0</v>
      </c>
      <c r="AA9" s="21">
        <v>0</v>
      </c>
      <c r="AB9" s="139" t="str">
        <f t="shared" si="8"/>
        <v>-</v>
      </c>
      <c r="AC9" s="20">
        <v>0</v>
      </c>
      <c r="AD9" s="21">
        <v>0</v>
      </c>
      <c r="AE9" s="139" t="str">
        <f t="shared" si="9"/>
        <v>-</v>
      </c>
      <c r="AF9" s="20">
        <v>40</v>
      </c>
      <c r="AG9" s="21">
        <v>8</v>
      </c>
      <c r="AH9" s="139">
        <f t="shared" si="10"/>
        <v>5</v>
      </c>
      <c r="AI9" s="20">
        <v>40</v>
      </c>
      <c r="AJ9" s="21">
        <v>8</v>
      </c>
      <c r="AK9" s="139">
        <f t="shared" si="11"/>
        <v>5</v>
      </c>
      <c r="AL9" s="20">
        <v>0</v>
      </c>
      <c r="AM9" s="21">
        <v>0</v>
      </c>
      <c r="AN9" s="139" t="str">
        <f t="shared" si="12"/>
        <v>-</v>
      </c>
      <c r="AO9" s="20">
        <v>12</v>
      </c>
      <c r="AP9" s="21">
        <v>2</v>
      </c>
      <c r="AQ9" s="139">
        <f t="shared" si="13"/>
        <v>6</v>
      </c>
      <c r="AR9" s="20">
        <v>12</v>
      </c>
      <c r="AS9" s="21">
        <v>1</v>
      </c>
      <c r="AT9" s="139">
        <f t="shared" si="14"/>
        <v>12</v>
      </c>
      <c r="AU9" s="20">
        <v>0</v>
      </c>
      <c r="AV9" s="21">
        <v>0</v>
      </c>
      <c r="AW9" s="139" t="str">
        <f t="shared" si="15"/>
        <v>-</v>
      </c>
      <c r="AX9" s="20">
        <v>0</v>
      </c>
      <c r="AY9" s="21">
        <v>0</v>
      </c>
      <c r="AZ9" s="139" t="str">
        <f t="shared" si="16"/>
        <v>-</v>
      </c>
      <c r="BA9" s="20">
        <v>0</v>
      </c>
      <c r="BB9" s="21">
        <v>0</v>
      </c>
      <c r="BC9" s="139" t="str">
        <f>IF(BB9=0,"-",BA9/BB9)</f>
        <v>-</v>
      </c>
      <c r="BD9" s="20">
        <v>0</v>
      </c>
      <c r="BE9" s="21">
        <v>0</v>
      </c>
      <c r="BF9" s="139" t="str">
        <f t="shared" si="18"/>
        <v>-</v>
      </c>
      <c r="BG9" s="20">
        <v>6</v>
      </c>
      <c r="BH9" s="21">
        <v>1</v>
      </c>
      <c r="BI9" s="139">
        <f t="shared" si="19"/>
        <v>6</v>
      </c>
      <c r="BJ9" s="20">
        <v>0</v>
      </c>
      <c r="BK9" s="21">
        <v>0</v>
      </c>
      <c r="BL9" s="139" t="str">
        <f t="shared" si="20"/>
        <v>-</v>
      </c>
      <c r="BM9" s="20">
        <v>31</v>
      </c>
      <c r="BN9" s="21">
        <v>5</v>
      </c>
      <c r="BO9" s="276">
        <f t="shared" si="21"/>
        <v>6.2</v>
      </c>
      <c r="BP9" s="20">
        <v>0</v>
      </c>
      <c r="BQ9" s="21">
        <v>0</v>
      </c>
      <c r="BR9" s="276" t="str">
        <f t="shared" si="22"/>
        <v>-</v>
      </c>
      <c r="BS9" s="354">
        <v>0</v>
      </c>
      <c r="BT9" s="271">
        <v>0</v>
      </c>
      <c r="BU9" s="276" t="str">
        <f t="shared" si="23"/>
        <v>-</v>
      </c>
      <c r="BV9" s="368">
        <v>0</v>
      </c>
      <c r="BW9" s="21">
        <v>0</v>
      </c>
      <c r="BX9" s="276" t="str">
        <f t="shared" si="24"/>
        <v>-</v>
      </c>
      <c r="BY9" s="20">
        <v>0</v>
      </c>
      <c r="BZ9" s="21">
        <v>0</v>
      </c>
      <c r="CA9" s="276" t="str">
        <f t="shared" si="25"/>
        <v>-</v>
      </c>
      <c r="CB9" s="375">
        <f t="shared" si="27"/>
        <v>381</v>
      </c>
      <c r="CC9" s="373">
        <f t="shared" si="28"/>
        <v>57</v>
      </c>
      <c r="CD9" s="26">
        <f t="shared" si="26"/>
        <v>6.6842105263157894</v>
      </c>
    </row>
    <row r="10" spans="1:82" x14ac:dyDescent="0.3">
      <c r="A10" s="294">
        <v>46059</v>
      </c>
      <c r="B10" s="20">
        <v>51</v>
      </c>
      <c r="C10" s="21">
        <v>7</v>
      </c>
      <c r="D10" s="139">
        <f t="shared" si="0"/>
        <v>7.2857142857142856</v>
      </c>
      <c r="E10" s="125">
        <v>8</v>
      </c>
      <c r="F10" s="126">
        <v>1</v>
      </c>
      <c r="G10" s="139">
        <f t="shared" si="1"/>
        <v>8</v>
      </c>
      <c r="H10" s="125"/>
      <c r="I10" s="126"/>
      <c r="J10" s="139" t="str">
        <f t="shared" si="2"/>
        <v>-</v>
      </c>
      <c r="K10" s="20">
        <v>8</v>
      </c>
      <c r="L10" s="21">
        <v>1</v>
      </c>
      <c r="M10" s="139">
        <f t="shared" si="3"/>
        <v>8</v>
      </c>
      <c r="N10" s="20">
        <v>0</v>
      </c>
      <c r="O10" s="21">
        <v>0</v>
      </c>
      <c r="P10" s="139" t="str">
        <f t="shared" si="4"/>
        <v>-</v>
      </c>
      <c r="Q10" s="20">
        <v>0</v>
      </c>
      <c r="R10" s="21">
        <v>0</v>
      </c>
      <c r="S10" s="139" t="str">
        <f t="shared" si="5"/>
        <v>-</v>
      </c>
      <c r="T10" s="20">
        <v>53</v>
      </c>
      <c r="U10" s="21">
        <v>11</v>
      </c>
      <c r="V10" s="139">
        <f t="shared" si="6"/>
        <v>4.8181818181818183</v>
      </c>
      <c r="W10" s="20">
        <v>0</v>
      </c>
      <c r="X10" s="21">
        <v>0</v>
      </c>
      <c r="Y10" s="139" t="str">
        <f t="shared" si="7"/>
        <v>-</v>
      </c>
      <c r="Z10" s="20">
        <v>0</v>
      </c>
      <c r="AA10" s="21">
        <v>0</v>
      </c>
      <c r="AB10" s="139" t="str">
        <f t="shared" si="8"/>
        <v>-</v>
      </c>
      <c r="AC10" s="20">
        <v>0</v>
      </c>
      <c r="AD10" s="21">
        <v>0</v>
      </c>
      <c r="AE10" s="139" t="str">
        <f t="shared" si="9"/>
        <v>-</v>
      </c>
      <c r="AF10" s="20">
        <v>0</v>
      </c>
      <c r="AG10" s="21">
        <v>0</v>
      </c>
      <c r="AH10" s="139" t="str">
        <f t="shared" si="10"/>
        <v>-</v>
      </c>
      <c r="AI10" s="20">
        <v>30</v>
      </c>
      <c r="AJ10" s="21">
        <v>6</v>
      </c>
      <c r="AK10" s="139">
        <f t="shared" si="11"/>
        <v>5</v>
      </c>
      <c r="AL10" s="20">
        <v>0</v>
      </c>
      <c r="AM10" s="21">
        <v>0</v>
      </c>
      <c r="AN10" s="139" t="str">
        <f t="shared" si="12"/>
        <v>-</v>
      </c>
      <c r="AO10" s="20">
        <v>0</v>
      </c>
      <c r="AP10" s="21">
        <v>0</v>
      </c>
      <c r="AQ10" s="139" t="str">
        <f t="shared" si="13"/>
        <v>-</v>
      </c>
      <c r="AR10" s="20">
        <v>18</v>
      </c>
      <c r="AS10" s="21">
        <v>3</v>
      </c>
      <c r="AT10" s="139">
        <f t="shared" si="14"/>
        <v>6</v>
      </c>
      <c r="AU10" s="20">
        <v>0</v>
      </c>
      <c r="AV10" s="21">
        <v>0</v>
      </c>
      <c r="AW10" s="139" t="str">
        <f t="shared" si="15"/>
        <v>-</v>
      </c>
      <c r="AX10" s="20">
        <v>0</v>
      </c>
      <c r="AY10" s="21">
        <v>0</v>
      </c>
      <c r="AZ10" s="139" t="str">
        <f t="shared" si="16"/>
        <v>-</v>
      </c>
      <c r="BA10" s="20">
        <v>0</v>
      </c>
      <c r="BB10" s="21">
        <v>0</v>
      </c>
      <c r="BC10" s="139" t="str">
        <f t="shared" si="17"/>
        <v>-</v>
      </c>
      <c r="BD10" s="20">
        <v>0</v>
      </c>
      <c r="BE10" s="21">
        <v>0</v>
      </c>
      <c r="BF10" s="139" t="str">
        <f t="shared" si="18"/>
        <v>-</v>
      </c>
      <c r="BG10" s="20">
        <v>0</v>
      </c>
      <c r="BH10" s="21">
        <v>0</v>
      </c>
      <c r="BI10" s="139" t="str">
        <f t="shared" si="19"/>
        <v>-</v>
      </c>
      <c r="BJ10" s="20">
        <v>0</v>
      </c>
      <c r="BK10" s="21">
        <v>0</v>
      </c>
      <c r="BL10" s="139" t="str">
        <f t="shared" si="20"/>
        <v>-</v>
      </c>
      <c r="BM10" s="20">
        <v>20</v>
      </c>
      <c r="BN10" s="21">
        <v>3</v>
      </c>
      <c r="BO10" s="139">
        <f t="shared" si="21"/>
        <v>6.666666666666667</v>
      </c>
      <c r="BP10" s="20">
        <v>0</v>
      </c>
      <c r="BQ10" s="21">
        <v>0</v>
      </c>
      <c r="BR10" s="139" t="str">
        <f t="shared" si="22"/>
        <v>-</v>
      </c>
      <c r="BS10" s="20">
        <v>0</v>
      </c>
      <c r="BT10" s="21">
        <v>0</v>
      </c>
      <c r="BU10" s="139" t="str">
        <f t="shared" si="23"/>
        <v>-</v>
      </c>
      <c r="BV10" s="368">
        <v>0</v>
      </c>
      <c r="BW10" s="21">
        <v>0</v>
      </c>
      <c r="BX10" s="139" t="str">
        <f t="shared" si="24"/>
        <v>-</v>
      </c>
      <c r="BY10" s="20">
        <v>0</v>
      </c>
      <c r="BZ10" s="21">
        <v>0</v>
      </c>
      <c r="CA10" s="139" t="str">
        <f t="shared" si="25"/>
        <v>-</v>
      </c>
      <c r="CB10" s="375">
        <f t="shared" si="27"/>
        <v>188</v>
      </c>
      <c r="CC10" s="373">
        <f t="shared" si="28"/>
        <v>32</v>
      </c>
      <c r="CD10" s="26">
        <f t="shared" si="26"/>
        <v>5.875</v>
      </c>
    </row>
    <row r="11" spans="1:82" x14ac:dyDescent="0.3">
      <c r="A11" s="294">
        <v>46060</v>
      </c>
      <c r="B11" s="20">
        <v>17</v>
      </c>
      <c r="C11" s="21">
        <v>5</v>
      </c>
      <c r="D11" s="139">
        <f t="shared" si="0"/>
        <v>3.4</v>
      </c>
      <c r="E11" s="125">
        <v>0</v>
      </c>
      <c r="F11" s="126">
        <v>0</v>
      </c>
      <c r="G11" s="139" t="str">
        <f t="shared" si="1"/>
        <v>-</v>
      </c>
      <c r="H11" s="125">
        <v>0</v>
      </c>
      <c r="I11" s="126">
        <v>0</v>
      </c>
      <c r="J11" s="139" t="str">
        <f t="shared" si="2"/>
        <v>-</v>
      </c>
      <c r="K11" s="125">
        <v>0</v>
      </c>
      <c r="L11" s="126">
        <v>0</v>
      </c>
      <c r="M11" s="139" t="str">
        <f t="shared" si="3"/>
        <v>-</v>
      </c>
      <c r="N11" s="125">
        <v>0</v>
      </c>
      <c r="O11" s="126">
        <v>0</v>
      </c>
      <c r="P11" s="139" t="str">
        <f t="shared" si="4"/>
        <v>-</v>
      </c>
      <c r="Q11" s="125">
        <v>0</v>
      </c>
      <c r="R11" s="126">
        <v>0</v>
      </c>
      <c r="S11" s="139" t="str">
        <f t="shared" si="5"/>
        <v>-</v>
      </c>
      <c r="T11" s="20">
        <v>0</v>
      </c>
      <c r="U11" s="21">
        <v>0</v>
      </c>
      <c r="V11" s="139" t="str">
        <f t="shared" si="6"/>
        <v>-</v>
      </c>
      <c r="W11" s="20">
        <v>0</v>
      </c>
      <c r="X11" s="21">
        <v>0</v>
      </c>
      <c r="Y11" s="139" t="str">
        <f t="shared" si="7"/>
        <v>-</v>
      </c>
      <c r="Z11" s="20">
        <v>0</v>
      </c>
      <c r="AA11" s="21">
        <v>0</v>
      </c>
      <c r="AB11" s="139" t="str">
        <f t="shared" si="8"/>
        <v>-</v>
      </c>
      <c r="AC11" s="20">
        <v>0</v>
      </c>
      <c r="AD11" s="21">
        <v>0</v>
      </c>
      <c r="AE11" s="139" t="str">
        <f t="shared" si="9"/>
        <v>-</v>
      </c>
      <c r="AF11" s="20">
        <v>0</v>
      </c>
      <c r="AG11" s="21">
        <v>0</v>
      </c>
      <c r="AH11" s="139" t="str">
        <f t="shared" si="10"/>
        <v>-</v>
      </c>
      <c r="AI11" s="20">
        <v>0</v>
      </c>
      <c r="AJ11" s="21">
        <v>0</v>
      </c>
      <c r="AK11" s="139" t="str">
        <f t="shared" si="11"/>
        <v>-</v>
      </c>
      <c r="AL11" s="20">
        <v>3</v>
      </c>
      <c r="AM11" s="21">
        <v>1</v>
      </c>
      <c r="AN11" s="139">
        <f t="shared" si="12"/>
        <v>3</v>
      </c>
      <c r="AO11" s="20">
        <v>3</v>
      </c>
      <c r="AP11" s="21">
        <v>1</v>
      </c>
      <c r="AQ11" s="139">
        <f t="shared" si="13"/>
        <v>3</v>
      </c>
      <c r="AR11" s="20">
        <v>0</v>
      </c>
      <c r="AS11" s="21">
        <v>0</v>
      </c>
      <c r="AT11" s="139" t="str">
        <f t="shared" si="14"/>
        <v>-</v>
      </c>
      <c r="AU11" s="20">
        <v>0</v>
      </c>
      <c r="AV11" s="21">
        <v>0</v>
      </c>
      <c r="AW11" s="139" t="str">
        <f t="shared" si="15"/>
        <v>-</v>
      </c>
      <c r="AX11" s="20">
        <v>0</v>
      </c>
      <c r="AY11" s="21">
        <v>0</v>
      </c>
      <c r="AZ11" s="139" t="str">
        <f t="shared" si="16"/>
        <v>-</v>
      </c>
      <c r="BA11" s="20">
        <v>0</v>
      </c>
      <c r="BB11" s="21">
        <v>0</v>
      </c>
      <c r="BC11" s="139" t="str">
        <f t="shared" si="17"/>
        <v>-</v>
      </c>
      <c r="BD11" s="20">
        <v>0</v>
      </c>
      <c r="BE11" s="21">
        <v>0</v>
      </c>
      <c r="BF11" s="139" t="str">
        <f t="shared" si="18"/>
        <v>-</v>
      </c>
      <c r="BG11" s="20">
        <v>0</v>
      </c>
      <c r="BH11" s="21">
        <v>0</v>
      </c>
      <c r="BI11" s="139" t="str">
        <f t="shared" si="19"/>
        <v>-</v>
      </c>
      <c r="BJ11" s="20">
        <v>0</v>
      </c>
      <c r="BK11" s="21">
        <v>0</v>
      </c>
      <c r="BL11" s="139" t="str">
        <f t="shared" si="20"/>
        <v>-</v>
      </c>
      <c r="BM11" s="20">
        <v>50</v>
      </c>
      <c r="BN11" s="21">
        <v>7</v>
      </c>
      <c r="BO11" s="139">
        <f t="shared" si="21"/>
        <v>7.1428571428571432</v>
      </c>
      <c r="BP11" s="20">
        <v>0</v>
      </c>
      <c r="BQ11" s="21">
        <v>0</v>
      </c>
      <c r="BR11" s="139" t="str">
        <f t="shared" si="22"/>
        <v>-</v>
      </c>
      <c r="BS11" s="20">
        <v>0</v>
      </c>
      <c r="BT11" s="21">
        <v>0</v>
      </c>
      <c r="BU11" s="139" t="str">
        <f t="shared" si="23"/>
        <v>-</v>
      </c>
      <c r="BV11" s="368">
        <v>0</v>
      </c>
      <c r="BW11" s="21">
        <v>0</v>
      </c>
      <c r="BX11" s="139" t="str">
        <f t="shared" si="24"/>
        <v>-</v>
      </c>
      <c r="BY11" s="20">
        <v>0</v>
      </c>
      <c r="BZ11" s="21">
        <v>0</v>
      </c>
      <c r="CA11" s="139" t="str">
        <f t="shared" si="25"/>
        <v>-</v>
      </c>
      <c r="CB11" s="375">
        <f t="shared" si="27"/>
        <v>73</v>
      </c>
      <c r="CC11" s="373">
        <f t="shared" si="28"/>
        <v>14</v>
      </c>
      <c r="CD11" s="26">
        <f t="shared" si="26"/>
        <v>5.2142857142857144</v>
      </c>
    </row>
    <row r="12" spans="1:82" ht="16.2" customHeight="1" x14ac:dyDescent="0.3">
      <c r="A12" s="294">
        <v>46061</v>
      </c>
      <c r="B12" s="20">
        <v>44</v>
      </c>
      <c r="C12" s="21">
        <v>6</v>
      </c>
      <c r="D12" s="139">
        <f t="shared" si="0"/>
        <v>7.333333333333333</v>
      </c>
      <c r="E12" s="125">
        <v>20</v>
      </c>
      <c r="F12" s="126">
        <v>3</v>
      </c>
      <c r="G12" s="139">
        <f t="shared" si="1"/>
        <v>6.666666666666667</v>
      </c>
      <c r="H12" s="125">
        <v>0</v>
      </c>
      <c r="I12" s="126">
        <v>0</v>
      </c>
      <c r="J12" s="139" t="str">
        <f t="shared" si="2"/>
        <v>-</v>
      </c>
      <c r="K12" s="125">
        <v>0</v>
      </c>
      <c r="L12" s="126">
        <v>0</v>
      </c>
      <c r="M12" s="139" t="str">
        <f t="shared" si="3"/>
        <v>-</v>
      </c>
      <c r="N12" s="125">
        <v>0</v>
      </c>
      <c r="O12" s="126">
        <v>0</v>
      </c>
      <c r="P12" s="139" t="str">
        <f t="shared" si="4"/>
        <v>-</v>
      </c>
      <c r="Q12" s="125">
        <v>0</v>
      </c>
      <c r="R12" s="126">
        <v>0</v>
      </c>
      <c r="S12" s="139" t="str">
        <f t="shared" si="5"/>
        <v>-</v>
      </c>
      <c r="T12" s="23">
        <v>0</v>
      </c>
      <c r="U12" s="21">
        <v>0</v>
      </c>
      <c r="V12" s="139" t="str">
        <f t="shared" si="6"/>
        <v>-</v>
      </c>
      <c r="W12" s="20">
        <v>0</v>
      </c>
      <c r="X12" s="21">
        <v>0</v>
      </c>
      <c r="Y12" s="139" t="str">
        <f t="shared" si="7"/>
        <v>-</v>
      </c>
      <c r="Z12" s="20">
        <v>0</v>
      </c>
      <c r="AA12" s="21">
        <v>0</v>
      </c>
      <c r="AB12" s="139" t="str">
        <f t="shared" si="8"/>
        <v>-</v>
      </c>
      <c r="AC12" s="20">
        <v>0</v>
      </c>
      <c r="AD12" s="21">
        <v>0</v>
      </c>
      <c r="AE12" s="139" t="str">
        <f t="shared" si="9"/>
        <v>-</v>
      </c>
      <c r="AF12" s="20">
        <v>0</v>
      </c>
      <c r="AG12" s="21">
        <v>0</v>
      </c>
      <c r="AH12" s="139" t="str">
        <f t="shared" si="10"/>
        <v>-</v>
      </c>
      <c r="AI12" s="20">
        <v>0</v>
      </c>
      <c r="AJ12" s="21">
        <v>0</v>
      </c>
      <c r="AK12" s="139" t="str">
        <f t="shared" si="11"/>
        <v>-</v>
      </c>
      <c r="AL12" s="23">
        <v>0</v>
      </c>
      <c r="AM12" s="21">
        <v>0</v>
      </c>
      <c r="AN12" s="139" t="str">
        <f t="shared" si="12"/>
        <v>-</v>
      </c>
      <c r="AO12" s="20">
        <v>0</v>
      </c>
      <c r="AP12" s="21">
        <v>0</v>
      </c>
      <c r="AQ12" s="139" t="str">
        <f t="shared" si="13"/>
        <v>-</v>
      </c>
      <c r="AR12" s="20">
        <v>12</v>
      </c>
      <c r="AS12" s="21">
        <v>2</v>
      </c>
      <c r="AT12" s="139">
        <f t="shared" si="14"/>
        <v>6</v>
      </c>
      <c r="AU12" s="20">
        <v>0</v>
      </c>
      <c r="AV12" s="21">
        <v>0</v>
      </c>
      <c r="AW12" s="139" t="str">
        <f t="shared" si="15"/>
        <v>-</v>
      </c>
      <c r="AX12" s="20">
        <v>0</v>
      </c>
      <c r="AY12" s="21">
        <v>0</v>
      </c>
      <c r="AZ12" s="139" t="str">
        <f t="shared" si="16"/>
        <v>-</v>
      </c>
      <c r="BA12" s="20">
        <v>5</v>
      </c>
      <c r="BB12" s="21">
        <v>1</v>
      </c>
      <c r="BC12" s="139">
        <f t="shared" si="17"/>
        <v>5</v>
      </c>
      <c r="BD12" s="20">
        <v>0</v>
      </c>
      <c r="BE12" s="21">
        <v>0</v>
      </c>
      <c r="BF12" s="139" t="str">
        <f t="shared" si="18"/>
        <v>-</v>
      </c>
      <c r="BG12" s="20">
        <v>0</v>
      </c>
      <c r="BH12" s="21">
        <v>0</v>
      </c>
      <c r="BI12" s="139" t="str">
        <f t="shared" si="19"/>
        <v>-</v>
      </c>
      <c r="BJ12" s="20">
        <v>0</v>
      </c>
      <c r="BK12" s="21">
        <v>0</v>
      </c>
      <c r="BL12" s="139" t="str">
        <f t="shared" si="20"/>
        <v>-</v>
      </c>
      <c r="BM12" s="20">
        <v>79</v>
      </c>
      <c r="BN12" s="21">
        <v>12</v>
      </c>
      <c r="BO12" s="139">
        <f t="shared" si="21"/>
        <v>6.583333333333333</v>
      </c>
      <c r="BP12" s="20">
        <v>0</v>
      </c>
      <c r="BQ12" s="21">
        <v>0</v>
      </c>
      <c r="BR12" s="139" t="str">
        <f t="shared" si="22"/>
        <v>-</v>
      </c>
      <c r="BS12" s="20">
        <v>0</v>
      </c>
      <c r="BT12" s="21">
        <v>0</v>
      </c>
      <c r="BU12" s="139" t="str">
        <f t="shared" si="23"/>
        <v>-</v>
      </c>
      <c r="BV12" s="368">
        <v>12</v>
      </c>
      <c r="BW12" s="21">
        <v>2</v>
      </c>
      <c r="BX12" s="139">
        <f t="shared" si="24"/>
        <v>6</v>
      </c>
      <c r="BY12" s="20">
        <v>0</v>
      </c>
      <c r="BZ12" s="21">
        <v>0</v>
      </c>
      <c r="CA12" s="139" t="str">
        <f t="shared" si="25"/>
        <v>-</v>
      </c>
      <c r="CB12" s="375">
        <f t="shared" si="27"/>
        <v>172</v>
      </c>
      <c r="CC12" s="373">
        <f t="shared" si="28"/>
        <v>26</v>
      </c>
      <c r="CD12" s="26">
        <f t="shared" si="26"/>
        <v>6.615384615384615</v>
      </c>
    </row>
    <row r="13" spans="1:82" x14ac:dyDescent="0.3">
      <c r="A13" s="294">
        <v>46062</v>
      </c>
      <c r="B13" s="20">
        <v>32</v>
      </c>
      <c r="C13" s="21">
        <v>5</v>
      </c>
      <c r="D13" s="139">
        <f t="shared" si="0"/>
        <v>6.4</v>
      </c>
      <c r="E13" s="125">
        <v>7</v>
      </c>
      <c r="F13" s="126">
        <v>1</v>
      </c>
      <c r="G13" s="139">
        <f t="shared" si="1"/>
        <v>7</v>
      </c>
      <c r="H13" s="125">
        <v>0</v>
      </c>
      <c r="I13" s="126">
        <v>0</v>
      </c>
      <c r="J13" s="139" t="str">
        <f t="shared" si="2"/>
        <v>-</v>
      </c>
      <c r="K13" s="125">
        <v>23</v>
      </c>
      <c r="L13" s="126">
        <v>3</v>
      </c>
      <c r="M13" s="139">
        <f t="shared" si="3"/>
        <v>7.666666666666667</v>
      </c>
      <c r="N13" s="125">
        <v>0</v>
      </c>
      <c r="O13" s="126">
        <v>0</v>
      </c>
      <c r="P13" s="139" t="str">
        <f t="shared" si="4"/>
        <v>-</v>
      </c>
      <c r="Q13" s="125">
        <v>0</v>
      </c>
      <c r="R13" s="126">
        <v>0</v>
      </c>
      <c r="S13" s="139" t="str">
        <f t="shared" si="5"/>
        <v>-</v>
      </c>
      <c r="T13" s="125">
        <v>46</v>
      </c>
      <c r="U13" s="126">
        <v>9</v>
      </c>
      <c r="V13" s="139">
        <f t="shared" si="6"/>
        <v>5.1111111111111107</v>
      </c>
      <c r="W13" s="20">
        <v>0</v>
      </c>
      <c r="X13" s="21">
        <v>0</v>
      </c>
      <c r="Y13" s="139" t="str">
        <f t="shared" si="7"/>
        <v>-</v>
      </c>
      <c r="Z13" s="125">
        <v>0</v>
      </c>
      <c r="AA13" s="126">
        <v>0</v>
      </c>
      <c r="AB13" s="139" t="str">
        <f t="shared" si="8"/>
        <v>-</v>
      </c>
      <c r="AC13" s="20">
        <v>107</v>
      </c>
      <c r="AD13" s="21">
        <v>22</v>
      </c>
      <c r="AE13" s="139">
        <f t="shared" si="9"/>
        <v>4.8636363636363633</v>
      </c>
      <c r="AF13" s="125">
        <v>0</v>
      </c>
      <c r="AG13" s="126">
        <v>0</v>
      </c>
      <c r="AH13" s="139" t="str">
        <f t="shared" si="10"/>
        <v>-</v>
      </c>
      <c r="AI13" s="125">
        <v>30</v>
      </c>
      <c r="AJ13" s="126">
        <v>6</v>
      </c>
      <c r="AK13" s="139">
        <f t="shared" si="11"/>
        <v>5</v>
      </c>
      <c r="AL13" s="125">
        <v>0</v>
      </c>
      <c r="AM13" s="126">
        <v>0</v>
      </c>
      <c r="AN13" s="139" t="str">
        <f t="shared" si="12"/>
        <v>-</v>
      </c>
      <c r="AO13" s="125">
        <v>0</v>
      </c>
      <c r="AP13" s="126">
        <v>0</v>
      </c>
      <c r="AQ13" s="139" t="str">
        <f t="shared" si="13"/>
        <v>-</v>
      </c>
      <c r="AR13" s="20">
        <v>17</v>
      </c>
      <c r="AS13" s="21">
        <v>3</v>
      </c>
      <c r="AT13" s="139">
        <f t="shared" si="14"/>
        <v>5.666666666666667</v>
      </c>
      <c r="AU13" s="20">
        <v>0</v>
      </c>
      <c r="AV13" s="21">
        <v>0</v>
      </c>
      <c r="AW13" s="139" t="str">
        <f t="shared" si="15"/>
        <v>-</v>
      </c>
      <c r="AX13" s="20">
        <v>0</v>
      </c>
      <c r="AY13" s="21">
        <v>0</v>
      </c>
      <c r="AZ13" s="139" t="str">
        <f t="shared" si="16"/>
        <v>-</v>
      </c>
      <c r="BA13" s="20">
        <v>0</v>
      </c>
      <c r="BB13" s="21">
        <v>0</v>
      </c>
      <c r="BC13" s="139" t="str">
        <f t="shared" si="17"/>
        <v>-</v>
      </c>
      <c r="BD13" s="20">
        <v>0</v>
      </c>
      <c r="BE13" s="21">
        <v>0</v>
      </c>
      <c r="BF13" s="139" t="str">
        <f t="shared" si="18"/>
        <v>-</v>
      </c>
      <c r="BG13" s="20">
        <v>11</v>
      </c>
      <c r="BH13" s="21">
        <v>3</v>
      </c>
      <c r="BI13" s="139">
        <f t="shared" si="19"/>
        <v>3.6666666666666665</v>
      </c>
      <c r="BJ13" s="20">
        <v>0</v>
      </c>
      <c r="BK13" s="21">
        <v>0</v>
      </c>
      <c r="BL13" s="139" t="str">
        <f t="shared" si="20"/>
        <v>-</v>
      </c>
      <c r="BM13" s="20">
        <v>24</v>
      </c>
      <c r="BN13" s="21">
        <v>4</v>
      </c>
      <c r="BO13" s="276">
        <f t="shared" si="21"/>
        <v>6</v>
      </c>
      <c r="BP13" s="20">
        <v>0</v>
      </c>
      <c r="BQ13" s="21">
        <v>0</v>
      </c>
      <c r="BR13" s="276" t="str">
        <f t="shared" si="22"/>
        <v>-</v>
      </c>
      <c r="BS13" s="20">
        <v>0</v>
      </c>
      <c r="BT13" s="21">
        <v>0</v>
      </c>
      <c r="BU13" s="276" t="str">
        <f t="shared" si="23"/>
        <v>-</v>
      </c>
      <c r="BV13" s="368">
        <v>6</v>
      </c>
      <c r="BW13" s="21">
        <v>1</v>
      </c>
      <c r="BX13" s="139">
        <f t="shared" si="24"/>
        <v>6</v>
      </c>
      <c r="BY13" s="20">
        <v>0</v>
      </c>
      <c r="BZ13" s="21">
        <v>0</v>
      </c>
      <c r="CA13" s="139" t="str">
        <f t="shared" si="25"/>
        <v>-</v>
      </c>
      <c r="CB13" s="375">
        <f t="shared" si="27"/>
        <v>303</v>
      </c>
      <c r="CC13" s="373">
        <f t="shared" si="28"/>
        <v>57</v>
      </c>
      <c r="CD13" s="26">
        <f t="shared" si="26"/>
        <v>5.3157894736842106</v>
      </c>
    </row>
    <row r="14" spans="1:82" x14ac:dyDescent="0.3">
      <c r="A14" s="294">
        <v>46063</v>
      </c>
      <c r="B14" s="20">
        <v>25</v>
      </c>
      <c r="C14" s="21">
        <v>4</v>
      </c>
      <c r="D14" s="139">
        <f t="shared" si="0"/>
        <v>6.25</v>
      </c>
      <c r="E14" s="20">
        <v>5</v>
      </c>
      <c r="F14" s="21">
        <v>1</v>
      </c>
      <c r="G14" s="139">
        <f t="shared" si="1"/>
        <v>5</v>
      </c>
      <c r="H14" s="20">
        <v>0</v>
      </c>
      <c r="I14" s="21">
        <v>0</v>
      </c>
      <c r="J14" s="139" t="str">
        <f t="shared" si="2"/>
        <v>-</v>
      </c>
      <c r="K14" s="20">
        <v>12</v>
      </c>
      <c r="L14" s="21">
        <v>2</v>
      </c>
      <c r="M14" s="139">
        <f t="shared" si="3"/>
        <v>6</v>
      </c>
      <c r="N14" s="125">
        <v>0</v>
      </c>
      <c r="O14" s="126">
        <v>0</v>
      </c>
      <c r="P14" s="139" t="str">
        <f t="shared" si="4"/>
        <v>-</v>
      </c>
      <c r="Q14" s="125">
        <v>0</v>
      </c>
      <c r="R14" s="126">
        <v>0</v>
      </c>
      <c r="S14" s="139" t="str">
        <f t="shared" si="5"/>
        <v>-</v>
      </c>
      <c r="T14" s="20">
        <v>31</v>
      </c>
      <c r="U14" s="21">
        <v>6</v>
      </c>
      <c r="V14" s="139">
        <f t="shared" si="6"/>
        <v>5.166666666666667</v>
      </c>
      <c r="W14" s="125">
        <v>0</v>
      </c>
      <c r="X14" s="126">
        <v>0</v>
      </c>
      <c r="Y14" s="139" t="str">
        <f t="shared" si="7"/>
        <v>-</v>
      </c>
      <c r="Z14" s="125">
        <v>0</v>
      </c>
      <c r="AA14" s="126">
        <v>0</v>
      </c>
      <c r="AB14" s="139" t="str">
        <f t="shared" si="8"/>
        <v>-</v>
      </c>
      <c r="AC14" s="125">
        <v>0</v>
      </c>
      <c r="AD14" s="126">
        <v>0</v>
      </c>
      <c r="AE14" s="139" t="str">
        <f t="shared" si="9"/>
        <v>-</v>
      </c>
      <c r="AF14" s="20">
        <v>0</v>
      </c>
      <c r="AG14" s="21">
        <v>0</v>
      </c>
      <c r="AH14" s="139" t="str">
        <f t="shared" si="10"/>
        <v>-</v>
      </c>
      <c r="AI14" s="125">
        <v>30</v>
      </c>
      <c r="AJ14" s="126">
        <v>6</v>
      </c>
      <c r="AK14" s="139">
        <f t="shared" si="11"/>
        <v>5</v>
      </c>
      <c r="AL14" s="125">
        <v>0</v>
      </c>
      <c r="AM14" s="126">
        <v>0</v>
      </c>
      <c r="AN14" s="139" t="str">
        <f t="shared" si="12"/>
        <v>-</v>
      </c>
      <c r="AO14" s="125">
        <v>0</v>
      </c>
      <c r="AP14" s="126">
        <v>0</v>
      </c>
      <c r="AQ14" s="139" t="str">
        <f t="shared" si="13"/>
        <v>-</v>
      </c>
      <c r="AR14" s="20">
        <v>0</v>
      </c>
      <c r="AS14" s="21">
        <v>0</v>
      </c>
      <c r="AT14" s="139" t="str">
        <f t="shared" si="14"/>
        <v>-</v>
      </c>
      <c r="AU14" s="20">
        <v>0</v>
      </c>
      <c r="AV14" s="21">
        <v>0</v>
      </c>
      <c r="AW14" s="139" t="str">
        <f t="shared" si="15"/>
        <v>-</v>
      </c>
      <c r="AX14" s="20">
        <v>0</v>
      </c>
      <c r="AY14" s="21">
        <v>0</v>
      </c>
      <c r="AZ14" s="139" t="str">
        <f t="shared" si="16"/>
        <v>-</v>
      </c>
      <c r="BA14" s="20">
        <v>0</v>
      </c>
      <c r="BB14" s="21">
        <v>0</v>
      </c>
      <c r="BC14" s="139" t="str">
        <f t="shared" si="17"/>
        <v>-</v>
      </c>
      <c r="BD14" s="20">
        <v>0</v>
      </c>
      <c r="BE14" s="21">
        <v>0</v>
      </c>
      <c r="BF14" s="139" t="str">
        <f t="shared" si="18"/>
        <v>-</v>
      </c>
      <c r="BG14" s="20">
        <v>11</v>
      </c>
      <c r="BH14" s="21">
        <v>3</v>
      </c>
      <c r="BI14" s="139">
        <f t="shared" si="19"/>
        <v>3.6666666666666665</v>
      </c>
      <c r="BJ14" s="20">
        <v>0</v>
      </c>
      <c r="BK14" s="21">
        <v>0</v>
      </c>
      <c r="BL14" s="139" t="str">
        <f t="shared" si="20"/>
        <v>-</v>
      </c>
      <c r="BM14" s="20">
        <v>18</v>
      </c>
      <c r="BN14" s="21">
        <v>3</v>
      </c>
      <c r="BO14" s="276">
        <f t="shared" si="21"/>
        <v>6</v>
      </c>
      <c r="BP14" s="20">
        <v>0</v>
      </c>
      <c r="BQ14" s="21">
        <v>0</v>
      </c>
      <c r="BR14" s="276" t="str">
        <f t="shared" si="22"/>
        <v>-</v>
      </c>
      <c r="BS14" s="20">
        <v>0</v>
      </c>
      <c r="BT14" s="21">
        <v>0</v>
      </c>
      <c r="BU14" s="276" t="str">
        <f t="shared" si="23"/>
        <v>-</v>
      </c>
      <c r="BV14" s="20">
        <v>0</v>
      </c>
      <c r="BW14" s="21">
        <v>0</v>
      </c>
      <c r="BX14" s="276" t="str">
        <f t="shared" si="24"/>
        <v>-</v>
      </c>
      <c r="BY14" s="20">
        <v>0</v>
      </c>
      <c r="BZ14" s="21">
        <v>0</v>
      </c>
      <c r="CA14" s="276" t="str">
        <f t="shared" si="25"/>
        <v>-</v>
      </c>
      <c r="CB14" s="375">
        <f t="shared" si="27"/>
        <v>132</v>
      </c>
      <c r="CC14" s="373">
        <f t="shared" si="28"/>
        <v>25</v>
      </c>
      <c r="CD14" s="26">
        <f t="shared" si="26"/>
        <v>5.28</v>
      </c>
    </row>
    <row r="15" spans="1:82" x14ac:dyDescent="0.3">
      <c r="A15" s="294">
        <v>46064</v>
      </c>
      <c r="B15" s="20">
        <v>92</v>
      </c>
      <c r="C15" s="21">
        <v>11</v>
      </c>
      <c r="D15" s="139">
        <f t="shared" si="0"/>
        <v>8.3636363636363633</v>
      </c>
      <c r="E15" s="20">
        <v>7</v>
      </c>
      <c r="F15" s="21">
        <v>1</v>
      </c>
      <c r="G15" s="139">
        <f t="shared" si="1"/>
        <v>7</v>
      </c>
      <c r="H15" s="20">
        <v>0</v>
      </c>
      <c r="I15" s="21">
        <v>0</v>
      </c>
      <c r="J15" s="139" t="str">
        <f t="shared" si="2"/>
        <v>-</v>
      </c>
      <c r="K15" s="20">
        <v>0</v>
      </c>
      <c r="L15" s="21">
        <v>0</v>
      </c>
      <c r="M15" s="139" t="str">
        <f t="shared" si="3"/>
        <v>-</v>
      </c>
      <c r="N15" s="125">
        <v>0</v>
      </c>
      <c r="O15" s="126">
        <v>0</v>
      </c>
      <c r="P15" s="139" t="str">
        <f t="shared" si="4"/>
        <v>-</v>
      </c>
      <c r="Q15" s="125">
        <v>0</v>
      </c>
      <c r="R15" s="126">
        <v>0</v>
      </c>
      <c r="S15" s="139" t="str">
        <f t="shared" si="5"/>
        <v>-</v>
      </c>
      <c r="T15" s="20">
        <v>35</v>
      </c>
      <c r="U15" s="21">
        <v>6</v>
      </c>
      <c r="V15" s="139">
        <f t="shared" si="6"/>
        <v>5.833333333333333</v>
      </c>
      <c r="W15" s="125">
        <v>0</v>
      </c>
      <c r="X15" s="126">
        <v>0</v>
      </c>
      <c r="Y15" s="139" t="str">
        <f t="shared" si="7"/>
        <v>-</v>
      </c>
      <c r="Z15" s="125">
        <v>0</v>
      </c>
      <c r="AA15" s="126">
        <v>0</v>
      </c>
      <c r="AB15" s="139" t="str">
        <f t="shared" si="8"/>
        <v>-</v>
      </c>
      <c r="AC15" s="125">
        <v>0</v>
      </c>
      <c r="AD15" s="126">
        <v>0</v>
      </c>
      <c r="AE15" s="139" t="str">
        <f t="shared" si="9"/>
        <v>-</v>
      </c>
      <c r="AF15" s="20">
        <v>0</v>
      </c>
      <c r="AG15" s="21">
        <v>0</v>
      </c>
      <c r="AH15" s="139" t="str">
        <f t="shared" si="10"/>
        <v>-</v>
      </c>
      <c r="AI15" s="23">
        <v>53</v>
      </c>
      <c r="AJ15" s="21">
        <v>11</v>
      </c>
      <c r="AK15" s="139">
        <f t="shared" si="11"/>
        <v>4.8181818181818183</v>
      </c>
      <c r="AL15" s="23">
        <v>0</v>
      </c>
      <c r="AM15" s="21">
        <v>0</v>
      </c>
      <c r="AN15" s="139" t="str">
        <f t="shared" si="12"/>
        <v>-</v>
      </c>
      <c r="AO15" s="125">
        <v>0</v>
      </c>
      <c r="AP15" s="126">
        <v>0</v>
      </c>
      <c r="AQ15" s="139" t="str">
        <f t="shared" si="13"/>
        <v>-</v>
      </c>
      <c r="AR15" s="2">
        <v>18</v>
      </c>
      <c r="AS15" s="21">
        <v>3</v>
      </c>
      <c r="AT15" s="139">
        <f t="shared" si="14"/>
        <v>6</v>
      </c>
      <c r="AU15" s="20">
        <v>0</v>
      </c>
      <c r="AV15" s="21">
        <v>0</v>
      </c>
      <c r="AW15" s="139" t="str">
        <f t="shared" si="15"/>
        <v>-</v>
      </c>
      <c r="AX15" s="20">
        <v>0</v>
      </c>
      <c r="AY15" s="21">
        <v>0</v>
      </c>
      <c r="AZ15" s="139" t="str">
        <f t="shared" si="16"/>
        <v>-</v>
      </c>
      <c r="BA15" s="20">
        <v>13</v>
      </c>
      <c r="BB15" s="21">
        <v>3</v>
      </c>
      <c r="BC15" s="139">
        <f t="shared" si="17"/>
        <v>4.333333333333333</v>
      </c>
      <c r="BD15" s="20">
        <v>0</v>
      </c>
      <c r="BE15" s="21">
        <v>0</v>
      </c>
      <c r="BF15" s="139" t="str">
        <f t="shared" si="18"/>
        <v>-</v>
      </c>
      <c r="BG15" s="20">
        <v>0</v>
      </c>
      <c r="BH15" s="21">
        <v>0</v>
      </c>
      <c r="BI15" s="139" t="str">
        <f t="shared" si="19"/>
        <v>-</v>
      </c>
      <c r="BJ15" s="20">
        <v>0</v>
      </c>
      <c r="BK15" s="21">
        <v>0</v>
      </c>
      <c r="BL15" s="139" t="str">
        <f t="shared" si="20"/>
        <v>-</v>
      </c>
      <c r="BM15" s="20">
        <v>25</v>
      </c>
      <c r="BN15" s="21">
        <v>4</v>
      </c>
      <c r="BO15" s="276">
        <f t="shared" si="21"/>
        <v>6.25</v>
      </c>
      <c r="BP15" s="20">
        <v>0</v>
      </c>
      <c r="BQ15" s="21">
        <v>0</v>
      </c>
      <c r="BR15" s="276" t="str">
        <f t="shared" si="22"/>
        <v>-</v>
      </c>
      <c r="BS15" s="20">
        <v>0</v>
      </c>
      <c r="BT15" s="21">
        <v>0</v>
      </c>
      <c r="BU15" s="276" t="str">
        <f t="shared" si="23"/>
        <v>-</v>
      </c>
      <c r="BV15" s="368">
        <v>7</v>
      </c>
      <c r="BW15" s="21">
        <v>1</v>
      </c>
      <c r="BX15" s="276">
        <f t="shared" si="24"/>
        <v>7</v>
      </c>
      <c r="BY15" s="20">
        <v>0</v>
      </c>
      <c r="BZ15" s="21">
        <v>0</v>
      </c>
      <c r="CA15" s="276" t="str">
        <f t="shared" si="25"/>
        <v>-</v>
      </c>
      <c r="CB15" s="375">
        <f t="shared" si="27"/>
        <v>250</v>
      </c>
      <c r="CC15" s="373">
        <f t="shared" si="28"/>
        <v>40</v>
      </c>
      <c r="CD15" s="26">
        <f t="shared" si="26"/>
        <v>6.25</v>
      </c>
    </row>
    <row r="16" spans="1:82" x14ac:dyDescent="0.3">
      <c r="A16" s="294">
        <v>46065</v>
      </c>
      <c r="B16" s="20">
        <v>50</v>
      </c>
      <c r="C16" s="21">
        <v>6</v>
      </c>
      <c r="D16" s="139">
        <f t="shared" si="0"/>
        <v>8.3333333333333339</v>
      </c>
      <c r="E16" s="20">
        <v>8</v>
      </c>
      <c r="F16" s="21">
        <v>1</v>
      </c>
      <c r="G16" s="139">
        <f t="shared" si="1"/>
        <v>8</v>
      </c>
      <c r="H16" s="20">
        <v>0</v>
      </c>
      <c r="I16" s="21">
        <v>0</v>
      </c>
      <c r="J16" s="139" t="str">
        <f t="shared" si="2"/>
        <v>-</v>
      </c>
      <c r="K16" s="20">
        <v>8</v>
      </c>
      <c r="L16" s="21">
        <v>1</v>
      </c>
      <c r="M16" s="139">
        <f t="shared" si="3"/>
        <v>8</v>
      </c>
      <c r="N16" s="125">
        <v>0</v>
      </c>
      <c r="O16" s="126">
        <v>0</v>
      </c>
      <c r="P16" s="139" t="str">
        <f t="shared" si="4"/>
        <v>-</v>
      </c>
      <c r="Q16" s="125">
        <v>0</v>
      </c>
      <c r="R16" s="126">
        <v>0</v>
      </c>
      <c r="S16" s="139" t="str">
        <f t="shared" si="5"/>
        <v>-</v>
      </c>
      <c r="T16" s="125">
        <v>45</v>
      </c>
      <c r="U16" s="126">
        <v>8</v>
      </c>
      <c r="V16" s="139">
        <f t="shared" si="6"/>
        <v>5.625</v>
      </c>
      <c r="W16" s="20">
        <v>0</v>
      </c>
      <c r="X16" s="21">
        <v>0</v>
      </c>
      <c r="Y16" s="139" t="str">
        <f t="shared" si="7"/>
        <v>-</v>
      </c>
      <c r="Z16" s="20">
        <v>0</v>
      </c>
      <c r="AA16" s="21">
        <v>0</v>
      </c>
      <c r="AB16" s="139" t="str">
        <f t="shared" si="8"/>
        <v>-</v>
      </c>
      <c r="AC16" s="20">
        <v>0</v>
      </c>
      <c r="AD16" s="21">
        <v>0</v>
      </c>
      <c r="AE16" s="139" t="str">
        <f t="shared" si="9"/>
        <v>-</v>
      </c>
      <c r="AF16" s="20">
        <v>0</v>
      </c>
      <c r="AG16" s="21">
        <v>0</v>
      </c>
      <c r="AH16" s="139" t="str">
        <f t="shared" si="10"/>
        <v>-</v>
      </c>
      <c r="AI16" s="20">
        <v>18</v>
      </c>
      <c r="AJ16" s="21">
        <v>4</v>
      </c>
      <c r="AK16" s="139">
        <f t="shared" si="11"/>
        <v>4.5</v>
      </c>
      <c r="AL16" s="20">
        <v>0</v>
      </c>
      <c r="AM16" s="21">
        <v>0</v>
      </c>
      <c r="AN16" s="139" t="str">
        <f t="shared" si="12"/>
        <v>-</v>
      </c>
      <c r="AO16" s="20">
        <v>0</v>
      </c>
      <c r="AP16" s="21">
        <v>0</v>
      </c>
      <c r="AQ16" s="139" t="str">
        <f t="shared" si="13"/>
        <v>-</v>
      </c>
      <c r="AR16" s="20">
        <v>18</v>
      </c>
      <c r="AS16" s="21">
        <v>3</v>
      </c>
      <c r="AT16" s="139">
        <f t="shared" si="14"/>
        <v>6</v>
      </c>
      <c r="AU16" s="20">
        <v>0</v>
      </c>
      <c r="AV16" s="21">
        <v>0</v>
      </c>
      <c r="AW16" s="139" t="str">
        <f t="shared" si="15"/>
        <v>-</v>
      </c>
      <c r="AX16" s="20">
        <v>0</v>
      </c>
      <c r="AY16" s="21">
        <v>0</v>
      </c>
      <c r="AZ16" s="139" t="str">
        <f t="shared" si="16"/>
        <v>-</v>
      </c>
      <c r="BA16" s="20">
        <v>0</v>
      </c>
      <c r="BB16" s="21">
        <v>0</v>
      </c>
      <c r="BC16" s="139" t="str">
        <f t="shared" si="17"/>
        <v>-</v>
      </c>
      <c r="BD16" s="20">
        <v>0</v>
      </c>
      <c r="BE16" s="21">
        <v>0</v>
      </c>
      <c r="BF16" s="139" t="str">
        <f t="shared" si="18"/>
        <v>-</v>
      </c>
      <c r="BG16" s="20">
        <v>11</v>
      </c>
      <c r="BH16" s="21">
        <v>3</v>
      </c>
      <c r="BI16" s="139">
        <f t="shared" si="19"/>
        <v>3.6666666666666665</v>
      </c>
      <c r="BJ16" s="20">
        <v>0</v>
      </c>
      <c r="BK16" s="21">
        <v>0</v>
      </c>
      <c r="BL16" s="139" t="str">
        <f t="shared" si="20"/>
        <v>-</v>
      </c>
      <c r="BM16" s="20">
        <v>12</v>
      </c>
      <c r="BN16" s="21">
        <v>2</v>
      </c>
      <c r="BO16" s="276">
        <f t="shared" si="21"/>
        <v>6</v>
      </c>
      <c r="BP16" s="20">
        <v>0</v>
      </c>
      <c r="BQ16" s="21">
        <v>0</v>
      </c>
      <c r="BR16" s="276" t="str">
        <f t="shared" si="22"/>
        <v>-</v>
      </c>
      <c r="BS16" s="354">
        <v>0</v>
      </c>
      <c r="BT16" s="271">
        <v>0</v>
      </c>
      <c r="BU16" s="276" t="str">
        <f t="shared" si="23"/>
        <v>-</v>
      </c>
      <c r="BV16" s="368">
        <v>0</v>
      </c>
      <c r="BW16" s="21">
        <v>0</v>
      </c>
      <c r="BX16" s="276" t="str">
        <f t="shared" si="24"/>
        <v>-</v>
      </c>
      <c r="BY16" s="20">
        <v>0</v>
      </c>
      <c r="BZ16" s="21">
        <v>0</v>
      </c>
      <c r="CA16" s="276" t="str">
        <f t="shared" si="25"/>
        <v>-</v>
      </c>
      <c r="CB16" s="375">
        <f t="shared" si="27"/>
        <v>170</v>
      </c>
      <c r="CC16" s="373">
        <f t="shared" si="28"/>
        <v>28</v>
      </c>
      <c r="CD16" s="26">
        <f t="shared" si="26"/>
        <v>6.0714285714285712</v>
      </c>
    </row>
    <row r="17" spans="1:82" x14ac:dyDescent="0.3">
      <c r="A17" s="294">
        <v>46066</v>
      </c>
      <c r="B17" s="20">
        <v>32</v>
      </c>
      <c r="C17" s="21">
        <v>4</v>
      </c>
      <c r="D17" s="139">
        <f t="shared" si="0"/>
        <v>8</v>
      </c>
      <c r="E17" s="20">
        <v>8</v>
      </c>
      <c r="F17" s="21">
        <v>1</v>
      </c>
      <c r="G17" s="139">
        <f t="shared" si="1"/>
        <v>8</v>
      </c>
      <c r="H17" s="20">
        <v>0</v>
      </c>
      <c r="I17" s="21">
        <v>0</v>
      </c>
      <c r="J17" s="139" t="str">
        <f t="shared" si="2"/>
        <v>-</v>
      </c>
      <c r="K17" s="20">
        <v>0</v>
      </c>
      <c r="L17" s="21">
        <v>0</v>
      </c>
      <c r="M17" s="139" t="str">
        <f t="shared" si="3"/>
        <v>-</v>
      </c>
      <c r="N17" s="125">
        <v>0</v>
      </c>
      <c r="O17" s="126">
        <v>0</v>
      </c>
      <c r="P17" s="139" t="str">
        <f t="shared" si="4"/>
        <v>-</v>
      </c>
      <c r="Q17" s="125">
        <v>67</v>
      </c>
      <c r="R17" s="126">
        <v>7</v>
      </c>
      <c r="S17" s="139">
        <f t="shared" si="5"/>
        <v>9.5714285714285712</v>
      </c>
      <c r="T17" s="125">
        <v>56</v>
      </c>
      <c r="U17" s="126">
        <v>10</v>
      </c>
      <c r="V17" s="139">
        <f t="shared" si="6"/>
        <v>5.6</v>
      </c>
      <c r="W17" s="20">
        <v>0</v>
      </c>
      <c r="X17" s="21">
        <v>0</v>
      </c>
      <c r="Y17" s="139" t="str">
        <f t="shared" si="7"/>
        <v>-</v>
      </c>
      <c r="Z17" s="20">
        <v>0</v>
      </c>
      <c r="AA17" s="21">
        <v>0</v>
      </c>
      <c r="AB17" s="139" t="str">
        <f t="shared" si="8"/>
        <v>-</v>
      </c>
      <c r="AC17" s="20">
        <v>0</v>
      </c>
      <c r="AD17" s="21">
        <v>0</v>
      </c>
      <c r="AE17" s="139" t="str">
        <f t="shared" si="9"/>
        <v>-</v>
      </c>
      <c r="AF17" s="20">
        <v>0</v>
      </c>
      <c r="AG17" s="21">
        <v>0</v>
      </c>
      <c r="AH17" s="139" t="str">
        <f t="shared" si="10"/>
        <v>-</v>
      </c>
      <c r="AI17" s="20">
        <v>0</v>
      </c>
      <c r="AJ17" s="21">
        <v>0</v>
      </c>
      <c r="AK17" s="139" t="str">
        <f t="shared" si="11"/>
        <v>-</v>
      </c>
      <c r="AL17" s="20">
        <v>0</v>
      </c>
      <c r="AM17" s="21">
        <v>0</v>
      </c>
      <c r="AN17" s="139" t="str">
        <f t="shared" si="12"/>
        <v>-</v>
      </c>
      <c r="AO17" s="20">
        <v>0</v>
      </c>
      <c r="AP17" s="21">
        <v>0</v>
      </c>
      <c r="AQ17" s="139" t="str">
        <f t="shared" si="13"/>
        <v>-</v>
      </c>
      <c r="AR17" s="20">
        <v>6</v>
      </c>
      <c r="AS17" s="21">
        <v>1</v>
      </c>
      <c r="AT17" s="139">
        <f t="shared" si="14"/>
        <v>6</v>
      </c>
      <c r="AU17" s="20">
        <v>0</v>
      </c>
      <c r="AV17" s="21">
        <v>0</v>
      </c>
      <c r="AW17" s="139" t="str">
        <f t="shared" si="15"/>
        <v>-</v>
      </c>
      <c r="AX17" s="20">
        <v>0</v>
      </c>
      <c r="AY17" s="21">
        <v>0</v>
      </c>
      <c r="AZ17" s="139" t="str">
        <f t="shared" si="16"/>
        <v>-</v>
      </c>
      <c r="BA17" s="20">
        <v>3</v>
      </c>
      <c r="BB17" s="21">
        <v>1</v>
      </c>
      <c r="BC17" s="139">
        <f t="shared" si="17"/>
        <v>3</v>
      </c>
      <c r="BD17" s="20">
        <v>0</v>
      </c>
      <c r="BE17" s="21">
        <v>0</v>
      </c>
      <c r="BF17" s="139" t="str">
        <f t="shared" si="18"/>
        <v>-</v>
      </c>
      <c r="BG17" s="20">
        <v>2</v>
      </c>
      <c r="BH17" s="21">
        <v>1</v>
      </c>
      <c r="BI17" s="139">
        <f t="shared" si="19"/>
        <v>2</v>
      </c>
      <c r="BJ17" s="20">
        <v>0</v>
      </c>
      <c r="BK17" s="21">
        <v>0</v>
      </c>
      <c r="BL17" s="139" t="str">
        <f t="shared" si="20"/>
        <v>-</v>
      </c>
      <c r="BM17" s="20">
        <v>12</v>
      </c>
      <c r="BN17" s="21">
        <v>2</v>
      </c>
      <c r="BO17" s="276">
        <f t="shared" si="21"/>
        <v>6</v>
      </c>
      <c r="BP17" s="20">
        <v>0</v>
      </c>
      <c r="BQ17" s="21">
        <v>0</v>
      </c>
      <c r="BR17" s="276" t="str">
        <f t="shared" si="22"/>
        <v>-</v>
      </c>
      <c r="BS17" s="20">
        <v>0</v>
      </c>
      <c r="BT17" s="21">
        <v>0</v>
      </c>
      <c r="BU17" s="276" t="str">
        <f t="shared" si="23"/>
        <v>-</v>
      </c>
      <c r="BV17" s="368">
        <v>6</v>
      </c>
      <c r="BW17" s="21">
        <v>1</v>
      </c>
      <c r="BX17" s="276">
        <f t="shared" si="24"/>
        <v>6</v>
      </c>
      <c r="BY17" s="20">
        <v>0</v>
      </c>
      <c r="BZ17" s="21">
        <v>0</v>
      </c>
      <c r="CA17" s="276" t="str">
        <f t="shared" si="25"/>
        <v>-</v>
      </c>
      <c r="CB17" s="375">
        <f t="shared" si="27"/>
        <v>192</v>
      </c>
      <c r="CC17" s="373">
        <f t="shared" si="28"/>
        <v>28</v>
      </c>
      <c r="CD17" s="26">
        <f t="shared" si="26"/>
        <v>6.8571428571428568</v>
      </c>
    </row>
    <row r="18" spans="1:82" x14ac:dyDescent="0.3">
      <c r="A18" s="294">
        <v>46067</v>
      </c>
      <c r="B18" s="20">
        <v>0</v>
      </c>
      <c r="C18" s="21">
        <v>0</v>
      </c>
      <c r="D18" s="139" t="str">
        <f t="shared" si="0"/>
        <v>-</v>
      </c>
      <c r="E18" s="20">
        <v>0</v>
      </c>
      <c r="F18" s="21">
        <v>0</v>
      </c>
      <c r="G18" s="139" t="str">
        <f t="shared" si="1"/>
        <v>-</v>
      </c>
      <c r="H18" s="20">
        <v>24</v>
      </c>
      <c r="I18" s="21">
        <v>4</v>
      </c>
      <c r="J18" s="139">
        <f t="shared" si="2"/>
        <v>6</v>
      </c>
      <c r="K18" s="20">
        <v>0</v>
      </c>
      <c r="L18" s="21">
        <v>0</v>
      </c>
      <c r="M18" s="139" t="str">
        <f t="shared" si="3"/>
        <v>-</v>
      </c>
      <c r="N18" s="125">
        <v>0</v>
      </c>
      <c r="O18" s="126">
        <v>0</v>
      </c>
      <c r="P18" s="139" t="str">
        <f t="shared" si="4"/>
        <v>-</v>
      </c>
      <c r="Q18" s="125">
        <v>81</v>
      </c>
      <c r="R18" s="126">
        <v>9</v>
      </c>
      <c r="S18" s="139">
        <f t="shared" si="5"/>
        <v>9</v>
      </c>
      <c r="T18" s="125">
        <v>0</v>
      </c>
      <c r="U18" s="126">
        <v>0</v>
      </c>
      <c r="V18" s="139" t="str">
        <f t="shared" si="6"/>
        <v>-</v>
      </c>
      <c r="W18" s="125">
        <v>0</v>
      </c>
      <c r="X18" s="126">
        <v>0</v>
      </c>
      <c r="Y18" s="139" t="str">
        <f t="shared" si="7"/>
        <v>-</v>
      </c>
      <c r="Z18" s="125">
        <v>0</v>
      </c>
      <c r="AA18" s="126">
        <v>0</v>
      </c>
      <c r="AB18" s="139" t="str">
        <f t="shared" si="8"/>
        <v>-</v>
      </c>
      <c r="AC18" s="125">
        <v>0</v>
      </c>
      <c r="AD18" s="126">
        <v>0</v>
      </c>
      <c r="AE18" s="139" t="str">
        <f t="shared" si="9"/>
        <v>-</v>
      </c>
      <c r="AF18" s="125">
        <v>0</v>
      </c>
      <c r="AG18" s="126">
        <v>0</v>
      </c>
      <c r="AH18" s="139" t="str">
        <f t="shared" si="10"/>
        <v>-</v>
      </c>
      <c r="AI18" s="356">
        <v>0</v>
      </c>
      <c r="AJ18" s="126">
        <v>0</v>
      </c>
      <c r="AK18" s="139" t="str">
        <f t="shared" si="11"/>
        <v>-</v>
      </c>
      <c r="AL18" s="125">
        <v>0</v>
      </c>
      <c r="AM18" s="126">
        <v>0</v>
      </c>
      <c r="AN18" s="139" t="str">
        <f t="shared" si="12"/>
        <v>-</v>
      </c>
      <c r="AO18" s="125">
        <v>0</v>
      </c>
      <c r="AP18" s="126">
        <v>0</v>
      </c>
      <c r="AQ18" s="139" t="str">
        <f t="shared" si="13"/>
        <v>-</v>
      </c>
      <c r="AR18" s="125">
        <v>0</v>
      </c>
      <c r="AS18" s="126">
        <v>0</v>
      </c>
      <c r="AT18" s="139" t="str">
        <f t="shared" si="14"/>
        <v>-</v>
      </c>
      <c r="AU18" s="20">
        <v>0</v>
      </c>
      <c r="AV18" s="21">
        <v>0</v>
      </c>
      <c r="AW18" s="139" t="str">
        <f t="shared" si="15"/>
        <v>-</v>
      </c>
      <c r="AX18" s="20">
        <v>0</v>
      </c>
      <c r="AY18" s="21">
        <v>0</v>
      </c>
      <c r="AZ18" s="139" t="str">
        <f t="shared" si="16"/>
        <v>-</v>
      </c>
      <c r="BA18" s="20">
        <v>0</v>
      </c>
      <c r="BB18" s="21">
        <v>0</v>
      </c>
      <c r="BC18" s="139" t="str">
        <f t="shared" si="17"/>
        <v>-</v>
      </c>
      <c r="BD18" s="20">
        <v>0</v>
      </c>
      <c r="BE18" s="21">
        <v>0</v>
      </c>
      <c r="BF18" s="139" t="str">
        <f t="shared" si="18"/>
        <v>-</v>
      </c>
      <c r="BG18" s="20">
        <v>0</v>
      </c>
      <c r="BH18" s="21">
        <v>0</v>
      </c>
      <c r="BI18" s="139" t="str">
        <f>IF(BH18=0,"-",BG18/BH18)</f>
        <v>-</v>
      </c>
      <c r="BJ18" s="20">
        <v>0</v>
      </c>
      <c r="BK18" s="21">
        <v>0</v>
      </c>
      <c r="BL18" s="139" t="str">
        <f t="shared" si="20"/>
        <v>-</v>
      </c>
      <c r="BM18" s="270">
        <v>23</v>
      </c>
      <c r="BN18" s="271">
        <v>4</v>
      </c>
      <c r="BO18" s="276">
        <f t="shared" si="21"/>
        <v>5.75</v>
      </c>
      <c r="BP18" s="20">
        <v>0</v>
      </c>
      <c r="BQ18" s="21">
        <v>0</v>
      </c>
      <c r="BR18" s="276" t="str">
        <f t="shared" si="22"/>
        <v>-</v>
      </c>
      <c r="BS18" s="20">
        <v>0</v>
      </c>
      <c r="BT18" s="21">
        <v>0</v>
      </c>
      <c r="BU18" s="276" t="str">
        <f t="shared" si="23"/>
        <v>-</v>
      </c>
      <c r="BV18" s="368">
        <v>0</v>
      </c>
      <c r="BW18" s="21">
        <v>0</v>
      </c>
      <c r="BX18" s="276" t="str">
        <f t="shared" si="24"/>
        <v>-</v>
      </c>
      <c r="BY18" s="20">
        <v>0</v>
      </c>
      <c r="BZ18" s="21">
        <v>0</v>
      </c>
      <c r="CA18" s="276" t="str">
        <f t="shared" si="25"/>
        <v>-</v>
      </c>
      <c r="CB18" s="375">
        <f t="shared" si="27"/>
        <v>128</v>
      </c>
      <c r="CC18" s="373">
        <f t="shared" si="28"/>
        <v>17</v>
      </c>
      <c r="CD18" s="26">
        <f t="shared" si="26"/>
        <v>7.5294117647058822</v>
      </c>
    </row>
    <row r="19" spans="1:82" ht="15" customHeight="1" x14ac:dyDescent="0.3">
      <c r="A19" s="294">
        <v>46068</v>
      </c>
      <c r="B19" s="20">
        <v>51</v>
      </c>
      <c r="C19" s="21">
        <v>6</v>
      </c>
      <c r="D19" s="139">
        <f t="shared" si="0"/>
        <v>8.5</v>
      </c>
      <c r="E19" s="20">
        <v>0</v>
      </c>
      <c r="F19" s="21">
        <v>0</v>
      </c>
      <c r="G19" s="139" t="str">
        <f t="shared" si="1"/>
        <v>-</v>
      </c>
      <c r="H19" s="20">
        <v>11</v>
      </c>
      <c r="I19" s="21">
        <v>2</v>
      </c>
      <c r="J19" s="139">
        <f t="shared" si="2"/>
        <v>5.5</v>
      </c>
      <c r="K19" s="20">
        <v>0</v>
      </c>
      <c r="L19" s="21">
        <v>0</v>
      </c>
      <c r="M19" s="139" t="str">
        <f t="shared" si="3"/>
        <v>-</v>
      </c>
      <c r="N19" s="125">
        <v>0</v>
      </c>
      <c r="O19" s="126">
        <v>0</v>
      </c>
      <c r="P19" s="139" t="str">
        <f t="shared" si="4"/>
        <v>-</v>
      </c>
      <c r="Q19" s="125">
        <v>90</v>
      </c>
      <c r="R19" s="126">
        <v>10</v>
      </c>
      <c r="S19" s="139">
        <f t="shared" si="5"/>
        <v>9</v>
      </c>
      <c r="T19" s="125">
        <v>0</v>
      </c>
      <c r="U19" s="126">
        <v>0</v>
      </c>
      <c r="V19" s="139" t="str">
        <f t="shared" si="6"/>
        <v>-</v>
      </c>
      <c r="W19" s="125">
        <v>0</v>
      </c>
      <c r="X19" s="126">
        <v>0</v>
      </c>
      <c r="Y19" s="139" t="str">
        <f t="shared" si="7"/>
        <v>-</v>
      </c>
      <c r="Z19" s="125">
        <v>0</v>
      </c>
      <c r="AA19" s="126">
        <v>0</v>
      </c>
      <c r="AB19" s="139" t="str">
        <f t="shared" si="8"/>
        <v>-</v>
      </c>
      <c r="AC19" s="125">
        <v>0</v>
      </c>
      <c r="AD19" s="126">
        <v>0</v>
      </c>
      <c r="AE19" s="139" t="str">
        <f t="shared" si="9"/>
        <v>-</v>
      </c>
      <c r="AF19" s="125">
        <v>0</v>
      </c>
      <c r="AG19" s="126">
        <v>0</v>
      </c>
      <c r="AH19" s="139" t="str">
        <f t="shared" si="10"/>
        <v>-</v>
      </c>
      <c r="AI19" s="125">
        <v>0</v>
      </c>
      <c r="AJ19" s="126">
        <v>0</v>
      </c>
      <c r="AK19" s="139" t="str">
        <f t="shared" si="11"/>
        <v>-</v>
      </c>
      <c r="AL19" s="125">
        <v>0</v>
      </c>
      <c r="AM19" s="126">
        <v>0</v>
      </c>
      <c r="AN19" s="139" t="str">
        <f t="shared" si="12"/>
        <v>-</v>
      </c>
      <c r="AO19" s="125">
        <v>0</v>
      </c>
      <c r="AP19" s="126">
        <v>0</v>
      </c>
      <c r="AQ19" s="139" t="str">
        <f t="shared" si="13"/>
        <v>-</v>
      </c>
      <c r="AR19" s="125">
        <v>12</v>
      </c>
      <c r="AS19" s="126">
        <v>2</v>
      </c>
      <c r="AT19" s="139">
        <f t="shared" si="14"/>
        <v>6</v>
      </c>
      <c r="AU19" s="20">
        <v>0</v>
      </c>
      <c r="AV19" s="21">
        <v>0</v>
      </c>
      <c r="AW19" s="139" t="str">
        <f t="shared" si="15"/>
        <v>-</v>
      </c>
      <c r="AX19" s="20">
        <v>0</v>
      </c>
      <c r="AY19" s="21">
        <v>0</v>
      </c>
      <c r="AZ19" s="139" t="str">
        <f t="shared" si="16"/>
        <v>-</v>
      </c>
      <c r="BA19" s="20">
        <v>0</v>
      </c>
      <c r="BB19" s="21">
        <v>0</v>
      </c>
      <c r="BC19" s="139" t="str">
        <f t="shared" si="17"/>
        <v>-</v>
      </c>
      <c r="BD19" s="20">
        <v>0</v>
      </c>
      <c r="BE19" s="21">
        <v>0</v>
      </c>
      <c r="BF19" s="139" t="str">
        <f t="shared" si="18"/>
        <v>-</v>
      </c>
      <c r="BG19" s="20">
        <v>0</v>
      </c>
      <c r="BH19" s="21">
        <v>0</v>
      </c>
      <c r="BI19" s="139" t="str">
        <f>IF(BH19=0,"-",BG19/BH19)</f>
        <v>-</v>
      </c>
      <c r="BJ19" s="20">
        <v>0</v>
      </c>
      <c r="BK19" s="21">
        <v>0</v>
      </c>
      <c r="BL19" s="139" t="str">
        <f t="shared" si="20"/>
        <v>-</v>
      </c>
      <c r="BM19" s="20">
        <v>0</v>
      </c>
      <c r="BN19" s="21">
        <v>0</v>
      </c>
      <c r="BO19" s="276" t="str">
        <f t="shared" si="21"/>
        <v>-</v>
      </c>
      <c r="BP19" s="20">
        <v>0</v>
      </c>
      <c r="BQ19" s="21">
        <v>0</v>
      </c>
      <c r="BR19" s="276" t="str">
        <f t="shared" si="22"/>
        <v>-</v>
      </c>
      <c r="BS19" s="20">
        <v>0</v>
      </c>
      <c r="BT19" s="21">
        <v>0</v>
      </c>
      <c r="BU19" s="276" t="str">
        <f t="shared" si="23"/>
        <v>-</v>
      </c>
      <c r="BV19" s="368">
        <v>0</v>
      </c>
      <c r="BW19" s="21">
        <v>0</v>
      </c>
      <c r="BX19" s="276" t="str">
        <f t="shared" si="24"/>
        <v>-</v>
      </c>
      <c r="BY19" s="20">
        <v>0</v>
      </c>
      <c r="BZ19" s="21">
        <v>0</v>
      </c>
      <c r="CA19" s="276" t="str">
        <f t="shared" si="25"/>
        <v>-</v>
      </c>
      <c r="CB19" s="375">
        <f t="shared" si="27"/>
        <v>164</v>
      </c>
      <c r="CC19" s="373">
        <f t="shared" si="28"/>
        <v>20</v>
      </c>
      <c r="CD19" s="26">
        <f t="shared" si="26"/>
        <v>8.1999999999999993</v>
      </c>
    </row>
    <row r="20" spans="1:82" x14ac:dyDescent="0.3">
      <c r="A20" s="294">
        <v>46069</v>
      </c>
      <c r="B20" s="20">
        <v>32</v>
      </c>
      <c r="C20" s="21">
        <v>4</v>
      </c>
      <c r="D20" s="139">
        <f t="shared" si="0"/>
        <v>8</v>
      </c>
      <c r="E20" s="20">
        <v>0</v>
      </c>
      <c r="F20" s="21">
        <v>0</v>
      </c>
      <c r="G20" s="139" t="str">
        <f t="shared" si="1"/>
        <v>-</v>
      </c>
      <c r="H20" s="20">
        <v>7</v>
      </c>
      <c r="I20" s="21">
        <v>1</v>
      </c>
      <c r="J20" s="139">
        <f t="shared" si="2"/>
        <v>7</v>
      </c>
      <c r="K20" s="20">
        <v>26</v>
      </c>
      <c r="L20" s="21">
        <v>3</v>
      </c>
      <c r="M20" s="139">
        <f t="shared" si="3"/>
        <v>8.6666666666666661</v>
      </c>
      <c r="N20" s="20">
        <v>0</v>
      </c>
      <c r="O20" s="21">
        <v>0</v>
      </c>
      <c r="P20" s="139" t="str">
        <f t="shared" si="4"/>
        <v>-</v>
      </c>
      <c r="Q20" s="20">
        <v>0</v>
      </c>
      <c r="R20" s="21">
        <v>0</v>
      </c>
      <c r="S20" s="139" t="str">
        <f t="shared" si="5"/>
        <v>-</v>
      </c>
      <c r="T20" s="20">
        <v>59</v>
      </c>
      <c r="U20" s="21">
        <v>10</v>
      </c>
      <c r="V20" s="139">
        <f t="shared" si="6"/>
        <v>5.9</v>
      </c>
      <c r="W20" s="20">
        <v>0</v>
      </c>
      <c r="X20" s="21">
        <v>0</v>
      </c>
      <c r="Y20" s="139" t="str">
        <f t="shared" si="7"/>
        <v>-</v>
      </c>
      <c r="Z20" s="20">
        <v>0</v>
      </c>
      <c r="AA20" s="21">
        <v>0</v>
      </c>
      <c r="AB20" s="139" t="str">
        <f t="shared" si="8"/>
        <v>-</v>
      </c>
      <c r="AC20" s="20">
        <v>0</v>
      </c>
      <c r="AD20" s="21">
        <v>0</v>
      </c>
      <c r="AE20" s="139" t="str">
        <f t="shared" si="9"/>
        <v>-</v>
      </c>
      <c r="AF20" s="125">
        <v>0</v>
      </c>
      <c r="AG20" s="126">
        <v>0</v>
      </c>
      <c r="AH20" s="139" t="str">
        <f t="shared" si="10"/>
        <v>-</v>
      </c>
      <c r="AI20" s="125">
        <v>40</v>
      </c>
      <c r="AJ20" s="126">
        <v>8</v>
      </c>
      <c r="AK20" s="139">
        <f t="shared" si="11"/>
        <v>5</v>
      </c>
      <c r="AL20" s="125">
        <v>6</v>
      </c>
      <c r="AM20" s="126">
        <v>1</v>
      </c>
      <c r="AN20" s="139">
        <f t="shared" si="12"/>
        <v>6</v>
      </c>
      <c r="AO20" s="125">
        <v>0</v>
      </c>
      <c r="AP20" s="126">
        <v>0</v>
      </c>
      <c r="AQ20" s="139" t="str">
        <f t="shared" si="13"/>
        <v>-</v>
      </c>
      <c r="AR20" s="20">
        <v>12</v>
      </c>
      <c r="AS20" s="21">
        <v>2</v>
      </c>
      <c r="AT20" s="139">
        <f t="shared" si="14"/>
        <v>6</v>
      </c>
      <c r="AU20" s="20">
        <v>0</v>
      </c>
      <c r="AV20" s="21">
        <v>0</v>
      </c>
      <c r="AW20" s="139" t="str">
        <f t="shared" si="15"/>
        <v>-</v>
      </c>
      <c r="AX20" s="20">
        <v>0</v>
      </c>
      <c r="AY20" s="21">
        <v>0</v>
      </c>
      <c r="AZ20" s="139" t="str">
        <f t="shared" si="16"/>
        <v>-</v>
      </c>
      <c r="BA20" s="20">
        <v>0</v>
      </c>
      <c r="BB20" s="21">
        <v>0</v>
      </c>
      <c r="BC20" s="139" t="str">
        <f t="shared" si="17"/>
        <v>-</v>
      </c>
      <c r="BD20" s="20">
        <v>0</v>
      </c>
      <c r="BE20" s="21">
        <v>0</v>
      </c>
      <c r="BF20" s="139" t="str">
        <f t="shared" si="18"/>
        <v>-</v>
      </c>
      <c r="BG20" s="20">
        <v>16</v>
      </c>
      <c r="BH20" s="21">
        <v>5</v>
      </c>
      <c r="BI20" s="139">
        <f t="shared" si="19"/>
        <v>3.2</v>
      </c>
      <c r="BJ20" s="20">
        <v>0</v>
      </c>
      <c r="BK20" s="21">
        <v>0</v>
      </c>
      <c r="BL20" s="139" t="str">
        <f t="shared" si="20"/>
        <v>-</v>
      </c>
      <c r="BM20" s="20">
        <v>0</v>
      </c>
      <c r="BN20" s="21">
        <v>0</v>
      </c>
      <c r="BO20" s="276" t="str">
        <f t="shared" si="21"/>
        <v>-</v>
      </c>
      <c r="BP20" s="20">
        <v>0</v>
      </c>
      <c r="BQ20" s="21">
        <v>0</v>
      </c>
      <c r="BR20" s="276" t="str">
        <f t="shared" si="22"/>
        <v>-</v>
      </c>
      <c r="BS20" s="20">
        <v>0</v>
      </c>
      <c r="BT20" s="21">
        <v>0</v>
      </c>
      <c r="BU20" s="276" t="str">
        <f t="shared" si="23"/>
        <v>-</v>
      </c>
      <c r="BV20" s="20">
        <v>0</v>
      </c>
      <c r="BW20" s="21">
        <v>0</v>
      </c>
      <c r="BX20" s="276" t="str">
        <f t="shared" si="24"/>
        <v>-</v>
      </c>
      <c r="BY20" s="20">
        <v>0</v>
      </c>
      <c r="BZ20" s="21">
        <v>0</v>
      </c>
      <c r="CA20" s="276" t="str">
        <f t="shared" si="25"/>
        <v>-</v>
      </c>
      <c r="CB20" s="375">
        <f t="shared" si="27"/>
        <v>198</v>
      </c>
      <c r="CC20" s="373">
        <f t="shared" si="28"/>
        <v>34</v>
      </c>
      <c r="CD20" s="26">
        <f t="shared" si="26"/>
        <v>5.8235294117647056</v>
      </c>
    </row>
    <row r="21" spans="1:82" x14ac:dyDescent="0.3">
      <c r="A21" s="294">
        <v>46070</v>
      </c>
      <c r="B21" s="20">
        <v>58</v>
      </c>
      <c r="C21" s="21">
        <v>7</v>
      </c>
      <c r="D21" s="139">
        <f t="shared" si="0"/>
        <v>8.2857142857142865</v>
      </c>
      <c r="E21" s="20">
        <v>8</v>
      </c>
      <c r="F21" s="21">
        <v>1</v>
      </c>
      <c r="G21" s="139">
        <f t="shared" si="1"/>
        <v>8</v>
      </c>
      <c r="H21" s="20">
        <v>6</v>
      </c>
      <c r="I21" s="21">
        <v>1</v>
      </c>
      <c r="J21" s="139">
        <f t="shared" si="2"/>
        <v>6</v>
      </c>
      <c r="K21" s="20">
        <v>16</v>
      </c>
      <c r="L21" s="21">
        <v>2</v>
      </c>
      <c r="M21" s="139">
        <f t="shared" si="3"/>
        <v>8</v>
      </c>
      <c r="N21" s="125">
        <v>0</v>
      </c>
      <c r="O21" s="126">
        <v>0</v>
      </c>
      <c r="P21" s="139" t="str">
        <f t="shared" si="4"/>
        <v>-</v>
      </c>
      <c r="Q21" s="125">
        <v>0</v>
      </c>
      <c r="R21" s="126">
        <v>0</v>
      </c>
      <c r="S21" s="139" t="str">
        <f t="shared" si="5"/>
        <v>-</v>
      </c>
      <c r="T21" s="125">
        <v>53</v>
      </c>
      <c r="U21" s="126">
        <v>8</v>
      </c>
      <c r="V21" s="139">
        <f t="shared" si="6"/>
        <v>6.625</v>
      </c>
      <c r="W21" s="125">
        <v>0</v>
      </c>
      <c r="X21" s="126">
        <v>0</v>
      </c>
      <c r="Y21" s="139" t="str">
        <f t="shared" si="7"/>
        <v>-</v>
      </c>
      <c r="Z21" s="125">
        <v>0</v>
      </c>
      <c r="AA21" s="126">
        <v>0</v>
      </c>
      <c r="AB21" s="139" t="str">
        <f t="shared" si="8"/>
        <v>-</v>
      </c>
      <c r="AC21" s="125">
        <v>0</v>
      </c>
      <c r="AD21" s="126">
        <v>0</v>
      </c>
      <c r="AE21" s="139" t="str">
        <f t="shared" si="9"/>
        <v>-</v>
      </c>
      <c r="AF21" s="125">
        <v>0</v>
      </c>
      <c r="AG21" s="126">
        <v>0</v>
      </c>
      <c r="AH21" s="139" t="str">
        <f t="shared" si="10"/>
        <v>-</v>
      </c>
      <c r="AI21" s="125">
        <v>40</v>
      </c>
      <c r="AJ21" s="126">
        <v>8</v>
      </c>
      <c r="AK21" s="139">
        <f t="shared" si="11"/>
        <v>5</v>
      </c>
      <c r="AL21" s="125">
        <v>0</v>
      </c>
      <c r="AM21" s="126">
        <v>0</v>
      </c>
      <c r="AN21" s="139" t="str">
        <f t="shared" si="12"/>
        <v>-</v>
      </c>
      <c r="AO21" s="125">
        <v>0</v>
      </c>
      <c r="AP21" s="126">
        <v>0</v>
      </c>
      <c r="AQ21" s="139" t="str">
        <f t="shared" si="13"/>
        <v>-</v>
      </c>
      <c r="AR21" s="20">
        <v>0</v>
      </c>
      <c r="AS21" s="21">
        <v>0</v>
      </c>
      <c r="AT21" s="139" t="str">
        <f t="shared" si="14"/>
        <v>-</v>
      </c>
      <c r="AU21" s="20">
        <v>0</v>
      </c>
      <c r="AV21" s="21">
        <v>0</v>
      </c>
      <c r="AW21" s="139" t="str">
        <f t="shared" si="15"/>
        <v>-</v>
      </c>
      <c r="AX21" s="20">
        <v>0</v>
      </c>
      <c r="AY21" s="21">
        <v>0</v>
      </c>
      <c r="AZ21" s="139" t="str">
        <f t="shared" si="16"/>
        <v>-</v>
      </c>
      <c r="BA21" s="20">
        <v>0</v>
      </c>
      <c r="BB21" s="21">
        <v>0</v>
      </c>
      <c r="BC21" s="139" t="str">
        <f t="shared" si="17"/>
        <v>-</v>
      </c>
      <c r="BD21" s="20">
        <v>0</v>
      </c>
      <c r="BE21" s="21">
        <v>0</v>
      </c>
      <c r="BF21" s="139" t="str">
        <f t="shared" si="18"/>
        <v>-</v>
      </c>
      <c r="BG21" s="20">
        <v>7</v>
      </c>
      <c r="BH21" s="21">
        <v>2</v>
      </c>
      <c r="BI21" s="139">
        <f t="shared" si="19"/>
        <v>3.5</v>
      </c>
      <c r="BJ21" s="20">
        <v>0</v>
      </c>
      <c r="BK21" s="21">
        <v>0</v>
      </c>
      <c r="BL21" s="139" t="str">
        <f t="shared" si="20"/>
        <v>-</v>
      </c>
      <c r="BM21" s="20">
        <v>19</v>
      </c>
      <c r="BN21" s="21">
        <v>3</v>
      </c>
      <c r="BO21" s="139">
        <f t="shared" si="21"/>
        <v>6.333333333333333</v>
      </c>
      <c r="BP21" s="20">
        <v>0</v>
      </c>
      <c r="BQ21" s="21">
        <v>0</v>
      </c>
      <c r="BR21" s="276" t="str">
        <f t="shared" si="22"/>
        <v>-</v>
      </c>
      <c r="BS21" s="20">
        <v>0</v>
      </c>
      <c r="BT21" s="21">
        <v>0</v>
      </c>
      <c r="BU21" s="276" t="str">
        <f t="shared" si="23"/>
        <v>-</v>
      </c>
      <c r="BV21" s="20">
        <v>0</v>
      </c>
      <c r="BW21" s="21">
        <v>0</v>
      </c>
      <c r="BX21" s="139" t="str">
        <f t="shared" si="24"/>
        <v>-</v>
      </c>
      <c r="BY21" s="20">
        <v>6</v>
      </c>
      <c r="BZ21" s="21">
        <v>1</v>
      </c>
      <c r="CA21" s="139">
        <f t="shared" si="25"/>
        <v>6</v>
      </c>
      <c r="CB21" s="375">
        <f t="shared" si="27"/>
        <v>213</v>
      </c>
      <c r="CC21" s="373">
        <f>SUM(C21,F21,I21,L21,O21,R21,U21,X21,AD21,AG21,AJ21,AM21,AP21,AS21,AV21,BB21,BH21,BN21,BQ21,BT21,BW21,BZ21)</f>
        <v>33</v>
      </c>
      <c r="CD21" s="26">
        <f t="shared" si="26"/>
        <v>6.4545454545454541</v>
      </c>
    </row>
    <row r="22" spans="1:82" x14ac:dyDescent="0.3">
      <c r="A22" s="294">
        <v>46071</v>
      </c>
      <c r="B22" s="20">
        <v>70</v>
      </c>
      <c r="C22" s="21">
        <v>10</v>
      </c>
      <c r="D22" s="139">
        <f t="shared" si="0"/>
        <v>7</v>
      </c>
      <c r="E22" s="20">
        <v>26</v>
      </c>
      <c r="F22" s="21">
        <v>4</v>
      </c>
      <c r="G22" s="139">
        <f t="shared" si="1"/>
        <v>6.5</v>
      </c>
      <c r="H22" s="20">
        <v>0</v>
      </c>
      <c r="I22" s="21">
        <v>0</v>
      </c>
      <c r="J22" s="139" t="str">
        <f t="shared" si="2"/>
        <v>-</v>
      </c>
      <c r="K22" s="20">
        <v>16</v>
      </c>
      <c r="L22" s="21">
        <v>2</v>
      </c>
      <c r="M22" s="139">
        <f t="shared" si="3"/>
        <v>8</v>
      </c>
      <c r="N22" s="20">
        <v>0</v>
      </c>
      <c r="O22" s="21">
        <v>0</v>
      </c>
      <c r="P22" s="139" t="str">
        <f t="shared" si="4"/>
        <v>-</v>
      </c>
      <c r="Q22" s="20">
        <v>0</v>
      </c>
      <c r="R22" s="21">
        <v>0</v>
      </c>
      <c r="S22" s="139" t="str">
        <f t="shared" si="5"/>
        <v>-</v>
      </c>
      <c r="T22" s="20">
        <v>34</v>
      </c>
      <c r="U22" s="21">
        <v>6</v>
      </c>
      <c r="V22" s="139">
        <f t="shared" si="6"/>
        <v>5.666666666666667</v>
      </c>
      <c r="W22" s="20">
        <v>0</v>
      </c>
      <c r="X22" s="21">
        <v>0</v>
      </c>
      <c r="Y22" s="139" t="str">
        <f t="shared" si="7"/>
        <v>-</v>
      </c>
      <c r="Z22" s="20">
        <v>0</v>
      </c>
      <c r="AA22" s="21">
        <v>0</v>
      </c>
      <c r="AB22" s="139" t="str">
        <f t="shared" si="8"/>
        <v>-</v>
      </c>
      <c r="AC22" s="125">
        <v>0</v>
      </c>
      <c r="AD22" s="126">
        <v>0</v>
      </c>
      <c r="AE22" s="139" t="str">
        <f t="shared" si="9"/>
        <v>-</v>
      </c>
      <c r="AF22" s="125">
        <v>74</v>
      </c>
      <c r="AG22" s="126">
        <v>15</v>
      </c>
      <c r="AH22" s="139">
        <f t="shared" si="10"/>
        <v>4.9333333333333336</v>
      </c>
      <c r="AI22" s="125">
        <v>40</v>
      </c>
      <c r="AJ22" s="126">
        <v>8</v>
      </c>
      <c r="AK22" s="139">
        <f t="shared" si="11"/>
        <v>5</v>
      </c>
      <c r="AL22" s="125">
        <v>0</v>
      </c>
      <c r="AM22" s="126">
        <v>0</v>
      </c>
      <c r="AN22" s="139" t="str">
        <f t="shared" si="12"/>
        <v>-</v>
      </c>
      <c r="AO22" s="125">
        <v>0</v>
      </c>
      <c r="AP22" s="126">
        <v>0</v>
      </c>
      <c r="AQ22" s="139" t="str">
        <f t="shared" si="13"/>
        <v>-</v>
      </c>
      <c r="AR22" s="125">
        <v>6</v>
      </c>
      <c r="AS22" s="126">
        <v>1</v>
      </c>
      <c r="AT22" s="139">
        <f t="shared" si="14"/>
        <v>6</v>
      </c>
      <c r="AU22" s="20">
        <v>0</v>
      </c>
      <c r="AV22" s="21">
        <v>0</v>
      </c>
      <c r="AW22" s="139" t="str">
        <f t="shared" si="15"/>
        <v>-</v>
      </c>
      <c r="AX22" s="20">
        <v>0</v>
      </c>
      <c r="AY22" s="21">
        <v>0</v>
      </c>
      <c r="AZ22" s="139" t="str">
        <f t="shared" si="16"/>
        <v>-</v>
      </c>
      <c r="BA22" s="20">
        <v>0</v>
      </c>
      <c r="BB22" s="21">
        <v>0</v>
      </c>
      <c r="BC22" s="139" t="str">
        <f t="shared" si="17"/>
        <v>-</v>
      </c>
      <c r="BD22" s="20">
        <v>0</v>
      </c>
      <c r="BE22" s="21">
        <v>0</v>
      </c>
      <c r="BF22" s="139" t="str">
        <f t="shared" si="18"/>
        <v>-</v>
      </c>
      <c r="BG22" s="20">
        <v>6</v>
      </c>
      <c r="BH22" s="21">
        <v>2</v>
      </c>
      <c r="BI22" s="139">
        <f t="shared" si="19"/>
        <v>3</v>
      </c>
      <c r="BJ22" s="20">
        <v>0</v>
      </c>
      <c r="BK22" s="21">
        <v>0</v>
      </c>
      <c r="BL22" s="139" t="str">
        <f t="shared" si="20"/>
        <v>-</v>
      </c>
      <c r="BM22" s="20">
        <v>24</v>
      </c>
      <c r="BN22" s="21">
        <v>4</v>
      </c>
      <c r="BO22" s="139">
        <f t="shared" si="21"/>
        <v>6</v>
      </c>
      <c r="BP22" s="20">
        <v>0</v>
      </c>
      <c r="BQ22" s="21">
        <v>0</v>
      </c>
      <c r="BR22" s="276" t="str">
        <f t="shared" si="22"/>
        <v>-</v>
      </c>
      <c r="BS22" s="20">
        <v>0</v>
      </c>
      <c r="BT22" s="21">
        <v>0</v>
      </c>
      <c r="BU22" s="276" t="str">
        <f t="shared" si="23"/>
        <v>-</v>
      </c>
      <c r="BV22" s="355">
        <v>7</v>
      </c>
      <c r="BW22" s="21">
        <v>1</v>
      </c>
      <c r="BX22" s="276">
        <f t="shared" si="24"/>
        <v>7</v>
      </c>
      <c r="BY22" s="20">
        <v>0</v>
      </c>
      <c r="BZ22" s="21">
        <v>0</v>
      </c>
      <c r="CA22" s="139" t="str">
        <f t="shared" si="25"/>
        <v>-</v>
      </c>
      <c r="CB22" s="375">
        <f t="shared" ref="CB22:CB35" si="29">SUM(B22,E22,H22,K22,N22,Q22,T22,W22,AC22,AF22,AI22,AL22,AO22,AR22,AU22,BA22,BG22,BM22,BP22,BS22,BV22,BY22)</f>
        <v>303</v>
      </c>
      <c r="CC22" s="373">
        <f t="shared" si="28"/>
        <v>53</v>
      </c>
      <c r="CD22" s="26">
        <f t="shared" si="26"/>
        <v>5.716981132075472</v>
      </c>
    </row>
    <row r="23" spans="1:82" ht="16.2" customHeight="1" x14ac:dyDescent="0.3">
      <c r="A23" s="294">
        <v>46072</v>
      </c>
      <c r="B23" s="20">
        <v>7</v>
      </c>
      <c r="C23" s="21">
        <v>1</v>
      </c>
      <c r="D23" s="139">
        <f t="shared" si="0"/>
        <v>7</v>
      </c>
      <c r="E23" s="20">
        <v>7</v>
      </c>
      <c r="F23" s="21">
        <v>1</v>
      </c>
      <c r="G23" s="139">
        <f t="shared" si="1"/>
        <v>7</v>
      </c>
      <c r="H23" s="20">
        <v>0</v>
      </c>
      <c r="I23" s="21">
        <v>0</v>
      </c>
      <c r="J23" s="139" t="str">
        <f t="shared" si="2"/>
        <v>-</v>
      </c>
      <c r="K23" s="20">
        <v>0</v>
      </c>
      <c r="L23" s="21">
        <v>0</v>
      </c>
      <c r="M23" s="139" t="str">
        <f t="shared" si="3"/>
        <v>-</v>
      </c>
      <c r="N23" s="20">
        <v>0</v>
      </c>
      <c r="O23" s="21">
        <v>0</v>
      </c>
      <c r="P23" s="139" t="str">
        <f t="shared" si="4"/>
        <v>-</v>
      </c>
      <c r="Q23" s="20">
        <v>0</v>
      </c>
      <c r="R23" s="21">
        <v>0</v>
      </c>
      <c r="S23" s="139" t="str">
        <f t="shared" si="5"/>
        <v>-</v>
      </c>
      <c r="T23" s="20">
        <v>44</v>
      </c>
      <c r="U23" s="21">
        <v>8</v>
      </c>
      <c r="V23" s="139">
        <f t="shared" si="6"/>
        <v>5.5</v>
      </c>
      <c r="W23" s="20">
        <v>0</v>
      </c>
      <c r="X23" s="21">
        <v>0</v>
      </c>
      <c r="Y23" s="139" t="str">
        <f t="shared" si="7"/>
        <v>-</v>
      </c>
      <c r="Z23" s="20">
        <v>0</v>
      </c>
      <c r="AA23" s="21">
        <v>0</v>
      </c>
      <c r="AB23" s="139" t="str">
        <f t="shared" si="8"/>
        <v>-</v>
      </c>
      <c r="AC23" s="20">
        <v>44</v>
      </c>
      <c r="AD23" s="21">
        <v>9</v>
      </c>
      <c r="AE23" s="139">
        <f t="shared" si="9"/>
        <v>4.8888888888888893</v>
      </c>
      <c r="AF23" s="20">
        <v>0</v>
      </c>
      <c r="AG23" s="21">
        <v>0</v>
      </c>
      <c r="AH23" s="139" t="str">
        <f t="shared" si="10"/>
        <v>-</v>
      </c>
      <c r="AI23" s="20">
        <v>50</v>
      </c>
      <c r="AJ23" s="21">
        <v>10</v>
      </c>
      <c r="AK23" s="139">
        <f t="shared" si="11"/>
        <v>5</v>
      </c>
      <c r="AL23" s="20">
        <v>0</v>
      </c>
      <c r="AM23" s="21">
        <v>0</v>
      </c>
      <c r="AN23" s="139" t="str">
        <f t="shared" si="12"/>
        <v>-</v>
      </c>
      <c r="AO23" s="20">
        <v>0</v>
      </c>
      <c r="AP23" s="21">
        <v>0</v>
      </c>
      <c r="AQ23" s="139" t="str">
        <f t="shared" si="13"/>
        <v>-</v>
      </c>
      <c r="AR23" s="20">
        <v>36</v>
      </c>
      <c r="AS23" s="21">
        <v>6</v>
      </c>
      <c r="AT23" s="139">
        <f t="shared" si="14"/>
        <v>6</v>
      </c>
      <c r="AU23" s="20">
        <v>0</v>
      </c>
      <c r="AV23" s="21">
        <v>0</v>
      </c>
      <c r="AW23" s="139" t="str">
        <f t="shared" si="15"/>
        <v>-</v>
      </c>
      <c r="AX23" s="20">
        <v>0</v>
      </c>
      <c r="AY23" s="21">
        <v>0</v>
      </c>
      <c r="AZ23" s="139" t="str">
        <f t="shared" si="16"/>
        <v>-</v>
      </c>
      <c r="BA23" s="20">
        <v>37</v>
      </c>
      <c r="BB23" s="21">
        <v>5</v>
      </c>
      <c r="BC23" s="139">
        <f t="shared" si="17"/>
        <v>7.4</v>
      </c>
      <c r="BD23" s="20">
        <v>0</v>
      </c>
      <c r="BE23" s="21">
        <v>0</v>
      </c>
      <c r="BF23" s="139" t="str">
        <f t="shared" si="18"/>
        <v>-</v>
      </c>
      <c r="BG23" s="20">
        <v>5</v>
      </c>
      <c r="BH23" s="21">
        <v>2</v>
      </c>
      <c r="BI23" s="139">
        <f t="shared" si="19"/>
        <v>2.5</v>
      </c>
      <c r="BJ23" s="20">
        <v>0</v>
      </c>
      <c r="BK23" s="21">
        <v>0</v>
      </c>
      <c r="BL23" s="139" t="str">
        <f t="shared" si="20"/>
        <v>-</v>
      </c>
      <c r="BM23" s="20">
        <v>9</v>
      </c>
      <c r="BN23" s="21">
        <v>1</v>
      </c>
      <c r="BO23" s="276">
        <f t="shared" si="21"/>
        <v>9</v>
      </c>
      <c r="BP23" s="20">
        <v>0</v>
      </c>
      <c r="BQ23" s="21">
        <v>0</v>
      </c>
      <c r="BR23" s="276" t="str">
        <f t="shared" si="22"/>
        <v>-</v>
      </c>
      <c r="BS23" s="20">
        <v>0</v>
      </c>
      <c r="BT23" s="21">
        <v>0</v>
      </c>
      <c r="BU23" s="276" t="str">
        <f t="shared" si="23"/>
        <v>-</v>
      </c>
      <c r="BV23" s="20">
        <v>0</v>
      </c>
      <c r="BW23" s="21">
        <v>0</v>
      </c>
      <c r="BX23" s="276" t="str">
        <f t="shared" si="24"/>
        <v>-</v>
      </c>
      <c r="BY23" s="20">
        <v>0</v>
      </c>
      <c r="BZ23" s="21">
        <v>0</v>
      </c>
      <c r="CA23" s="139" t="str">
        <f t="shared" si="25"/>
        <v>-</v>
      </c>
      <c r="CB23" s="375">
        <f t="shared" si="29"/>
        <v>239</v>
      </c>
      <c r="CC23" s="373">
        <f t="shared" si="28"/>
        <v>43</v>
      </c>
      <c r="CD23" s="26">
        <f t="shared" si="26"/>
        <v>5.558139534883721</v>
      </c>
    </row>
    <row r="24" spans="1:82" x14ac:dyDescent="0.3">
      <c r="A24" s="294">
        <v>46073</v>
      </c>
      <c r="B24" s="20"/>
      <c r="C24" s="21"/>
      <c r="D24" s="139" t="str">
        <f t="shared" si="0"/>
        <v>-</v>
      </c>
      <c r="E24" s="20"/>
      <c r="F24" s="21"/>
      <c r="G24" s="139" t="str">
        <f t="shared" si="1"/>
        <v>-</v>
      </c>
      <c r="H24" s="20"/>
      <c r="I24" s="21"/>
      <c r="J24" s="139" t="str">
        <f t="shared" si="2"/>
        <v>-</v>
      </c>
      <c r="K24" s="20"/>
      <c r="L24" s="21"/>
      <c r="M24" s="139" t="str">
        <f t="shared" si="3"/>
        <v>-</v>
      </c>
      <c r="N24" s="20">
        <v>0</v>
      </c>
      <c r="O24" s="21">
        <v>0</v>
      </c>
      <c r="P24" s="139" t="str">
        <f t="shared" si="4"/>
        <v>-</v>
      </c>
      <c r="Q24" s="20"/>
      <c r="R24" s="21"/>
      <c r="S24" s="139" t="str">
        <f t="shared" si="5"/>
        <v>-</v>
      </c>
      <c r="T24" s="20"/>
      <c r="U24" s="21"/>
      <c r="V24" s="139" t="str">
        <f t="shared" si="6"/>
        <v>-</v>
      </c>
      <c r="W24" s="20"/>
      <c r="X24" s="21"/>
      <c r="Y24" s="139" t="str">
        <f t="shared" si="7"/>
        <v>-</v>
      </c>
      <c r="Z24" s="20">
        <v>0</v>
      </c>
      <c r="AA24" s="21">
        <v>0</v>
      </c>
      <c r="AB24" s="139" t="str">
        <f t="shared" si="8"/>
        <v>-</v>
      </c>
      <c r="AC24" s="20"/>
      <c r="AD24" s="21"/>
      <c r="AE24" s="139" t="str">
        <f t="shared" si="9"/>
        <v>-</v>
      </c>
      <c r="AF24" s="20"/>
      <c r="AG24" s="21"/>
      <c r="AH24" s="139" t="str">
        <f t="shared" si="10"/>
        <v>-</v>
      </c>
      <c r="AI24" s="20">
        <v>40</v>
      </c>
      <c r="AJ24" s="21">
        <v>8</v>
      </c>
      <c r="AK24" s="139">
        <f t="shared" si="11"/>
        <v>5</v>
      </c>
      <c r="AL24" s="20"/>
      <c r="AM24" s="21"/>
      <c r="AN24" s="139" t="str">
        <f t="shared" si="12"/>
        <v>-</v>
      </c>
      <c r="AO24" s="20"/>
      <c r="AP24" s="21"/>
      <c r="AQ24" s="139" t="str">
        <f t="shared" si="13"/>
        <v>-</v>
      </c>
      <c r="AR24" s="20"/>
      <c r="AS24" s="21"/>
      <c r="AT24" s="139" t="str">
        <f t="shared" si="14"/>
        <v>-</v>
      </c>
      <c r="AU24" s="20"/>
      <c r="AV24" s="21"/>
      <c r="AW24" s="139" t="str">
        <f t="shared" si="15"/>
        <v>-</v>
      </c>
      <c r="AX24" s="20">
        <v>0</v>
      </c>
      <c r="AY24" s="21">
        <v>0</v>
      </c>
      <c r="AZ24" s="139" t="str">
        <f t="shared" si="16"/>
        <v>-</v>
      </c>
      <c r="BA24" s="20"/>
      <c r="BB24" s="21"/>
      <c r="BC24" s="139" t="str">
        <f t="shared" si="17"/>
        <v>-</v>
      </c>
      <c r="BD24" s="20">
        <v>0</v>
      </c>
      <c r="BE24" s="21">
        <v>0</v>
      </c>
      <c r="BF24" s="139" t="str">
        <f t="shared" si="18"/>
        <v>-</v>
      </c>
      <c r="BG24" s="20">
        <v>6</v>
      </c>
      <c r="BH24" s="21">
        <v>1</v>
      </c>
      <c r="BI24" s="139">
        <f t="shared" si="19"/>
        <v>6</v>
      </c>
      <c r="BJ24" s="20">
        <v>0</v>
      </c>
      <c r="BK24" s="21">
        <v>0</v>
      </c>
      <c r="BL24" s="139" t="str">
        <f t="shared" si="20"/>
        <v>-</v>
      </c>
      <c r="BM24" s="20"/>
      <c r="BN24" s="21"/>
      <c r="BO24" s="276" t="str">
        <f t="shared" si="21"/>
        <v>-</v>
      </c>
      <c r="BP24" s="20"/>
      <c r="BQ24" s="21"/>
      <c r="BR24" s="276" t="str">
        <f t="shared" si="22"/>
        <v>-</v>
      </c>
      <c r="BS24" s="20"/>
      <c r="BT24" s="21"/>
      <c r="BU24" s="276" t="str">
        <f t="shared" si="23"/>
        <v>-</v>
      </c>
      <c r="BV24" s="368"/>
      <c r="BW24" s="21"/>
      <c r="BX24" s="276" t="str">
        <f t="shared" si="24"/>
        <v>-</v>
      </c>
      <c r="BY24" s="20"/>
      <c r="BZ24" s="21"/>
      <c r="CA24" s="139" t="str">
        <f t="shared" si="25"/>
        <v>-</v>
      </c>
      <c r="CB24" s="375">
        <f t="shared" si="29"/>
        <v>46</v>
      </c>
      <c r="CC24" s="373">
        <f t="shared" si="28"/>
        <v>9</v>
      </c>
      <c r="CD24" s="26">
        <f t="shared" si="26"/>
        <v>5.1111111111111107</v>
      </c>
    </row>
    <row r="25" spans="1:82" x14ac:dyDescent="0.3">
      <c r="A25" s="294">
        <v>46074</v>
      </c>
      <c r="B25" s="20"/>
      <c r="C25" s="21"/>
      <c r="D25" s="139" t="str">
        <f t="shared" si="0"/>
        <v>-</v>
      </c>
      <c r="E25" s="20"/>
      <c r="F25" s="21"/>
      <c r="G25" s="139" t="str">
        <f t="shared" si="1"/>
        <v>-</v>
      </c>
      <c r="H25" s="20"/>
      <c r="I25" s="21"/>
      <c r="J25" s="139" t="str">
        <f t="shared" si="2"/>
        <v>-</v>
      </c>
      <c r="K25" s="20"/>
      <c r="L25" s="21"/>
      <c r="M25" s="139" t="str">
        <f t="shared" si="3"/>
        <v>-</v>
      </c>
      <c r="N25" s="125">
        <v>0</v>
      </c>
      <c r="O25" s="126">
        <v>0</v>
      </c>
      <c r="P25" s="139" t="str">
        <f t="shared" si="4"/>
        <v>-</v>
      </c>
      <c r="Q25" s="125"/>
      <c r="R25" s="126"/>
      <c r="S25" s="139" t="str">
        <f t="shared" si="5"/>
        <v>-</v>
      </c>
      <c r="T25" s="125"/>
      <c r="U25" s="126"/>
      <c r="V25" s="139" t="str">
        <f t="shared" si="6"/>
        <v>-</v>
      </c>
      <c r="W25" s="20"/>
      <c r="X25" s="21"/>
      <c r="Y25" s="139" t="str">
        <f t="shared" si="7"/>
        <v>-</v>
      </c>
      <c r="Z25" s="20">
        <v>0</v>
      </c>
      <c r="AA25" s="21">
        <v>0</v>
      </c>
      <c r="AB25" s="139" t="str">
        <f t="shared" si="8"/>
        <v>-</v>
      </c>
      <c r="AC25" s="20"/>
      <c r="AD25" s="21"/>
      <c r="AE25" s="139" t="str">
        <f t="shared" si="9"/>
        <v>-</v>
      </c>
      <c r="AF25" s="20"/>
      <c r="AG25" s="21"/>
      <c r="AH25" s="139" t="str">
        <f t="shared" si="10"/>
        <v>-</v>
      </c>
      <c r="AI25" s="20"/>
      <c r="AJ25" s="21"/>
      <c r="AK25" s="139" t="str">
        <f t="shared" si="11"/>
        <v>-</v>
      </c>
      <c r="AL25" s="20"/>
      <c r="AM25" s="21"/>
      <c r="AN25" s="139" t="str">
        <f t="shared" si="12"/>
        <v>-</v>
      </c>
      <c r="AO25" s="20"/>
      <c r="AP25" s="21"/>
      <c r="AQ25" s="139" t="str">
        <f t="shared" si="13"/>
        <v>-</v>
      </c>
      <c r="AR25" s="20"/>
      <c r="AS25" s="21"/>
      <c r="AT25" s="139" t="str">
        <f t="shared" si="14"/>
        <v>-</v>
      </c>
      <c r="AU25" s="20"/>
      <c r="AV25" s="21"/>
      <c r="AW25" s="139" t="str">
        <f t="shared" si="15"/>
        <v>-</v>
      </c>
      <c r="AX25" s="20">
        <v>0</v>
      </c>
      <c r="AY25" s="21">
        <v>0</v>
      </c>
      <c r="AZ25" s="139" t="str">
        <f t="shared" si="16"/>
        <v>-</v>
      </c>
      <c r="BA25" s="20"/>
      <c r="BB25" s="21"/>
      <c r="BC25" s="139" t="str">
        <f t="shared" si="17"/>
        <v>-</v>
      </c>
      <c r="BD25" s="20">
        <v>0</v>
      </c>
      <c r="BE25" s="21">
        <v>0</v>
      </c>
      <c r="BF25" s="139" t="str">
        <f t="shared" si="18"/>
        <v>-</v>
      </c>
      <c r="BG25" s="20"/>
      <c r="BH25" s="21"/>
      <c r="BI25" s="139" t="str">
        <f t="shared" si="19"/>
        <v>-</v>
      </c>
      <c r="BJ25" s="20">
        <v>0</v>
      </c>
      <c r="BK25" s="21">
        <v>0</v>
      </c>
      <c r="BL25" s="139" t="str">
        <f t="shared" si="20"/>
        <v>-</v>
      </c>
      <c r="BM25" s="20"/>
      <c r="BN25" s="21"/>
      <c r="BO25" s="122" t="str">
        <f t="shared" ref="BO25:BO27" si="30">IF(BN25=0,"",BM25/BN25)</f>
        <v/>
      </c>
      <c r="BP25" s="20"/>
      <c r="BQ25" s="21"/>
      <c r="BR25" s="122" t="str">
        <f t="shared" ref="BR25:BR27" si="31">IF(BQ25=0,"",BP25/BQ25)</f>
        <v/>
      </c>
      <c r="BS25" s="354"/>
      <c r="BT25" s="271"/>
      <c r="BU25" s="357" t="str">
        <f t="shared" ref="BU25:BU27" si="32">IF(BT25=0,"",BS25/BT25)</f>
        <v/>
      </c>
      <c r="BV25" s="368"/>
      <c r="BW25" s="21"/>
      <c r="BX25" s="276" t="str">
        <f t="shared" si="24"/>
        <v>-</v>
      </c>
      <c r="BY25" s="20"/>
      <c r="BZ25" s="21"/>
      <c r="CA25" s="139" t="str">
        <f t="shared" si="25"/>
        <v>-</v>
      </c>
      <c r="CB25" s="375">
        <f t="shared" si="29"/>
        <v>0</v>
      </c>
      <c r="CC25" s="373">
        <f t="shared" si="28"/>
        <v>0</v>
      </c>
      <c r="CD25" s="26" t="str">
        <f t="shared" si="26"/>
        <v/>
      </c>
    </row>
    <row r="26" spans="1:82" x14ac:dyDescent="0.3">
      <c r="A26" s="294">
        <v>46075</v>
      </c>
      <c r="B26" s="20"/>
      <c r="C26" s="21"/>
      <c r="D26" s="139" t="str">
        <f t="shared" si="0"/>
        <v>-</v>
      </c>
      <c r="E26" s="20"/>
      <c r="F26" s="21"/>
      <c r="G26" s="139" t="str">
        <f t="shared" si="1"/>
        <v>-</v>
      </c>
      <c r="H26" s="20"/>
      <c r="I26" s="21"/>
      <c r="J26" s="139" t="str">
        <f t="shared" si="2"/>
        <v>-</v>
      </c>
      <c r="K26" s="20"/>
      <c r="L26" s="21"/>
      <c r="M26" s="139" t="str">
        <f t="shared" si="3"/>
        <v>-</v>
      </c>
      <c r="N26" s="125">
        <v>0</v>
      </c>
      <c r="O26" s="126">
        <v>0</v>
      </c>
      <c r="P26" s="139" t="str">
        <f t="shared" si="4"/>
        <v>-</v>
      </c>
      <c r="Q26" s="125"/>
      <c r="R26" s="126"/>
      <c r="S26" s="139" t="str">
        <f t="shared" si="5"/>
        <v>-</v>
      </c>
      <c r="T26" s="125"/>
      <c r="U26" s="126"/>
      <c r="V26" s="139" t="str">
        <f t="shared" si="6"/>
        <v>-</v>
      </c>
      <c r="W26" s="20"/>
      <c r="X26" s="21"/>
      <c r="Y26" s="139" t="str">
        <f t="shared" si="7"/>
        <v>-</v>
      </c>
      <c r="Z26" s="20">
        <v>0</v>
      </c>
      <c r="AA26" s="21">
        <v>0</v>
      </c>
      <c r="AB26" s="139" t="str">
        <f t="shared" si="8"/>
        <v>-</v>
      </c>
      <c r="AC26" s="20"/>
      <c r="AD26" s="21"/>
      <c r="AE26" s="139" t="str">
        <f t="shared" si="9"/>
        <v>-</v>
      </c>
      <c r="AF26" s="20"/>
      <c r="AG26" s="21"/>
      <c r="AH26" s="139" t="str">
        <f t="shared" si="10"/>
        <v>-</v>
      </c>
      <c r="AI26" s="20"/>
      <c r="AJ26" s="21"/>
      <c r="AK26" s="139" t="str">
        <f t="shared" si="11"/>
        <v>-</v>
      </c>
      <c r="AL26" s="20"/>
      <c r="AM26" s="21"/>
      <c r="AN26" s="139" t="str">
        <f t="shared" si="12"/>
        <v>-</v>
      </c>
      <c r="AO26" s="20"/>
      <c r="AP26" s="21"/>
      <c r="AQ26" s="139" t="str">
        <f t="shared" si="13"/>
        <v>-</v>
      </c>
      <c r="AR26" s="20"/>
      <c r="AS26" s="21"/>
      <c r="AT26" s="139" t="str">
        <f t="shared" si="14"/>
        <v>-</v>
      </c>
      <c r="AU26" s="20"/>
      <c r="AV26" s="21"/>
      <c r="AW26" s="139" t="str">
        <f t="shared" si="15"/>
        <v>-</v>
      </c>
      <c r="AX26" s="20">
        <v>0</v>
      </c>
      <c r="AY26" s="21">
        <v>0</v>
      </c>
      <c r="AZ26" s="139" t="str">
        <f t="shared" si="16"/>
        <v>-</v>
      </c>
      <c r="BA26" s="20"/>
      <c r="BB26" s="21"/>
      <c r="BC26" s="139" t="str">
        <f t="shared" si="17"/>
        <v>-</v>
      </c>
      <c r="BD26" s="20">
        <v>0</v>
      </c>
      <c r="BE26" s="21">
        <v>0</v>
      </c>
      <c r="BF26" s="139" t="str">
        <f t="shared" si="18"/>
        <v>-</v>
      </c>
      <c r="BG26" s="20"/>
      <c r="BH26" s="21"/>
      <c r="BI26" s="139" t="str">
        <f t="shared" si="19"/>
        <v>-</v>
      </c>
      <c r="BJ26" s="125">
        <v>0</v>
      </c>
      <c r="BK26" s="126">
        <v>0</v>
      </c>
      <c r="BL26" s="139" t="str">
        <f t="shared" si="20"/>
        <v>-</v>
      </c>
      <c r="BM26" s="20"/>
      <c r="BN26" s="21"/>
      <c r="BO26" s="122" t="str">
        <f t="shared" si="30"/>
        <v/>
      </c>
      <c r="BP26" s="20"/>
      <c r="BQ26" s="21"/>
      <c r="BR26" s="122" t="str">
        <f t="shared" si="31"/>
        <v/>
      </c>
      <c r="BS26" s="354"/>
      <c r="BT26" s="271"/>
      <c r="BU26" s="357" t="str">
        <f t="shared" si="32"/>
        <v/>
      </c>
      <c r="BV26" s="368"/>
      <c r="BW26" s="21"/>
      <c r="BX26" s="276" t="str">
        <f t="shared" si="24"/>
        <v>-</v>
      </c>
      <c r="BY26" s="20"/>
      <c r="BZ26" s="21"/>
      <c r="CA26" s="139" t="str">
        <f t="shared" si="25"/>
        <v>-</v>
      </c>
      <c r="CB26" s="375">
        <f t="shared" si="29"/>
        <v>0</v>
      </c>
      <c r="CC26" s="373">
        <f t="shared" si="28"/>
        <v>0</v>
      </c>
      <c r="CD26" s="26" t="str">
        <f t="shared" si="26"/>
        <v/>
      </c>
    </row>
    <row r="27" spans="1:82" x14ac:dyDescent="0.3">
      <c r="A27" s="294">
        <v>46076</v>
      </c>
      <c r="B27" s="20"/>
      <c r="C27" s="21"/>
      <c r="D27" s="139" t="str">
        <f t="shared" si="0"/>
        <v>-</v>
      </c>
      <c r="E27" s="20"/>
      <c r="F27" s="21"/>
      <c r="G27" s="139" t="str">
        <f t="shared" si="1"/>
        <v>-</v>
      </c>
      <c r="H27" s="20"/>
      <c r="I27" s="21"/>
      <c r="J27" s="139" t="str">
        <f t="shared" si="2"/>
        <v>-</v>
      </c>
      <c r="K27" s="20"/>
      <c r="L27" s="21"/>
      <c r="M27" s="139" t="str">
        <f t="shared" si="3"/>
        <v>-</v>
      </c>
      <c r="N27" s="125">
        <v>0</v>
      </c>
      <c r="O27" s="126">
        <v>0</v>
      </c>
      <c r="P27" s="139" t="str">
        <f t="shared" si="4"/>
        <v>-</v>
      </c>
      <c r="Q27" s="125"/>
      <c r="R27" s="126"/>
      <c r="S27" s="139" t="str">
        <f t="shared" si="5"/>
        <v>-</v>
      </c>
      <c r="T27" s="125"/>
      <c r="U27" s="126"/>
      <c r="V27" s="139" t="str">
        <f t="shared" si="6"/>
        <v>-</v>
      </c>
      <c r="W27" s="20"/>
      <c r="X27" s="21"/>
      <c r="Y27" s="139" t="str">
        <f t="shared" si="7"/>
        <v>-</v>
      </c>
      <c r="Z27" s="20">
        <v>0</v>
      </c>
      <c r="AA27" s="21">
        <v>0</v>
      </c>
      <c r="AB27" s="139" t="str">
        <f t="shared" si="8"/>
        <v>-</v>
      </c>
      <c r="AC27" s="20"/>
      <c r="AD27" s="21"/>
      <c r="AE27" s="139" t="str">
        <f t="shared" si="9"/>
        <v>-</v>
      </c>
      <c r="AF27" s="20"/>
      <c r="AG27" s="21"/>
      <c r="AH27" s="139" t="str">
        <f t="shared" si="10"/>
        <v>-</v>
      </c>
      <c r="AI27" s="20"/>
      <c r="AJ27" s="21"/>
      <c r="AK27" s="139" t="str">
        <f t="shared" si="11"/>
        <v>-</v>
      </c>
      <c r="AL27" s="125"/>
      <c r="AM27" s="126"/>
      <c r="AN27" s="139" t="str">
        <f t="shared" si="12"/>
        <v>-</v>
      </c>
      <c r="AO27" s="125"/>
      <c r="AP27" s="126"/>
      <c r="AQ27" s="139" t="str">
        <f t="shared" si="13"/>
        <v>-</v>
      </c>
      <c r="AR27" s="125"/>
      <c r="AS27" s="126"/>
      <c r="AT27" s="139" t="str">
        <f t="shared" si="14"/>
        <v>-</v>
      </c>
      <c r="AU27" s="125"/>
      <c r="AV27" s="126"/>
      <c r="AW27" s="139" t="str">
        <f t="shared" si="15"/>
        <v>-</v>
      </c>
      <c r="AX27" s="125">
        <v>0</v>
      </c>
      <c r="AY27" s="126">
        <v>0</v>
      </c>
      <c r="AZ27" s="139" t="str">
        <f t="shared" si="16"/>
        <v>-</v>
      </c>
      <c r="BA27" s="125"/>
      <c r="BB27" s="126"/>
      <c r="BC27" s="139" t="str">
        <f t="shared" si="17"/>
        <v>-</v>
      </c>
      <c r="BD27" s="125">
        <v>0</v>
      </c>
      <c r="BE27" s="126">
        <v>0</v>
      </c>
      <c r="BF27" s="139" t="str">
        <f t="shared" si="18"/>
        <v>-</v>
      </c>
      <c r="BG27" s="125"/>
      <c r="BH27" s="126"/>
      <c r="BI27" s="139" t="str">
        <f t="shared" si="19"/>
        <v>-</v>
      </c>
      <c r="BJ27" s="125">
        <v>0</v>
      </c>
      <c r="BK27" s="126">
        <v>0</v>
      </c>
      <c r="BL27" s="139" t="str">
        <f t="shared" si="20"/>
        <v>-</v>
      </c>
      <c r="BM27" s="20"/>
      <c r="BN27" s="21"/>
      <c r="BO27" s="122" t="str">
        <f t="shared" si="30"/>
        <v/>
      </c>
      <c r="BP27" s="20"/>
      <c r="BQ27" s="21"/>
      <c r="BR27" s="122" t="str">
        <f t="shared" si="31"/>
        <v/>
      </c>
      <c r="BS27" s="354"/>
      <c r="BT27" s="271"/>
      <c r="BU27" s="357" t="str">
        <f t="shared" si="32"/>
        <v/>
      </c>
      <c r="BV27" s="368"/>
      <c r="BW27" s="21"/>
      <c r="BX27" s="276" t="str">
        <f t="shared" si="24"/>
        <v>-</v>
      </c>
      <c r="BY27" s="20"/>
      <c r="BZ27" s="21"/>
      <c r="CA27" s="139" t="str">
        <f t="shared" si="25"/>
        <v>-</v>
      </c>
      <c r="CB27" s="375">
        <f t="shared" si="29"/>
        <v>0</v>
      </c>
      <c r="CC27" s="373">
        <f t="shared" si="28"/>
        <v>0</v>
      </c>
      <c r="CD27" s="26" t="str">
        <f t="shared" si="26"/>
        <v/>
      </c>
    </row>
    <row r="28" spans="1:82" x14ac:dyDescent="0.3">
      <c r="A28" s="294">
        <v>46077</v>
      </c>
      <c r="B28" s="20"/>
      <c r="C28" s="21"/>
      <c r="D28" s="139" t="str">
        <f t="shared" si="0"/>
        <v>-</v>
      </c>
      <c r="E28" s="20"/>
      <c r="F28" s="21"/>
      <c r="G28" s="139" t="str">
        <f t="shared" si="1"/>
        <v>-</v>
      </c>
      <c r="H28" s="20"/>
      <c r="I28" s="21"/>
      <c r="J28" s="139" t="str">
        <f t="shared" si="2"/>
        <v>-</v>
      </c>
      <c r="K28" s="20"/>
      <c r="L28" s="21"/>
      <c r="M28" s="139" t="str">
        <f t="shared" si="3"/>
        <v>-</v>
      </c>
      <c r="N28" s="125">
        <v>0</v>
      </c>
      <c r="O28" s="126">
        <v>0</v>
      </c>
      <c r="P28" s="139" t="str">
        <f t="shared" si="4"/>
        <v>-</v>
      </c>
      <c r="Q28" s="125"/>
      <c r="R28" s="126"/>
      <c r="S28" s="139" t="str">
        <f t="shared" si="5"/>
        <v>-</v>
      </c>
      <c r="T28" s="125"/>
      <c r="U28" s="126"/>
      <c r="V28" s="139" t="str">
        <f t="shared" si="6"/>
        <v>-</v>
      </c>
      <c r="W28" s="20"/>
      <c r="X28" s="21"/>
      <c r="Y28" s="139" t="str">
        <f t="shared" si="7"/>
        <v>-</v>
      </c>
      <c r="Z28" s="20">
        <v>0</v>
      </c>
      <c r="AA28" s="21">
        <v>0</v>
      </c>
      <c r="AB28" s="139" t="str">
        <f t="shared" si="8"/>
        <v>-</v>
      </c>
      <c r="AC28" s="20"/>
      <c r="AD28" s="21"/>
      <c r="AE28" s="139" t="str">
        <f t="shared" si="9"/>
        <v>-</v>
      </c>
      <c r="AF28" s="20"/>
      <c r="AG28" s="21"/>
      <c r="AH28" s="139" t="str">
        <f t="shared" si="10"/>
        <v>-</v>
      </c>
      <c r="AI28" s="20"/>
      <c r="AJ28" s="21"/>
      <c r="AK28" s="139" t="str">
        <f t="shared" si="11"/>
        <v>-</v>
      </c>
      <c r="AL28" s="20"/>
      <c r="AM28" s="21"/>
      <c r="AN28" s="139" t="str">
        <f t="shared" si="12"/>
        <v>-</v>
      </c>
      <c r="AO28" s="20"/>
      <c r="AP28" s="21"/>
      <c r="AQ28" s="139" t="str">
        <f t="shared" si="13"/>
        <v>-</v>
      </c>
      <c r="AR28" s="20"/>
      <c r="AS28" s="21"/>
      <c r="AT28" s="139" t="str">
        <f t="shared" si="14"/>
        <v>-</v>
      </c>
      <c r="AU28" s="125"/>
      <c r="AV28" s="126"/>
      <c r="AW28" s="139" t="str">
        <f t="shared" si="15"/>
        <v>-</v>
      </c>
      <c r="AX28" s="125">
        <v>0</v>
      </c>
      <c r="AY28" s="126">
        <v>0</v>
      </c>
      <c r="AZ28" s="139" t="str">
        <f t="shared" si="16"/>
        <v>-</v>
      </c>
      <c r="BA28" s="125"/>
      <c r="BB28" s="126"/>
      <c r="BC28" s="139" t="str">
        <f t="shared" si="17"/>
        <v>-</v>
      </c>
      <c r="BD28" s="125">
        <v>0</v>
      </c>
      <c r="BE28" s="126">
        <v>0</v>
      </c>
      <c r="BF28" s="139" t="str">
        <f t="shared" si="18"/>
        <v>-</v>
      </c>
      <c r="BG28" s="125"/>
      <c r="BH28" s="126"/>
      <c r="BI28" s="139" t="str">
        <f t="shared" si="19"/>
        <v>-</v>
      </c>
      <c r="BJ28" s="125">
        <v>0</v>
      </c>
      <c r="BK28" s="126">
        <v>0</v>
      </c>
      <c r="BL28" s="139" t="str">
        <f t="shared" si="20"/>
        <v>-</v>
      </c>
      <c r="BM28" s="20"/>
      <c r="BN28" s="21"/>
      <c r="BO28" s="139" t="str">
        <f t="shared" si="21"/>
        <v>-</v>
      </c>
      <c r="BP28" s="20"/>
      <c r="BQ28" s="21"/>
      <c r="BR28" s="139" t="str">
        <f t="shared" si="22"/>
        <v>-</v>
      </c>
      <c r="BS28" s="354"/>
      <c r="BT28" s="271"/>
      <c r="BU28" s="139" t="str">
        <f t="shared" si="23"/>
        <v>-</v>
      </c>
      <c r="BV28" s="368"/>
      <c r="BW28" s="21"/>
      <c r="BX28" s="139" t="str">
        <f t="shared" si="24"/>
        <v>-</v>
      </c>
      <c r="BY28" s="20"/>
      <c r="BZ28" s="21"/>
      <c r="CA28" s="139" t="str">
        <f t="shared" si="25"/>
        <v>-</v>
      </c>
      <c r="CB28" s="375">
        <f t="shared" si="29"/>
        <v>0</v>
      </c>
      <c r="CC28" s="373">
        <f t="shared" si="28"/>
        <v>0</v>
      </c>
      <c r="CD28" s="26" t="str">
        <f t="shared" si="26"/>
        <v/>
      </c>
    </row>
    <row r="29" spans="1:82" x14ac:dyDescent="0.3">
      <c r="A29" s="294">
        <v>46078</v>
      </c>
      <c r="B29" s="20"/>
      <c r="C29" s="21"/>
      <c r="D29" s="139" t="str">
        <f t="shared" si="0"/>
        <v>-</v>
      </c>
      <c r="E29" s="20"/>
      <c r="F29" s="21"/>
      <c r="G29" s="139" t="str">
        <f t="shared" si="1"/>
        <v>-</v>
      </c>
      <c r="H29" s="20"/>
      <c r="I29" s="21"/>
      <c r="J29" s="139" t="str">
        <f t="shared" si="2"/>
        <v>-</v>
      </c>
      <c r="K29" s="20"/>
      <c r="L29" s="21"/>
      <c r="M29" s="139" t="str">
        <f t="shared" si="3"/>
        <v>-</v>
      </c>
      <c r="N29" s="125">
        <v>0</v>
      </c>
      <c r="O29" s="126">
        <v>0</v>
      </c>
      <c r="P29" s="139" t="str">
        <f t="shared" si="4"/>
        <v>-</v>
      </c>
      <c r="Q29" s="125"/>
      <c r="R29" s="126"/>
      <c r="S29" s="139" t="str">
        <f t="shared" si="5"/>
        <v>-</v>
      </c>
      <c r="T29" s="125"/>
      <c r="U29" s="126"/>
      <c r="V29" s="139" t="str">
        <f t="shared" si="6"/>
        <v>-</v>
      </c>
      <c r="W29" s="20"/>
      <c r="X29" s="21"/>
      <c r="Y29" s="139" t="str">
        <f t="shared" si="7"/>
        <v>-</v>
      </c>
      <c r="Z29" s="125">
        <v>0</v>
      </c>
      <c r="AA29" s="126">
        <v>0</v>
      </c>
      <c r="AB29" s="139" t="str">
        <f t="shared" si="8"/>
        <v>-</v>
      </c>
      <c r="AC29" s="125"/>
      <c r="AD29" s="126"/>
      <c r="AE29" s="139" t="str">
        <f t="shared" si="9"/>
        <v>-</v>
      </c>
      <c r="AF29" s="20"/>
      <c r="AG29" s="21"/>
      <c r="AH29" s="139" t="str">
        <f t="shared" si="10"/>
        <v>-</v>
      </c>
      <c r="AI29" s="20"/>
      <c r="AJ29" s="21"/>
      <c r="AK29" s="139" t="str">
        <f t="shared" si="11"/>
        <v>-</v>
      </c>
      <c r="AL29" s="20"/>
      <c r="AM29" s="21"/>
      <c r="AN29" s="139" t="str">
        <f t="shared" si="12"/>
        <v>-</v>
      </c>
      <c r="AO29" s="20"/>
      <c r="AP29" s="21"/>
      <c r="AQ29" s="139" t="str">
        <f t="shared" si="13"/>
        <v>-</v>
      </c>
      <c r="AR29" s="20"/>
      <c r="AS29" s="21"/>
      <c r="AT29" s="139" t="str">
        <f t="shared" si="14"/>
        <v>-</v>
      </c>
      <c r="AU29" s="125"/>
      <c r="AV29" s="126"/>
      <c r="AW29" s="139" t="str">
        <f t="shared" si="15"/>
        <v>-</v>
      </c>
      <c r="AX29" s="125">
        <v>0</v>
      </c>
      <c r="AY29" s="126">
        <v>0</v>
      </c>
      <c r="AZ29" s="139" t="str">
        <f t="shared" si="16"/>
        <v>-</v>
      </c>
      <c r="BA29" s="125"/>
      <c r="BB29" s="126"/>
      <c r="BC29" s="139" t="str">
        <f t="shared" si="17"/>
        <v>-</v>
      </c>
      <c r="BD29" s="125">
        <v>0</v>
      </c>
      <c r="BE29" s="126">
        <v>0</v>
      </c>
      <c r="BF29" s="139" t="str">
        <f t="shared" si="18"/>
        <v>-</v>
      </c>
      <c r="BG29" s="125"/>
      <c r="BH29" s="126"/>
      <c r="BI29" s="139" t="str">
        <f t="shared" si="19"/>
        <v>-</v>
      </c>
      <c r="BJ29" s="125">
        <v>0</v>
      </c>
      <c r="BK29" s="126">
        <v>0</v>
      </c>
      <c r="BL29" s="139" t="str">
        <f t="shared" si="20"/>
        <v>-</v>
      </c>
      <c r="BM29" s="20"/>
      <c r="BN29" s="21"/>
      <c r="BO29" s="276" t="str">
        <f t="shared" si="21"/>
        <v>-</v>
      </c>
      <c r="BP29" s="20"/>
      <c r="BQ29" s="21"/>
      <c r="BR29" s="276" t="str">
        <f t="shared" si="22"/>
        <v>-</v>
      </c>
      <c r="BS29" s="354"/>
      <c r="BT29" s="271"/>
      <c r="BU29" s="276" t="str">
        <f t="shared" si="23"/>
        <v>-</v>
      </c>
      <c r="BV29" s="368"/>
      <c r="BW29" s="21"/>
      <c r="BX29" s="276" t="str">
        <f t="shared" si="24"/>
        <v>-</v>
      </c>
      <c r="BY29" s="20"/>
      <c r="BZ29" s="21"/>
      <c r="CA29" s="139" t="str">
        <f t="shared" si="25"/>
        <v>-</v>
      </c>
      <c r="CB29" s="375">
        <f t="shared" si="29"/>
        <v>0</v>
      </c>
      <c r="CC29" s="373">
        <f t="shared" si="28"/>
        <v>0</v>
      </c>
      <c r="CD29" s="26" t="str">
        <f t="shared" si="26"/>
        <v/>
      </c>
    </row>
    <row r="30" spans="1:82" x14ac:dyDescent="0.3">
      <c r="A30" s="294">
        <v>46079</v>
      </c>
      <c r="B30" s="20"/>
      <c r="C30" s="21"/>
      <c r="D30" s="139" t="str">
        <f t="shared" si="0"/>
        <v>-</v>
      </c>
      <c r="E30" s="20"/>
      <c r="F30" s="21"/>
      <c r="G30" s="139" t="str">
        <f t="shared" si="1"/>
        <v>-</v>
      </c>
      <c r="H30" s="20"/>
      <c r="I30" s="21"/>
      <c r="J30" s="139" t="str">
        <f t="shared" si="2"/>
        <v>-</v>
      </c>
      <c r="K30" s="20"/>
      <c r="L30" s="21"/>
      <c r="M30" s="139" t="str">
        <f t="shared" si="3"/>
        <v>-</v>
      </c>
      <c r="N30" s="125">
        <v>0</v>
      </c>
      <c r="O30" s="126">
        <v>0</v>
      </c>
      <c r="P30" s="139" t="str">
        <f t="shared" si="4"/>
        <v>-</v>
      </c>
      <c r="Q30" s="125"/>
      <c r="R30" s="126"/>
      <c r="S30" s="139" t="str">
        <f t="shared" si="5"/>
        <v>-</v>
      </c>
      <c r="T30" s="125"/>
      <c r="U30" s="126"/>
      <c r="V30" s="139" t="str">
        <f t="shared" si="6"/>
        <v>-</v>
      </c>
      <c r="W30" s="125"/>
      <c r="X30" s="126"/>
      <c r="Y30" s="139" t="str">
        <f t="shared" si="7"/>
        <v>-</v>
      </c>
      <c r="Z30" s="125">
        <v>0</v>
      </c>
      <c r="AA30" s="126">
        <v>0</v>
      </c>
      <c r="AB30" s="139" t="str">
        <f t="shared" si="8"/>
        <v>-</v>
      </c>
      <c r="AC30" s="125"/>
      <c r="AD30" s="126"/>
      <c r="AE30" s="139" t="str">
        <f t="shared" si="9"/>
        <v>-</v>
      </c>
      <c r="AF30" s="125"/>
      <c r="AG30" s="126"/>
      <c r="AH30" s="139" t="str">
        <f t="shared" si="10"/>
        <v>-</v>
      </c>
      <c r="AI30" s="125"/>
      <c r="AJ30" s="126"/>
      <c r="AK30" s="139" t="str">
        <f t="shared" si="11"/>
        <v>-</v>
      </c>
      <c r="AL30" s="20"/>
      <c r="AM30" s="21"/>
      <c r="AN30" s="139" t="str">
        <f t="shared" si="12"/>
        <v>-</v>
      </c>
      <c r="AO30" s="20"/>
      <c r="AP30" s="21"/>
      <c r="AQ30" s="139" t="str">
        <f t="shared" si="13"/>
        <v>-</v>
      </c>
      <c r="AR30" s="125"/>
      <c r="AS30" s="126"/>
      <c r="AT30" s="139" t="str">
        <f t="shared" si="14"/>
        <v>-</v>
      </c>
      <c r="AU30" s="125"/>
      <c r="AV30" s="126"/>
      <c r="AW30" s="139" t="str">
        <f t="shared" si="15"/>
        <v>-</v>
      </c>
      <c r="AX30" s="125">
        <v>0</v>
      </c>
      <c r="AY30" s="126">
        <v>0</v>
      </c>
      <c r="AZ30" s="139" t="str">
        <f t="shared" si="16"/>
        <v>-</v>
      </c>
      <c r="BA30" s="125"/>
      <c r="BB30" s="126"/>
      <c r="BC30" s="139" t="str">
        <f t="shared" si="17"/>
        <v>-</v>
      </c>
      <c r="BD30" s="125">
        <v>0</v>
      </c>
      <c r="BE30" s="126">
        <v>0</v>
      </c>
      <c r="BF30" s="139" t="str">
        <f t="shared" si="18"/>
        <v>-</v>
      </c>
      <c r="BG30" s="125"/>
      <c r="BH30" s="126"/>
      <c r="BI30" s="139" t="str">
        <f t="shared" si="19"/>
        <v>-</v>
      </c>
      <c r="BJ30" s="125">
        <v>0</v>
      </c>
      <c r="BK30" s="126">
        <v>0</v>
      </c>
      <c r="BL30" s="139" t="str">
        <f t="shared" si="20"/>
        <v>-</v>
      </c>
      <c r="BM30" s="20"/>
      <c r="BN30" s="21"/>
      <c r="BO30" s="276" t="str">
        <f t="shared" si="21"/>
        <v>-</v>
      </c>
      <c r="BP30" s="354"/>
      <c r="BQ30" s="271"/>
      <c r="BR30" s="276" t="str">
        <f t="shared" si="22"/>
        <v>-</v>
      </c>
      <c r="BS30" s="20"/>
      <c r="BT30" s="21"/>
      <c r="BU30" s="276" t="str">
        <f t="shared" si="23"/>
        <v>-</v>
      </c>
      <c r="BV30" s="368"/>
      <c r="BW30" s="21"/>
      <c r="BX30" s="276" t="str">
        <f t="shared" si="24"/>
        <v>-</v>
      </c>
      <c r="BY30" s="20"/>
      <c r="BZ30" s="21"/>
      <c r="CA30" s="139" t="str">
        <f t="shared" si="25"/>
        <v>-</v>
      </c>
      <c r="CB30" s="375">
        <f t="shared" si="29"/>
        <v>0</v>
      </c>
      <c r="CC30" s="373">
        <f t="shared" si="28"/>
        <v>0</v>
      </c>
      <c r="CD30" s="26" t="str">
        <f t="shared" si="26"/>
        <v/>
      </c>
    </row>
    <row r="31" spans="1:82" x14ac:dyDescent="0.3">
      <c r="A31" s="294">
        <v>46080</v>
      </c>
      <c r="B31" s="20"/>
      <c r="C31" s="21"/>
      <c r="D31" s="139" t="str">
        <f t="shared" si="0"/>
        <v>-</v>
      </c>
      <c r="E31" s="20"/>
      <c r="F31" s="21"/>
      <c r="G31" s="139">
        <v>0</v>
      </c>
      <c r="H31" s="20"/>
      <c r="I31" s="21"/>
      <c r="J31" s="139" t="str">
        <f t="shared" si="2"/>
        <v>-</v>
      </c>
      <c r="K31" s="20"/>
      <c r="L31" s="21"/>
      <c r="M31" s="139" t="str">
        <f t="shared" si="3"/>
        <v>-</v>
      </c>
      <c r="N31" s="125">
        <v>0</v>
      </c>
      <c r="O31" s="126">
        <v>0</v>
      </c>
      <c r="P31" s="139" t="str">
        <f t="shared" si="4"/>
        <v>-</v>
      </c>
      <c r="Q31" s="125"/>
      <c r="R31" s="126"/>
      <c r="S31" s="139" t="str">
        <f t="shared" si="5"/>
        <v>-</v>
      </c>
      <c r="T31" s="125"/>
      <c r="U31" s="126"/>
      <c r="V31" s="139" t="str">
        <f t="shared" si="6"/>
        <v>-</v>
      </c>
      <c r="W31" s="125"/>
      <c r="X31" s="126"/>
      <c r="Y31" s="139" t="str">
        <f t="shared" si="7"/>
        <v>-</v>
      </c>
      <c r="Z31" s="125">
        <v>0</v>
      </c>
      <c r="AA31" s="126">
        <v>0</v>
      </c>
      <c r="AB31" s="139" t="str">
        <f t="shared" si="8"/>
        <v>-</v>
      </c>
      <c r="AC31" s="125"/>
      <c r="AD31" s="126"/>
      <c r="AE31" s="139" t="str">
        <f t="shared" si="9"/>
        <v>-</v>
      </c>
      <c r="AF31" s="125"/>
      <c r="AG31" s="126"/>
      <c r="AH31" s="139" t="str">
        <f t="shared" si="10"/>
        <v>-</v>
      </c>
      <c r="AI31" s="125"/>
      <c r="AJ31" s="126"/>
      <c r="AK31" s="139" t="str">
        <f t="shared" si="11"/>
        <v>-</v>
      </c>
      <c r="AL31" s="125"/>
      <c r="AM31" s="126"/>
      <c r="AN31" s="139" t="str">
        <f t="shared" si="12"/>
        <v>-</v>
      </c>
      <c r="AO31" s="125"/>
      <c r="AP31" s="126"/>
      <c r="AQ31" s="139" t="str">
        <f t="shared" si="13"/>
        <v>-</v>
      </c>
      <c r="AR31" s="125"/>
      <c r="AS31" s="126"/>
      <c r="AT31" s="139" t="str">
        <f t="shared" si="14"/>
        <v>-</v>
      </c>
      <c r="AU31" s="125"/>
      <c r="AV31" s="126"/>
      <c r="AW31" s="139" t="str">
        <f t="shared" si="15"/>
        <v>-</v>
      </c>
      <c r="AX31" s="125">
        <v>0</v>
      </c>
      <c r="AY31" s="126">
        <v>0</v>
      </c>
      <c r="AZ31" s="139" t="str">
        <f t="shared" si="16"/>
        <v>-</v>
      </c>
      <c r="BA31" s="125"/>
      <c r="BB31" s="126"/>
      <c r="BC31" s="139" t="str">
        <f t="shared" si="17"/>
        <v>-</v>
      </c>
      <c r="BD31" s="125">
        <v>0</v>
      </c>
      <c r="BE31" s="126">
        <v>0</v>
      </c>
      <c r="BF31" s="139" t="str">
        <f t="shared" si="18"/>
        <v>-</v>
      </c>
      <c r="BG31" s="125"/>
      <c r="BH31" s="126"/>
      <c r="BI31" s="139" t="str">
        <f t="shared" si="19"/>
        <v>-</v>
      </c>
      <c r="BJ31" s="125">
        <v>0</v>
      </c>
      <c r="BK31" s="126">
        <v>0</v>
      </c>
      <c r="BL31" s="139" t="str">
        <f t="shared" si="20"/>
        <v>-</v>
      </c>
      <c r="BM31" s="20"/>
      <c r="BN31" s="21"/>
      <c r="BO31" s="276" t="str">
        <f t="shared" si="21"/>
        <v>-</v>
      </c>
      <c r="BP31" s="252"/>
      <c r="BQ31" s="253"/>
      <c r="BR31" s="276" t="str">
        <f t="shared" si="22"/>
        <v>-</v>
      </c>
      <c r="BS31" s="302"/>
      <c r="BT31" s="303"/>
      <c r="BU31" s="276" t="str">
        <f t="shared" si="23"/>
        <v>-</v>
      </c>
      <c r="BV31" s="256"/>
      <c r="BW31" s="253"/>
      <c r="BX31" s="276" t="str">
        <f>IF(BW31=0,"-",BV31/BW31)</f>
        <v>-</v>
      </c>
      <c r="BY31" s="20"/>
      <c r="BZ31" s="21"/>
      <c r="CA31" s="139" t="str">
        <f t="shared" si="25"/>
        <v>-</v>
      </c>
      <c r="CB31" s="375">
        <f t="shared" si="29"/>
        <v>0</v>
      </c>
      <c r="CC31" s="373">
        <f t="shared" si="28"/>
        <v>0</v>
      </c>
      <c r="CD31" s="26" t="str">
        <f t="shared" si="26"/>
        <v/>
      </c>
    </row>
    <row r="32" spans="1:82" x14ac:dyDescent="0.3">
      <c r="A32" s="294">
        <v>46081</v>
      </c>
      <c r="B32" s="20"/>
      <c r="C32" s="21"/>
      <c r="D32" s="139" t="str">
        <f t="shared" si="0"/>
        <v>-</v>
      </c>
      <c r="E32" s="20"/>
      <c r="F32" s="21"/>
      <c r="G32" s="139" t="str">
        <f t="shared" si="1"/>
        <v>-</v>
      </c>
      <c r="H32" s="20"/>
      <c r="I32" s="21"/>
      <c r="J32" s="139" t="str">
        <f t="shared" si="2"/>
        <v>-</v>
      </c>
      <c r="K32" s="20"/>
      <c r="L32" s="21"/>
      <c r="M32" s="139" t="str">
        <f t="shared" si="3"/>
        <v>-</v>
      </c>
      <c r="N32" s="125">
        <v>0</v>
      </c>
      <c r="O32" s="126">
        <v>0</v>
      </c>
      <c r="P32" s="139" t="str">
        <f t="shared" si="4"/>
        <v>-</v>
      </c>
      <c r="Q32" s="125"/>
      <c r="R32" s="126"/>
      <c r="S32" s="139" t="str">
        <f t="shared" si="5"/>
        <v>-</v>
      </c>
      <c r="T32" s="125"/>
      <c r="U32" s="126"/>
      <c r="V32" s="139" t="str">
        <f t="shared" si="6"/>
        <v>-</v>
      </c>
      <c r="W32" s="125"/>
      <c r="X32" s="126"/>
      <c r="Y32" s="139" t="str">
        <f t="shared" si="7"/>
        <v>-</v>
      </c>
      <c r="Z32" s="125">
        <v>0</v>
      </c>
      <c r="AA32" s="126">
        <v>0</v>
      </c>
      <c r="AB32" s="139" t="str">
        <f t="shared" si="8"/>
        <v>-</v>
      </c>
      <c r="AC32" s="125"/>
      <c r="AD32" s="126"/>
      <c r="AE32" s="139" t="str">
        <f t="shared" si="9"/>
        <v>-</v>
      </c>
      <c r="AF32" s="125"/>
      <c r="AG32" s="126"/>
      <c r="AH32" s="139" t="str">
        <f t="shared" si="10"/>
        <v>-</v>
      </c>
      <c r="AI32" s="125"/>
      <c r="AJ32" s="126"/>
      <c r="AK32" s="139" t="str">
        <f t="shared" si="11"/>
        <v>-</v>
      </c>
      <c r="AL32" s="125"/>
      <c r="AM32" s="126"/>
      <c r="AN32" s="139" t="str">
        <f t="shared" si="12"/>
        <v>-</v>
      </c>
      <c r="AO32" s="125"/>
      <c r="AP32" s="126"/>
      <c r="AQ32" s="139" t="str">
        <f t="shared" si="13"/>
        <v>-</v>
      </c>
      <c r="AR32" s="125"/>
      <c r="AS32" s="126"/>
      <c r="AT32" s="139" t="str">
        <f t="shared" si="14"/>
        <v>-</v>
      </c>
      <c r="AU32" s="125"/>
      <c r="AV32" s="126"/>
      <c r="AW32" s="139" t="str">
        <f t="shared" si="15"/>
        <v>-</v>
      </c>
      <c r="AX32" s="125">
        <v>0</v>
      </c>
      <c r="AY32" s="126">
        <v>0</v>
      </c>
      <c r="AZ32" s="139" t="str">
        <f t="shared" si="16"/>
        <v>-</v>
      </c>
      <c r="BA32" s="125"/>
      <c r="BB32" s="126"/>
      <c r="BC32" s="139" t="str">
        <f t="shared" si="17"/>
        <v>-</v>
      </c>
      <c r="BD32" s="125">
        <v>0</v>
      </c>
      <c r="BE32" s="126">
        <v>0</v>
      </c>
      <c r="BF32" s="139" t="str">
        <f t="shared" si="18"/>
        <v>-</v>
      </c>
      <c r="BG32" s="125"/>
      <c r="BH32" s="126"/>
      <c r="BI32" s="139" t="str">
        <f t="shared" si="19"/>
        <v>-</v>
      </c>
      <c r="BJ32" s="125">
        <v>0</v>
      </c>
      <c r="BK32" s="126">
        <v>0</v>
      </c>
      <c r="BL32" s="139" t="str">
        <f t="shared" si="20"/>
        <v>-</v>
      </c>
      <c r="BM32" s="270"/>
      <c r="BN32" s="21"/>
      <c r="BO32" s="276" t="str">
        <f t="shared" si="21"/>
        <v>-</v>
      </c>
      <c r="BP32" s="20"/>
      <c r="BQ32" s="21"/>
      <c r="BR32" s="276" t="str">
        <f t="shared" si="22"/>
        <v>-</v>
      </c>
      <c r="BS32" s="20"/>
      <c r="BT32" s="21"/>
      <c r="BU32" s="276" t="str">
        <f t="shared" si="23"/>
        <v>-</v>
      </c>
      <c r="BV32" s="368"/>
      <c r="BW32" s="21"/>
      <c r="BX32" s="276" t="str">
        <f>IF(BW32=0,"-",BV32/BW32)</f>
        <v>-</v>
      </c>
      <c r="BY32" s="20"/>
      <c r="BZ32" s="21"/>
      <c r="CA32" s="139" t="str">
        <f t="shared" si="25"/>
        <v>-</v>
      </c>
      <c r="CB32" s="375">
        <f t="shared" si="29"/>
        <v>0</v>
      </c>
      <c r="CC32" s="373">
        <f t="shared" si="28"/>
        <v>0</v>
      </c>
      <c r="CD32" s="26" t="str">
        <f t="shared" si="26"/>
        <v/>
      </c>
    </row>
    <row r="33" spans="1:82" x14ac:dyDescent="0.3">
      <c r="A33" s="294"/>
      <c r="B33" s="20"/>
      <c r="C33" s="21"/>
      <c r="D33" s="139" t="str">
        <f t="shared" si="0"/>
        <v>-</v>
      </c>
      <c r="E33" s="20"/>
      <c r="F33" s="21"/>
      <c r="G33" s="139" t="str">
        <f t="shared" si="1"/>
        <v>-</v>
      </c>
      <c r="H33" s="20"/>
      <c r="I33" s="21"/>
      <c r="J33" s="139" t="str">
        <f t="shared" si="2"/>
        <v>-</v>
      </c>
      <c r="K33" s="20"/>
      <c r="L33" s="21"/>
      <c r="M33" s="139" t="str">
        <f t="shared" si="3"/>
        <v>-</v>
      </c>
      <c r="N33" s="125">
        <v>0</v>
      </c>
      <c r="O33" s="126">
        <v>0</v>
      </c>
      <c r="P33" s="139" t="str">
        <f t="shared" si="4"/>
        <v>-</v>
      </c>
      <c r="Q33" s="125"/>
      <c r="R33" s="126"/>
      <c r="S33" s="139" t="str">
        <f t="shared" si="5"/>
        <v>-</v>
      </c>
      <c r="T33" s="125"/>
      <c r="U33" s="126"/>
      <c r="V33" s="139" t="str">
        <f t="shared" si="6"/>
        <v>-</v>
      </c>
      <c r="W33" s="125"/>
      <c r="X33" s="126"/>
      <c r="Y33" s="139" t="str">
        <f t="shared" si="7"/>
        <v>-</v>
      </c>
      <c r="Z33" s="125">
        <v>0</v>
      </c>
      <c r="AA33" s="126">
        <v>0</v>
      </c>
      <c r="AB33" s="139" t="str">
        <f t="shared" si="8"/>
        <v>-</v>
      </c>
      <c r="AC33" s="125"/>
      <c r="AD33" s="126"/>
      <c r="AE33" s="139" t="str">
        <f t="shared" si="9"/>
        <v>-</v>
      </c>
      <c r="AF33" s="125"/>
      <c r="AG33" s="126"/>
      <c r="AH33" s="139" t="str">
        <f t="shared" si="10"/>
        <v>-</v>
      </c>
      <c r="AI33" s="125"/>
      <c r="AJ33" s="126"/>
      <c r="AK33" s="139" t="str">
        <f t="shared" si="11"/>
        <v>-</v>
      </c>
      <c r="AL33" s="125"/>
      <c r="AM33" s="126"/>
      <c r="AN33" s="139" t="str">
        <f t="shared" si="12"/>
        <v>-</v>
      </c>
      <c r="AO33" s="125"/>
      <c r="AP33" s="126"/>
      <c r="AQ33" s="139" t="str">
        <f t="shared" si="13"/>
        <v>-</v>
      </c>
      <c r="AR33" s="125"/>
      <c r="AS33" s="126"/>
      <c r="AT33" s="139" t="str">
        <f t="shared" si="14"/>
        <v>-</v>
      </c>
      <c r="AU33" s="125"/>
      <c r="AV33" s="126"/>
      <c r="AW33" s="139" t="str">
        <f t="shared" si="15"/>
        <v>-</v>
      </c>
      <c r="AX33" s="125">
        <v>0</v>
      </c>
      <c r="AY33" s="126">
        <v>0</v>
      </c>
      <c r="AZ33" s="139" t="str">
        <f t="shared" si="16"/>
        <v>-</v>
      </c>
      <c r="BA33" s="125"/>
      <c r="BB33" s="126"/>
      <c r="BC33" s="139" t="str">
        <f t="shared" si="17"/>
        <v>-</v>
      </c>
      <c r="BD33" s="125">
        <v>0</v>
      </c>
      <c r="BE33" s="126">
        <v>0</v>
      </c>
      <c r="BF33" s="139" t="str">
        <f t="shared" si="18"/>
        <v>-</v>
      </c>
      <c r="BG33" s="125"/>
      <c r="BH33" s="126"/>
      <c r="BI33" s="139" t="str">
        <f t="shared" si="19"/>
        <v>-</v>
      </c>
      <c r="BJ33" s="125">
        <v>0</v>
      </c>
      <c r="BK33" s="126">
        <v>0</v>
      </c>
      <c r="BL33" s="139" t="str">
        <f t="shared" si="20"/>
        <v>-</v>
      </c>
      <c r="BM33" s="20"/>
      <c r="BN33" s="21"/>
      <c r="BO33" s="276" t="str">
        <f t="shared" si="21"/>
        <v>-</v>
      </c>
      <c r="BP33" s="20"/>
      <c r="BQ33" s="21"/>
      <c r="BR33" s="276" t="str">
        <f t="shared" si="22"/>
        <v>-</v>
      </c>
      <c r="BS33" s="20"/>
      <c r="BT33" s="21"/>
      <c r="BU33" s="276" t="str">
        <f t="shared" si="23"/>
        <v>-</v>
      </c>
      <c r="BV33" s="20"/>
      <c r="BW33" s="21"/>
      <c r="BX33" s="276" t="str">
        <f t="shared" si="24"/>
        <v>-</v>
      </c>
      <c r="BY33" s="20"/>
      <c r="BZ33" s="21"/>
      <c r="CA33" s="139" t="str">
        <f t="shared" si="25"/>
        <v>-</v>
      </c>
      <c r="CB33" s="375">
        <f t="shared" si="29"/>
        <v>0</v>
      </c>
      <c r="CC33" s="373">
        <f t="shared" si="28"/>
        <v>0</v>
      </c>
      <c r="CD33" s="26" t="str">
        <f t="shared" si="26"/>
        <v/>
      </c>
    </row>
    <row r="34" spans="1:82" x14ac:dyDescent="0.3">
      <c r="A34" s="294"/>
      <c r="B34" s="20"/>
      <c r="C34" s="21"/>
      <c r="D34" s="139" t="str">
        <f t="shared" si="0"/>
        <v>-</v>
      </c>
      <c r="E34" s="20"/>
      <c r="F34" s="21"/>
      <c r="G34" s="139" t="str">
        <f t="shared" si="1"/>
        <v>-</v>
      </c>
      <c r="H34" s="20"/>
      <c r="I34" s="21"/>
      <c r="J34" s="139" t="str">
        <f t="shared" si="2"/>
        <v>-</v>
      </c>
      <c r="K34" s="20"/>
      <c r="L34" s="21"/>
      <c r="M34" s="139" t="str">
        <f t="shared" si="3"/>
        <v>-</v>
      </c>
      <c r="N34" s="125">
        <v>0</v>
      </c>
      <c r="O34" s="126">
        <v>0</v>
      </c>
      <c r="P34" s="139" t="str">
        <f t="shared" si="4"/>
        <v>-</v>
      </c>
      <c r="Q34" s="125"/>
      <c r="R34" s="126"/>
      <c r="S34" s="139" t="str">
        <f t="shared" si="5"/>
        <v>-</v>
      </c>
      <c r="T34" s="125"/>
      <c r="U34" s="126"/>
      <c r="V34" s="139" t="str">
        <f t="shared" si="6"/>
        <v>-</v>
      </c>
      <c r="W34" s="125"/>
      <c r="X34" s="126"/>
      <c r="Y34" s="139" t="str">
        <f t="shared" si="7"/>
        <v>-</v>
      </c>
      <c r="Z34" s="125">
        <v>0</v>
      </c>
      <c r="AA34" s="126">
        <v>0</v>
      </c>
      <c r="AB34" s="139" t="str">
        <f t="shared" si="8"/>
        <v>-</v>
      </c>
      <c r="AC34" s="125"/>
      <c r="AD34" s="126"/>
      <c r="AE34" s="139" t="str">
        <f t="shared" si="9"/>
        <v>-</v>
      </c>
      <c r="AF34" s="125"/>
      <c r="AG34" s="126"/>
      <c r="AH34" s="139" t="str">
        <f t="shared" si="10"/>
        <v>-</v>
      </c>
      <c r="AI34" s="125"/>
      <c r="AJ34" s="126"/>
      <c r="AK34" s="139" t="str">
        <f t="shared" si="11"/>
        <v>-</v>
      </c>
      <c r="AL34" s="125"/>
      <c r="AM34" s="126"/>
      <c r="AN34" s="139" t="str">
        <f t="shared" si="12"/>
        <v>-</v>
      </c>
      <c r="AO34" s="125"/>
      <c r="AP34" s="126"/>
      <c r="AQ34" s="139" t="str">
        <f t="shared" si="13"/>
        <v>-</v>
      </c>
      <c r="AR34" s="125"/>
      <c r="AS34" s="126"/>
      <c r="AT34" s="139" t="str">
        <f t="shared" si="14"/>
        <v>-</v>
      </c>
      <c r="AU34" s="125"/>
      <c r="AV34" s="126"/>
      <c r="AW34" s="139" t="str">
        <f t="shared" si="15"/>
        <v>-</v>
      </c>
      <c r="AX34" s="125">
        <v>0</v>
      </c>
      <c r="AY34" s="126">
        <v>0</v>
      </c>
      <c r="AZ34" s="139" t="str">
        <f t="shared" si="16"/>
        <v>-</v>
      </c>
      <c r="BA34" s="125"/>
      <c r="BB34" s="126"/>
      <c r="BC34" s="139" t="str">
        <f t="shared" si="17"/>
        <v>-</v>
      </c>
      <c r="BD34" s="125">
        <v>0</v>
      </c>
      <c r="BE34" s="126">
        <v>0</v>
      </c>
      <c r="BF34" s="139" t="str">
        <f t="shared" si="18"/>
        <v>-</v>
      </c>
      <c r="BG34" s="125"/>
      <c r="BH34" s="126"/>
      <c r="BI34" s="139" t="str">
        <f t="shared" si="19"/>
        <v>-</v>
      </c>
      <c r="BJ34" s="125">
        <v>0</v>
      </c>
      <c r="BK34" s="126">
        <v>0</v>
      </c>
      <c r="BL34" s="139" t="str">
        <f t="shared" si="20"/>
        <v>-</v>
      </c>
      <c r="BM34" s="20"/>
      <c r="BN34" s="21"/>
      <c r="BO34" s="276" t="str">
        <f t="shared" si="21"/>
        <v>-</v>
      </c>
      <c r="BP34" s="20"/>
      <c r="BQ34" s="21"/>
      <c r="BR34" s="276" t="str">
        <f t="shared" si="22"/>
        <v>-</v>
      </c>
      <c r="BS34" s="20"/>
      <c r="BT34" s="21"/>
      <c r="BU34" s="276" t="str">
        <f t="shared" si="23"/>
        <v>-</v>
      </c>
      <c r="BV34" s="20"/>
      <c r="BW34" s="21"/>
      <c r="BX34" s="276" t="str">
        <f t="shared" si="24"/>
        <v>-</v>
      </c>
      <c r="BY34" s="20"/>
      <c r="BZ34" s="21"/>
      <c r="CA34" s="139" t="str">
        <f t="shared" si="25"/>
        <v>-</v>
      </c>
      <c r="CB34" s="375">
        <f t="shared" si="29"/>
        <v>0</v>
      </c>
      <c r="CC34" s="373">
        <f t="shared" si="28"/>
        <v>0</v>
      </c>
      <c r="CD34" s="26" t="str">
        <f t="shared" si="26"/>
        <v/>
      </c>
    </row>
    <row r="35" spans="1:82" ht="15" thickBot="1" x14ac:dyDescent="0.35">
      <c r="A35" s="294"/>
      <c r="B35" s="20"/>
      <c r="C35" s="21"/>
      <c r="D35" s="139" t="str">
        <f t="shared" si="0"/>
        <v>-</v>
      </c>
      <c r="E35" s="20"/>
      <c r="F35" s="21"/>
      <c r="G35" s="139" t="str">
        <f t="shared" si="1"/>
        <v>-</v>
      </c>
      <c r="H35" s="20">
        <v>0</v>
      </c>
      <c r="I35" s="21">
        <v>0</v>
      </c>
      <c r="J35" s="139" t="str">
        <f t="shared" si="2"/>
        <v>-</v>
      </c>
      <c r="K35" s="20"/>
      <c r="L35" s="21"/>
      <c r="M35" s="139" t="str">
        <f t="shared" si="3"/>
        <v>-</v>
      </c>
      <c r="N35" s="125">
        <v>0</v>
      </c>
      <c r="O35" s="126">
        <v>0</v>
      </c>
      <c r="P35" s="139" t="str">
        <f t="shared" si="4"/>
        <v>-</v>
      </c>
      <c r="Q35" s="125"/>
      <c r="R35" s="126"/>
      <c r="S35" s="139" t="str">
        <f t="shared" si="5"/>
        <v>-</v>
      </c>
      <c r="T35" s="125"/>
      <c r="U35" s="126"/>
      <c r="V35" s="139" t="str">
        <f t="shared" si="6"/>
        <v>-</v>
      </c>
      <c r="W35" s="125"/>
      <c r="X35" s="126"/>
      <c r="Y35" s="139" t="str">
        <f t="shared" si="7"/>
        <v>-</v>
      </c>
      <c r="Z35" s="125">
        <v>0</v>
      </c>
      <c r="AA35" s="126">
        <v>0</v>
      </c>
      <c r="AB35" s="139" t="str">
        <f t="shared" si="8"/>
        <v>-</v>
      </c>
      <c r="AC35" s="125"/>
      <c r="AD35" s="126"/>
      <c r="AE35" s="139" t="str">
        <f t="shared" si="9"/>
        <v>-</v>
      </c>
      <c r="AF35" s="125">
        <v>0</v>
      </c>
      <c r="AG35" s="126">
        <v>0</v>
      </c>
      <c r="AH35" s="139" t="str">
        <f t="shared" si="10"/>
        <v>-</v>
      </c>
      <c r="AI35" s="125">
        <v>0</v>
      </c>
      <c r="AJ35" s="126">
        <v>0</v>
      </c>
      <c r="AK35" s="139" t="str">
        <f t="shared" si="11"/>
        <v>-</v>
      </c>
      <c r="AL35" s="125"/>
      <c r="AM35" s="126"/>
      <c r="AN35" s="139" t="str">
        <f t="shared" si="12"/>
        <v>-</v>
      </c>
      <c r="AO35" s="125"/>
      <c r="AP35" s="126"/>
      <c r="AQ35" s="139" t="str">
        <f t="shared" si="13"/>
        <v>-</v>
      </c>
      <c r="AR35" s="125"/>
      <c r="AS35" s="126"/>
      <c r="AT35" s="139" t="str">
        <f t="shared" si="14"/>
        <v>-</v>
      </c>
      <c r="AU35" s="125"/>
      <c r="AV35" s="126"/>
      <c r="AW35" s="139" t="str">
        <f t="shared" si="15"/>
        <v>-</v>
      </c>
      <c r="AX35" s="125">
        <v>0</v>
      </c>
      <c r="AY35" s="126">
        <v>0</v>
      </c>
      <c r="AZ35" s="139" t="str">
        <f t="shared" si="16"/>
        <v>-</v>
      </c>
      <c r="BA35" s="125"/>
      <c r="BB35" s="126"/>
      <c r="BC35" s="139" t="str">
        <f t="shared" si="17"/>
        <v>-</v>
      </c>
      <c r="BD35" s="125">
        <v>0</v>
      </c>
      <c r="BE35" s="126">
        <v>0</v>
      </c>
      <c r="BF35" s="139" t="str">
        <f t="shared" si="18"/>
        <v>-</v>
      </c>
      <c r="BG35" s="125"/>
      <c r="BH35" s="126"/>
      <c r="BI35" s="139" t="str">
        <f t="shared" si="19"/>
        <v>-</v>
      </c>
      <c r="BJ35" s="125">
        <v>0</v>
      </c>
      <c r="BK35" s="126">
        <v>0</v>
      </c>
      <c r="BL35" s="139" t="str">
        <f t="shared" si="20"/>
        <v>-</v>
      </c>
      <c r="BM35" s="377">
        <v>0</v>
      </c>
      <c r="BN35" s="378">
        <v>0</v>
      </c>
      <c r="BO35" s="276" t="str">
        <f t="shared" si="21"/>
        <v>-</v>
      </c>
      <c r="BP35" s="20">
        <v>0</v>
      </c>
      <c r="BQ35" s="21">
        <v>0</v>
      </c>
      <c r="BR35" s="276" t="str">
        <f t="shared" si="22"/>
        <v>-</v>
      </c>
      <c r="BS35" s="20"/>
      <c r="BT35" s="21"/>
      <c r="BU35" s="276" t="str">
        <f t="shared" si="23"/>
        <v>-</v>
      </c>
      <c r="BV35" s="377"/>
      <c r="BW35" s="378"/>
      <c r="BX35" s="381" t="str">
        <f t="shared" si="24"/>
        <v>-</v>
      </c>
      <c r="BY35" s="23"/>
      <c r="BZ35" s="21"/>
      <c r="CA35" s="139" t="str">
        <f t="shared" si="25"/>
        <v>-</v>
      </c>
      <c r="CB35" s="375">
        <f t="shared" si="29"/>
        <v>0</v>
      </c>
      <c r="CC35" s="373">
        <f t="shared" si="28"/>
        <v>0</v>
      </c>
      <c r="CD35" s="89" t="str">
        <f t="shared" si="26"/>
        <v/>
      </c>
    </row>
    <row r="36" spans="1:82" s="41" customFormat="1" ht="15.6" customHeight="1" thickBot="1" x14ac:dyDescent="0.35">
      <c r="A36" s="295" t="s">
        <v>33</v>
      </c>
      <c r="B36" s="43">
        <f>SUM(B5:B35)</f>
        <v>773</v>
      </c>
      <c r="C36" s="43">
        <f>SUM(C5:C35)</f>
        <v>103</v>
      </c>
      <c r="D36" s="332">
        <f t="shared" si="0"/>
        <v>7.5048543689320386</v>
      </c>
      <c r="E36" s="43">
        <f>SUM(E5:E35)</f>
        <v>135</v>
      </c>
      <c r="F36" s="43">
        <f>SUM(F5:F35)</f>
        <v>19</v>
      </c>
      <c r="G36" s="332">
        <f t="shared" si="1"/>
        <v>7.1052631578947372</v>
      </c>
      <c r="H36" s="43">
        <f>SUM(H5:H35)</f>
        <v>69</v>
      </c>
      <c r="I36" s="43">
        <f>SUM(I5:I35)</f>
        <v>11</v>
      </c>
      <c r="J36" s="364">
        <f t="shared" si="2"/>
        <v>6.2727272727272725</v>
      </c>
      <c r="K36" s="43">
        <f>SUM(K5:K35)</f>
        <v>139</v>
      </c>
      <c r="L36" s="43">
        <f>SUM(L5:L35)</f>
        <v>18</v>
      </c>
      <c r="M36" s="334">
        <f t="shared" si="3"/>
        <v>7.7222222222222223</v>
      </c>
      <c r="N36" s="43">
        <f t="shared" ref="N36:R36" si="33">SUM(N5:N35)</f>
        <v>0</v>
      </c>
      <c r="O36" s="43">
        <f t="shared" si="33"/>
        <v>0</v>
      </c>
      <c r="P36" s="43" t="str">
        <f t="shared" si="4"/>
        <v>-</v>
      </c>
      <c r="Q36" s="43">
        <f t="shared" si="33"/>
        <v>438</v>
      </c>
      <c r="R36" s="43">
        <f t="shared" si="33"/>
        <v>46</v>
      </c>
      <c r="S36" s="43">
        <f t="shared" si="5"/>
        <v>9.5217391304347831</v>
      </c>
      <c r="T36" s="43">
        <f>SUM(T5:T35)</f>
        <v>642</v>
      </c>
      <c r="U36" s="43">
        <f>SUM(U5:U35)</f>
        <v>118</v>
      </c>
      <c r="V36" s="332">
        <f t="shared" si="6"/>
        <v>5.4406779661016946</v>
      </c>
      <c r="W36" s="43">
        <f>SUM(W5:W35)</f>
        <v>0</v>
      </c>
      <c r="X36" s="43">
        <f>SUM(X5:X35)</f>
        <v>0</v>
      </c>
      <c r="Y36" s="333" t="str">
        <f t="shared" si="7"/>
        <v>-</v>
      </c>
      <c r="Z36" s="43">
        <f t="shared" ref="Z36:BL36" si="34">SUM(Z5:Z35)</f>
        <v>0</v>
      </c>
      <c r="AA36" s="43">
        <f t="shared" si="34"/>
        <v>0</v>
      </c>
      <c r="AB36" s="43">
        <f t="shared" si="34"/>
        <v>0</v>
      </c>
      <c r="AC36" s="43">
        <f>SUM(AC5:AC35)</f>
        <v>151</v>
      </c>
      <c r="AD36" s="43">
        <f>SUM(AD5:AD35)</f>
        <v>31</v>
      </c>
      <c r="AE36" s="333">
        <f t="shared" si="9"/>
        <v>4.870967741935484</v>
      </c>
      <c r="AF36" s="43">
        <f>SUM(AF5:AF35)</f>
        <v>154</v>
      </c>
      <c r="AG36" s="43">
        <f>SUM(AG5:AG35)</f>
        <v>31</v>
      </c>
      <c r="AH36" s="332">
        <f t="shared" si="10"/>
        <v>4.967741935483871</v>
      </c>
      <c r="AI36" s="43">
        <f>SUM(AI5:AI35)</f>
        <v>492</v>
      </c>
      <c r="AJ36" s="43">
        <f>SUM(AJ5:AJ35)</f>
        <v>100</v>
      </c>
      <c r="AK36" s="332">
        <f t="shared" si="11"/>
        <v>4.92</v>
      </c>
      <c r="AL36" s="43">
        <f>SUM(AL5:AL35)</f>
        <v>15</v>
      </c>
      <c r="AM36" s="43">
        <f>SUM(AM5:AM35)</f>
        <v>3</v>
      </c>
      <c r="AN36" s="364">
        <f t="shared" si="12"/>
        <v>5</v>
      </c>
      <c r="AO36" s="43">
        <f>SUM(AO5:AO35)</f>
        <v>21</v>
      </c>
      <c r="AP36" s="43">
        <f>SUM(AP5:AP35)</f>
        <v>4</v>
      </c>
      <c r="AQ36" s="43">
        <f t="shared" si="13"/>
        <v>5.25</v>
      </c>
      <c r="AR36" s="43">
        <f>SUM(AR5:AR35)</f>
        <v>189</v>
      </c>
      <c r="AS36" s="43">
        <f>SUM(AS5:AS35)</f>
        <v>31</v>
      </c>
      <c r="AT36" s="43">
        <f t="shared" si="14"/>
        <v>6.096774193548387</v>
      </c>
      <c r="AU36" s="43">
        <f>SUM(AU5:AU35)</f>
        <v>0</v>
      </c>
      <c r="AV36" s="43">
        <f>SUM(AV5:AV35)</f>
        <v>0</v>
      </c>
      <c r="AW36" s="43" t="str">
        <f t="shared" si="15"/>
        <v>-</v>
      </c>
      <c r="AX36" s="43">
        <f t="shared" si="34"/>
        <v>0</v>
      </c>
      <c r="AY36" s="43">
        <f t="shared" si="34"/>
        <v>0</v>
      </c>
      <c r="AZ36" s="43">
        <f t="shared" si="34"/>
        <v>0</v>
      </c>
      <c r="BA36" s="43">
        <f>SUM(BA5:BA35)</f>
        <v>58</v>
      </c>
      <c r="BB36" s="43">
        <f>SUM(BB5:BB35)</f>
        <v>10</v>
      </c>
      <c r="BC36" s="364">
        <f t="shared" si="17"/>
        <v>5.8</v>
      </c>
      <c r="BD36" s="43">
        <f t="shared" si="34"/>
        <v>0</v>
      </c>
      <c r="BE36" s="43">
        <f t="shared" si="34"/>
        <v>0</v>
      </c>
      <c r="BF36" s="332">
        <f t="shared" si="34"/>
        <v>0</v>
      </c>
      <c r="BG36" s="43">
        <f>SUM(BG5:BG35)</f>
        <v>110</v>
      </c>
      <c r="BH36" s="43">
        <f>SUM(BH5:BH35)</f>
        <v>29</v>
      </c>
      <c r="BI36" s="364">
        <f t="shared" si="19"/>
        <v>3.7931034482758621</v>
      </c>
      <c r="BJ36" s="43">
        <f t="shared" si="34"/>
        <v>0</v>
      </c>
      <c r="BK36" s="43">
        <f t="shared" si="34"/>
        <v>0</v>
      </c>
      <c r="BL36" s="43">
        <f t="shared" si="34"/>
        <v>0</v>
      </c>
      <c r="BM36" s="43">
        <f>SUM(BM5:BM35)</f>
        <v>467</v>
      </c>
      <c r="BN36" s="43">
        <f>SUM(BN5:BN35)</f>
        <v>73</v>
      </c>
      <c r="BO36" s="332">
        <f t="shared" si="21"/>
        <v>6.397260273972603</v>
      </c>
      <c r="BP36" s="43">
        <f>SUM(BP5:BP35)</f>
        <v>0</v>
      </c>
      <c r="BQ36" s="43">
        <f>SUM(BQ5:BQ35)</f>
        <v>0</v>
      </c>
      <c r="BR36" s="43" t="str">
        <f t="shared" si="22"/>
        <v>-</v>
      </c>
      <c r="BS36" s="43">
        <f>SUM(BS5:BS35)</f>
        <v>0</v>
      </c>
      <c r="BT36" s="43">
        <f>SUM(BT5:BT35)</f>
        <v>0</v>
      </c>
      <c r="BU36" s="43" t="str">
        <f t="shared" si="23"/>
        <v>-</v>
      </c>
      <c r="BV36" s="43">
        <f>SUM(BV5:BV35)</f>
        <v>45</v>
      </c>
      <c r="BW36" s="43">
        <f>SUM(BW5:BW35)</f>
        <v>7</v>
      </c>
      <c r="BX36" s="43">
        <f t="shared" si="24"/>
        <v>6.4285714285714288</v>
      </c>
      <c r="BY36" s="43">
        <f>SUM(BY5:BY35)</f>
        <v>6</v>
      </c>
      <c r="BZ36" s="43">
        <f>SUM(BZ5:BZ35)</f>
        <v>1</v>
      </c>
      <c r="CA36" s="43">
        <f t="shared" ref="CA36" si="35">IF(BZ36=0,"-",BY36/BZ36)</f>
        <v>6</v>
      </c>
      <c r="CB36" s="372">
        <f>SUM(CB5:CB35)</f>
        <v>3904</v>
      </c>
      <c r="CC36" s="372">
        <f>SUM(CC5:CC35)</f>
        <v>635</v>
      </c>
      <c r="CD36" s="144">
        <f t="shared" si="26"/>
        <v>6.148031496062992</v>
      </c>
    </row>
    <row r="37" spans="1:82" x14ac:dyDescent="0.3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</row>
    <row r="38" spans="1:82" x14ac:dyDescent="0.3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</row>
    <row r="39" spans="1:82" x14ac:dyDescent="0.3">
      <c r="A39" s="294"/>
    </row>
    <row r="40" spans="1:82" x14ac:dyDescent="0.3">
      <c r="A40" s="294"/>
    </row>
    <row r="41" spans="1:82" x14ac:dyDescent="0.3">
      <c r="A41" s="294"/>
    </row>
    <row r="42" spans="1:82" x14ac:dyDescent="0.3">
      <c r="A42" s="294"/>
    </row>
    <row r="43" spans="1:82" x14ac:dyDescent="0.3">
      <c r="A43" s="294"/>
    </row>
    <row r="44" spans="1:82" x14ac:dyDescent="0.3">
      <c r="A44" s="294"/>
    </row>
    <row r="45" spans="1:82" x14ac:dyDescent="0.3">
      <c r="A45" s="294"/>
    </row>
    <row r="46" spans="1:82" x14ac:dyDescent="0.3">
      <c r="A46" s="294"/>
    </row>
    <row r="47" spans="1:82" x14ac:dyDescent="0.3">
      <c r="A47" s="294"/>
    </row>
    <row r="48" spans="1:82" x14ac:dyDescent="0.3">
      <c r="A48" s="294"/>
    </row>
    <row r="49" spans="1:1" x14ac:dyDescent="0.3">
      <c r="A49" s="294"/>
    </row>
    <row r="50" spans="1:1" x14ac:dyDescent="0.3">
      <c r="A50" s="294"/>
    </row>
    <row r="51" spans="1:1" x14ac:dyDescent="0.3">
      <c r="A51" s="294"/>
    </row>
    <row r="52" spans="1:1" x14ac:dyDescent="0.3">
      <c r="A52" s="294"/>
    </row>
    <row r="53" spans="1:1" x14ac:dyDescent="0.3">
      <c r="A53" s="294"/>
    </row>
    <row r="54" spans="1:1" x14ac:dyDescent="0.3">
      <c r="A54" s="294"/>
    </row>
    <row r="55" spans="1:1" x14ac:dyDescent="0.3">
      <c r="A55" s="294"/>
    </row>
    <row r="56" spans="1:1" x14ac:dyDescent="0.3">
      <c r="A56" s="294"/>
    </row>
    <row r="57" spans="1:1" x14ac:dyDescent="0.3">
      <c r="A57" s="294"/>
    </row>
    <row r="58" spans="1:1" x14ac:dyDescent="0.3">
      <c r="A58" s="294"/>
    </row>
    <row r="59" spans="1:1" x14ac:dyDescent="0.3">
      <c r="A59" s="294"/>
    </row>
    <row r="60" spans="1:1" x14ac:dyDescent="0.3">
      <c r="A60" s="294"/>
    </row>
    <row r="61" spans="1:1" x14ac:dyDescent="0.3">
      <c r="A61" s="294"/>
    </row>
    <row r="62" spans="1:1" x14ac:dyDescent="0.3">
      <c r="A62" s="294"/>
    </row>
    <row r="63" spans="1:1" x14ac:dyDescent="0.3">
      <c r="A63" s="294"/>
    </row>
    <row r="64" spans="1:1" x14ac:dyDescent="0.3">
      <c r="A64" s="294"/>
    </row>
    <row r="65" spans="1:1" x14ac:dyDescent="0.3">
      <c r="A65" s="294"/>
    </row>
    <row r="66" spans="1:1" x14ac:dyDescent="0.3">
      <c r="A66" s="294"/>
    </row>
    <row r="67" spans="1:1" x14ac:dyDescent="0.3">
      <c r="A67" s="294"/>
    </row>
    <row r="68" spans="1:1" x14ac:dyDescent="0.3">
      <c r="A68" s="294"/>
    </row>
    <row r="69" spans="1:1" x14ac:dyDescent="0.3">
      <c r="A69" s="294"/>
    </row>
    <row r="70" spans="1:1" x14ac:dyDescent="0.3">
      <c r="A70" s="294"/>
    </row>
    <row r="71" spans="1:1" x14ac:dyDescent="0.3">
      <c r="A71" s="294"/>
    </row>
    <row r="72" spans="1:1" x14ac:dyDescent="0.3">
      <c r="A72" s="294"/>
    </row>
    <row r="73" spans="1:1" x14ac:dyDescent="0.3">
      <c r="A73" s="294"/>
    </row>
    <row r="74" spans="1:1" x14ac:dyDescent="0.3">
      <c r="A74" s="294"/>
    </row>
    <row r="75" spans="1:1" x14ac:dyDescent="0.3">
      <c r="A75" s="294"/>
    </row>
    <row r="76" spans="1:1" x14ac:dyDescent="0.3">
      <c r="A76" s="294"/>
    </row>
    <row r="77" spans="1:1" x14ac:dyDescent="0.3">
      <c r="A77" s="294"/>
    </row>
    <row r="78" spans="1:1" x14ac:dyDescent="0.3">
      <c r="A78" s="294"/>
    </row>
    <row r="79" spans="1:1" x14ac:dyDescent="0.3">
      <c r="A79" s="294"/>
    </row>
    <row r="80" spans="1:1" x14ac:dyDescent="0.3">
      <c r="A80" s="294"/>
    </row>
    <row r="81" spans="1:1" x14ac:dyDescent="0.3">
      <c r="A81" s="294"/>
    </row>
    <row r="82" spans="1:1" x14ac:dyDescent="0.3">
      <c r="A82" s="294"/>
    </row>
    <row r="83" spans="1:1" x14ac:dyDescent="0.3">
      <c r="A83" s="294"/>
    </row>
    <row r="84" spans="1:1" x14ac:dyDescent="0.3">
      <c r="A84" s="294"/>
    </row>
    <row r="85" spans="1:1" x14ac:dyDescent="0.3">
      <c r="A85" s="294"/>
    </row>
    <row r="86" spans="1:1" x14ac:dyDescent="0.3">
      <c r="A86" s="294"/>
    </row>
    <row r="87" spans="1:1" x14ac:dyDescent="0.3">
      <c r="A87" s="294"/>
    </row>
    <row r="88" spans="1:1" x14ac:dyDescent="0.3">
      <c r="A88" s="294"/>
    </row>
    <row r="89" spans="1:1" x14ac:dyDescent="0.3">
      <c r="A89" s="294"/>
    </row>
    <row r="90" spans="1:1" x14ac:dyDescent="0.3">
      <c r="A90" s="294"/>
    </row>
    <row r="91" spans="1:1" x14ac:dyDescent="0.3">
      <c r="A91" s="294"/>
    </row>
    <row r="92" spans="1:1" x14ac:dyDescent="0.3">
      <c r="A92" s="294"/>
    </row>
    <row r="93" spans="1:1" x14ac:dyDescent="0.3">
      <c r="A93" s="294"/>
    </row>
    <row r="94" spans="1:1" x14ac:dyDescent="0.3">
      <c r="A94" s="294"/>
    </row>
    <row r="95" spans="1:1" x14ac:dyDescent="0.3">
      <c r="A95" s="294"/>
    </row>
    <row r="96" spans="1:1" x14ac:dyDescent="0.3">
      <c r="A96" s="294"/>
    </row>
    <row r="97" spans="1:1" x14ac:dyDescent="0.3">
      <c r="A97" s="294"/>
    </row>
    <row r="98" spans="1:1" x14ac:dyDescent="0.3">
      <c r="A98" s="294"/>
    </row>
    <row r="99" spans="1:1" x14ac:dyDescent="0.3">
      <c r="A99" s="294"/>
    </row>
    <row r="100" spans="1:1" x14ac:dyDescent="0.3">
      <c r="A100" s="294"/>
    </row>
    <row r="101" spans="1:1" x14ac:dyDescent="0.3">
      <c r="A101" s="294"/>
    </row>
    <row r="102" spans="1:1" x14ac:dyDescent="0.3">
      <c r="A102" s="294"/>
    </row>
    <row r="103" spans="1:1" x14ac:dyDescent="0.3">
      <c r="A103" s="294"/>
    </row>
    <row r="104" spans="1:1" x14ac:dyDescent="0.3">
      <c r="A104" s="294"/>
    </row>
    <row r="105" spans="1:1" x14ac:dyDescent="0.3">
      <c r="A105" s="294"/>
    </row>
    <row r="106" spans="1:1" x14ac:dyDescent="0.3">
      <c r="A106" s="294"/>
    </row>
    <row r="107" spans="1:1" x14ac:dyDescent="0.3">
      <c r="A107" s="294"/>
    </row>
    <row r="108" spans="1:1" x14ac:dyDescent="0.3">
      <c r="A108" s="294"/>
    </row>
    <row r="109" spans="1:1" x14ac:dyDescent="0.3">
      <c r="A109" s="294"/>
    </row>
    <row r="110" spans="1:1" x14ac:dyDescent="0.3">
      <c r="A110" s="294"/>
    </row>
    <row r="111" spans="1:1" x14ac:dyDescent="0.3">
      <c r="A111" s="294"/>
    </row>
    <row r="112" spans="1:1" x14ac:dyDescent="0.3">
      <c r="A112" s="294"/>
    </row>
    <row r="113" spans="1:1" x14ac:dyDescent="0.3">
      <c r="A113" s="294"/>
    </row>
    <row r="114" spans="1:1" x14ac:dyDescent="0.3">
      <c r="A114" s="294"/>
    </row>
    <row r="115" spans="1:1" x14ac:dyDescent="0.3">
      <c r="A115" s="294"/>
    </row>
    <row r="116" spans="1:1" x14ac:dyDescent="0.3">
      <c r="A116" s="294"/>
    </row>
    <row r="117" spans="1:1" x14ac:dyDescent="0.3">
      <c r="A117" s="294"/>
    </row>
    <row r="118" spans="1:1" x14ac:dyDescent="0.3">
      <c r="A118" s="294"/>
    </row>
    <row r="119" spans="1:1" x14ac:dyDescent="0.3">
      <c r="A119" s="294"/>
    </row>
    <row r="120" spans="1:1" x14ac:dyDescent="0.3">
      <c r="A120" s="294"/>
    </row>
    <row r="121" spans="1:1" x14ac:dyDescent="0.3">
      <c r="A121" s="294"/>
    </row>
    <row r="122" spans="1:1" x14ac:dyDescent="0.3">
      <c r="A122" s="294"/>
    </row>
    <row r="123" spans="1:1" x14ac:dyDescent="0.3">
      <c r="A123" s="294"/>
    </row>
    <row r="124" spans="1:1" x14ac:dyDescent="0.3">
      <c r="A124" s="294"/>
    </row>
    <row r="125" spans="1:1" x14ac:dyDescent="0.3">
      <c r="A125" s="294"/>
    </row>
    <row r="126" spans="1:1" x14ac:dyDescent="0.3">
      <c r="A126" s="294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1DF4-A451-47FA-A480-CD082E20F751}">
  <sheetPr>
    <tabColor rgb="FFFF0000"/>
  </sheetPr>
  <dimension ref="A1:CL57"/>
  <sheetViews>
    <sheetView workbookViewId="0">
      <selection activeCell="J24" sqref="J24"/>
    </sheetView>
  </sheetViews>
  <sheetFormatPr defaultRowHeight="14.4" x14ac:dyDescent="0.3"/>
  <cols>
    <col min="1" max="1" width="34" customWidth="1"/>
    <col min="2" max="2" width="10.33203125" style="79" customWidth="1"/>
    <col min="3" max="3" width="4.6640625" customWidth="1"/>
    <col min="4" max="4" width="26.6640625" bestFit="1" customWidth="1"/>
    <col min="5" max="5" width="8.6640625" customWidth="1"/>
    <col min="6" max="6" width="5.33203125" customWidth="1"/>
    <col min="7" max="7" width="26.6640625" bestFit="1" customWidth="1"/>
    <col min="8" max="8" width="11.6640625" customWidth="1"/>
    <col min="10" max="10" width="22.6640625" bestFit="1" customWidth="1"/>
    <col min="11" max="11" width="7.44140625" bestFit="1" customWidth="1"/>
    <col min="13" max="13" width="23.6640625" customWidth="1"/>
    <col min="14" max="14" width="7.88671875" bestFit="1" customWidth="1"/>
    <col min="15" max="15" width="9.5546875" bestFit="1" customWidth="1"/>
  </cols>
  <sheetData>
    <row r="1" spans="1:90" ht="18" x14ac:dyDescent="0.35">
      <c r="A1" s="67" t="s">
        <v>132</v>
      </c>
      <c r="B1" s="113"/>
      <c r="C1" s="68"/>
      <c r="D1" s="68"/>
      <c r="E1" s="68"/>
      <c r="F1" s="68"/>
      <c r="G1" s="68"/>
      <c r="H1" s="68"/>
    </row>
    <row r="2" spans="1:90" ht="15" thickBot="1" x14ac:dyDescent="0.35">
      <c r="A2" s="68"/>
      <c r="B2" s="113"/>
      <c r="C2" s="68"/>
      <c r="D2" s="68"/>
      <c r="E2" s="68"/>
      <c r="F2" s="68"/>
      <c r="G2" s="68"/>
      <c r="H2" s="68"/>
    </row>
    <row r="3" spans="1:90" ht="15" thickBot="1" x14ac:dyDescent="0.35">
      <c r="A3" s="90" t="s">
        <v>42</v>
      </c>
      <c r="B3" s="91" t="s">
        <v>43</v>
      </c>
      <c r="C3" s="68"/>
      <c r="D3" s="90" t="s">
        <v>42</v>
      </c>
      <c r="E3" s="91" t="s">
        <v>43</v>
      </c>
      <c r="G3" s="90" t="s">
        <v>42</v>
      </c>
      <c r="H3" s="91" t="s">
        <v>43</v>
      </c>
      <c r="J3" s="90" t="s">
        <v>42</v>
      </c>
      <c r="K3" s="91" t="s">
        <v>43</v>
      </c>
      <c r="L3" s="68"/>
      <c r="M3" s="90" t="s">
        <v>42</v>
      </c>
      <c r="N3" s="91" t="s">
        <v>43</v>
      </c>
    </row>
    <row r="4" spans="1:90" x14ac:dyDescent="0.3">
      <c r="A4" s="92" t="s">
        <v>8</v>
      </c>
      <c r="B4" s="93">
        <f>'February 2026'!B36</f>
        <v>773</v>
      </c>
      <c r="C4" s="68"/>
      <c r="D4" s="80" t="s">
        <v>67</v>
      </c>
      <c r="E4" s="360">
        <f>'February 2026'!Q36</f>
        <v>438</v>
      </c>
      <c r="G4" s="308" t="s">
        <v>14</v>
      </c>
      <c r="H4" s="309">
        <f>'February 2026'!AU36</f>
        <v>0</v>
      </c>
      <c r="J4" s="95" t="s">
        <v>137</v>
      </c>
      <c r="K4" s="93">
        <f>'February 2026'!BM36</f>
        <v>467</v>
      </c>
      <c r="L4" s="68"/>
      <c r="M4" s="87" t="s">
        <v>128</v>
      </c>
      <c r="N4" s="81">
        <f>'February 2026'!H36</f>
        <v>69</v>
      </c>
    </row>
    <row r="5" spans="1:90" x14ac:dyDescent="0.3">
      <c r="A5" s="80"/>
      <c r="B5" s="151">
        <f>'February 2026'!C36</f>
        <v>103</v>
      </c>
      <c r="C5" s="68"/>
      <c r="D5" s="80"/>
      <c r="E5" s="358">
        <f>'February 2026'!R36</f>
        <v>46</v>
      </c>
      <c r="G5" s="83"/>
      <c r="H5" s="81">
        <f>'February 2026'!AV36</f>
        <v>0</v>
      </c>
      <c r="J5" s="85"/>
      <c r="K5" s="81">
        <f>'February 2026'!BN36</f>
        <v>73</v>
      </c>
      <c r="L5" s="68"/>
      <c r="M5" s="87"/>
      <c r="N5" s="81">
        <f>'February 2026'!I36</f>
        <v>11</v>
      </c>
    </row>
    <row r="6" spans="1:90" x14ac:dyDescent="0.3">
      <c r="A6" s="82"/>
      <c r="B6" s="349">
        <f>B4/B5</f>
        <v>7.5048543689320386</v>
      </c>
      <c r="C6" s="68"/>
      <c r="D6" s="80"/>
      <c r="E6" s="359">
        <f>E4/E5</f>
        <v>9.5217391304347831</v>
      </c>
      <c r="G6" s="84"/>
      <c r="H6" s="359" t="e">
        <f>H4/H5</f>
        <v>#DIV/0!</v>
      </c>
      <c r="J6" s="86"/>
      <c r="K6" s="258">
        <f>K4/K5</f>
        <v>6.397260273972603</v>
      </c>
      <c r="L6" s="68"/>
      <c r="M6" s="88"/>
      <c r="N6" s="258">
        <f>N4/N5</f>
        <v>6.2727272727272725</v>
      </c>
    </row>
    <row r="7" spans="1:90" x14ac:dyDescent="0.3">
      <c r="A7" s="80" t="s">
        <v>121</v>
      </c>
      <c r="B7" s="81">
        <f>'February 2026'!E36</f>
        <v>135</v>
      </c>
      <c r="C7" s="68"/>
      <c r="D7" s="80" t="s">
        <v>11</v>
      </c>
      <c r="E7" s="81">
        <f>'February 2026'!T36</f>
        <v>642</v>
      </c>
      <c r="G7" s="83" t="s">
        <v>15</v>
      </c>
      <c r="H7" s="81">
        <f>'February 2026'!AX36</f>
        <v>0</v>
      </c>
      <c r="J7" s="85" t="s">
        <v>20</v>
      </c>
      <c r="K7" s="81">
        <f>'February 2026'!BP36</f>
        <v>0</v>
      </c>
      <c r="L7" s="68"/>
      <c r="M7" s="87" t="s">
        <v>38</v>
      </c>
      <c r="N7" s="151"/>
    </row>
    <row r="8" spans="1:90" x14ac:dyDescent="0.3">
      <c r="A8" s="80"/>
      <c r="B8" s="81">
        <f>'February 2026'!F36</f>
        <v>19</v>
      </c>
      <c r="C8" s="68"/>
      <c r="D8" s="80"/>
      <c r="E8" s="81">
        <f>'February 2026'!U36</f>
        <v>118</v>
      </c>
      <c r="G8" s="83"/>
      <c r="H8" s="81">
        <f>'February 2026'!AY36</f>
        <v>0</v>
      </c>
      <c r="J8" s="85"/>
      <c r="K8" s="81">
        <f>'February 2026'!BQ36</f>
        <v>0</v>
      </c>
      <c r="L8" s="68"/>
      <c r="M8" s="87"/>
      <c r="N8" s="151"/>
      <c r="BQ8" s="78">
        <f>'Oct 2023'!BL36</f>
        <v>6.3829990448901626</v>
      </c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</row>
    <row r="9" spans="1:90" x14ac:dyDescent="0.3">
      <c r="A9" s="82"/>
      <c r="B9" s="258">
        <f>B7/B8</f>
        <v>7.1052631578947372</v>
      </c>
      <c r="C9" s="68"/>
      <c r="D9" s="80"/>
      <c r="E9" s="258">
        <f>E7/E8</f>
        <v>5.4406779661016946</v>
      </c>
      <c r="G9" s="84"/>
      <c r="H9" s="359" t="e">
        <f>H7/H8</f>
        <v>#DIV/0!</v>
      </c>
      <c r="J9" s="86"/>
      <c r="K9" s="258" t="e">
        <f>K7/K8</f>
        <v>#DIV/0!</v>
      </c>
      <c r="L9" s="68"/>
      <c r="M9" s="88"/>
      <c r="N9" s="258" t="e">
        <f>N7/N8</f>
        <v>#DIV/0!</v>
      </c>
    </row>
    <row r="10" spans="1:90" x14ac:dyDescent="0.3">
      <c r="A10" s="80" t="s">
        <v>122</v>
      </c>
      <c r="B10" s="81">
        <f>'February 2026'!K36</f>
        <v>139</v>
      </c>
      <c r="C10" s="68"/>
      <c r="D10" s="80" t="s">
        <v>44</v>
      </c>
      <c r="E10" s="81">
        <f>'February 2026'!W36</f>
        <v>0</v>
      </c>
      <c r="G10" s="83" t="s">
        <v>16</v>
      </c>
      <c r="H10" s="81">
        <f>'February 2026'!BA36</f>
        <v>58</v>
      </c>
      <c r="J10" s="85" t="s">
        <v>21</v>
      </c>
      <c r="K10" s="81">
        <f>'February 2026'!BS36</f>
        <v>0</v>
      </c>
      <c r="L10" s="68"/>
      <c r="M10" s="87" t="s">
        <v>113</v>
      </c>
      <c r="N10" s="151"/>
    </row>
    <row r="11" spans="1:90" x14ac:dyDescent="0.3">
      <c r="A11" s="80"/>
      <c r="B11" s="81">
        <f>'February 2026'!L36</f>
        <v>18</v>
      </c>
      <c r="C11" s="68"/>
      <c r="D11" s="80"/>
      <c r="E11" s="81">
        <f>'February 2026'!X36</f>
        <v>0</v>
      </c>
      <c r="G11" s="83"/>
      <c r="H11" s="81">
        <f>'February 2026'!BB36</f>
        <v>10</v>
      </c>
      <c r="J11" s="85"/>
      <c r="K11" s="81">
        <f>'February 2026'!BT36</f>
        <v>0</v>
      </c>
      <c r="L11" s="68"/>
      <c r="M11" s="87"/>
      <c r="N11" s="81"/>
    </row>
    <row r="12" spans="1:90" x14ac:dyDescent="0.3">
      <c r="A12" s="82"/>
      <c r="B12" s="258">
        <f>B10/B11</f>
        <v>7.7222222222222223</v>
      </c>
      <c r="C12" s="68"/>
      <c r="D12" s="80"/>
      <c r="E12" s="258" t="e">
        <f>E10/E11</f>
        <v>#DIV/0!</v>
      </c>
      <c r="G12" s="84"/>
      <c r="H12" s="359">
        <f>H10/H11</f>
        <v>5.8</v>
      </c>
      <c r="J12" s="86"/>
      <c r="K12" s="258" t="e">
        <f>K10/K11</f>
        <v>#DIV/0!</v>
      </c>
      <c r="L12" s="68"/>
      <c r="M12" s="88"/>
      <c r="N12" s="258" t="e">
        <f>N10/N11</f>
        <v>#DIV/0!</v>
      </c>
    </row>
    <row r="13" spans="1:90" x14ac:dyDescent="0.3">
      <c r="A13" s="80" t="s">
        <v>114</v>
      </c>
      <c r="B13" s="81">
        <f>'February 2026'!N36</f>
        <v>0</v>
      </c>
      <c r="C13" s="68"/>
      <c r="D13" s="80" t="s">
        <v>115</v>
      </c>
      <c r="E13" s="311">
        <f>'February 2026'!AC36</f>
        <v>151</v>
      </c>
      <c r="G13" s="83" t="s">
        <v>59</v>
      </c>
      <c r="H13" s="81">
        <f>'February 2026'!BG36</f>
        <v>110</v>
      </c>
      <c r="J13" s="85" t="s">
        <v>22</v>
      </c>
      <c r="K13" s="81">
        <f>'February 2026'!BV36</f>
        <v>45</v>
      </c>
      <c r="L13" s="68"/>
      <c r="M13" s="96" t="s">
        <v>28</v>
      </c>
      <c r="N13" s="97">
        <f>'February 2026'!CB36</f>
        <v>3904</v>
      </c>
    </row>
    <row r="14" spans="1:90" x14ac:dyDescent="0.3">
      <c r="A14" s="80"/>
      <c r="B14" s="81">
        <f>'February 2026'!O35</f>
        <v>0</v>
      </c>
      <c r="C14" s="68"/>
      <c r="D14" s="80"/>
      <c r="E14" s="361">
        <f>'February 2026'!AD36</f>
        <v>31</v>
      </c>
      <c r="G14" s="83"/>
      <c r="H14" s="81">
        <f>'February 2026'!BH36</f>
        <v>29</v>
      </c>
      <c r="J14" s="85"/>
      <c r="K14" s="81">
        <f>'February 2026'!BW36</f>
        <v>7</v>
      </c>
      <c r="L14" s="68"/>
      <c r="M14" s="96"/>
      <c r="N14" s="97">
        <f>'February 2026'!CC36</f>
        <v>635</v>
      </c>
    </row>
    <row r="15" spans="1:90" ht="15" thickBot="1" x14ac:dyDescent="0.35">
      <c r="A15" s="363"/>
      <c r="B15" s="260" t="e">
        <f>B13/B14</f>
        <v>#DIV/0!</v>
      </c>
      <c r="C15" s="68"/>
      <c r="D15" s="80"/>
      <c r="E15" s="359">
        <f>E13/E14</f>
        <v>4.870967741935484</v>
      </c>
      <c r="G15" s="84"/>
      <c r="H15" s="359">
        <f>H13/H14</f>
        <v>3.7931034482758621</v>
      </c>
      <c r="J15" s="85"/>
      <c r="K15" s="258">
        <f>K13/K14</f>
        <v>6.4285714285714288</v>
      </c>
      <c r="L15" s="68"/>
      <c r="M15" s="98"/>
      <c r="N15" s="99">
        <f>N13/N14</f>
        <v>6.148031496062992</v>
      </c>
    </row>
    <row r="16" spans="1:90" x14ac:dyDescent="0.3">
      <c r="C16" s="68"/>
      <c r="D16" s="80" t="s">
        <v>116</v>
      </c>
      <c r="E16" s="311">
        <f>'February 2026'!AF36</f>
        <v>154</v>
      </c>
      <c r="G16" s="83" t="s">
        <v>17</v>
      </c>
      <c r="H16" s="81">
        <f>'February 2026'!BJ36</f>
        <v>0</v>
      </c>
      <c r="J16" s="382" t="s">
        <v>45</v>
      </c>
      <c r="K16" s="26">
        <f>'February 2026'!BY36</f>
        <v>6</v>
      </c>
      <c r="L16" s="68"/>
    </row>
    <row r="17" spans="3:15" x14ac:dyDescent="0.3">
      <c r="C17" s="68"/>
      <c r="D17" s="80"/>
      <c r="E17" s="361">
        <f>'February 2026'!AG36</f>
        <v>31</v>
      </c>
      <c r="G17" s="83"/>
      <c r="H17" s="81">
        <f>'February 2026'!BK36</f>
        <v>0</v>
      </c>
      <c r="J17" s="85"/>
      <c r="K17" s="81">
        <f>'February 2026'!BZ36</f>
        <v>1</v>
      </c>
      <c r="L17" s="68"/>
    </row>
    <row r="18" spans="3:15" ht="15" thickBot="1" x14ac:dyDescent="0.35">
      <c r="C18" s="68"/>
      <c r="D18" s="80"/>
      <c r="E18" s="359">
        <f>E16/E17</f>
        <v>4.967741935483871</v>
      </c>
      <c r="G18" s="94"/>
      <c r="H18" s="362" t="e">
        <f>H16/H17</f>
        <v>#DIV/0!</v>
      </c>
      <c r="J18" s="102"/>
      <c r="K18" s="260">
        <f>K16/K17</f>
        <v>6</v>
      </c>
      <c r="L18" s="68"/>
      <c r="M18" s="78">
        <f>B4+B7+B10+B13+E4+E7+E10+E13+E16+E19+E22+E25+E28+H4+H7+H10+H13+H16+K4+K7+K10+K13+K16+N4+N7+N10</f>
        <v>3904</v>
      </c>
      <c r="N18" s="78">
        <f>B5+B8+B11+B14+E5+E8+E11+E14+E17+E20+E23+E26+E29+H5+H8+H11+H14+H17+K5+K8+K11+K14+K17+N5+N8+N11</f>
        <v>635</v>
      </c>
      <c r="O18" s="370">
        <f>M18/N18</f>
        <v>6.148031496062992</v>
      </c>
    </row>
    <row r="19" spans="3:15" x14ac:dyDescent="0.3">
      <c r="C19" s="68"/>
      <c r="D19" s="80" t="s">
        <v>86</v>
      </c>
      <c r="E19" s="81">
        <f>'February 2026'!AI36</f>
        <v>492</v>
      </c>
      <c r="M19" s="369">
        <f>M18-N13</f>
        <v>0</v>
      </c>
      <c r="N19" s="78">
        <f>N18-N14</f>
        <v>0</v>
      </c>
    </row>
    <row r="20" spans="3:15" x14ac:dyDescent="0.3">
      <c r="C20" s="68"/>
      <c r="D20" s="80"/>
      <c r="E20" s="81">
        <f>'February 2026'!AJ36</f>
        <v>100</v>
      </c>
    </row>
    <row r="21" spans="3:15" x14ac:dyDescent="0.3">
      <c r="C21" s="68"/>
      <c r="D21" s="80"/>
      <c r="E21" s="259">
        <f>E19/E20</f>
        <v>4.92</v>
      </c>
    </row>
    <row r="22" spans="3:15" x14ac:dyDescent="0.3">
      <c r="C22" s="68"/>
      <c r="D22" s="80" t="s">
        <v>68</v>
      </c>
      <c r="E22" s="311">
        <f>'February 2026'!AL36</f>
        <v>15</v>
      </c>
    </row>
    <row r="23" spans="3:15" x14ac:dyDescent="0.3">
      <c r="C23" s="68"/>
      <c r="D23" s="80"/>
      <c r="E23" s="361">
        <f>'February 2026'!AM36</f>
        <v>3</v>
      </c>
    </row>
    <row r="24" spans="3:15" x14ac:dyDescent="0.3">
      <c r="C24" s="68"/>
      <c r="D24" s="80"/>
      <c r="E24" s="359">
        <f>E22/E23</f>
        <v>5</v>
      </c>
    </row>
    <row r="25" spans="3:15" x14ac:dyDescent="0.3">
      <c r="C25" s="68"/>
      <c r="D25" s="80" t="s">
        <v>91</v>
      </c>
      <c r="E25" s="311">
        <f>'February 2026'!AO36</f>
        <v>21</v>
      </c>
    </row>
    <row r="26" spans="3:15" x14ac:dyDescent="0.3">
      <c r="C26" s="68"/>
      <c r="D26" s="80"/>
      <c r="E26" s="361">
        <f>'February 2026'!AP36</f>
        <v>4</v>
      </c>
    </row>
    <row r="27" spans="3:15" x14ac:dyDescent="0.3">
      <c r="C27" s="68"/>
      <c r="D27" s="80"/>
      <c r="E27" s="359">
        <f>E25/E26</f>
        <v>5.25</v>
      </c>
    </row>
    <row r="28" spans="3:15" x14ac:dyDescent="0.3">
      <c r="C28" s="68"/>
      <c r="D28" s="80" t="s">
        <v>117</v>
      </c>
      <c r="E28" s="358">
        <f>'February 2026'!AR36</f>
        <v>189</v>
      </c>
    </row>
    <row r="29" spans="3:15" x14ac:dyDescent="0.3">
      <c r="C29" s="68"/>
      <c r="D29" s="80"/>
      <c r="E29" s="358">
        <f>'February 2026'!AS36</f>
        <v>31</v>
      </c>
    </row>
    <row r="30" spans="3:15" ht="15" thickBot="1" x14ac:dyDescent="0.35">
      <c r="C30" s="68"/>
      <c r="D30" s="363"/>
      <c r="E30" s="362">
        <f>E28/E29</f>
        <v>6.096774193548387</v>
      </c>
    </row>
    <row r="31" spans="3:15" x14ac:dyDescent="0.3">
      <c r="C31" s="68"/>
      <c r="D31" s="68"/>
      <c r="E31" s="68"/>
    </row>
    <row r="32" spans="3:15" x14ac:dyDescent="0.3">
      <c r="C32" s="68"/>
      <c r="D32" s="68"/>
      <c r="E32" s="68"/>
    </row>
    <row r="33" spans="3:7" x14ac:dyDescent="0.3">
      <c r="C33" s="68"/>
      <c r="D33" s="68"/>
      <c r="E33" s="68"/>
    </row>
    <row r="34" spans="3:7" x14ac:dyDescent="0.3">
      <c r="C34" s="68"/>
      <c r="D34" s="68"/>
      <c r="E34" s="68"/>
    </row>
    <row r="35" spans="3:7" x14ac:dyDescent="0.3">
      <c r="C35" s="68"/>
      <c r="D35" s="68"/>
      <c r="E35" s="68"/>
    </row>
    <row r="36" spans="3:7" x14ac:dyDescent="0.3">
      <c r="C36" s="68"/>
      <c r="D36" s="68"/>
      <c r="E36" s="68"/>
    </row>
    <row r="37" spans="3:7" x14ac:dyDescent="0.3">
      <c r="C37" s="68"/>
      <c r="D37" s="68"/>
      <c r="E37" s="68"/>
    </row>
    <row r="38" spans="3:7" x14ac:dyDescent="0.3">
      <c r="C38" s="68"/>
      <c r="D38" s="68"/>
      <c r="E38" s="68"/>
    </row>
    <row r="39" spans="3:7" x14ac:dyDescent="0.3">
      <c r="C39" s="68"/>
      <c r="D39" s="68"/>
      <c r="E39" s="68"/>
    </row>
    <row r="40" spans="3:7" x14ac:dyDescent="0.3">
      <c r="C40" s="68"/>
      <c r="D40" s="68"/>
      <c r="E40" s="68"/>
    </row>
    <row r="41" spans="3:7" x14ac:dyDescent="0.3">
      <c r="C41" s="68"/>
      <c r="D41" s="68"/>
      <c r="E41" s="68"/>
    </row>
    <row r="42" spans="3:7" x14ac:dyDescent="0.3">
      <c r="C42" s="68"/>
      <c r="D42" s="68"/>
      <c r="E42" s="68"/>
    </row>
    <row r="43" spans="3:7" x14ac:dyDescent="0.3">
      <c r="C43" s="68"/>
      <c r="D43" s="68"/>
      <c r="E43" s="68"/>
    </row>
    <row r="44" spans="3:7" x14ac:dyDescent="0.3">
      <c r="C44" s="68"/>
      <c r="D44" s="68"/>
      <c r="E44" s="68"/>
    </row>
    <row r="45" spans="3:7" x14ac:dyDescent="0.3">
      <c r="C45" s="68"/>
      <c r="D45" s="68"/>
      <c r="E45" s="68"/>
    </row>
    <row r="46" spans="3:7" x14ac:dyDescent="0.3">
      <c r="C46" s="68"/>
      <c r="D46" s="68"/>
      <c r="E46" s="68"/>
      <c r="G46" s="68"/>
    </row>
    <row r="47" spans="3:7" x14ac:dyDescent="0.3">
      <c r="C47" s="68"/>
      <c r="D47" s="68"/>
      <c r="E47" s="68"/>
      <c r="G47" s="68"/>
    </row>
    <row r="48" spans="3:7" x14ac:dyDescent="0.3">
      <c r="C48" s="68"/>
      <c r="D48" s="68"/>
      <c r="E48" s="68"/>
      <c r="G48" s="68"/>
    </row>
    <row r="49" spans="3:7" x14ac:dyDescent="0.3">
      <c r="C49" s="68"/>
      <c r="F49" s="68"/>
      <c r="G49" s="68"/>
    </row>
    <row r="50" spans="3:7" x14ac:dyDescent="0.3">
      <c r="C50" s="68"/>
      <c r="F50" s="68"/>
      <c r="G50" s="68"/>
    </row>
    <row r="51" spans="3:7" x14ac:dyDescent="0.3">
      <c r="C51" s="68"/>
      <c r="F51" s="68"/>
      <c r="G51" s="68"/>
    </row>
    <row r="52" spans="3:7" x14ac:dyDescent="0.3">
      <c r="C52" s="68"/>
      <c r="F52" s="68"/>
      <c r="G52" s="68"/>
    </row>
    <row r="53" spans="3:7" x14ac:dyDescent="0.3">
      <c r="C53" s="68"/>
      <c r="F53" s="68"/>
      <c r="G53" s="68"/>
    </row>
    <row r="54" spans="3:7" x14ac:dyDescent="0.3">
      <c r="C54" s="68"/>
      <c r="F54" s="68"/>
      <c r="G54" s="68"/>
    </row>
    <row r="55" spans="3:7" x14ac:dyDescent="0.3">
      <c r="C55" s="68"/>
      <c r="F55" s="68"/>
      <c r="G55" s="68"/>
    </row>
    <row r="56" spans="3:7" x14ac:dyDescent="0.3">
      <c r="C56" s="68"/>
      <c r="F56" s="68"/>
      <c r="G56" s="68"/>
    </row>
    <row r="57" spans="3:7" x14ac:dyDescent="0.3">
      <c r="C57" s="68"/>
      <c r="F57" s="68"/>
      <c r="G57" s="6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Oct 2023</vt:lpstr>
      <vt:lpstr>Nov 2023</vt:lpstr>
      <vt:lpstr>Nov 23 Sum</vt:lpstr>
      <vt:lpstr>Dec 2023</vt:lpstr>
      <vt:lpstr>Dec 23 Sum</vt:lpstr>
      <vt:lpstr>Jan 2024</vt:lpstr>
      <vt:lpstr>Jan 24 Sum</vt:lpstr>
      <vt:lpstr>Feb 2024</vt:lpstr>
      <vt:lpstr>Feb 24 Sum</vt:lpstr>
      <vt:lpstr>Mar 2024</vt:lpstr>
      <vt:lpstr>Mar 24 Sum</vt:lpstr>
      <vt:lpstr>April 2024</vt:lpstr>
      <vt:lpstr>April 24 Sum</vt:lpstr>
      <vt:lpstr>May 2024</vt:lpstr>
      <vt:lpstr>May 24 Sum</vt:lpstr>
      <vt:lpstr>June 2024</vt:lpstr>
      <vt:lpstr>June 24 Sum</vt:lpstr>
      <vt:lpstr>July 2024</vt:lpstr>
      <vt:lpstr>July 24 Sum</vt:lpstr>
      <vt:lpstr>August 2024</vt:lpstr>
      <vt:lpstr>August 24 Sum</vt:lpstr>
      <vt:lpstr>September 24</vt:lpstr>
      <vt:lpstr>September 24 Sum</vt:lpstr>
      <vt:lpstr>November 2024</vt:lpstr>
      <vt:lpstr>November 24 Sum</vt:lpstr>
      <vt:lpstr>December 2024</vt:lpstr>
      <vt:lpstr>December 24 Sum</vt:lpstr>
      <vt:lpstr>January 2025</vt:lpstr>
      <vt:lpstr>Jan 25 Sum</vt:lpstr>
      <vt:lpstr>February 2025</vt:lpstr>
      <vt:lpstr>Feb 25 Sum</vt:lpstr>
      <vt:lpstr>March 2025</vt:lpstr>
      <vt:lpstr>Mar 25 Sum</vt:lpstr>
      <vt:lpstr>April 2025</vt:lpstr>
      <vt:lpstr>April 25 Sum</vt:lpstr>
      <vt:lpstr>May 2025</vt:lpstr>
      <vt:lpstr>May 25 Sum</vt:lpstr>
      <vt:lpstr>June25</vt:lpstr>
      <vt:lpstr>June 25 Sum</vt:lpstr>
      <vt:lpstr>July 2025</vt:lpstr>
      <vt:lpstr>July 25 Sum</vt:lpstr>
      <vt:lpstr>August 2025</vt:lpstr>
      <vt:lpstr>Aug 25 Sum</vt:lpstr>
      <vt:lpstr>September 2025</vt:lpstr>
      <vt:lpstr>Sept 25 Sum</vt:lpstr>
      <vt:lpstr>October 2025</vt:lpstr>
      <vt:lpstr>Oct 25 Sum</vt:lpstr>
      <vt:lpstr>November 2025</vt:lpstr>
      <vt:lpstr>Nov 25 Sum</vt:lpstr>
      <vt:lpstr>December 2025</vt:lpstr>
      <vt:lpstr>Dec 25 Sum </vt:lpstr>
      <vt:lpstr>January 2026</vt:lpstr>
      <vt:lpstr>Jan 26 Sum </vt:lpstr>
      <vt:lpstr>February 2026</vt:lpstr>
      <vt:lpstr>Feb 26 Sum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Roberts</dc:creator>
  <cp:keywords/>
  <dc:description/>
  <cp:lastModifiedBy>Pamela</cp:lastModifiedBy>
  <cp:revision/>
  <dcterms:created xsi:type="dcterms:W3CDTF">2023-11-07T10:00:30Z</dcterms:created>
  <dcterms:modified xsi:type="dcterms:W3CDTF">2026-02-20T15:01:33Z</dcterms:modified>
  <cp:category/>
  <cp:contentStatus/>
</cp:coreProperties>
</file>